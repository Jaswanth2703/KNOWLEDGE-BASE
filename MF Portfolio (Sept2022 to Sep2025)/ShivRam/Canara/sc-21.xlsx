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October 2022\"/>
    </mc:Choice>
  </mc:AlternateContent>
  <bookViews>
    <workbookView xWindow="0" yWindow="0" windowWidth="20490" windowHeight="7650"/>
  </bookViews>
  <sheets>
    <sheet name="SC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5" i="1" l="1"/>
  <c r="G86" i="1" s="1"/>
  <c r="F85" i="1"/>
  <c r="F86" i="1" s="1"/>
  <c r="G81" i="1"/>
  <c r="G82" i="1" s="1"/>
  <c r="F81" i="1"/>
  <c r="F82" i="1" s="1"/>
  <c r="F87" i="1" l="1"/>
  <c r="G87" i="1"/>
</calcChain>
</file>

<file path=xl/sharedStrings.xml><?xml version="1.0" encoding="utf-8"?>
<sst xmlns="http://schemas.openxmlformats.org/spreadsheetml/2006/main" count="319" uniqueCount="198">
  <si>
    <t>CANARA ROBECO SMALL CAP FUND</t>
  </si>
  <si>
    <t>Monthly Portfolio Statement as on October 31,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</si>
  <si>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</si>
  <si>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</si>
  <si>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</si>
  <si>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</si>
  <si>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</si>
  <si>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</si>
  <si>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Market Capitalization</t>
  </si>
  <si>
    <t>Scheme Risk-o-meter Level- Oct'22</t>
  </si>
  <si>
    <t>Benchmark Risk-o-meter Level- Oct'22</t>
  </si>
  <si>
    <t>Previous Scheme Risk-o-meter Level- Sep'22</t>
  </si>
  <si>
    <t>Equity &amp; Equity related</t>
  </si>
  <si>
    <t>(a) Listed / awaiting listing on Stock Exchanges</t>
  </si>
  <si>
    <t>City Union Bank Ltd</t>
  </si>
  <si>
    <t>INE491A01021</t>
  </si>
  <si>
    <t>Banks</t>
  </si>
  <si>
    <t>Small Cap</t>
  </si>
  <si>
    <t>Cera Sanitaryware Ltd</t>
  </si>
  <si>
    <t>INE739E01017</t>
  </si>
  <si>
    <t>Consumer Durables</t>
  </si>
  <si>
    <t>KEI Industries Ltd</t>
  </si>
  <si>
    <t>INE878B01027</t>
  </si>
  <si>
    <t>Industrial Products</t>
  </si>
  <si>
    <t>Schaeffler India Ltd</t>
  </si>
  <si>
    <t>INE513A01022</t>
  </si>
  <si>
    <t>Auto Components</t>
  </si>
  <si>
    <t>Mid Cap</t>
  </si>
  <si>
    <t>Indian Hotels Co Ltd</t>
  </si>
  <si>
    <t>INE053A01029</t>
  </si>
  <si>
    <t>Leisure Services</t>
  </si>
  <si>
    <t>Century Textile &amp; Industries Ltd</t>
  </si>
  <si>
    <t>INE055A01016</t>
  </si>
  <si>
    <t>Paper, Forest &amp; Jute Products</t>
  </si>
  <si>
    <t>Bharat Electronics Ltd</t>
  </si>
  <si>
    <t>INE263A01024</t>
  </si>
  <si>
    <t>Aerospace &amp; Defense</t>
  </si>
  <si>
    <t>Large Cap</t>
  </si>
  <si>
    <t>Benchmark: Nifty Smallcap 250 Index TRI</t>
  </si>
  <si>
    <t>Can Fin Homes Ltd</t>
  </si>
  <si>
    <t>INE477A01020</t>
  </si>
  <si>
    <t>Finance</t>
  </si>
  <si>
    <t>V.I.P. Industries Ltd</t>
  </si>
  <si>
    <t>INE054A01027</t>
  </si>
  <si>
    <t>Grindwell Norton Ltd</t>
  </si>
  <si>
    <t>INE536A01023</t>
  </si>
  <si>
    <t>Indian Bank</t>
  </si>
  <si>
    <t>INE562A01011</t>
  </si>
  <si>
    <t>Creditaccess Grameen Ltd</t>
  </si>
  <si>
    <t>INE741K01010</t>
  </si>
  <si>
    <t>Aditya Birla Fashion and Retail Ltd</t>
  </si>
  <si>
    <t>INE647O01011</t>
  </si>
  <si>
    <t>Retailing</t>
  </si>
  <si>
    <t>MindTree Ltd</t>
  </si>
  <si>
    <t>INE018I01017</t>
  </si>
  <si>
    <t>IT - Software</t>
  </si>
  <si>
    <t>EID Parry India Ltd</t>
  </si>
  <si>
    <t>INE126A01031</t>
  </si>
  <si>
    <t>Agricultural Food &amp; Other Products</t>
  </si>
  <si>
    <t>Persistent Systems Ltd</t>
  </si>
  <si>
    <t>INE262H01013</t>
  </si>
  <si>
    <t>Deepak Nitrite Ltd</t>
  </si>
  <si>
    <t>INE288B01029</t>
  </si>
  <si>
    <t>Chemicals &amp; Petrochemicals</t>
  </si>
  <si>
    <t>Timken India Ltd</t>
  </si>
  <si>
    <t>INE325A01013</t>
  </si>
  <si>
    <t>Max Healthcare Institute Ltd</t>
  </si>
  <si>
    <t>INE027H01010</t>
  </si>
  <si>
    <t>Healthcare Services</t>
  </si>
  <si>
    <t>Great Eastern Shipping Co Ltd</t>
  </si>
  <si>
    <t>INE017A01032</t>
  </si>
  <si>
    <t>Transport Services</t>
  </si>
  <si>
    <t>Multi Commodity Exchange Of India Ltd</t>
  </si>
  <si>
    <t>INE745G01035</t>
  </si>
  <si>
    <t>Capital Markets</t>
  </si>
  <si>
    <t>KEC International Ltd</t>
  </si>
  <si>
    <t>INE389H01022</t>
  </si>
  <si>
    <t>Electrical Equipment</t>
  </si>
  <si>
    <t>ICRA Ltd</t>
  </si>
  <si>
    <t>INE725G01011</t>
  </si>
  <si>
    <t>VRL Logistics Ltd</t>
  </si>
  <si>
    <t>INE366I01010</t>
  </si>
  <si>
    <t>Mold Tek Packaging Ltd</t>
  </si>
  <si>
    <t>INE893J01029</t>
  </si>
  <si>
    <t>KNR Constructions Ltd</t>
  </si>
  <si>
    <t>INE634I01029</t>
  </si>
  <si>
    <t>Construction</t>
  </si>
  <si>
    <t>V-Guard Industries Ltd</t>
  </si>
  <si>
    <t>INE951I01027</t>
  </si>
  <si>
    <t>Galaxy Surfactants Ltd</t>
  </si>
  <si>
    <t>INE600K01018</t>
  </si>
  <si>
    <t>PNC Infratech Ltd</t>
  </si>
  <si>
    <t>INE195J01029</t>
  </si>
  <si>
    <t>Mahindra Lifespace Developers Ltd</t>
  </si>
  <si>
    <t>INE813A01018</t>
  </si>
  <si>
    <t>Realty</t>
  </si>
  <si>
    <t>Abbott India Ltd</t>
  </si>
  <si>
    <t>INE358A01014</t>
  </si>
  <si>
    <t>Pharmaceuticals &amp; Biotechnology</t>
  </si>
  <si>
    <t>Ultratech Cement Ltd</t>
  </si>
  <si>
    <t>INE481G01011</t>
  </si>
  <si>
    <t>Cement &amp; Cement Products</t>
  </si>
  <si>
    <t>Westlife Development Ltd</t>
  </si>
  <si>
    <t>INE274F01020</t>
  </si>
  <si>
    <t>Rolex Rings Ltd</t>
  </si>
  <si>
    <t>INE645S01016</t>
  </si>
  <si>
    <t>Rhi Magnesita India Ltd</t>
  </si>
  <si>
    <t>INE743M01012</t>
  </si>
  <si>
    <t>Bajaj Finance Ltd</t>
  </si>
  <si>
    <t>INE296A01024</t>
  </si>
  <si>
    <t>Vedant Fashions Ltd</t>
  </si>
  <si>
    <t>INE825V01034</t>
  </si>
  <si>
    <t>Shriram City Union Finance Ltd</t>
  </si>
  <si>
    <t>INE722A01011</t>
  </si>
  <si>
    <t>Avenue Supermarts Ltd</t>
  </si>
  <si>
    <t>INE192R01011</t>
  </si>
  <si>
    <t>DCB Bank Ltd</t>
  </si>
  <si>
    <t>INE503A01015</t>
  </si>
  <si>
    <t>ZF Commercial Vehicle Control Systems India Ltd</t>
  </si>
  <si>
    <t>INE342J01019</t>
  </si>
  <si>
    <t>NOCIL Ltd</t>
  </si>
  <si>
    <t>INE163A01018</t>
  </si>
  <si>
    <t>Suven Pharmaceuticals Ltd</t>
  </si>
  <si>
    <t>INE03QK01018</t>
  </si>
  <si>
    <t>K.P.R. Mill Ltd</t>
  </si>
  <si>
    <t>INE930H01031</t>
  </si>
  <si>
    <t>Textiles &amp; Apparels</t>
  </si>
  <si>
    <t>Rallis India Ltd</t>
  </si>
  <si>
    <t>INE613A01020</t>
  </si>
  <si>
    <t>Fertilizers &amp; Agrochemicals</t>
  </si>
  <si>
    <t>Computer Age Management Services Ltd</t>
  </si>
  <si>
    <t>INE596I01012</t>
  </si>
  <si>
    <t>Greenpanel Industries Ltd</t>
  </si>
  <si>
    <t>INE08ZM01014</t>
  </si>
  <si>
    <t>Angel One Ltd</t>
  </si>
  <si>
    <t>INE732I01013</t>
  </si>
  <si>
    <t>Equitas Holdings Ltd</t>
  </si>
  <si>
    <t>INE988K01017</t>
  </si>
  <si>
    <t>PVR Ltd</t>
  </si>
  <si>
    <t>INE191H01014</t>
  </si>
  <si>
    <t>Entertainment</t>
  </si>
  <si>
    <t>Clean Science And Technology Ltd</t>
  </si>
  <si>
    <t>INE227W01023</t>
  </si>
  <si>
    <t>TCI Express Ltd</t>
  </si>
  <si>
    <t>INE586V01016</t>
  </si>
  <si>
    <t>Balrampur Chini Mills Ltd</t>
  </si>
  <si>
    <t>INE119A01028</t>
  </si>
  <si>
    <t>Subros Ltd</t>
  </si>
  <si>
    <t>INE287B01021</t>
  </si>
  <si>
    <t>Fine Organic Industries Ltd</t>
  </si>
  <si>
    <t>INE686Y01026</t>
  </si>
  <si>
    <t>V-Mart Retail Ltd</t>
  </si>
  <si>
    <t>INE665J01013</t>
  </si>
  <si>
    <t>Teamlease Services Ltd</t>
  </si>
  <si>
    <t>INE985S01024</t>
  </si>
  <si>
    <t>Commercial Services &amp; Supplies</t>
  </si>
  <si>
    <t>J.B. Chemicals &amp; Pharmaceuticals Ltd</t>
  </si>
  <si>
    <t>INE572A01028</t>
  </si>
  <si>
    <t>Thermax Ltd</t>
  </si>
  <si>
    <t>INE152A01029</t>
  </si>
  <si>
    <t>UTI Asset Management Co Ltd</t>
  </si>
  <si>
    <t>INE094J01016</t>
  </si>
  <si>
    <t>Anand Rathi Wealth Ltd</t>
  </si>
  <si>
    <t>INE463V01026</t>
  </si>
  <si>
    <t>Ahluwalia Contracts (India) Ltd</t>
  </si>
  <si>
    <t>INE758C01029</t>
  </si>
  <si>
    <t>Sobha Ltd</t>
  </si>
  <si>
    <t>INE671H01015</t>
  </si>
  <si>
    <t>Greenply Industries Ltd</t>
  </si>
  <si>
    <t>INE461C01038</t>
  </si>
  <si>
    <t>National Aluminium Co Ltd</t>
  </si>
  <si>
    <t>INE139A01034</t>
  </si>
  <si>
    <t>Non - Ferrous Metals</t>
  </si>
  <si>
    <t>Honeywell Automation India Ltd</t>
  </si>
  <si>
    <t>INE671A01010</t>
  </si>
  <si>
    <t>Industrial Manufacturing</t>
  </si>
  <si>
    <t>Greenlam Industries Ltd</t>
  </si>
  <si>
    <t>INE544R01021</t>
  </si>
  <si>
    <t>Central Depository Services (India) Ltd</t>
  </si>
  <si>
    <t>INE736A01011</t>
  </si>
  <si>
    <t>BSE Ltd</t>
  </si>
  <si>
    <t>INE118H01025</t>
  </si>
  <si>
    <t>EPL Ltd</t>
  </si>
  <si>
    <t>INE255A01020</t>
  </si>
  <si>
    <t>Prudent Corporate Advisory Services Ltd</t>
  </si>
  <si>
    <t>INE00F201020</t>
  </si>
  <si>
    <t>Indian Energy Exchange Ltd</t>
  </si>
  <si>
    <t>INE022Q01020</t>
  </si>
  <si>
    <t>Gland Pharma Ltd</t>
  </si>
  <si>
    <t>INE068V01023</t>
  </si>
  <si>
    <t>Gulf Oil Lubricants India Ltd</t>
  </si>
  <si>
    <t>INE635Q01029</t>
  </si>
  <si>
    <t>Petroleum Products</t>
  </si>
  <si>
    <t>Sub Total</t>
  </si>
  <si>
    <t>Total</t>
  </si>
  <si>
    <t>TREPS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</si>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</sst>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43" fontId="3" fillId="3" borderId="0" xfId="1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6" xfId="0" applyFont="1" applyFill="1" applyBorder="1"/>
    <xf numFmtId="0" fontId="3" fillId="3" borderId="6" xfId="0" applyNumberFormat="1" applyFont="1" applyFill="1" applyBorder="1"/>
    <xf numFmtId="4" fontId="3" fillId="3" borderId="6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3" borderId="5" xfId="0" applyFont="1" applyFill="1" applyBorder="1"/>
    <xf numFmtId="0" fontId="3" fillId="3" borderId="5" xfId="0" applyFont="1" applyFill="1" applyBorder="1"/>
    <xf numFmtId="0" fontId="3" fillId="3" borderId="5" xfId="0" applyNumberFormat="1" applyFont="1" applyFill="1" applyBorder="1"/>
    <xf numFmtId="4" fontId="3" fillId="3" borderId="5" xfId="0" applyNumberFormat="1" applyFont="1" applyFill="1" applyBorder="1"/>
    <xf numFmtId="3" fontId="3" fillId="3" borderId="5" xfId="0" applyNumberFormat="1" applyFont="1" applyFill="1" applyBorder="1"/>
    <xf numFmtId="43" fontId="3" fillId="3" borderId="0" xfId="1" applyFont="1" applyFill="1" applyAlignment="1"/>
    <xf numFmtId="0" fontId="3" fillId="3" borderId="0" xfId="0" applyFont="1" applyFill="1" applyAlignment="1"/>
    <xf numFmtId="0" fontId="9" fillId="3" borderId="5" xfId="0" applyNumberFormat="1" applyFont="1" applyFill="1" applyBorder="1"/>
    <xf numFmtId="4" fontId="9" fillId="3" borderId="5" xfId="0" applyNumberFormat="1" applyFont="1" applyFill="1" applyBorder="1"/>
    <xf numFmtId="0" fontId="9" fillId="3" borderId="0" xfId="0" applyFont="1" applyFill="1"/>
    <xf numFmtId="0" fontId="3" fillId="3" borderId="0" xfId="0" applyNumberFormat="1" applyFont="1" applyFill="1"/>
    <xf numFmtId="4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438150</xdr:colOff>
      <xdr:row>4</xdr:row>
      <xdr:rowOff>31853</xdr:rowOff>
    </xdr:from>
    <xdr:ext cx="1600199" cy="1132845"/>
    <xdr:pic>
      <xdr:nvPicPr>
        <xdr:cNvPr id="2" name="Picture 1">
          <a:extLst>
            <a:ext uri="{FF2B5EF4-FFF2-40B4-BE49-F238E27FC236}">
              <a16:creationId xmlns:a16="http://schemas.microsoft.com/office/drawing/2014/main" id="{E279BBCE-5C69-4DCA-8320-6BB204873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35275" y="1127228"/>
          <a:ext cx="1600199" cy="1132845"/>
        </a:xfrm>
        <a:prstGeom prst="rect">
          <a:avLst/>
        </a:prstGeom>
      </xdr:spPr>
    </xdr:pic>
    <xdr:clientData/>
  </xdr:oneCellAnchor>
  <xdr:twoCellAnchor editAs="oneCell">
    <xdr:from>
      <xdr:col>10</xdr:col>
      <xdr:colOff>323968</xdr:colOff>
      <xdr:row>4</xdr:row>
      <xdr:rowOff>46999</xdr:rowOff>
    </xdr:from>
    <xdr:to>
      <xdr:col>10</xdr:col>
      <xdr:colOff>1990725</xdr:colOff>
      <xdr:row>11</xdr:row>
      <xdr:rowOff>84160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C3E2C0-CFD4-4C63-88FC-903BBCAC5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077943" y="1142374"/>
          <a:ext cx="1666757" cy="1103961"/>
        </a:xfrm>
        <a:prstGeom prst="rect">
          <a:avLst/>
        </a:prstGeom>
      </xdr:spPr>
    </xdr:pic>
    <xdr:clientData/>
  </xdr:twoCellAnchor>
  <xdr:twoCellAnchor editAs="oneCell">
    <xdr:from>
      <xdr:col>9</xdr:col>
      <xdr:colOff>249386</xdr:colOff>
      <xdr:row>4</xdr:row>
      <xdr:rowOff>16617</xdr:rowOff>
    </xdr:from>
    <xdr:to>
      <xdr:col>9</xdr:col>
      <xdr:colOff>1819275</xdr:colOff>
      <xdr:row>11</xdr:row>
      <xdr:rowOff>85724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ADF4F1B-792A-44EC-8955-B24DC5B4AB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36436" y="1111992"/>
          <a:ext cx="1569889" cy="11359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90"/>
  <sheetViews>
    <sheetView tabSelected="1" topLeftCell="A3" workbookViewId="0">
      <selection activeCell="A4" sqref="A4"/>
    </sheetView>
  </sheetViews>
  <sheetFormatPr defaultRowHeight="12"/>
  <cols>
    <col min="1" max="1" width="9.140625" style="3"/>
    <col min="2" max="2" width="58.28515625" style="3" bestFit="1" customWidth="1"/>
    <col min="3" max="3" width="13.5703125" style="3" bestFit="1" customWidth="1"/>
    <col min="4" max="4" width="28.42578125" style="3" bestFit="1" customWidth="1"/>
    <col min="5" max="5" width="8.85546875" style="31" bestFit="1" customWidth="1"/>
    <col min="6" max="6" width="15.28515625" style="32" bestFit="1" customWidth="1"/>
    <col min="7" max="7" width="7.42578125" style="32" bestFit="1" customWidth="1"/>
    <col min="8" max="8" width="9.28515625" style="3" bestFit="1" customWidth="1"/>
    <col min="9" max="9" width="10" style="4" bestFit="1" customWidth="1"/>
    <col min="10" max="10" width="31" style="4" bestFit="1" customWidth="1"/>
    <col min="11" max="11" width="35.140625" style="4" bestFit="1" customWidth="1"/>
    <col min="12" max="12" width="39.28515625" style="4" bestFit="1" customWidth="1"/>
    <col min="13" max="16384" width="9.140625" style="3"/>
  </cols>
  <sheetData>
    <row r="1" spans="2:12" ht="21" customHeight="1">
      <c r="B1" s="1" t="s">
        <v>0</v>
      </c>
      <c r="C1" s="2"/>
      <c r="D1" s="2"/>
      <c r="E1" s="2"/>
      <c r="F1" s="2"/>
      <c r="G1" s="2"/>
    </row>
    <row r="3" spans="2:12" ht="16.5" thickBot="1">
      <c r="B3" s="5" t="s">
        <v>1</v>
      </c>
      <c r="C3" s="6"/>
      <c r="D3" s="7"/>
      <c r="E3" s="8"/>
      <c r="F3" s="9"/>
      <c r="G3" s="9"/>
    </row>
    <row r="4" spans="2:12" ht="36.75" thickBot="1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3" t="s">
        <v>7</v>
      </c>
      <c r="H4" s="14" t="s">
        <v>8</v>
      </c>
      <c r="J4" s="15" t="s">
        <v>9</v>
      </c>
      <c r="K4" s="15" t="s">
        <v>10</v>
      </c>
      <c r="L4" s="15" t="s">
        <v>11</v>
      </c>
    </row>
    <row r="5" spans="2:12">
      <c r="B5" s="16" t="s">
        <v>12</v>
      </c>
      <c r="C5" s="17"/>
      <c r="D5" s="17"/>
      <c r="E5" s="18"/>
      <c r="F5" s="19"/>
      <c r="G5" s="19"/>
      <c r="H5" s="17"/>
      <c r="J5" s="20"/>
      <c r="K5" s="20"/>
      <c r="L5" s="20"/>
    </row>
    <row r="6" spans="2:12">
      <c r="B6" s="21" t="s">
        <v>13</v>
      </c>
      <c r="C6" s="22"/>
      <c r="D6" s="22"/>
      <c r="E6" s="23"/>
      <c r="F6" s="24"/>
      <c r="G6" s="24"/>
      <c r="H6" s="22"/>
      <c r="J6" s="20"/>
      <c r="K6" s="20"/>
      <c r="L6" s="20"/>
    </row>
    <row r="7" spans="2:12">
      <c r="B7" s="22" t="s">
        <v>14</v>
      </c>
      <c r="C7" s="22" t="s">
        <v>15</v>
      </c>
      <c r="D7" s="22" t="s">
        <v>16</v>
      </c>
      <c r="E7" s="25">
        <v>6431154</v>
      </c>
      <c r="F7" s="24">
        <v>11961.95</v>
      </c>
      <c r="G7" s="24">
        <v>2.94</v>
      </c>
      <c r="H7" s="22" t="s">
        <v>17</v>
      </c>
      <c r="J7" s="20"/>
      <c r="K7" s="20"/>
      <c r="L7" s="20"/>
    </row>
    <row r="8" spans="2:12">
      <c r="B8" s="22" t="s">
        <v>18</v>
      </c>
      <c r="C8" s="22" t="s">
        <v>19</v>
      </c>
      <c r="D8" s="22" t="s">
        <v>20</v>
      </c>
      <c r="E8" s="25">
        <v>183331</v>
      </c>
      <c r="F8" s="24">
        <v>10221.34</v>
      </c>
      <c r="G8" s="24">
        <v>2.52</v>
      </c>
      <c r="H8" s="22" t="s">
        <v>17</v>
      </c>
      <c r="J8" s="20"/>
      <c r="K8" s="20"/>
      <c r="L8" s="20"/>
    </row>
    <row r="9" spans="2:12">
      <c r="B9" s="22" t="s">
        <v>21</v>
      </c>
      <c r="C9" s="22" t="s">
        <v>22</v>
      </c>
      <c r="D9" s="22" t="s">
        <v>23</v>
      </c>
      <c r="E9" s="25">
        <v>527500</v>
      </c>
      <c r="F9" s="24">
        <v>8520.18</v>
      </c>
      <c r="G9" s="24">
        <v>2.1</v>
      </c>
      <c r="H9" s="22" t="s">
        <v>17</v>
      </c>
      <c r="J9" s="20"/>
      <c r="K9" s="20"/>
      <c r="L9" s="20"/>
    </row>
    <row r="10" spans="2:12">
      <c r="B10" s="22" t="s">
        <v>24</v>
      </c>
      <c r="C10" s="22" t="s">
        <v>25</v>
      </c>
      <c r="D10" s="22" t="s">
        <v>26</v>
      </c>
      <c r="E10" s="25">
        <v>307600</v>
      </c>
      <c r="F10" s="24">
        <v>8473.15</v>
      </c>
      <c r="G10" s="24">
        <v>2.09</v>
      </c>
      <c r="H10" s="22" t="s">
        <v>27</v>
      </c>
      <c r="J10" s="20"/>
      <c r="K10" s="20"/>
      <c r="L10" s="20"/>
    </row>
    <row r="11" spans="2:12">
      <c r="B11" s="22" t="s">
        <v>28</v>
      </c>
      <c r="C11" s="22" t="s">
        <v>29</v>
      </c>
      <c r="D11" s="22" t="s">
        <v>30</v>
      </c>
      <c r="E11" s="25">
        <v>2460981</v>
      </c>
      <c r="F11" s="24">
        <v>8214.75</v>
      </c>
      <c r="G11" s="24">
        <v>2.02</v>
      </c>
      <c r="H11" s="22" t="s">
        <v>27</v>
      </c>
      <c r="J11" s="20"/>
      <c r="K11" s="20"/>
      <c r="L11" s="20"/>
    </row>
    <row r="12" spans="2:12">
      <c r="B12" s="22" t="s">
        <v>31</v>
      </c>
      <c r="C12" s="22" t="s">
        <v>32</v>
      </c>
      <c r="D12" s="22" t="s">
        <v>33</v>
      </c>
      <c r="E12" s="25">
        <v>912022</v>
      </c>
      <c r="F12" s="24">
        <v>7808.73</v>
      </c>
      <c r="G12" s="24">
        <v>1.92</v>
      </c>
      <c r="H12" s="22" t="s">
        <v>17</v>
      </c>
      <c r="J12" s="20"/>
      <c r="K12" s="20"/>
      <c r="L12" s="20"/>
    </row>
    <row r="13" spans="2:12">
      <c r="B13" s="22" t="s">
        <v>34</v>
      </c>
      <c r="C13" s="22" t="s">
        <v>35</v>
      </c>
      <c r="D13" s="22" t="s">
        <v>36</v>
      </c>
      <c r="E13" s="25">
        <v>7083366</v>
      </c>
      <c r="F13" s="24">
        <v>7568.58</v>
      </c>
      <c r="G13" s="24">
        <v>1.86</v>
      </c>
      <c r="H13" s="22" t="s">
        <v>37</v>
      </c>
      <c r="J13" s="26"/>
      <c r="K13" s="26" t="s">
        <v>38</v>
      </c>
      <c r="L13" s="27"/>
    </row>
    <row r="14" spans="2:12">
      <c r="B14" s="22" t="s">
        <v>39</v>
      </c>
      <c r="C14" s="22" t="s">
        <v>40</v>
      </c>
      <c r="D14" s="22" t="s">
        <v>41</v>
      </c>
      <c r="E14" s="25">
        <v>1436598</v>
      </c>
      <c r="F14" s="24">
        <v>7532.8</v>
      </c>
      <c r="G14" s="24">
        <v>1.85</v>
      </c>
      <c r="H14" s="22" t="s">
        <v>17</v>
      </c>
    </row>
    <row r="15" spans="2:12">
      <c r="B15" s="22" t="s">
        <v>42</v>
      </c>
      <c r="C15" s="22" t="s">
        <v>43</v>
      </c>
      <c r="D15" s="22" t="s">
        <v>20</v>
      </c>
      <c r="E15" s="25">
        <v>1003673</v>
      </c>
      <c r="F15" s="24">
        <v>7498.44</v>
      </c>
      <c r="G15" s="24">
        <v>1.85</v>
      </c>
      <c r="H15" s="22" t="s">
        <v>17</v>
      </c>
    </row>
    <row r="16" spans="2:12">
      <c r="B16" s="22" t="s">
        <v>44</v>
      </c>
      <c r="C16" s="22" t="s">
        <v>45</v>
      </c>
      <c r="D16" s="22" t="s">
        <v>23</v>
      </c>
      <c r="E16" s="25">
        <v>352736</v>
      </c>
      <c r="F16" s="24">
        <v>7418.04</v>
      </c>
      <c r="G16" s="24">
        <v>1.83</v>
      </c>
      <c r="H16" s="22" t="s">
        <v>27</v>
      </c>
    </row>
    <row r="17" spans="2:8">
      <c r="B17" s="22" t="s">
        <v>46</v>
      </c>
      <c r="C17" s="22" t="s">
        <v>47</v>
      </c>
      <c r="D17" s="22" t="s">
        <v>16</v>
      </c>
      <c r="E17" s="25">
        <v>2888743</v>
      </c>
      <c r="F17" s="24">
        <v>7334.52</v>
      </c>
      <c r="G17" s="24">
        <v>1.81</v>
      </c>
      <c r="H17" s="22" t="s">
        <v>27</v>
      </c>
    </row>
    <row r="18" spans="2:8">
      <c r="B18" s="22" t="s">
        <v>48</v>
      </c>
      <c r="C18" s="22" t="s">
        <v>49</v>
      </c>
      <c r="D18" s="22" t="s">
        <v>41</v>
      </c>
      <c r="E18" s="25">
        <v>714771</v>
      </c>
      <c r="F18" s="24">
        <v>6970.45</v>
      </c>
      <c r="G18" s="24">
        <v>1.72</v>
      </c>
      <c r="H18" s="22" t="s">
        <v>17</v>
      </c>
    </row>
    <row r="19" spans="2:8">
      <c r="B19" s="22" t="s">
        <v>50</v>
      </c>
      <c r="C19" s="22" t="s">
        <v>51</v>
      </c>
      <c r="D19" s="22" t="s">
        <v>52</v>
      </c>
      <c r="E19" s="25">
        <v>1967941</v>
      </c>
      <c r="F19" s="24">
        <v>6964.54</v>
      </c>
      <c r="G19" s="24">
        <v>1.71</v>
      </c>
      <c r="H19" s="22" t="s">
        <v>27</v>
      </c>
    </row>
    <row r="20" spans="2:8">
      <c r="B20" s="22" t="s">
        <v>53</v>
      </c>
      <c r="C20" s="22" t="s">
        <v>54</v>
      </c>
      <c r="D20" s="22" t="s">
        <v>55</v>
      </c>
      <c r="E20" s="25">
        <v>204238</v>
      </c>
      <c r="F20" s="24">
        <v>6951.75</v>
      </c>
      <c r="G20" s="24">
        <v>1.71</v>
      </c>
      <c r="H20" s="22" t="s">
        <v>37</v>
      </c>
    </row>
    <row r="21" spans="2:8">
      <c r="B21" s="22" t="s">
        <v>56</v>
      </c>
      <c r="C21" s="22" t="s">
        <v>57</v>
      </c>
      <c r="D21" s="22" t="s">
        <v>58</v>
      </c>
      <c r="E21" s="25">
        <v>1099529</v>
      </c>
      <c r="F21" s="24">
        <v>6810.48</v>
      </c>
      <c r="G21" s="24">
        <v>1.68</v>
      </c>
      <c r="H21" s="22" t="s">
        <v>17</v>
      </c>
    </row>
    <row r="22" spans="2:8">
      <c r="B22" s="22" t="s">
        <v>59</v>
      </c>
      <c r="C22" s="22" t="s">
        <v>60</v>
      </c>
      <c r="D22" s="22" t="s">
        <v>55</v>
      </c>
      <c r="E22" s="25">
        <v>182930</v>
      </c>
      <c r="F22" s="24">
        <v>6755.7</v>
      </c>
      <c r="G22" s="24">
        <v>1.66</v>
      </c>
      <c r="H22" s="22" t="s">
        <v>27</v>
      </c>
    </row>
    <row r="23" spans="2:8">
      <c r="B23" s="22" t="s">
        <v>61</v>
      </c>
      <c r="C23" s="22" t="s">
        <v>62</v>
      </c>
      <c r="D23" s="22" t="s">
        <v>63</v>
      </c>
      <c r="E23" s="25">
        <v>286175</v>
      </c>
      <c r="F23" s="24">
        <v>6621.95</v>
      </c>
      <c r="G23" s="24">
        <v>1.63</v>
      </c>
      <c r="H23" s="22" t="s">
        <v>27</v>
      </c>
    </row>
    <row r="24" spans="2:8">
      <c r="B24" s="22" t="s">
        <v>64</v>
      </c>
      <c r="C24" s="22" t="s">
        <v>65</v>
      </c>
      <c r="D24" s="22" t="s">
        <v>23</v>
      </c>
      <c r="E24" s="25">
        <v>219771</v>
      </c>
      <c r="F24" s="24">
        <v>6594.34</v>
      </c>
      <c r="G24" s="24">
        <v>1.62</v>
      </c>
      <c r="H24" s="22" t="s">
        <v>17</v>
      </c>
    </row>
    <row r="25" spans="2:8">
      <c r="B25" s="22" t="s">
        <v>66</v>
      </c>
      <c r="C25" s="22" t="s">
        <v>67</v>
      </c>
      <c r="D25" s="22" t="s">
        <v>68</v>
      </c>
      <c r="E25" s="25">
        <v>1435862</v>
      </c>
      <c r="F25" s="24">
        <v>6551.84</v>
      </c>
      <c r="G25" s="24">
        <v>1.61</v>
      </c>
      <c r="H25" s="22" t="s">
        <v>27</v>
      </c>
    </row>
    <row r="26" spans="2:8">
      <c r="B26" s="22" t="s">
        <v>69</v>
      </c>
      <c r="C26" s="22" t="s">
        <v>70</v>
      </c>
      <c r="D26" s="22" t="s">
        <v>71</v>
      </c>
      <c r="E26" s="25">
        <v>1170363</v>
      </c>
      <c r="F26" s="24">
        <v>6520.68</v>
      </c>
      <c r="G26" s="24">
        <v>1.6</v>
      </c>
      <c r="H26" s="22" t="s">
        <v>17</v>
      </c>
    </row>
    <row r="27" spans="2:8">
      <c r="B27" s="22" t="s">
        <v>72</v>
      </c>
      <c r="C27" s="22" t="s">
        <v>73</v>
      </c>
      <c r="D27" s="22" t="s">
        <v>74</v>
      </c>
      <c r="E27" s="25">
        <v>422000</v>
      </c>
      <c r="F27" s="24">
        <v>6483.4</v>
      </c>
      <c r="G27" s="24">
        <v>1.6</v>
      </c>
      <c r="H27" s="22" t="s">
        <v>17</v>
      </c>
    </row>
    <row r="28" spans="2:8">
      <c r="B28" s="22" t="s">
        <v>75</v>
      </c>
      <c r="C28" s="22" t="s">
        <v>76</v>
      </c>
      <c r="D28" s="22" t="s">
        <v>77</v>
      </c>
      <c r="E28" s="25">
        <v>1459917</v>
      </c>
      <c r="F28" s="24">
        <v>6423.63</v>
      </c>
      <c r="G28" s="24">
        <v>1.58</v>
      </c>
      <c r="H28" s="22" t="s">
        <v>17</v>
      </c>
    </row>
    <row r="29" spans="2:8">
      <c r="B29" s="22" t="s">
        <v>78</v>
      </c>
      <c r="C29" s="22" t="s">
        <v>79</v>
      </c>
      <c r="D29" s="22" t="s">
        <v>74</v>
      </c>
      <c r="E29" s="25">
        <v>151320</v>
      </c>
      <c r="F29" s="24">
        <v>6278.87</v>
      </c>
      <c r="G29" s="24">
        <v>1.55</v>
      </c>
      <c r="H29" s="22" t="s">
        <v>17</v>
      </c>
    </row>
    <row r="30" spans="2:8">
      <c r="B30" s="22" t="s">
        <v>80</v>
      </c>
      <c r="C30" s="22" t="s">
        <v>81</v>
      </c>
      <c r="D30" s="22" t="s">
        <v>71</v>
      </c>
      <c r="E30" s="25">
        <v>1022791</v>
      </c>
      <c r="F30" s="24">
        <v>6202.2</v>
      </c>
      <c r="G30" s="24">
        <v>1.53</v>
      </c>
      <c r="H30" s="22" t="s">
        <v>17</v>
      </c>
    </row>
    <row r="31" spans="2:8">
      <c r="B31" s="22" t="s">
        <v>82</v>
      </c>
      <c r="C31" s="22" t="s">
        <v>83</v>
      </c>
      <c r="D31" s="22" t="s">
        <v>23</v>
      </c>
      <c r="E31" s="25">
        <v>677099</v>
      </c>
      <c r="F31" s="24">
        <v>6161.6</v>
      </c>
      <c r="G31" s="24">
        <v>1.52</v>
      </c>
      <c r="H31" s="22" t="s">
        <v>17</v>
      </c>
    </row>
    <row r="32" spans="2:8">
      <c r="B32" s="22" t="s">
        <v>84</v>
      </c>
      <c r="C32" s="22" t="s">
        <v>85</v>
      </c>
      <c r="D32" s="22" t="s">
        <v>86</v>
      </c>
      <c r="E32" s="25">
        <v>2756154</v>
      </c>
      <c r="F32" s="24">
        <v>6135.2</v>
      </c>
      <c r="G32" s="24">
        <v>1.51</v>
      </c>
      <c r="H32" s="22" t="s">
        <v>17</v>
      </c>
    </row>
    <row r="33" spans="2:8">
      <c r="B33" s="22" t="s">
        <v>87</v>
      </c>
      <c r="C33" s="22" t="s">
        <v>88</v>
      </c>
      <c r="D33" s="22" t="s">
        <v>20</v>
      </c>
      <c r="E33" s="25">
        <v>2392958</v>
      </c>
      <c r="F33" s="24">
        <v>6125.97</v>
      </c>
      <c r="G33" s="24">
        <v>1.51</v>
      </c>
      <c r="H33" s="22" t="s">
        <v>17</v>
      </c>
    </row>
    <row r="34" spans="2:8">
      <c r="B34" s="22" t="s">
        <v>89</v>
      </c>
      <c r="C34" s="22" t="s">
        <v>90</v>
      </c>
      <c r="D34" s="22" t="s">
        <v>63</v>
      </c>
      <c r="E34" s="25">
        <v>209751</v>
      </c>
      <c r="F34" s="24">
        <v>6101.34</v>
      </c>
      <c r="G34" s="24">
        <v>1.5</v>
      </c>
      <c r="H34" s="22" t="s">
        <v>17</v>
      </c>
    </row>
    <row r="35" spans="2:8">
      <c r="B35" s="22" t="s">
        <v>91</v>
      </c>
      <c r="C35" s="22" t="s">
        <v>92</v>
      </c>
      <c r="D35" s="22" t="s">
        <v>86</v>
      </c>
      <c r="E35" s="25">
        <v>2358246</v>
      </c>
      <c r="F35" s="24">
        <v>6084.27</v>
      </c>
      <c r="G35" s="24">
        <v>1.5</v>
      </c>
      <c r="H35" s="22" t="s">
        <v>17</v>
      </c>
    </row>
    <row r="36" spans="2:8">
      <c r="B36" s="22" t="s">
        <v>93</v>
      </c>
      <c r="C36" s="22" t="s">
        <v>94</v>
      </c>
      <c r="D36" s="22" t="s">
        <v>95</v>
      </c>
      <c r="E36" s="25">
        <v>1500450</v>
      </c>
      <c r="F36" s="24">
        <v>6021.31</v>
      </c>
      <c r="G36" s="24">
        <v>1.48</v>
      </c>
      <c r="H36" s="22" t="s">
        <v>17</v>
      </c>
    </row>
    <row r="37" spans="2:8">
      <c r="B37" s="22" t="s">
        <v>96</v>
      </c>
      <c r="C37" s="22" t="s">
        <v>97</v>
      </c>
      <c r="D37" s="22" t="s">
        <v>98</v>
      </c>
      <c r="E37" s="25">
        <v>31000</v>
      </c>
      <c r="F37" s="24">
        <v>5966.55</v>
      </c>
      <c r="G37" s="24">
        <v>1.47</v>
      </c>
      <c r="H37" s="22" t="s">
        <v>27</v>
      </c>
    </row>
    <row r="38" spans="2:8">
      <c r="B38" s="22" t="s">
        <v>99</v>
      </c>
      <c r="C38" s="22" t="s">
        <v>100</v>
      </c>
      <c r="D38" s="22" t="s">
        <v>101</v>
      </c>
      <c r="E38" s="25">
        <v>88094</v>
      </c>
      <c r="F38" s="24">
        <v>5915.47</v>
      </c>
      <c r="G38" s="24">
        <v>1.46</v>
      </c>
      <c r="H38" s="22" t="s">
        <v>37</v>
      </c>
    </row>
    <row r="39" spans="2:8">
      <c r="B39" s="22" t="s">
        <v>102</v>
      </c>
      <c r="C39" s="22" t="s">
        <v>103</v>
      </c>
      <c r="D39" s="22" t="s">
        <v>30</v>
      </c>
      <c r="E39" s="25">
        <v>770700</v>
      </c>
      <c r="F39" s="24">
        <v>5763.29</v>
      </c>
      <c r="G39" s="24">
        <v>1.42</v>
      </c>
      <c r="H39" s="22" t="s">
        <v>17</v>
      </c>
    </row>
    <row r="40" spans="2:8">
      <c r="B40" s="22" t="s">
        <v>104</v>
      </c>
      <c r="C40" s="22" t="s">
        <v>105</v>
      </c>
      <c r="D40" s="22" t="s">
        <v>26</v>
      </c>
      <c r="E40" s="25">
        <v>285000</v>
      </c>
      <c r="F40" s="24">
        <v>5760.28</v>
      </c>
      <c r="G40" s="24">
        <v>1.42</v>
      </c>
      <c r="H40" s="22" t="s">
        <v>17</v>
      </c>
    </row>
    <row r="41" spans="2:8">
      <c r="B41" s="22" t="s">
        <v>106</v>
      </c>
      <c r="C41" s="22" t="s">
        <v>107</v>
      </c>
      <c r="D41" s="22" t="s">
        <v>23</v>
      </c>
      <c r="E41" s="25">
        <v>883505</v>
      </c>
      <c r="F41" s="24">
        <v>5724.67</v>
      </c>
      <c r="G41" s="24">
        <v>1.41</v>
      </c>
      <c r="H41" s="22" t="s">
        <v>17</v>
      </c>
    </row>
    <row r="42" spans="2:8">
      <c r="B42" s="22" t="s">
        <v>108</v>
      </c>
      <c r="C42" s="22" t="s">
        <v>109</v>
      </c>
      <c r="D42" s="22" t="s">
        <v>41</v>
      </c>
      <c r="E42" s="25">
        <v>80000</v>
      </c>
      <c r="F42" s="24">
        <v>5715.28</v>
      </c>
      <c r="G42" s="24">
        <v>1.41</v>
      </c>
      <c r="H42" s="22" t="s">
        <v>37</v>
      </c>
    </row>
    <row r="43" spans="2:8">
      <c r="B43" s="22" t="s">
        <v>110</v>
      </c>
      <c r="C43" s="22" t="s">
        <v>111</v>
      </c>
      <c r="D43" s="22" t="s">
        <v>52</v>
      </c>
      <c r="E43" s="25">
        <v>393213</v>
      </c>
      <c r="F43" s="24">
        <v>5697.85</v>
      </c>
      <c r="G43" s="24">
        <v>1.4</v>
      </c>
      <c r="H43" s="22" t="s">
        <v>27</v>
      </c>
    </row>
    <row r="44" spans="2:8">
      <c r="B44" s="22" t="s">
        <v>112</v>
      </c>
      <c r="C44" s="22" t="s">
        <v>113</v>
      </c>
      <c r="D44" s="22" t="s">
        <v>41</v>
      </c>
      <c r="E44" s="25">
        <v>308691</v>
      </c>
      <c r="F44" s="24">
        <v>5631.76</v>
      </c>
      <c r="G44" s="24">
        <v>1.39</v>
      </c>
      <c r="H44" s="22" t="s">
        <v>17</v>
      </c>
    </row>
    <row r="45" spans="2:8">
      <c r="B45" s="22" t="s">
        <v>114</v>
      </c>
      <c r="C45" s="22" t="s">
        <v>115</v>
      </c>
      <c r="D45" s="22" t="s">
        <v>52</v>
      </c>
      <c r="E45" s="25">
        <v>129830</v>
      </c>
      <c r="F45" s="24">
        <v>5609.82</v>
      </c>
      <c r="G45" s="24">
        <v>1.38</v>
      </c>
      <c r="H45" s="22" t="s">
        <v>37</v>
      </c>
    </row>
    <row r="46" spans="2:8">
      <c r="B46" s="22" t="s">
        <v>116</v>
      </c>
      <c r="C46" s="22" t="s">
        <v>117</v>
      </c>
      <c r="D46" s="22" t="s">
        <v>16</v>
      </c>
      <c r="E46" s="25">
        <v>5031169</v>
      </c>
      <c r="F46" s="24">
        <v>5428.63</v>
      </c>
      <c r="G46" s="24">
        <v>1.34</v>
      </c>
      <c r="H46" s="22" t="s">
        <v>17</v>
      </c>
    </row>
    <row r="47" spans="2:8">
      <c r="B47" s="22" t="s">
        <v>118</v>
      </c>
      <c r="C47" s="22" t="s">
        <v>119</v>
      </c>
      <c r="D47" s="22" t="s">
        <v>26</v>
      </c>
      <c r="E47" s="25">
        <v>52707</v>
      </c>
      <c r="F47" s="24">
        <v>5391.24</v>
      </c>
      <c r="G47" s="24">
        <v>1.33</v>
      </c>
      <c r="H47" s="22" t="s">
        <v>17</v>
      </c>
    </row>
    <row r="48" spans="2:8">
      <c r="B48" s="22" t="s">
        <v>120</v>
      </c>
      <c r="C48" s="22" t="s">
        <v>121</v>
      </c>
      <c r="D48" s="22" t="s">
        <v>63</v>
      </c>
      <c r="E48" s="25">
        <v>2180021</v>
      </c>
      <c r="F48" s="24">
        <v>5288.73</v>
      </c>
      <c r="G48" s="24">
        <v>1.3</v>
      </c>
      <c r="H48" s="22" t="s">
        <v>17</v>
      </c>
    </row>
    <row r="49" spans="2:8">
      <c r="B49" s="22" t="s">
        <v>122</v>
      </c>
      <c r="C49" s="22" t="s">
        <v>123</v>
      </c>
      <c r="D49" s="22" t="s">
        <v>98</v>
      </c>
      <c r="E49" s="25">
        <v>1280983</v>
      </c>
      <c r="F49" s="24">
        <v>5102.8</v>
      </c>
      <c r="G49" s="24">
        <v>1.26</v>
      </c>
      <c r="H49" s="22" t="s">
        <v>17</v>
      </c>
    </row>
    <row r="50" spans="2:8">
      <c r="B50" s="22" t="s">
        <v>124</v>
      </c>
      <c r="C50" s="22" t="s">
        <v>125</v>
      </c>
      <c r="D50" s="22" t="s">
        <v>126</v>
      </c>
      <c r="E50" s="25">
        <v>900995</v>
      </c>
      <c r="F50" s="24">
        <v>4972.59</v>
      </c>
      <c r="G50" s="24">
        <v>1.22</v>
      </c>
      <c r="H50" s="22" t="s">
        <v>27</v>
      </c>
    </row>
    <row r="51" spans="2:8">
      <c r="B51" s="22" t="s">
        <v>127</v>
      </c>
      <c r="C51" s="22" t="s">
        <v>128</v>
      </c>
      <c r="D51" s="22" t="s">
        <v>129</v>
      </c>
      <c r="E51" s="25">
        <v>2171554</v>
      </c>
      <c r="F51" s="24">
        <v>4920.74</v>
      </c>
      <c r="G51" s="24">
        <v>1.21</v>
      </c>
      <c r="H51" s="22" t="s">
        <v>17</v>
      </c>
    </row>
    <row r="52" spans="2:8">
      <c r="B52" s="22" t="s">
        <v>130</v>
      </c>
      <c r="C52" s="22" t="s">
        <v>131</v>
      </c>
      <c r="D52" s="22" t="s">
        <v>74</v>
      </c>
      <c r="E52" s="25">
        <v>175496</v>
      </c>
      <c r="F52" s="24">
        <v>4473.66</v>
      </c>
      <c r="G52" s="24">
        <v>1.1000000000000001</v>
      </c>
      <c r="H52" s="22" t="s">
        <v>17</v>
      </c>
    </row>
    <row r="53" spans="2:8">
      <c r="B53" s="22" t="s">
        <v>132</v>
      </c>
      <c r="C53" s="22" t="s">
        <v>133</v>
      </c>
      <c r="D53" s="22" t="s">
        <v>20</v>
      </c>
      <c r="E53" s="25">
        <v>1195533</v>
      </c>
      <c r="F53" s="24">
        <v>4448.58</v>
      </c>
      <c r="G53" s="24">
        <v>1.0900000000000001</v>
      </c>
      <c r="H53" s="22" t="s">
        <v>17</v>
      </c>
    </row>
    <row r="54" spans="2:8">
      <c r="B54" s="22" t="s">
        <v>134</v>
      </c>
      <c r="C54" s="22" t="s">
        <v>135</v>
      </c>
      <c r="D54" s="22" t="s">
        <v>74</v>
      </c>
      <c r="E54" s="25">
        <v>266897</v>
      </c>
      <c r="F54" s="24">
        <v>4277.42</v>
      </c>
      <c r="G54" s="24">
        <v>1.05</v>
      </c>
      <c r="H54" s="22" t="s">
        <v>17</v>
      </c>
    </row>
    <row r="55" spans="2:8">
      <c r="B55" s="22" t="s">
        <v>136</v>
      </c>
      <c r="C55" s="22" t="s">
        <v>137</v>
      </c>
      <c r="D55" s="22" t="s">
        <v>41</v>
      </c>
      <c r="E55" s="25">
        <v>4112562</v>
      </c>
      <c r="F55" s="24">
        <v>4149.58</v>
      </c>
      <c r="G55" s="24">
        <v>1.02</v>
      </c>
      <c r="H55" s="22" t="s">
        <v>17</v>
      </c>
    </row>
    <row r="56" spans="2:8">
      <c r="B56" s="22" t="s">
        <v>138</v>
      </c>
      <c r="C56" s="22" t="s">
        <v>139</v>
      </c>
      <c r="D56" s="22" t="s">
        <v>140</v>
      </c>
      <c r="E56" s="25">
        <v>230800</v>
      </c>
      <c r="F56" s="24">
        <v>4096.7</v>
      </c>
      <c r="G56" s="24">
        <v>1.01</v>
      </c>
      <c r="H56" s="22" t="s">
        <v>17</v>
      </c>
    </row>
    <row r="57" spans="2:8">
      <c r="B57" s="22" t="s">
        <v>141</v>
      </c>
      <c r="C57" s="22" t="s">
        <v>142</v>
      </c>
      <c r="D57" s="22" t="s">
        <v>63</v>
      </c>
      <c r="E57" s="25">
        <v>259000</v>
      </c>
      <c r="F57" s="24">
        <v>4072</v>
      </c>
      <c r="G57" s="24">
        <v>1</v>
      </c>
      <c r="H57" s="22" t="s">
        <v>27</v>
      </c>
    </row>
    <row r="58" spans="2:8">
      <c r="B58" s="22" t="s">
        <v>143</v>
      </c>
      <c r="C58" s="22" t="s">
        <v>144</v>
      </c>
      <c r="D58" s="22" t="s">
        <v>71</v>
      </c>
      <c r="E58" s="25">
        <v>214272</v>
      </c>
      <c r="F58" s="24">
        <v>4056.17</v>
      </c>
      <c r="G58" s="24">
        <v>1</v>
      </c>
      <c r="H58" s="22" t="s">
        <v>17</v>
      </c>
    </row>
    <row r="59" spans="2:8">
      <c r="B59" s="22" t="s">
        <v>145</v>
      </c>
      <c r="C59" s="22" t="s">
        <v>146</v>
      </c>
      <c r="D59" s="22" t="s">
        <v>58</v>
      </c>
      <c r="E59" s="25">
        <v>1249296</v>
      </c>
      <c r="F59" s="24">
        <v>3947.15</v>
      </c>
      <c r="G59" s="24">
        <v>0.97</v>
      </c>
      <c r="H59" s="22" t="s">
        <v>17</v>
      </c>
    </row>
    <row r="60" spans="2:8">
      <c r="B60" s="22" t="s">
        <v>147</v>
      </c>
      <c r="C60" s="22" t="s">
        <v>148</v>
      </c>
      <c r="D60" s="22" t="s">
        <v>26</v>
      </c>
      <c r="E60" s="25">
        <v>1098926</v>
      </c>
      <c r="F60" s="24">
        <v>3623.71</v>
      </c>
      <c r="G60" s="24">
        <v>0.89</v>
      </c>
      <c r="H60" s="22" t="s">
        <v>17</v>
      </c>
    </row>
    <row r="61" spans="2:8">
      <c r="B61" s="22" t="s">
        <v>149</v>
      </c>
      <c r="C61" s="22" t="s">
        <v>150</v>
      </c>
      <c r="D61" s="22" t="s">
        <v>63</v>
      </c>
      <c r="E61" s="25">
        <v>62857</v>
      </c>
      <c r="F61" s="24">
        <v>3608.75</v>
      </c>
      <c r="G61" s="24">
        <v>0.89</v>
      </c>
      <c r="H61" s="22" t="s">
        <v>17</v>
      </c>
    </row>
    <row r="62" spans="2:8">
      <c r="B62" s="22" t="s">
        <v>151</v>
      </c>
      <c r="C62" s="22" t="s">
        <v>152</v>
      </c>
      <c r="D62" s="22" t="s">
        <v>52</v>
      </c>
      <c r="E62" s="25">
        <v>117123</v>
      </c>
      <c r="F62" s="24">
        <v>3525.64</v>
      </c>
      <c r="G62" s="24">
        <v>0.87</v>
      </c>
      <c r="H62" s="22" t="s">
        <v>17</v>
      </c>
    </row>
    <row r="63" spans="2:8">
      <c r="B63" s="22" t="s">
        <v>153</v>
      </c>
      <c r="C63" s="22" t="s">
        <v>154</v>
      </c>
      <c r="D63" s="22" t="s">
        <v>155</v>
      </c>
      <c r="E63" s="25">
        <v>116459</v>
      </c>
      <c r="F63" s="24">
        <v>3390.41</v>
      </c>
      <c r="G63" s="24">
        <v>0.83</v>
      </c>
      <c r="H63" s="22" t="s">
        <v>17</v>
      </c>
    </row>
    <row r="64" spans="2:8">
      <c r="B64" s="22" t="s">
        <v>156</v>
      </c>
      <c r="C64" s="22" t="s">
        <v>157</v>
      </c>
      <c r="D64" s="22" t="s">
        <v>98</v>
      </c>
      <c r="E64" s="25">
        <v>166000</v>
      </c>
      <c r="F64" s="24">
        <v>3276.01</v>
      </c>
      <c r="G64" s="24">
        <v>0.81</v>
      </c>
      <c r="H64" s="22" t="s">
        <v>17</v>
      </c>
    </row>
    <row r="65" spans="2:8">
      <c r="B65" s="22" t="s">
        <v>158</v>
      </c>
      <c r="C65" s="22" t="s">
        <v>159</v>
      </c>
      <c r="D65" s="22" t="s">
        <v>77</v>
      </c>
      <c r="E65" s="25">
        <v>149653</v>
      </c>
      <c r="F65" s="24">
        <v>3250.39</v>
      </c>
      <c r="G65" s="24">
        <v>0.8</v>
      </c>
      <c r="H65" s="22" t="s">
        <v>27</v>
      </c>
    </row>
    <row r="66" spans="2:8">
      <c r="B66" s="22" t="s">
        <v>160</v>
      </c>
      <c r="C66" s="22" t="s">
        <v>161</v>
      </c>
      <c r="D66" s="22" t="s">
        <v>74</v>
      </c>
      <c r="E66" s="25">
        <v>449350</v>
      </c>
      <c r="F66" s="24">
        <v>3152.86</v>
      </c>
      <c r="G66" s="24">
        <v>0.78</v>
      </c>
      <c r="H66" s="22" t="s">
        <v>17</v>
      </c>
    </row>
    <row r="67" spans="2:8">
      <c r="B67" s="22" t="s">
        <v>162</v>
      </c>
      <c r="C67" s="22" t="s">
        <v>163</v>
      </c>
      <c r="D67" s="22" t="s">
        <v>74</v>
      </c>
      <c r="E67" s="25">
        <v>412771</v>
      </c>
      <c r="F67" s="24">
        <v>2982.89</v>
      </c>
      <c r="G67" s="24">
        <v>0.73</v>
      </c>
      <c r="H67" s="22" t="s">
        <v>17</v>
      </c>
    </row>
    <row r="68" spans="2:8">
      <c r="B68" s="22" t="s">
        <v>164</v>
      </c>
      <c r="C68" s="22" t="s">
        <v>165</v>
      </c>
      <c r="D68" s="22" t="s">
        <v>86</v>
      </c>
      <c r="E68" s="25">
        <v>684477</v>
      </c>
      <c r="F68" s="24">
        <v>2982.61</v>
      </c>
      <c r="G68" s="24">
        <v>0.73</v>
      </c>
      <c r="H68" s="22" t="s">
        <v>17</v>
      </c>
    </row>
    <row r="69" spans="2:8">
      <c r="B69" s="22" t="s">
        <v>166</v>
      </c>
      <c r="C69" s="22" t="s">
        <v>167</v>
      </c>
      <c r="D69" s="22" t="s">
        <v>95</v>
      </c>
      <c r="E69" s="25">
        <v>472124</v>
      </c>
      <c r="F69" s="24">
        <v>2960.45</v>
      </c>
      <c r="G69" s="24">
        <v>0.73</v>
      </c>
      <c r="H69" s="22" t="s">
        <v>17</v>
      </c>
    </row>
    <row r="70" spans="2:8">
      <c r="B70" s="22" t="s">
        <v>168</v>
      </c>
      <c r="C70" s="22" t="s">
        <v>169</v>
      </c>
      <c r="D70" s="22" t="s">
        <v>20</v>
      </c>
      <c r="E70" s="25">
        <v>1706234</v>
      </c>
      <c r="F70" s="24">
        <v>2950.08</v>
      </c>
      <c r="G70" s="24">
        <v>0.73</v>
      </c>
      <c r="H70" s="22" t="s">
        <v>17</v>
      </c>
    </row>
    <row r="71" spans="2:8">
      <c r="B71" s="22" t="s">
        <v>170</v>
      </c>
      <c r="C71" s="22" t="s">
        <v>171</v>
      </c>
      <c r="D71" s="22" t="s">
        <v>172</v>
      </c>
      <c r="E71" s="25">
        <v>3310000</v>
      </c>
      <c r="F71" s="24">
        <v>2323.62</v>
      </c>
      <c r="G71" s="24">
        <v>0.56999999999999995</v>
      </c>
      <c r="H71" s="22" t="s">
        <v>27</v>
      </c>
    </row>
    <row r="72" spans="2:8">
      <c r="B72" s="22" t="s">
        <v>173</v>
      </c>
      <c r="C72" s="22" t="s">
        <v>174</v>
      </c>
      <c r="D72" s="22" t="s">
        <v>175</v>
      </c>
      <c r="E72" s="25">
        <v>5896</v>
      </c>
      <c r="F72" s="24">
        <v>2319.06</v>
      </c>
      <c r="G72" s="24">
        <v>0.56999999999999995</v>
      </c>
      <c r="H72" s="22" t="s">
        <v>27</v>
      </c>
    </row>
    <row r="73" spans="2:8">
      <c r="B73" s="22" t="s">
        <v>176</v>
      </c>
      <c r="C73" s="22" t="s">
        <v>177</v>
      </c>
      <c r="D73" s="22" t="s">
        <v>20</v>
      </c>
      <c r="E73" s="25">
        <v>684673</v>
      </c>
      <c r="F73" s="24">
        <v>2187.5300000000002</v>
      </c>
      <c r="G73" s="24">
        <v>0.54</v>
      </c>
      <c r="H73" s="22" t="s">
        <v>17</v>
      </c>
    </row>
    <row r="74" spans="2:8">
      <c r="B74" s="22" t="s">
        <v>178</v>
      </c>
      <c r="C74" s="22" t="s">
        <v>179</v>
      </c>
      <c r="D74" s="22" t="s">
        <v>74</v>
      </c>
      <c r="E74" s="25">
        <v>165016</v>
      </c>
      <c r="F74" s="24">
        <v>2019.05</v>
      </c>
      <c r="G74" s="24">
        <v>0.5</v>
      </c>
      <c r="H74" s="22" t="s">
        <v>17</v>
      </c>
    </row>
    <row r="75" spans="2:8">
      <c r="B75" s="22" t="s">
        <v>180</v>
      </c>
      <c r="C75" s="22" t="s">
        <v>181</v>
      </c>
      <c r="D75" s="22" t="s">
        <v>74</v>
      </c>
      <c r="E75" s="25">
        <v>336426</v>
      </c>
      <c r="F75" s="24">
        <v>1985.25</v>
      </c>
      <c r="G75" s="24">
        <v>0.49</v>
      </c>
      <c r="H75" s="22" t="s">
        <v>17</v>
      </c>
    </row>
    <row r="76" spans="2:8">
      <c r="B76" s="22" t="s">
        <v>182</v>
      </c>
      <c r="C76" s="22" t="s">
        <v>183</v>
      </c>
      <c r="D76" s="22" t="s">
        <v>23</v>
      </c>
      <c r="E76" s="25">
        <v>1279685</v>
      </c>
      <c r="F76" s="24">
        <v>1967.52</v>
      </c>
      <c r="G76" s="24">
        <v>0.48</v>
      </c>
      <c r="H76" s="22" t="s">
        <v>17</v>
      </c>
    </row>
    <row r="77" spans="2:8">
      <c r="B77" s="22" t="s">
        <v>184</v>
      </c>
      <c r="C77" s="22" t="s">
        <v>185</v>
      </c>
      <c r="D77" s="22" t="s">
        <v>74</v>
      </c>
      <c r="E77" s="25">
        <v>270430</v>
      </c>
      <c r="F77" s="24">
        <v>1868.54</v>
      </c>
      <c r="G77" s="24">
        <v>0.46</v>
      </c>
      <c r="H77" s="22" t="s">
        <v>17</v>
      </c>
    </row>
    <row r="78" spans="2:8">
      <c r="B78" s="22" t="s">
        <v>186</v>
      </c>
      <c r="C78" s="22" t="s">
        <v>187</v>
      </c>
      <c r="D78" s="22" t="s">
        <v>74</v>
      </c>
      <c r="E78" s="25">
        <v>1201467</v>
      </c>
      <c r="F78" s="24">
        <v>1680.85</v>
      </c>
      <c r="G78" s="24">
        <v>0.41</v>
      </c>
      <c r="H78" s="22" t="s">
        <v>27</v>
      </c>
    </row>
    <row r="79" spans="2:8">
      <c r="B79" s="22" t="s">
        <v>188</v>
      </c>
      <c r="C79" s="22" t="s">
        <v>189</v>
      </c>
      <c r="D79" s="22" t="s">
        <v>98</v>
      </c>
      <c r="E79" s="25">
        <v>78710</v>
      </c>
      <c r="F79" s="24">
        <v>1404.46</v>
      </c>
      <c r="G79" s="24">
        <v>0.35</v>
      </c>
      <c r="H79" s="22" t="s">
        <v>37</v>
      </c>
    </row>
    <row r="80" spans="2:8">
      <c r="B80" s="22" t="s">
        <v>190</v>
      </c>
      <c r="C80" s="22" t="s">
        <v>191</v>
      </c>
      <c r="D80" s="22" t="s">
        <v>192</v>
      </c>
      <c r="E80" s="25">
        <v>71446</v>
      </c>
      <c r="F80" s="24">
        <v>295.39</v>
      </c>
      <c r="G80" s="24">
        <v>7.0000000000000007E-2</v>
      </c>
      <c r="H80" s="22" t="s">
        <v>17</v>
      </c>
    </row>
    <row r="81" spans="2:8">
      <c r="B81" s="21" t="s">
        <v>193</v>
      </c>
      <c r="C81" s="21"/>
      <c r="D81" s="21"/>
      <c r="E81" s="28"/>
      <c r="F81" s="29">
        <f>SUM(F7:F80)</f>
        <v>385478.03000000009</v>
      </c>
      <c r="G81" s="29">
        <f>SUM(G7:G80)</f>
        <v>94.899999999999963</v>
      </c>
      <c r="H81" s="22"/>
    </row>
    <row r="82" spans="2:8">
      <c r="B82" s="21" t="s">
        <v>194</v>
      </c>
      <c r="C82" s="21"/>
      <c r="D82" s="21"/>
      <c r="E82" s="28"/>
      <c r="F82" s="29">
        <f>F81</f>
        <v>385478.03000000009</v>
      </c>
      <c r="G82" s="29">
        <f>G81</f>
        <v>94.899999999999963</v>
      </c>
      <c r="H82" s="22"/>
    </row>
    <row r="83" spans="2:8">
      <c r="B83" s="21" t="s">
        <v>195</v>
      </c>
      <c r="C83" s="22"/>
      <c r="D83" s="22"/>
      <c r="E83" s="23"/>
      <c r="F83" s="24"/>
      <c r="G83" s="24"/>
      <c r="H83" s="22"/>
    </row>
    <row r="84" spans="2:8">
      <c r="B84" s="22" t="s">
        <v>195</v>
      </c>
      <c r="C84" s="22"/>
      <c r="D84" s="22"/>
      <c r="E84" s="23"/>
      <c r="F84" s="24">
        <v>23462.44</v>
      </c>
      <c r="G84" s="24">
        <v>5.77</v>
      </c>
      <c r="H84" s="22"/>
    </row>
    <row r="85" spans="2:8">
      <c r="B85" s="21" t="s">
        <v>193</v>
      </c>
      <c r="C85" s="21"/>
      <c r="D85" s="21"/>
      <c r="E85" s="28"/>
      <c r="F85" s="29">
        <f>SUM(F83:F84)</f>
        <v>23462.44</v>
      </c>
      <c r="G85" s="29">
        <f>SUM(G83:G84)</f>
        <v>5.77</v>
      </c>
      <c r="H85" s="22"/>
    </row>
    <row r="86" spans="2:8">
      <c r="B86" s="21" t="s">
        <v>194</v>
      </c>
      <c r="C86" s="21"/>
      <c r="D86" s="21"/>
      <c r="E86" s="28"/>
      <c r="F86" s="29">
        <f>F85</f>
        <v>23462.44</v>
      </c>
      <c r="G86" s="29">
        <f>G85</f>
        <v>5.77</v>
      </c>
      <c r="H86" s="22"/>
    </row>
    <row r="87" spans="2:8">
      <c r="B87" s="21" t="s">
        <v>196</v>
      </c>
      <c r="C87" s="21"/>
      <c r="D87" s="21"/>
      <c r="E87" s="28"/>
      <c r="F87" s="29">
        <f>F88-(+F82+F86)</f>
        <v>-2615.0800000000745</v>
      </c>
      <c r="G87" s="29">
        <f>G88-(+G82+G86)</f>
        <v>-0.66999999999995907</v>
      </c>
      <c r="H87" s="22"/>
    </row>
    <row r="88" spans="2:8">
      <c r="B88" s="21" t="s">
        <v>197</v>
      </c>
      <c r="C88" s="21"/>
      <c r="D88" s="21"/>
      <c r="E88" s="28"/>
      <c r="F88" s="29">
        <v>406325.39</v>
      </c>
      <c r="G88" s="29">
        <v>100</v>
      </c>
      <c r="H88" s="22"/>
    </row>
    <row r="90" spans="2:8">
      <c r="B90" s="30"/>
    </row>
  </sheetData>
  <mergeCells count="4">
    <mergeCell ref="B1:G1"/>
    <mergeCell ref="J5:J12"/>
    <mergeCell ref="K5:K12"/>
    <mergeCell ref="L5:L12"/>
  </mergeCells>
  <printOptions horizontalCentered="1"/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2022-11-07 15:35:43</KDate>
  <Classification>Public</Classification>
  <Subclassification/>
  <HostName>MUMCMP00935</HostName>
  <Domain_User>CANARAROBECOMF/628</Domain_User>
  <IPAdd>192.9.198.194</IPAdd>
  <FilePath>Book7</FilePath>
  <KID>C025A5607E97638034321435520812</KID>
  <UniqueName/>
  <Suggested/>
  <Justification/>
</Klassify>
</file>

<file path=customXml/itemProps1.xml><?xml version="1.0" encoding="utf-8"?>
<ds:datastoreItem xmlns:ds="http://schemas.openxmlformats.org/officeDocument/2006/customXml" ds:itemID="{B854659A-6423-4E80-83F3-A9AFFD1C46C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2022-11-07T10:05:37Z</dcterms:created>
  <dcterms:modified xsi:type="dcterms:W3CDTF">2022-11-07T10:05:43Z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C025A5607E97638034321435520812</vt:lpwstr>
  </property>
</Properties>
</file>