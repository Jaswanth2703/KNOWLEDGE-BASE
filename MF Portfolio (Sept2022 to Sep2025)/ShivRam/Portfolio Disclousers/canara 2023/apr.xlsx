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5" i="1" l="1"/>
  <c r="G96" i="1" s="1"/>
  <c r="F95" i="1"/>
  <c r="F96" i="1" s="1"/>
  <c r="G91" i="1"/>
  <c r="G92" i="1" s="1"/>
  <c r="F91" i="1"/>
  <c r="F92" i="1" s="1"/>
  <c r="F97" i="1" l="1"/>
  <c r="G97" i="1"/>
</calcChain>
</file>

<file path=xl/sharedStrings.xml><?xml version="1.0" encoding="utf-8"?>
<sst xmlns="http://schemas.openxmlformats.org/spreadsheetml/2006/main" count="361" uniqueCount="223">
  <si>
    <t>CANARA ROBECO SMALL CAP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</si>
  <si>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</si>
  <si>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</si>
  <si>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</si>
  <si>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</si>
  <si>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</si>
  <si>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</si>
  <si>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</si>
  <si>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</si>
  <si>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Apr'23</t>
  </si>
  <si>
    <t>Benchmark Risk-o-meter Level- Apr'23</t>
  </si>
  <si>
    <t>Scheme Risk-o-meter Level- Mar'23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</si>
  <si>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</si>
  <si>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</si>
  <si>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</si>
  <si>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</si>
  <si>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</si>
  <si>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</si>
  <si>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Cera Sanitaryware Ltd</t>
  </si>
  <si>
    <t>INE739E01017</t>
  </si>
  <si>
    <t>Consumer Durables</t>
  </si>
  <si>
    <t>Equitas Small Finance Bank Ltd</t>
  </si>
  <si>
    <t>INE063P01018</t>
  </si>
  <si>
    <t>Banks</t>
  </si>
  <si>
    <t>City Union Bank Ltd</t>
  </si>
  <si>
    <t>INE491A01021</t>
  </si>
  <si>
    <t>Ultratech Cement Ltd</t>
  </si>
  <si>
    <t>INE481G01011</t>
  </si>
  <si>
    <t>Cement &amp; Cement Products</t>
  </si>
  <si>
    <t>Large Cap</t>
  </si>
  <si>
    <t>Can Fin Homes Ltd</t>
  </si>
  <si>
    <t>INE477A01020</t>
  </si>
  <si>
    <t>Finance</t>
  </si>
  <si>
    <t>Westlife Foodworld Ltd</t>
  </si>
  <si>
    <t>INE274F01020</t>
  </si>
  <si>
    <t>Leisure Services</t>
  </si>
  <si>
    <t>Benchmark: Nifty Smallcap 250 Index TRI</t>
  </si>
  <si>
    <t>Multi Commodity Exchange Of India Ltd</t>
  </si>
  <si>
    <t>INE745G01035</t>
  </si>
  <si>
    <t>Capital Markets</t>
  </si>
  <si>
    <t>Indian Bank</t>
  </si>
  <si>
    <t>INE562A01011</t>
  </si>
  <si>
    <t>Mid Cap</t>
  </si>
  <si>
    <t>KEC International Ltd</t>
  </si>
  <si>
    <t>INE389H01022</t>
  </si>
  <si>
    <t>Electrical Equipment</t>
  </si>
  <si>
    <t>PNC Infratech Ltd</t>
  </si>
  <si>
    <t>INE195J01029</t>
  </si>
  <si>
    <t>Construction</t>
  </si>
  <si>
    <t>Indian Hotels Co Ltd</t>
  </si>
  <si>
    <t>INE053A01029</t>
  </si>
  <si>
    <t>JK Lakshmi Cement Ltd</t>
  </si>
  <si>
    <t>INE786A01032</t>
  </si>
  <si>
    <t>VRL Logistics Ltd</t>
  </si>
  <si>
    <t>INE366I01010</t>
  </si>
  <si>
    <t>Transport Services</t>
  </si>
  <si>
    <t>Persistent Systems Ltd</t>
  </si>
  <si>
    <t>INE262H01013</t>
  </si>
  <si>
    <t>IT - Software</t>
  </si>
  <si>
    <t>V-Guard Industries Ltd</t>
  </si>
  <si>
    <t>INE951I01027</t>
  </si>
  <si>
    <t>Schaeffler India Ltd</t>
  </si>
  <si>
    <t>INE513A01022</t>
  </si>
  <si>
    <t>Auto Components</t>
  </si>
  <si>
    <t>V.I.P. Industries Ltd</t>
  </si>
  <si>
    <t>INE054A01027</t>
  </si>
  <si>
    <t>PVR Inox Ltd</t>
  </si>
  <si>
    <t>INE191H01014</t>
  </si>
  <si>
    <t>Entertainment</t>
  </si>
  <si>
    <t>J.B. Chemicals &amp; Pharmaceuticals Ltd</t>
  </si>
  <si>
    <t>INE572A01028</t>
  </si>
  <si>
    <t>Pharmaceuticals &amp; Biotechnology</t>
  </si>
  <si>
    <t>Creditaccess Grameen Ltd</t>
  </si>
  <si>
    <t>INE741K01010</t>
  </si>
  <si>
    <t>Great Eastern Shipping Co Ltd</t>
  </si>
  <si>
    <t>INE017A01032</t>
  </si>
  <si>
    <t>Bajaj Finance Ltd</t>
  </si>
  <si>
    <t>INE296A01024</t>
  </si>
  <si>
    <t>EID Parry India Ltd</t>
  </si>
  <si>
    <t>INE126A01031</t>
  </si>
  <si>
    <t>Fertilizers &amp; Agrochemicals</t>
  </si>
  <si>
    <t>Balrampur Chini Mills Ltd</t>
  </si>
  <si>
    <t>INE119A01028</t>
  </si>
  <si>
    <t>Agricultural Food &amp; Other Products</t>
  </si>
  <si>
    <t>DCB Bank Ltd</t>
  </si>
  <si>
    <t>INE503A01015</t>
  </si>
  <si>
    <t>Abbott India Ltd</t>
  </si>
  <si>
    <t>INE358A01014</t>
  </si>
  <si>
    <t>Bikaji Foods International Ltd</t>
  </si>
  <si>
    <t>INE00E101023</t>
  </si>
  <si>
    <t>Food Products</t>
  </si>
  <si>
    <t>Bharat Electronics Ltd</t>
  </si>
  <si>
    <t>INE263A01024</t>
  </si>
  <si>
    <t>Aerospace &amp; Defense</t>
  </si>
  <si>
    <t>Suven Pharmaceuticals Ltd</t>
  </si>
  <si>
    <t>INE03QK01018</t>
  </si>
  <si>
    <t>ICRA Ltd</t>
  </si>
  <si>
    <t>INE725G01011</t>
  </si>
  <si>
    <t>Max Healthcare Institute Ltd</t>
  </si>
  <si>
    <t>INE027H01010</t>
  </si>
  <si>
    <t>Healthcare Services</t>
  </si>
  <si>
    <t>KNR Constructions Ltd</t>
  </si>
  <si>
    <t>INE634I01029</t>
  </si>
  <si>
    <t>Mold Tek Packaging Ltd</t>
  </si>
  <si>
    <t>INE893J01029</t>
  </si>
  <si>
    <t>Rhi Magnesita India Ltd</t>
  </si>
  <si>
    <t>INE743M01012</t>
  </si>
  <si>
    <t>Shriram Finance Ltd</t>
  </si>
  <si>
    <t>INE721A01013</t>
  </si>
  <si>
    <t>ZF Commercial Vehicle Control Systems India Ltd</t>
  </si>
  <si>
    <t>INE342J01019</t>
  </si>
  <si>
    <t>Grindwell Norton Ltd</t>
  </si>
  <si>
    <t>INE536A01023</t>
  </si>
  <si>
    <t xml:space="preserve"> Mid Cap</t>
  </si>
  <si>
    <t>Kaynes Technology India Ltd</t>
  </si>
  <si>
    <t>INE918Z01012</t>
  </si>
  <si>
    <t>Industrial Manufacturing</t>
  </si>
  <si>
    <t>Ltimindtree Ltd</t>
  </si>
  <si>
    <t>INE214T01019</t>
  </si>
  <si>
    <t>Rolex Rings Ltd</t>
  </si>
  <si>
    <t>INE645S01016</t>
  </si>
  <si>
    <t>Timken India Ltd</t>
  </si>
  <si>
    <t>INE325A01013</t>
  </si>
  <si>
    <t>Century Textile &amp; Industries Ltd</t>
  </si>
  <si>
    <t>INE055A01016</t>
  </si>
  <si>
    <t>Paper, Forest &amp; Jute Products</t>
  </si>
  <si>
    <t>Galaxy Surfactants Ltd</t>
  </si>
  <si>
    <t>INE600K01018</t>
  </si>
  <si>
    <t>Chemicals &amp; Petrochemicals</t>
  </si>
  <si>
    <t>Reliance Industries Ltd</t>
  </si>
  <si>
    <t>INE002A01018</t>
  </si>
  <si>
    <t>Petroleum Products</t>
  </si>
  <si>
    <t>Deepak Nitrite Ltd</t>
  </si>
  <si>
    <t>INE288B01029</t>
  </si>
  <si>
    <t>V-Mart Retail Ltd</t>
  </si>
  <si>
    <t>INE665J01013</t>
  </si>
  <si>
    <t>Retailing</t>
  </si>
  <si>
    <t>Mahindra Lifespace Developers Ltd</t>
  </si>
  <si>
    <t>INE813A01018</t>
  </si>
  <si>
    <t>Realty</t>
  </si>
  <si>
    <t>Go Fashion India Ltd</t>
  </si>
  <si>
    <t>INE0BJS01011</t>
  </si>
  <si>
    <t>K.P.R. Mill Ltd</t>
  </si>
  <si>
    <t>INE930H01031</t>
  </si>
  <si>
    <t>Textiles &amp; Apparels</t>
  </si>
  <si>
    <t>National Aluminium Co Ltd</t>
  </si>
  <si>
    <t>INE139A01034</t>
  </si>
  <si>
    <t>Non - Ferrous Metals</t>
  </si>
  <si>
    <t>Rallis India Ltd</t>
  </si>
  <si>
    <t>INE613A01020</t>
  </si>
  <si>
    <t>Greenpanel Industries Ltd</t>
  </si>
  <si>
    <t>INE08ZM01014</t>
  </si>
  <si>
    <t>Global Health Ltd</t>
  </si>
  <si>
    <t>INE474Q01031</t>
  </si>
  <si>
    <t>Vedant Fashions Ltd</t>
  </si>
  <si>
    <t>INE825V01034</t>
  </si>
  <si>
    <t>Avenue Supermarts Ltd</t>
  </si>
  <si>
    <t>INE192R01011</t>
  </si>
  <si>
    <t>Rossari Biotech Ltd</t>
  </si>
  <si>
    <t>INE02A801020</t>
  </si>
  <si>
    <t>NOCIL Ltd</t>
  </si>
  <si>
    <t>INE163A01018</t>
  </si>
  <si>
    <t>Aditya Birla Fashion and Retail Ltd</t>
  </si>
  <si>
    <t>INE647O01011</t>
  </si>
  <si>
    <t>Ajanta Pharma Ltd</t>
  </si>
  <si>
    <t>INE031B01049</t>
  </si>
  <si>
    <t>ITC Ltd</t>
  </si>
  <si>
    <t>INE154A01025</t>
  </si>
  <si>
    <t>Diversified Fmcg</t>
  </si>
  <si>
    <t>Computer Age Management Services Ltd</t>
  </si>
  <si>
    <t>INE596I01012</t>
  </si>
  <si>
    <t>Clean Science And Technology Ltd</t>
  </si>
  <si>
    <t>INE227W01023</t>
  </si>
  <si>
    <t>Anand Rathi Wealth Ltd</t>
  </si>
  <si>
    <t>INE463V01026</t>
  </si>
  <si>
    <t>Ahluwalia Contracts (India) Ltd</t>
  </si>
  <si>
    <t>INE758C01029</t>
  </si>
  <si>
    <t>Thermax Ltd</t>
  </si>
  <si>
    <t>INE152A01029</t>
  </si>
  <si>
    <t>Fine Organic Industries Ltd</t>
  </si>
  <si>
    <t>INE686Y01026</t>
  </si>
  <si>
    <t>Subros Ltd</t>
  </si>
  <si>
    <t>INE287B01021</t>
  </si>
  <si>
    <t>Angel One Ltd</t>
  </si>
  <si>
    <t>INE732I01013</t>
  </si>
  <si>
    <t>TCI Express Ltd</t>
  </si>
  <si>
    <t>INE586V01016</t>
  </si>
  <si>
    <t>UTI Asset Management Co Ltd</t>
  </si>
  <si>
    <t>INE094J01016</t>
  </si>
  <si>
    <t>Prudent Corporate Advisory Services Ltd</t>
  </si>
  <si>
    <t>INE00F201020</t>
  </si>
  <si>
    <t>Greenply Industries Ltd</t>
  </si>
  <si>
    <t>INE461C01038</t>
  </si>
  <si>
    <t>Teamlease Services Ltd</t>
  </si>
  <si>
    <t>INE985S01024</t>
  </si>
  <si>
    <t>Commercial Services &amp; Supplies</t>
  </si>
  <si>
    <t>Greenlam Industries Ltd</t>
  </si>
  <si>
    <t>INE544R01021</t>
  </si>
  <si>
    <t>EPL Ltd</t>
  </si>
  <si>
    <t>INE255A01020</t>
  </si>
  <si>
    <t>Sobha Ltd</t>
  </si>
  <si>
    <t>INE671H01015</t>
  </si>
  <si>
    <t>Honeywell Automation India Ltd</t>
  </si>
  <si>
    <t>INE671A01010</t>
  </si>
  <si>
    <t>Kfin Technologies Ltd</t>
  </si>
  <si>
    <t>INE138Y01010</t>
  </si>
  <si>
    <t>Indian Energy Exchange Ltd</t>
  </si>
  <si>
    <t>INE022Q01020</t>
  </si>
  <si>
    <t>Central Depository Services (India) Ltd</t>
  </si>
  <si>
    <t>INE736A01011</t>
  </si>
  <si>
    <t>Gland Pharma Ltd</t>
  </si>
  <si>
    <t>INE068V01023</t>
  </si>
  <si>
    <t>BSE Ltd</t>
  </si>
  <si>
    <t>INE118H01025</t>
  </si>
  <si>
    <t>Gulf Oil Lubricants India Ltd</t>
  </si>
  <si>
    <t>INE635Q01029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</si>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</sst>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0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5" xfId="0" applyNumberFormat="1" applyFont="1" applyFill="1" applyBorder="1"/>
    <xf numFmtId="2" fontId="10" fillId="0" borderId="2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5719E7-E666-42FA-99C2-411B1261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0358" y="105848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2000250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CACD2-D474-45CF-8F30-5CD4AA4F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3848" y="1051638"/>
          <a:ext cx="182585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79547E27-FFF5-45F6-94EE-0F3426D8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275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7"/>
  <sheetViews>
    <sheetView tabSelected="1" workbookViewId="0">
      <selection activeCell="A14" sqref="A14"/>
    </sheetView>
  </sheetViews>
  <sheetFormatPr defaultRowHeight="12"/>
  <cols>
    <col min="1" max="1" width="9.140625" style="3"/>
    <col min="2" max="2" width="54.42578125" style="3" bestFit="1" customWidth="1"/>
    <col min="3" max="3" width="13.5703125" style="3" bestFit="1" customWidth="1"/>
    <col min="4" max="4" width="28.42578125" style="3" bestFit="1" customWidth="1"/>
    <col min="5" max="5" width="9.85546875" style="53" bestFit="1" customWidth="1"/>
    <col min="6" max="6" width="15.28515625" style="54" bestFit="1" customWidth="1"/>
    <col min="7" max="7" width="7.42578125" style="54" bestFit="1" customWidth="1"/>
    <col min="8" max="8" width="14.42578125" style="3" customWidth="1"/>
    <col min="9" max="9" width="10" style="4" bestFit="1" customWidth="1"/>
    <col min="10" max="10" width="35.5703125" style="4" customWidth="1"/>
    <col min="11" max="12" width="35.5703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1"/>
      <c r="L5" s="22"/>
    </row>
    <row r="6" spans="2:12">
      <c r="B6" s="23" t="s">
        <v>13</v>
      </c>
      <c r="C6" s="24"/>
      <c r="D6" s="24"/>
      <c r="E6" s="25"/>
      <c r="F6" s="26"/>
      <c r="G6" s="26"/>
      <c r="H6" s="26"/>
      <c r="J6" s="27"/>
      <c r="K6" s="28"/>
      <c r="L6" s="29"/>
    </row>
    <row r="7" spans="2:12">
      <c r="B7" s="30" t="s">
        <v>14</v>
      </c>
      <c r="C7" s="24" t="s">
        <v>15</v>
      </c>
      <c r="D7" s="24" t="s">
        <v>16</v>
      </c>
      <c r="E7" s="31">
        <v>831764</v>
      </c>
      <c r="F7" s="26">
        <v>15762.34</v>
      </c>
      <c r="G7" s="26">
        <v>2.88</v>
      </c>
      <c r="H7" s="26" t="s">
        <v>17</v>
      </c>
      <c r="J7" s="27"/>
      <c r="K7" s="28"/>
      <c r="L7" s="29"/>
    </row>
    <row r="8" spans="2:12">
      <c r="B8" s="30" t="s">
        <v>18</v>
      </c>
      <c r="C8" s="24" t="s">
        <v>19</v>
      </c>
      <c r="D8" s="24" t="s">
        <v>20</v>
      </c>
      <c r="E8" s="31">
        <v>204581</v>
      </c>
      <c r="F8" s="26">
        <v>12768.51</v>
      </c>
      <c r="G8" s="26">
        <v>2.33</v>
      </c>
      <c r="H8" s="26" t="s">
        <v>17</v>
      </c>
      <c r="J8" s="27"/>
      <c r="K8" s="28"/>
      <c r="L8" s="29"/>
    </row>
    <row r="9" spans="2:12">
      <c r="B9" s="30" t="s">
        <v>21</v>
      </c>
      <c r="C9" s="24" t="s">
        <v>22</v>
      </c>
      <c r="D9" s="24" t="s">
        <v>23</v>
      </c>
      <c r="E9" s="31">
        <v>16641649</v>
      </c>
      <c r="F9" s="26">
        <v>11474.42</v>
      </c>
      <c r="G9" s="26">
        <v>2.09</v>
      </c>
      <c r="H9" s="26" t="s">
        <v>17</v>
      </c>
      <c r="J9" s="27"/>
      <c r="K9" s="28"/>
      <c r="L9" s="29"/>
    </row>
    <row r="10" spans="2:12">
      <c r="B10" s="30" t="s">
        <v>24</v>
      </c>
      <c r="C10" s="24" t="s">
        <v>25</v>
      </c>
      <c r="D10" s="24" t="s">
        <v>23</v>
      </c>
      <c r="E10" s="31">
        <v>8086154</v>
      </c>
      <c r="F10" s="26">
        <v>11454.04</v>
      </c>
      <c r="G10" s="26">
        <v>2.09</v>
      </c>
      <c r="H10" s="26" t="s">
        <v>17</v>
      </c>
      <c r="J10" s="27"/>
      <c r="K10" s="28"/>
      <c r="L10" s="29"/>
    </row>
    <row r="11" spans="2:12">
      <c r="B11" s="30" t="s">
        <v>26</v>
      </c>
      <c r="C11" s="24" t="s">
        <v>27</v>
      </c>
      <c r="D11" s="24" t="s">
        <v>28</v>
      </c>
      <c r="E11" s="31">
        <v>143594</v>
      </c>
      <c r="F11" s="26">
        <v>10850.25</v>
      </c>
      <c r="G11" s="26">
        <v>1.98</v>
      </c>
      <c r="H11" s="26" t="s">
        <v>29</v>
      </c>
      <c r="J11" s="27"/>
      <c r="K11" s="28"/>
      <c r="L11" s="29"/>
    </row>
    <row r="12" spans="2:12">
      <c r="B12" s="30" t="s">
        <v>30</v>
      </c>
      <c r="C12" s="24" t="s">
        <v>31</v>
      </c>
      <c r="D12" s="24" t="s">
        <v>32</v>
      </c>
      <c r="E12" s="31">
        <v>1706598</v>
      </c>
      <c r="F12" s="26">
        <v>10524.59</v>
      </c>
      <c r="G12" s="26">
        <v>1.92</v>
      </c>
      <c r="H12" s="26" t="s">
        <v>17</v>
      </c>
      <c r="J12" s="32"/>
      <c r="K12" s="33"/>
      <c r="L12" s="34"/>
    </row>
    <row r="13" spans="2:12">
      <c r="B13" s="30" t="s">
        <v>33</v>
      </c>
      <c r="C13" s="24" t="s">
        <v>34</v>
      </c>
      <c r="D13" s="24" t="s">
        <v>35</v>
      </c>
      <c r="E13" s="31">
        <v>1281431</v>
      </c>
      <c r="F13" s="26">
        <v>9793.34</v>
      </c>
      <c r="G13" s="26">
        <v>1.79</v>
      </c>
      <c r="H13" s="26" t="s">
        <v>17</v>
      </c>
      <c r="K13" s="35" t="s">
        <v>36</v>
      </c>
      <c r="L13" s="4"/>
    </row>
    <row r="14" spans="2:12">
      <c r="B14" s="30" t="s">
        <v>37</v>
      </c>
      <c r="C14" s="24" t="s">
        <v>38</v>
      </c>
      <c r="D14" s="24" t="s">
        <v>39</v>
      </c>
      <c r="E14" s="31">
        <v>695000</v>
      </c>
      <c r="F14" s="26">
        <v>9725.83</v>
      </c>
      <c r="G14" s="26">
        <v>1.77</v>
      </c>
      <c r="H14" s="26" t="s">
        <v>17</v>
      </c>
      <c r="K14" s="4"/>
      <c r="L14" s="4"/>
    </row>
    <row r="15" spans="2:12">
      <c r="B15" s="30" t="s">
        <v>40</v>
      </c>
      <c r="C15" s="24" t="s">
        <v>41</v>
      </c>
      <c r="D15" s="24" t="s">
        <v>23</v>
      </c>
      <c r="E15" s="31">
        <v>2888743</v>
      </c>
      <c r="F15" s="26">
        <v>9313.31</v>
      </c>
      <c r="G15" s="26">
        <v>1.7</v>
      </c>
      <c r="H15" s="26" t="s">
        <v>42</v>
      </c>
      <c r="K15" s="4"/>
      <c r="L15" s="4"/>
    </row>
    <row r="16" spans="2:12">
      <c r="B16" s="30" t="s">
        <v>43</v>
      </c>
      <c r="C16" s="24" t="s">
        <v>44</v>
      </c>
      <c r="D16" s="24" t="s">
        <v>45</v>
      </c>
      <c r="E16" s="31">
        <v>2009932</v>
      </c>
      <c r="F16" s="26">
        <v>9224.58</v>
      </c>
      <c r="G16" s="26">
        <v>1.68</v>
      </c>
      <c r="H16" s="26" t="s">
        <v>17</v>
      </c>
      <c r="K16" s="4"/>
      <c r="L16" s="4"/>
    </row>
    <row r="17" spans="2:12">
      <c r="B17" s="30" t="s">
        <v>46</v>
      </c>
      <c r="C17" s="24" t="s">
        <v>47</v>
      </c>
      <c r="D17" s="24" t="s">
        <v>48</v>
      </c>
      <c r="E17" s="31">
        <v>3203246</v>
      </c>
      <c r="F17" s="26">
        <v>9078</v>
      </c>
      <c r="G17" s="26">
        <v>1.66</v>
      </c>
      <c r="H17" s="26" t="s">
        <v>17</v>
      </c>
      <c r="K17" s="4"/>
      <c r="L17" s="4"/>
    </row>
    <row r="18" spans="2:12">
      <c r="B18" s="30" t="s">
        <v>49</v>
      </c>
      <c r="C18" s="24" t="s">
        <v>50</v>
      </c>
      <c r="D18" s="24" t="s">
        <v>35</v>
      </c>
      <c r="E18" s="31">
        <v>2620981</v>
      </c>
      <c r="F18" s="26">
        <v>8887.75</v>
      </c>
      <c r="G18" s="26">
        <v>1.62</v>
      </c>
      <c r="H18" s="26" t="s">
        <v>42</v>
      </c>
      <c r="K18" s="4"/>
      <c r="L18" s="4"/>
    </row>
    <row r="19" spans="2:12">
      <c r="B19" s="30" t="s">
        <v>51</v>
      </c>
      <c r="C19" s="24" t="s">
        <v>52</v>
      </c>
      <c r="D19" s="24" t="s">
        <v>28</v>
      </c>
      <c r="E19" s="31">
        <v>1114226</v>
      </c>
      <c r="F19" s="26">
        <v>8714.92</v>
      </c>
      <c r="G19" s="26">
        <v>1.59</v>
      </c>
      <c r="H19" s="26" t="s">
        <v>17</v>
      </c>
      <c r="K19" s="4"/>
      <c r="L19" s="4"/>
    </row>
    <row r="20" spans="2:12">
      <c r="B20" s="30" t="s">
        <v>53</v>
      </c>
      <c r="C20" s="24" t="s">
        <v>54</v>
      </c>
      <c r="D20" s="24" t="s">
        <v>55</v>
      </c>
      <c r="E20" s="31">
        <v>1382331</v>
      </c>
      <c r="F20" s="26">
        <v>8714.91</v>
      </c>
      <c r="G20" s="26">
        <v>1.59</v>
      </c>
      <c r="H20" s="26" t="s">
        <v>17</v>
      </c>
      <c r="K20" s="4"/>
      <c r="L20" s="4"/>
    </row>
    <row r="21" spans="2:12">
      <c r="B21" s="30" t="s">
        <v>56</v>
      </c>
      <c r="C21" s="24" t="s">
        <v>57</v>
      </c>
      <c r="D21" s="24" t="s">
        <v>58</v>
      </c>
      <c r="E21" s="31">
        <v>182930</v>
      </c>
      <c r="F21" s="26">
        <v>8665.85</v>
      </c>
      <c r="G21" s="26">
        <v>1.58</v>
      </c>
      <c r="H21" s="26" t="s">
        <v>42</v>
      </c>
      <c r="K21" s="4"/>
      <c r="L21" s="4"/>
    </row>
    <row r="22" spans="2:12">
      <c r="B22" s="30" t="s">
        <v>59</v>
      </c>
      <c r="C22" s="24" t="s">
        <v>60</v>
      </c>
      <c r="D22" s="24" t="s">
        <v>20</v>
      </c>
      <c r="E22" s="31">
        <v>3400458</v>
      </c>
      <c r="F22" s="26">
        <v>8664.3700000000008</v>
      </c>
      <c r="G22" s="26">
        <v>1.58</v>
      </c>
      <c r="H22" s="26" t="s">
        <v>17</v>
      </c>
      <c r="K22" s="4"/>
      <c r="L22" s="4"/>
    </row>
    <row r="23" spans="2:12">
      <c r="B23" s="30" t="s">
        <v>61</v>
      </c>
      <c r="C23" s="24" t="s">
        <v>62</v>
      </c>
      <c r="D23" s="24" t="s">
        <v>63</v>
      </c>
      <c r="E23" s="31">
        <v>307600</v>
      </c>
      <c r="F23" s="26">
        <v>8534.82</v>
      </c>
      <c r="G23" s="26">
        <v>1.56</v>
      </c>
      <c r="H23" s="26" t="s">
        <v>42</v>
      </c>
      <c r="K23" s="4"/>
      <c r="L23" s="4"/>
    </row>
    <row r="24" spans="2:12">
      <c r="B24" s="30" t="s">
        <v>64</v>
      </c>
      <c r="C24" s="24" t="s">
        <v>65</v>
      </c>
      <c r="D24" s="24" t="s">
        <v>20</v>
      </c>
      <c r="E24" s="31">
        <v>1432529</v>
      </c>
      <c r="F24" s="26">
        <v>8509.94</v>
      </c>
      <c r="G24" s="26">
        <v>1.55</v>
      </c>
      <c r="H24" s="26" t="s">
        <v>17</v>
      </c>
      <c r="K24" s="4"/>
      <c r="L24" s="4"/>
    </row>
    <row r="25" spans="2:12">
      <c r="B25" s="30" t="s">
        <v>66</v>
      </c>
      <c r="C25" s="24" t="s">
        <v>67</v>
      </c>
      <c r="D25" s="24" t="s">
        <v>68</v>
      </c>
      <c r="E25" s="31">
        <v>579500</v>
      </c>
      <c r="F25" s="26">
        <v>8478.9500000000007</v>
      </c>
      <c r="G25" s="26">
        <v>1.55</v>
      </c>
      <c r="H25" s="26" t="s">
        <v>17</v>
      </c>
      <c r="K25" s="4"/>
      <c r="L25" s="4"/>
    </row>
    <row r="26" spans="2:12">
      <c r="B26" s="30" t="s">
        <v>69</v>
      </c>
      <c r="C26" s="24" t="s">
        <v>70</v>
      </c>
      <c r="D26" s="24" t="s">
        <v>71</v>
      </c>
      <c r="E26" s="31">
        <v>395034</v>
      </c>
      <c r="F26" s="26">
        <v>8413.6299999999992</v>
      </c>
      <c r="G26" s="26">
        <v>1.53</v>
      </c>
      <c r="H26" s="26" t="s">
        <v>17</v>
      </c>
      <c r="K26" s="4"/>
      <c r="L26" s="4"/>
    </row>
    <row r="27" spans="2:12">
      <c r="B27" s="30" t="s">
        <v>72</v>
      </c>
      <c r="C27" s="24" t="s">
        <v>73</v>
      </c>
      <c r="D27" s="24" t="s">
        <v>32</v>
      </c>
      <c r="E27" s="31">
        <v>866771</v>
      </c>
      <c r="F27" s="26">
        <v>8358.27</v>
      </c>
      <c r="G27" s="26">
        <v>1.52</v>
      </c>
      <c r="H27" s="26" t="s">
        <v>17</v>
      </c>
      <c r="K27" s="4"/>
      <c r="L27" s="4"/>
    </row>
    <row r="28" spans="2:12">
      <c r="B28" s="30" t="s">
        <v>74</v>
      </c>
      <c r="C28" s="24" t="s">
        <v>75</v>
      </c>
      <c r="D28" s="24" t="s">
        <v>55</v>
      </c>
      <c r="E28" s="31">
        <v>1170363</v>
      </c>
      <c r="F28" s="26">
        <v>7930.38</v>
      </c>
      <c r="G28" s="26">
        <v>1.45</v>
      </c>
      <c r="H28" s="26" t="s">
        <v>17</v>
      </c>
      <c r="K28" s="4"/>
      <c r="L28" s="4"/>
    </row>
    <row r="29" spans="2:12">
      <c r="B29" s="30" t="s">
        <v>76</v>
      </c>
      <c r="C29" s="24" t="s">
        <v>77</v>
      </c>
      <c r="D29" s="24" t="s">
        <v>32</v>
      </c>
      <c r="E29" s="31">
        <v>124500</v>
      </c>
      <c r="F29" s="26">
        <v>7818.72</v>
      </c>
      <c r="G29" s="26">
        <v>1.43</v>
      </c>
      <c r="H29" s="26" t="s">
        <v>29</v>
      </c>
      <c r="K29" s="4"/>
      <c r="L29" s="4"/>
    </row>
    <row r="30" spans="2:12">
      <c r="B30" s="30" t="s">
        <v>78</v>
      </c>
      <c r="C30" s="24" t="s">
        <v>79</v>
      </c>
      <c r="D30" s="24" t="s">
        <v>80</v>
      </c>
      <c r="E30" s="31">
        <v>1545358</v>
      </c>
      <c r="F30" s="26">
        <v>7766.97</v>
      </c>
      <c r="G30" s="26">
        <v>1.42</v>
      </c>
      <c r="H30" s="26" t="s">
        <v>17</v>
      </c>
      <c r="K30" s="4"/>
      <c r="L30" s="4"/>
    </row>
    <row r="31" spans="2:12">
      <c r="B31" s="30" t="s">
        <v>81</v>
      </c>
      <c r="C31" s="24" t="s">
        <v>82</v>
      </c>
      <c r="D31" s="24" t="s">
        <v>83</v>
      </c>
      <c r="E31" s="31">
        <v>1839296</v>
      </c>
      <c r="F31" s="26">
        <v>7642.27</v>
      </c>
      <c r="G31" s="26">
        <v>1.39</v>
      </c>
      <c r="H31" s="26" t="s">
        <v>17</v>
      </c>
      <c r="K31" s="4"/>
      <c r="L31" s="4"/>
    </row>
    <row r="32" spans="2:12">
      <c r="B32" s="30" t="s">
        <v>84</v>
      </c>
      <c r="C32" s="24" t="s">
        <v>85</v>
      </c>
      <c r="D32" s="24" t="s">
        <v>23</v>
      </c>
      <c r="E32" s="31">
        <v>7112169</v>
      </c>
      <c r="F32" s="26">
        <v>7546.01</v>
      </c>
      <c r="G32" s="26">
        <v>1.38</v>
      </c>
      <c r="H32" s="26" t="s">
        <v>17</v>
      </c>
      <c r="K32" s="4"/>
      <c r="L32" s="4"/>
    </row>
    <row r="33" spans="2:12">
      <c r="B33" s="30" t="s">
        <v>86</v>
      </c>
      <c r="C33" s="24" t="s">
        <v>87</v>
      </c>
      <c r="D33" s="24" t="s">
        <v>71</v>
      </c>
      <c r="E33" s="31">
        <v>33600</v>
      </c>
      <c r="F33" s="26">
        <v>7491.88</v>
      </c>
      <c r="G33" s="26">
        <v>1.37</v>
      </c>
      <c r="H33" s="26" t="s">
        <v>42</v>
      </c>
      <c r="K33" s="4"/>
      <c r="L33" s="4"/>
    </row>
    <row r="34" spans="2:12">
      <c r="B34" s="30" t="s">
        <v>88</v>
      </c>
      <c r="C34" s="24" t="s">
        <v>89</v>
      </c>
      <c r="D34" s="24" t="s">
        <v>90</v>
      </c>
      <c r="E34" s="31">
        <v>1951308</v>
      </c>
      <c r="F34" s="26">
        <v>7321.31</v>
      </c>
      <c r="G34" s="26">
        <v>1.34</v>
      </c>
      <c r="H34" s="26" t="s">
        <v>17</v>
      </c>
      <c r="K34" s="4"/>
      <c r="L34" s="4"/>
    </row>
    <row r="35" spans="2:12">
      <c r="B35" s="30" t="s">
        <v>91</v>
      </c>
      <c r="C35" s="24" t="s">
        <v>92</v>
      </c>
      <c r="D35" s="24" t="s">
        <v>93</v>
      </c>
      <c r="E35" s="31">
        <v>7083366</v>
      </c>
      <c r="F35" s="26">
        <v>7317.12</v>
      </c>
      <c r="G35" s="26">
        <v>1.33</v>
      </c>
      <c r="H35" s="26" t="s">
        <v>29</v>
      </c>
      <c r="K35" s="4"/>
      <c r="L35" s="4"/>
    </row>
    <row r="36" spans="2:12">
      <c r="B36" s="30" t="s">
        <v>94</v>
      </c>
      <c r="C36" s="24" t="s">
        <v>95</v>
      </c>
      <c r="D36" s="24" t="s">
        <v>71</v>
      </c>
      <c r="E36" s="31">
        <v>1540983</v>
      </c>
      <c r="F36" s="26">
        <v>7271.9</v>
      </c>
      <c r="G36" s="26">
        <v>1.33</v>
      </c>
      <c r="H36" s="26" t="s">
        <v>17</v>
      </c>
      <c r="K36" s="4"/>
      <c r="L36" s="4"/>
    </row>
    <row r="37" spans="2:12">
      <c r="B37" s="30" t="s">
        <v>96</v>
      </c>
      <c r="C37" s="24" t="s">
        <v>97</v>
      </c>
      <c r="D37" s="24" t="s">
        <v>39</v>
      </c>
      <c r="E37" s="31">
        <v>153320</v>
      </c>
      <c r="F37" s="26">
        <v>7253.88</v>
      </c>
      <c r="G37" s="26">
        <v>1.32</v>
      </c>
      <c r="H37" s="26" t="s">
        <v>17</v>
      </c>
      <c r="K37" s="4"/>
      <c r="L37" s="4"/>
    </row>
    <row r="38" spans="2:12">
      <c r="B38" s="30" t="s">
        <v>98</v>
      </c>
      <c r="C38" s="24" t="s">
        <v>99</v>
      </c>
      <c r="D38" s="24" t="s">
        <v>100</v>
      </c>
      <c r="E38" s="31">
        <v>1555862</v>
      </c>
      <c r="F38" s="26">
        <v>7157.74</v>
      </c>
      <c r="G38" s="26">
        <v>1.31</v>
      </c>
      <c r="H38" s="26" t="s">
        <v>42</v>
      </c>
      <c r="K38" s="4"/>
      <c r="L38" s="4"/>
    </row>
    <row r="39" spans="2:12">
      <c r="B39" s="30" t="s">
        <v>101</v>
      </c>
      <c r="C39" s="24" t="s">
        <v>102</v>
      </c>
      <c r="D39" s="24" t="s">
        <v>48</v>
      </c>
      <c r="E39" s="31">
        <v>2964070</v>
      </c>
      <c r="F39" s="26">
        <v>7119.7</v>
      </c>
      <c r="G39" s="26">
        <v>1.3</v>
      </c>
      <c r="H39" s="26" t="s">
        <v>17</v>
      </c>
      <c r="K39" s="4"/>
      <c r="L39" s="4"/>
    </row>
    <row r="40" spans="2:12">
      <c r="B40" s="30" t="s">
        <v>103</v>
      </c>
      <c r="C40" s="24" t="s">
        <v>104</v>
      </c>
      <c r="D40" s="24" t="s">
        <v>16</v>
      </c>
      <c r="E40" s="31">
        <v>726725</v>
      </c>
      <c r="F40" s="26">
        <v>6966.75</v>
      </c>
      <c r="G40" s="26">
        <v>1.27</v>
      </c>
      <c r="H40" s="26" t="s">
        <v>17</v>
      </c>
      <c r="K40" s="4"/>
      <c r="L40" s="4"/>
    </row>
    <row r="41" spans="2:12">
      <c r="B41" s="30" t="s">
        <v>105</v>
      </c>
      <c r="C41" s="24" t="s">
        <v>106</v>
      </c>
      <c r="D41" s="24" t="s">
        <v>16</v>
      </c>
      <c r="E41" s="31">
        <v>1075729</v>
      </c>
      <c r="F41" s="26">
        <v>6905.64</v>
      </c>
      <c r="G41" s="26">
        <v>1.26</v>
      </c>
      <c r="H41" s="26" t="s">
        <v>17</v>
      </c>
      <c r="K41" s="4"/>
      <c r="L41" s="4"/>
    </row>
    <row r="42" spans="2:12">
      <c r="B42" s="30" t="s">
        <v>107</v>
      </c>
      <c r="C42" s="24" t="s">
        <v>108</v>
      </c>
      <c r="D42" s="24" t="s">
        <v>32</v>
      </c>
      <c r="E42" s="31">
        <v>517221</v>
      </c>
      <c r="F42" s="26">
        <v>6892.49</v>
      </c>
      <c r="G42" s="26">
        <v>1.26</v>
      </c>
      <c r="H42" s="26" t="s">
        <v>42</v>
      </c>
      <c r="K42" s="4"/>
      <c r="L42" s="4"/>
    </row>
    <row r="43" spans="2:12">
      <c r="B43" s="30" t="s">
        <v>109</v>
      </c>
      <c r="C43" s="24" t="s">
        <v>110</v>
      </c>
      <c r="D43" s="24" t="s">
        <v>63</v>
      </c>
      <c r="E43" s="31">
        <v>67163</v>
      </c>
      <c r="F43" s="26">
        <v>6856.03</v>
      </c>
      <c r="G43" s="26">
        <v>1.25</v>
      </c>
      <c r="H43" s="26" t="s">
        <v>42</v>
      </c>
      <c r="K43" s="4"/>
      <c r="L43" s="4"/>
    </row>
    <row r="44" spans="2:12">
      <c r="B44" s="30" t="s">
        <v>111</v>
      </c>
      <c r="C44" s="24" t="s">
        <v>112</v>
      </c>
      <c r="D44" s="24" t="s">
        <v>16</v>
      </c>
      <c r="E44" s="31">
        <v>352736</v>
      </c>
      <c r="F44" s="26">
        <v>6703.39</v>
      </c>
      <c r="G44" s="26">
        <v>1.22</v>
      </c>
      <c r="H44" s="26" t="s">
        <v>113</v>
      </c>
      <c r="K44" s="4"/>
      <c r="L44" s="4"/>
    </row>
    <row r="45" spans="2:12">
      <c r="B45" s="30" t="s">
        <v>114</v>
      </c>
      <c r="C45" s="24" t="s">
        <v>115</v>
      </c>
      <c r="D45" s="24" t="s">
        <v>116</v>
      </c>
      <c r="E45" s="31">
        <v>668516</v>
      </c>
      <c r="F45" s="26">
        <v>6601.26</v>
      </c>
      <c r="G45" s="26">
        <v>1.2</v>
      </c>
      <c r="H45" s="26" t="s">
        <v>17</v>
      </c>
      <c r="K45" s="4"/>
      <c r="L45" s="4"/>
    </row>
    <row r="46" spans="2:12">
      <c r="B46" s="30" t="s">
        <v>117</v>
      </c>
      <c r="C46" s="24" t="s">
        <v>118</v>
      </c>
      <c r="D46" s="24" t="s">
        <v>58</v>
      </c>
      <c r="E46" s="31">
        <v>149093</v>
      </c>
      <c r="F46" s="26">
        <v>6589.09</v>
      </c>
      <c r="G46" s="26">
        <v>1.2</v>
      </c>
      <c r="H46" s="26" t="s">
        <v>29</v>
      </c>
      <c r="K46" s="4"/>
      <c r="L46" s="4"/>
    </row>
    <row r="47" spans="2:12">
      <c r="B47" s="30" t="s">
        <v>119</v>
      </c>
      <c r="C47" s="24" t="s">
        <v>120</v>
      </c>
      <c r="D47" s="24" t="s">
        <v>63</v>
      </c>
      <c r="E47" s="31">
        <v>358000</v>
      </c>
      <c r="F47" s="26">
        <v>6587.02</v>
      </c>
      <c r="G47" s="26">
        <v>1.2</v>
      </c>
      <c r="H47" s="26" t="s">
        <v>17</v>
      </c>
      <c r="K47" s="4"/>
      <c r="L47" s="4"/>
    </row>
    <row r="48" spans="2:12">
      <c r="B48" s="30" t="s">
        <v>121</v>
      </c>
      <c r="C48" s="24" t="s">
        <v>122</v>
      </c>
      <c r="D48" s="24" t="s">
        <v>16</v>
      </c>
      <c r="E48" s="31">
        <v>219771</v>
      </c>
      <c r="F48" s="26">
        <v>6556.54</v>
      </c>
      <c r="G48" s="26">
        <v>1.2</v>
      </c>
      <c r="H48" s="26" t="s">
        <v>42</v>
      </c>
      <c r="K48" s="4"/>
      <c r="L48" s="4"/>
    </row>
    <row r="49" spans="2:12">
      <c r="B49" s="30" t="s">
        <v>123</v>
      </c>
      <c r="C49" s="24" t="s">
        <v>124</v>
      </c>
      <c r="D49" s="24" t="s">
        <v>125</v>
      </c>
      <c r="E49" s="31">
        <v>927022</v>
      </c>
      <c r="F49" s="26">
        <v>6306.99</v>
      </c>
      <c r="G49" s="26">
        <v>1.1499999999999999</v>
      </c>
      <c r="H49" s="26" t="s">
        <v>17</v>
      </c>
      <c r="K49" s="4"/>
      <c r="L49" s="4"/>
    </row>
    <row r="50" spans="2:12">
      <c r="B50" s="30" t="s">
        <v>126</v>
      </c>
      <c r="C50" s="24" t="s">
        <v>127</v>
      </c>
      <c r="D50" s="24" t="s">
        <v>128</v>
      </c>
      <c r="E50" s="31">
        <v>249751</v>
      </c>
      <c r="F50" s="26">
        <v>6209.18</v>
      </c>
      <c r="G50" s="26">
        <v>1.1299999999999999</v>
      </c>
      <c r="H50" s="26" t="s">
        <v>17</v>
      </c>
      <c r="K50" s="4"/>
      <c r="L50" s="4"/>
    </row>
    <row r="51" spans="2:12">
      <c r="B51" s="30" t="s">
        <v>129</v>
      </c>
      <c r="C51" s="24" t="s">
        <v>130</v>
      </c>
      <c r="D51" s="24" t="s">
        <v>131</v>
      </c>
      <c r="E51" s="31">
        <v>250000</v>
      </c>
      <c r="F51" s="26">
        <v>6051.25</v>
      </c>
      <c r="G51" s="26">
        <v>1.1000000000000001</v>
      </c>
      <c r="H51" s="26" t="s">
        <v>29</v>
      </c>
      <c r="K51" s="4"/>
      <c r="L51" s="4"/>
    </row>
    <row r="52" spans="2:12">
      <c r="B52" s="30" t="s">
        <v>132</v>
      </c>
      <c r="C52" s="24" t="s">
        <v>133</v>
      </c>
      <c r="D52" s="24" t="s">
        <v>128</v>
      </c>
      <c r="E52" s="31">
        <v>310175</v>
      </c>
      <c r="F52" s="26">
        <v>5856.72</v>
      </c>
      <c r="G52" s="26">
        <v>1.07</v>
      </c>
      <c r="H52" s="26" t="s">
        <v>42</v>
      </c>
      <c r="K52" s="4"/>
      <c r="L52" s="4"/>
    </row>
    <row r="53" spans="2:12">
      <c r="B53" s="30" t="s">
        <v>134</v>
      </c>
      <c r="C53" s="24" t="s">
        <v>135</v>
      </c>
      <c r="D53" s="24" t="s">
        <v>136</v>
      </c>
      <c r="E53" s="31">
        <v>264123</v>
      </c>
      <c r="F53" s="26">
        <v>5730.81</v>
      </c>
      <c r="G53" s="26">
        <v>1.05</v>
      </c>
      <c r="H53" s="26" t="s">
        <v>17</v>
      </c>
      <c r="K53" s="4"/>
      <c r="L53" s="4"/>
    </row>
    <row r="54" spans="2:12">
      <c r="B54" s="30" t="s">
        <v>137</v>
      </c>
      <c r="C54" s="24" t="s">
        <v>138</v>
      </c>
      <c r="D54" s="24" t="s">
        <v>139</v>
      </c>
      <c r="E54" s="31">
        <v>1525450</v>
      </c>
      <c r="F54" s="26">
        <v>5676.2</v>
      </c>
      <c r="G54" s="26">
        <v>1.04</v>
      </c>
      <c r="H54" s="26" t="s">
        <v>17</v>
      </c>
      <c r="K54" s="4"/>
      <c r="L54" s="4"/>
    </row>
    <row r="55" spans="2:12">
      <c r="B55" s="30" t="s">
        <v>140</v>
      </c>
      <c r="C55" s="24" t="s">
        <v>141</v>
      </c>
      <c r="D55" s="24" t="s">
        <v>136</v>
      </c>
      <c r="E55" s="31">
        <v>526255</v>
      </c>
      <c r="F55" s="26">
        <v>5652.5</v>
      </c>
      <c r="G55" s="26">
        <v>1.03</v>
      </c>
      <c r="H55" s="26" t="s">
        <v>17</v>
      </c>
      <c r="K55" s="4"/>
      <c r="L55" s="4"/>
    </row>
    <row r="56" spans="2:12">
      <c r="B56" s="30" t="s">
        <v>142</v>
      </c>
      <c r="C56" s="24" t="s">
        <v>143</v>
      </c>
      <c r="D56" s="24" t="s">
        <v>144</v>
      </c>
      <c r="E56" s="31">
        <v>900995</v>
      </c>
      <c r="F56" s="26">
        <v>5414.53</v>
      </c>
      <c r="G56" s="26">
        <v>0.99</v>
      </c>
      <c r="H56" s="26" t="s">
        <v>42</v>
      </c>
      <c r="K56" s="4"/>
      <c r="L56" s="4"/>
    </row>
    <row r="57" spans="2:12">
      <c r="B57" s="30" t="s">
        <v>145</v>
      </c>
      <c r="C57" s="24" t="s">
        <v>146</v>
      </c>
      <c r="D57" s="24" t="s">
        <v>147</v>
      </c>
      <c r="E57" s="31">
        <v>6460000</v>
      </c>
      <c r="F57" s="26">
        <v>5355.34</v>
      </c>
      <c r="G57" s="26">
        <v>0.98</v>
      </c>
      <c r="H57" s="26" t="s">
        <v>17</v>
      </c>
      <c r="K57" s="4"/>
      <c r="L57" s="4"/>
    </row>
    <row r="58" spans="2:12">
      <c r="B58" s="30" t="s">
        <v>148</v>
      </c>
      <c r="C58" s="24" t="s">
        <v>149</v>
      </c>
      <c r="D58" s="24" t="s">
        <v>80</v>
      </c>
      <c r="E58" s="31">
        <v>2749564</v>
      </c>
      <c r="F58" s="26">
        <v>5209.05</v>
      </c>
      <c r="G58" s="26">
        <v>0.95</v>
      </c>
      <c r="H58" s="26" t="s">
        <v>17</v>
      </c>
      <c r="K58" s="4"/>
      <c r="L58" s="4"/>
    </row>
    <row r="59" spans="2:12">
      <c r="B59" s="30" t="s">
        <v>150</v>
      </c>
      <c r="C59" s="24" t="s">
        <v>151</v>
      </c>
      <c r="D59" s="24" t="s">
        <v>20</v>
      </c>
      <c r="E59" s="31">
        <v>1745533</v>
      </c>
      <c r="F59" s="26">
        <v>5206.92</v>
      </c>
      <c r="G59" s="26">
        <v>0.95</v>
      </c>
      <c r="H59" s="26" t="s">
        <v>17</v>
      </c>
      <c r="K59" s="4"/>
      <c r="L59" s="4"/>
    </row>
    <row r="60" spans="2:12">
      <c r="B60" s="30" t="s">
        <v>152</v>
      </c>
      <c r="C60" s="24" t="s">
        <v>153</v>
      </c>
      <c r="D60" s="24" t="s">
        <v>100</v>
      </c>
      <c r="E60" s="31">
        <v>1000000</v>
      </c>
      <c r="F60" s="26">
        <v>5159.5</v>
      </c>
      <c r="G60" s="26">
        <v>0.94</v>
      </c>
      <c r="H60" s="26" t="s">
        <v>17</v>
      </c>
      <c r="K60" s="4"/>
      <c r="L60" s="4"/>
    </row>
    <row r="61" spans="2:12">
      <c r="B61" s="30" t="s">
        <v>154</v>
      </c>
      <c r="C61" s="24" t="s">
        <v>155</v>
      </c>
      <c r="D61" s="24" t="s">
        <v>136</v>
      </c>
      <c r="E61" s="31">
        <v>398127</v>
      </c>
      <c r="F61" s="26">
        <v>5064.7700000000004</v>
      </c>
      <c r="G61" s="26">
        <v>0.92</v>
      </c>
      <c r="H61" s="26" t="s">
        <v>42</v>
      </c>
      <c r="K61" s="4"/>
      <c r="L61" s="4"/>
    </row>
    <row r="62" spans="2:12">
      <c r="B62" s="30" t="s">
        <v>156</v>
      </c>
      <c r="C62" s="24" t="s">
        <v>157</v>
      </c>
      <c r="D62" s="24" t="s">
        <v>136</v>
      </c>
      <c r="E62" s="31">
        <v>142330</v>
      </c>
      <c r="F62" s="26">
        <v>4998.5600000000004</v>
      </c>
      <c r="G62" s="26">
        <v>0.91</v>
      </c>
      <c r="H62" s="26" t="s">
        <v>29</v>
      </c>
      <c r="K62" s="4"/>
      <c r="L62" s="4"/>
    </row>
    <row r="63" spans="2:12">
      <c r="B63" s="30" t="s">
        <v>158</v>
      </c>
      <c r="C63" s="24" t="s">
        <v>159</v>
      </c>
      <c r="D63" s="24" t="s">
        <v>128</v>
      </c>
      <c r="E63" s="31">
        <v>710898</v>
      </c>
      <c r="F63" s="26">
        <v>4882.45</v>
      </c>
      <c r="G63" s="26">
        <v>0.89</v>
      </c>
      <c r="H63" s="26" t="s">
        <v>17</v>
      </c>
      <c r="K63" s="4"/>
      <c r="L63" s="4"/>
    </row>
    <row r="64" spans="2:12">
      <c r="B64" s="30" t="s">
        <v>160</v>
      </c>
      <c r="C64" s="24" t="s">
        <v>161</v>
      </c>
      <c r="D64" s="24" t="s">
        <v>128</v>
      </c>
      <c r="E64" s="31">
        <v>2180021</v>
      </c>
      <c r="F64" s="26">
        <v>4641.26</v>
      </c>
      <c r="G64" s="26">
        <v>0.85</v>
      </c>
      <c r="H64" s="26" t="s">
        <v>17</v>
      </c>
      <c r="K64" s="4"/>
      <c r="L64" s="4"/>
    </row>
    <row r="65" spans="2:12">
      <c r="B65" s="30" t="s">
        <v>162</v>
      </c>
      <c r="C65" s="24" t="s">
        <v>163</v>
      </c>
      <c r="D65" s="24" t="s">
        <v>136</v>
      </c>
      <c r="E65" s="31">
        <v>1967941</v>
      </c>
      <c r="F65" s="26">
        <v>4381.62</v>
      </c>
      <c r="G65" s="26">
        <v>0.8</v>
      </c>
      <c r="H65" s="26" t="s">
        <v>42</v>
      </c>
      <c r="K65" s="4"/>
      <c r="L65" s="4"/>
    </row>
    <row r="66" spans="2:12">
      <c r="B66" s="30" t="s">
        <v>164</v>
      </c>
      <c r="C66" s="24" t="s">
        <v>165</v>
      </c>
      <c r="D66" s="24" t="s">
        <v>71</v>
      </c>
      <c r="E66" s="31">
        <v>333500</v>
      </c>
      <c r="F66" s="26">
        <v>4377.5200000000004</v>
      </c>
      <c r="G66" s="26">
        <v>0.8</v>
      </c>
      <c r="H66" s="26" t="s">
        <v>17</v>
      </c>
      <c r="K66" s="4"/>
      <c r="L66" s="4"/>
    </row>
    <row r="67" spans="2:12">
      <c r="B67" s="30" t="s">
        <v>166</v>
      </c>
      <c r="C67" s="24" t="s">
        <v>167</v>
      </c>
      <c r="D67" s="24" t="s">
        <v>168</v>
      </c>
      <c r="E67" s="31">
        <v>1000000</v>
      </c>
      <c r="F67" s="26">
        <v>4255.5</v>
      </c>
      <c r="G67" s="26">
        <v>0.78</v>
      </c>
      <c r="H67" s="26" t="s">
        <v>29</v>
      </c>
      <c r="K67" s="4"/>
      <c r="L67" s="4"/>
    </row>
    <row r="68" spans="2:12">
      <c r="B68" s="30" t="s">
        <v>169</v>
      </c>
      <c r="C68" s="24" t="s">
        <v>170</v>
      </c>
      <c r="D68" s="24" t="s">
        <v>39</v>
      </c>
      <c r="E68" s="31">
        <v>200496</v>
      </c>
      <c r="F68" s="26">
        <v>4132.72</v>
      </c>
      <c r="G68" s="26">
        <v>0.75</v>
      </c>
      <c r="H68" s="26" t="s">
        <v>17</v>
      </c>
      <c r="K68" s="4"/>
      <c r="L68" s="4"/>
    </row>
    <row r="69" spans="2:12">
      <c r="B69" s="30" t="s">
        <v>171</v>
      </c>
      <c r="C69" s="24" t="s">
        <v>172</v>
      </c>
      <c r="D69" s="24" t="s">
        <v>128</v>
      </c>
      <c r="E69" s="31">
        <v>259000</v>
      </c>
      <c r="F69" s="26">
        <v>3739.96</v>
      </c>
      <c r="G69" s="26">
        <v>0.68</v>
      </c>
      <c r="H69" s="26" t="s">
        <v>42</v>
      </c>
      <c r="K69" s="4"/>
      <c r="L69" s="4"/>
    </row>
    <row r="70" spans="2:12">
      <c r="B70" s="30" t="s">
        <v>173</v>
      </c>
      <c r="C70" s="24" t="s">
        <v>174</v>
      </c>
      <c r="D70" s="24" t="s">
        <v>39</v>
      </c>
      <c r="E70" s="31">
        <v>412771</v>
      </c>
      <c r="F70" s="26">
        <v>3564.48</v>
      </c>
      <c r="G70" s="26">
        <v>0.65</v>
      </c>
      <c r="H70" s="26" t="s">
        <v>17</v>
      </c>
      <c r="K70" s="4"/>
      <c r="L70" s="4"/>
    </row>
    <row r="71" spans="2:12">
      <c r="B71" s="30" t="s">
        <v>175</v>
      </c>
      <c r="C71" s="24" t="s">
        <v>176</v>
      </c>
      <c r="D71" s="24" t="s">
        <v>48</v>
      </c>
      <c r="E71" s="31">
        <v>684477</v>
      </c>
      <c r="F71" s="26">
        <v>3522.66</v>
      </c>
      <c r="G71" s="26">
        <v>0.64</v>
      </c>
      <c r="H71" s="26" t="s">
        <v>17</v>
      </c>
      <c r="K71" s="4"/>
      <c r="L71" s="4"/>
    </row>
    <row r="72" spans="2:12">
      <c r="B72" s="30" t="s">
        <v>177</v>
      </c>
      <c r="C72" s="24" t="s">
        <v>178</v>
      </c>
      <c r="D72" s="24" t="s">
        <v>45</v>
      </c>
      <c r="E72" s="31">
        <v>149653</v>
      </c>
      <c r="F72" s="26">
        <v>3422.04</v>
      </c>
      <c r="G72" s="26">
        <v>0.62</v>
      </c>
      <c r="H72" s="26" t="s">
        <v>42</v>
      </c>
      <c r="K72" s="4"/>
      <c r="L72" s="4"/>
    </row>
    <row r="73" spans="2:12">
      <c r="B73" s="30" t="s">
        <v>179</v>
      </c>
      <c r="C73" s="24" t="s">
        <v>180</v>
      </c>
      <c r="D73" s="24" t="s">
        <v>128</v>
      </c>
      <c r="E73" s="31">
        <v>77057</v>
      </c>
      <c r="F73" s="26">
        <v>3409.46</v>
      </c>
      <c r="G73" s="26">
        <v>0.62</v>
      </c>
      <c r="H73" s="26" t="s">
        <v>42</v>
      </c>
      <c r="K73" s="4"/>
      <c r="L73" s="4"/>
    </row>
    <row r="74" spans="2:12">
      <c r="B74" s="30" t="s">
        <v>181</v>
      </c>
      <c r="C74" s="24" t="s">
        <v>182</v>
      </c>
      <c r="D74" s="24" t="s">
        <v>63</v>
      </c>
      <c r="E74" s="31">
        <v>1098926</v>
      </c>
      <c r="F74" s="26">
        <v>3386.34</v>
      </c>
      <c r="G74" s="26">
        <v>0.62</v>
      </c>
      <c r="H74" s="26" t="s">
        <v>17</v>
      </c>
      <c r="K74" s="4"/>
      <c r="L74" s="4"/>
    </row>
    <row r="75" spans="2:12">
      <c r="B75" s="30" t="s">
        <v>183</v>
      </c>
      <c r="C75" s="24" t="s">
        <v>184</v>
      </c>
      <c r="D75" s="24" t="s">
        <v>39</v>
      </c>
      <c r="E75" s="31">
        <v>266897</v>
      </c>
      <c r="F75" s="26">
        <v>3282.97</v>
      </c>
      <c r="G75" s="26">
        <v>0.6</v>
      </c>
      <c r="H75" s="26" t="s">
        <v>17</v>
      </c>
      <c r="K75" s="4"/>
      <c r="L75" s="4"/>
    </row>
    <row r="76" spans="2:12">
      <c r="B76" s="30" t="s">
        <v>185</v>
      </c>
      <c r="C76" s="24" t="s">
        <v>186</v>
      </c>
      <c r="D76" s="24" t="s">
        <v>55</v>
      </c>
      <c r="E76" s="31">
        <v>214272</v>
      </c>
      <c r="F76" s="26">
        <v>3157.83</v>
      </c>
      <c r="G76" s="26">
        <v>0.57999999999999996</v>
      </c>
      <c r="H76" s="26" t="s">
        <v>17</v>
      </c>
      <c r="K76" s="4"/>
      <c r="L76" s="4"/>
    </row>
    <row r="77" spans="2:12">
      <c r="B77" s="30" t="s">
        <v>187</v>
      </c>
      <c r="C77" s="24" t="s">
        <v>188</v>
      </c>
      <c r="D77" s="24" t="s">
        <v>39</v>
      </c>
      <c r="E77" s="31">
        <v>470821</v>
      </c>
      <c r="F77" s="26">
        <v>3099.18</v>
      </c>
      <c r="G77" s="26">
        <v>0.56999999999999995</v>
      </c>
      <c r="H77" s="26" t="s">
        <v>17</v>
      </c>
      <c r="K77" s="4"/>
      <c r="L77" s="4"/>
    </row>
    <row r="78" spans="2:12">
      <c r="B78" s="30" t="s">
        <v>189</v>
      </c>
      <c r="C78" s="24" t="s">
        <v>190</v>
      </c>
      <c r="D78" s="24" t="s">
        <v>39</v>
      </c>
      <c r="E78" s="31">
        <v>351730</v>
      </c>
      <c r="F78" s="26">
        <v>3050.73</v>
      </c>
      <c r="G78" s="26">
        <v>0.56000000000000005</v>
      </c>
      <c r="H78" s="26" t="s">
        <v>17</v>
      </c>
      <c r="K78" s="4"/>
      <c r="L78" s="4"/>
    </row>
    <row r="79" spans="2:12">
      <c r="B79" s="30" t="s">
        <v>191</v>
      </c>
      <c r="C79" s="24" t="s">
        <v>192</v>
      </c>
      <c r="D79" s="24" t="s">
        <v>20</v>
      </c>
      <c r="E79" s="31">
        <v>2056234</v>
      </c>
      <c r="F79" s="26">
        <v>2970.23</v>
      </c>
      <c r="G79" s="26">
        <v>0.54</v>
      </c>
      <c r="H79" s="26" t="s">
        <v>17</v>
      </c>
      <c r="K79" s="4"/>
      <c r="L79" s="4"/>
    </row>
    <row r="80" spans="2:12">
      <c r="B80" s="30" t="s">
        <v>193</v>
      </c>
      <c r="C80" s="24" t="s">
        <v>194</v>
      </c>
      <c r="D80" s="24" t="s">
        <v>195</v>
      </c>
      <c r="E80" s="31">
        <v>116459</v>
      </c>
      <c r="F80" s="26">
        <v>2480.34</v>
      </c>
      <c r="G80" s="26">
        <v>0.45</v>
      </c>
      <c r="H80" s="26" t="s">
        <v>17</v>
      </c>
      <c r="K80" s="4"/>
      <c r="L80" s="4"/>
    </row>
    <row r="81" spans="2:12">
      <c r="B81" s="30" t="s">
        <v>196</v>
      </c>
      <c r="C81" s="24" t="s">
        <v>197</v>
      </c>
      <c r="D81" s="24" t="s">
        <v>20</v>
      </c>
      <c r="E81" s="31">
        <v>839673</v>
      </c>
      <c r="F81" s="26">
        <v>2436.73</v>
      </c>
      <c r="G81" s="26">
        <v>0.44</v>
      </c>
      <c r="H81" s="26" t="s">
        <v>17</v>
      </c>
      <c r="K81" s="4"/>
      <c r="L81" s="4"/>
    </row>
    <row r="82" spans="2:12">
      <c r="B82" s="30" t="s">
        <v>198</v>
      </c>
      <c r="C82" s="24" t="s">
        <v>199</v>
      </c>
      <c r="D82" s="24" t="s">
        <v>16</v>
      </c>
      <c r="E82" s="31">
        <v>1279685</v>
      </c>
      <c r="F82" s="26">
        <v>2238.81</v>
      </c>
      <c r="G82" s="26">
        <v>0.41</v>
      </c>
      <c r="H82" s="26" t="s">
        <v>17</v>
      </c>
      <c r="K82" s="4"/>
      <c r="L82" s="4"/>
    </row>
    <row r="83" spans="2:12">
      <c r="B83" s="30" t="s">
        <v>200</v>
      </c>
      <c r="C83" s="24" t="s">
        <v>201</v>
      </c>
      <c r="D83" s="24" t="s">
        <v>139</v>
      </c>
      <c r="E83" s="31">
        <v>472124</v>
      </c>
      <c r="F83" s="26">
        <v>2164.92</v>
      </c>
      <c r="G83" s="26">
        <v>0.39</v>
      </c>
      <c r="H83" s="26" t="s">
        <v>17</v>
      </c>
      <c r="K83" s="4"/>
      <c r="L83" s="4"/>
    </row>
    <row r="84" spans="2:12">
      <c r="B84" s="30" t="s">
        <v>202</v>
      </c>
      <c r="C84" s="24" t="s">
        <v>203</v>
      </c>
      <c r="D84" s="24" t="s">
        <v>116</v>
      </c>
      <c r="E84" s="31">
        <v>5896</v>
      </c>
      <c r="F84" s="26">
        <v>2098.6999999999998</v>
      </c>
      <c r="G84" s="26">
        <v>0.38</v>
      </c>
      <c r="H84" s="26" t="s">
        <v>42</v>
      </c>
      <c r="K84" s="4"/>
      <c r="L84" s="4"/>
    </row>
    <row r="85" spans="2:12">
      <c r="B85" s="30" t="s">
        <v>204</v>
      </c>
      <c r="C85" s="24" t="s">
        <v>205</v>
      </c>
      <c r="D85" s="24" t="s">
        <v>39</v>
      </c>
      <c r="E85" s="31">
        <v>601008</v>
      </c>
      <c r="F85" s="26">
        <v>1887.47</v>
      </c>
      <c r="G85" s="26">
        <v>0.34</v>
      </c>
      <c r="H85" s="26" t="s">
        <v>17</v>
      </c>
      <c r="K85" s="4"/>
      <c r="L85" s="4"/>
    </row>
    <row r="86" spans="2:12">
      <c r="B86" s="30" t="s">
        <v>206</v>
      </c>
      <c r="C86" s="24" t="s">
        <v>207</v>
      </c>
      <c r="D86" s="24" t="s">
        <v>39</v>
      </c>
      <c r="E86" s="31">
        <v>1201467</v>
      </c>
      <c r="F86" s="26">
        <v>1880.9</v>
      </c>
      <c r="G86" s="26">
        <v>0.34</v>
      </c>
      <c r="H86" s="26" t="s">
        <v>17</v>
      </c>
      <c r="K86" s="4"/>
      <c r="L86" s="4"/>
    </row>
    <row r="87" spans="2:12">
      <c r="B87" s="30" t="s">
        <v>208</v>
      </c>
      <c r="C87" s="24" t="s">
        <v>209</v>
      </c>
      <c r="D87" s="24" t="s">
        <v>39</v>
      </c>
      <c r="E87" s="31">
        <v>165016</v>
      </c>
      <c r="F87" s="26">
        <v>1659.4</v>
      </c>
      <c r="G87" s="26">
        <v>0.3</v>
      </c>
      <c r="H87" s="26" t="s">
        <v>17</v>
      </c>
      <c r="K87" s="4"/>
      <c r="L87" s="4"/>
    </row>
    <row r="88" spans="2:12">
      <c r="B88" s="30" t="s">
        <v>210</v>
      </c>
      <c r="C88" s="24" t="s">
        <v>211</v>
      </c>
      <c r="D88" s="24" t="s">
        <v>71</v>
      </c>
      <c r="E88" s="31">
        <v>78710</v>
      </c>
      <c r="F88" s="26">
        <v>1069.51</v>
      </c>
      <c r="G88" s="26">
        <v>0.2</v>
      </c>
      <c r="H88" s="26" t="s">
        <v>42</v>
      </c>
      <c r="K88" s="4"/>
      <c r="L88" s="4"/>
    </row>
    <row r="89" spans="2:12">
      <c r="B89" s="30" t="s">
        <v>212</v>
      </c>
      <c r="C89" s="24" t="s">
        <v>213</v>
      </c>
      <c r="D89" s="24" t="s">
        <v>39</v>
      </c>
      <c r="E89" s="31">
        <v>194200</v>
      </c>
      <c r="F89" s="26">
        <v>1015.47</v>
      </c>
      <c r="G89" s="26">
        <v>0.19</v>
      </c>
      <c r="H89" s="26" t="s">
        <v>17</v>
      </c>
      <c r="K89" s="4"/>
      <c r="L89" s="4"/>
    </row>
    <row r="90" spans="2:12">
      <c r="B90" s="30" t="s">
        <v>214</v>
      </c>
      <c r="C90" s="24" t="s">
        <v>215</v>
      </c>
      <c r="D90" s="24" t="s">
        <v>131</v>
      </c>
      <c r="E90" s="31">
        <v>71446</v>
      </c>
      <c r="F90" s="26">
        <v>291.5</v>
      </c>
      <c r="G90" s="26">
        <v>0.05</v>
      </c>
      <c r="H90" s="26" t="s">
        <v>17</v>
      </c>
      <c r="K90" s="4"/>
      <c r="L90" s="4"/>
    </row>
    <row r="91" spans="2:12">
      <c r="B91" s="36" t="s">
        <v>216</v>
      </c>
      <c r="C91" s="37"/>
      <c r="D91" s="37"/>
      <c r="E91" s="38"/>
      <c r="F91" s="39">
        <f>SUM(F7:F90)</f>
        <v>516601.7300000001</v>
      </c>
      <c r="G91" s="39">
        <f>SUM(G7:G90)</f>
        <v>94.240000000000009</v>
      </c>
      <c r="H91" s="39"/>
      <c r="K91" s="4"/>
      <c r="L91" s="4"/>
    </row>
    <row r="92" spans="2:12">
      <c r="B92" s="40" t="s">
        <v>217</v>
      </c>
      <c r="C92" s="40"/>
      <c r="D92" s="40"/>
      <c r="E92" s="41"/>
      <c r="F92" s="42">
        <f>F91</f>
        <v>516601.7300000001</v>
      </c>
      <c r="G92" s="42">
        <f>G91</f>
        <v>94.240000000000009</v>
      </c>
      <c r="H92" s="42"/>
      <c r="K92" s="4"/>
      <c r="L92" s="4"/>
    </row>
    <row r="93" spans="2:12">
      <c r="B93" s="43" t="s">
        <v>218</v>
      </c>
      <c r="C93" s="44"/>
      <c r="D93" s="44"/>
      <c r="E93" s="45"/>
      <c r="F93" s="46"/>
      <c r="G93" s="46"/>
      <c r="H93" s="46"/>
      <c r="K93" s="4"/>
      <c r="L93" s="4"/>
    </row>
    <row r="94" spans="2:12">
      <c r="B94" s="30" t="s">
        <v>218</v>
      </c>
      <c r="C94" s="30"/>
      <c r="D94" s="24"/>
      <c r="E94" s="25"/>
      <c r="F94" s="26">
        <v>30536.55</v>
      </c>
      <c r="G94" s="26">
        <v>5.57</v>
      </c>
      <c r="H94" s="26"/>
      <c r="K94" s="4"/>
      <c r="L94" s="4"/>
    </row>
    <row r="95" spans="2:12">
      <c r="B95" s="36" t="s">
        <v>216</v>
      </c>
      <c r="C95" s="37"/>
      <c r="D95" s="37"/>
      <c r="E95" s="38"/>
      <c r="F95" s="39">
        <f>SUM(F93:F94)</f>
        <v>30536.55</v>
      </c>
      <c r="G95" s="39">
        <f>SUM(G93:G94)</f>
        <v>5.57</v>
      </c>
      <c r="H95" s="39"/>
      <c r="K95" s="4"/>
      <c r="L95" s="4"/>
    </row>
    <row r="96" spans="2:12">
      <c r="B96" s="47" t="s">
        <v>217</v>
      </c>
      <c r="C96" s="47"/>
      <c r="D96" s="47"/>
      <c r="E96" s="48"/>
      <c r="F96" s="49">
        <f>F95</f>
        <v>30536.55</v>
      </c>
      <c r="G96" s="49">
        <f>G95</f>
        <v>5.57</v>
      </c>
      <c r="H96" s="49"/>
      <c r="K96" s="4"/>
      <c r="L96" s="4"/>
    </row>
    <row r="97" spans="2:12">
      <c r="B97" s="50" t="s">
        <v>219</v>
      </c>
      <c r="C97" s="50"/>
      <c r="D97" s="50"/>
      <c r="E97" s="51"/>
      <c r="F97" s="52">
        <f>F98-(+F92+F96)</f>
        <v>1075.1899999998277</v>
      </c>
      <c r="G97" s="52">
        <f>G98-(+G92+G96)</f>
        <v>0.18999999999999773</v>
      </c>
      <c r="H97" s="52"/>
      <c r="K97" s="4"/>
      <c r="L97" s="4"/>
    </row>
    <row r="98" spans="2:12">
      <c r="B98" s="50" t="s">
        <v>220</v>
      </c>
      <c r="C98" s="50"/>
      <c r="D98" s="50"/>
      <c r="E98" s="51"/>
      <c r="F98" s="52">
        <v>548213.47</v>
      </c>
      <c r="G98" s="52">
        <v>100</v>
      </c>
      <c r="H98" s="52"/>
      <c r="K98" s="4"/>
      <c r="L98" s="4"/>
    </row>
    <row r="99" spans="2:12" ht="12.75" thickBot="1">
      <c r="K99" s="4"/>
      <c r="L99" s="4"/>
    </row>
    <row r="100" spans="2:12" ht="13.5" thickTop="1" thickBot="1">
      <c r="B100" s="55" t="s">
        <v>221</v>
      </c>
      <c r="C100" s="56" t="s">
        <v>222</v>
      </c>
      <c r="K100" s="4"/>
      <c r="L100" s="4"/>
    </row>
    <row r="101" spans="2:12" ht="12.75" thickTop="1">
      <c r="K101" s="4"/>
      <c r="L101" s="4"/>
    </row>
    <row r="102" spans="2:12">
      <c r="K102" s="4"/>
      <c r="L102" s="4"/>
    </row>
    <row r="103" spans="2:12">
      <c r="K103" s="4"/>
      <c r="L103" s="4"/>
    </row>
    <row r="104" spans="2:12">
      <c r="K104" s="4"/>
      <c r="L104" s="4"/>
    </row>
    <row r="105" spans="2:12">
      <c r="K105" s="4"/>
      <c r="L105" s="4"/>
    </row>
    <row r="106" spans="2:12">
      <c r="K106" s="4"/>
      <c r="L106" s="4"/>
    </row>
    <row r="107" spans="2:12">
      <c r="K107" s="4"/>
      <c r="L107" s="4"/>
    </row>
    <row r="108" spans="2:12">
      <c r="K108" s="4"/>
      <c r="L108" s="4"/>
    </row>
    <row r="109" spans="2:12">
      <c r="K109" s="4"/>
      <c r="L109" s="4"/>
    </row>
    <row r="110" spans="2:12">
      <c r="K110" s="4"/>
      <c r="L110" s="4"/>
    </row>
    <row r="111" spans="2:12">
      <c r="K111" s="4"/>
      <c r="L111" s="4"/>
    </row>
    <row r="112" spans="2:12">
      <c r="K112" s="4"/>
      <c r="L112" s="4"/>
    </row>
    <row r="113" spans="11:12">
      <c r="K113" s="4"/>
      <c r="L113" s="4"/>
    </row>
    <row r="114" spans="11:12">
      <c r="K114" s="4"/>
      <c r="L114" s="4"/>
    </row>
    <row r="115" spans="11:12">
      <c r="K115" s="4"/>
      <c r="L115" s="4"/>
    </row>
    <row r="116" spans="11:12">
      <c r="K116" s="4"/>
      <c r="L116" s="4"/>
    </row>
    <row r="117" spans="11:12">
      <c r="K117" s="4"/>
      <c r="L117" s="4"/>
    </row>
    <row r="118" spans="11:12">
      <c r="K118" s="4"/>
      <c r="L118" s="4"/>
    </row>
    <row r="119" spans="11:12">
      <c r="K119" s="4"/>
      <c r="L119" s="4"/>
    </row>
    <row r="120" spans="11:12">
      <c r="K120" s="4"/>
      <c r="L120" s="4"/>
    </row>
    <row r="121" spans="11:12">
      <c r="K121" s="4"/>
      <c r="L121" s="4"/>
    </row>
    <row r="122" spans="11:12">
      <c r="K122" s="4"/>
      <c r="L122" s="4"/>
    </row>
    <row r="123" spans="11:12">
      <c r="K123" s="4"/>
      <c r="L123" s="4"/>
    </row>
    <row r="124" spans="11:12">
      <c r="K124" s="4"/>
      <c r="L124" s="4"/>
    </row>
    <row r="125" spans="11:12">
      <c r="K125" s="4"/>
      <c r="L125" s="4"/>
    </row>
    <row r="126" spans="11:12">
      <c r="K126" s="4"/>
      <c r="L126" s="4"/>
    </row>
    <row r="127" spans="11:12">
      <c r="K127" s="4"/>
      <c r="L127" s="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17:43:50</KDate>
  <Classification>Public</Classification>
  <Subclassification/>
  <HostName>MUMCMP00935</HostName>
  <Domain_User>CANARAROBECOMF/628</Domain_User>
  <IPAdd>192.9.198.194</IPAdd>
  <FilePath>Book7</FilePath>
  <KID>C025A5607E97638188190305045652</KID>
  <UniqueName/>
  <Suggested/>
  <Justification/>
</Klassify>
</file>

<file path=customXml/itemProps1.xml><?xml version="1.0" encoding="utf-8"?>
<ds:datastoreItem xmlns:ds="http://schemas.openxmlformats.org/officeDocument/2006/customXml" ds:itemID="{CF03EF82-5598-4288-AC9C-866792F587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2023-05-04T12:13:43Z</dcterms:created>
  <dcterms:modified xsi:type="dcterms:W3CDTF">2023-05-04T12:13:50Z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C025A5607E97638188190305045652</vt:lpwstr>
  </property>
</Properties>
</file>