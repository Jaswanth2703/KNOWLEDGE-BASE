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65DEB493-E676-4BD6-9A08-585ACE233ECC}" xr6:coauthVersionLast="47" xr6:coauthVersionMax="47" xr10:uidLastSave="{00000000-0000-0000-0000-000000000000}"/>
  <bookViews>
    <workbookView xWindow="-108" yWindow="-108" windowWidth="23256" windowHeight="13176" tabRatio="868" xr2:uid="{2A9D9178-70F0-4035-9099-0F7345F2CD94}"/>
  </bookViews>
  <sheets>
    <sheet name="SMILE" sheetId="1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1" i="15" l="1"/>
  <c r="F81" i="15"/>
  <c r="D158" i="15"/>
  <c r="G147" i="15"/>
  <c r="F148" i="15"/>
  <c r="F147" i="15"/>
</calcChain>
</file>

<file path=xl/sharedStrings.xml><?xml version="1.0" encoding="utf-8"?>
<sst xmlns="http://schemas.openxmlformats.org/spreadsheetml/2006/main" count="496" uniqueCount="261">
  <si>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</si>
  <si>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</si>
  <si>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</si>
  <si>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</si>
  <si>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</si>
  <si>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</si>
  <si>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</si>
  <si>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</si>
  <si>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</si>
  <si>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</si>
  <si>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</si>
  <si>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</si>
  <si>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</si>
  <si>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</si>
  <si>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Banks</t>
  </si>
  <si>
    <t>Aerospace &amp; Defense</t>
  </si>
  <si>
    <t>INE371P01015</t>
  </si>
  <si>
    <t>Amber Enterprises India Ltd</t>
  </si>
  <si>
    <t>Consumer Durables</t>
  </si>
  <si>
    <t>INE823G01014</t>
  </si>
  <si>
    <t>JK Cement Ltd</t>
  </si>
  <si>
    <t>Electrical Equipment</t>
  </si>
  <si>
    <t>INE742F01042</t>
  </si>
  <si>
    <t>Adani Ports and Special Economic Zone Ltd</t>
  </si>
  <si>
    <t>Transport Infrastructure</t>
  </si>
  <si>
    <t>INE220B01022</t>
  </si>
  <si>
    <t>Kalpataru Projects International Ltd</t>
  </si>
  <si>
    <t>INE791I01019</t>
  </si>
  <si>
    <t>Brigade Enterprises Ltd</t>
  </si>
  <si>
    <t>Realty</t>
  </si>
  <si>
    <t>INE419M01027</t>
  </si>
  <si>
    <t>TD Power Systems Ltd</t>
  </si>
  <si>
    <t>INE284A01012</t>
  </si>
  <si>
    <t>ESAB India Ltd</t>
  </si>
  <si>
    <t>Industrial Products</t>
  </si>
  <si>
    <t>INE00LO01017</t>
  </si>
  <si>
    <t>Craftsman Automation Ltd</t>
  </si>
  <si>
    <t>Auto Components</t>
  </si>
  <si>
    <t>INE999A01023</t>
  </si>
  <si>
    <t>KSB LTD</t>
  </si>
  <si>
    <t>Gas</t>
  </si>
  <si>
    <t>Finance</t>
  </si>
  <si>
    <t>INE284S01014</t>
  </si>
  <si>
    <t>S.J.S. Enterprises Ltd</t>
  </si>
  <si>
    <t>INE671H01015</t>
  </si>
  <si>
    <t>Sobha Ltd</t>
  </si>
  <si>
    <t>Industrial Manufacturing</t>
  </si>
  <si>
    <t>INE878B01027</t>
  </si>
  <si>
    <t>KEI Industries Ltd</t>
  </si>
  <si>
    <t>INE00M201021</t>
  </si>
  <si>
    <t>Sterling and Wilson Renewable Energy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</si>
  <si>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</si>
  <si>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</si>
  <si>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</si>
  <si>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</si>
  <si>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</si>
  <si>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</si>
  <si>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</si>
  <si>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</si>
  <si>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</si>
  <si>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</si>
  <si>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</si>
  <si>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</si>
  <si>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</si>
  <si>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</si>
  <si>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</si>
  <si>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</si>
  <si>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</si>
  <si>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</si>
  <si>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</si>
  <si>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</si>
  <si>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</si>
  <si>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</si>
  <si>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</si>
  <si>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</si>
  <si>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</si>
  <si>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</si>
  <si>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</si>
  <si>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</si>
  <si>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</si>
  <si>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</si>
  <si>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</si>
  <si>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</si>
  <si>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</si>
  <si>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</si>
  <si>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</si>
  <si>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</si>
  <si>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</si>
  <si>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</si>
  <si>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</si>
  <si>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</si>
  <si>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</si>
  <si>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</si>
  <si>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</si>
  <si>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</si>
  <si>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Pharmaceuticals &amp; Biotechnology</t>
  </si>
  <si>
    <t>Healthcare Services</t>
  </si>
  <si>
    <t>It - Software</t>
  </si>
  <si>
    <t>Agricultural Food &amp; Other Products</t>
  </si>
  <si>
    <t>Beverages</t>
  </si>
  <si>
    <t>Leisure Services</t>
  </si>
  <si>
    <t>Retailing</t>
  </si>
  <si>
    <t>Capital Markets</t>
  </si>
  <si>
    <t>INE427F01016</t>
  </si>
  <si>
    <t>Chalet Hotels Ltd</t>
  </si>
  <si>
    <t>INE288B01029</t>
  </si>
  <si>
    <t>Deepak Nitrite Ltd</t>
  </si>
  <si>
    <t>Chemicals &amp; Petrochemicals</t>
  </si>
  <si>
    <t>Automobiles</t>
  </si>
  <si>
    <t>Insurance</t>
  </si>
  <si>
    <t>INE596I01012</t>
  </si>
  <si>
    <t>Computer Age Management Services Ltd</t>
  </si>
  <si>
    <t>INE246F01010</t>
  </si>
  <si>
    <t>Gujarat State Petronet Ltd</t>
  </si>
  <si>
    <t>INE134E01011</t>
  </si>
  <si>
    <t>Power Finance Corporation Ltd</t>
  </si>
  <si>
    <t>INE974X01010</t>
  </si>
  <si>
    <t>Tube Investments of India Ltd</t>
  </si>
  <si>
    <t>INE548C01032</t>
  </si>
  <si>
    <t>Emami Ltd</t>
  </si>
  <si>
    <t>Personal Products</t>
  </si>
  <si>
    <t>INE048G01026</t>
  </si>
  <si>
    <t>Navin Fluorine International Ltd</t>
  </si>
  <si>
    <t>INF173K01GU0</t>
  </si>
  <si>
    <t>Sundaram Liquid Fund - Direct Growth</t>
  </si>
  <si>
    <t>INE040A01034</t>
  </si>
  <si>
    <t>HDFC Bank Ltd</t>
  </si>
  <si>
    <t>INE00WC01027</t>
  </si>
  <si>
    <t>Affle (India) Ltd</t>
  </si>
  <si>
    <t>It - Services</t>
  </si>
  <si>
    <t>INE745G01035</t>
  </si>
  <si>
    <t>Multi Commodity Exchange of India Ltd</t>
  </si>
  <si>
    <t>INE758T01015</t>
  </si>
  <si>
    <t>Zomato Ltd</t>
  </si>
  <si>
    <t>INE155A01022</t>
  </si>
  <si>
    <t>Tata Motors Ltd</t>
  </si>
  <si>
    <t>INE944F01028</t>
  </si>
  <si>
    <t>Radico Khaitan Ltd</t>
  </si>
  <si>
    <t>Textiles &amp; Apparels</t>
  </si>
  <si>
    <t>Entertainment</t>
  </si>
  <si>
    <t>Sovereign</t>
  </si>
  <si>
    <t>INE914M01019</t>
  </si>
  <si>
    <t>Aster DM Healthcare Ltd</t>
  </si>
  <si>
    <t>INE429E01023</t>
  </si>
  <si>
    <t>Safari Industries (India) Ltd</t>
  </si>
  <si>
    <t>INE679A01013</t>
  </si>
  <si>
    <t>CSB Bank Ltd</t>
  </si>
  <si>
    <t>INE551W01018</t>
  </si>
  <si>
    <t>Ujjivan Small Finance Bank Ltd</t>
  </si>
  <si>
    <t>INE572A01036</t>
  </si>
  <si>
    <t>JB Chemicals &amp; Pharmaceuticals Ltd</t>
  </si>
  <si>
    <t>INE732I01013</t>
  </si>
  <si>
    <t>Angel One Ltd</t>
  </si>
  <si>
    <t>INE063P01018</t>
  </si>
  <si>
    <t>Equitas Small Finance Bank Limited</t>
  </si>
  <si>
    <t>Other Consumer Services</t>
  </si>
  <si>
    <t>INE0CLI01024</t>
  </si>
  <si>
    <t>Rate Gain Travel Technologies Ltd</t>
  </si>
  <si>
    <t>INE743M01012</t>
  </si>
  <si>
    <t>RHI Magnesita India Ltd</t>
  </si>
  <si>
    <t>INE149A01033</t>
  </si>
  <si>
    <t>Cholamandalam Financial Holdings Ltd</t>
  </si>
  <si>
    <t>INE191H01014</t>
  </si>
  <si>
    <t>PVR INOX Ltd</t>
  </si>
  <si>
    <t>INE947Q01028</t>
  </si>
  <si>
    <t>Laurus Labs Ltd</t>
  </si>
  <si>
    <t>INE274F01020</t>
  </si>
  <si>
    <t>Westlife Foodworld Ltd</t>
  </si>
  <si>
    <t>INE836A01035</t>
  </si>
  <si>
    <t>Birlasoft Ltd</t>
  </si>
  <si>
    <t>INE741K01010</t>
  </si>
  <si>
    <t>Creditaccess Grameen Ltd</t>
  </si>
  <si>
    <t>INE411H01032</t>
  </si>
  <si>
    <t>R Systems International Ltd</t>
  </si>
  <si>
    <t>INE295F01017</t>
  </si>
  <si>
    <t>Butterfly Gandhimathi Appliances Ltd</t>
  </si>
  <si>
    <t>INE120A01034</t>
  </si>
  <si>
    <t>Carborundum Universal Ltd</t>
  </si>
  <si>
    <t>INE227C01017</t>
  </si>
  <si>
    <t>MM Forgings Ltd</t>
  </si>
  <si>
    <t>INE340A01012</t>
  </si>
  <si>
    <t>Birla Corporation Ltd</t>
  </si>
  <si>
    <t>INE386D01027</t>
  </si>
  <si>
    <t>Shivalik Bimetal Controls Ltd</t>
  </si>
  <si>
    <t>Sundaram Small Cap Fund</t>
  </si>
  <si>
    <t>INE572E01012</t>
  </si>
  <si>
    <t>PNB Housing Finance Ltd</t>
  </si>
  <si>
    <t>INE119A01028</t>
  </si>
  <si>
    <t>Balrampur Chini Mills Ltd</t>
  </si>
  <si>
    <t>INE126A01031</t>
  </si>
  <si>
    <t>EID Parry India Ltd</t>
  </si>
  <si>
    <t>Food Products</t>
  </si>
  <si>
    <t>INE0UOS01011</t>
  </si>
  <si>
    <t>Sanofi Consumer Healthcare India Ltd</t>
  </si>
  <si>
    <t>INE864I01014</t>
  </si>
  <si>
    <t>MTAR Technologies Ltd</t>
  </si>
  <si>
    <t>INE794A01010</t>
  </si>
  <si>
    <t>Neuland Laboratories Ltd</t>
  </si>
  <si>
    <t>INE503A01015</t>
  </si>
  <si>
    <t>DCB Bank Ltd</t>
  </si>
  <si>
    <t>INE570A01022</t>
  </si>
  <si>
    <t>Ion Exchange (India) Ltd</t>
  </si>
  <si>
    <t>Other Utilities</t>
  </si>
  <si>
    <t>INE482A01020</t>
  </si>
  <si>
    <t>Ceat Ltd</t>
  </si>
  <si>
    <t>INE177F01017</t>
  </si>
  <si>
    <t>Kovai Medical Center &amp; Hospital Ltd</t>
  </si>
  <si>
    <t>INE011K01018</t>
  </si>
  <si>
    <t>Tega Industries Ltd</t>
  </si>
  <si>
    <t>INE342G01023</t>
  </si>
  <si>
    <t>NIIT Learning Systems Ltd</t>
  </si>
  <si>
    <t>INE00F201020</t>
  </si>
  <si>
    <t>Prudent Corporate Advisory Services Ltd</t>
  </si>
  <si>
    <t>INE142Z01019</t>
  </si>
  <si>
    <t>Orient Electric Ltd</t>
  </si>
  <si>
    <t>INE136B01020</t>
  </si>
  <si>
    <t>Cyient Ltd</t>
  </si>
  <si>
    <t>INE640A01023</t>
  </si>
  <si>
    <t>SKF India Ltd</t>
  </si>
  <si>
    <t>INE136S01016</t>
  </si>
  <si>
    <t>Neogen Chemicals Ltd</t>
  </si>
  <si>
    <t>INE094J01016</t>
  </si>
  <si>
    <t>UTI Asset Management Co Ltd</t>
  </si>
  <si>
    <t>INE456Z01021</t>
  </si>
  <si>
    <t>Medi Assist Healthcare Services Ltd</t>
  </si>
  <si>
    <t>INE02YR01019</t>
  </si>
  <si>
    <t>Electronics Mart India Ltd</t>
  </si>
  <si>
    <t>INE930H01031</t>
  </si>
  <si>
    <t>K.P.R. Mill Ltd</t>
  </si>
  <si>
    <t>INE602W01027</t>
  </si>
  <si>
    <t>Senco Gold Ltd</t>
  </si>
  <si>
    <t>INE0LMW01024</t>
  </si>
  <si>
    <t>Cello World Ltd</t>
  </si>
  <si>
    <t>INE0V7W01012</t>
  </si>
  <si>
    <t>Carraro India Ltd</t>
  </si>
  <si>
    <t>Stock Future</t>
  </si>
  <si>
    <t>IN002024Z057</t>
  </si>
  <si>
    <t>Margin Money For Derivatives</t>
  </si>
  <si>
    <t>YTM (%)</t>
  </si>
  <si>
    <t>Monthly Portfolio Statement for the month ended 31 March 2025</t>
  </si>
  <si>
    <t>Index</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</si>
  <si>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</si>
  <si>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</si>
  <si>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</si>
  <si>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</si>
  <si>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</si>
  <si>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</si>
  <si>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</si>
  <si>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</si>
  <si>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d) IDCW declared during the period (Rupees per unit)</t>
  </si>
  <si>
    <t>Scheme Riskometer :</t>
  </si>
  <si>
    <t>Tier I Benchmark Riskometer :</t>
  </si>
  <si>
    <t>Tier II Benchmark Riskometer :</t>
  </si>
  <si>
    <t>Angel One Ltd April 2025</t>
  </si>
  <si>
    <t>Cash and Other Net Current Assets^</t>
  </si>
  <si>
    <t>Annexure – A</t>
  </si>
  <si>
    <t xml:space="preserve">           Nifty Small Cap 250 TRI</t>
  </si>
  <si>
    <t xml:space="preserve">           Nifty Small Cap 100 TRI</t>
  </si>
  <si>
    <t>Direct Plan - IDCW</t>
  </si>
  <si>
    <t>Regular Plan - IDCW</t>
  </si>
  <si>
    <t>364 Days - T Bill - 02/05/2025*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</si>
</sst>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
    <numFmt numFmtId="175" formatCode="_(* #,##0.00_);_(* \(#,##0.00\);_(* &quot;-&quot;??_);_(@_)"/>
  </numFmts>
  <fonts count="17"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i/>
      <sz val="10"/>
      <color indexed="8"/>
      <name val="Calibri"/>
      <family val="2"/>
    </font>
    <font>
      <b/>
      <sz val="10"/>
      <name val="Arial"/>
      <family val="2"/>
    </font>
    <font>
      <b/>
      <sz val="10"/>
      <color indexed="8"/>
      <name val="Calibri"/>
      <family val="2"/>
    </font>
    <font>
      <sz val="10"/>
      <name val="Arial"/>
      <family val="2"/>
    </font>
    <font>
      <sz val="11"/>
      <color indexed="8"/>
      <name val="Calibri"/>
      <family val="2"/>
    </font>
  </fonts>
  <fills count="2">
    <fill>
      <patternFill patternType="none"/>
    </fill>
    <fill>
      <patternFill patternType="gray125"/>
    </fill>
  </fills>
  <borders count="1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3">
    <xf numFmtId="0" fontId="0" fillId="0" borderId="0">
      <alignment wrapText="1"/>
    </xf>
    <xf numFmtId="0" fontId="9" fillId="0" borderId="0" applyNumberFormat="0" applyFill="0" applyBorder="0" applyAlignment="0" applyProtection="0">
      <alignment wrapText="1"/>
    </xf>
    <xf numFmtId="0" fontId="4" fillId="0" borderId="0"/>
    <xf numFmtId="0" fontId="15" fillId="0" borderId="0">
      <alignment wrapText="1"/>
    </xf>
    <xf numFmtId="0" fontId="15" fillId="0" borderId="0">
      <alignment wrapText="1"/>
    </xf>
    <xf numFmtId="43" fontId="3" fillId="0" borderId="0" applyFont="0" applyFill="0" applyBorder="0" applyAlignment="0" applyProtection="0"/>
    <xf numFmtId="0" fontId="3" fillId="0" borderId="0"/>
    <xf numFmtId="0" fontId="2" fillId="0" borderId="0"/>
    <xf numFmtId="0" fontId="15" fillId="0" borderId="0">
      <alignment wrapText="1"/>
    </xf>
    <xf numFmtId="0" fontId="1" fillId="0" borderId="0"/>
    <xf numFmtId="0" fontId="15" fillId="0" borderId="0"/>
    <xf numFmtId="175" fontId="16" fillId="0" borderId="0" applyFont="0" applyFill="0" applyBorder="0" applyAlignment="0" applyProtection="0"/>
    <xf numFmtId="9" fontId="16" fillId="0" borderId="0" applyFont="0" applyFill="0" applyBorder="0" applyAlignment="0" applyProtection="0"/>
  </cellStyleXfs>
  <cellXfs count="58">
    <xf numFmtId="0" fontId="0" fillId="0" borderId="0" xfId="0">
      <alignment wrapText="1"/>
    </xf>
    <xf numFmtId="0" fontId="10" fillId="0" borderId="0" xfId="1" applyFont="1" applyFill="1" applyBorder="1" applyAlignment="1">
      <alignment horizontal="center" vertical="center" wrapText="1"/>
    </xf>
    <xf numFmtId="0" fontId="8" fillId="0" borderId="9" xfId="0" applyFont="1" applyBorder="1" applyAlignment="1">
      <alignment horizontal="center" vertical="center" wrapText="1" readingOrder="1"/>
    </xf>
    <xf numFmtId="0" fontId="8" fillId="0" borderId="7"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6" fontId="11" fillId="0" borderId="8"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5" fontId="5" fillId="0" borderId="4" xfId="0" applyNumberFormat="1" applyFont="1" applyBorder="1" applyAlignment="1">
      <alignment horizontal="right" vertical="center" wrapText="1" readingOrder="1"/>
    </xf>
    <xf numFmtId="166"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6"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11"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12" fillId="0" borderId="0" xfId="0" applyFont="1" applyAlignment="1">
      <alignment horizontal="left" vertical="center" wrapText="1" readingOrder="1"/>
    </xf>
    <xf numFmtId="0" fontId="11" fillId="0" borderId="0" xfId="0" applyFont="1" applyAlignment="1">
      <alignment horizontal="left" vertical="center" wrapText="1" readingOrder="1"/>
    </xf>
    <xf numFmtId="0" fontId="13" fillId="0" borderId="0" xfId="0" applyFont="1" applyAlignment="1">
      <alignment horizontal="center" vertical="center" wrapText="1"/>
    </xf>
    <xf numFmtId="0" fontId="12" fillId="0" borderId="0" xfId="2" applyFont="1" applyAlignment="1">
      <alignment horizontal="left" vertical="center" wrapText="1" readingOrder="1"/>
    </xf>
    <xf numFmtId="0" fontId="4" fillId="0" borderId="0" xfId="2" applyAlignment="1">
      <alignment wrapText="1"/>
    </xf>
    <xf numFmtId="0" fontId="7" fillId="0" borderId="0" xfId="0" applyFont="1" applyAlignment="1">
      <alignment horizontal="left" vertical="center" wrapText="1" readingOrder="1"/>
    </xf>
    <xf numFmtId="0" fontId="7" fillId="0" borderId="6" xfId="0" applyFont="1" applyBorder="1" applyAlignment="1">
      <alignment horizontal="right" vertical="center" wrapText="1" readingOrder="1"/>
    </xf>
    <xf numFmtId="0" fontId="7" fillId="0" borderId="0" xfId="0" applyFont="1" applyAlignment="1">
      <alignment horizontal="right" vertical="center" wrapText="1" readingOrder="1"/>
    </xf>
    <xf numFmtId="0" fontId="14" fillId="0" borderId="4" xfId="0" applyFont="1" applyBorder="1" applyAlignment="1">
      <alignment horizontal="left" vertical="center" wrapText="1" readingOrder="1"/>
    </xf>
    <xf numFmtId="0" fontId="11" fillId="0" borderId="0" xfId="0" applyFont="1" applyAlignment="1">
      <alignment horizontal="right" vertical="top" wrapText="1" readingOrder="1"/>
    </xf>
    <xf numFmtId="0" fontId="14" fillId="0" borderId="4" xfId="0" applyFont="1" applyBorder="1" applyAlignment="1">
      <alignment horizontal="right" vertical="top" wrapText="1" readingOrder="1"/>
    </xf>
    <xf numFmtId="0" fontId="14" fillId="0" borderId="4" xfId="0" applyFont="1" applyBorder="1" applyAlignment="1">
      <alignment horizontal="center" vertical="top" wrapText="1" readingOrder="1"/>
    </xf>
    <xf numFmtId="15" fontId="14" fillId="0" borderId="4" xfId="0" applyNumberFormat="1" applyFont="1" applyBorder="1" applyAlignment="1">
      <alignment horizontal="right" vertical="top" wrapText="1" readingOrder="1"/>
    </xf>
    <xf numFmtId="0" fontId="5" fillId="0" borderId="0" xfId="0" applyFont="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11" fillId="0" borderId="0" xfId="0" applyFont="1" applyAlignment="1">
      <alignment horizontal="right" vertical="center" wrapText="1" readingOrder="1"/>
    </xf>
    <xf numFmtId="0" fontId="11" fillId="0" borderId="6" xfId="0" applyFont="1" applyBorder="1" applyAlignment="1">
      <alignment horizontal="right" vertical="top" wrapText="1" readingOrder="1"/>
    </xf>
    <xf numFmtId="170" fontId="14" fillId="0" borderId="4" xfId="0" applyNumberFormat="1" applyFont="1" applyBorder="1" applyAlignment="1">
      <alignment horizontal="left" vertical="center" wrapText="1" readingOrder="1"/>
    </xf>
    <xf numFmtId="0" fontId="13" fillId="0" borderId="0" xfId="0" applyFont="1" applyAlignment="1"/>
    <xf numFmtId="0" fontId="0" fillId="0" borderId="0" xfId="0" applyAlignment="1"/>
    <xf numFmtId="171" fontId="5"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0" fillId="0" borderId="0" xfId="0" applyAlignment="1">
      <alignment horizontal="center" vertical="top" readingOrder="1"/>
    </xf>
    <xf numFmtId="0" fontId="8" fillId="0" borderId="8" xfId="0" applyFont="1" applyBorder="1" applyAlignment="1">
      <alignment horizontal="center" vertical="center" wrapText="1"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5" fillId="0" borderId="1"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6" fillId="0" borderId="2"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11" fillId="0" borderId="0" xfId="0" applyFont="1" applyAlignment="1">
      <alignment horizontal="left" vertical="center" wrapText="1" readingOrder="1"/>
    </xf>
    <xf numFmtId="0" fontId="11" fillId="0" borderId="0" xfId="0" applyFont="1" applyAlignment="1">
      <alignment horizontal="justify" vertical="top" wrapText="1" readingOrder="1"/>
    </xf>
    <xf numFmtId="0" fontId="13" fillId="0" borderId="0" xfId="0" applyFont="1" applyAlignment="1">
      <alignment horizontal="left" vertical="top" wrapText="1"/>
    </xf>
  </cellXfs>
  <cellStyles count="13">
    <cellStyle name="Comma 2" xfId="5" xr:uid="{C68CEF02-B626-4C78-98C6-0E2EEEE8B624}"/>
    <cellStyle name="Comma 3" xfId="11" xr:uid="{61D3BF83-C40D-4C0A-AB2E-CAEBFABFDC28}"/>
    <cellStyle name="Hyperlink 2" xfId="1" xr:uid="{DB6F48AC-E6AC-487D-93D1-4A2E47137506}"/>
    <cellStyle name="Normal" xfId="0" builtinId="0"/>
    <cellStyle name="Normal 2" xfId="3" xr:uid="{1305B081-66EF-4023-812A-9AD371508338}"/>
    <cellStyle name="Normal 2 2" xfId="4" xr:uid="{7C871E4D-6019-4116-8BD0-DED574871582}"/>
    <cellStyle name="Normal 2 2 2" xfId="7" xr:uid="{45AEB3BE-7D32-44DF-B725-CB2C91F6D28D}"/>
    <cellStyle name="Normal 2 2 3 2 2 3" xfId="2" xr:uid="{03130F16-1ADA-4936-838F-E8AEEB69260F}"/>
    <cellStyle name="Normal 2 2 3 2 2 3 2" xfId="6" xr:uid="{53E5CB41-5BEF-443A-932E-D7088ED58A2A}"/>
    <cellStyle name="Normal 2 3" xfId="10" xr:uid="{161B987B-C132-4620-B576-7FD0E3208FD5}"/>
    <cellStyle name="Normal 3" xfId="8" xr:uid="{F169E576-0F78-489F-82C6-92BAA2B9EB08}"/>
    <cellStyle name="Normal 4" xfId="9" xr:uid="{254AE090-8887-4C82-8FFC-5AA1A0E7045C}"/>
    <cellStyle name="Percent 2" xfId="12" xr:uid="{B838D174-AD84-435F-ACFD-E7B049399E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2033005</xdr:colOff>
      <xdr:row>176</xdr:row>
      <xdr:rowOff>27375</xdr:rowOff>
    </xdr:to>
    <xdr:pic>
      <xdr:nvPicPr>
        <xdr:cNvPr id="5" name="Picture 4">
          <a:extLst>
            <a:ext uri="{FF2B5EF4-FFF2-40B4-BE49-F238E27FC236}">
              <a16:creationId xmlns:a16="http://schemas.microsoft.com/office/drawing/2014/main" id="{FA1D3F8D-E2F7-4948-A6E9-16A645188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746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180</xdr:row>
      <xdr:rowOff>0</xdr:rowOff>
    </xdr:from>
    <xdr:to>
      <xdr:col>2</xdr:col>
      <xdr:colOff>2033005</xdr:colOff>
      <xdr:row>180</xdr:row>
      <xdr:rowOff>1980000</xdr:rowOff>
    </xdr:to>
    <xdr:pic>
      <xdr:nvPicPr>
        <xdr:cNvPr id="6" name="Picture 5">
          <a:extLst>
            <a:ext uri="{FF2B5EF4-FFF2-40B4-BE49-F238E27FC236}">
              <a16:creationId xmlns:a16="http://schemas.microsoft.com/office/drawing/2014/main" id="{ADBA68AF-E88C-4C8D-96E8-3264553FB5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347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xdr:row>
      <xdr:rowOff>0</xdr:rowOff>
    </xdr:from>
    <xdr:to>
      <xdr:col>6</xdr:col>
      <xdr:colOff>728080</xdr:colOff>
      <xdr:row>180</xdr:row>
      <xdr:rowOff>1980000</xdr:rowOff>
    </xdr:to>
    <xdr:pic>
      <xdr:nvPicPr>
        <xdr:cNvPr id="7" name="Picture 6">
          <a:extLst>
            <a:ext uri="{FF2B5EF4-FFF2-40B4-BE49-F238E27FC236}">
              <a16:creationId xmlns:a16="http://schemas.microsoft.com/office/drawing/2014/main" id="{A7EF5091-0B40-4D37-A5AE-0BD8B819DF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4347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D049-266D-4672-9A79-8681F4E94CF3}">
  <sheetPr>
    <outlinePr summaryBelow="0" summaryRight="0"/>
  </sheetPr>
  <dimension ref="A1:Q201"/>
  <sheetViews>
    <sheetView showGridLines="0" tabSelected="1" workbookViewId="0">
      <selection sqref="A1:H1"/>
    </sheetView>
  </sheetViews>
  <sheetFormatPr defaultRowHeight="13.2" x14ac:dyDescent="0.25"/>
  <cols>
    <col min="1" max="1" width="5.88671875" bestFit="1" customWidth="1"/>
    <col min="2" max="2" width="19.6640625" bestFit="1" customWidth="1"/>
    <col min="3" max="3" width="39.109375" bestFit="1" customWidth="1"/>
    <col min="4" max="4" width="17.6640625" bestFit="1" customWidth="1"/>
    <col min="5" max="5" width="11.44140625" bestFit="1" customWidth="1"/>
    <col min="6" max="6" width="10.109375" bestFit="1" customWidth="1"/>
    <col min="7" max="7" width="14" bestFit="1" customWidth="1"/>
    <col min="8" max="8" width="8.44140625" bestFit="1" customWidth="1"/>
    <col min="9" max="9" width="8" customWidth="1"/>
  </cols>
  <sheetData>
    <row r="1" spans="1:9" ht="14.4" x14ac:dyDescent="0.25">
      <c r="A1" s="47" t="s">
        <v>0</v>
      </c>
      <c r="B1" s="47"/>
      <c r="C1" s="47"/>
      <c r="D1" s="47"/>
      <c r="E1" s="47"/>
      <c r="F1" s="47"/>
      <c r="G1" s="47"/>
      <c r="H1" s="47"/>
      <c r="I1" s="1" t="s">
        <v>240</v>
      </c>
    </row>
    <row r="2" spans="1:9" ht="14.4" x14ac:dyDescent="0.25">
      <c r="A2" s="47" t="s">
        <v>184</v>
      </c>
      <c r="B2" s="47"/>
      <c r="C2" s="47"/>
      <c r="D2" s="47"/>
      <c r="E2" s="47"/>
      <c r="F2" s="47"/>
      <c r="G2" s="47"/>
      <c r="H2" s="47"/>
    </row>
    <row r="3" spans="1:9" ht="14.4" x14ac:dyDescent="0.25">
      <c r="A3" s="47" t="s">
        <v>239</v>
      </c>
      <c r="B3" s="47"/>
      <c r="C3" s="47"/>
      <c r="D3" s="47"/>
      <c r="E3" s="47"/>
      <c r="F3" s="47"/>
      <c r="G3" s="47"/>
      <c r="H3" s="47"/>
    </row>
    <row r="4" spans="1:9" s="4" customFormat="1" ht="28.8" x14ac:dyDescent="0.25">
      <c r="A4" s="2" t="s">
        <v>1</v>
      </c>
      <c r="B4" s="2" t="s">
        <v>2</v>
      </c>
      <c r="C4" s="2" t="s">
        <v>3</v>
      </c>
      <c r="D4" s="2" t="s">
        <v>4</v>
      </c>
      <c r="E4" s="2" t="s">
        <v>5</v>
      </c>
      <c r="F4" s="2" t="s">
        <v>6</v>
      </c>
      <c r="G4" s="2" t="s">
        <v>7</v>
      </c>
      <c r="H4" s="3" t="s">
        <v>238</v>
      </c>
    </row>
    <row r="5" spans="1:9" ht="13.8" x14ac:dyDescent="0.25">
      <c r="A5" s="5"/>
      <c r="B5" s="5"/>
      <c r="C5" s="6" t="s">
        <v>8</v>
      </c>
      <c r="D5" s="5"/>
      <c r="E5" s="5"/>
      <c r="F5" s="5"/>
      <c r="G5" s="5"/>
      <c r="H5" s="7" t="s">
        <v>57</v>
      </c>
    </row>
    <row r="6" spans="1:9" ht="13.8" x14ac:dyDescent="0.25">
      <c r="A6" s="5"/>
      <c r="B6" s="5"/>
      <c r="C6" s="6" t="s">
        <v>9</v>
      </c>
      <c r="D6" s="5"/>
      <c r="E6" s="5"/>
      <c r="F6" s="5"/>
      <c r="G6" s="5"/>
      <c r="H6" s="7" t="s">
        <v>57</v>
      </c>
    </row>
    <row r="7" spans="1:9" ht="13.8" x14ac:dyDescent="0.25">
      <c r="A7" s="8">
        <v>1</v>
      </c>
      <c r="B7" s="9" t="s">
        <v>141</v>
      </c>
      <c r="C7" s="9" t="s">
        <v>142</v>
      </c>
      <c r="D7" s="9" t="s">
        <v>96</v>
      </c>
      <c r="E7" s="10">
        <v>1898655</v>
      </c>
      <c r="F7" s="11">
        <v>9179.9969249999995</v>
      </c>
      <c r="G7" s="12">
        <v>3.1063239999999999E-2</v>
      </c>
      <c r="H7" s="7" t="s">
        <v>57</v>
      </c>
    </row>
    <row r="8" spans="1:9" ht="13.8" x14ac:dyDescent="0.25">
      <c r="A8" s="8">
        <v>2</v>
      </c>
      <c r="B8" s="9" t="s">
        <v>127</v>
      </c>
      <c r="C8" s="9" t="s">
        <v>128</v>
      </c>
      <c r="D8" s="9" t="s">
        <v>129</v>
      </c>
      <c r="E8" s="10">
        <v>509862</v>
      </c>
      <c r="F8" s="11">
        <v>8201.3852009999991</v>
      </c>
      <c r="G8" s="12">
        <v>2.7751809999999998E-2</v>
      </c>
      <c r="H8" s="7" t="s">
        <v>57</v>
      </c>
    </row>
    <row r="9" spans="1:9" ht="13.8" x14ac:dyDescent="0.25">
      <c r="A9" s="8">
        <v>3</v>
      </c>
      <c r="B9" s="9" t="s">
        <v>143</v>
      </c>
      <c r="C9" s="9" t="s">
        <v>144</v>
      </c>
      <c r="D9" s="9" t="s">
        <v>18</v>
      </c>
      <c r="E9" s="10">
        <v>400720</v>
      </c>
      <c r="F9" s="11">
        <v>7920.2308000000003</v>
      </c>
      <c r="G9" s="12">
        <v>2.680045E-2</v>
      </c>
      <c r="H9" s="7" t="s">
        <v>57</v>
      </c>
    </row>
    <row r="10" spans="1:9" ht="13.8" x14ac:dyDescent="0.25">
      <c r="A10" s="8">
        <v>4</v>
      </c>
      <c r="B10" s="9" t="s">
        <v>160</v>
      </c>
      <c r="C10" s="9" t="s">
        <v>161</v>
      </c>
      <c r="D10" s="9" t="s">
        <v>41</v>
      </c>
      <c r="E10" s="10">
        <v>434995</v>
      </c>
      <c r="F10" s="11">
        <v>7618.7199275000003</v>
      </c>
      <c r="G10" s="12">
        <v>2.5780190000000001E-2</v>
      </c>
      <c r="H10" s="7" t="s">
        <v>57</v>
      </c>
    </row>
    <row r="11" spans="1:9" ht="13.8" x14ac:dyDescent="0.25">
      <c r="A11" s="8">
        <v>5</v>
      </c>
      <c r="B11" s="9" t="s">
        <v>185</v>
      </c>
      <c r="C11" s="9" t="s">
        <v>186</v>
      </c>
      <c r="D11" s="9" t="s">
        <v>41</v>
      </c>
      <c r="E11" s="10">
        <v>815542</v>
      </c>
      <c r="F11" s="11">
        <v>7189.0027300000002</v>
      </c>
      <c r="G11" s="12">
        <v>2.432612E-2</v>
      </c>
      <c r="H11" s="7" t="s">
        <v>57</v>
      </c>
    </row>
    <row r="12" spans="1:9" ht="13.8" x14ac:dyDescent="0.25">
      <c r="A12" s="8">
        <v>6</v>
      </c>
      <c r="B12" s="9" t="s">
        <v>35</v>
      </c>
      <c r="C12" s="9" t="s">
        <v>36</v>
      </c>
      <c r="D12" s="9" t="s">
        <v>37</v>
      </c>
      <c r="E12" s="10">
        <v>137582</v>
      </c>
      <c r="F12" s="11">
        <v>6710.2868859999999</v>
      </c>
      <c r="G12" s="12">
        <v>2.2706239999999999E-2</v>
      </c>
      <c r="H12" s="7" t="s">
        <v>57</v>
      </c>
    </row>
    <row r="13" spans="1:9" ht="13.8" x14ac:dyDescent="0.25">
      <c r="A13" s="8">
        <v>7</v>
      </c>
      <c r="B13" s="9" t="s">
        <v>38</v>
      </c>
      <c r="C13" s="9" t="s">
        <v>39</v>
      </c>
      <c r="D13" s="9" t="s">
        <v>34</v>
      </c>
      <c r="E13" s="10">
        <v>936780</v>
      </c>
      <c r="F13" s="11">
        <v>6686.7356399999999</v>
      </c>
      <c r="G13" s="12">
        <v>2.2626549999999999E-2</v>
      </c>
      <c r="H13" s="7" t="s">
        <v>57</v>
      </c>
    </row>
    <row r="14" spans="1:9" ht="27.6" x14ac:dyDescent="0.25">
      <c r="A14" s="8">
        <v>8</v>
      </c>
      <c r="B14" s="9" t="s">
        <v>187</v>
      </c>
      <c r="C14" s="9" t="s">
        <v>188</v>
      </c>
      <c r="D14" s="9" t="s">
        <v>98</v>
      </c>
      <c r="E14" s="10">
        <v>1184520</v>
      </c>
      <c r="F14" s="11">
        <v>6485.2470000000003</v>
      </c>
      <c r="G14" s="12">
        <v>2.1944749999999999E-2</v>
      </c>
      <c r="H14" s="7" t="s">
        <v>57</v>
      </c>
    </row>
    <row r="15" spans="1:9" ht="13.8" x14ac:dyDescent="0.25">
      <c r="A15" s="8">
        <v>9</v>
      </c>
      <c r="B15" s="9" t="s">
        <v>147</v>
      </c>
      <c r="C15" s="9" t="s">
        <v>148</v>
      </c>
      <c r="D15" s="9" t="s">
        <v>14</v>
      </c>
      <c r="E15" s="10">
        <v>18825767</v>
      </c>
      <c r="F15" s="11">
        <v>6477.9464246999996</v>
      </c>
      <c r="G15" s="12">
        <v>2.192005E-2</v>
      </c>
      <c r="H15" s="7" t="s">
        <v>57</v>
      </c>
    </row>
    <row r="16" spans="1:9" ht="13.8" x14ac:dyDescent="0.25">
      <c r="A16" s="8">
        <v>10</v>
      </c>
      <c r="B16" s="9" t="s">
        <v>189</v>
      </c>
      <c r="C16" s="9" t="s">
        <v>190</v>
      </c>
      <c r="D16" s="9" t="s">
        <v>191</v>
      </c>
      <c r="E16" s="10">
        <v>791244</v>
      </c>
      <c r="F16" s="11">
        <v>6216.0128640000003</v>
      </c>
      <c r="G16" s="12">
        <v>2.1033719999999999E-2</v>
      </c>
      <c r="H16" s="7" t="s">
        <v>57</v>
      </c>
    </row>
    <row r="17" spans="1:8" ht="13.8" x14ac:dyDescent="0.25">
      <c r="A17" s="8">
        <v>11</v>
      </c>
      <c r="B17" s="9" t="s">
        <v>42</v>
      </c>
      <c r="C17" s="9" t="s">
        <v>43</v>
      </c>
      <c r="D17" s="9" t="s">
        <v>37</v>
      </c>
      <c r="E17" s="10">
        <v>644786</v>
      </c>
      <c r="F17" s="11">
        <v>5824.6743310000002</v>
      </c>
      <c r="G17" s="12">
        <v>1.970951E-2</v>
      </c>
      <c r="H17" s="7" t="s">
        <v>57</v>
      </c>
    </row>
    <row r="18" spans="1:8" ht="27.6" x14ac:dyDescent="0.25">
      <c r="A18" s="8">
        <v>12</v>
      </c>
      <c r="B18" s="9" t="s">
        <v>192</v>
      </c>
      <c r="C18" s="9" t="s">
        <v>193</v>
      </c>
      <c r="D18" s="9" t="s">
        <v>95</v>
      </c>
      <c r="E18" s="10">
        <v>115943</v>
      </c>
      <c r="F18" s="11">
        <v>5596.2787525000003</v>
      </c>
      <c r="G18" s="12">
        <v>1.8936669999999999E-2</v>
      </c>
      <c r="H18" s="7" t="s">
        <v>57</v>
      </c>
    </row>
    <row r="19" spans="1:8" ht="13.8" x14ac:dyDescent="0.25">
      <c r="A19" s="8">
        <v>13</v>
      </c>
      <c r="B19" s="9" t="s">
        <v>156</v>
      </c>
      <c r="C19" s="9" t="s">
        <v>157</v>
      </c>
      <c r="D19" s="9" t="s">
        <v>97</v>
      </c>
      <c r="E19" s="10">
        <v>1253596</v>
      </c>
      <c r="F19" s="11">
        <v>5578.5021999999999</v>
      </c>
      <c r="G19" s="12">
        <v>1.8876509999999999E-2</v>
      </c>
      <c r="H19" s="7" t="s">
        <v>57</v>
      </c>
    </row>
    <row r="20" spans="1:8" ht="13.8" x14ac:dyDescent="0.25">
      <c r="A20" s="8">
        <v>14</v>
      </c>
      <c r="B20" s="9" t="s">
        <v>103</v>
      </c>
      <c r="C20" s="9" t="s">
        <v>104</v>
      </c>
      <c r="D20" s="9" t="s">
        <v>100</v>
      </c>
      <c r="E20" s="10">
        <v>669376</v>
      </c>
      <c r="F20" s="11">
        <v>5485.2016320000002</v>
      </c>
      <c r="G20" s="12">
        <v>1.8560799999999999E-2</v>
      </c>
      <c r="H20" s="7" t="s">
        <v>57</v>
      </c>
    </row>
    <row r="21" spans="1:8" ht="13.8" x14ac:dyDescent="0.25">
      <c r="A21" s="8">
        <v>15</v>
      </c>
      <c r="B21" s="9" t="s">
        <v>194</v>
      </c>
      <c r="C21" s="9" t="s">
        <v>195</v>
      </c>
      <c r="D21" s="9" t="s">
        <v>15</v>
      </c>
      <c r="E21" s="10">
        <v>421865</v>
      </c>
      <c r="F21" s="11">
        <v>5404.7234474999996</v>
      </c>
      <c r="G21" s="12">
        <v>1.8288479999999999E-2</v>
      </c>
      <c r="H21" s="7" t="s">
        <v>57</v>
      </c>
    </row>
    <row r="22" spans="1:8" ht="13.8" x14ac:dyDescent="0.25">
      <c r="A22" s="8">
        <v>16</v>
      </c>
      <c r="B22" s="9" t="s">
        <v>51</v>
      </c>
      <c r="C22" s="9" t="s">
        <v>52</v>
      </c>
      <c r="D22" s="9" t="s">
        <v>18</v>
      </c>
      <c r="E22" s="10">
        <v>2292237</v>
      </c>
      <c r="F22" s="11">
        <v>5201.0857530000003</v>
      </c>
      <c r="G22" s="12">
        <v>1.7599409999999999E-2</v>
      </c>
      <c r="H22" s="7" t="s">
        <v>57</v>
      </c>
    </row>
    <row r="23" spans="1:8" ht="13.8" x14ac:dyDescent="0.25">
      <c r="A23" s="8">
        <v>17</v>
      </c>
      <c r="B23" s="9" t="s">
        <v>153</v>
      </c>
      <c r="C23" s="9" t="s">
        <v>154</v>
      </c>
      <c r="D23" s="9" t="s">
        <v>14</v>
      </c>
      <c r="E23" s="10">
        <v>9377207</v>
      </c>
      <c r="F23" s="11">
        <v>5155.5884085999996</v>
      </c>
      <c r="G23" s="12">
        <v>1.7445459999999999E-2</v>
      </c>
      <c r="H23" s="7" t="s">
        <v>57</v>
      </c>
    </row>
    <row r="24" spans="1:8" ht="13.8" x14ac:dyDescent="0.25">
      <c r="A24" s="8">
        <v>18</v>
      </c>
      <c r="B24" s="9" t="s">
        <v>158</v>
      </c>
      <c r="C24" s="9" t="s">
        <v>159</v>
      </c>
      <c r="D24" s="9" t="s">
        <v>34</v>
      </c>
      <c r="E24" s="10">
        <v>1005408</v>
      </c>
      <c r="F24" s="11">
        <v>5100.434784</v>
      </c>
      <c r="G24" s="12">
        <v>1.7258829999999999E-2</v>
      </c>
      <c r="H24" s="7" t="s">
        <v>57</v>
      </c>
    </row>
    <row r="25" spans="1:8" ht="13.8" x14ac:dyDescent="0.25">
      <c r="A25" s="8">
        <v>19</v>
      </c>
      <c r="B25" s="9" t="s">
        <v>166</v>
      </c>
      <c r="C25" s="9" t="s">
        <v>167</v>
      </c>
      <c r="D25" s="9" t="s">
        <v>100</v>
      </c>
      <c r="E25" s="10">
        <v>724141</v>
      </c>
      <c r="F25" s="11">
        <v>5067.5387179999998</v>
      </c>
      <c r="G25" s="12">
        <v>1.7147519999999999E-2</v>
      </c>
      <c r="H25" s="7" t="s">
        <v>57</v>
      </c>
    </row>
    <row r="26" spans="1:8" ht="27.6" x14ac:dyDescent="0.25">
      <c r="A26" s="8">
        <v>20</v>
      </c>
      <c r="B26" s="9" t="s">
        <v>196</v>
      </c>
      <c r="C26" s="9" t="s">
        <v>197</v>
      </c>
      <c r="D26" s="9" t="s">
        <v>95</v>
      </c>
      <c r="E26" s="10">
        <v>40411</v>
      </c>
      <c r="F26" s="11">
        <v>4878.2340704999997</v>
      </c>
      <c r="G26" s="12">
        <v>1.6506949999999999E-2</v>
      </c>
      <c r="H26" s="7" t="s">
        <v>57</v>
      </c>
    </row>
    <row r="27" spans="1:8" ht="13.8" x14ac:dyDescent="0.25">
      <c r="A27" s="8">
        <v>21</v>
      </c>
      <c r="B27" s="9" t="s">
        <v>44</v>
      </c>
      <c r="C27" s="9" t="s">
        <v>45</v>
      </c>
      <c r="D27" s="9" t="s">
        <v>29</v>
      </c>
      <c r="E27" s="10">
        <v>383979</v>
      </c>
      <c r="F27" s="11">
        <v>4702.7828024999999</v>
      </c>
      <c r="G27" s="12">
        <v>1.5913259999999999E-2</v>
      </c>
      <c r="H27" s="7" t="s">
        <v>57</v>
      </c>
    </row>
    <row r="28" spans="1:8" ht="13.8" x14ac:dyDescent="0.25">
      <c r="A28" s="8">
        <v>22</v>
      </c>
      <c r="B28" s="9" t="s">
        <v>27</v>
      </c>
      <c r="C28" s="9" t="s">
        <v>28</v>
      </c>
      <c r="D28" s="9" t="s">
        <v>29</v>
      </c>
      <c r="E28" s="10">
        <v>476538</v>
      </c>
      <c r="F28" s="11">
        <v>4654.1083769999996</v>
      </c>
      <c r="G28" s="12">
        <v>1.574855E-2</v>
      </c>
      <c r="H28" s="7" t="s">
        <v>57</v>
      </c>
    </row>
    <row r="29" spans="1:8" ht="13.8" x14ac:dyDescent="0.25">
      <c r="A29" s="8">
        <v>23</v>
      </c>
      <c r="B29" s="9" t="s">
        <v>145</v>
      </c>
      <c r="C29" s="9" t="s">
        <v>146</v>
      </c>
      <c r="D29" s="9" t="s">
        <v>14</v>
      </c>
      <c r="E29" s="10">
        <v>1535716</v>
      </c>
      <c r="F29" s="11">
        <v>4641.7016100000001</v>
      </c>
      <c r="G29" s="12">
        <v>1.570657E-2</v>
      </c>
      <c r="H29" s="7" t="s">
        <v>57</v>
      </c>
    </row>
    <row r="30" spans="1:8" ht="27.6" x14ac:dyDescent="0.25">
      <c r="A30" s="8">
        <v>24</v>
      </c>
      <c r="B30" s="9" t="s">
        <v>22</v>
      </c>
      <c r="C30" s="9" t="s">
        <v>23</v>
      </c>
      <c r="D30" s="9" t="s">
        <v>24</v>
      </c>
      <c r="E30" s="10">
        <v>390188</v>
      </c>
      <c r="F30" s="11">
        <v>4615.7289460000002</v>
      </c>
      <c r="G30" s="12">
        <v>1.5618689999999999E-2</v>
      </c>
      <c r="H30" s="7" t="s">
        <v>57</v>
      </c>
    </row>
    <row r="31" spans="1:8" ht="13.8" x14ac:dyDescent="0.25">
      <c r="A31" s="8">
        <v>25</v>
      </c>
      <c r="B31" s="9" t="s">
        <v>30</v>
      </c>
      <c r="C31" s="9" t="s">
        <v>31</v>
      </c>
      <c r="D31" s="9" t="s">
        <v>21</v>
      </c>
      <c r="E31" s="10">
        <v>1099317</v>
      </c>
      <c r="F31" s="11">
        <v>4512.696285</v>
      </c>
      <c r="G31" s="12">
        <v>1.527004E-2</v>
      </c>
      <c r="H31" s="7" t="s">
        <v>57</v>
      </c>
    </row>
    <row r="32" spans="1:8" ht="27.6" x14ac:dyDescent="0.25">
      <c r="A32" s="8">
        <v>26</v>
      </c>
      <c r="B32" s="9" t="s">
        <v>121</v>
      </c>
      <c r="C32" s="9" t="s">
        <v>122</v>
      </c>
      <c r="D32" s="9" t="s">
        <v>107</v>
      </c>
      <c r="E32" s="10">
        <v>102771</v>
      </c>
      <c r="F32" s="11">
        <v>4327.5326535000004</v>
      </c>
      <c r="G32" s="12">
        <v>1.464349E-2</v>
      </c>
      <c r="H32" s="7" t="s">
        <v>57</v>
      </c>
    </row>
    <row r="33" spans="1:8" ht="13.8" x14ac:dyDescent="0.25">
      <c r="A33" s="8">
        <v>27</v>
      </c>
      <c r="B33" s="9" t="s">
        <v>198</v>
      </c>
      <c r="C33" s="9" t="s">
        <v>199</v>
      </c>
      <c r="D33" s="9" t="s">
        <v>14</v>
      </c>
      <c r="E33" s="10">
        <v>3754816</v>
      </c>
      <c r="F33" s="11">
        <v>4205.7694015999996</v>
      </c>
      <c r="G33" s="12">
        <v>1.423147E-2</v>
      </c>
      <c r="H33" s="7" t="s">
        <v>57</v>
      </c>
    </row>
    <row r="34" spans="1:8" ht="13.8" x14ac:dyDescent="0.25">
      <c r="A34" s="8">
        <v>28</v>
      </c>
      <c r="B34" s="9" t="s">
        <v>10</v>
      </c>
      <c r="C34" s="9" t="s">
        <v>11</v>
      </c>
      <c r="D34" s="9" t="s">
        <v>12</v>
      </c>
      <c r="E34" s="10">
        <v>119155</v>
      </c>
      <c r="F34" s="11">
        <v>4161.2500650000002</v>
      </c>
      <c r="G34" s="12">
        <v>1.4080820000000001E-2</v>
      </c>
      <c r="H34" s="7" t="s">
        <v>57</v>
      </c>
    </row>
    <row r="35" spans="1:8" ht="13.8" x14ac:dyDescent="0.25">
      <c r="A35" s="8">
        <v>29</v>
      </c>
      <c r="B35" s="9" t="s">
        <v>200</v>
      </c>
      <c r="C35" s="9" t="s">
        <v>201</v>
      </c>
      <c r="D35" s="9" t="s">
        <v>202</v>
      </c>
      <c r="E35" s="10">
        <v>888697</v>
      </c>
      <c r="F35" s="11">
        <v>4151.5480355</v>
      </c>
      <c r="G35" s="12">
        <v>1.404799E-2</v>
      </c>
      <c r="H35" s="7" t="s">
        <v>57</v>
      </c>
    </row>
    <row r="36" spans="1:8" ht="13.8" x14ac:dyDescent="0.25">
      <c r="A36" s="8">
        <v>30</v>
      </c>
      <c r="B36" s="9" t="s">
        <v>203</v>
      </c>
      <c r="C36" s="9" t="s">
        <v>204</v>
      </c>
      <c r="D36" s="9" t="s">
        <v>37</v>
      </c>
      <c r="E36" s="10">
        <v>140438</v>
      </c>
      <c r="F36" s="11">
        <v>4043.91221</v>
      </c>
      <c r="G36" s="12">
        <v>1.368377E-2</v>
      </c>
      <c r="H36" s="7" t="s">
        <v>57</v>
      </c>
    </row>
    <row r="37" spans="1:8" ht="13.8" x14ac:dyDescent="0.25">
      <c r="A37" s="8">
        <v>31</v>
      </c>
      <c r="B37" s="9" t="s">
        <v>205</v>
      </c>
      <c r="C37" s="9" t="s">
        <v>206</v>
      </c>
      <c r="D37" s="9" t="s">
        <v>96</v>
      </c>
      <c r="E37" s="10">
        <v>75317</v>
      </c>
      <c r="F37" s="11">
        <v>3901.7971849999999</v>
      </c>
      <c r="G37" s="12">
        <v>1.320289E-2</v>
      </c>
      <c r="H37" s="7" t="s">
        <v>57</v>
      </c>
    </row>
    <row r="38" spans="1:8" ht="13.8" x14ac:dyDescent="0.25">
      <c r="A38" s="8">
        <v>32</v>
      </c>
      <c r="B38" s="9" t="s">
        <v>130</v>
      </c>
      <c r="C38" s="9" t="s">
        <v>131</v>
      </c>
      <c r="D38" s="9" t="s">
        <v>102</v>
      </c>
      <c r="E38" s="10">
        <v>73404</v>
      </c>
      <c r="F38" s="11">
        <v>3899.0369700000001</v>
      </c>
      <c r="G38" s="12">
        <v>1.319355E-2</v>
      </c>
      <c r="H38" s="7" t="s">
        <v>57</v>
      </c>
    </row>
    <row r="39" spans="1:8" ht="27.6" x14ac:dyDescent="0.25">
      <c r="A39" s="8">
        <v>33</v>
      </c>
      <c r="B39" s="9" t="s">
        <v>207</v>
      </c>
      <c r="C39" s="9" t="s">
        <v>208</v>
      </c>
      <c r="D39" s="9" t="s">
        <v>46</v>
      </c>
      <c r="E39" s="10">
        <v>255466</v>
      </c>
      <c r="F39" s="11">
        <v>3769.9117620000002</v>
      </c>
      <c r="G39" s="12">
        <v>1.275661E-2</v>
      </c>
      <c r="H39" s="7" t="s">
        <v>57</v>
      </c>
    </row>
    <row r="40" spans="1:8" ht="13.8" x14ac:dyDescent="0.25">
      <c r="A40" s="8">
        <v>34</v>
      </c>
      <c r="B40" s="9" t="s">
        <v>114</v>
      </c>
      <c r="C40" s="9" t="s">
        <v>115</v>
      </c>
      <c r="D40" s="9" t="s">
        <v>41</v>
      </c>
      <c r="E40" s="10">
        <v>872038</v>
      </c>
      <c r="F40" s="11">
        <v>3612.4174149999999</v>
      </c>
      <c r="G40" s="12">
        <v>1.2223680000000001E-2</v>
      </c>
      <c r="H40" s="7" t="s">
        <v>57</v>
      </c>
    </row>
    <row r="41" spans="1:8" ht="13.8" x14ac:dyDescent="0.25">
      <c r="A41" s="8">
        <v>35</v>
      </c>
      <c r="B41" s="9" t="s">
        <v>112</v>
      </c>
      <c r="C41" s="9" t="s">
        <v>113</v>
      </c>
      <c r="D41" s="9" t="s">
        <v>40</v>
      </c>
      <c r="E41" s="10">
        <v>1234878</v>
      </c>
      <c r="F41" s="11">
        <v>3597.1996140000001</v>
      </c>
      <c r="G41" s="12">
        <v>1.2172189999999999E-2</v>
      </c>
      <c r="H41" s="7" t="s">
        <v>57</v>
      </c>
    </row>
    <row r="42" spans="1:8" ht="13.8" x14ac:dyDescent="0.25">
      <c r="A42" s="8">
        <v>36</v>
      </c>
      <c r="B42" s="9" t="s">
        <v>118</v>
      </c>
      <c r="C42" s="9" t="s">
        <v>119</v>
      </c>
      <c r="D42" s="9" t="s">
        <v>120</v>
      </c>
      <c r="E42" s="10">
        <v>615179</v>
      </c>
      <c r="F42" s="11">
        <v>3567.4230210000001</v>
      </c>
      <c r="G42" s="12">
        <v>1.2071429999999999E-2</v>
      </c>
      <c r="H42" s="7" t="s">
        <v>57</v>
      </c>
    </row>
    <row r="43" spans="1:8" ht="13.8" x14ac:dyDescent="0.25">
      <c r="A43" s="8">
        <v>37</v>
      </c>
      <c r="B43" s="9" t="s">
        <v>172</v>
      </c>
      <c r="C43" s="9" t="s">
        <v>173</v>
      </c>
      <c r="D43" s="9" t="s">
        <v>129</v>
      </c>
      <c r="E43" s="10">
        <v>1087903</v>
      </c>
      <c r="F43" s="11">
        <v>3551.4593435000002</v>
      </c>
      <c r="G43" s="12">
        <v>1.2017409999999999E-2</v>
      </c>
      <c r="H43" s="7" t="s">
        <v>57</v>
      </c>
    </row>
    <row r="44" spans="1:8" ht="27.6" x14ac:dyDescent="0.25">
      <c r="A44" s="8">
        <v>38</v>
      </c>
      <c r="B44" s="9" t="s">
        <v>209</v>
      </c>
      <c r="C44" s="9" t="s">
        <v>210</v>
      </c>
      <c r="D44" s="9" t="s">
        <v>155</v>
      </c>
      <c r="E44" s="10">
        <v>832903</v>
      </c>
      <c r="F44" s="11">
        <v>3453.6322894999998</v>
      </c>
      <c r="G44" s="12">
        <v>1.168639E-2</v>
      </c>
      <c r="H44" s="7" t="s">
        <v>57</v>
      </c>
    </row>
    <row r="45" spans="1:8" ht="13.8" x14ac:dyDescent="0.25">
      <c r="A45" s="8">
        <v>39</v>
      </c>
      <c r="B45" s="9" t="s">
        <v>211</v>
      </c>
      <c r="C45" s="9" t="s">
        <v>212</v>
      </c>
      <c r="D45" s="9" t="s">
        <v>102</v>
      </c>
      <c r="E45" s="10">
        <v>143580</v>
      </c>
      <c r="F45" s="11">
        <v>3354.8184900000001</v>
      </c>
      <c r="G45" s="12">
        <v>1.1352020000000001E-2</v>
      </c>
      <c r="H45" s="7" t="s">
        <v>57</v>
      </c>
    </row>
    <row r="46" spans="1:8" ht="13.8" x14ac:dyDescent="0.25">
      <c r="A46" s="8">
        <v>40</v>
      </c>
      <c r="B46" s="9" t="s">
        <v>213</v>
      </c>
      <c r="C46" s="9" t="s">
        <v>214</v>
      </c>
      <c r="D46" s="9" t="s">
        <v>18</v>
      </c>
      <c r="E46" s="10">
        <v>1603225</v>
      </c>
      <c r="F46" s="11">
        <v>3335.8302574999998</v>
      </c>
      <c r="G46" s="12">
        <v>1.1287770000000001E-2</v>
      </c>
      <c r="H46" s="7" t="s">
        <v>57</v>
      </c>
    </row>
    <row r="47" spans="1:8" ht="13.8" x14ac:dyDescent="0.25">
      <c r="A47" s="8">
        <v>41</v>
      </c>
      <c r="B47" s="9" t="s">
        <v>25</v>
      </c>
      <c r="C47" s="9" t="s">
        <v>26</v>
      </c>
      <c r="D47" s="9" t="s">
        <v>12</v>
      </c>
      <c r="E47" s="10">
        <v>337012</v>
      </c>
      <c r="F47" s="11">
        <v>3284.1819399999999</v>
      </c>
      <c r="G47" s="12">
        <v>1.1113E-2</v>
      </c>
      <c r="H47" s="7" t="s">
        <v>57</v>
      </c>
    </row>
    <row r="48" spans="1:8" ht="27.6" x14ac:dyDescent="0.25">
      <c r="A48" s="8">
        <v>42</v>
      </c>
      <c r="B48" s="9" t="s">
        <v>180</v>
      </c>
      <c r="C48" s="9" t="s">
        <v>181</v>
      </c>
      <c r="D48" s="9" t="s">
        <v>13</v>
      </c>
      <c r="E48" s="10">
        <v>297739</v>
      </c>
      <c r="F48" s="11">
        <v>3143.6772314999998</v>
      </c>
      <c r="G48" s="12">
        <v>1.0637560000000001E-2</v>
      </c>
      <c r="H48" s="7" t="s">
        <v>57</v>
      </c>
    </row>
    <row r="49" spans="1:8" ht="13.8" x14ac:dyDescent="0.25">
      <c r="A49" s="8">
        <v>43</v>
      </c>
      <c r="B49" s="9" t="s">
        <v>215</v>
      </c>
      <c r="C49" s="9" t="s">
        <v>216</v>
      </c>
      <c r="D49" s="9" t="s">
        <v>129</v>
      </c>
      <c r="E49" s="10">
        <v>245682</v>
      </c>
      <c r="F49" s="11">
        <v>3107.6316179999999</v>
      </c>
      <c r="G49" s="12">
        <v>1.051559E-2</v>
      </c>
      <c r="H49" s="7" t="s">
        <v>57</v>
      </c>
    </row>
    <row r="50" spans="1:8" ht="27.6" x14ac:dyDescent="0.25">
      <c r="A50" s="8">
        <v>44</v>
      </c>
      <c r="B50" s="9" t="s">
        <v>164</v>
      </c>
      <c r="C50" s="9" t="s">
        <v>165</v>
      </c>
      <c r="D50" s="9" t="s">
        <v>95</v>
      </c>
      <c r="E50" s="10">
        <v>499667</v>
      </c>
      <c r="F50" s="11">
        <v>3064.9573780000001</v>
      </c>
      <c r="G50" s="12">
        <v>1.0371190000000001E-2</v>
      </c>
      <c r="H50" s="7" t="s">
        <v>57</v>
      </c>
    </row>
    <row r="51" spans="1:8" ht="27.6" x14ac:dyDescent="0.25">
      <c r="A51" s="8">
        <v>45</v>
      </c>
      <c r="B51" s="9" t="s">
        <v>149</v>
      </c>
      <c r="C51" s="9" t="s">
        <v>150</v>
      </c>
      <c r="D51" s="9" t="s">
        <v>95</v>
      </c>
      <c r="E51" s="10">
        <v>177419</v>
      </c>
      <c r="F51" s="11">
        <v>2879.8652080000002</v>
      </c>
      <c r="G51" s="12">
        <v>9.7448799999999992E-3</v>
      </c>
      <c r="H51" s="7" t="s">
        <v>57</v>
      </c>
    </row>
    <row r="52" spans="1:8" ht="13.8" x14ac:dyDescent="0.25">
      <c r="A52" s="8">
        <v>46</v>
      </c>
      <c r="B52" s="9" t="s">
        <v>217</v>
      </c>
      <c r="C52" s="9" t="s">
        <v>218</v>
      </c>
      <c r="D52" s="9" t="s">
        <v>34</v>
      </c>
      <c r="E52" s="10">
        <v>74038</v>
      </c>
      <c r="F52" s="11">
        <v>2850.8702090000002</v>
      </c>
      <c r="G52" s="12">
        <v>9.6467600000000008E-3</v>
      </c>
      <c r="H52" s="7" t="s">
        <v>57</v>
      </c>
    </row>
    <row r="53" spans="1:8" ht="13.8" x14ac:dyDescent="0.25">
      <c r="A53" s="8">
        <v>47</v>
      </c>
      <c r="B53" s="9" t="s">
        <v>182</v>
      </c>
      <c r="C53" s="9" t="s">
        <v>183</v>
      </c>
      <c r="D53" s="9" t="s">
        <v>34</v>
      </c>
      <c r="E53" s="10">
        <v>608663</v>
      </c>
      <c r="F53" s="11">
        <v>2812.3273915</v>
      </c>
      <c r="G53" s="12">
        <v>9.5163399999999999E-3</v>
      </c>
      <c r="H53" s="7" t="s">
        <v>57</v>
      </c>
    </row>
    <row r="54" spans="1:8" ht="13.8" x14ac:dyDescent="0.25">
      <c r="A54" s="8">
        <v>48</v>
      </c>
      <c r="B54" s="9" t="s">
        <v>162</v>
      </c>
      <c r="C54" s="9" t="s">
        <v>163</v>
      </c>
      <c r="D54" s="9" t="s">
        <v>139</v>
      </c>
      <c r="E54" s="10">
        <v>308127</v>
      </c>
      <c r="F54" s="11">
        <v>2811.8129385000002</v>
      </c>
      <c r="G54" s="12">
        <v>9.5145999999999998E-3</v>
      </c>
      <c r="H54" s="7" t="s">
        <v>57</v>
      </c>
    </row>
    <row r="55" spans="1:8" ht="13.8" x14ac:dyDescent="0.25">
      <c r="A55" s="8">
        <v>49</v>
      </c>
      <c r="B55" s="9" t="s">
        <v>176</v>
      </c>
      <c r="C55" s="9" t="s">
        <v>177</v>
      </c>
      <c r="D55" s="9" t="s">
        <v>34</v>
      </c>
      <c r="E55" s="10">
        <v>275772</v>
      </c>
      <c r="F55" s="11">
        <v>2796.7417380000002</v>
      </c>
      <c r="G55" s="12">
        <v>9.4636000000000008E-3</v>
      </c>
      <c r="H55" s="7" t="s">
        <v>57</v>
      </c>
    </row>
    <row r="56" spans="1:8" ht="13.8" x14ac:dyDescent="0.25">
      <c r="A56" s="8">
        <v>50</v>
      </c>
      <c r="B56" s="9" t="s">
        <v>16</v>
      </c>
      <c r="C56" s="9" t="s">
        <v>17</v>
      </c>
      <c r="D56" s="9" t="s">
        <v>18</v>
      </c>
      <c r="E56" s="10">
        <v>38742</v>
      </c>
      <c r="F56" s="11">
        <v>2793.6275070000002</v>
      </c>
      <c r="G56" s="12">
        <v>9.4530699999999992E-3</v>
      </c>
      <c r="H56" s="7" t="s">
        <v>57</v>
      </c>
    </row>
    <row r="57" spans="1:8" ht="27.6" x14ac:dyDescent="0.25">
      <c r="A57" s="8">
        <v>51</v>
      </c>
      <c r="B57" s="9" t="s">
        <v>219</v>
      </c>
      <c r="C57" s="9" t="s">
        <v>220</v>
      </c>
      <c r="D57" s="9" t="s">
        <v>107</v>
      </c>
      <c r="E57" s="10">
        <v>176665</v>
      </c>
      <c r="F57" s="11">
        <v>2726.5592775</v>
      </c>
      <c r="G57" s="12">
        <v>9.2261200000000008E-3</v>
      </c>
      <c r="H57" s="7" t="s">
        <v>57</v>
      </c>
    </row>
    <row r="58" spans="1:8" ht="13.8" x14ac:dyDescent="0.25">
      <c r="A58" s="8">
        <v>52</v>
      </c>
      <c r="B58" s="9" t="s">
        <v>32</v>
      </c>
      <c r="C58" s="9" t="s">
        <v>33</v>
      </c>
      <c r="D58" s="9" t="s">
        <v>34</v>
      </c>
      <c r="E58" s="10">
        <v>60184</v>
      </c>
      <c r="F58" s="11">
        <v>2725.462532</v>
      </c>
      <c r="G58" s="12">
        <v>9.2224100000000003E-3</v>
      </c>
      <c r="H58" s="7" t="s">
        <v>57</v>
      </c>
    </row>
    <row r="59" spans="1:8" ht="13.8" x14ac:dyDescent="0.25">
      <c r="A59" s="8">
        <v>53</v>
      </c>
      <c r="B59" s="9" t="s">
        <v>132</v>
      </c>
      <c r="C59" s="9" t="s">
        <v>133</v>
      </c>
      <c r="D59" s="9" t="s">
        <v>101</v>
      </c>
      <c r="E59" s="10">
        <v>1348742</v>
      </c>
      <c r="F59" s="11">
        <v>2720.4126139999998</v>
      </c>
      <c r="G59" s="12">
        <v>9.2053199999999995E-3</v>
      </c>
      <c r="H59" s="7" t="s">
        <v>57</v>
      </c>
    </row>
    <row r="60" spans="1:8" ht="13.8" x14ac:dyDescent="0.25">
      <c r="A60" s="8">
        <v>54</v>
      </c>
      <c r="B60" s="9" t="s">
        <v>221</v>
      </c>
      <c r="C60" s="9" t="s">
        <v>222</v>
      </c>
      <c r="D60" s="9" t="s">
        <v>102</v>
      </c>
      <c r="E60" s="10">
        <v>251901</v>
      </c>
      <c r="F60" s="11">
        <v>2658.1853025</v>
      </c>
      <c r="G60" s="12">
        <v>8.9947599999999992E-3</v>
      </c>
      <c r="H60" s="7" t="s">
        <v>57</v>
      </c>
    </row>
    <row r="61" spans="1:8" ht="13.8" x14ac:dyDescent="0.25">
      <c r="A61" s="8">
        <v>55</v>
      </c>
      <c r="B61" s="9" t="s">
        <v>223</v>
      </c>
      <c r="C61" s="9" t="s">
        <v>224</v>
      </c>
      <c r="D61" s="9" t="s">
        <v>109</v>
      </c>
      <c r="E61" s="10">
        <v>564515</v>
      </c>
      <c r="F61" s="11">
        <v>2569.1077650000002</v>
      </c>
      <c r="G61" s="12">
        <v>8.6933400000000008E-3</v>
      </c>
      <c r="H61" s="7" t="s">
        <v>57</v>
      </c>
    </row>
    <row r="62" spans="1:8" ht="13.8" x14ac:dyDescent="0.25">
      <c r="A62" s="8">
        <v>56</v>
      </c>
      <c r="B62" s="9" t="s">
        <v>225</v>
      </c>
      <c r="C62" s="9" t="s">
        <v>226</v>
      </c>
      <c r="D62" s="9" t="s">
        <v>101</v>
      </c>
      <c r="E62" s="10">
        <v>1975952</v>
      </c>
      <c r="F62" s="11">
        <v>2403.7456080000002</v>
      </c>
      <c r="G62" s="12">
        <v>8.1337900000000001E-3</v>
      </c>
      <c r="H62" s="7" t="s">
        <v>57</v>
      </c>
    </row>
    <row r="63" spans="1:8" ht="13.8" x14ac:dyDescent="0.25">
      <c r="A63" s="8">
        <v>57</v>
      </c>
      <c r="B63" s="9" t="s">
        <v>227</v>
      </c>
      <c r="C63" s="9" t="s">
        <v>228</v>
      </c>
      <c r="D63" s="9" t="s">
        <v>138</v>
      </c>
      <c r="E63" s="10">
        <v>258182</v>
      </c>
      <c r="F63" s="11">
        <v>2340.4198299999998</v>
      </c>
      <c r="G63" s="12">
        <v>7.9194999999999995E-3</v>
      </c>
      <c r="H63" s="7" t="s">
        <v>57</v>
      </c>
    </row>
    <row r="64" spans="1:8" ht="13.8" x14ac:dyDescent="0.25">
      <c r="A64" s="8">
        <v>58</v>
      </c>
      <c r="B64" s="9" t="s">
        <v>47</v>
      </c>
      <c r="C64" s="9" t="s">
        <v>48</v>
      </c>
      <c r="D64" s="9" t="s">
        <v>34</v>
      </c>
      <c r="E64" s="10">
        <v>75018</v>
      </c>
      <c r="F64" s="11">
        <v>2170.1582130000002</v>
      </c>
      <c r="G64" s="12">
        <v>7.3433700000000001E-3</v>
      </c>
      <c r="H64" s="7" t="s">
        <v>57</v>
      </c>
    </row>
    <row r="65" spans="1:8" ht="27.6" x14ac:dyDescent="0.25">
      <c r="A65" s="8">
        <v>59</v>
      </c>
      <c r="B65" s="9" t="s">
        <v>19</v>
      </c>
      <c r="C65" s="9" t="s">
        <v>20</v>
      </c>
      <c r="D65" s="9" t="s">
        <v>13</v>
      </c>
      <c r="E65" s="10">
        <v>43885</v>
      </c>
      <c r="F65" s="11">
        <v>2164.6934525000001</v>
      </c>
      <c r="G65" s="12">
        <v>7.3248799999999998E-3</v>
      </c>
      <c r="H65" s="7" t="s">
        <v>57</v>
      </c>
    </row>
    <row r="66" spans="1:8" ht="13.8" x14ac:dyDescent="0.25">
      <c r="A66" s="8">
        <v>60</v>
      </c>
      <c r="B66" s="9" t="s">
        <v>170</v>
      </c>
      <c r="C66" s="9" t="s">
        <v>171</v>
      </c>
      <c r="D66" s="9" t="s">
        <v>41</v>
      </c>
      <c r="E66" s="10">
        <v>216529</v>
      </c>
      <c r="F66" s="11">
        <v>2061.2478154999999</v>
      </c>
      <c r="G66" s="12">
        <v>6.9748400000000004E-3</v>
      </c>
      <c r="H66" s="7" t="s">
        <v>57</v>
      </c>
    </row>
    <row r="67" spans="1:8" ht="13.8" x14ac:dyDescent="0.25">
      <c r="A67" s="8">
        <v>61</v>
      </c>
      <c r="B67" s="9" t="s">
        <v>229</v>
      </c>
      <c r="C67" s="9" t="s">
        <v>230</v>
      </c>
      <c r="D67" s="9" t="s">
        <v>18</v>
      </c>
      <c r="E67" s="10">
        <v>749032</v>
      </c>
      <c r="F67" s="11">
        <v>2039.988652</v>
      </c>
      <c r="G67" s="12">
        <v>6.9029099999999999E-3</v>
      </c>
      <c r="H67" s="7" t="s">
        <v>57</v>
      </c>
    </row>
    <row r="68" spans="1:8" ht="13.8" x14ac:dyDescent="0.25">
      <c r="A68" s="8">
        <v>62</v>
      </c>
      <c r="B68" s="9" t="s">
        <v>168</v>
      </c>
      <c r="C68" s="9" t="s">
        <v>169</v>
      </c>
      <c r="D68" s="9" t="s">
        <v>97</v>
      </c>
      <c r="E68" s="10">
        <v>498569</v>
      </c>
      <c r="F68" s="11">
        <v>1932.9520130000001</v>
      </c>
      <c r="G68" s="12">
        <v>6.5407199999999999E-3</v>
      </c>
      <c r="H68" s="7" t="s">
        <v>57</v>
      </c>
    </row>
    <row r="69" spans="1:8" ht="13.8" x14ac:dyDescent="0.25">
      <c r="A69" s="8">
        <v>63</v>
      </c>
      <c r="B69" s="9" t="s">
        <v>134</v>
      </c>
      <c r="C69" s="9" t="s">
        <v>135</v>
      </c>
      <c r="D69" s="9" t="s">
        <v>108</v>
      </c>
      <c r="E69" s="10">
        <v>276702</v>
      </c>
      <c r="F69" s="11">
        <v>1866.216639</v>
      </c>
      <c r="G69" s="12">
        <v>6.3149E-3</v>
      </c>
      <c r="H69" s="7" t="s">
        <v>57</v>
      </c>
    </row>
    <row r="70" spans="1:8" ht="13.8" x14ac:dyDescent="0.25">
      <c r="A70" s="8">
        <v>64</v>
      </c>
      <c r="B70" s="9" t="s">
        <v>136</v>
      </c>
      <c r="C70" s="9" t="s">
        <v>137</v>
      </c>
      <c r="D70" s="9" t="s">
        <v>99</v>
      </c>
      <c r="E70" s="10">
        <v>60504</v>
      </c>
      <c r="F70" s="11">
        <v>1469.6119080000001</v>
      </c>
      <c r="G70" s="12">
        <v>4.9728699999999999E-3</v>
      </c>
      <c r="H70" s="7" t="s">
        <v>57</v>
      </c>
    </row>
    <row r="71" spans="1:8" ht="13.8" x14ac:dyDescent="0.25">
      <c r="A71" s="8">
        <v>65</v>
      </c>
      <c r="B71" s="9" t="s">
        <v>125</v>
      </c>
      <c r="C71" s="9" t="s">
        <v>126</v>
      </c>
      <c r="D71" s="9" t="s">
        <v>14</v>
      </c>
      <c r="E71" s="10">
        <v>79947</v>
      </c>
      <c r="F71" s="11">
        <v>1461.591054</v>
      </c>
      <c r="G71" s="12">
        <v>4.9457299999999997E-3</v>
      </c>
      <c r="H71" s="7" t="s">
        <v>57</v>
      </c>
    </row>
    <row r="72" spans="1:8" ht="27.6" x14ac:dyDescent="0.25">
      <c r="A72" s="8">
        <v>66</v>
      </c>
      <c r="B72" s="9" t="s">
        <v>105</v>
      </c>
      <c r="C72" s="9" t="s">
        <v>106</v>
      </c>
      <c r="D72" s="9" t="s">
        <v>107</v>
      </c>
      <c r="E72" s="10">
        <v>65271</v>
      </c>
      <c r="F72" s="11">
        <v>1294.7155560000001</v>
      </c>
      <c r="G72" s="12">
        <v>4.38105E-3</v>
      </c>
      <c r="H72" s="7" t="s">
        <v>57</v>
      </c>
    </row>
    <row r="73" spans="1:8" ht="13.8" x14ac:dyDescent="0.25">
      <c r="A73" s="8">
        <v>67</v>
      </c>
      <c r="B73" s="9" t="s">
        <v>231</v>
      </c>
      <c r="C73" s="9" t="s">
        <v>232</v>
      </c>
      <c r="D73" s="9" t="s">
        <v>18</v>
      </c>
      <c r="E73" s="10">
        <v>199530</v>
      </c>
      <c r="F73" s="11">
        <v>1089.9326249999999</v>
      </c>
      <c r="G73" s="12">
        <v>3.6881100000000001E-3</v>
      </c>
      <c r="H73" s="7" t="s">
        <v>57</v>
      </c>
    </row>
    <row r="74" spans="1:8" ht="13.8" x14ac:dyDescent="0.25">
      <c r="A74" s="8">
        <v>68</v>
      </c>
      <c r="B74" s="9" t="s">
        <v>110</v>
      </c>
      <c r="C74" s="9" t="s">
        <v>111</v>
      </c>
      <c r="D74" s="9" t="s">
        <v>102</v>
      </c>
      <c r="E74" s="10">
        <v>26463</v>
      </c>
      <c r="F74" s="11">
        <v>985.31011049999995</v>
      </c>
      <c r="G74" s="12">
        <v>3.3340900000000001E-3</v>
      </c>
      <c r="H74" s="7" t="s">
        <v>57</v>
      </c>
    </row>
    <row r="75" spans="1:8" ht="13.8" x14ac:dyDescent="0.25">
      <c r="A75" s="8">
        <v>69</v>
      </c>
      <c r="B75" s="9" t="s">
        <v>178</v>
      </c>
      <c r="C75" s="9" t="s">
        <v>179</v>
      </c>
      <c r="D75" s="9" t="s">
        <v>37</v>
      </c>
      <c r="E75" s="10">
        <v>286238</v>
      </c>
      <c r="F75" s="11">
        <v>969.20186799999999</v>
      </c>
      <c r="G75" s="12">
        <v>3.2795799999999998E-3</v>
      </c>
      <c r="H75" s="7" t="s">
        <v>57</v>
      </c>
    </row>
    <row r="76" spans="1:8" ht="13.8" x14ac:dyDescent="0.25">
      <c r="A76" s="8">
        <v>70</v>
      </c>
      <c r="B76" s="9" t="s">
        <v>174</v>
      </c>
      <c r="C76" s="9" t="s">
        <v>175</v>
      </c>
      <c r="D76" s="9" t="s">
        <v>18</v>
      </c>
      <c r="E76" s="10">
        <v>143771</v>
      </c>
      <c r="F76" s="11">
        <v>860.39754949999997</v>
      </c>
      <c r="G76" s="12">
        <v>2.9114100000000001E-3</v>
      </c>
      <c r="H76" s="7" t="s">
        <v>57</v>
      </c>
    </row>
    <row r="77" spans="1:8" ht="13.8" x14ac:dyDescent="0.25">
      <c r="A77" s="8">
        <v>71</v>
      </c>
      <c r="B77" s="9" t="s">
        <v>116</v>
      </c>
      <c r="C77" s="9" t="s">
        <v>117</v>
      </c>
      <c r="D77" s="9" t="s">
        <v>37</v>
      </c>
      <c r="E77" s="10">
        <v>26200</v>
      </c>
      <c r="F77" s="11">
        <v>725.56970000000001</v>
      </c>
      <c r="G77" s="12">
        <v>2.4551799999999999E-3</v>
      </c>
      <c r="H77" s="7" t="s">
        <v>57</v>
      </c>
    </row>
    <row r="78" spans="1:8" ht="13.8" x14ac:dyDescent="0.25">
      <c r="A78" s="8">
        <v>72</v>
      </c>
      <c r="B78" s="9" t="s">
        <v>49</v>
      </c>
      <c r="C78" s="9" t="s">
        <v>50</v>
      </c>
      <c r="D78" s="9" t="s">
        <v>12</v>
      </c>
      <c r="E78" s="10">
        <v>252704</v>
      </c>
      <c r="F78" s="11">
        <v>632.64446399999997</v>
      </c>
      <c r="G78" s="12">
        <v>2.1407399999999999E-3</v>
      </c>
      <c r="H78" s="7" t="s">
        <v>57</v>
      </c>
    </row>
    <row r="79" spans="1:8" ht="13.8" x14ac:dyDescent="0.25">
      <c r="A79" s="8">
        <v>73</v>
      </c>
      <c r="B79" s="9" t="s">
        <v>233</v>
      </c>
      <c r="C79" s="9" t="s">
        <v>234</v>
      </c>
      <c r="D79" s="9" t="s">
        <v>37</v>
      </c>
      <c r="E79" s="10">
        <v>163359</v>
      </c>
      <c r="F79" s="11">
        <v>504.86098950000002</v>
      </c>
      <c r="G79" s="12">
        <v>1.70835E-3</v>
      </c>
      <c r="H79" s="7" t="s">
        <v>57</v>
      </c>
    </row>
    <row r="80" spans="1:8" ht="13.8" x14ac:dyDescent="0.25">
      <c r="A80" s="8">
        <v>74</v>
      </c>
      <c r="B80" s="9" t="s">
        <v>151</v>
      </c>
      <c r="C80" s="9" t="s">
        <v>152</v>
      </c>
      <c r="D80" s="9" t="s">
        <v>102</v>
      </c>
      <c r="E80" s="10">
        <v>185</v>
      </c>
      <c r="F80" s="11">
        <v>4.27942</v>
      </c>
      <c r="G80" s="19" t="s">
        <v>55</v>
      </c>
      <c r="H80" s="7" t="s">
        <v>57</v>
      </c>
    </row>
    <row r="81" spans="1:8" ht="13.8" x14ac:dyDescent="0.25">
      <c r="A81" s="5"/>
      <c r="B81" s="5"/>
      <c r="C81" s="6" t="s">
        <v>56</v>
      </c>
      <c r="D81" s="5"/>
      <c r="E81" s="5" t="s">
        <v>57</v>
      </c>
      <c r="F81" s="13">
        <f>SUM(F7:F80)</f>
        <v>275961.3413469001</v>
      </c>
      <c r="G81" s="14">
        <f>SUM(G7:G80)</f>
        <v>0.93378240999999973</v>
      </c>
      <c r="H81" s="7" t="s">
        <v>57</v>
      </c>
    </row>
    <row r="82" spans="1:8" ht="13.8" x14ac:dyDescent="0.25">
      <c r="A82" s="5"/>
      <c r="B82" s="5"/>
      <c r="C82" s="15"/>
      <c r="D82" s="5"/>
      <c r="E82" s="5"/>
      <c r="F82" s="16"/>
      <c r="G82" s="16"/>
      <c r="H82" s="7" t="s">
        <v>57</v>
      </c>
    </row>
    <row r="83" spans="1:8" ht="13.8" x14ac:dyDescent="0.25">
      <c r="A83" s="5"/>
      <c r="B83" s="5"/>
      <c r="C83" s="6" t="s">
        <v>58</v>
      </c>
      <c r="D83" s="5"/>
      <c r="E83" s="5"/>
      <c r="F83" s="5"/>
      <c r="G83" s="5"/>
      <c r="H83" s="7" t="s">
        <v>57</v>
      </c>
    </row>
    <row r="84" spans="1:8" ht="13.8" x14ac:dyDescent="0.25">
      <c r="A84" s="5"/>
      <c r="B84" s="5"/>
      <c r="C84" s="6" t="s">
        <v>56</v>
      </c>
      <c r="D84" s="5"/>
      <c r="E84" s="5" t="s">
        <v>57</v>
      </c>
      <c r="F84" s="17" t="s">
        <v>59</v>
      </c>
      <c r="G84" s="14">
        <v>0</v>
      </c>
      <c r="H84" s="7" t="s">
        <v>57</v>
      </c>
    </row>
    <row r="85" spans="1:8" ht="13.8" x14ac:dyDescent="0.25">
      <c r="A85" s="5"/>
      <c r="B85" s="5"/>
      <c r="C85" s="15"/>
      <c r="D85" s="5"/>
      <c r="E85" s="5"/>
      <c r="F85" s="16"/>
      <c r="G85" s="16"/>
      <c r="H85" s="7" t="s">
        <v>57</v>
      </c>
    </row>
    <row r="86" spans="1:8" ht="13.8" x14ac:dyDescent="0.25">
      <c r="A86" s="5"/>
      <c r="B86" s="5"/>
      <c r="C86" s="6" t="s">
        <v>60</v>
      </c>
      <c r="D86" s="5"/>
      <c r="E86" s="5"/>
      <c r="F86" s="5"/>
      <c r="G86" s="5"/>
      <c r="H86" s="7" t="s">
        <v>57</v>
      </c>
    </row>
    <row r="87" spans="1:8" ht="13.8" x14ac:dyDescent="0.25">
      <c r="A87" s="8">
        <v>1</v>
      </c>
      <c r="B87" s="9" t="s">
        <v>53</v>
      </c>
      <c r="C87" s="18" t="s">
        <v>241</v>
      </c>
      <c r="D87" s="9" t="s">
        <v>54</v>
      </c>
      <c r="E87" s="10">
        <v>375961</v>
      </c>
      <c r="F87" s="11">
        <v>7.5190000000000003E-6</v>
      </c>
      <c r="G87" s="19" t="s">
        <v>55</v>
      </c>
      <c r="H87" s="7" t="s">
        <v>57</v>
      </c>
    </row>
    <row r="88" spans="1:8" ht="13.8" x14ac:dyDescent="0.25">
      <c r="A88" s="5"/>
      <c r="B88" s="5"/>
      <c r="C88" s="6" t="s">
        <v>56</v>
      </c>
      <c r="D88" s="5"/>
      <c r="E88" s="5" t="s">
        <v>57</v>
      </c>
      <c r="F88" s="17" t="s">
        <v>59</v>
      </c>
      <c r="G88" s="14">
        <v>0</v>
      </c>
      <c r="H88" s="7" t="s">
        <v>57</v>
      </c>
    </row>
    <row r="89" spans="1:8" ht="13.8" x14ac:dyDescent="0.25">
      <c r="A89" s="5"/>
      <c r="B89" s="5"/>
      <c r="C89" s="15"/>
      <c r="D89" s="5"/>
      <c r="E89" s="5"/>
      <c r="F89" s="16"/>
      <c r="G89" s="16"/>
      <c r="H89" s="7" t="s">
        <v>57</v>
      </c>
    </row>
    <row r="90" spans="1:8" ht="13.8" x14ac:dyDescent="0.25">
      <c r="A90" s="5"/>
      <c r="B90" s="5"/>
      <c r="C90" s="6" t="s">
        <v>61</v>
      </c>
      <c r="D90" s="5"/>
      <c r="E90" s="5"/>
      <c r="F90" s="5"/>
      <c r="G90" s="5"/>
      <c r="H90" s="7" t="s">
        <v>57</v>
      </c>
    </row>
    <row r="91" spans="1:8" ht="13.8" x14ac:dyDescent="0.25">
      <c r="A91" s="5"/>
      <c r="B91" s="5"/>
      <c r="C91" s="6" t="s">
        <v>56</v>
      </c>
      <c r="D91" s="5"/>
      <c r="E91" s="5" t="s">
        <v>57</v>
      </c>
      <c r="F91" s="17" t="s">
        <v>59</v>
      </c>
      <c r="G91" s="14">
        <v>0</v>
      </c>
      <c r="H91" s="7" t="s">
        <v>57</v>
      </c>
    </row>
    <row r="92" spans="1:8" ht="13.8" x14ac:dyDescent="0.25">
      <c r="A92" s="5"/>
      <c r="B92" s="5"/>
      <c r="C92" s="15"/>
      <c r="D92" s="5"/>
      <c r="E92" s="5"/>
      <c r="F92" s="16"/>
      <c r="G92" s="16"/>
      <c r="H92" s="7" t="s">
        <v>57</v>
      </c>
    </row>
    <row r="93" spans="1:8" ht="13.8" x14ac:dyDescent="0.25">
      <c r="A93" s="5"/>
      <c r="B93" s="5"/>
      <c r="C93" s="6" t="s">
        <v>62</v>
      </c>
      <c r="D93" s="5"/>
      <c r="E93" s="5"/>
      <c r="F93" s="16"/>
      <c r="G93" s="16"/>
      <c r="H93" s="7" t="s">
        <v>57</v>
      </c>
    </row>
    <row r="94" spans="1:8" ht="13.8" x14ac:dyDescent="0.25">
      <c r="A94" s="5"/>
      <c r="B94" s="5"/>
      <c r="C94" s="6" t="s">
        <v>56</v>
      </c>
      <c r="D94" s="5"/>
      <c r="E94" s="5" t="s">
        <v>57</v>
      </c>
      <c r="F94" s="17" t="s">
        <v>59</v>
      </c>
      <c r="G94" s="14">
        <v>0</v>
      </c>
      <c r="H94" s="7" t="s">
        <v>57</v>
      </c>
    </row>
    <row r="95" spans="1:8" ht="13.8" x14ac:dyDescent="0.25">
      <c r="A95" s="5"/>
      <c r="B95" s="5"/>
      <c r="C95" s="15"/>
      <c r="D95" s="5"/>
      <c r="E95" s="5"/>
      <c r="F95" s="16"/>
      <c r="G95" s="16"/>
      <c r="H95" s="7" t="s">
        <v>57</v>
      </c>
    </row>
    <row r="96" spans="1:8" ht="13.8" x14ac:dyDescent="0.25">
      <c r="A96" s="5"/>
      <c r="B96" s="5"/>
      <c r="C96" s="6" t="s">
        <v>63</v>
      </c>
      <c r="D96" s="5"/>
      <c r="E96" s="5"/>
      <c r="F96" s="16"/>
      <c r="G96" s="16"/>
      <c r="H96" s="7" t="s">
        <v>57</v>
      </c>
    </row>
    <row r="97" spans="1:8" ht="13.8" x14ac:dyDescent="0.25">
      <c r="A97" s="8">
        <v>1</v>
      </c>
      <c r="B97" s="9"/>
      <c r="C97" s="9" t="s">
        <v>253</v>
      </c>
      <c r="D97" s="9" t="s">
        <v>235</v>
      </c>
      <c r="E97" s="10">
        <v>224600</v>
      </c>
      <c r="F97" s="11">
        <v>4941.6491999999998</v>
      </c>
      <c r="G97" s="12">
        <v>1.6721529999999998E-2</v>
      </c>
      <c r="H97" s="7" t="s">
        <v>57</v>
      </c>
    </row>
    <row r="98" spans="1:8" ht="13.8" x14ac:dyDescent="0.25">
      <c r="A98" s="5"/>
      <c r="B98" s="5"/>
      <c r="C98" s="6" t="s">
        <v>56</v>
      </c>
      <c r="D98" s="5"/>
      <c r="E98" s="5" t="s">
        <v>57</v>
      </c>
      <c r="F98" s="13">
        <v>4941.6491999999998</v>
      </c>
      <c r="G98" s="14">
        <v>1.6721529999999998E-2</v>
      </c>
      <c r="H98" s="7" t="s">
        <v>57</v>
      </c>
    </row>
    <row r="99" spans="1:8" ht="13.8" x14ac:dyDescent="0.25">
      <c r="A99" s="5"/>
      <c r="B99" s="5"/>
      <c r="C99" s="15"/>
      <c r="D99" s="5"/>
      <c r="E99" s="5"/>
      <c r="F99" s="16"/>
      <c r="G99" s="16"/>
      <c r="H99" s="7" t="s">
        <v>57</v>
      </c>
    </row>
    <row r="100" spans="1:8" ht="13.8" x14ac:dyDescent="0.25">
      <c r="A100" s="5"/>
      <c r="B100" s="5"/>
      <c r="C100" s="6" t="s">
        <v>64</v>
      </c>
      <c r="D100" s="5"/>
      <c r="E100" s="5"/>
      <c r="F100" s="13">
        <v>280902.990554419</v>
      </c>
      <c r="G100" s="14">
        <v>0.95051841999999998</v>
      </c>
      <c r="H100" s="7" t="s">
        <v>57</v>
      </c>
    </row>
    <row r="101" spans="1:8" ht="13.8" x14ac:dyDescent="0.25">
      <c r="A101" s="5"/>
      <c r="B101" s="5"/>
      <c r="C101" s="15"/>
      <c r="D101" s="5"/>
      <c r="E101" s="5"/>
      <c r="F101" s="16"/>
      <c r="G101" s="16"/>
      <c r="H101" s="7" t="s">
        <v>57</v>
      </c>
    </row>
    <row r="102" spans="1:8" ht="13.8" x14ac:dyDescent="0.25">
      <c r="A102" s="5"/>
      <c r="B102" s="5"/>
      <c r="C102" s="6" t="s">
        <v>65</v>
      </c>
      <c r="D102" s="5"/>
      <c r="E102" s="5"/>
      <c r="F102" s="16"/>
      <c r="G102" s="16"/>
      <c r="H102" s="7" t="s">
        <v>57</v>
      </c>
    </row>
    <row r="103" spans="1:8" ht="13.8" x14ac:dyDescent="0.25">
      <c r="A103" s="5"/>
      <c r="B103" s="5"/>
      <c r="C103" s="6" t="s">
        <v>9</v>
      </c>
      <c r="D103" s="5"/>
      <c r="E103" s="5"/>
      <c r="F103" s="16"/>
      <c r="G103" s="16"/>
      <c r="H103" s="7" t="s">
        <v>57</v>
      </c>
    </row>
    <row r="104" spans="1:8" ht="13.8" x14ac:dyDescent="0.25">
      <c r="A104" s="5"/>
      <c r="B104" s="5"/>
      <c r="C104" s="6" t="s">
        <v>56</v>
      </c>
      <c r="D104" s="5"/>
      <c r="E104" s="5" t="s">
        <v>57</v>
      </c>
      <c r="F104" s="17" t="s">
        <v>59</v>
      </c>
      <c r="G104" s="14">
        <v>0</v>
      </c>
      <c r="H104" s="7" t="s">
        <v>57</v>
      </c>
    </row>
    <row r="105" spans="1:8" ht="13.8" x14ac:dyDescent="0.25">
      <c r="A105" s="5"/>
      <c r="B105" s="5"/>
      <c r="C105" s="15"/>
      <c r="D105" s="5"/>
      <c r="E105" s="5"/>
      <c r="F105" s="16"/>
      <c r="G105" s="16"/>
      <c r="H105" s="7" t="s">
        <v>57</v>
      </c>
    </row>
    <row r="106" spans="1:8" ht="13.8" x14ac:dyDescent="0.25">
      <c r="A106" s="5"/>
      <c r="B106" s="5"/>
      <c r="C106" s="6" t="s">
        <v>66</v>
      </c>
      <c r="D106" s="5"/>
      <c r="E106" s="5"/>
      <c r="F106" s="5"/>
      <c r="G106" s="5"/>
      <c r="H106" s="7" t="s">
        <v>57</v>
      </c>
    </row>
    <row r="107" spans="1:8" ht="13.8" x14ac:dyDescent="0.25">
      <c r="A107" s="5"/>
      <c r="B107" s="5"/>
      <c r="C107" s="6" t="s">
        <v>56</v>
      </c>
      <c r="D107" s="5"/>
      <c r="E107" s="5" t="s">
        <v>57</v>
      </c>
      <c r="F107" s="17" t="s">
        <v>59</v>
      </c>
      <c r="G107" s="14">
        <v>0</v>
      </c>
      <c r="H107" s="7" t="s">
        <v>57</v>
      </c>
    </row>
    <row r="108" spans="1:8" ht="13.8" x14ac:dyDescent="0.25">
      <c r="A108" s="5"/>
      <c r="B108" s="5"/>
      <c r="C108" s="15"/>
      <c r="D108" s="5"/>
      <c r="E108" s="5"/>
      <c r="F108" s="16"/>
      <c r="G108" s="16"/>
      <c r="H108" s="7" t="s">
        <v>57</v>
      </c>
    </row>
    <row r="109" spans="1:8" ht="13.8" x14ac:dyDescent="0.25">
      <c r="A109" s="5"/>
      <c r="B109" s="5"/>
      <c r="C109" s="6" t="s">
        <v>67</v>
      </c>
      <c r="D109" s="5"/>
      <c r="E109" s="5"/>
      <c r="F109" s="5"/>
      <c r="G109" s="5"/>
      <c r="H109" s="7" t="s">
        <v>57</v>
      </c>
    </row>
    <row r="110" spans="1:8" ht="13.8" x14ac:dyDescent="0.25">
      <c r="A110" s="5"/>
      <c r="B110" s="5"/>
      <c r="C110" s="6" t="s">
        <v>56</v>
      </c>
      <c r="D110" s="5"/>
      <c r="E110" s="5" t="s">
        <v>57</v>
      </c>
      <c r="F110" s="17" t="s">
        <v>59</v>
      </c>
      <c r="G110" s="14">
        <v>0</v>
      </c>
      <c r="H110" s="7" t="s">
        <v>57</v>
      </c>
    </row>
    <row r="111" spans="1:8" ht="13.8" x14ac:dyDescent="0.25">
      <c r="A111" s="5"/>
      <c r="B111" s="5"/>
      <c r="C111" s="15"/>
      <c r="D111" s="5"/>
      <c r="E111" s="5"/>
      <c r="F111" s="16"/>
      <c r="G111" s="16"/>
      <c r="H111" s="7" t="s">
        <v>57</v>
      </c>
    </row>
    <row r="112" spans="1:8" ht="13.8" x14ac:dyDescent="0.25">
      <c r="A112" s="5"/>
      <c r="B112" s="5"/>
      <c r="C112" s="6" t="s">
        <v>68</v>
      </c>
      <c r="D112" s="5"/>
      <c r="E112" s="5"/>
      <c r="F112" s="16"/>
      <c r="G112" s="16"/>
      <c r="H112" s="7" t="s">
        <v>57</v>
      </c>
    </row>
    <row r="113" spans="1:8" ht="13.8" x14ac:dyDescent="0.25">
      <c r="A113" s="5"/>
      <c r="B113" s="5"/>
      <c r="C113" s="6" t="s">
        <v>56</v>
      </c>
      <c r="D113" s="5"/>
      <c r="E113" s="5" t="s">
        <v>57</v>
      </c>
      <c r="F113" s="17" t="s">
        <v>59</v>
      </c>
      <c r="G113" s="14">
        <v>0</v>
      </c>
      <c r="H113" s="7" t="s">
        <v>57</v>
      </c>
    </row>
    <row r="114" spans="1:8" ht="13.8" x14ac:dyDescent="0.25">
      <c r="A114" s="5"/>
      <c r="B114" s="5"/>
      <c r="C114" s="15"/>
      <c r="D114" s="5"/>
      <c r="E114" s="5"/>
      <c r="F114" s="16"/>
      <c r="G114" s="16"/>
      <c r="H114" s="7" t="s">
        <v>57</v>
      </c>
    </row>
    <row r="115" spans="1:8" ht="13.8" x14ac:dyDescent="0.25">
      <c r="A115" s="5"/>
      <c r="B115" s="5"/>
      <c r="C115" s="6" t="s">
        <v>69</v>
      </c>
      <c r="D115" s="5"/>
      <c r="E115" s="5"/>
      <c r="F115" s="13">
        <v>0</v>
      </c>
      <c r="G115" s="14">
        <v>0</v>
      </c>
      <c r="H115" s="7" t="s">
        <v>57</v>
      </c>
    </row>
    <row r="116" spans="1:8" ht="13.8" x14ac:dyDescent="0.25">
      <c r="A116" s="5"/>
      <c r="B116" s="5"/>
      <c r="C116" s="15"/>
      <c r="D116" s="5"/>
      <c r="E116" s="5"/>
      <c r="F116" s="16"/>
      <c r="G116" s="16"/>
      <c r="H116" s="7" t="s">
        <v>57</v>
      </c>
    </row>
    <row r="117" spans="1:8" ht="13.8" x14ac:dyDescent="0.25">
      <c r="A117" s="5"/>
      <c r="B117" s="5"/>
      <c r="C117" s="6" t="s">
        <v>70</v>
      </c>
      <c r="D117" s="5"/>
      <c r="E117" s="5"/>
      <c r="F117" s="16"/>
      <c r="G117" s="16"/>
      <c r="H117" s="7" t="s">
        <v>57</v>
      </c>
    </row>
    <row r="118" spans="1:8" ht="13.8" x14ac:dyDescent="0.25">
      <c r="A118" s="5"/>
      <c r="B118" s="5"/>
      <c r="C118" s="6" t="s">
        <v>71</v>
      </c>
      <c r="D118" s="5"/>
      <c r="E118" s="5"/>
      <c r="F118" s="16"/>
      <c r="G118" s="16"/>
      <c r="H118" s="7" t="s">
        <v>57</v>
      </c>
    </row>
    <row r="119" spans="1:8" ht="13.8" x14ac:dyDescent="0.25">
      <c r="A119" s="5"/>
      <c r="B119" s="5"/>
      <c r="C119" s="6" t="s">
        <v>56</v>
      </c>
      <c r="D119" s="5"/>
      <c r="E119" s="5" t="s">
        <v>57</v>
      </c>
      <c r="F119" s="17" t="s">
        <v>59</v>
      </c>
      <c r="G119" s="14">
        <v>0</v>
      </c>
      <c r="H119" s="7" t="s">
        <v>57</v>
      </c>
    </row>
    <row r="120" spans="1:8" ht="13.8" x14ac:dyDescent="0.25">
      <c r="A120" s="5"/>
      <c r="B120" s="5"/>
      <c r="C120" s="15"/>
      <c r="D120" s="5"/>
      <c r="E120" s="5"/>
      <c r="F120" s="16"/>
      <c r="G120" s="16"/>
      <c r="H120" s="7" t="s">
        <v>57</v>
      </c>
    </row>
    <row r="121" spans="1:8" ht="13.8" x14ac:dyDescent="0.25">
      <c r="A121" s="5"/>
      <c r="B121" s="5"/>
      <c r="C121" s="6" t="s">
        <v>72</v>
      </c>
      <c r="D121" s="5"/>
      <c r="E121" s="5"/>
      <c r="F121" s="16"/>
      <c r="G121" s="16"/>
      <c r="H121" s="7" t="s">
        <v>57</v>
      </c>
    </row>
    <row r="122" spans="1:8" ht="13.8" x14ac:dyDescent="0.25">
      <c r="A122" s="5"/>
      <c r="B122" s="5"/>
      <c r="C122" s="6" t="s">
        <v>56</v>
      </c>
      <c r="D122" s="5"/>
      <c r="E122" s="5" t="s">
        <v>57</v>
      </c>
      <c r="F122" s="17" t="s">
        <v>59</v>
      </c>
      <c r="G122" s="14">
        <v>0</v>
      </c>
      <c r="H122" s="7" t="s">
        <v>57</v>
      </c>
    </row>
    <row r="123" spans="1:8" ht="13.8" x14ac:dyDescent="0.25">
      <c r="A123" s="5"/>
      <c r="B123" s="5"/>
      <c r="C123" s="15"/>
      <c r="D123" s="5"/>
      <c r="E123" s="5"/>
      <c r="F123" s="16"/>
      <c r="G123" s="16"/>
      <c r="H123" s="7" t="s">
        <v>57</v>
      </c>
    </row>
    <row r="124" spans="1:8" ht="13.8" x14ac:dyDescent="0.25">
      <c r="A124" s="5"/>
      <c r="B124" s="5"/>
      <c r="C124" s="6" t="s">
        <v>73</v>
      </c>
      <c r="D124" s="5"/>
      <c r="E124" s="5"/>
      <c r="F124" s="16"/>
      <c r="G124" s="16"/>
      <c r="H124" s="7" t="s">
        <v>57</v>
      </c>
    </row>
    <row r="125" spans="1:8" ht="13.8" x14ac:dyDescent="0.25">
      <c r="A125" s="8">
        <v>1</v>
      </c>
      <c r="B125" s="9" t="s">
        <v>236</v>
      </c>
      <c r="C125" s="9" t="s">
        <v>260</v>
      </c>
      <c r="D125" s="9" t="s">
        <v>140</v>
      </c>
      <c r="E125" s="10">
        <v>2000000</v>
      </c>
      <c r="F125" s="11">
        <v>1989.2719999999999</v>
      </c>
      <c r="G125" s="12">
        <v>6.73129E-3</v>
      </c>
      <c r="H125" s="7">
        <v>6.35</v>
      </c>
    </row>
    <row r="126" spans="1:8" ht="13.8" x14ac:dyDescent="0.25">
      <c r="A126" s="5"/>
      <c r="B126" s="5"/>
      <c r="C126" s="6" t="s">
        <v>56</v>
      </c>
      <c r="D126" s="5"/>
      <c r="E126" s="5" t="s">
        <v>57</v>
      </c>
      <c r="F126" s="13">
        <v>1989.2719999999999</v>
      </c>
      <c r="G126" s="14">
        <v>6.73129E-3</v>
      </c>
      <c r="H126" s="7" t="s">
        <v>57</v>
      </c>
    </row>
    <row r="127" spans="1:8" ht="13.8" x14ac:dyDescent="0.25">
      <c r="A127" s="5"/>
      <c r="B127" s="5"/>
      <c r="C127" s="15"/>
      <c r="D127" s="5"/>
      <c r="E127" s="5"/>
      <c r="F127" s="16"/>
      <c r="G127" s="16"/>
      <c r="H127" s="7" t="s">
        <v>57</v>
      </c>
    </row>
    <row r="128" spans="1:8" ht="13.8" x14ac:dyDescent="0.25">
      <c r="A128" s="5"/>
      <c r="B128" s="5"/>
      <c r="C128" s="6" t="s">
        <v>74</v>
      </c>
      <c r="D128" s="5"/>
      <c r="E128" s="5"/>
      <c r="F128" s="16"/>
      <c r="G128" s="16"/>
      <c r="H128" s="7" t="s">
        <v>57</v>
      </c>
    </row>
    <row r="129" spans="1:8" ht="13.8" x14ac:dyDescent="0.25">
      <c r="A129" s="8">
        <v>1</v>
      </c>
      <c r="B129" s="9"/>
      <c r="C129" s="9" t="s">
        <v>75</v>
      </c>
      <c r="D129" s="9"/>
      <c r="E129" s="19"/>
      <c r="F129" s="11">
        <v>11812.326778684999</v>
      </c>
      <c r="G129" s="12">
        <v>3.9970499999999999E-2</v>
      </c>
      <c r="H129" s="7">
        <v>6.76</v>
      </c>
    </row>
    <row r="130" spans="1:8" ht="13.8" x14ac:dyDescent="0.25">
      <c r="A130" s="5"/>
      <c r="B130" s="5"/>
      <c r="C130" s="6" t="s">
        <v>56</v>
      </c>
      <c r="D130" s="5"/>
      <c r="E130" s="5" t="s">
        <v>57</v>
      </c>
      <c r="F130" s="13">
        <v>11812.326778684999</v>
      </c>
      <c r="G130" s="14">
        <v>3.9970499999999999E-2</v>
      </c>
      <c r="H130" s="7" t="s">
        <v>57</v>
      </c>
    </row>
    <row r="131" spans="1:8" ht="13.8" x14ac:dyDescent="0.25">
      <c r="A131" s="5"/>
      <c r="B131" s="5"/>
      <c r="C131" s="15"/>
      <c r="D131" s="5"/>
      <c r="E131" s="5"/>
      <c r="F131" s="16"/>
      <c r="G131" s="16"/>
      <c r="H131" s="7" t="s">
        <v>57</v>
      </c>
    </row>
    <row r="132" spans="1:8" ht="13.8" x14ac:dyDescent="0.25">
      <c r="A132" s="5"/>
      <c r="B132" s="5"/>
      <c r="C132" s="6" t="s">
        <v>76</v>
      </c>
      <c r="D132" s="5"/>
      <c r="E132" s="5"/>
      <c r="F132" s="13">
        <v>13801.598778685</v>
      </c>
      <c r="G132" s="14">
        <v>4.670179E-2</v>
      </c>
      <c r="H132" s="7" t="s">
        <v>57</v>
      </c>
    </row>
    <row r="133" spans="1:8" ht="13.8" x14ac:dyDescent="0.25">
      <c r="A133" s="5"/>
      <c r="B133" s="5"/>
      <c r="C133" s="16"/>
      <c r="D133" s="5"/>
      <c r="E133" s="5"/>
      <c r="F133" s="5"/>
      <c r="G133" s="5"/>
      <c r="H133" s="7" t="s">
        <v>57</v>
      </c>
    </row>
    <row r="134" spans="1:8" ht="13.8" x14ac:dyDescent="0.25">
      <c r="A134" s="5"/>
      <c r="B134" s="5"/>
      <c r="C134" s="6" t="s">
        <v>77</v>
      </c>
      <c r="D134" s="5"/>
      <c r="E134" s="5"/>
      <c r="F134" s="5"/>
      <c r="G134" s="5"/>
      <c r="H134" s="7" t="s">
        <v>57</v>
      </c>
    </row>
    <row r="135" spans="1:8" ht="13.8" x14ac:dyDescent="0.25">
      <c r="A135" s="5"/>
      <c r="B135" s="5"/>
      <c r="C135" s="6" t="s">
        <v>78</v>
      </c>
      <c r="D135" s="5"/>
      <c r="E135" s="5"/>
      <c r="F135" s="5"/>
      <c r="G135" s="5"/>
      <c r="H135" s="7" t="s">
        <v>57</v>
      </c>
    </row>
    <row r="136" spans="1:8" ht="13.8" x14ac:dyDescent="0.25">
      <c r="A136" s="8">
        <v>1</v>
      </c>
      <c r="B136" s="9" t="s">
        <v>123</v>
      </c>
      <c r="C136" s="9" t="s">
        <v>124</v>
      </c>
      <c r="D136" s="9"/>
      <c r="E136" s="43">
        <v>218647.08600000001</v>
      </c>
      <c r="F136" s="11">
        <v>5010.8008639879999</v>
      </c>
      <c r="G136" s="12">
        <v>1.695553E-2</v>
      </c>
      <c r="H136" s="7" t="s">
        <v>57</v>
      </c>
    </row>
    <row r="137" spans="1:8" ht="13.8" x14ac:dyDescent="0.25">
      <c r="A137" s="5"/>
      <c r="B137" s="5"/>
      <c r="C137" s="6" t="s">
        <v>56</v>
      </c>
      <c r="D137" s="5"/>
      <c r="E137" s="5" t="s">
        <v>57</v>
      </c>
      <c r="F137" s="13">
        <v>5010.8008639879999</v>
      </c>
      <c r="G137" s="14">
        <v>1.695553E-2</v>
      </c>
      <c r="H137" s="7" t="s">
        <v>57</v>
      </c>
    </row>
    <row r="138" spans="1:8" ht="13.8" x14ac:dyDescent="0.25">
      <c r="A138" s="5"/>
      <c r="B138" s="5"/>
      <c r="C138" s="15"/>
      <c r="D138" s="5"/>
      <c r="E138" s="5"/>
      <c r="F138" s="16"/>
      <c r="G138" s="16"/>
      <c r="H138" s="7" t="s">
        <v>57</v>
      </c>
    </row>
    <row r="139" spans="1:8" ht="13.8" x14ac:dyDescent="0.25">
      <c r="A139" s="5"/>
      <c r="B139" s="5"/>
      <c r="C139" s="6" t="s">
        <v>79</v>
      </c>
      <c r="D139" s="5"/>
      <c r="E139" s="5"/>
      <c r="F139" s="5"/>
      <c r="G139" s="5"/>
      <c r="H139" s="7" t="s">
        <v>57</v>
      </c>
    </row>
    <row r="140" spans="1:8" ht="13.8" x14ac:dyDescent="0.25">
      <c r="A140" s="5"/>
      <c r="B140" s="5"/>
      <c r="C140" s="6" t="s">
        <v>80</v>
      </c>
      <c r="D140" s="5"/>
      <c r="E140" s="5"/>
      <c r="F140" s="5"/>
      <c r="G140" s="5"/>
      <c r="H140" s="7" t="s">
        <v>57</v>
      </c>
    </row>
    <row r="141" spans="1:8" ht="13.8" x14ac:dyDescent="0.25">
      <c r="A141" s="5"/>
      <c r="B141" s="5"/>
      <c r="C141" s="6" t="s">
        <v>56</v>
      </c>
      <c r="D141" s="5"/>
      <c r="E141" s="5" t="s">
        <v>57</v>
      </c>
      <c r="F141" s="17" t="s">
        <v>59</v>
      </c>
      <c r="G141" s="14">
        <v>0</v>
      </c>
      <c r="H141" s="7" t="s">
        <v>57</v>
      </c>
    </row>
    <row r="142" spans="1:8" ht="13.8" x14ac:dyDescent="0.25">
      <c r="A142" s="5"/>
      <c r="B142" s="5"/>
      <c r="C142" s="15"/>
      <c r="D142" s="5"/>
      <c r="E142" s="5"/>
      <c r="F142" s="16"/>
      <c r="G142" s="16"/>
      <c r="H142" s="7" t="s">
        <v>57</v>
      </c>
    </row>
    <row r="143" spans="1:8" ht="13.8" x14ac:dyDescent="0.25">
      <c r="A143" s="5"/>
      <c r="B143" s="5"/>
      <c r="C143" s="6" t="s">
        <v>81</v>
      </c>
      <c r="D143" s="5"/>
      <c r="E143" s="5"/>
      <c r="F143" s="16"/>
      <c r="G143" s="16"/>
      <c r="H143" s="7" t="s">
        <v>57</v>
      </c>
    </row>
    <row r="144" spans="1:8" ht="13.8" x14ac:dyDescent="0.25">
      <c r="A144" s="5"/>
      <c r="B144" s="5"/>
      <c r="C144" s="6" t="s">
        <v>56</v>
      </c>
      <c r="D144" s="5"/>
      <c r="E144" s="5" t="s">
        <v>57</v>
      </c>
      <c r="F144" s="17" t="s">
        <v>59</v>
      </c>
      <c r="G144" s="14">
        <v>0</v>
      </c>
      <c r="H144" s="7" t="s">
        <v>57</v>
      </c>
    </row>
    <row r="145" spans="1:17" ht="13.8" x14ac:dyDescent="0.25">
      <c r="A145" s="5"/>
      <c r="B145" s="5"/>
      <c r="C145" s="15"/>
      <c r="D145" s="5"/>
      <c r="E145" s="5"/>
      <c r="F145" s="16"/>
      <c r="G145" s="16"/>
      <c r="H145" s="7" t="s">
        <v>57</v>
      </c>
    </row>
    <row r="146" spans="1:17" ht="13.8" x14ac:dyDescent="0.25">
      <c r="A146" s="19"/>
      <c r="B146" s="9"/>
      <c r="C146" s="9" t="s">
        <v>237</v>
      </c>
      <c r="D146" s="9"/>
      <c r="E146" s="19"/>
      <c r="F146" s="11">
        <v>1463.0104002</v>
      </c>
      <c r="G146" s="12">
        <v>4.9505299999999999E-3</v>
      </c>
      <c r="H146" s="7" t="s">
        <v>57</v>
      </c>
    </row>
    <row r="147" spans="1:17" ht="13.8" x14ac:dyDescent="0.25">
      <c r="A147" s="19"/>
      <c r="B147" s="9"/>
      <c r="C147" s="18" t="s">
        <v>254</v>
      </c>
      <c r="D147" s="9"/>
      <c r="E147" s="19"/>
      <c r="F147" s="11">
        <f>-5652.30344869+0.00231505798339844</f>
        <v>-5652.301133632016</v>
      </c>
      <c r="G147" s="12">
        <f>F147/F148</f>
        <v>-1.9126233330626907E-2</v>
      </c>
      <c r="H147" s="7" t="s">
        <v>57</v>
      </c>
    </row>
    <row r="148" spans="1:17" ht="13.8" x14ac:dyDescent="0.25">
      <c r="A148" s="15"/>
      <c r="B148" s="15"/>
      <c r="C148" s="6" t="s">
        <v>82</v>
      </c>
      <c r="D148" s="16"/>
      <c r="E148" s="16"/>
      <c r="F148" s="13">
        <f>295526.097148602+0.00231505798339844</f>
        <v>295526.09946365998</v>
      </c>
      <c r="G148" s="20">
        <v>1.00000003</v>
      </c>
      <c r="H148" s="7" t="s">
        <v>57</v>
      </c>
    </row>
    <row r="149" spans="1:17" ht="13.8" x14ac:dyDescent="0.25">
      <c r="A149" s="44"/>
      <c r="B149" s="44"/>
      <c r="C149" s="44"/>
      <c r="D149" s="45"/>
      <c r="E149" s="45"/>
      <c r="F149" s="45"/>
      <c r="G149" s="45"/>
    </row>
    <row r="150" spans="1:17" ht="13.8" x14ac:dyDescent="0.25">
      <c r="A150" s="21"/>
      <c r="B150" s="55" t="s">
        <v>242</v>
      </c>
      <c r="C150" s="55"/>
      <c r="D150" s="55"/>
      <c r="E150" s="55"/>
      <c r="F150" s="55"/>
      <c r="G150" s="55"/>
      <c r="H150" s="55"/>
      <c r="J150" s="23"/>
    </row>
    <row r="151" spans="1:17" ht="13.8" x14ac:dyDescent="0.25">
      <c r="A151" s="21"/>
      <c r="B151" s="55" t="s">
        <v>243</v>
      </c>
      <c r="C151" s="55"/>
      <c r="D151" s="55"/>
      <c r="E151" s="55"/>
      <c r="F151" s="55"/>
      <c r="G151" s="55"/>
      <c r="H151" s="55"/>
      <c r="J151" s="23"/>
    </row>
    <row r="152" spans="1:17" ht="13.8" x14ac:dyDescent="0.25">
      <c r="A152" s="21"/>
      <c r="B152" s="55" t="s">
        <v>244</v>
      </c>
      <c r="C152" s="55"/>
      <c r="D152" s="55"/>
      <c r="E152" s="55"/>
      <c r="F152" s="55"/>
      <c r="G152" s="55"/>
      <c r="H152" s="55"/>
      <c r="J152" s="23"/>
    </row>
    <row r="153" spans="1:17" s="25" customFormat="1" ht="66.75" customHeight="1" x14ac:dyDescent="0.3">
      <c r="A153" s="24"/>
      <c r="B153" s="56" t="s">
        <v>245</v>
      </c>
      <c r="C153" s="56"/>
      <c r="D153" s="56"/>
      <c r="E153" s="56"/>
      <c r="F153" s="56"/>
      <c r="G153" s="56"/>
      <c r="H153" s="56"/>
      <c r="I153"/>
      <c r="J153" s="23"/>
      <c r="K153"/>
      <c r="L153"/>
      <c r="M153"/>
      <c r="N153"/>
      <c r="O153"/>
      <c r="P153"/>
      <c r="Q153"/>
    </row>
    <row r="154" spans="1:17" ht="13.8" x14ac:dyDescent="0.25">
      <c r="A154" s="21"/>
      <c r="B154" s="55" t="s">
        <v>246</v>
      </c>
      <c r="C154" s="55"/>
      <c r="D154" s="55"/>
      <c r="E154" s="55"/>
      <c r="F154" s="55"/>
      <c r="G154" s="55"/>
      <c r="H154" s="55"/>
      <c r="J154" s="23"/>
    </row>
    <row r="155" spans="1:17" ht="13.8" x14ac:dyDescent="0.25">
      <c r="A155" s="26"/>
      <c r="B155" s="26"/>
      <c r="C155" s="26"/>
      <c r="D155" s="28"/>
      <c r="E155" s="28"/>
      <c r="F155" s="28"/>
      <c r="G155" s="28"/>
    </row>
    <row r="156" spans="1:17" ht="13.8" x14ac:dyDescent="0.25">
      <c r="A156" s="26"/>
      <c r="B156" s="52" t="s">
        <v>83</v>
      </c>
      <c r="C156" s="53"/>
      <c r="D156" s="54"/>
      <c r="E156" s="27"/>
      <c r="F156" s="28"/>
      <c r="G156" s="28"/>
    </row>
    <row r="157" spans="1:17" ht="13.8" x14ac:dyDescent="0.25">
      <c r="A157" s="26"/>
      <c r="B157" s="50" t="s">
        <v>84</v>
      </c>
      <c r="C157" s="51"/>
      <c r="D157" s="6" t="s">
        <v>85</v>
      </c>
      <c r="E157" s="27"/>
      <c r="F157" s="28"/>
      <c r="G157" s="28"/>
    </row>
    <row r="158" spans="1:17" ht="12.75" customHeight="1" x14ac:dyDescent="0.25">
      <c r="A158" s="26"/>
      <c r="B158" s="48" t="s">
        <v>247</v>
      </c>
      <c r="C158" s="49"/>
      <c r="D158" s="29" t="str">
        <f>"Rs. "&amp;TEXT(F91,"0.00")&amp;" lacs/ #"</f>
        <v>Rs. 0.00 lacs/ #</v>
      </c>
      <c r="E158" s="27"/>
      <c r="F158" s="28"/>
      <c r="G158" s="28"/>
    </row>
    <row r="159" spans="1:17" ht="13.8" x14ac:dyDescent="0.25">
      <c r="A159" s="26"/>
      <c r="B159" s="50" t="s">
        <v>86</v>
      </c>
      <c r="C159" s="51"/>
      <c r="D159" s="16" t="s">
        <v>57</v>
      </c>
      <c r="E159" s="27"/>
      <c r="F159" s="28"/>
      <c r="G159" s="28"/>
    </row>
    <row r="160" spans="1:17" ht="13.8" x14ac:dyDescent="0.25">
      <c r="A160" s="30"/>
      <c r="B160" s="31" t="s">
        <v>57</v>
      </c>
      <c r="C160" s="31" t="s">
        <v>248</v>
      </c>
      <c r="D160" s="31" t="s">
        <v>87</v>
      </c>
      <c r="E160" s="30"/>
      <c r="F160" s="30"/>
      <c r="G160" s="30"/>
      <c r="H160" s="30"/>
      <c r="J160" s="23"/>
    </row>
    <row r="161" spans="1:10" ht="13.8" x14ac:dyDescent="0.25">
      <c r="A161" s="30"/>
      <c r="B161" s="32" t="s">
        <v>88</v>
      </c>
      <c r="C161" s="33">
        <v>45716</v>
      </c>
      <c r="D161" s="33">
        <v>45747</v>
      </c>
      <c r="E161" s="30"/>
      <c r="F161" s="30"/>
      <c r="G161" s="30"/>
      <c r="J161" s="23"/>
    </row>
    <row r="162" spans="1:10" ht="13.8" x14ac:dyDescent="0.25">
      <c r="A162" s="34"/>
      <c r="B162" s="9" t="s">
        <v>89</v>
      </c>
      <c r="C162" s="35">
        <v>231.09119999999999</v>
      </c>
      <c r="D162" s="35">
        <v>247.4761</v>
      </c>
      <c r="E162" s="34"/>
      <c r="F162" s="36"/>
      <c r="G162" s="37"/>
    </row>
    <row r="163" spans="1:10" ht="13.8" x14ac:dyDescent="0.25">
      <c r="A163" s="34"/>
      <c r="B163" s="9" t="s">
        <v>258</v>
      </c>
      <c r="C163" s="35">
        <v>32.494199999999999</v>
      </c>
      <c r="D163" s="35">
        <v>34.798099999999998</v>
      </c>
      <c r="E163" s="34"/>
      <c r="F163" s="36"/>
      <c r="G163" s="37"/>
    </row>
    <row r="164" spans="1:10" ht="13.8" x14ac:dyDescent="0.25">
      <c r="A164" s="34"/>
      <c r="B164" s="9" t="s">
        <v>90</v>
      </c>
      <c r="C164" s="35">
        <v>209.6053</v>
      </c>
      <c r="D164" s="35">
        <v>224.268</v>
      </c>
      <c r="E164" s="34"/>
      <c r="F164" s="36"/>
      <c r="G164" s="37"/>
    </row>
    <row r="165" spans="1:10" ht="13.8" x14ac:dyDescent="0.25">
      <c r="A165" s="34"/>
      <c r="B165" s="9" t="s">
        <v>259</v>
      </c>
      <c r="C165" s="35">
        <v>28.681100000000001</v>
      </c>
      <c r="D165" s="35">
        <v>30.6875</v>
      </c>
      <c r="E165" s="34"/>
      <c r="F165" s="36"/>
      <c r="G165" s="37"/>
    </row>
    <row r="166" spans="1:10" ht="13.8" x14ac:dyDescent="0.25">
      <c r="A166" s="34"/>
      <c r="B166" s="34"/>
      <c r="C166" s="34"/>
      <c r="D166" s="34"/>
      <c r="E166" s="34"/>
      <c r="F166" s="34"/>
      <c r="G166" s="34"/>
    </row>
    <row r="167" spans="1:10" ht="13.8" x14ac:dyDescent="0.25">
      <c r="A167" s="30"/>
      <c r="B167" s="48" t="s">
        <v>249</v>
      </c>
      <c r="C167" s="49"/>
      <c r="D167" s="29" t="s">
        <v>85</v>
      </c>
      <c r="E167" s="30"/>
      <c r="F167" s="30"/>
      <c r="G167" s="30"/>
    </row>
    <row r="168" spans="1:10" ht="13.8" x14ac:dyDescent="0.25">
      <c r="A168" s="30"/>
      <c r="B168" s="46"/>
      <c r="C168" s="46"/>
      <c r="D168" s="46"/>
      <c r="E168" s="30"/>
      <c r="F168" s="30"/>
      <c r="G168" s="30"/>
    </row>
    <row r="169" spans="1:10" ht="25.5" customHeight="1" x14ac:dyDescent="0.25">
      <c r="A169" s="30"/>
      <c r="B169" s="48" t="s">
        <v>91</v>
      </c>
      <c r="C169" s="49"/>
      <c r="D169" s="29" t="s">
        <v>255</v>
      </c>
      <c r="E169" s="39"/>
      <c r="F169" s="30"/>
      <c r="G169" s="30"/>
    </row>
    <row r="170" spans="1:10" ht="24.75" customHeight="1" x14ac:dyDescent="0.25">
      <c r="A170" s="30"/>
      <c r="B170" s="48" t="s">
        <v>92</v>
      </c>
      <c r="C170" s="49"/>
      <c r="D170" s="29" t="s">
        <v>85</v>
      </c>
      <c r="E170" s="39"/>
      <c r="F170" s="30"/>
      <c r="G170" s="30"/>
    </row>
    <row r="171" spans="1:10" ht="13.8" x14ac:dyDescent="0.25">
      <c r="A171" s="30"/>
      <c r="B171" s="48" t="s">
        <v>93</v>
      </c>
      <c r="C171" s="49"/>
      <c r="D171" s="29" t="s">
        <v>85</v>
      </c>
      <c r="E171" s="39"/>
      <c r="F171" s="30"/>
      <c r="G171" s="30"/>
    </row>
    <row r="172" spans="1:10" ht="13.8" x14ac:dyDescent="0.25">
      <c r="A172" s="30"/>
      <c r="B172" s="48" t="s">
        <v>94</v>
      </c>
      <c r="C172" s="49"/>
      <c r="D172" s="40">
        <v>0.82286388606984751</v>
      </c>
      <c r="E172" s="30"/>
      <c r="F172" s="22"/>
      <c r="G172" s="38"/>
    </row>
    <row r="174" spans="1:10" x14ac:dyDescent="0.25">
      <c r="B174" s="57" t="s">
        <v>250</v>
      </c>
      <c r="C174" s="57"/>
    </row>
    <row r="176" spans="1:10" ht="153.75" customHeight="1" x14ac:dyDescent="0.25"/>
    <row r="179" spans="2:10" x14ac:dyDescent="0.25">
      <c r="B179" s="41" t="s">
        <v>251</v>
      </c>
      <c r="C179" s="42"/>
      <c r="D179" s="41" t="s">
        <v>252</v>
      </c>
    </row>
    <row r="180" spans="2:10" x14ac:dyDescent="0.25">
      <c r="B180" s="41" t="s">
        <v>256</v>
      </c>
      <c r="D180" s="41" t="s">
        <v>257</v>
      </c>
    </row>
    <row r="181" spans="2:10" ht="165" customHeight="1" x14ac:dyDescent="0.25"/>
    <row r="183" spans="2:10" x14ac:dyDescent="0.25">
      <c r="J183" s="4"/>
    </row>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sheetData>
  <mergeCells count="18">
    <mergeCell ref="B174:C174"/>
    <mergeCell ref="B167:C167"/>
    <mergeCell ref="B171:C171"/>
    <mergeCell ref="B172:C172"/>
    <mergeCell ref="B169:C169"/>
    <mergeCell ref="B170:C170"/>
    <mergeCell ref="A1:H1"/>
    <mergeCell ref="A2:H2"/>
    <mergeCell ref="A3:H3"/>
    <mergeCell ref="B158:C158"/>
    <mergeCell ref="B159:C159"/>
    <mergeCell ref="B156:D156"/>
    <mergeCell ref="B157:C157"/>
    <mergeCell ref="B150:H150"/>
    <mergeCell ref="B151:H151"/>
    <mergeCell ref="B152:H152"/>
    <mergeCell ref="B153:H153"/>
    <mergeCell ref="B154:H154"/>
  </mergeCells>
  <hyperlinks>
    <hyperlink ref="I1" location="Index!B2" display="Index" xr:uid="{6DDFD0F7-4E3B-4A82-93FA-06EE86DC6474}"/>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2025-04-02T13:41:51Z</dcterms:created>
  <dcterms:modified xsi:type="dcterms:W3CDTF">2025-09-16T20:48:52Z</dcterms:modified>
</cp:coreProperties>
</file>