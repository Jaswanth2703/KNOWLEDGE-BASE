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2\"/>
    </mc:Choice>
  </mc:AlternateContent>
  <xr:revisionPtr revIDLastSave="0" documentId="13_ncr:1_{BA026BDA-4195-4C3B-B425-F69508B52AE3}" xr6:coauthVersionLast="47" xr6:coauthVersionMax="47" xr10:uidLastSave="{00000000-0000-0000-0000-000000000000}"/>
  <bookViews>
    <workbookView xWindow="-108" yWindow="-108" windowWidth="23256" windowHeight="13176" tabRatio="951" xr2:uid="{00000000-000D-0000-FFFF-FFFF00000000}"/>
  </bookViews>
  <sheets>
    <sheet name="SMILE" sheetId="12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0" i="12" l="1"/>
</calcChain>
</file>

<file path=xl/sharedStrings.xml><?xml version="1.0" encoding="utf-8"?>
<sst xmlns="http://schemas.openxmlformats.org/spreadsheetml/2006/main" count="350" uniqueCount="250">
  <si>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</si>
  <si>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</si>
  <si>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</si>
  <si>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</si>
  <si>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</si>
  <si>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</si>
  <si>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</si>
  <si>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</si>
  <si>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</si>
  <si>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</si>
  <si>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</si>
  <si>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Cement &amp; Cement Products</t>
  </si>
  <si>
    <t>INE090A01021</t>
  </si>
  <si>
    <t>ICICI Bank Ltd</t>
  </si>
  <si>
    <t>Banks</t>
  </si>
  <si>
    <t>Industrial Products</t>
  </si>
  <si>
    <t>INE999A01015</t>
  </si>
  <si>
    <t>KSB LTD</t>
  </si>
  <si>
    <t>Electrical Equipment</t>
  </si>
  <si>
    <t>INE195J01029</t>
  </si>
  <si>
    <t>PNC Infratech Ltd</t>
  </si>
  <si>
    <t>Transport Services</t>
  </si>
  <si>
    <t>INE878B01027</t>
  </si>
  <si>
    <t>KEI Industries Ltd</t>
  </si>
  <si>
    <t>Finance</t>
  </si>
  <si>
    <t>INE935N01020</t>
  </si>
  <si>
    <t>Dixon Technologies (India) Ltd</t>
  </si>
  <si>
    <t>Consumer Durables</t>
  </si>
  <si>
    <t>Gas</t>
  </si>
  <si>
    <t>INE062A01020</t>
  </si>
  <si>
    <t>State Bank of India</t>
  </si>
  <si>
    <t>INE791I01019</t>
  </si>
  <si>
    <t>Brigade Enterprises Ltd</t>
  </si>
  <si>
    <t>Realty</t>
  </si>
  <si>
    <t>INE340A01012</t>
  </si>
  <si>
    <t>Birla Corporation Ltd</t>
  </si>
  <si>
    <t>INE743M01012</t>
  </si>
  <si>
    <t>RHI Magnesita India Ltd</t>
  </si>
  <si>
    <t>INE152M01016</t>
  </si>
  <si>
    <t>Triveni Turbine Ltd</t>
  </si>
  <si>
    <t>INE823G01014</t>
  </si>
  <si>
    <t>JK Cement Ltd</t>
  </si>
  <si>
    <t>Auto Components</t>
  </si>
  <si>
    <t>INE073K01018</t>
  </si>
  <si>
    <t>Sona BLW Precision Forgings Ltd</t>
  </si>
  <si>
    <t>INE134E01011</t>
  </si>
  <si>
    <t>Power Finance Corporation Ltd</t>
  </si>
  <si>
    <t>INE419M01027</t>
  </si>
  <si>
    <t>TD Power Systems Ltd</t>
  </si>
  <si>
    <t>INE284S01014</t>
  </si>
  <si>
    <t>S.J.S. Enterprises Ltd</t>
  </si>
  <si>
    <t>INE00M201021</t>
  </si>
  <si>
    <t>Sterling and Wilson Renewable Energy Ltd</t>
  </si>
  <si>
    <t>INE08ZM01014</t>
  </si>
  <si>
    <t>Green Panel Industries Ltd</t>
  </si>
  <si>
    <t>INE616N01034</t>
  </si>
  <si>
    <t>INOX India Ltd</t>
  </si>
  <si>
    <t>INE551A01022</t>
  </si>
  <si>
    <t>Engineering Services</t>
  </si>
  <si>
    <t>#</t>
  </si>
  <si>
    <t>Sub Total</t>
  </si>
  <si>
    <t/>
  </si>
  <si>
    <t>(b) Overseas Security</t>
  </si>
  <si>
    <t xml:space="preserve">0 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</si>
  <si>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</si>
  <si>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</si>
  <si>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</si>
  <si>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</si>
  <si>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</si>
  <si>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</si>
  <si>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</si>
  <si>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</si>
  <si>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</si>
  <si>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</si>
  <si>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</si>
  <si>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</si>
  <si>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</si>
  <si>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</si>
  <si>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</si>
  <si>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</si>
  <si>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</si>
  <si>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</si>
  <si>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</si>
  <si>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</si>
  <si>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</si>
  <si>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</si>
  <si>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</si>
  <si>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</si>
  <si>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</si>
  <si>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</si>
  <si>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</si>
  <si>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</si>
  <si>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</si>
  <si>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</si>
  <si>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</si>
  <si>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</si>
  <si>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30/11/2023</t>
  </si>
  <si>
    <t>31/12/2023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</si>
  <si>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</si>
  <si>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</si>
  <si>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</si>
  <si>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</si>
  <si>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</si>
  <si>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</si>
  <si>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INE974X01010</t>
  </si>
  <si>
    <t>Tube Investments of India Ltd</t>
  </si>
  <si>
    <t>Retailing</t>
  </si>
  <si>
    <t>Healthcare Services</t>
  </si>
  <si>
    <t>INE262H01013</t>
  </si>
  <si>
    <t>Persistent Systems Ltd</t>
  </si>
  <si>
    <t>INE048G01026</t>
  </si>
  <si>
    <t>Navin Fluorine International Ltd</t>
  </si>
  <si>
    <t>Chemicals &amp; Petrochemicals</t>
  </si>
  <si>
    <t>Pharmaceuticals &amp; Biotechnology</t>
  </si>
  <si>
    <t>INE246F01010</t>
  </si>
  <si>
    <t>Gujarat State Petronet Ltd</t>
  </si>
  <si>
    <t>INE591G01017</t>
  </si>
  <si>
    <t>Coforge Ltd</t>
  </si>
  <si>
    <t>Leisure Services</t>
  </si>
  <si>
    <t>Automobiles</t>
  </si>
  <si>
    <t>INE427F01016</t>
  </si>
  <si>
    <t>Chalet Hotels Ltd</t>
  </si>
  <si>
    <t>Entertainment</t>
  </si>
  <si>
    <t>INE596I01012</t>
  </si>
  <si>
    <t>Computer Age Management Services Ltd</t>
  </si>
  <si>
    <t>Capital Markets</t>
  </si>
  <si>
    <t>INE04I401011</t>
  </si>
  <si>
    <t>KPIT Technologies Ltd</t>
  </si>
  <si>
    <t>Beverages</t>
  </si>
  <si>
    <t>INE149A01033</t>
  </si>
  <si>
    <t>Cholamandalam Financial Holdings Ltd</t>
  </si>
  <si>
    <t>Personal Products</t>
  </si>
  <si>
    <t>INE084A01016</t>
  </si>
  <si>
    <t>Bank of India</t>
  </si>
  <si>
    <t>INE930H01031</t>
  </si>
  <si>
    <t>K.P.R. Mill Ltd</t>
  </si>
  <si>
    <t>Textiles &amp; Apparels</t>
  </si>
  <si>
    <t>INE040A01034</t>
  </si>
  <si>
    <t>HDFC Bank Ltd</t>
  </si>
  <si>
    <t>INE745G01035</t>
  </si>
  <si>
    <t>Multi Commodity Exchange of India Ltd</t>
  </si>
  <si>
    <t>INE214T01019</t>
  </si>
  <si>
    <t>LTIMindtree Ltd</t>
  </si>
  <si>
    <t>INE893J01029</t>
  </si>
  <si>
    <t>Mold-Tek Packaging Ltd</t>
  </si>
  <si>
    <t>INE296A01024</t>
  </si>
  <si>
    <t>Bajaj Finance Ltd</t>
  </si>
  <si>
    <t>INE586V01016</t>
  </si>
  <si>
    <t>TCI Express Ltd</t>
  </si>
  <si>
    <t>INE321T01012</t>
  </si>
  <si>
    <t>DOMS Industries Ltd</t>
  </si>
  <si>
    <t>Household Products</t>
  </si>
  <si>
    <t>INE825V01034</t>
  </si>
  <si>
    <t>Vedant Fashions Ltd</t>
  </si>
  <si>
    <t>INE063P01018</t>
  </si>
  <si>
    <t>Equitas Small Finance Bank Limited</t>
  </si>
  <si>
    <t>INE429E01023</t>
  </si>
  <si>
    <t>Safari Industries (India) Ltd</t>
  </si>
  <si>
    <t>INE732I01013</t>
  </si>
  <si>
    <t>Angel One Ltd</t>
  </si>
  <si>
    <t>INE191H01014</t>
  </si>
  <si>
    <t>PVR INOX Ltd</t>
  </si>
  <si>
    <t>INE572A01036</t>
  </si>
  <si>
    <t>JB Chemicals &amp; Pharmaceuticals Ltd</t>
  </si>
  <si>
    <t>INE477A01020</t>
  </si>
  <si>
    <t>Can Fin Homes Ltd</t>
  </si>
  <si>
    <t>INE274F01020</t>
  </si>
  <si>
    <t>Westlife Foodworld Ltd</t>
  </si>
  <si>
    <t>INE295F01017</t>
  </si>
  <si>
    <t>Butterfly Gandhimathi Appliances Ltd</t>
  </si>
  <si>
    <t>INE00WC01027</t>
  </si>
  <si>
    <t>Affle (India) Ltd</t>
  </si>
  <si>
    <t>INE334L01012</t>
  </si>
  <si>
    <t>Ujjivan Financial Services Ltd</t>
  </si>
  <si>
    <t>INE120A01034</t>
  </si>
  <si>
    <t>Carborundum Universal Ltd</t>
  </si>
  <si>
    <t>INE199A01012</t>
  </si>
  <si>
    <t>Procter &amp; Gamble Health Ltd</t>
  </si>
  <si>
    <t>INE227C01017</t>
  </si>
  <si>
    <t>MM Forgings Ltd</t>
  </si>
  <si>
    <t>INE679A01013</t>
  </si>
  <si>
    <t>CSB Bank Ltd</t>
  </si>
  <si>
    <t>Agricultural Food &amp; Other Products</t>
  </si>
  <si>
    <t>Commercial Services &amp; Supplies</t>
  </si>
  <si>
    <t>Sundaram Small Cap Fund</t>
  </si>
  <si>
    <t>INE03QK01018</t>
  </si>
  <si>
    <t>Suven Pharmaceuticals Ltd</t>
  </si>
  <si>
    <t>INE944F01028</t>
  </si>
  <si>
    <t>Radico Khaitan Ltd</t>
  </si>
  <si>
    <t>INE136B01020</t>
  </si>
  <si>
    <t>Cyient Ltd</t>
  </si>
  <si>
    <t>INE0CLI01024</t>
  </si>
  <si>
    <t>Rate Gain Travel Technologies Ltd</t>
  </si>
  <si>
    <t>INE725G01011</t>
  </si>
  <si>
    <t>ICRA Ltd</t>
  </si>
  <si>
    <t>INE136S01016</t>
  </si>
  <si>
    <t>Neogen Chemicals Ltd</t>
  </si>
  <si>
    <t>INE684F01012</t>
  </si>
  <si>
    <t>Firstsource Solutions Ltd</t>
  </si>
  <si>
    <t>INE836A01035</t>
  </si>
  <si>
    <t>Birlasoft Ltd</t>
  </si>
  <si>
    <t>IN9155A01020</t>
  </si>
  <si>
    <t>INE671H01015</t>
  </si>
  <si>
    <t>Sobha Developers Ltd</t>
  </si>
  <si>
    <t>INE322A01010</t>
  </si>
  <si>
    <t>Gillette India Ltd</t>
  </si>
  <si>
    <t>INE736A01011</t>
  </si>
  <si>
    <t>Central Depository Services (India) Ltd</t>
  </si>
  <si>
    <t>INE177F01017</t>
  </si>
  <si>
    <t>Kovai Medical Center &amp; Hospital Ltd</t>
  </si>
  <si>
    <t>INE119A01028</t>
  </si>
  <si>
    <t>Balrampur Chini Mills Ltd</t>
  </si>
  <si>
    <t>INE098F01031</t>
  </si>
  <si>
    <t>Amrutanjan Health Care Ltd</t>
  </si>
  <si>
    <t>INE094J01016</t>
  </si>
  <si>
    <t>UTI Asset Management Co Ltd</t>
  </si>
  <si>
    <t>INE914M01019</t>
  </si>
  <si>
    <t>Aster DM Healthcare Ltd</t>
  </si>
  <si>
    <t>INE342G01023</t>
  </si>
  <si>
    <t>NIIT Learning Systems Ltd</t>
  </si>
  <si>
    <t>Other Consumer Services</t>
  </si>
  <si>
    <t>INE142Z01019</t>
  </si>
  <si>
    <t>Orient Electric Ltd</t>
  </si>
  <si>
    <t>INE451A01017</t>
  </si>
  <si>
    <t>Force Motors Ltd</t>
  </si>
  <si>
    <t>INE109C01017</t>
  </si>
  <si>
    <t>Arman Financial Services Ltd</t>
  </si>
  <si>
    <t>INE00F201020</t>
  </si>
  <si>
    <t>Prudent Corporate Advisory Services Ltd</t>
  </si>
  <si>
    <t>INE739E01017</t>
  </si>
  <si>
    <t>Cera Sanitaryware Ltd</t>
  </si>
  <si>
    <t>INE0BJS01011</t>
  </si>
  <si>
    <t>Go Fashion (India ) Ltd</t>
  </si>
  <si>
    <t>INE0BV301023</t>
  </si>
  <si>
    <t>CE Info Systems Private Limited</t>
  </si>
  <si>
    <t>IT - Software</t>
  </si>
  <si>
    <t>IT - Services</t>
  </si>
  <si>
    <t>b) Total value and percentage of illiquid equity shares @</t>
  </si>
  <si>
    <t>0.00 / #</t>
  </si>
  <si>
    <t>Hindustan Dorr Oliver Ltd @</t>
  </si>
  <si>
    <t>Tata Motors Ltd - DVR</t>
  </si>
  <si>
    <t>YTM (%)</t>
  </si>
  <si>
    <t>Direct Plan - IDCW</t>
  </si>
  <si>
    <t>Regular Plan - IDCW</t>
  </si>
  <si>
    <t>d) IDCW declared during the period (Rupees per unit)</t>
  </si>
  <si>
    <t>Monthly Portfolio Statement for the month ended 31 December 2023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</si>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</sst>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5" formatCode="[$-1014009]General"/>
    <numFmt numFmtId="166" formatCode="[$-1014009]###0;\(###0\)"/>
    <numFmt numFmtId="167" formatCode="[$-1014009]###0.00;\(###0.00\)"/>
    <numFmt numFmtId="168" formatCode="[$-1014009]###0.00%;\(###0.00%\)"/>
    <numFmt numFmtId="169" formatCode="[$-1014009]#,##0.00\ %;\(#,##0.00\)"/>
    <numFmt numFmtId="170" formatCode="[$-1014009]#.0000"/>
    <numFmt numFmtId="171" formatCode="[$-1014009]#,##0.00%"/>
  </numFmts>
  <fonts count="1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charset val="1"/>
    </font>
    <font>
      <sz val="10"/>
      <color indexed="8"/>
      <name val="Calibri"/>
      <charset val="1"/>
    </font>
    <font>
      <b/>
      <sz val="10"/>
      <color indexed="8"/>
      <name val="Calibri"/>
      <charset val="1"/>
    </font>
    <font>
      <b/>
      <i/>
      <sz val="10"/>
      <color indexed="8"/>
      <name val="Calibri"/>
      <charset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wrapText="1"/>
    </xf>
    <xf numFmtId="0" fontId="3" fillId="0" borderId="0"/>
    <xf numFmtId="0" fontId="10" fillId="0" borderId="0">
      <alignment wrapText="1"/>
    </xf>
    <xf numFmtId="0" fontId="11" fillId="0" borderId="0" applyNumberFormat="0" applyFill="0" applyBorder="0" applyAlignment="0" applyProtection="0">
      <alignment wrapText="1"/>
    </xf>
    <xf numFmtId="0" fontId="2" fillId="0" borderId="0"/>
    <xf numFmtId="0" fontId="10" fillId="0" borderId="0">
      <alignment wrapText="1"/>
    </xf>
    <xf numFmtId="43" fontId="2" fillId="0" borderId="0" applyFont="0" applyFill="0" applyBorder="0" applyAlignment="0" applyProtection="0"/>
    <xf numFmtId="0" fontId="1" fillId="0" borderId="0"/>
    <xf numFmtId="0" fontId="10" fillId="0" borderId="0">
      <alignment wrapText="1"/>
    </xf>
  </cellStyleXfs>
  <cellXfs count="54">
    <xf numFmtId="0" fontId="0" fillId="0" borderId="0" xfId="0">
      <alignment wrapText="1"/>
    </xf>
    <xf numFmtId="0" fontId="5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165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166" fontId="5" fillId="2" borderId="4" xfId="0" applyNumberFormat="1" applyFont="1" applyFill="1" applyBorder="1" applyAlignment="1">
      <alignment horizontal="right" vertical="center" wrapText="1" readingOrder="1"/>
    </xf>
    <xf numFmtId="167" fontId="5" fillId="2" borderId="4" xfId="0" applyNumberFormat="1" applyFont="1" applyFill="1" applyBorder="1" applyAlignment="1">
      <alignment horizontal="right" vertical="center" wrapText="1" readingOrder="1"/>
    </xf>
    <xf numFmtId="168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7" fontId="6" fillId="2" borderId="4" xfId="0" applyNumberFormat="1" applyFont="1" applyFill="1" applyBorder="1" applyAlignment="1">
      <alignment horizontal="right" vertical="center" wrapText="1" readingOrder="1"/>
    </xf>
    <xf numFmtId="168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right" vertical="center" wrapText="1" readingOrder="1"/>
    </xf>
    <xf numFmtId="169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7" fillId="2" borderId="5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6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top" wrapText="1" readingOrder="1"/>
    </xf>
    <xf numFmtId="170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5" fillId="2" borderId="6" xfId="0" applyFont="1" applyFill="1" applyBorder="1" applyAlignment="1">
      <alignment horizontal="right" vertical="top" wrapText="1" readingOrder="1"/>
    </xf>
    <xf numFmtId="171" fontId="6" fillId="2" borderId="4" xfId="0" applyNumberFormat="1" applyFont="1" applyFill="1" applyBorder="1" applyAlignment="1">
      <alignment horizontal="left" vertical="center" wrapText="1" readingOrder="1"/>
    </xf>
    <xf numFmtId="0" fontId="12" fillId="2" borderId="4" xfId="0" applyFont="1" applyFill="1" applyBorder="1" applyAlignment="1">
      <alignment horizontal="left" vertical="center" wrapText="1" readingOrder="1"/>
    </xf>
    <xf numFmtId="0" fontId="13" fillId="2" borderId="0" xfId="0" applyFont="1" applyFill="1" applyAlignment="1">
      <alignment horizontal="left" vertical="center" wrapText="1" readingOrder="1"/>
    </xf>
    <xf numFmtId="0" fontId="14" fillId="2" borderId="4" xfId="0" applyFont="1" applyFill="1" applyBorder="1" applyAlignment="1">
      <alignment horizontal="left" vertical="center" wrapText="1" readingOrder="1"/>
    </xf>
    <xf numFmtId="0" fontId="13" fillId="2" borderId="6" xfId="0" applyFont="1" applyFill="1" applyBorder="1" applyAlignment="1">
      <alignment horizontal="right" vertical="center" wrapText="1" readingOrder="1"/>
    </xf>
    <xf numFmtId="0" fontId="13" fillId="2" borderId="0" xfId="0" applyFont="1" applyFill="1" applyAlignment="1">
      <alignment horizontal="right" vertical="center" wrapText="1" readingOrder="1"/>
    </xf>
    <xf numFmtId="0" fontId="15" fillId="0" borderId="11" xfId="7" applyFont="1" applyBorder="1" applyAlignment="1">
      <alignment horizontal="center" vertical="center" wrapText="1" readingOrder="1"/>
    </xf>
    <xf numFmtId="167" fontId="12" fillId="0" borderId="4" xfId="0" applyNumberFormat="1" applyFont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7" fillId="3" borderId="0" xfId="3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/>
    <xf numFmtId="0" fontId="9" fillId="0" borderId="0" xfId="8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0" fontId="16" fillId="0" borderId="7" xfId="0" applyFont="1" applyBorder="1" applyAlignment="1">
      <alignment horizontal="center" vertical="center" wrapText="1" readingOrder="1"/>
    </xf>
    <xf numFmtId="0" fontId="16" fillId="0" borderId="8" xfId="0" applyFont="1" applyBorder="1" applyAlignment="1">
      <alignment horizontal="center" vertical="center" readingOrder="1"/>
    </xf>
    <xf numFmtId="0" fontId="16" fillId="0" borderId="10" xfId="0" applyFont="1" applyBorder="1" applyAlignment="1">
      <alignment horizontal="center" vertical="center" readingOrder="1"/>
    </xf>
    <xf numFmtId="0" fontId="16" fillId="0" borderId="9" xfId="0" applyFont="1" applyBorder="1" applyAlignment="1">
      <alignment horizontal="center" vertical="center" readingOrder="1"/>
    </xf>
    <xf numFmtId="0" fontId="12" fillId="2" borderId="1" xfId="0" applyFont="1" applyFill="1" applyBorder="1" applyAlignment="1">
      <alignment horizontal="left" vertical="center" wrapText="1" readingOrder="1"/>
    </xf>
    <xf numFmtId="0" fontId="12" fillId="2" borderId="3" xfId="0" applyFont="1" applyFill="1" applyBorder="1" applyAlignment="1">
      <alignment horizontal="left" vertical="center" wrapText="1" readingOrder="1"/>
    </xf>
  </cellXfs>
  <cellStyles count="9">
    <cellStyle name="Comma 2" xfId="6" xr:uid="{ED1D6E19-5A53-4A13-985D-9B8F7FB9295D}"/>
    <cellStyle name="Hyperlink 2" xfId="3" xr:uid="{5111456F-3B78-4A9B-83BD-5B3512DDC1B5}"/>
    <cellStyle name="Normal" xfId="0" builtinId="0"/>
    <cellStyle name="Normal 2" xfId="2" xr:uid="{3EB2762E-ACEA-452E-9F6D-1A2DBAC736FD}"/>
    <cellStyle name="Normal 2 2" xfId="5" xr:uid="{2FEB040D-9861-4C94-BF74-BD2995D51C0B}"/>
    <cellStyle name="Normal 2 2 3" xfId="4" xr:uid="{032E8C7B-90EA-4971-B118-672F8F5FADF1}"/>
    <cellStyle name="Normal 2 2 3 2" xfId="1" xr:uid="{0EF72D66-208A-4215-8393-1A5716015538}"/>
    <cellStyle name="Normal 3" xfId="8" xr:uid="{E7D5890C-52BD-49DF-B1F5-66296BEEC361}"/>
    <cellStyle name="Normal 4" xfId="7" xr:uid="{4B568822-46AE-4921-9996-DADEB8136B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10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45B42-AAC5-4F50-88F2-0A7D9E494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2565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13</xdr:row>
      <xdr:rowOff>180976</xdr:rowOff>
    </xdr:from>
    <xdr:to>
      <xdr:col>14</xdr:col>
      <xdr:colOff>114299</xdr:colOff>
      <xdr:row>22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A243E6-E10C-4672-BD48-0A3FB0945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58400" y="3362326"/>
          <a:ext cx="3276599" cy="1724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504826</xdr:colOff>
      <xdr:row>24</xdr:row>
      <xdr:rowOff>190500</xdr:rowOff>
    </xdr:from>
    <xdr:ext cx="3286124" cy="1714500"/>
    <xdr:pic>
      <xdr:nvPicPr>
        <xdr:cNvPr id="4" name="Picture 3">
          <a:extLst>
            <a:ext uri="{FF2B5EF4-FFF2-40B4-BE49-F238E27FC236}">
              <a16:creationId xmlns:a16="http://schemas.microsoft.com/office/drawing/2014/main" id="{AADFFA49-530C-469A-90AB-DA0B3FE49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7926" y="5676900"/>
          <a:ext cx="3286124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167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4" ht="18" customHeight="1" x14ac:dyDescent="0.25">
      <c r="A1" s="48" t="s">
        <v>0</v>
      </c>
      <c r="B1" s="48"/>
      <c r="C1" s="48"/>
      <c r="D1" s="48"/>
      <c r="E1" s="48"/>
      <c r="F1" s="48"/>
      <c r="G1" s="48"/>
      <c r="H1" s="48"/>
      <c r="I1" s="38" t="s">
        <v>246</v>
      </c>
    </row>
    <row r="2" spans="1:14" ht="17.100000000000001" customHeight="1" x14ac:dyDescent="0.25">
      <c r="A2" s="49" t="s">
        <v>184</v>
      </c>
      <c r="B2" s="50"/>
      <c r="C2" s="50"/>
      <c r="D2" s="50"/>
      <c r="E2" s="50"/>
      <c r="F2" s="50"/>
      <c r="G2" s="50"/>
      <c r="H2" s="51"/>
      <c r="J2" s="41" t="s">
        <v>247</v>
      </c>
      <c r="K2" s="41"/>
      <c r="L2" s="41"/>
      <c r="M2" s="41"/>
      <c r="N2" s="41"/>
    </row>
    <row r="3" spans="1:14" ht="21" customHeight="1" x14ac:dyDescent="0.25">
      <c r="A3" s="48" t="s">
        <v>245</v>
      </c>
      <c r="B3" s="48"/>
      <c r="C3" s="48"/>
      <c r="D3" s="48"/>
      <c r="E3" s="48"/>
      <c r="F3" s="48"/>
      <c r="G3" s="48"/>
      <c r="H3" s="48"/>
    </row>
    <row r="4" spans="1:14" s="37" customFormat="1" ht="28.8" x14ac:dyDescent="0.25">
      <c r="A4" s="36" t="s">
        <v>1</v>
      </c>
      <c r="B4" s="36" t="s">
        <v>2</v>
      </c>
      <c r="C4" s="36" t="s">
        <v>3</v>
      </c>
      <c r="D4" s="36" t="s">
        <v>4</v>
      </c>
      <c r="E4" s="36" t="s">
        <v>5</v>
      </c>
      <c r="F4" s="36" t="s">
        <v>6</v>
      </c>
      <c r="G4" s="36" t="s">
        <v>7</v>
      </c>
      <c r="H4" s="34" t="s">
        <v>241</v>
      </c>
    </row>
    <row r="5" spans="1:14" ht="14.1" customHeight="1" x14ac:dyDescent="0.25">
      <c r="A5" s="1"/>
      <c r="B5" s="1"/>
      <c r="C5" s="2" t="s">
        <v>8</v>
      </c>
      <c r="D5" s="1"/>
      <c r="E5" s="1"/>
      <c r="F5" s="1"/>
      <c r="G5" s="1"/>
      <c r="H5" s="35"/>
    </row>
    <row r="6" spans="1:14" ht="24" customHeight="1" x14ac:dyDescent="0.25">
      <c r="A6" s="1"/>
      <c r="B6" s="1"/>
      <c r="C6" s="2" t="s">
        <v>9</v>
      </c>
      <c r="D6" s="1"/>
      <c r="E6" s="1"/>
      <c r="F6" s="1"/>
      <c r="G6" s="1"/>
      <c r="H6" s="35"/>
    </row>
    <row r="7" spans="1:14" ht="17.100000000000001" customHeight="1" x14ac:dyDescent="0.25">
      <c r="A7" s="3">
        <v>1</v>
      </c>
      <c r="B7" s="4" t="s">
        <v>139</v>
      </c>
      <c r="C7" s="4" t="s">
        <v>140</v>
      </c>
      <c r="D7" s="4" t="s">
        <v>125</v>
      </c>
      <c r="E7" s="5">
        <v>293271</v>
      </c>
      <c r="F7" s="6">
        <v>9384.2320935000007</v>
      </c>
      <c r="G7" s="7">
        <v>3.1199009999999999E-2</v>
      </c>
      <c r="H7" s="35"/>
    </row>
    <row r="8" spans="1:14" ht="29.1" customHeight="1" x14ac:dyDescent="0.25">
      <c r="A8" s="3">
        <v>2</v>
      </c>
      <c r="B8" s="4" t="s">
        <v>185</v>
      </c>
      <c r="C8" s="4" t="s">
        <v>186</v>
      </c>
      <c r="D8" s="4" t="s">
        <v>113</v>
      </c>
      <c r="E8" s="5">
        <v>1271712</v>
      </c>
      <c r="F8" s="6">
        <v>9191.9343360000003</v>
      </c>
      <c r="G8" s="7">
        <v>3.055969E-2</v>
      </c>
      <c r="H8" s="35"/>
    </row>
    <row r="9" spans="1:14" ht="17.100000000000001" customHeight="1" x14ac:dyDescent="0.25">
      <c r="A9" s="3">
        <v>3</v>
      </c>
      <c r="B9" s="4" t="s">
        <v>22</v>
      </c>
      <c r="C9" s="4" t="s">
        <v>23</v>
      </c>
      <c r="D9" s="4" t="s">
        <v>15</v>
      </c>
      <c r="E9" s="5">
        <v>277474</v>
      </c>
      <c r="F9" s="6">
        <v>9016.3788929999992</v>
      </c>
      <c r="G9" s="7">
        <v>2.9976039999999999E-2</v>
      </c>
      <c r="H9" s="35"/>
    </row>
    <row r="10" spans="1:14" ht="17.100000000000001" customHeight="1" x14ac:dyDescent="0.25">
      <c r="A10" s="3">
        <v>4</v>
      </c>
      <c r="B10" s="4" t="s">
        <v>16</v>
      </c>
      <c r="C10" s="4" t="s">
        <v>17</v>
      </c>
      <c r="D10" s="4" t="s">
        <v>15</v>
      </c>
      <c r="E10" s="5">
        <v>248570</v>
      </c>
      <c r="F10" s="6">
        <v>8617.300475</v>
      </c>
      <c r="G10" s="7">
        <v>2.8649250000000001E-2</v>
      </c>
      <c r="H10" s="35"/>
    </row>
    <row r="11" spans="1:14" ht="17.100000000000001" customHeight="1" x14ac:dyDescent="0.25">
      <c r="A11" s="3">
        <v>5</v>
      </c>
      <c r="B11" s="4" t="s">
        <v>164</v>
      </c>
      <c r="C11" s="4" t="s">
        <v>165</v>
      </c>
      <c r="D11" s="4" t="s">
        <v>24</v>
      </c>
      <c r="E11" s="5">
        <v>1102494</v>
      </c>
      <c r="F11" s="6">
        <v>8573.5445909999999</v>
      </c>
      <c r="G11" s="7">
        <v>2.8503779999999999E-2</v>
      </c>
      <c r="H11" s="35"/>
    </row>
    <row r="12" spans="1:14" ht="17.100000000000001" customHeight="1" x14ac:dyDescent="0.25">
      <c r="A12" s="3">
        <v>6</v>
      </c>
      <c r="B12" s="4" t="s">
        <v>12</v>
      </c>
      <c r="C12" s="4" t="s">
        <v>13</v>
      </c>
      <c r="D12" s="4" t="s">
        <v>14</v>
      </c>
      <c r="E12" s="5">
        <v>775149</v>
      </c>
      <c r="F12" s="6">
        <v>7725.1349339999997</v>
      </c>
      <c r="G12" s="7">
        <v>2.568314E-2</v>
      </c>
      <c r="H12" s="35"/>
    </row>
    <row r="13" spans="1:14" ht="17.100000000000001" customHeight="1" x14ac:dyDescent="0.25">
      <c r="A13" s="3">
        <v>7</v>
      </c>
      <c r="B13" s="4" t="s">
        <v>129</v>
      </c>
      <c r="C13" s="4" t="s">
        <v>130</v>
      </c>
      <c r="D13" s="4" t="s">
        <v>24</v>
      </c>
      <c r="E13" s="5">
        <v>700492</v>
      </c>
      <c r="F13" s="6">
        <v>7285.4670459999998</v>
      </c>
      <c r="G13" s="7">
        <v>2.4221409999999999E-2</v>
      </c>
      <c r="H13" s="35"/>
      <c r="J13" s="39" t="s">
        <v>248</v>
      </c>
    </row>
    <row r="14" spans="1:14" ht="17.100000000000001" customHeight="1" x14ac:dyDescent="0.25">
      <c r="A14" s="3">
        <v>8</v>
      </c>
      <c r="B14" s="4" t="s">
        <v>172</v>
      </c>
      <c r="C14" s="4" t="s">
        <v>173</v>
      </c>
      <c r="D14" s="4" t="s">
        <v>24</v>
      </c>
      <c r="E14" s="5">
        <v>1219075</v>
      </c>
      <c r="F14" s="6">
        <v>6888.3832874999998</v>
      </c>
      <c r="G14" s="7">
        <v>2.290126E-2</v>
      </c>
      <c r="H14" s="35"/>
    </row>
    <row r="15" spans="1:14" ht="17.100000000000001" customHeight="1" x14ac:dyDescent="0.25">
      <c r="A15" s="3">
        <v>9</v>
      </c>
      <c r="B15" s="4" t="s">
        <v>187</v>
      </c>
      <c r="C15" s="4" t="s">
        <v>188</v>
      </c>
      <c r="D15" s="4" t="s">
        <v>128</v>
      </c>
      <c r="E15" s="5">
        <v>410580</v>
      </c>
      <c r="F15" s="6">
        <v>6808.4428500000004</v>
      </c>
      <c r="G15" s="7">
        <v>2.2635490000000001E-2</v>
      </c>
      <c r="H15" s="35"/>
    </row>
    <row r="16" spans="1:14" ht="17.100000000000001" customHeight="1" x14ac:dyDescent="0.25">
      <c r="A16" s="3">
        <v>10</v>
      </c>
      <c r="B16" s="4" t="s">
        <v>45</v>
      </c>
      <c r="C16" s="4" t="s">
        <v>46</v>
      </c>
      <c r="D16" s="4" t="s">
        <v>24</v>
      </c>
      <c r="E16" s="5">
        <v>1754986</v>
      </c>
      <c r="F16" s="6">
        <v>6714.5764360000003</v>
      </c>
      <c r="G16" s="7">
        <v>2.232342E-2</v>
      </c>
      <c r="H16" s="35"/>
    </row>
    <row r="17" spans="1:10" ht="17.100000000000001" customHeight="1" x14ac:dyDescent="0.25">
      <c r="A17" s="3">
        <v>11</v>
      </c>
      <c r="B17" s="4" t="s">
        <v>53</v>
      </c>
      <c r="C17" s="4" t="s">
        <v>54</v>
      </c>
      <c r="D17" s="4" t="s">
        <v>27</v>
      </c>
      <c r="E17" s="5">
        <v>1528052</v>
      </c>
      <c r="F17" s="6">
        <v>6543.1186639999996</v>
      </c>
      <c r="G17" s="7">
        <v>2.1753390000000001E-2</v>
      </c>
      <c r="H17" s="35"/>
    </row>
    <row r="18" spans="1:10" ht="17.100000000000001" customHeight="1" x14ac:dyDescent="0.25">
      <c r="A18" s="3">
        <v>12</v>
      </c>
      <c r="B18" s="4" t="s">
        <v>156</v>
      </c>
      <c r="C18" s="4" t="s">
        <v>157</v>
      </c>
      <c r="D18" s="4" t="s">
        <v>27</v>
      </c>
      <c r="E18" s="5">
        <v>335006</v>
      </c>
      <c r="F18" s="6">
        <v>6537.1395810000004</v>
      </c>
      <c r="G18" s="7">
        <v>2.1733510000000001E-2</v>
      </c>
      <c r="H18" s="35"/>
    </row>
    <row r="19" spans="1:10" ht="17.100000000000001" customHeight="1" x14ac:dyDescent="0.25">
      <c r="A19" s="3">
        <v>13</v>
      </c>
      <c r="B19" s="4" t="s">
        <v>189</v>
      </c>
      <c r="C19" s="4" t="s">
        <v>190</v>
      </c>
      <c r="D19" s="4" t="s">
        <v>236</v>
      </c>
      <c r="E19" s="5">
        <v>262702</v>
      </c>
      <c r="F19" s="6">
        <v>6024.1509130000004</v>
      </c>
      <c r="G19" s="7">
        <v>2.0028020000000001E-2</v>
      </c>
      <c r="H19" s="35"/>
    </row>
    <row r="20" spans="1:10" ht="17.100000000000001" customHeight="1" x14ac:dyDescent="0.25">
      <c r="A20" s="3">
        <v>14</v>
      </c>
      <c r="B20" s="4" t="s">
        <v>31</v>
      </c>
      <c r="C20" s="4" t="s">
        <v>32</v>
      </c>
      <c r="D20" s="4" t="s">
        <v>33</v>
      </c>
      <c r="E20" s="5">
        <v>661106</v>
      </c>
      <c r="F20" s="6">
        <v>5928.4680550000003</v>
      </c>
      <c r="G20" s="7">
        <v>1.9709910000000001E-2</v>
      </c>
      <c r="H20" s="35"/>
    </row>
    <row r="21" spans="1:10" ht="17.100000000000001" customHeight="1" x14ac:dyDescent="0.25">
      <c r="A21" s="3">
        <v>15</v>
      </c>
      <c r="B21" s="4" t="s">
        <v>166</v>
      </c>
      <c r="C21" s="4" t="s">
        <v>167</v>
      </c>
      <c r="D21" s="4" t="s">
        <v>118</v>
      </c>
      <c r="E21" s="5">
        <v>722140</v>
      </c>
      <c r="F21" s="6">
        <v>5898.8005899999998</v>
      </c>
      <c r="G21" s="7">
        <v>1.961127E-2</v>
      </c>
      <c r="H21" s="35"/>
    </row>
    <row r="22" spans="1:10" ht="17.100000000000001" customHeight="1" x14ac:dyDescent="0.25">
      <c r="A22" s="3">
        <v>16</v>
      </c>
      <c r="B22" s="4" t="s">
        <v>154</v>
      </c>
      <c r="C22" s="4" t="s">
        <v>155</v>
      </c>
      <c r="D22" s="4" t="s">
        <v>14</v>
      </c>
      <c r="E22" s="5">
        <v>5314047</v>
      </c>
      <c r="F22" s="6">
        <v>5606.3195850000002</v>
      </c>
      <c r="G22" s="7">
        <v>1.8638890000000002E-2</v>
      </c>
      <c r="H22" s="35"/>
    </row>
    <row r="23" spans="1:10" ht="17.100000000000001" customHeight="1" x14ac:dyDescent="0.25">
      <c r="A23" s="3">
        <v>17</v>
      </c>
      <c r="B23" s="4" t="s">
        <v>29</v>
      </c>
      <c r="C23" s="4" t="s">
        <v>30</v>
      </c>
      <c r="D23" s="4" t="s">
        <v>14</v>
      </c>
      <c r="E23" s="5">
        <v>842743</v>
      </c>
      <c r="F23" s="6">
        <v>5410.8314314999998</v>
      </c>
      <c r="G23" s="7">
        <v>1.7988959999999998E-2</v>
      </c>
      <c r="H23" s="35"/>
    </row>
    <row r="24" spans="1:10" ht="17.100000000000001" customHeight="1" x14ac:dyDescent="0.25">
      <c r="A24" s="3">
        <v>18</v>
      </c>
      <c r="B24" s="4" t="s">
        <v>191</v>
      </c>
      <c r="C24" s="4" t="s">
        <v>192</v>
      </c>
      <c r="D24" s="4" t="s">
        <v>235</v>
      </c>
      <c r="E24" s="5">
        <v>711442</v>
      </c>
      <c r="F24" s="6">
        <v>5177.8748759999999</v>
      </c>
      <c r="G24" s="7">
        <v>1.7214469999999999E-2</v>
      </c>
      <c r="H24" s="35"/>
      <c r="J24" s="39" t="s">
        <v>249</v>
      </c>
    </row>
    <row r="25" spans="1:10" ht="29.1" customHeight="1" x14ac:dyDescent="0.25">
      <c r="A25" s="3">
        <v>19</v>
      </c>
      <c r="B25" s="4" t="s">
        <v>162</v>
      </c>
      <c r="C25" s="4" t="s">
        <v>163</v>
      </c>
      <c r="D25" s="4" t="s">
        <v>113</v>
      </c>
      <c r="E25" s="5">
        <v>311732</v>
      </c>
      <c r="F25" s="6">
        <v>5064.553938</v>
      </c>
      <c r="G25" s="7">
        <v>1.683772E-2</v>
      </c>
      <c r="H25" s="35"/>
    </row>
    <row r="26" spans="1:10" ht="17.100000000000001" customHeight="1" x14ac:dyDescent="0.25">
      <c r="A26" s="3">
        <v>20</v>
      </c>
      <c r="B26" s="4" t="s">
        <v>193</v>
      </c>
      <c r="C26" s="4" t="s">
        <v>194</v>
      </c>
      <c r="D26" s="4" t="s">
        <v>125</v>
      </c>
      <c r="E26" s="5">
        <v>85868</v>
      </c>
      <c r="F26" s="6">
        <v>4911.4349300000003</v>
      </c>
      <c r="G26" s="7">
        <v>1.6328659999999998E-2</v>
      </c>
      <c r="H26" s="35"/>
    </row>
    <row r="27" spans="1:10" ht="17.100000000000001" customHeight="1" x14ac:dyDescent="0.25">
      <c r="A27" s="3">
        <v>21</v>
      </c>
      <c r="B27" s="4" t="s">
        <v>137</v>
      </c>
      <c r="C27" s="4" t="s">
        <v>138</v>
      </c>
      <c r="D27" s="4" t="s">
        <v>14</v>
      </c>
      <c r="E27" s="5">
        <v>265432</v>
      </c>
      <c r="F27" s="6">
        <v>4536.8964599999999</v>
      </c>
      <c r="G27" s="7">
        <v>1.508346E-2</v>
      </c>
      <c r="H27" s="35"/>
    </row>
    <row r="28" spans="1:10" ht="17.100000000000001" customHeight="1" x14ac:dyDescent="0.25">
      <c r="A28" s="3">
        <v>22</v>
      </c>
      <c r="B28" s="4" t="s">
        <v>116</v>
      </c>
      <c r="C28" s="4" t="s">
        <v>117</v>
      </c>
      <c r="D28" s="4" t="s">
        <v>235</v>
      </c>
      <c r="E28" s="5">
        <v>70837</v>
      </c>
      <c r="F28" s="6">
        <v>4444.5967280000004</v>
      </c>
      <c r="G28" s="7">
        <v>1.4776600000000001E-2</v>
      </c>
      <c r="H28" s="35"/>
    </row>
    <row r="29" spans="1:10" ht="17.100000000000001" customHeight="1" x14ac:dyDescent="0.25">
      <c r="A29" s="3">
        <v>23</v>
      </c>
      <c r="B29" s="4" t="s">
        <v>160</v>
      </c>
      <c r="C29" s="4" t="s">
        <v>161</v>
      </c>
      <c r="D29" s="4" t="s">
        <v>122</v>
      </c>
      <c r="E29" s="5">
        <v>260719</v>
      </c>
      <c r="F29" s="6">
        <v>4325.4585694999996</v>
      </c>
      <c r="G29" s="7">
        <v>1.4380510000000001E-2</v>
      </c>
      <c r="H29" s="35"/>
    </row>
    <row r="30" spans="1:10" ht="17.100000000000001" customHeight="1" x14ac:dyDescent="0.25">
      <c r="A30" s="3">
        <v>24</v>
      </c>
      <c r="B30" s="4" t="s">
        <v>120</v>
      </c>
      <c r="C30" s="4" t="s">
        <v>121</v>
      </c>
      <c r="D30" s="4" t="s">
        <v>118</v>
      </c>
      <c r="E30" s="5">
        <v>592238</v>
      </c>
      <c r="F30" s="6">
        <v>4124.6415509999997</v>
      </c>
      <c r="G30" s="7">
        <v>1.371287E-2</v>
      </c>
      <c r="H30" s="35"/>
    </row>
    <row r="31" spans="1:10" ht="17.100000000000001" customHeight="1" x14ac:dyDescent="0.25">
      <c r="A31" s="3">
        <v>25</v>
      </c>
      <c r="B31" s="4" t="s">
        <v>36</v>
      </c>
      <c r="C31" s="4" t="s">
        <v>37</v>
      </c>
      <c r="D31" s="4" t="s">
        <v>15</v>
      </c>
      <c r="E31" s="5">
        <v>496826</v>
      </c>
      <c r="F31" s="6">
        <v>4000.6913650000001</v>
      </c>
      <c r="G31" s="7">
        <v>1.330078E-2</v>
      </c>
      <c r="H31" s="35"/>
    </row>
    <row r="32" spans="1:10" ht="29.1" customHeight="1" x14ac:dyDescent="0.25">
      <c r="A32" s="3">
        <v>26</v>
      </c>
      <c r="B32" s="4" t="s">
        <v>34</v>
      </c>
      <c r="C32" s="4" t="s">
        <v>35</v>
      </c>
      <c r="D32" s="4" t="s">
        <v>11</v>
      </c>
      <c r="E32" s="5">
        <v>274747</v>
      </c>
      <c r="F32" s="6">
        <v>3958.9668965000001</v>
      </c>
      <c r="G32" s="7">
        <v>1.316206E-2</v>
      </c>
      <c r="H32" s="35"/>
    </row>
    <row r="33" spans="1:8" ht="29.1" customHeight="1" x14ac:dyDescent="0.25">
      <c r="A33" s="3">
        <v>27</v>
      </c>
      <c r="B33" s="4" t="s">
        <v>195</v>
      </c>
      <c r="C33" s="4" t="s">
        <v>196</v>
      </c>
      <c r="D33" s="4" t="s">
        <v>112</v>
      </c>
      <c r="E33" s="5">
        <v>265529</v>
      </c>
      <c r="F33" s="6">
        <v>3929.9619644999998</v>
      </c>
      <c r="G33" s="7">
        <v>1.306563E-2</v>
      </c>
      <c r="H33" s="35"/>
    </row>
    <row r="34" spans="1:8" ht="29.1" customHeight="1" x14ac:dyDescent="0.25">
      <c r="A34" s="3">
        <v>28</v>
      </c>
      <c r="B34" s="4" t="s">
        <v>197</v>
      </c>
      <c r="C34" s="4" t="s">
        <v>198</v>
      </c>
      <c r="D34" s="4" t="s">
        <v>183</v>
      </c>
      <c r="E34" s="5">
        <v>2058571</v>
      </c>
      <c r="F34" s="6">
        <v>3805.2684935000002</v>
      </c>
      <c r="G34" s="7">
        <v>1.265107E-2</v>
      </c>
      <c r="H34" s="35"/>
    </row>
    <row r="35" spans="1:8" ht="17.100000000000001" customHeight="1" x14ac:dyDescent="0.25">
      <c r="A35" s="3">
        <v>29</v>
      </c>
      <c r="B35" s="4" t="s">
        <v>134</v>
      </c>
      <c r="C35" s="4" t="s">
        <v>135</v>
      </c>
      <c r="D35" s="4" t="s">
        <v>136</v>
      </c>
      <c r="E35" s="5">
        <v>452552</v>
      </c>
      <c r="F35" s="6">
        <v>3732.6488960000001</v>
      </c>
      <c r="G35" s="7">
        <v>1.240964E-2</v>
      </c>
      <c r="H35" s="35"/>
    </row>
    <row r="36" spans="1:8" ht="17.100000000000001" customHeight="1" x14ac:dyDescent="0.25">
      <c r="A36" s="3">
        <v>30</v>
      </c>
      <c r="B36" s="4" t="s">
        <v>174</v>
      </c>
      <c r="C36" s="4" t="s">
        <v>175</v>
      </c>
      <c r="D36" s="4" t="s">
        <v>15</v>
      </c>
      <c r="E36" s="5">
        <v>333607</v>
      </c>
      <c r="F36" s="6">
        <v>3714.3803379999999</v>
      </c>
      <c r="G36" s="7">
        <v>1.2348909999999999E-2</v>
      </c>
      <c r="H36" s="35"/>
    </row>
    <row r="37" spans="1:8" ht="29.1" customHeight="1" x14ac:dyDescent="0.25">
      <c r="A37" s="3">
        <v>31</v>
      </c>
      <c r="B37" s="4" t="s">
        <v>176</v>
      </c>
      <c r="C37" s="4" t="s">
        <v>177</v>
      </c>
      <c r="D37" s="4" t="s">
        <v>113</v>
      </c>
      <c r="E37" s="5">
        <v>74554</v>
      </c>
      <c r="F37" s="6">
        <v>3688.745535</v>
      </c>
      <c r="G37" s="7">
        <v>1.2263680000000001E-2</v>
      </c>
      <c r="H37" s="35"/>
    </row>
    <row r="38" spans="1:8" ht="17.100000000000001" customHeight="1" x14ac:dyDescent="0.25">
      <c r="A38" s="3">
        <v>32</v>
      </c>
      <c r="B38" s="4" t="s">
        <v>132</v>
      </c>
      <c r="C38" s="4" t="s">
        <v>133</v>
      </c>
      <c r="D38" s="4" t="s">
        <v>14</v>
      </c>
      <c r="E38" s="5">
        <v>3237028</v>
      </c>
      <c r="F38" s="6">
        <v>3644.8935280000001</v>
      </c>
      <c r="G38" s="7">
        <v>1.2117889999999999E-2</v>
      </c>
      <c r="H38" s="35"/>
    </row>
    <row r="39" spans="1:8" ht="17.100000000000001" customHeight="1" x14ac:dyDescent="0.25">
      <c r="A39" s="3">
        <v>33</v>
      </c>
      <c r="B39" s="4" t="s">
        <v>170</v>
      </c>
      <c r="C39" s="4" t="s">
        <v>171</v>
      </c>
      <c r="D39" s="4" t="s">
        <v>236</v>
      </c>
      <c r="E39" s="5">
        <v>278193</v>
      </c>
      <c r="F39" s="6">
        <v>3633.4787729999998</v>
      </c>
      <c r="G39" s="7">
        <v>1.2079940000000001E-2</v>
      </c>
      <c r="H39" s="35"/>
    </row>
    <row r="40" spans="1:8" ht="17.100000000000001" customHeight="1" x14ac:dyDescent="0.25">
      <c r="A40" s="3">
        <v>34</v>
      </c>
      <c r="B40" s="4" t="s">
        <v>199</v>
      </c>
      <c r="C40" s="4" t="s">
        <v>200</v>
      </c>
      <c r="D40" s="4" t="s">
        <v>235</v>
      </c>
      <c r="E40" s="5">
        <v>498569</v>
      </c>
      <c r="F40" s="6">
        <v>3594.9317744999998</v>
      </c>
      <c r="G40" s="7">
        <v>1.195178E-2</v>
      </c>
      <c r="H40" s="35"/>
    </row>
    <row r="41" spans="1:8" ht="17.100000000000001" customHeight="1" x14ac:dyDescent="0.25">
      <c r="A41" s="3">
        <v>35</v>
      </c>
      <c r="B41" s="4" t="s">
        <v>145</v>
      </c>
      <c r="C41" s="4" t="s">
        <v>146</v>
      </c>
      <c r="D41" s="4" t="s">
        <v>24</v>
      </c>
      <c r="E41" s="5">
        <v>48252</v>
      </c>
      <c r="F41" s="6">
        <v>3535.78593</v>
      </c>
      <c r="G41" s="7">
        <v>1.1755150000000001E-2</v>
      </c>
      <c r="H41" s="35"/>
    </row>
    <row r="42" spans="1:8" ht="17.100000000000001" customHeight="1" x14ac:dyDescent="0.25">
      <c r="A42" s="3">
        <v>36</v>
      </c>
      <c r="B42" s="4" t="s">
        <v>51</v>
      </c>
      <c r="C42" s="4" t="s">
        <v>52</v>
      </c>
      <c r="D42" s="4" t="s">
        <v>10</v>
      </c>
      <c r="E42" s="5">
        <v>815770</v>
      </c>
      <c r="F42" s="6">
        <v>3526.9815950000002</v>
      </c>
      <c r="G42" s="7">
        <v>1.1725879999999999E-2</v>
      </c>
      <c r="H42" s="35"/>
    </row>
    <row r="43" spans="1:8" ht="17.100000000000001" customHeight="1" x14ac:dyDescent="0.25">
      <c r="A43" s="3">
        <v>37</v>
      </c>
      <c r="B43" s="4" t="s">
        <v>114</v>
      </c>
      <c r="C43" s="4" t="s">
        <v>115</v>
      </c>
      <c r="D43" s="4" t="s">
        <v>28</v>
      </c>
      <c r="E43" s="5">
        <v>1129242</v>
      </c>
      <c r="F43" s="6">
        <v>3455.4805200000001</v>
      </c>
      <c r="G43" s="7">
        <v>1.1488160000000001E-2</v>
      </c>
      <c r="H43" s="35"/>
    </row>
    <row r="44" spans="1:8" ht="17.100000000000001" customHeight="1" x14ac:dyDescent="0.25">
      <c r="A44" s="3">
        <v>38</v>
      </c>
      <c r="B44" s="4" t="s">
        <v>201</v>
      </c>
      <c r="C44" s="29" t="s">
        <v>240</v>
      </c>
      <c r="D44" s="4" t="s">
        <v>119</v>
      </c>
      <c r="E44" s="5">
        <v>618162</v>
      </c>
      <c r="F44" s="6">
        <v>3210.1152659999998</v>
      </c>
      <c r="G44" s="7">
        <v>1.067242E-2</v>
      </c>
      <c r="H44" s="35"/>
    </row>
    <row r="45" spans="1:8" ht="29.1" customHeight="1" x14ac:dyDescent="0.25">
      <c r="A45" s="3">
        <v>39</v>
      </c>
      <c r="B45" s="4" t="s">
        <v>110</v>
      </c>
      <c r="C45" s="4" t="s">
        <v>111</v>
      </c>
      <c r="D45" s="4" t="s">
        <v>112</v>
      </c>
      <c r="E45" s="5">
        <v>77717</v>
      </c>
      <c r="F45" s="6">
        <v>2994.5914440000001</v>
      </c>
      <c r="G45" s="7">
        <v>9.9558800000000003E-3</v>
      </c>
      <c r="H45" s="35"/>
    </row>
    <row r="46" spans="1:8" ht="17.100000000000001" customHeight="1" x14ac:dyDescent="0.25">
      <c r="A46" s="3">
        <v>40</v>
      </c>
      <c r="B46" s="4" t="s">
        <v>202</v>
      </c>
      <c r="C46" s="4" t="s">
        <v>203</v>
      </c>
      <c r="D46" s="4" t="s">
        <v>33</v>
      </c>
      <c r="E46" s="5">
        <v>302110</v>
      </c>
      <c r="F46" s="6">
        <v>2977.8982700000001</v>
      </c>
      <c r="G46" s="7">
        <v>9.9003800000000003E-3</v>
      </c>
      <c r="H46" s="35"/>
    </row>
    <row r="47" spans="1:8" ht="17.100000000000001" customHeight="1" x14ac:dyDescent="0.25">
      <c r="A47" s="3">
        <v>41</v>
      </c>
      <c r="B47" s="4" t="s">
        <v>204</v>
      </c>
      <c r="C47" s="4" t="s">
        <v>205</v>
      </c>
      <c r="D47" s="4" t="s">
        <v>131</v>
      </c>
      <c r="E47" s="5">
        <v>45640</v>
      </c>
      <c r="F47" s="6">
        <v>2958.7271000000001</v>
      </c>
      <c r="G47" s="7">
        <v>9.8366500000000006E-3</v>
      </c>
      <c r="H47" s="35"/>
    </row>
    <row r="48" spans="1:8" ht="17.100000000000001" customHeight="1" x14ac:dyDescent="0.25">
      <c r="A48" s="3">
        <v>42</v>
      </c>
      <c r="B48" s="4" t="s">
        <v>206</v>
      </c>
      <c r="C48" s="4" t="s">
        <v>207</v>
      </c>
      <c r="D48" s="4" t="s">
        <v>125</v>
      </c>
      <c r="E48" s="5">
        <v>160942</v>
      </c>
      <c r="F48" s="6">
        <v>2936.225848</v>
      </c>
      <c r="G48" s="7">
        <v>9.7618400000000008E-3</v>
      </c>
      <c r="H48" s="35"/>
    </row>
    <row r="49" spans="1:8" ht="17.100000000000001" customHeight="1" x14ac:dyDescent="0.25">
      <c r="A49" s="3">
        <v>43</v>
      </c>
      <c r="B49" s="4" t="s">
        <v>208</v>
      </c>
      <c r="C49" s="4" t="s">
        <v>209</v>
      </c>
      <c r="D49" s="4" t="s">
        <v>107</v>
      </c>
      <c r="E49" s="5">
        <v>94501</v>
      </c>
      <c r="F49" s="6">
        <v>2928.8694930000001</v>
      </c>
      <c r="G49" s="7">
        <v>9.7373800000000003E-3</v>
      </c>
      <c r="H49" s="35"/>
    </row>
    <row r="50" spans="1:8" ht="17.100000000000001" customHeight="1" x14ac:dyDescent="0.25">
      <c r="A50" s="3">
        <v>44</v>
      </c>
      <c r="B50" s="4" t="s">
        <v>126</v>
      </c>
      <c r="C50" s="4" t="s">
        <v>127</v>
      </c>
      <c r="D50" s="4" t="s">
        <v>235</v>
      </c>
      <c r="E50" s="5">
        <v>192980</v>
      </c>
      <c r="F50" s="6">
        <v>2921.4277299999999</v>
      </c>
      <c r="G50" s="7">
        <v>9.7126399999999998E-3</v>
      </c>
      <c r="H50" s="35"/>
    </row>
    <row r="51" spans="1:8" ht="17.100000000000001" customHeight="1" x14ac:dyDescent="0.25">
      <c r="A51" s="3">
        <v>45</v>
      </c>
      <c r="B51" s="4" t="s">
        <v>104</v>
      </c>
      <c r="C51" s="4" t="s">
        <v>105</v>
      </c>
      <c r="D51" s="4" t="s">
        <v>42</v>
      </c>
      <c r="E51" s="5">
        <v>82456</v>
      </c>
      <c r="F51" s="6">
        <v>2920.3029240000001</v>
      </c>
      <c r="G51" s="7">
        <v>9.7088999999999995E-3</v>
      </c>
      <c r="H51" s="35"/>
    </row>
    <row r="52" spans="1:8" ht="29.1" customHeight="1" x14ac:dyDescent="0.25">
      <c r="A52" s="3">
        <v>46</v>
      </c>
      <c r="B52" s="4" t="s">
        <v>210</v>
      </c>
      <c r="C52" s="4" t="s">
        <v>211</v>
      </c>
      <c r="D52" s="4" t="s">
        <v>182</v>
      </c>
      <c r="E52" s="5">
        <v>709805</v>
      </c>
      <c r="F52" s="6">
        <v>2913.3946225</v>
      </c>
      <c r="G52" s="7">
        <v>9.6859300000000006E-3</v>
      </c>
      <c r="H52" s="35"/>
    </row>
    <row r="53" spans="1:8" ht="29.1" customHeight="1" x14ac:dyDescent="0.25">
      <c r="A53" s="3">
        <v>47</v>
      </c>
      <c r="B53" s="4" t="s">
        <v>212</v>
      </c>
      <c r="C53" s="4" t="s">
        <v>213</v>
      </c>
      <c r="D53" s="4" t="s">
        <v>113</v>
      </c>
      <c r="E53" s="5">
        <v>484538</v>
      </c>
      <c r="F53" s="6">
        <v>2904.5630409999999</v>
      </c>
      <c r="G53" s="7">
        <v>9.6565699999999997E-3</v>
      </c>
      <c r="H53" s="35"/>
    </row>
    <row r="54" spans="1:8" ht="17.100000000000001" customHeight="1" x14ac:dyDescent="0.25">
      <c r="A54" s="3">
        <v>48</v>
      </c>
      <c r="B54" s="4" t="s">
        <v>47</v>
      </c>
      <c r="C54" s="4" t="s">
        <v>48</v>
      </c>
      <c r="D54" s="4" t="s">
        <v>18</v>
      </c>
      <c r="E54" s="5">
        <v>1099317</v>
      </c>
      <c r="F54" s="6">
        <v>2858.7738585000002</v>
      </c>
      <c r="G54" s="7">
        <v>9.50434E-3</v>
      </c>
      <c r="H54" s="35"/>
    </row>
    <row r="55" spans="1:8" ht="17.100000000000001" customHeight="1" x14ac:dyDescent="0.25">
      <c r="A55" s="3">
        <v>49</v>
      </c>
      <c r="B55" s="4" t="s">
        <v>214</v>
      </c>
      <c r="C55" s="4" t="s">
        <v>215</v>
      </c>
      <c r="D55" s="4" t="s">
        <v>125</v>
      </c>
      <c r="E55" s="5">
        <v>311824</v>
      </c>
      <c r="F55" s="6">
        <v>2702.2667839999999</v>
      </c>
      <c r="G55" s="7">
        <v>8.9840100000000006E-3</v>
      </c>
      <c r="H55" s="35"/>
    </row>
    <row r="56" spans="1:8" ht="17.100000000000001" customHeight="1" x14ac:dyDescent="0.25">
      <c r="A56" s="3">
        <v>50</v>
      </c>
      <c r="B56" s="4" t="s">
        <v>158</v>
      </c>
      <c r="C56" s="4" t="s">
        <v>159</v>
      </c>
      <c r="D56" s="4" t="s">
        <v>125</v>
      </c>
      <c r="E56" s="5">
        <v>74172</v>
      </c>
      <c r="F56" s="6">
        <v>2586.971016</v>
      </c>
      <c r="G56" s="7">
        <v>8.6006999999999993E-3</v>
      </c>
      <c r="H56" s="35"/>
    </row>
    <row r="57" spans="1:8" ht="17.100000000000001" customHeight="1" x14ac:dyDescent="0.25">
      <c r="A57" s="3">
        <v>51</v>
      </c>
      <c r="B57" s="4" t="s">
        <v>141</v>
      </c>
      <c r="C57" s="4" t="s">
        <v>142</v>
      </c>
      <c r="D57" s="4" t="s">
        <v>235</v>
      </c>
      <c r="E57" s="5">
        <v>40961</v>
      </c>
      <c r="F57" s="6">
        <v>2578.4744694999999</v>
      </c>
      <c r="G57" s="7">
        <v>8.5724500000000006E-3</v>
      </c>
      <c r="H57" s="35"/>
    </row>
    <row r="58" spans="1:8" ht="17.100000000000001" customHeight="1" x14ac:dyDescent="0.25">
      <c r="A58" s="3">
        <v>52</v>
      </c>
      <c r="B58" s="4" t="s">
        <v>216</v>
      </c>
      <c r="C58" s="4" t="s">
        <v>217</v>
      </c>
      <c r="D58" s="4" t="s">
        <v>107</v>
      </c>
      <c r="E58" s="5">
        <v>609647</v>
      </c>
      <c r="F58" s="6">
        <v>2498.3334060000002</v>
      </c>
      <c r="G58" s="7">
        <v>8.3060100000000008E-3</v>
      </c>
      <c r="H58" s="35"/>
    </row>
    <row r="59" spans="1:8" ht="17.100000000000001" customHeight="1" x14ac:dyDescent="0.25">
      <c r="A59" s="3">
        <v>53</v>
      </c>
      <c r="B59" s="4" t="s">
        <v>49</v>
      </c>
      <c r="C59" s="4" t="s">
        <v>50</v>
      </c>
      <c r="D59" s="4" t="s">
        <v>42</v>
      </c>
      <c r="E59" s="5">
        <v>402291</v>
      </c>
      <c r="F59" s="6">
        <v>2489.3767079999998</v>
      </c>
      <c r="G59" s="7">
        <v>8.2762300000000007E-3</v>
      </c>
      <c r="H59" s="35"/>
    </row>
    <row r="60" spans="1:8" ht="17.100000000000001" customHeight="1" x14ac:dyDescent="0.25">
      <c r="A60" s="3">
        <v>54</v>
      </c>
      <c r="B60" s="4" t="s">
        <v>180</v>
      </c>
      <c r="C60" s="4" t="s">
        <v>181</v>
      </c>
      <c r="D60" s="4" t="s">
        <v>14</v>
      </c>
      <c r="E60" s="5">
        <v>592865</v>
      </c>
      <c r="F60" s="6">
        <v>2482.0293225</v>
      </c>
      <c r="G60" s="7">
        <v>8.25181E-3</v>
      </c>
      <c r="H60" s="35"/>
    </row>
    <row r="61" spans="1:8" ht="17.100000000000001" customHeight="1" x14ac:dyDescent="0.25">
      <c r="A61" s="3">
        <v>55</v>
      </c>
      <c r="B61" s="4" t="s">
        <v>19</v>
      </c>
      <c r="C61" s="4" t="s">
        <v>20</v>
      </c>
      <c r="D61" s="4" t="s">
        <v>10</v>
      </c>
      <c r="E61" s="5">
        <v>690873</v>
      </c>
      <c r="F61" s="6">
        <v>2428.0731584999999</v>
      </c>
      <c r="G61" s="7">
        <v>8.0724200000000003E-3</v>
      </c>
      <c r="H61" s="35"/>
    </row>
    <row r="62" spans="1:8" ht="17.100000000000001" customHeight="1" x14ac:dyDescent="0.25">
      <c r="A62" s="3">
        <v>56</v>
      </c>
      <c r="B62" s="4" t="s">
        <v>143</v>
      </c>
      <c r="C62" s="4" t="s">
        <v>144</v>
      </c>
      <c r="D62" s="4" t="s">
        <v>15</v>
      </c>
      <c r="E62" s="5">
        <v>255189</v>
      </c>
      <c r="F62" s="6">
        <v>2341.6142639999998</v>
      </c>
      <c r="G62" s="7">
        <v>7.7849800000000004E-3</v>
      </c>
      <c r="H62" s="35"/>
    </row>
    <row r="63" spans="1:8" ht="17.100000000000001" customHeight="1" x14ac:dyDescent="0.25">
      <c r="A63" s="3">
        <v>57</v>
      </c>
      <c r="B63" s="4" t="s">
        <v>25</v>
      </c>
      <c r="C63" s="4" t="s">
        <v>26</v>
      </c>
      <c r="D63" s="4" t="s">
        <v>27</v>
      </c>
      <c r="E63" s="5">
        <v>33458</v>
      </c>
      <c r="F63" s="6">
        <v>2197.1032150000001</v>
      </c>
      <c r="G63" s="7">
        <v>7.3045300000000001E-3</v>
      </c>
      <c r="H63" s="35"/>
    </row>
    <row r="64" spans="1:8" ht="17.100000000000001" customHeight="1" x14ac:dyDescent="0.25">
      <c r="A64" s="3">
        <v>58</v>
      </c>
      <c r="B64" s="4" t="s">
        <v>123</v>
      </c>
      <c r="C64" s="4" t="s">
        <v>124</v>
      </c>
      <c r="D64" s="4" t="s">
        <v>125</v>
      </c>
      <c r="E64" s="5">
        <v>80661</v>
      </c>
      <c r="F64" s="6">
        <v>2138.6457540000001</v>
      </c>
      <c r="G64" s="7">
        <v>7.1101899999999997E-3</v>
      </c>
      <c r="H64" s="35"/>
    </row>
    <row r="65" spans="1:8" ht="17.100000000000001" customHeight="1" x14ac:dyDescent="0.25">
      <c r="A65" s="3">
        <v>59</v>
      </c>
      <c r="B65" s="4" t="s">
        <v>43</v>
      </c>
      <c r="C65" s="4" t="s">
        <v>44</v>
      </c>
      <c r="D65" s="4" t="s">
        <v>42</v>
      </c>
      <c r="E65" s="5">
        <v>328271</v>
      </c>
      <c r="F65" s="6">
        <v>2115.7065950000001</v>
      </c>
      <c r="G65" s="7">
        <v>7.0339199999999999E-3</v>
      </c>
      <c r="H65" s="35"/>
    </row>
    <row r="66" spans="1:8" ht="29.1" customHeight="1" x14ac:dyDescent="0.25">
      <c r="A66" s="3">
        <v>60</v>
      </c>
      <c r="B66" s="4" t="s">
        <v>218</v>
      </c>
      <c r="C66" s="4" t="s">
        <v>219</v>
      </c>
      <c r="D66" s="4" t="s">
        <v>220</v>
      </c>
      <c r="E66" s="5">
        <v>471267</v>
      </c>
      <c r="F66" s="6">
        <v>2065.3276274999998</v>
      </c>
      <c r="G66" s="7">
        <v>6.8664299999999998E-3</v>
      </c>
      <c r="H66" s="35"/>
    </row>
    <row r="67" spans="1:8" ht="17.100000000000001" customHeight="1" x14ac:dyDescent="0.25">
      <c r="A67" s="3">
        <v>61</v>
      </c>
      <c r="B67" s="4" t="s">
        <v>221</v>
      </c>
      <c r="C67" s="4" t="s">
        <v>222</v>
      </c>
      <c r="D67" s="4" t="s">
        <v>27</v>
      </c>
      <c r="E67" s="5">
        <v>884000</v>
      </c>
      <c r="F67" s="6">
        <v>2006.2380000000001</v>
      </c>
      <c r="G67" s="7">
        <v>6.6699799999999998E-3</v>
      </c>
      <c r="H67" s="35"/>
    </row>
    <row r="68" spans="1:8" ht="29.1" customHeight="1" x14ac:dyDescent="0.25">
      <c r="A68" s="3">
        <v>62</v>
      </c>
      <c r="B68" s="4" t="s">
        <v>40</v>
      </c>
      <c r="C68" s="4" t="s">
        <v>41</v>
      </c>
      <c r="D68" s="4" t="s">
        <v>11</v>
      </c>
      <c r="E68" s="5">
        <v>52854</v>
      </c>
      <c r="F68" s="6">
        <v>2002.241655</v>
      </c>
      <c r="G68" s="7">
        <v>6.6566899999999998E-3</v>
      </c>
      <c r="H68" s="35"/>
    </row>
    <row r="69" spans="1:8" ht="17.100000000000001" customHeight="1" x14ac:dyDescent="0.25">
      <c r="A69" s="3">
        <v>63</v>
      </c>
      <c r="B69" s="4" t="s">
        <v>149</v>
      </c>
      <c r="C69" s="4" t="s">
        <v>150</v>
      </c>
      <c r="D69" s="4" t="s">
        <v>151</v>
      </c>
      <c r="E69" s="5">
        <v>158000</v>
      </c>
      <c r="F69" s="6">
        <v>1976.2639999999999</v>
      </c>
      <c r="G69" s="7">
        <v>6.5703300000000001E-3</v>
      </c>
      <c r="H69" s="35"/>
    </row>
    <row r="70" spans="1:8" ht="17.100000000000001" customHeight="1" x14ac:dyDescent="0.25">
      <c r="A70" s="3">
        <v>64</v>
      </c>
      <c r="B70" s="4" t="s">
        <v>38</v>
      </c>
      <c r="C70" s="4" t="s">
        <v>39</v>
      </c>
      <c r="D70" s="4" t="s">
        <v>18</v>
      </c>
      <c r="E70" s="5">
        <v>438645</v>
      </c>
      <c r="F70" s="6">
        <v>1860.5127675000001</v>
      </c>
      <c r="G70" s="7">
        <v>6.1855E-3</v>
      </c>
      <c r="H70" s="35"/>
    </row>
    <row r="71" spans="1:8" ht="17.100000000000001" customHeight="1" x14ac:dyDescent="0.25">
      <c r="A71" s="3">
        <v>65</v>
      </c>
      <c r="B71" s="4" t="s">
        <v>152</v>
      </c>
      <c r="C71" s="4" t="s">
        <v>153</v>
      </c>
      <c r="D71" s="4" t="s">
        <v>106</v>
      </c>
      <c r="E71" s="5">
        <v>133893</v>
      </c>
      <c r="F71" s="6">
        <v>1697.6293470000001</v>
      </c>
      <c r="G71" s="7">
        <v>5.6439699999999999E-3</v>
      </c>
      <c r="H71" s="35"/>
    </row>
    <row r="72" spans="1:8" ht="17.100000000000001" customHeight="1" x14ac:dyDescent="0.25">
      <c r="A72" s="3">
        <v>66</v>
      </c>
      <c r="B72" s="4" t="s">
        <v>223</v>
      </c>
      <c r="C72" s="4" t="s">
        <v>224</v>
      </c>
      <c r="D72" s="4" t="s">
        <v>119</v>
      </c>
      <c r="E72" s="5">
        <v>46514</v>
      </c>
      <c r="F72" s="6">
        <v>1684.2719400000001</v>
      </c>
      <c r="G72" s="7">
        <v>5.5995699999999999E-3</v>
      </c>
      <c r="H72" s="35"/>
    </row>
    <row r="73" spans="1:8" ht="17.100000000000001" customHeight="1" x14ac:dyDescent="0.25">
      <c r="A73" s="3">
        <v>67</v>
      </c>
      <c r="B73" s="4" t="s">
        <v>225</v>
      </c>
      <c r="C73" s="4" t="s">
        <v>226</v>
      </c>
      <c r="D73" s="4" t="s">
        <v>24</v>
      </c>
      <c r="E73" s="5">
        <v>68336</v>
      </c>
      <c r="F73" s="6">
        <v>1665.8266719999999</v>
      </c>
      <c r="G73" s="7">
        <v>5.5382399999999998E-3</v>
      </c>
      <c r="H73" s="35"/>
    </row>
    <row r="74" spans="1:8" ht="17.100000000000001" customHeight="1" x14ac:dyDescent="0.25">
      <c r="A74" s="3">
        <v>68</v>
      </c>
      <c r="B74" s="4" t="s">
        <v>227</v>
      </c>
      <c r="C74" s="4" t="s">
        <v>228</v>
      </c>
      <c r="D74" s="4" t="s">
        <v>125</v>
      </c>
      <c r="E74" s="5">
        <v>127388</v>
      </c>
      <c r="F74" s="6">
        <v>1532.350252</v>
      </c>
      <c r="G74" s="7">
        <v>5.0944800000000002E-3</v>
      </c>
      <c r="H74" s="35"/>
    </row>
    <row r="75" spans="1:8" ht="17.100000000000001" customHeight="1" x14ac:dyDescent="0.25">
      <c r="A75" s="3">
        <v>69</v>
      </c>
      <c r="B75" s="4" t="s">
        <v>168</v>
      </c>
      <c r="C75" s="4" t="s">
        <v>169</v>
      </c>
      <c r="D75" s="4" t="s">
        <v>27</v>
      </c>
      <c r="E75" s="5">
        <v>143771</v>
      </c>
      <c r="F75" s="6">
        <v>1495.1465145</v>
      </c>
      <c r="G75" s="7">
        <v>4.9708E-3</v>
      </c>
      <c r="H75" s="35"/>
    </row>
    <row r="76" spans="1:8" ht="17.100000000000001" customHeight="1" x14ac:dyDescent="0.25">
      <c r="A76" s="3">
        <v>70</v>
      </c>
      <c r="B76" s="4" t="s">
        <v>55</v>
      </c>
      <c r="C76" s="4" t="s">
        <v>56</v>
      </c>
      <c r="D76" s="4" t="s">
        <v>15</v>
      </c>
      <c r="E76" s="5">
        <v>167457</v>
      </c>
      <c r="F76" s="6">
        <v>1477.9754820000001</v>
      </c>
      <c r="G76" s="7">
        <v>4.91371E-3</v>
      </c>
      <c r="H76" s="35"/>
    </row>
    <row r="77" spans="1:8" ht="17.100000000000001" customHeight="1" x14ac:dyDescent="0.25">
      <c r="A77" s="3">
        <v>71</v>
      </c>
      <c r="B77" s="4" t="s">
        <v>178</v>
      </c>
      <c r="C77" s="4" t="s">
        <v>179</v>
      </c>
      <c r="D77" s="4" t="s">
        <v>15</v>
      </c>
      <c r="E77" s="5">
        <v>143119</v>
      </c>
      <c r="F77" s="6">
        <v>1384.8910034999999</v>
      </c>
      <c r="G77" s="7">
        <v>4.6042399999999999E-3</v>
      </c>
      <c r="H77" s="35"/>
    </row>
    <row r="78" spans="1:8" ht="17.100000000000001" customHeight="1" x14ac:dyDescent="0.25">
      <c r="A78" s="3">
        <v>72</v>
      </c>
      <c r="B78" s="4" t="s">
        <v>147</v>
      </c>
      <c r="C78" s="4" t="s">
        <v>148</v>
      </c>
      <c r="D78" s="4" t="s">
        <v>21</v>
      </c>
      <c r="E78" s="5">
        <v>98055</v>
      </c>
      <c r="F78" s="6">
        <v>1347.6679200000001</v>
      </c>
      <c r="G78" s="7">
        <v>4.4804800000000002E-3</v>
      </c>
      <c r="H78" s="35"/>
    </row>
    <row r="79" spans="1:8" ht="17.100000000000001" customHeight="1" x14ac:dyDescent="0.25">
      <c r="A79" s="3">
        <v>73</v>
      </c>
      <c r="B79" s="4" t="s">
        <v>229</v>
      </c>
      <c r="C79" s="4" t="s">
        <v>230</v>
      </c>
      <c r="D79" s="4" t="s">
        <v>27</v>
      </c>
      <c r="E79" s="5">
        <v>14430</v>
      </c>
      <c r="F79" s="6">
        <v>1132.3653899999999</v>
      </c>
      <c r="G79" s="7">
        <v>3.7646899999999998E-3</v>
      </c>
      <c r="H79" s="35"/>
    </row>
    <row r="80" spans="1:8" ht="17.100000000000001" customHeight="1" x14ac:dyDescent="0.25">
      <c r="A80" s="3">
        <v>74</v>
      </c>
      <c r="B80" s="4" t="s">
        <v>108</v>
      </c>
      <c r="C80" s="4" t="s">
        <v>109</v>
      </c>
      <c r="D80" s="4" t="s">
        <v>235</v>
      </c>
      <c r="E80" s="5">
        <v>13822</v>
      </c>
      <c r="F80" s="6">
        <v>1021.362868</v>
      </c>
      <c r="G80" s="7">
        <v>3.3956400000000001E-3</v>
      </c>
      <c r="H80" s="35"/>
    </row>
    <row r="81" spans="1:8" ht="17.100000000000001" customHeight="1" x14ac:dyDescent="0.25">
      <c r="A81" s="3">
        <v>75</v>
      </c>
      <c r="B81" s="4" t="s">
        <v>231</v>
      </c>
      <c r="C81" s="4" t="s">
        <v>232</v>
      </c>
      <c r="D81" s="4" t="s">
        <v>106</v>
      </c>
      <c r="E81" s="5">
        <v>73365</v>
      </c>
      <c r="F81" s="6">
        <v>918.30970500000001</v>
      </c>
      <c r="G81" s="7">
        <v>3.05303E-3</v>
      </c>
      <c r="H81" s="35"/>
    </row>
    <row r="82" spans="1:8" ht="17.100000000000001" customHeight="1" x14ac:dyDescent="0.25">
      <c r="A82" s="3">
        <v>76</v>
      </c>
      <c r="B82" s="4" t="s">
        <v>233</v>
      </c>
      <c r="C82" s="4" t="s">
        <v>234</v>
      </c>
      <c r="D82" s="4" t="s">
        <v>235</v>
      </c>
      <c r="E82" s="5">
        <v>36853</v>
      </c>
      <c r="F82" s="6">
        <v>716.86455599999999</v>
      </c>
      <c r="G82" s="7">
        <v>2.3833000000000001E-3</v>
      </c>
      <c r="H82" s="35"/>
    </row>
    <row r="83" spans="1:8" ht="14.1" customHeight="1" x14ac:dyDescent="0.25">
      <c r="A83" s="1"/>
      <c r="B83" s="1"/>
      <c r="C83" s="2" t="s">
        <v>60</v>
      </c>
      <c r="D83" s="1"/>
      <c r="E83" s="1" t="s">
        <v>61</v>
      </c>
      <c r="F83" s="9">
        <v>288030.62641249999</v>
      </c>
      <c r="G83" s="10">
        <v>0.95759256000000015</v>
      </c>
      <c r="H83" s="35"/>
    </row>
    <row r="84" spans="1:8" ht="14.1" customHeight="1" x14ac:dyDescent="0.25">
      <c r="A84" s="1"/>
      <c r="B84" s="1"/>
      <c r="C84" s="11"/>
      <c r="D84" s="1"/>
      <c r="E84" s="1"/>
      <c r="F84" s="12"/>
      <c r="G84" s="12"/>
      <c r="H84" s="35"/>
    </row>
    <row r="85" spans="1:8" ht="14.1" customHeight="1" x14ac:dyDescent="0.25">
      <c r="A85" s="1"/>
      <c r="B85" s="1"/>
      <c r="C85" s="2" t="s">
        <v>62</v>
      </c>
      <c r="D85" s="1"/>
      <c r="E85" s="1"/>
      <c r="F85" s="1"/>
      <c r="G85" s="1"/>
      <c r="H85" s="35"/>
    </row>
    <row r="86" spans="1:8" ht="14.1" customHeight="1" x14ac:dyDescent="0.25">
      <c r="A86" s="1"/>
      <c r="B86" s="1"/>
      <c r="C86" s="2" t="s">
        <v>60</v>
      </c>
      <c r="D86" s="1"/>
      <c r="E86" s="1" t="s">
        <v>61</v>
      </c>
      <c r="F86" s="13" t="s">
        <v>63</v>
      </c>
      <c r="G86" s="10">
        <v>0</v>
      </c>
      <c r="H86" s="35"/>
    </row>
    <row r="87" spans="1:8" ht="14.1" customHeight="1" x14ac:dyDescent="0.25">
      <c r="A87" s="1"/>
      <c r="B87" s="1"/>
      <c r="C87" s="11"/>
      <c r="D87" s="1"/>
      <c r="E87" s="1"/>
      <c r="F87" s="12"/>
      <c r="G87" s="12"/>
      <c r="H87" s="35"/>
    </row>
    <row r="88" spans="1:8" ht="14.1" customHeight="1" x14ac:dyDescent="0.25">
      <c r="A88" s="1"/>
      <c r="B88" s="1"/>
      <c r="C88" s="2" t="s">
        <v>64</v>
      </c>
      <c r="D88" s="1"/>
      <c r="E88" s="1"/>
      <c r="F88" s="1"/>
      <c r="G88" s="1"/>
      <c r="H88" s="35"/>
    </row>
    <row r="89" spans="1:8" ht="17.100000000000001" customHeight="1" x14ac:dyDescent="0.25">
      <c r="A89" s="3">
        <v>1</v>
      </c>
      <c r="B89" s="4" t="s">
        <v>57</v>
      </c>
      <c r="C89" s="4" t="s">
        <v>239</v>
      </c>
      <c r="D89" s="4" t="s">
        <v>58</v>
      </c>
      <c r="E89" s="5">
        <v>375961</v>
      </c>
      <c r="F89" s="6">
        <v>7.5190000000000003E-6</v>
      </c>
      <c r="G89" s="8" t="s">
        <v>59</v>
      </c>
      <c r="H89" s="35"/>
    </row>
    <row r="90" spans="1:8" ht="14.1" customHeight="1" x14ac:dyDescent="0.25">
      <c r="A90" s="1"/>
      <c r="B90" s="1"/>
      <c r="C90" s="2" t="s">
        <v>60</v>
      </c>
      <c r="D90" s="1"/>
      <c r="E90" s="1" t="s">
        <v>61</v>
      </c>
      <c r="F90" s="9">
        <f>SUM(F89)</f>
        <v>7.5190000000000003E-6</v>
      </c>
      <c r="G90" s="10">
        <v>0</v>
      </c>
      <c r="H90" s="35"/>
    </row>
    <row r="91" spans="1:8" ht="14.1" customHeight="1" x14ac:dyDescent="0.25">
      <c r="A91" s="1"/>
      <c r="B91" s="1"/>
      <c r="C91" s="11"/>
      <c r="D91" s="1"/>
      <c r="E91" s="1"/>
      <c r="F91" s="12"/>
      <c r="G91" s="12"/>
      <c r="H91" s="35"/>
    </row>
    <row r="92" spans="1:8" ht="14.1" customHeight="1" x14ac:dyDescent="0.25">
      <c r="A92" s="1"/>
      <c r="B92" s="1"/>
      <c r="C92" s="2" t="s">
        <v>65</v>
      </c>
      <c r="D92" s="1"/>
      <c r="E92" s="1"/>
      <c r="F92" s="1"/>
      <c r="G92" s="1"/>
      <c r="H92" s="35"/>
    </row>
    <row r="93" spans="1:8" ht="14.1" customHeight="1" x14ac:dyDescent="0.25">
      <c r="A93" s="1"/>
      <c r="B93" s="1"/>
      <c r="C93" s="2" t="s">
        <v>60</v>
      </c>
      <c r="D93" s="1"/>
      <c r="E93" s="1" t="s">
        <v>61</v>
      </c>
      <c r="F93" s="13" t="s">
        <v>63</v>
      </c>
      <c r="G93" s="10">
        <v>0</v>
      </c>
      <c r="H93" s="35"/>
    </row>
    <row r="94" spans="1:8" ht="14.1" customHeight="1" x14ac:dyDescent="0.25">
      <c r="A94" s="1"/>
      <c r="B94" s="1"/>
      <c r="C94" s="11"/>
      <c r="D94" s="1"/>
      <c r="E94" s="1"/>
      <c r="F94" s="12"/>
      <c r="G94" s="12"/>
      <c r="H94" s="35"/>
    </row>
    <row r="95" spans="1:8" ht="14.1" customHeight="1" x14ac:dyDescent="0.25">
      <c r="A95" s="1"/>
      <c r="B95" s="1"/>
      <c r="C95" s="2" t="s">
        <v>66</v>
      </c>
      <c r="D95" s="1"/>
      <c r="E95" s="1"/>
      <c r="F95" s="12"/>
      <c r="G95" s="12"/>
      <c r="H95" s="35"/>
    </row>
    <row r="96" spans="1:8" ht="14.1" customHeight="1" x14ac:dyDescent="0.25">
      <c r="A96" s="1"/>
      <c r="B96" s="1"/>
      <c r="C96" s="2" t="s">
        <v>60</v>
      </c>
      <c r="D96" s="1"/>
      <c r="E96" s="1" t="s">
        <v>61</v>
      </c>
      <c r="F96" s="13" t="s">
        <v>63</v>
      </c>
      <c r="G96" s="10">
        <v>0</v>
      </c>
      <c r="H96" s="35"/>
    </row>
    <row r="97" spans="1:8" ht="14.1" customHeight="1" x14ac:dyDescent="0.25">
      <c r="A97" s="1"/>
      <c r="B97" s="1"/>
      <c r="C97" s="11"/>
      <c r="D97" s="1"/>
      <c r="E97" s="1"/>
      <c r="F97" s="12"/>
      <c r="G97" s="12"/>
      <c r="H97" s="35"/>
    </row>
    <row r="98" spans="1:8" ht="14.1" customHeight="1" x14ac:dyDescent="0.25">
      <c r="A98" s="1"/>
      <c r="B98" s="1"/>
      <c r="C98" s="2" t="s">
        <v>67</v>
      </c>
      <c r="D98" s="1"/>
      <c r="E98" s="1"/>
      <c r="F98" s="12"/>
      <c r="G98" s="12"/>
      <c r="H98" s="35"/>
    </row>
    <row r="99" spans="1:8" ht="14.1" customHeight="1" x14ac:dyDescent="0.25">
      <c r="A99" s="1"/>
      <c r="B99" s="1"/>
      <c r="C99" s="2" t="s">
        <v>60</v>
      </c>
      <c r="D99" s="1"/>
      <c r="E99" s="1" t="s">
        <v>61</v>
      </c>
      <c r="F99" s="13" t="s">
        <v>63</v>
      </c>
      <c r="G99" s="10">
        <v>0</v>
      </c>
      <c r="H99" s="35"/>
    </row>
    <row r="100" spans="1:8" ht="14.1" customHeight="1" x14ac:dyDescent="0.25">
      <c r="A100" s="1"/>
      <c r="B100" s="1"/>
      <c r="C100" s="11"/>
      <c r="D100" s="1"/>
      <c r="E100" s="1"/>
      <c r="F100" s="12"/>
      <c r="G100" s="12"/>
      <c r="H100" s="35"/>
    </row>
    <row r="101" spans="1:8" ht="18" customHeight="1" x14ac:dyDescent="0.25">
      <c r="A101" s="1"/>
      <c r="B101" s="1"/>
      <c r="C101" s="2" t="s">
        <v>68</v>
      </c>
      <c r="D101" s="1"/>
      <c r="E101" s="1"/>
      <c r="F101" s="9">
        <v>288030.62642001902</v>
      </c>
      <c r="G101" s="10">
        <v>0.95759256000000004</v>
      </c>
      <c r="H101" s="35"/>
    </row>
    <row r="102" spans="1:8" ht="14.1" customHeight="1" x14ac:dyDescent="0.25">
      <c r="A102" s="1"/>
      <c r="B102" s="1"/>
      <c r="C102" s="11"/>
      <c r="D102" s="1"/>
      <c r="E102" s="1"/>
      <c r="F102" s="12"/>
      <c r="G102" s="12"/>
      <c r="H102" s="35"/>
    </row>
    <row r="103" spans="1:8" ht="14.1" customHeight="1" x14ac:dyDescent="0.25">
      <c r="A103" s="1"/>
      <c r="B103" s="1"/>
      <c r="C103" s="2" t="s">
        <v>69</v>
      </c>
      <c r="D103" s="1"/>
      <c r="E103" s="1"/>
      <c r="F103" s="12"/>
      <c r="G103" s="12"/>
      <c r="H103" s="35"/>
    </row>
    <row r="104" spans="1:8" ht="24" customHeight="1" x14ac:dyDescent="0.25">
      <c r="A104" s="1"/>
      <c r="B104" s="1"/>
      <c r="C104" s="2" t="s">
        <v>9</v>
      </c>
      <c r="D104" s="1"/>
      <c r="E104" s="1"/>
      <c r="F104" s="12"/>
      <c r="G104" s="12"/>
      <c r="H104" s="35"/>
    </row>
    <row r="105" spans="1:8" ht="14.1" customHeight="1" x14ac:dyDescent="0.25">
      <c r="A105" s="1"/>
      <c r="B105" s="1"/>
      <c r="C105" s="2" t="s">
        <v>60</v>
      </c>
      <c r="D105" s="1"/>
      <c r="E105" s="1" t="s">
        <v>61</v>
      </c>
      <c r="F105" s="13" t="s">
        <v>63</v>
      </c>
      <c r="G105" s="10">
        <v>0</v>
      </c>
      <c r="H105" s="35"/>
    </row>
    <row r="106" spans="1:8" ht="14.1" customHeight="1" x14ac:dyDescent="0.25">
      <c r="A106" s="1"/>
      <c r="B106" s="1"/>
      <c r="C106" s="11"/>
      <c r="D106" s="1"/>
      <c r="E106" s="1"/>
      <c r="F106" s="12"/>
      <c r="G106" s="12"/>
      <c r="H106" s="35"/>
    </row>
    <row r="107" spans="1:8" ht="14.1" customHeight="1" x14ac:dyDescent="0.25">
      <c r="A107" s="1"/>
      <c r="B107" s="1"/>
      <c r="C107" s="2" t="s">
        <v>70</v>
      </c>
      <c r="D107" s="1"/>
      <c r="E107" s="1"/>
      <c r="F107" s="1"/>
      <c r="G107" s="1"/>
      <c r="H107" s="35"/>
    </row>
    <row r="108" spans="1:8" ht="14.1" customHeight="1" x14ac:dyDescent="0.25">
      <c r="A108" s="1"/>
      <c r="B108" s="1"/>
      <c r="C108" s="2" t="s">
        <v>60</v>
      </c>
      <c r="D108" s="1"/>
      <c r="E108" s="1" t="s">
        <v>61</v>
      </c>
      <c r="F108" s="13" t="s">
        <v>63</v>
      </c>
      <c r="G108" s="10">
        <v>0</v>
      </c>
      <c r="H108" s="35"/>
    </row>
    <row r="109" spans="1:8" ht="14.1" customHeight="1" x14ac:dyDescent="0.25">
      <c r="A109" s="1"/>
      <c r="B109" s="1"/>
      <c r="C109" s="11"/>
      <c r="D109" s="1"/>
      <c r="E109" s="1"/>
      <c r="F109" s="12"/>
      <c r="G109" s="12"/>
      <c r="H109" s="35"/>
    </row>
    <row r="110" spans="1:8" ht="14.1" customHeight="1" x14ac:dyDescent="0.25">
      <c r="A110" s="1"/>
      <c r="B110" s="1"/>
      <c r="C110" s="2" t="s">
        <v>71</v>
      </c>
      <c r="D110" s="1"/>
      <c r="E110" s="1"/>
      <c r="F110" s="1"/>
      <c r="G110" s="1"/>
      <c r="H110" s="35"/>
    </row>
    <row r="111" spans="1:8" ht="14.1" customHeight="1" x14ac:dyDescent="0.25">
      <c r="A111" s="1"/>
      <c r="B111" s="1"/>
      <c r="C111" s="2" t="s">
        <v>60</v>
      </c>
      <c r="D111" s="1"/>
      <c r="E111" s="1" t="s">
        <v>61</v>
      </c>
      <c r="F111" s="13" t="s">
        <v>63</v>
      </c>
      <c r="G111" s="10">
        <v>0</v>
      </c>
      <c r="H111" s="35"/>
    </row>
    <row r="112" spans="1:8" ht="14.1" customHeight="1" x14ac:dyDescent="0.25">
      <c r="A112" s="1"/>
      <c r="B112" s="1"/>
      <c r="C112" s="11"/>
      <c r="D112" s="1"/>
      <c r="E112" s="1"/>
      <c r="F112" s="12"/>
      <c r="G112" s="12"/>
      <c r="H112" s="35"/>
    </row>
    <row r="113" spans="1:8" ht="14.1" customHeight="1" x14ac:dyDescent="0.25">
      <c r="A113" s="1"/>
      <c r="B113" s="1"/>
      <c r="C113" s="2" t="s">
        <v>72</v>
      </c>
      <c r="D113" s="1"/>
      <c r="E113" s="1"/>
      <c r="F113" s="12"/>
      <c r="G113" s="12"/>
      <c r="H113" s="35"/>
    </row>
    <row r="114" spans="1:8" ht="14.1" customHeight="1" x14ac:dyDescent="0.25">
      <c r="A114" s="1"/>
      <c r="B114" s="1"/>
      <c r="C114" s="2" t="s">
        <v>60</v>
      </c>
      <c r="D114" s="1"/>
      <c r="E114" s="1" t="s">
        <v>61</v>
      </c>
      <c r="F114" s="13" t="s">
        <v>63</v>
      </c>
      <c r="G114" s="10">
        <v>0</v>
      </c>
      <c r="H114" s="35"/>
    </row>
    <row r="115" spans="1:8" ht="14.1" customHeight="1" x14ac:dyDescent="0.25">
      <c r="A115" s="1"/>
      <c r="B115" s="1"/>
      <c r="C115" s="11"/>
      <c r="D115" s="1"/>
      <c r="E115" s="1"/>
      <c r="F115" s="12"/>
      <c r="G115" s="12"/>
      <c r="H115" s="35"/>
    </row>
    <row r="116" spans="1:8" ht="14.1" customHeight="1" x14ac:dyDescent="0.25">
      <c r="A116" s="1"/>
      <c r="B116" s="1"/>
      <c r="C116" s="2" t="s">
        <v>73</v>
      </c>
      <c r="D116" s="1"/>
      <c r="E116" s="1"/>
      <c r="F116" s="9">
        <v>0</v>
      </c>
      <c r="G116" s="10">
        <v>0</v>
      </c>
      <c r="H116" s="35"/>
    </row>
    <row r="117" spans="1:8" ht="14.1" customHeight="1" x14ac:dyDescent="0.25">
      <c r="A117" s="1"/>
      <c r="B117" s="1"/>
      <c r="C117" s="11"/>
      <c r="D117" s="1"/>
      <c r="E117" s="1"/>
      <c r="F117" s="12"/>
      <c r="G117" s="12"/>
      <c r="H117" s="35"/>
    </row>
    <row r="118" spans="1:8" ht="14.1" customHeight="1" x14ac:dyDescent="0.25">
      <c r="A118" s="1"/>
      <c r="B118" s="1"/>
      <c r="C118" s="2" t="s">
        <v>74</v>
      </c>
      <c r="D118" s="1"/>
      <c r="E118" s="1"/>
      <c r="F118" s="12"/>
      <c r="G118" s="12"/>
      <c r="H118" s="35"/>
    </row>
    <row r="119" spans="1:8" ht="14.1" customHeight="1" x14ac:dyDescent="0.25">
      <c r="A119" s="1"/>
      <c r="B119" s="1"/>
      <c r="C119" s="2" t="s">
        <v>75</v>
      </c>
      <c r="D119" s="1"/>
      <c r="E119" s="1"/>
      <c r="F119" s="12"/>
      <c r="G119" s="12"/>
      <c r="H119" s="35"/>
    </row>
    <row r="120" spans="1:8" ht="14.1" customHeight="1" x14ac:dyDescent="0.25">
      <c r="A120" s="1"/>
      <c r="B120" s="1"/>
      <c r="C120" s="2" t="s">
        <v>60</v>
      </c>
      <c r="D120" s="1"/>
      <c r="E120" s="1" t="s">
        <v>61</v>
      </c>
      <c r="F120" s="13" t="s">
        <v>63</v>
      </c>
      <c r="G120" s="10">
        <v>0</v>
      </c>
      <c r="H120" s="35"/>
    </row>
    <row r="121" spans="1:8" ht="14.1" customHeight="1" x14ac:dyDescent="0.25">
      <c r="A121" s="1"/>
      <c r="B121" s="1"/>
      <c r="C121" s="11"/>
      <c r="D121" s="1"/>
      <c r="E121" s="1"/>
      <c r="F121" s="12"/>
      <c r="G121" s="12"/>
      <c r="H121" s="35"/>
    </row>
    <row r="122" spans="1:8" ht="14.1" customHeight="1" x14ac:dyDescent="0.25">
      <c r="A122" s="1"/>
      <c r="B122" s="1"/>
      <c r="C122" s="2" t="s">
        <v>76</v>
      </c>
      <c r="D122" s="1"/>
      <c r="E122" s="1"/>
      <c r="F122" s="12"/>
      <c r="G122" s="12"/>
      <c r="H122" s="35"/>
    </row>
    <row r="123" spans="1:8" ht="14.1" customHeight="1" x14ac:dyDescent="0.25">
      <c r="A123" s="1"/>
      <c r="B123" s="1"/>
      <c r="C123" s="2" t="s">
        <v>60</v>
      </c>
      <c r="D123" s="1"/>
      <c r="E123" s="1" t="s">
        <v>61</v>
      </c>
      <c r="F123" s="13" t="s">
        <v>63</v>
      </c>
      <c r="G123" s="10">
        <v>0</v>
      </c>
      <c r="H123" s="35"/>
    </row>
    <row r="124" spans="1:8" ht="14.1" customHeight="1" x14ac:dyDescent="0.25">
      <c r="A124" s="1"/>
      <c r="B124" s="1"/>
      <c r="C124" s="11"/>
      <c r="D124" s="1"/>
      <c r="E124" s="1"/>
      <c r="F124" s="12"/>
      <c r="G124" s="12"/>
      <c r="H124" s="35"/>
    </row>
    <row r="125" spans="1:8" ht="14.1" customHeight="1" x14ac:dyDescent="0.25">
      <c r="A125" s="1"/>
      <c r="B125" s="1"/>
      <c r="C125" s="2" t="s">
        <v>77</v>
      </c>
      <c r="D125" s="1"/>
      <c r="E125" s="1"/>
      <c r="F125" s="12"/>
      <c r="G125" s="12"/>
      <c r="H125" s="35"/>
    </row>
    <row r="126" spans="1:8" ht="14.1" customHeight="1" x14ac:dyDescent="0.25">
      <c r="A126" s="1"/>
      <c r="B126" s="1"/>
      <c r="C126" s="2" t="s">
        <v>60</v>
      </c>
      <c r="D126" s="1"/>
      <c r="E126" s="1" t="s">
        <v>61</v>
      </c>
      <c r="F126" s="13" t="s">
        <v>63</v>
      </c>
      <c r="G126" s="10">
        <v>0</v>
      </c>
      <c r="H126" s="35"/>
    </row>
    <row r="127" spans="1:8" ht="14.1" customHeight="1" x14ac:dyDescent="0.25">
      <c r="A127" s="1"/>
      <c r="B127" s="1"/>
      <c r="C127" s="11"/>
      <c r="D127" s="1"/>
      <c r="E127" s="1"/>
      <c r="F127" s="12"/>
      <c r="G127" s="12"/>
      <c r="H127" s="35"/>
    </row>
    <row r="128" spans="1:8" ht="14.1" customHeight="1" x14ac:dyDescent="0.25">
      <c r="A128" s="1"/>
      <c r="B128" s="1"/>
      <c r="C128" s="2" t="s">
        <v>78</v>
      </c>
      <c r="D128" s="1"/>
      <c r="E128" s="1"/>
      <c r="F128" s="12"/>
      <c r="G128" s="12"/>
      <c r="H128" s="35"/>
    </row>
    <row r="129" spans="1:8" ht="17.100000000000001" customHeight="1" x14ac:dyDescent="0.25">
      <c r="A129" s="3">
        <v>1</v>
      </c>
      <c r="B129" s="4"/>
      <c r="C129" s="4" t="s">
        <v>79</v>
      </c>
      <c r="D129" s="4"/>
      <c r="E129" s="8"/>
      <c r="F129" s="6">
        <v>12087.234085979</v>
      </c>
      <c r="G129" s="7">
        <v>4.0185470000000001E-2</v>
      </c>
      <c r="H129" s="35">
        <v>6.7600000000000016</v>
      </c>
    </row>
    <row r="130" spans="1:8" ht="14.1" customHeight="1" x14ac:dyDescent="0.25">
      <c r="A130" s="1"/>
      <c r="B130" s="1"/>
      <c r="C130" s="2" t="s">
        <v>60</v>
      </c>
      <c r="D130" s="1"/>
      <c r="E130" s="1" t="s">
        <v>61</v>
      </c>
      <c r="F130" s="9">
        <v>12087.234085979</v>
      </c>
      <c r="G130" s="10">
        <v>4.0185470000000001E-2</v>
      </c>
      <c r="H130" s="35"/>
    </row>
    <row r="131" spans="1:8" ht="14.1" customHeight="1" x14ac:dyDescent="0.25">
      <c r="A131" s="1"/>
      <c r="B131" s="1"/>
      <c r="C131" s="11"/>
      <c r="D131" s="1"/>
      <c r="E131" s="1"/>
      <c r="F131" s="12"/>
      <c r="G131" s="12"/>
      <c r="H131" s="35"/>
    </row>
    <row r="132" spans="1:8" ht="14.1" customHeight="1" x14ac:dyDescent="0.25">
      <c r="A132" s="1"/>
      <c r="B132" s="1"/>
      <c r="C132" s="2" t="s">
        <v>80</v>
      </c>
      <c r="D132" s="1"/>
      <c r="E132" s="1"/>
      <c r="F132" s="9">
        <v>12087.234085979</v>
      </c>
      <c r="G132" s="10">
        <v>4.0185470000000001E-2</v>
      </c>
      <c r="H132" s="35"/>
    </row>
    <row r="133" spans="1:8" ht="14.1" customHeight="1" x14ac:dyDescent="0.25">
      <c r="A133" s="1"/>
      <c r="B133" s="1"/>
      <c r="C133" s="12"/>
      <c r="D133" s="1"/>
      <c r="E133" s="1"/>
      <c r="F133" s="1"/>
      <c r="G133" s="1"/>
      <c r="H133" s="35"/>
    </row>
    <row r="134" spans="1:8" ht="14.1" customHeight="1" x14ac:dyDescent="0.25">
      <c r="A134" s="1"/>
      <c r="B134" s="1"/>
      <c r="C134" s="2" t="s">
        <v>81</v>
      </c>
      <c r="D134" s="1"/>
      <c r="E134" s="1"/>
      <c r="F134" s="1"/>
      <c r="G134" s="1"/>
      <c r="H134" s="35"/>
    </row>
    <row r="135" spans="1:8" ht="14.1" customHeight="1" x14ac:dyDescent="0.25">
      <c r="A135" s="1"/>
      <c r="B135" s="1"/>
      <c r="C135" s="2" t="s">
        <v>82</v>
      </c>
      <c r="D135" s="1"/>
      <c r="E135" s="1"/>
      <c r="F135" s="1"/>
      <c r="G135" s="1"/>
      <c r="H135" s="35"/>
    </row>
    <row r="136" spans="1:8" ht="14.1" customHeight="1" x14ac:dyDescent="0.25">
      <c r="A136" s="1"/>
      <c r="B136" s="1"/>
      <c r="C136" s="2" t="s">
        <v>60</v>
      </c>
      <c r="D136" s="1"/>
      <c r="E136" s="1" t="s">
        <v>61</v>
      </c>
      <c r="F136" s="13" t="s">
        <v>63</v>
      </c>
      <c r="G136" s="10">
        <v>0</v>
      </c>
      <c r="H136" s="35"/>
    </row>
    <row r="137" spans="1:8" ht="14.1" customHeight="1" x14ac:dyDescent="0.25">
      <c r="A137" s="1"/>
      <c r="B137" s="1"/>
      <c r="C137" s="11"/>
      <c r="D137" s="1"/>
      <c r="E137" s="1"/>
      <c r="F137" s="12"/>
      <c r="G137" s="12"/>
      <c r="H137" s="35"/>
    </row>
    <row r="138" spans="1:8" ht="14.1" customHeight="1" x14ac:dyDescent="0.25">
      <c r="A138" s="1"/>
      <c r="B138" s="1"/>
      <c r="C138" s="2" t="s">
        <v>83</v>
      </c>
      <c r="D138" s="1"/>
      <c r="E138" s="1"/>
      <c r="F138" s="1"/>
      <c r="G138" s="1"/>
      <c r="H138" s="35"/>
    </row>
    <row r="139" spans="1:8" ht="14.1" customHeight="1" x14ac:dyDescent="0.25">
      <c r="A139" s="1"/>
      <c r="B139" s="1"/>
      <c r="C139" s="2" t="s">
        <v>84</v>
      </c>
      <c r="D139" s="1"/>
      <c r="E139" s="1"/>
      <c r="F139" s="1"/>
      <c r="G139" s="1"/>
      <c r="H139" s="35"/>
    </row>
    <row r="140" spans="1:8" ht="14.1" customHeight="1" x14ac:dyDescent="0.25">
      <c r="A140" s="1"/>
      <c r="B140" s="1"/>
      <c r="C140" s="2" t="s">
        <v>60</v>
      </c>
      <c r="D140" s="1"/>
      <c r="E140" s="1" t="s">
        <v>61</v>
      </c>
      <c r="F140" s="13" t="s">
        <v>63</v>
      </c>
      <c r="G140" s="10">
        <v>0</v>
      </c>
      <c r="H140" s="35"/>
    </row>
    <row r="141" spans="1:8" ht="14.1" customHeight="1" x14ac:dyDescent="0.25">
      <c r="A141" s="1"/>
      <c r="B141" s="1"/>
      <c r="C141" s="11"/>
      <c r="D141" s="1"/>
      <c r="E141" s="1"/>
      <c r="F141" s="12"/>
      <c r="G141" s="12"/>
      <c r="H141" s="35"/>
    </row>
    <row r="142" spans="1:8" ht="24" customHeight="1" x14ac:dyDescent="0.25">
      <c r="A142" s="1"/>
      <c r="B142" s="1"/>
      <c r="C142" s="2" t="s">
        <v>85</v>
      </c>
      <c r="D142" s="1"/>
      <c r="E142" s="1"/>
      <c r="F142" s="12"/>
      <c r="G142" s="12"/>
      <c r="H142" s="35"/>
    </row>
    <row r="143" spans="1:8" ht="14.1" customHeight="1" x14ac:dyDescent="0.25">
      <c r="A143" s="1"/>
      <c r="B143" s="1"/>
      <c r="C143" s="2" t="s">
        <v>60</v>
      </c>
      <c r="D143" s="1"/>
      <c r="E143" s="1" t="s">
        <v>61</v>
      </c>
      <c r="F143" s="13" t="s">
        <v>63</v>
      </c>
      <c r="G143" s="10">
        <v>0</v>
      </c>
      <c r="H143" s="35"/>
    </row>
    <row r="144" spans="1:8" ht="14.1" customHeight="1" x14ac:dyDescent="0.25">
      <c r="A144" s="1"/>
      <c r="B144" s="1"/>
      <c r="C144" s="11"/>
      <c r="D144" s="1"/>
      <c r="E144" s="1"/>
      <c r="F144" s="12"/>
      <c r="G144" s="12"/>
      <c r="H144" s="35"/>
    </row>
    <row r="145" spans="1:14" ht="14.1" customHeight="1" x14ac:dyDescent="0.25">
      <c r="A145" s="1"/>
      <c r="B145" s="4"/>
      <c r="C145" s="4"/>
      <c r="D145" s="2"/>
      <c r="E145" s="1"/>
      <c r="F145" s="4"/>
      <c r="G145" s="8"/>
      <c r="H145" s="35"/>
    </row>
    <row r="146" spans="1:14" ht="18" customHeight="1" x14ac:dyDescent="0.25">
      <c r="A146" s="8"/>
      <c r="B146" s="4"/>
      <c r="C146" s="4" t="s">
        <v>86</v>
      </c>
      <c r="D146" s="4"/>
      <c r="E146" s="8"/>
      <c r="F146" s="6">
        <v>668.35629087201812</v>
      </c>
      <c r="G146" s="7">
        <v>2.2220309759851107E-3</v>
      </c>
      <c r="H146" s="35"/>
    </row>
    <row r="147" spans="1:14" ht="14.1" customHeight="1" x14ac:dyDescent="0.25">
      <c r="A147" s="11"/>
      <c r="B147" s="11"/>
      <c r="C147" s="2" t="s">
        <v>87</v>
      </c>
      <c r="D147" s="12"/>
      <c r="E147" s="12"/>
      <c r="F147" s="9">
        <v>300786.21679686999</v>
      </c>
      <c r="G147" s="14">
        <v>1.0000000499999999</v>
      </c>
      <c r="H147" s="35"/>
    </row>
    <row r="148" spans="1:14" ht="14.1" customHeight="1" x14ac:dyDescent="0.25">
      <c r="A148" s="15"/>
      <c r="B148" s="15"/>
      <c r="C148" s="15"/>
      <c r="D148" s="16"/>
      <c r="E148" s="16"/>
      <c r="F148" s="16"/>
      <c r="G148" s="16"/>
    </row>
    <row r="149" spans="1:14" ht="17.100000000000001" customHeight="1" x14ac:dyDescent="0.25">
      <c r="A149" s="17"/>
      <c r="B149" s="44" t="s">
        <v>88</v>
      </c>
      <c r="C149" s="44"/>
      <c r="D149" s="44"/>
      <c r="E149" s="44"/>
      <c r="F149" s="44"/>
      <c r="G149" s="19"/>
    </row>
    <row r="150" spans="1:14" ht="14.1" customHeight="1" x14ac:dyDescent="0.25">
      <c r="A150" s="17"/>
      <c r="B150" s="17"/>
      <c r="C150" s="17"/>
      <c r="D150" s="19"/>
      <c r="E150" s="19"/>
      <c r="F150" s="19"/>
      <c r="G150" s="19"/>
    </row>
    <row r="151" spans="1:14" ht="14.1" customHeight="1" x14ac:dyDescent="0.25">
      <c r="A151" s="17"/>
      <c r="B151" s="45" t="s">
        <v>89</v>
      </c>
      <c r="C151" s="46"/>
      <c r="D151" s="47"/>
      <c r="E151" s="20"/>
      <c r="F151" s="19"/>
      <c r="G151" s="19"/>
    </row>
    <row r="152" spans="1:14" ht="29.1" customHeight="1" x14ac:dyDescent="0.25">
      <c r="A152" s="17"/>
      <c r="B152" s="42" t="s">
        <v>90</v>
      </c>
      <c r="C152" s="43"/>
      <c r="D152" s="2" t="s">
        <v>91</v>
      </c>
      <c r="E152" s="20"/>
      <c r="F152" s="19"/>
      <c r="G152" s="19"/>
    </row>
    <row r="153" spans="1:14" ht="17.100000000000001" customHeight="1" x14ac:dyDescent="0.25">
      <c r="A153" s="30"/>
      <c r="B153" s="52" t="s">
        <v>237</v>
      </c>
      <c r="C153" s="53"/>
      <c r="D153" s="31" t="s">
        <v>238</v>
      </c>
      <c r="E153" s="32"/>
      <c r="F153" s="33"/>
      <c r="G153" s="33"/>
    </row>
    <row r="154" spans="1:14" ht="17.100000000000001" customHeight="1" x14ac:dyDescent="0.25">
      <c r="A154" s="17"/>
      <c r="B154" s="42" t="s">
        <v>92</v>
      </c>
      <c r="C154" s="43"/>
      <c r="D154" s="12" t="s">
        <v>61</v>
      </c>
      <c r="E154" s="20"/>
      <c r="F154" s="19"/>
      <c r="G154" s="19"/>
    </row>
    <row r="155" spans="1:14" ht="27.6" x14ac:dyDescent="0.25">
      <c r="A155" s="21"/>
      <c r="B155" s="22" t="s">
        <v>61</v>
      </c>
      <c r="C155" s="22" t="s">
        <v>93</v>
      </c>
      <c r="D155" s="22" t="s">
        <v>94</v>
      </c>
      <c r="E155" s="21"/>
      <c r="F155" s="21"/>
      <c r="G155" s="21"/>
      <c r="J155" s="40"/>
      <c r="K155" s="40"/>
      <c r="L155" s="40"/>
      <c r="M155" s="40"/>
      <c r="N155" s="40"/>
    </row>
    <row r="156" spans="1:14" ht="18" customHeight="1" x14ac:dyDescent="0.25">
      <c r="A156" s="21"/>
      <c r="B156" s="23" t="s">
        <v>95</v>
      </c>
      <c r="C156" s="22" t="s">
        <v>96</v>
      </c>
      <c r="D156" s="22" t="s">
        <v>97</v>
      </c>
      <c r="E156" s="21"/>
      <c r="F156" s="21"/>
      <c r="G156" s="21"/>
    </row>
    <row r="157" spans="1:14" ht="17.100000000000001" customHeight="1" x14ac:dyDescent="0.25">
      <c r="A157" s="21"/>
      <c r="B157" s="4" t="s">
        <v>98</v>
      </c>
      <c r="C157" s="24">
        <v>225.44409999999999</v>
      </c>
      <c r="D157" s="24">
        <v>236.36429999999999</v>
      </c>
      <c r="E157" s="21"/>
      <c r="F157" s="18"/>
      <c r="G157" s="25"/>
    </row>
    <row r="158" spans="1:14" ht="17.100000000000001" customHeight="1" x14ac:dyDescent="0.25">
      <c r="A158" s="21"/>
      <c r="B158" s="4" t="s">
        <v>242</v>
      </c>
      <c r="C158" s="24">
        <v>34.1248</v>
      </c>
      <c r="D158" s="24">
        <v>35.777700000000003</v>
      </c>
      <c r="E158" s="21"/>
      <c r="F158" s="18"/>
      <c r="G158" s="25"/>
    </row>
    <row r="159" spans="1:14" ht="17.100000000000001" customHeight="1" x14ac:dyDescent="0.25">
      <c r="A159" s="21"/>
      <c r="B159" s="4" t="s">
        <v>99</v>
      </c>
      <c r="C159" s="24">
        <v>207.31319999999999</v>
      </c>
      <c r="D159" s="24">
        <v>217.14920000000001</v>
      </c>
      <c r="E159" s="21"/>
      <c r="F159" s="18"/>
      <c r="G159" s="25"/>
    </row>
    <row r="160" spans="1:14" ht="17.100000000000001" customHeight="1" x14ac:dyDescent="0.25">
      <c r="A160" s="21"/>
      <c r="B160" s="4" t="s">
        <v>243</v>
      </c>
      <c r="C160" s="24">
        <v>30.537700000000001</v>
      </c>
      <c r="D160" s="24">
        <v>31.986599999999999</v>
      </c>
      <c r="E160" s="21"/>
      <c r="F160" s="18"/>
      <c r="G160" s="25"/>
    </row>
    <row r="161" spans="1:7" ht="14.1" customHeight="1" x14ac:dyDescent="0.25">
      <c r="A161" s="21"/>
      <c r="B161" s="21"/>
      <c r="C161" s="21"/>
      <c r="D161" s="21"/>
      <c r="E161" s="21"/>
      <c r="F161" s="21"/>
      <c r="G161" s="21"/>
    </row>
    <row r="162" spans="1:7" ht="17.100000000000001" customHeight="1" x14ac:dyDescent="0.25">
      <c r="A162" s="21"/>
      <c r="B162" s="42" t="s">
        <v>244</v>
      </c>
      <c r="C162" s="43"/>
      <c r="D162" s="2" t="s">
        <v>91</v>
      </c>
      <c r="E162" s="21"/>
      <c r="F162" s="21"/>
      <c r="G162" s="21"/>
    </row>
    <row r="163" spans="1:7" ht="18" customHeight="1" x14ac:dyDescent="0.25">
      <c r="A163" s="21"/>
      <c r="B163" s="26"/>
      <c r="C163" s="26"/>
      <c r="D163" s="26"/>
      <c r="E163" s="21"/>
      <c r="F163" s="21"/>
      <c r="G163" s="21"/>
    </row>
    <row r="164" spans="1:7" ht="29.1" customHeight="1" x14ac:dyDescent="0.25">
      <c r="A164" s="21"/>
      <c r="B164" s="42" t="s">
        <v>100</v>
      </c>
      <c r="C164" s="43"/>
      <c r="D164" s="2" t="s">
        <v>91</v>
      </c>
      <c r="E164" s="27"/>
      <c r="F164" s="21"/>
      <c r="G164" s="21"/>
    </row>
    <row r="165" spans="1:7" ht="29.1" customHeight="1" x14ac:dyDescent="0.25">
      <c r="A165" s="21"/>
      <c r="B165" s="42" t="s">
        <v>101</v>
      </c>
      <c r="C165" s="43"/>
      <c r="D165" s="2" t="s">
        <v>91</v>
      </c>
      <c r="E165" s="27"/>
      <c r="F165" s="21"/>
      <c r="G165" s="21"/>
    </row>
    <row r="166" spans="1:7" ht="17.100000000000001" customHeight="1" x14ac:dyDescent="0.25">
      <c r="A166" s="21"/>
      <c r="B166" s="42" t="s">
        <v>102</v>
      </c>
      <c r="C166" s="43"/>
      <c r="D166" s="2" t="s">
        <v>91</v>
      </c>
      <c r="E166" s="27"/>
      <c r="F166" s="21"/>
      <c r="G166" s="21"/>
    </row>
    <row r="167" spans="1:7" ht="17.100000000000001" customHeight="1" x14ac:dyDescent="0.25">
      <c r="A167" s="21"/>
      <c r="B167" s="42" t="s">
        <v>103</v>
      </c>
      <c r="C167" s="43"/>
      <c r="D167" s="28">
        <v>0.48858109157252294</v>
      </c>
      <c r="E167" s="21"/>
      <c r="F167" s="18"/>
      <c r="G167" s="25"/>
    </row>
  </sheetData>
  <mergeCells count="14">
    <mergeCell ref="B167:C167"/>
    <mergeCell ref="B153:C153"/>
    <mergeCell ref="B154:C154"/>
    <mergeCell ref="B162:C162"/>
    <mergeCell ref="B164:C164"/>
    <mergeCell ref="B165:C165"/>
    <mergeCell ref="B166:C166"/>
    <mergeCell ref="J2:N2"/>
    <mergeCell ref="B152:C152"/>
    <mergeCell ref="B149:F149"/>
    <mergeCell ref="B151:D151"/>
    <mergeCell ref="A1:H1"/>
    <mergeCell ref="A2:H2"/>
    <mergeCell ref="A3:H3"/>
  </mergeCells>
  <hyperlinks>
    <hyperlink ref="I1" location="Index!B14" display="Index" xr:uid="{E4F6DA59-9216-47B6-9065-806F1689D654}"/>
  </hyperlink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Mutual</dc:creator>
  <cp:lastModifiedBy>RAMESH RAJU</cp:lastModifiedBy>
  <dcterms:created xsi:type="dcterms:W3CDTF">2024-01-02T09:28:08Z</dcterms:created>
  <dcterms:modified xsi:type="dcterms:W3CDTF">2025-09-16T19:58:08Z</dcterms:modified>
</cp:coreProperties>
</file>