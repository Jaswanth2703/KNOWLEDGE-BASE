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tu\OneDrive\Desktop\Mutual Fund Data\Sundaram Small Cap Fund\year-1\"/>
    </mc:Choice>
  </mc:AlternateContent>
  <xr:revisionPtr revIDLastSave="0" documentId="13_ncr:1_{EF7F9E09-698F-418E-B17D-D54AF3853B40}" xr6:coauthVersionLast="47" xr6:coauthVersionMax="47" xr10:uidLastSave="{00000000-0000-0000-0000-000000000000}"/>
  <bookViews>
    <workbookView xWindow="-108" yWindow="-108" windowWidth="23256" windowHeight="13176" tabRatio="942" xr2:uid="{00000000-000D-0000-FFFF-FFFF00000000}"/>
  </bookViews>
  <sheets>
    <sheet name="SMILE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4" l="1"/>
  <c r="G87" i="14" l="1"/>
  <c r="F87" i="14"/>
</calcChain>
</file>

<file path=xl/sharedStrings.xml><?xml version="1.0" encoding="utf-8"?>
<sst xmlns="http://schemas.openxmlformats.org/spreadsheetml/2006/main" count="342" uniqueCount="245">
  <si>
    <t>SUNDARAM MUTUAL FUND</t>
  </si>
  <si>
    <t>SL No</t>
  </si>
  <si>
    <t>ISIN Code</t>
  </si>
  <si>
    <t>Name of the instrument</t>
  </si>
  <si>
    <t>Rating / 
Industry</t>
  </si>
  <si>
    <t>Quantity</t>
  </si>
  <si>
    <t>Mkt Value
Rs. in Lacs</t>
  </si>
  <si>
    <t>% of Net Asset</t>
  </si>
  <si>
    <t>A) Equity &amp; Equity Related</t>
  </si>
  <si>
    <t>(a) Listed / awaiting listing on Stock Exchange</t>
  </si>
  <si>
    <t>Construction</t>
  </si>
  <si>
    <t>Cement &amp; Cement Products</t>
  </si>
  <si>
    <t>Banks</t>
  </si>
  <si>
    <t>Industrial Products</t>
  </si>
  <si>
    <t>INE062A01020</t>
  </si>
  <si>
    <t>State Bank of India</t>
  </si>
  <si>
    <t>INE999A01015</t>
  </si>
  <si>
    <t>KSB LTD</t>
  </si>
  <si>
    <t>Aerospace &amp; Defense</t>
  </si>
  <si>
    <t>Electrical Equipment</t>
  </si>
  <si>
    <t>INE195J01029</t>
  </si>
  <si>
    <t>PNC Infratech Ltd</t>
  </si>
  <si>
    <t>INE878B01027</t>
  </si>
  <si>
    <t>KEI Industries Ltd</t>
  </si>
  <si>
    <t>Transport Services</t>
  </si>
  <si>
    <t>Agricultural, Commercial &amp; Construction Vehicles</t>
  </si>
  <si>
    <t>INE634I01029</t>
  </si>
  <si>
    <t>KNR Construction Ltd</t>
  </si>
  <si>
    <t>INE935N01020</t>
  </si>
  <si>
    <t>Dixon Technologies (India) Ltd</t>
  </si>
  <si>
    <t>Consumer Durables</t>
  </si>
  <si>
    <t>INE152M01016</t>
  </si>
  <si>
    <t>Triveni Turbine Ltd</t>
  </si>
  <si>
    <t>Auto Components</t>
  </si>
  <si>
    <t>INE073K01018</t>
  </si>
  <si>
    <t>Sona BLW Precision Forgings Ltd</t>
  </si>
  <si>
    <t>Realty</t>
  </si>
  <si>
    <t>INE864I01014</t>
  </si>
  <si>
    <t>MTAR Technologies Ltd</t>
  </si>
  <si>
    <t>INE791I01019</t>
  </si>
  <si>
    <t>Brigade Enterprises Ltd</t>
  </si>
  <si>
    <t>INE419M01027</t>
  </si>
  <si>
    <t>TD Power Systems Ltd</t>
  </si>
  <si>
    <t>INE823G01014</t>
  </si>
  <si>
    <t>JK Cement Ltd</t>
  </si>
  <si>
    <t>Automobiles</t>
  </si>
  <si>
    <t>INE284S01014</t>
  </si>
  <si>
    <t>S.J.S. Enterprises Ltd</t>
  </si>
  <si>
    <t>INE258A01016</t>
  </si>
  <si>
    <t>BEML Ltd</t>
  </si>
  <si>
    <t>INE340A01012</t>
  </si>
  <si>
    <t>Birla Corporation Ltd</t>
  </si>
  <si>
    <t>Finance</t>
  </si>
  <si>
    <t>INE08ZM01014</t>
  </si>
  <si>
    <t>Green Panel Industries Ltd</t>
  </si>
  <si>
    <t>INE551A01022</t>
  </si>
  <si>
    <t>Engineering Services</t>
  </si>
  <si>
    <t>#</t>
  </si>
  <si>
    <t>Sub Total</t>
  </si>
  <si>
    <t/>
  </si>
  <si>
    <t>(b) Overseas Security</t>
  </si>
  <si>
    <t xml:space="preserve">0 </t>
  </si>
  <si>
    <t>(c) Privately Placed / Unlisted</t>
  </si>
  <si>
    <t>(d) Preference / Right Shares</t>
  </si>
  <si>
    <t>(e) Warrants</t>
  </si>
  <si>
    <t>f) Derivative</t>
  </si>
  <si>
    <t>Total for Equity &amp; Equity Related</t>
  </si>
  <si>
    <t>B) Debt Instruments</t>
  </si>
  <si>
    <t>(b) Privately Placed / Unlisted</t>
  </si>
  <si>
    <t>(c) Govt Security</t>
  </si>
  <si>
    <t>(d) Securitized Debt Instruments</t>
  </si>
  <si>
    <t>Total for Debt Instruments</t>
  </si>
  <si>
    <t>C) Money Market Instruments</t>
  </si>
  <si>
    <t>(a) Certificate of Deposits</t>
  </si>
  <si>
    <t>(b) Commercial Papers</t>
  </si>
  <si>
    <t>(c) Treasury Bills</t>
  </si>
  <si>
    <t>(d) ReverseRepo / TREPS</t>
  </si>
  <si>
    <t>TREPS</t>
  </si>
  <si>
    <t>Reverse Repo</t>
  </si>
  <si>
    <t>Total for Money Market Instruments</t>
  </si>
  <si>
    <t>D) Mutual Fund Units</t>
  </si>
  <si>
    <t>(a) Investment in Mutual Fund Units</t>
  </si>
  <si>
    <t>E) Others</t>
  </si>
  <si>
    <t>(a) Deposits with Commercial Banks</t>
  </si>
  <si>
    <t>(b) Share Application Money pending Allotment</t>
  </si>
  <si>
    <t>Cash and Other Net Current Assets</t>
  </si>
  <si>
    <t>Grand Total</t>
  </si>
  <si>
    <t># percentage to NAV of security is less than 0.01%</t>
  </si>
  <si>
    <t>Notes</t>
  </si>
  <si>
    <t>a) Total securities classified as below investment grade or default provided for and its percentage to NAV</t>
  </si>
  <si>
    <t>Nil</t>
  </si>
  <si>
    <t>c) NAV  per  unit (Rupees per unit)</t>
  </si>
  <si>
    <t>At the 
beginning</t>
  </si>
  <si>
    <t>At the end</t>
  </si>
  <si>
    <t>Option</t>
  </si>
  <si>
    <t>31/07/2023</t>
  </si>
  <si>
    <t>31/08/2023</t>
  </si>
  <si>
    <t>Direct Plan - Growth</t>
  </si>
  <si>
    <t>Regular Plan - Growth</t>
  </si>
  <si>
    <t>e) Total outstanding exposure in derivative instruments at the end of the period</t>
  </si>
  <si>
    <t>f) Total investments in foreign securities /ADR'S/GDR'S at the end of the period</t>
  </si>
  <si>
    <t>g) Repo in corporate debt</t>
  </si>
  <si>
    <t>h) Portfolio Turnover Ratio</t>
  </si>
  <si>
    <t>INE974X01010</t>
  </si>
  <si>
    <t>Tube Investments of India Ltd</t>
  </si>
  <si>
    <t>INE048G01026</t>
  </si>
  <si>
    <t>Navin Fluorine International Ltd</t>
  </si>
  <si>
    <t>Chemicals &amp; Petrochemicals</t>
  </si>
  <si>
    <t>INE134E01011</t>
  </si>
  <si>
    <t>Power Finance Corporation Ltd</t>
  </si>
  <si>
    <t>Retailing</t>
  </si>
  <si>
    <t>Healthcare Services</t>
  </si>
  <si>
    <t>INE262H01013</t>
  </si>
  <si>
    <t>Persistent Systems Ltd</t>
  </si>
  <si>
    <t>Pharmaceuticals &amp; Biotechnology</t>
  </si>
  <si>
    <t>Leisure Services</t>
  </si>
  <si>
    <t>INE149A01033</t>
  </si>
  <si>
    <t>Cholamandalam Financial Holdings Ltd</t>
  </si>
  <si>
    <t>INE591G01017</t>
  </si>
  <si>
    <t>Coforge Ltd</t>
  </si>
  <si>
    <t>INE427F01016</t>
  </si>
  <si>
    <t>Chalet Hotels Ltd</t>
  </si>
  <si>
    <t>INE317I01021</t>
  </si>
  <si>
    <t>Metro Brands Ltd</t>
  </si>
  <si>
    <t>Entertainment</t>
  </si>
  <si>
    <t>Beverages</t>
  </si>
  <si>
    <t>Personal Products</t>
  </si>
  <si>
    <t>INE930H01031</t>
  </si>
  <si>
    <t>K.P.R. Mill Ltd</t>
  </si>
  <si>
    <t>Textiles &amp; Apparels</t>
  </si>
  <si>
    <t>INE040A01034</t>
  </si>
  <si>
    <t>HDFC Bank Ltd</t>
  </si>
  <si>
    <t>INE893J01029</t>
  </si>
  <si>
    <t>Mold-Tek Packaging Ltd</t>
  </si>
  <si>
    <t>INE476A01014</t>
  </si>
  <si>
    <t>Canara Bank</t>
  </si>
  <si>
    <t>INE214T01019</t>
  </si>
  <si>
    <t>LTIMindtree Ltd</t>
  </si>
  <si>
    <t>INE296A01024</t>
  </si>
  <si>
    <t>Bajaj Finance Ltd</t>
  </si>
  <si>
    <t>INE825V01034</t>
  </si>
  <si>
    <t>Vedant Fashions Ltd</t>
  </si>
  <si>
    <t>INE586V01016</t>
  </si>
  <si>
    <t>TCI Express Ltd</t>
  </si>
  <si>
    <t>INE429E01023</t>
  </si>
  <si>
    <t>Safari Industries (India) Ltd</t>
  </si>
  <si>
    <t>INE063P01018</t>
  </si>
  <si>
    <t>Equitas Small Finance Bank Limited</t>
  </si>
  <si>
    <t>INE191H01014</t>
  </si>
  <si>
    <t>PVR INOX Ltd</t>
  </si>
  <si>
    <t>INE477A01020</t>
  </si>
  <si>
    <t>Can Fin Homes Ltd</t>
  </si>
  <si>
    <t>INE745G01035</t>
  </si>
  <si>
    <t>Multi Commodity Exchange of India Ltd</t>
  </si>
  <si>
    <t>Capital Markets</t>
  </si>
  <si>
    <t>INE274F01020</t>
  </si>
  <si>
    <t>Westlife Foodworld Ltd</t>
  </si>
  <si>
    <t>INE295F01017</t>
  </si>
  <si>
    <t>Butterfly Gandhimathi Appliances Ltd</t>
  </si>
  <si>
    <t>INE572A01028</t>
  </si>
  <si>
    <t>JB Chemicals &amp; Pharmaceuticals Ltd</t>
  </si>
  <si>
    <t>INE00WC01027</t>
  </si>
  <si>
    <t>Affle (India) Ltd</t>
  </si>
  <si>
    <t>INE04I401011</t>
  </si>
  <si>
    <t>KPIT Technologies Ltd</t>
  </si>
  <si>
    <t>INE136B01020</t>
  </si>
  <si>
    <t>Cyient Ltd</t>
  </si>
  <si>
    <t>INE120A01034</t>
  </si>
  <si>
    <t>Carborundum Universal Ltd</t>
  </si>
  <si>
    <t>INE743M01012</t>
  </si>
  <si>
    <t>RHI Magnesita India Ltd</t>
  </si>
  <si>
    <t>INE199A01012</t>
  </si>
  <si>
    <t>Procter &amp; Gamble Health Ltd</t>
  </si>
  <si>
    <t>INE227C01017</t>
  </si>
  <si>
    <t>MM Forgings Ltd</t>
  </si>
  <si>
    <t>INE679A01013</t>
  </si>
  <si>
    <t>CSB Bank Ltd</t>
  </si>
  <si>
    <t>Agricultural Food &amp; Other Products</t>
  </si>
  <si>
    <t>Commercial Services &amp; Supplies</t>
  </si>
  <si>
    <t>Sundaram Small Cap Fund</t>
  </si>
  <si>
    <t>INE03QK01018</t>
  </si>
  <si>
    <t>Suven Pharmaceuticals Ltd</t>
  </si>
  <si>
    <t>INE763G01038</t>
  </si>
  <si>
    <t>ICICI Securities Ltd</t>
  </si>
  <si>
    <t>INE944F01028</t>
  </si>
  <si>
    <t>Radico Khaitan Ltd</t>
  </si>
  <si>
    <t>INE725G01011</t>
  </si>
  <si>
    <t>ICRA Ltd</t>
  </si>
  <si>
    <t>INE136S01016</t>
  </si>
  <si>
    <t>Neogen Chemicals Ltd</t>
  </si>
  <si>
    <t>INE334L01012</t>
  </si>
  <si>
    <t>Ujjivan Financial Services Ltd</t>
  </si>
  <si>
    <t>IN9155A01020</t>
  </si>
  <si>
    <t>INE098F01031</t>
  </si>
  <si>
    <t>Amrutanjan Health Care Ltd</t>
  </si>
  <si>
    <t>INE0BV301023</t>
  </si>
  <si>
    <t>CE Info Systems Private Limited</t>
  </si>
  <si>
    <t>INE322A01010</t>
  </si>
  <si>
    <t>Gillette India Ltd</t>
  </si>
  <si>
    <t>INE836A01035</t>
  </si>
  <si>
    <t>Birlasoft Ltd</t>
  </si>
  <si>
    <t>INE0CLI01024</t>
  </si>
  <si>
    <t>Rate Gain Travel Technologies Ltd</t>
  </si>
  <si>
    <t>INE177F01017</t>
  </si>
  <si>
    <t>Kovai Medical Center &amp; Hospital Ltd</t>
  </si>
  <si>
    <t>INE739E01017</t>
  </si>
  <si>
    <t>Cera Sanitaryware Ltd</t>
  </si>
  <si>
    <t>INE094J01016</t>
  </si>
  <si>
    <t>UTI Asset Management Co Ltd</t>
  </si>
  <si>
    <t>INE00F201020</t>
  </si>
  <si>
    <t>Prudent Corporate Advisory Services Ltd</t>
  </si>
  <si>
    <t>INE142Z01019</t>
  </si>
  <si>
    <t>Orient Electric Ltd</t>
  </si>
  <si>
    <t>INE119A01028</t>
  </si>
  <si>
    <t>Balrampur Chini Mills Ltd</t>
  </si>
  <si>
    <t>INE596I01012</t>
  </si>
  <si>
    <t>Computer Age Management Services Ltd</t>
  </si>
  <si>
    <t>INE451A01017</t>
  </si>
  <si>
    <t>Force Motors Ltd</t>
  </si>
  <si>
    <t>INE736A01011</t>
  </si>
  <si>
    <t>Central Depository Services (India) Ltd</t>
  </si>
  <si>
    <t>INE684F01012</t>
  </si>
  <si>
    <t>Firstsource Solutions Ltd</t>
  </si>
  <si>
    <t>INE0BJS01011</t>
  </si>
  <si>
    <t>Go Fashion (India ) Ltd</t>
  </si>
  <si>
    <t>INE423Y01016</t>
  </si>
  <si>
    <t>SBFC Finance Ltd</t>
  </si>
  <si>
    <t>INE342G01023</t>
  </si>
  <si>
    <t>NIIT Learning Systems Ltd</t>
  </si>
  <si>
    <t>Other Consumer Services</t>
  </si>
  <si>
    <t>Hindustan Dorr - Oliver Ltd @</t>
  </si>
  <si>
    <t>b) Total value and percentage of illiquid equity shares @</t>
  </si>
  <si>
    <t>0.00 / #</t>
  </si>
  <si>
    <t>IT - Software</t>
  </si>
  <si>
    <t>IT - Services</t>
  </si>
  <si>
    <t>Tata Motors Ltd - DVR</t>
  </si>
  <si>
    <t>YTM (%)</t>
  </si>
  <si>
    <t>Direct Plan - IDCW</t>
  </si>
  <si>
    <t>Regular Plan - IDCW</t>
  </si>
  <si>
    <t>d) IDCW declared during the period (Rupees per unit)</t>
  </si>
  <si>
    <t>Monthly Portfolio Statement for the month ended 31 August 2023</t>
  </si>
  <si>
    <t>Index</t>
  </si>
  <si>
    <t>Scheme Riskometer</t>
  </si>
  <si>
    <t>Tier I Benchmark Riskometer - Nifty Small Cap 250 TRI</t>
  </si>
  <si>
    <t>Tier II Benchmark Riskometer - Nifty Small Cap 100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</si>
</sst>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[$-1014009]General"/>
    <numFmt numFmtId="165" formatCode="[$-1014009]###0;\(###0\)"/>
    <numFmt numFmtId="166" formatCode="[$-1014009]###0.00;\(###0.00\)"/>
    <numFmt numFmtId="167" formatCode="[$-1014009]###0.00%;\(###0.00%\)"/>
    <numFmt numFmtId="168" formatCode="[$-1014009]#,##0.00\ %;\(#,##0.00\)"/>
    <numFmt numFmtId="169" formatCode="[$-1014009]#.0000"/>
    <numFmt numFmtId="170" formatCode="[$-1014009]#,##0.00%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i/>
      <sz val="10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u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wrapText="1"/>
    </xf>
    <xf numFmtId="0" fontId="2" fillId="0" borderId="0"/>
    <xf numFmtId="0" fontId="9" fillId="0" borderId="0">
      <alignment wrapText="1"/>
    </xf>
    <xf numFmtId="0" fontId="10" fillId="0" borderId="0" applyNumberFormat="0" applyFill="0" applyBorder="0" applyAlignment="0" applyProtection="0">
      <alignment wrapText="1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9" fillId="0" borderId="0">
      <alignment wrapText="1"/>
    </xf>
  </cellStyleXfs>
  <cellXfs count="52">
    <xf numFmtId="0" fontId="0" fillId="0" borderId="0" xfId="0">
      <alignment wrapText="1"/>
    </xf>
    <xf numFmtId="0" fontId="4" fillId="2" borderId="4" xfId="0" applyFont="1" applyFill="1" applyBorder="1" applyAlignment="1">
      <alignment horizontal="right" vertical="top" wrapText="1" readingOrder="1"/>
    </xf>
    <xf numFmtId="0" fontId="5" fillId="2" borderId="4" xfId="0" applyFont="1" applyFill="1" applyBorder="1" applyAlignment="1">
      <alignment horizontal="left" vertical="center" wrapText="1" readingOrder="1"/>
    </xf>
    <xf numFmtId="164" fontId="4" fillId="2" borderId="4" xfId="0" applyNumberFormat="1" applyFont="1" applyFill="1" applyBorder="1" applyAlignment="1">
      <alignment horizontal="right" vertical="center" wrapText="1" readingOrder="1"/>
    </xf>
    <xf numFmtId="0" fontId="4" fillId="2" borderId="4" xfId="0" applyFont="1" applyFill="1" applyBorder="1" applyAlignment="1">
      <alignment horizontal="left" vertical="center" wrapText="1" readingOrder="1"/>
    </xf>
    <xf numFmtId="165" fontId="4" fillId="2" borderId="4" xfId="0" applyNumberFormat="1" applyFont="1" applyFill="1" applyBorder="1" applyAlignment="1">
      <alignment horizontal="right" vertical="center" wrapText="1" readingOrder="1"/>
    </xf>
    <xf numFmtId="166" fontId="4" fillId="2" borderId="4" xfId="0" applyNumberFormat="1" applyFont="1" applyFill="1" applyBorder="1" applyAlignment="1">
      <alignment horizontal="right" vertical="center" wrapText="1" readingOrder="1"/>
    </xf>
    <xf numFmtId="167" fontId="4" fillId="2" borderId="4" xfId="0" applyNumberFormat="1" applyFont="1" applyFill="1" applyBorder="1" applyAlignment="1">
      <alignment horizontal="right" vertical="center" wrapText="1" readingOrder="1"/>
    </xf>
    <xf numFmtId="0" fontId="4" fillId="2" borderId="4" xfId="0" applyFont="1" applyFill="1" applyBorder="1" applyAlignment="1">
      <alignment horizontal="right" vertical="center" wrapText="1" readingOrder="1"/>
    </xf>
    <xf numFmtId="166" fontId="5" fillId="2" borderId="4" xfId="0" applyNumberFormat="1" applyFont="1" applyFill="1" applyBorder="1" applyAlignment="1">
      <alignment horizontal="right" vertical="center" wrapText="1" readingOrder="1"/>
    </xf>
    <xf numFmtId="167" fontId="5" fillId="2" borderId="4" xfId="0" applyNumberFormat="1" applyFont="1" applyFill="1" applyBorder="1" applyAlignment="1">
      <alignment horizontal="right" vertical="center" wrapText="1" readingOrder="1"/>
    </xf>
    <xf numFmtId="0" fontId="6" fillId="2" borderId="4" xfId="0" applyFont="1" applyFill="1" applyBorder="1" applyAlignment="1">
      <alignment horizontal="left" vertical="center" wrapText="1" readingOrder="1"/>
    </xf>
    <xf numFmtId="0" fontId="6" fillId="2" borderId="4" xfId="0" applyFont="1" applyFill="1" applyBorder="1" applyAlignment="1">
      <alignment horizontal="right" vertical="center" wrapText="1" readingOrder="1"/>
    </xf>
    <xf numFmtId="0" fontId="5" fillId="2" borderId="4" xfId="0" applyFont="1" applyFill="1" applyBorder="1" applyAlignment="1">
      <alignment horizontal="right" vertical="center" wrapText="1" readingOrder="1"/>
    </xf>
    <xf numFmtId="168" fontId="5" fillId="2" borderId="4" xfId="0" applyNumberFormat="1" applyFont="1" applyFill="1" applyBorder="1" applyAlignment="1">
      <alignment horizontal="right" vertical="center" wrapText="1" readingOrder="1"/>
    </xf>
    <xf numFmtId="0" fontId="6" fillId="2" borderId="5" xfId="0" applyFont="1" applyFill="1" applyBorder="1" applyAlignment="1">
      <alignment horizontal="left" vertical="center" wrapText="1" readingOrder="1"/>
    </xf>
    <xf numFmtId="0" fontId="6" fillId="2" borderId="5" xfId="0" applyFont="1" applyFill="1" applyBorder="1" applyAlignment="1">
      <alignment horizontal="right" vertical="center" wrapText="1" readingOrder="1"/>
    </xf>
    <xf numFmtId="0" fontId="6" fillId="2" borderId="0" xfId="0" applyFont="1" applyFill="1" applyAlignment="1">
      <alignment horizontal="left" vertical="center" wrapText="1" readingOrder="1"/>
    </xf>
    <xf numFmtId="0" fontId="4" fillId="2" borderId="0" xfId="0" applyFont="1" applyFill="1" applyAlignment="1">
      <alignment horizontal="left" vertical="center" wrapText="1" readingOrder="1"/>
    </xf>
    <xf numFmtId="0" fontId="6" fillId="2" borderId="0" xfId="0" applyFont="1" applyFill="1" applyAlignment="1">
      <alignment horizontal="right" vertical="center" wrapText="1" readingOrder="1"/>
    </xf>
    <xf numFmtId="0" fontId="6" fillId="2" borderId="6" xfId="0" applyFont="1" applyFill="1" applyBorder="1" applyAlignment="1">
      <alignment horizontal="right" vertical="center" wrapText="1" readingOrder="1"/>
    </xf>
    <xf numFmtId="0" fontId="4" fillId="2" borderId="0" xfId="0" applyFont="1" applyFill="1" applyAlignment="1">
      <alignment horizontal="right" vertical="top" wrapText="1" readingOrder="1"/>
    </xf>
    <xf numFmtId="0" fontId="5" fillId="2" borderId="4" xfId="0" applyFont="1" applyFill="1" applyBorder="1" applyAlignment="1">
      <alignment horizontal="right" vertical="top" wrapText="1" readingOrder="1"/>
    </xf>
    <xf numFmtId="0" fontId="5" fillId="2" borderId="4" xfId="0" applyFont="1" applyFill="1" applyBorder="1" applyAlignment="1">
      <alignment horizontal="left" vertical="top" wrapText="1" readingOrder="1"/>
    </xf>
    <xf numFmtId="169" fontId="4" fillId="2" borderId="4" xfId="0" applyNumberFormat="1" applyFont="1" applyFill="1" applyBorder="1" applyAlignment="1">
      <alignment horizontal="right" vertical="center" wrapText="1" readingOrder="1"/>
    </xf>
    <xf numFmtId="0" fontId="4" fillId="2" borderId="0" xfId="0" applyFont="1" applyFill="1" applyAlignment="1">
      <alignment horizontal="right" vertical="center" wrapText="1" readingOrder="1"/>
    </xf>
    <xf numFmtId="0" fontId="0" fillId="2" borderId="0" xfId="0" applyFill="1" applyAlignment="1">
      <alignment horizontal="center" vertical="top" readingOrder="1"/>
    </xf>
    <xf numFmtId="0" fontId="4" fillId="2" borderId="6" xfId="0" applyFont="1" applyFill="1" applyBorder="1" applyAlignment="1">
      <alignment horizontal="right" vertical="top" wrapText="1" readingOrder="1"/>
    </xf>
    <xf numFmtId="0" fontId="11" fillId="2" borderId="4" xfId="0" applyFont="1" applyFill="1" applyBorder="1" applyAlignment="1">
      <alignment horizontal="left" vertical="center" wrapText="1" readingOrder="1"/>
    </xf>
    <xf numFmtId="0" fontId="12" fillId="2" borderId="4" xfId="0" applyFont="1" applyFill="1" applyBorder="1" applyAlignment="1">
      <alignment horizontal="left" vertical="center" wrapText="1" readingOrder="1"/>
    </xf>
    <xf numFmtId="166" fontId="11" fillId="2" borderId="4" xfId="0" applyNumberFormat="1" applyFont="1" applyFill="1" applyBorder="1" applyAlignment="1">
      <alignment horizontal="right" vertical="center" wrapText="1" readingOrder="1"/>
    </xf>
    <xf numFmtId="166" fontId="11" fillId="0" borderId="4" xfId="0" applyNumberFormat="1" applyFont="1" applyBorder="1" applyAlignment="1">
      <alignment horizontal="right" vertical="center" wrapText="1" readingOrder="1"/>
    </xf>
    <xf numFmtId="170" fontId="12" fillId="2" borderId="4" xfId="0" applyNumberFormat="1" applyFont="1" applyFill="1" applyBorder="1" applyAlignment="1">
      <alignment horizontal="left" vertical="center" wrapText="1" readingOrder="1"/>
    </xf>
    <xf numFmtId="0" fontId="14" fillId="0" borderId="7" xfId="4" applyFont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0" fontId="15" fillId="3" borderId="0" xfId="3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0" borderId="0" xfId="0" applyAlignment="1"/>
    <xf numFmtId="0" fontId="13" fillId="0" borderId="7" xfId="0" applyFont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center" vertical="center" readingOrder="1"/>
    </xf>
    <xf numFmtId="0" fontId="13" fillId="0" borderId="9" xfId="0" applyFont="1" applyBorder="1" applyAlignment="1">
      <alignment horizontal="center" vertical="center" readingOrder="1"/>
    </xf>
    <xf numFmtId="0" fontId="13" fillId="0" borderId="10" xfId="0" applyFont="1" applyBorder="1" applyAlignment="1">
      <alignment horizontal="center" vertical="center" readingOrder="1"/>
    </xf>
    <xf numFmtId="0" fontId="8" fillId="0" borderId="0" xfId="7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readingOrder="1"/>
    </xf>
    <xf numFmtId="0" fontId="4" fillId="2" borderId="3" xfId="0" applyFont="1" applyFill="1" applyBorder="1" applyAlignment="1">
      <alignment horizontal="left" vertical="center" wrapText="1" readingOrder="1"/>
    </xf>
    <xf numFmtId="0" fontId="11" fillId="2" borderId="1" xfId="0" applyFont="1" applyFill="1" applyBorder="1" applyAlignment="1">
      <alignment horizontal="left" vertical="center" wrapText="1" readingOrder="1"/>
    </xf>
    <xf numFmtId="0" fontId="11" fillId="2" borderId="3" xfId="0" applyFont="1" applyFill="1" applyBorder="1" applyAlignment="1">
      <alignment horizontal="left" vertical="center" wrapText="1" readingOrder="1"/>
    </xf>
    <xf numFmtId="0" fontId="4" fillId="2" borderId="0" xfId="0" applyFont="1" applyFill="1" applyAlignment="1">
      <alignment horizontal="left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5" fillId="2" borderId="2" xfId="0" applyFont="1" applyFill="1" applyBorder="1" applyAlignment="1">
      <alignment horizontal="left" vertical="center" wrapText="1" readingOrder="1"/>
    </xf>
    <xf numFmtId="0" fontId="5" fillId="2" borderId="3" xfId="0" applyFont="1" applyFill="1" applyBorder="1" applyAlignment="1">
      <alignment horizontal="left" vertical="center" wrapText="1" readingOrder="1"/>
    </xf>
  </cellXfs>
  <cellStyles count="8">
    <cellStyle name="Comma 2" xfId="6" xr:uid="{EC87213F-CE1F-4EE2-854F-CF5D9061D96A}"/>
    <cellStyle name="Hyperlink 2" xfId="3" xr:uid="{CAC4A5A3-DB0C-4BCD-A099-93FE90FD6F52}"/>
    <cellStyle name="Normal" xfId="0" builtinId="0"/>
    <cellStyle name="Normal 2" xfId="2" xr:uid="{7F3620D4-3DD9-4928-B296-91E72AF34D8F}"/>
    <cellStyle name="Normal 2 2 3" xfId="5" xr:uid="{FBC7676B-B761-4DFC-87CB-7DD986394F8C}"/>
    <cellStyle name="Normal 2 2 3 2" xfId="1" xr:uid="{35E0EC92-67A5-4AB4-9324-B5E175909D26}"/>
    <cellStyle name="Normal 3" xfId="7" xr:uid="{A7CF8B27-C328-4144-882F-FC6B9C628239}"/>
    <cellStyle name="Normal 4" xfId="4" xr:uid="{C6152C60-6D81-49B7-9CF9-3CCA8295EE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2</xdr:row>
      <xdr:rowOff>171450</xdr:rowOff>
    </xdr:from>
    <xdr:to>
      <xdr:col>14</xdr:col>
      <xdr:colOff>180975</xdr:colOff>
      <xdr:row>10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55521-1DE8-447E-A87B-7D0DC4091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609600"/>
          <a:ext cx="3248025" cy="2025650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14</xdr:row>
      <xdr:rowOff>85726</xdr:rowOff>
    </xdr:from>
    <xdr:to>
      <xdr:col>14</xdr:col>
      <xdr:colOff>114299</xdr:colOff>
      <xdr:row>21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B5045C-2C5B-4637-8535-8C329FDF8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58400" y="3476626"/>
          <a:ext cx="3276599" cy="1724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504826</xdr:colOff>
      <xdr:row>24</xdr:row>
      <xdr:rowOff>190500</xdr:rowOff>
    </xdr:from>
    <xdr:ext cx="3200400" cy="1676400"/>
    <xdr:pic>
      <xdr:nvPicPr>
        <xdr:cNvPr id="4" name="Picture 3">
          <a:extLst>
            <a:ext uri="{FF2B5EF4-FFF2-40B4-BE49-F238E27FC236}">
              <a16:creationId xmlns:a16="http://schemas.microsoft.com/office/drawing/2014/main" id="{21DB85F2-B834-42F2-B9B1-4716C25AF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7926" y="5829300"/>
          <a:ext cx="32004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165"/>
  <sheetViews>
    <sheetView showGridLines="0" tabSelected="1" workbookViewId="0">
      <selection sqref="A1:H1"/>
    </sheetView>
  </sheetViews>
  <sheetFormatPr defaultRowHeight="13.2" x14ac:dyDescent="0.25"/>
  <cols>
    <col min="1" max="1" width="6.88671875" customWidth="1"/>
    <col min="2" max="2" width="20.5546875" customWidth="1"/>
    <col min="3" max="3" width="34.33203125" customWidth="1"/>
    <col min="4" max="4" width="17.88671875" customWidth="1"/>
    <col min="5" max="6" width="19.109375" customWidth="1"/>
    <col min="7" max="7" width="16.44140625" customWidth="1"/>
    <col min="8" max="8" width="8.44140625" bestFit="1" customWidth="1"/>
  </cols>
  <sheetData>
    <row r="1" spans="1:14" ht="18" customHeight="1" x14ac:dyDescent="0.25">
      <c r="A1" s="39" t="s">
        <v>0</v>
      </c>
      <c r="B1" s="39"/>
      <c r="C1" s="39"/>
      <c r="D1" s="39"/>
      <c r="E1" s="39"/>
      <c r="F1" s="39"/>
      <c r="G1" s="39"/>
      <c r="H1" s="39"/>
      <c r="I1" s="36" t="s">
        <v>241</v>
      </c>
    </row>
    <row r="2" spans="1:14" ht="17.100000000000001" customHeight="1" x14ac:dyDescent="0.25">
      <c r="A2" s="40" t="s">
        <v>179</v>
      </c>
      <c r="B2" s="41"/>
      <c r="C2" s="41"/>
      <c r="D2" s="41"/>
      <c r="E2" s="41"/>
      <c r="F2" s="41"/>
      <c r="G2" s="41"/>
      <c r="H2" s="42"/>
      <c r="J2" s="43" t="s">
        <v>242</v>
      </c>
      <c r="K2" s="43"/>
      <c r="L2" s="43"/>
      <c r="M2" s="43"/>
      <c r="N2" s="43"/>
    </row>
    <row r="3" spans="1:14" ht="21" customHeight="1" x14ac:dyDescent="0.25">
      <c r="A3" s="39" t="s">
        <v>240</v>
      </c>
      <c r="B3" s="39"/>
      <c r="C3" s="39"/>
      <c r="D3" s="39"/>
      <c r="E3" s="39"/>
      <c r="F3" s="39"/>
      <c r="G3" s="39"/>
      <c r="H3" s="39"/>
    </row>
    <row r="4" spans="1:14" s="35" customFormat="1" ht="28.8" x14ac:dyDescent="0.25">
      <c r="A4" s="34" t="s">
        <v>1</v>
      </c>
      <c r="B4" s="34" t="s">
        <v>2</v>
      </c>
      <c r="C4" s="34" t="s">
        <v>3</v>
      </c>
      <c r="D4" s="34" t="s">
        <v>4</v>
      </c>
      <c r="E4" s="34" t="s">
        <v>5</v>
      </c>
      <c r="F4" s="34" t="s">
        <v>6</v>
      </c>
      <c r="G4" s="34" t="s">
        <v>7</v>
      </c>
      <c r="H4" s="33" t="s">
        <v>236</v>
      </c>
    </row>
    <row r="5" spans="1:14" ht="14.1" customHeight="1" x14ac:dyDescent="0.25">
      <c r="A5" s="1"/>
      <c r="B5" s="1"/>
      <c r="C5" s="2" t="s">
        <v>8</v>
      </c>
      <c r="D5" s="1"/>
      <c r="E5" s="1"/>
      <c r="F5" s="1"/>
      <c r="G5" s="1"/>
      <c r="H5" s="31"/>
    </row>
    <row r="6" spans="1:14" ht="24" customHeight="1" x14ac:dyDescent="0.25">
      <c r="A6" s="1"/>
      <c r="B6" s="1"/>
      <c r="C6" s="2" t="s">
        <v>9</v>
      </c>
      <c r="D6" s="1"/>
      <c r="E6" s="1"/>
      <c r="F6" s="1"/>
      <c r="G6" s="1"/>
      <c r="H6" s="31"/>
    </row>
    <row r="7" spans="1:14" ht="17.100000000000001" customHeight="1" x14ac:dyDescent="0.25">
      <c r="A7" s="3">
        <v>1</v>
      </c>
      <c r="B7" s="4" t="s">
        <v>22</v>
      </c>
      <c r="C7" s="4" t="s">
        <v>23</v>
      </c>
      <c r="D7" s="4" t="s">
        <v>13</v>
      </c>
      <c r="E7" s="5">
        <v>316388</v>
      </c>
      <c r="F7" s="6">
        <v>8566.2050999999992</v>
      </c>
      <c r="G7" s="7">
        <v>3.3179739999999999E-2</v>
      </c>
      <c r="H7" s="31"/>
    </row>
    <row r="8" spans="1:14" ht="17.100000000000001" customHeight="1" x14ac:dyDescent="0.25">
      <c r="A8" s="3">
        <v>2</v>
      </c>
      <c r="B8" s="4" t="s">
        <v>16</v>
      </c>
      <c r="C8" s="4" t="s">
        <v>17</v>
      </c>
      <c r="D8" s="4" t="s">
        <v>13</v>
      </c>
      <c r="E8" s="5">
        <v>287143</v>
      </c>
      <c r="F8" s="6">
        <v>8016.7454170000001</v>
      </c>
      <c r="G8" s="7">
        <v>3.1051499999999999E-2</v>
      </c>
      <c r="H8" s="31"/>
    </row>
    <row r="9" spans="1:14" ht="17.100000000000001" customHeight="1" x14ac:dyDescent="0.25">
      <c r="A9" s="3">
        <v>3</v>
      </c>
      <c r="B9" s="4" t="s">
        <v>150</v>
      </c>
      <c r="C9" s="4" t="s">
        <v>151</v>
      </c>
      <c r="D9" s="4" t="s">
        <v>52</v>
      </c>
      <c r="E9" s="5">
        <v>1066345</v>
      </c>
      <c r="F9" s="6">
        <v>8011.9831574999998</v>
      </c>
      <c r="G9" s="7">
        <v>3.103305E-2</v>
      </c>
      <c r="H9" s="31"/>
    </row>
    <row r="10" spans="1:14" ht="29.1" customHeight="1" x14ac:dyDescent="0.25">
      <c r="A10" s="3">
        <v>4</v>
      </c>
      <c r="B10" s="4" t="s">
        <v>180</v>
      </c>
      <c r="C10" s="4" t="s">
        <v>181</v>
      </c>
      <c r="D10" s="4" t="s">
        <v>114</v>
      </c>
      <c r="E10" s="5">
        <v>1472149</v>
      </c>
      <c r="F10" s="6">
        <v>7546.9718485000003</v>
      </c>
      <c r="G10" s="7">
        <v>2.923191E-2</v>
      </c>
      <c r="H10" s="31"/>
    </row>
    <row r="11" spans="1:14" ht="17.100000000000001" customHeight="1" x14ac:dyDescent="0.25">
      <c r="A11" s="3">
        <v>5</v>
      </c>
      <c r="B11" s="4" t="s">
        <v>155</v>
      </c>
      <c r="C11" s="4" t="s">
        <v>156</v>
      </c>
      <c r="D11" s="4" t="s">
        <v>115</v>
      </c>
      <c r="E11" s="5">
        <v>740386</v>
      </c>
      <c r="F11" s="6">
        <v>6946.6716450000004</v>
      </c>
      <c r="G11" s="7">
        <v>2.690675E-2</v>
      </c>
      <c r="H11" s="31"/>
    </row>
    <row r="12" spans="1:14" ht="17.100000000000001" customHeight="1" x14ac:dyDescent="0.25">
      <c r="A12" s="3">
        <v>6</v>
      </c>
      <c r="B12" s="4" t="s">
        <v>163</v>
      </c>
      <c r="C12" s="4" t="s">
        <v>164</v>
      </c>
      <c r="D12" s="4" t="s">
        <v>233</v>
      </c>
      <c r="E12" s="5">
        <v>582108</v>
      </c>
      <c r="F12" s="6">
        <v>6845.0079720000003</v>
      </c>
      <c r="G12" s="7">
        <v>2.651297E-2</v>
      </c>
      <c r="H12" s="31"/>
    </row>
    <row r="13" spans="1:14" ht="17.100000000000001" customHeight="1" x14ac:dyDescent="0.25">
      <c r="A13" s="3">
        <v>7</v>
      </c>
      <c r="B13" s="4" t="s">
        <v>144</v>
      </c>
      <c r="C13" s="4" t="s">
        <v>145</v>
      </c>
      <c r="D13" s="4" t="s">
        <v>30</v>
      </c>
      <c r="E13" s="5">
        <v>179292</v>
      </c>
      <c r="F13" s="6">
        <v>6606.1930320000001</v>
      </c>
      <c r="G13" s="7">
        <v>2.5587970000000002E-2</v>
      </c>
      <c r="H13" s="31"/>
      <c r="J13" s="37" t="s">
        <v>243</v>
      </c>
    </row>
    <row r="14" spans="1:14" ht="17.100000000000001" customHeight="1" x14ac:dyDescent="0.25">
      <c r="A14" s="3">
        <v>8</v>
      </c>
      <c r="B14" s="4" t="s">
        <v>182</v>
      </c>
      <c r="C14" s="4" t="s">
        <v>183</v>
      </c>
      <c r="D14" s="4" t="s">
        <v>154</v>
      </c>
      <c r="E14" s="5">
        <v>922157</v>
      </c>
      <c r="F14" s="6">
        <v>5762.0980145000003</v>
      </c>
      <c r="G14" s="7">
        <v>2.231851E-2</v>
      </c>
      <c r="H14" s="31"/>
    </row>
    <row r="15" spans="1:14" ht="17.100000000000001" customHeight="1" x14ac:dyDescent="0.25">
      <c r="A15" s="3">
        <v>9</v>
      </c>
      <c r="B15" s="4" t="s">
        <v>165</v>
      </c>
      <c r="C15" s="4" t="s">
        <v>166</v>
      </c>
      <c r="D15" s="4" t="s">
        <v>234</v>
      </c>
      <c r="E15" s="5">
        <v>342151</v>
      </c>
      <c r="F15" s="6">
        <v>5602.2093985000001</v>
      </c>
      <c r="G15" s="7">
        <v>2.169921E-2</v>
      </c>
      <c r="H15" s="31"/>
    </row>
    <row r="16" spans="1:14" ht="17.100000000000001" customHeight="1" x14ac:dyDescent="0.25">
      <c r="A16" s="3">
        <v>10</v>
      </c>
      <c r="B16" s="4" t="s">
        <v>116</v>
      </c>
      <c r="C16" s="4" t="s">
        <v>117</v>
      </c>
      <c r="D16" s="4" t="s">
        <v>52</v>
      </c>
      <c r="E16" s="5">
        <v>557219</v>
      </c>
      <c r="F16" s="6">
        <v>5483.5921790000002</v>
      </c>
      <c r="G16" s="7">
        <v>2.123976E-2</v>
      </c>
      <c r="H16" s="31"/>
    </row>
    <row r="17" spans="1:10" ht="17.100000000000001" customHeight="1" x14ac:dyDescent="0.25">
      <c r="A17" s="3">
        <v>11</v>
      </c>
      <c r="B17" s="4" t="s">
        <v>184</v>
      </c>
      <c r="C17" s="4" t="s">
        <v>185</v>
      </c>
      <c r="D17" s="4" t="s">
        <v>125</v>
      </c>
      <c r="E17" s="5">
        <v>425000</v>
      </c>
      <c r="F17" s="6">
        <v>5362.2250000000004</v>
      </c>
      <c r="G17" s="7">
        <v>2.076967E-2</v>
      </c>
      <c r="H17" s="31"/>
    </row>
    <row r="18" spans="1:10" ht="17.100000000000001" customHeight="1" x14ac:dyDescent="0.25">
      <c r="A18" s="3">
        <v>12</v>
      </c>
      <c r="B18" s="4" t="s">
        <v>186</v>
      </c>
      <c r="C18" s="4" t="s">
        <v>187</v>
      </c>
      <c r="D18" s="4" t="s">
        <v>154</v>
      </c>
      <c r="E18" s="5">
        <v>85868</v>
      </c>
      <c r="F18" s="6">
        <v>5023.6644059999999</v>
      </c>
      <c r="G18" s="7">
        <v>1.9458309999999999E-2</v>
      </c>
      <c r="H18" s="31"/>
    </row>
    <row r="19" spans="1:10" ht="17.100000000000001" customHeight="1" x14ac:dyDescent="0.25">
      <c r="A19" s="3">
        <v>13</v>
      </c>
      <c r="B19" s="4" t="s">
        <v>152</v>
      </c>
      <c r="C19" s="4" t="s">
        <v>153</v>
      </c>
      <c r="D19" s="4" t="s">
        <v>154</v>
      </c>
      <c r="E19" s="5">
        <v>289997</v>
      </c>
      <c r="F19" s="6">
        <v>4895.8743525</v>
      </c>
      <c r="G19" s="7">
        <v>1.8963339999999999E-2</v>
      </c>
      <c r="H19" s="31"/>
    </row>
    <row r="20" spans="1:10" ht="29.1" customHeight="1" x14ac:dyDescent="0.25">
      <c r="A20" s="3">
        <v>14</v>
      </c>
      <c r="B20" s="4" t="s">
        <v>159</v>
      </c>
      <c r="C20" s="4" t="s">
        <v>160</v>
      </c>
      <c r="D20" s="4" t="s">
        <v>114</v>
      </c>
      <c r="E20" s="5">
        <v>169741</v>
      </c>
      <c r="F20" s="6">
        <v>4699.2795850000002</v>
      </c>
      <c r="G20" s="7">
        <v>1.820186E-2</v>
      </c>
      <c r="H20" s="31"/>
    </row>
    <row r="21" spans="1:10" ht="29.1" customHeight="1" x14ac:dyDescent="0.25">
      <c r="A21" s="3">
        <v>15</v>
      </c>
      <c r="B21" s="4" t="s">
        <v>188</v>
      </c>
      <c r="C21" s="4" t="s">
        <v>189</v>
      </c>
      <c r="D21" s="4" t="s">
        <v>107</v>
      </c>
      <c r="E21" s="5">
        <v>265529</v>
      </c>
      <c r="F21" s="6">
        <v>4534.8370265000003</v>
      </c>
      <c r="G21" s="7">
        <v>1.7564920000000001E-2</v>
      </c>
      <c r="H21" s="31"/>
    </row>
    <row r="22" spans="1:10" ht="17.100000000000001" customHeight="1" x14ac:dyDescent="0.25">
      <c r="A22" s="3">
        <v>16</v>
      </c>
      <c r="B22" s="4" t="s">
        <v>118</v>
      </c>
      <c r="C22" s="4" t="s">
        <v>119</v>
      </c>
      <c r="D22" s="4" t="s">
        <v>233</v>
      </c>
      <c r="E22" s="5">
        <v>82662</v>
      </c>
      <c r="F22" s="6">
        <v>4518.676899</v>
      </c>
      <c r="G22" s="7">
        <v>1.750233E-2</v>
      </c>
      <c r="H22" s="31"/>
    </row>
    <row r="23" spans="1:10" ht="17.100000000000001" customHeight="1" x14ac:dyDescent="0.25">
      <c r="A23" s="3">
        <v>17</v>
      </c>
      <c r="B23" s="4" t="s">
        <v>130</v>
      </c>
      <c r="C23" s="4" t="s">
        <v>131</v>
      </c>
      <c r="D23" s="4" t="s">
        <v>12</v>
      </c>
      <c r="E23" s="5">
        <v>282648</v>
      </c>
      <c r="F23" s="6">
        <v>4441.671996</v>
      </c>
      <c r="G23" s="7">
        <v>1.720406E-2</v>
      </c>
      <c r="H23" s="31"/>
    </row>
    <row r="24" spans="1:10" ht="17.100000000000001" customHeight="1" x14ac:dyDescent="0.25">
      <c r="A24" s="3">
        <v>18</v>
      </c>
      <c r="B24" s="4" t="s">
        <v>167</v>
      </c>
      <c r="C24" s="4" t="s">
        <v>168</v>
      </c>
      <c r="D24" s="4" t="s">
        <v>13</v>
      </c>
      <c r="E24" s="5">
        <v>365000</v>
      </c>
      <c r="F24" s="6">
        <v>4147.3125</v>
      </c>
      <c r="G24" s="7">
        <v>1.6063910000000001E-2</v>
      </c>
      <c r="H24" s="31"/>
      <c r="J24" s="37" t="s">
        <v>244</v>
      </c>
    </row>
    <row r="25" spans="1:10" ht="17.100000000000001" customHeight="1" x14ac:dyDescent="0.25">
      <c r="A25" s="3">
        <v>19</v>
      </c>
      <c r="B25" s="4" t="s">
        <v>39</v>
      </c>
      <c r="C25" s="4" t="s">
        <v>40</v>
      </c>
      <c r="D25" s="4" t="s">
        <v>36</v>
      </c>
      <c r="E25" s="5">
        <v>698780</v>
      </c>
      <c r="F25" s="6">
        <v>4142.3678399999999</v>
      </c>
      <c r="G25" s="7">
        <v>1.6044760000000002E-2</v>
      </c>
      <c r="H25" s="31"/>
    </row>
    <row r="26" spans="1:10" ht="17.100000000000001" customHeight="1" x14ac:dyDescent="0.25">
      <c r="A26" s="3">
        <v>20</v>
      </c>
      <c r="B26" s="4" t="s">
        <v>14</v>
      </c>
      <c r="C26" s="4" t="s">
        <v>15</v>
      </c>
      <c r="D26" s="4" t="s">
        <v>12</v>
      </c>
      <c r="E26" s="5">
        <v>711874</v>
      </c>
      <c r="F26" s="6">
        <v>3996.104699</v>
      </c>
      <c r="G26" s="7">
        <v>1.5478230000000001E-2</v>
      </c>
      <c r="H26" s="31"/>
    </row>
    <row r="27" spans="1:10" ht="17.100000000000001" customHeight="1" x14ac:dyDescent="0.25">
      <c r="A27" s="3">
        <v>21</v>
      </c>
      <c r="B27" s="4" t="s">
        <v>53</v>
      </c>
      <c r="C27" s="4" t="s">
        <v>54</v>
      </c>
      <c r="D27" s="4" t="s">
        <v>30</v>
      </c>
      <c r="E27" s="5">
        <v>1030000</v>
      </c>
      <c r="F27" s="6">
        <v>3893.915</v>
      </c>
      <c r="G27" s="7">
        <v>1.5082419999999999E-2</v>
      </c>
      <c r="H27" s="31"/>
    </row>
    <row r="28" spans="1:10" ht="17.100000000000001" customHeight="1" x14ac:dyDescent="0.25">
      <c r="A28" s="3">
        <v>22</v>
      </c>
      <c r="B28" s="4" t="s">
        <v>148</v>
      </c>
      <c r="C28" s="4" t="s">
        <v>149</v>
      </c>
      <c r="D28" s="4" t="s">
        <v>124</v>
      </c>
      <c r="E28" s="5">
        <v>214613</v>
      </c>
      <c r="F28" s="6">
        <v>3843.6115235000002</v>
      </c>
      <c r="G28" s="7">
        <v>1.4887579999999999E-2</v>
      </c>
      <c r="H28" s="31"/>
    </row>
    <row r="29" spans="1:10" ht="17.100000000000001" customHeight="1" x14ac:dyDescent="0.25">
      <c r="A29" s="3">
        <v>23</v>
      </c>
      <c r="B29" s="4" t="s">
        <v>190</v>
      </c>
      <c r="C29" s="4" t="s">
        <v>191</v>
      </c>
      <c r="D29" s="4" t="s">
        <v>52</v>
      </c>
      <c r="E29" s="5">
        <v>757823</v>
      </c>
      <c r="F29" s="6">
        <v>3681.5041339999998</v>
      </c>
      <c r="G29" s="7">
        <v>1.425968E-2</v>
      </c>
      <c r="H29" s="31"/>
    </row>
    <row r="30" spans="1:10" ht="17.100000000000001" customHeight="1" x14ac:dyDescent="0.25">
      <c r="A30" s="3">
        <v>24</v>
      </c>
      <c r="B30" s="4" t="s">
        <v>108</v>
      </c>
      <c r="C30" s="4" t="s">
        <v>109</v>
      </c>
      <c r="D30" s="4" t="s">
        <v>52</v>
      </c>
      <c r="E30" s="5">
        <v>1403989</v>
      </c>
      <c r="F30" s="6">
        <v>3653.1793779999998</v>
      </c>
      <c r="G30" s="7">
        <v>1.414997E-2</v>
      </c>
      <c r="H30" s="31"/>
    </row>
    <row r="31" spans="1:10" ht="29.1" customHeight="1" x14ac:dyDescent="0.25">
      <c r="A31" s="3">
        <v>25</v>
      </c>
      <c r="B31" s="4" t="s">
        <v>171</v>
      </c>
      <c r="C31" s="4" t="s">
        <v>172</v>
      </c>
      <c r="D31" s="4" t="s">
        <v>114</v>
      </c>
      <c r="E31" s="5">
        <v>72597</v>
      </c>
      <c r="F31" s="6">
        <v>3539.1037500000002</v>
      </c>
      <c r="G31" s="7">
        <v>1.3708120000000001E-2</v>
      </c>
      <c r="H31" s="31"/>
    </row>
    <row r="32" spans="1:10" ht="29.1" customHeight="1" x14ac:dyDescent="0.25">
      <c r="A32" s="3">
        <v>26</v>
      </c>
      <c r="B32" s="4" t="s">
        <v>105</v>
      </c>
      <c r="C32" s="4" t="s">
        <v>106</v>
      </c>
      <c r="D32" s="4" t="s">
        <v>107</v>
      </c>
      <c r="E32" s="5">
        <v>76555</v>
      </c>
      <c r="F32" s="6">
        <v>3525.2429175000002</v>
      </c>
      <c r="G32" s="7">
        <v>1.365443E-2</v>
      </c>
      <c r="H32" s="31"/>
    </row>
    <row r="33" spans="1:8" ht="17.100000000000001" customHeight="1" x14ac:dyDescent="0.25">
      <c r="A33" s="3">
        <v>27</v>
      </c>
      <c r="B33" s="4" t="s">
        <v>146</v>
      </c>
      <c r="C33" s="4" t="s">
        <v>147</v>
      </c>
      <c r="D33" s="4" t="s">
        <v>12</v>
      </c>
      <c r="E33" s="5">
        <v>3812309</v>
      </c>
      <c r="F33" s="6">
        <v>3450.1396450000002</v>
      </c>
      <c r="G33" s="7">
        <v>1.336353E-2</v>
      </c>
      <c r="H33" s="31"/>
    </row>
    <row r="34" spans="1:8" ht="17.100000000000001" customHeight="1" x14ac:dyDescent="0.25">
      <c r="A34" s="3">
        <v>28</v>
      </c>
      <c r="B34" s="4" t="s">
        <v>175</v>
      </c>
      <c r="C34" s="4" t="s">
        <v>176</v>
      </c>
      <c r="D34" s="4" t="s">
        <v>12</v>
      </c>
      <c r="E34" s="5">
        <v>1039359</v>
      </c>
      <c r="F34" s="6">
        <v>3433.0027770000002</v>
      </c>
      <c r="G34" s="7">
        <v>1.3297150000000001E-2</v>
      </c>
      <c r="H34" s="31"/>
    </row>
    <row r="35" spans="1:8" ht="17.100000000000001" customHeight="1" x14ac:dyDescent="0.25">
      <c r="A35" s="3">
        <v>29</v>
      </c>
      <c r="B35" s="4" t="s">
        <v>127</v>
      </c>
      <c r="C35" s="4" t="s">
        <v>128</v>
      </c>
      <c r="D35" s="4" t="s">
        <v>129</v>
      </c>
      <c r="E35" s="5">
        <v>452552</v>
      </c>
      <c r="F35" s="6">
        <v>3428.3076759999999</v>
      </c>
      <c r="G35" s="7">
        <v>1.3278969999999999E-2</v>
      </c>
      <c r="H35" s="31"/>
    </row>
    <row r="36" spans="1:8" ht="29.1" customHeight="1" x14ac:dyDescent="0.25">
      <c r="A36" s="3">
        <v>30</v>
      </c>
      <c r="B36" s="4" t="s">
        <v>37</v>
      </c>
      <c r="C36" s="4" t="s">
        <v>38</v>
      </c>
      <c r="D36" s="4" t="s">
        <v>18</v>
      </c>
      <c r="E36" s="5">
        <v>133616</v>
      </c>
      <c r="F36" s="6">
        <v>3290.2939999999999</v>
      </c>
      <c r="G36" s="7">
        <v>1.274439E-2</v>
      </c>
      <c r="H36" s="31"/>
    </row>
    <row r="37" spans="1:8" ht="17.100000000000001" customHeight="1" x14ac:dyDescent="0.25">
      <c r="A37" s="3">
        <v>31</v>
      </c>
      <c r="B37" s="4" t="s">
        <v>161</v>
      </c>
      <c r="C37" s="4" t="s">
        <v>162</v>
      </c>
      <c r="D37" s="4" t="s">
        <v>234</v>
      </c>
      <c r="E37" s="5">
        <v>303175</v>
      </c>
      <c r="F37" s="6">
        <v>3268.9844374999998</v>
      </c>
      <c r="G37" s="7">
        <v>1.266186E-2</v>
      </c>
      <c r="H37" s="31"/>
    </row>
    <row r="38" spans="1:8" ht="17.100000000000001" customHeight="1" x14ac:dyDescent="0.25">
      <c r="A38" s="3">
        <v>32</v>
      </c>
      <c r="B38" s="4" t="s">
        <v>120</v>
      </c>
      <c r="C38" s="4" t="s">
        <v>121</v>
      </c>
      <c r="D38" s="4" t="s">
        <v>115</v>
      </c>
      <c r="E38" s="5">
        <v>592238</v>
      </c>
      <c r="F38" s="6">
        <v>3264.4158560000001</v>
      </c>
      <c r="G38" s="7">
        <v>1.264416E-2</v>
      </c>
      <c r="H38" s="31"/>
    </row>
    <row r="39" spans="1:8" ht="17.100000000000001" customHeight="1" x14ac:dyDescent="0.25">
      <c r="A39" s="3">
        <v>33</v>
      </c>
      <c r="B39" s="4" t="s">
        <v>136</v>
      </c>
      <c r="C39" s="4" t="s">
        <v>137</v>
      </c>
      <c r="D39" s="4" t="s">
        <v>233</v>
      </c>
      <c r="E39" s="5">
        <v>60512</v>
      </c>
      <c r="F39" s="6">
        <v>3142.630208</v>
      </c>
      <c r="G39" s="7">
        <v>1.217244E-2</v>
      </c>
      <c r="H39" s="31"/>
    </row>
    <row r="40" spans="1:8" ht="17.100000000000001" customHeight="1" x14ac:dyDescent="0.25">
      <c r="A40" s="3">
        <v>34</v>
      </c>
      <c r="B40" s="4" t="s">
        <v>192</v>
      </c>
      <c r="C40" s="28" t="s">
        <v>235</v>
      </c>
      <c r="D40" s="4" t="s">
        <v>45</v>
      </c>
      <c r="E40" s="5">
        <v>772856</v>
      </c>
      <c r="F40" s="6">
        <v>3087.5597200000002</v>
      </c>
      <c r="G40" s="7">
        <v>1.195914E-2</v>
      </c>
      <c r="H40" s="31"/>
    </row>
    <row r="41" spans="1:8" ht="29.1" customHeight="1" x14ac:dyDescent="0.25">
      <c r="A41" s="3">
        <v>35</v>
      </c>
      <c r="B41" s="4" t="s">
        <v>193</v>
      </c>
      <c r="C41" s="4" t="s">
        <v>194</v>
      </c>
      <c r="D41" s="4" t="s">
        <v>114</v>
      </c>
      <c r="E41" s="5">
        <v>484538</v>
      </c>
      <c r="F41" s="6">
        <v>2977.7282789999999</v>
      </c>
      <c r="G41" s="7">
        <v>1.1533720000000001E-2</v>
      </c>
      <c r="H41" s="31"/>
    </row>
    <row r="42" spans="1:8" ht="17.100000000000001" customHeight="1" x14ac:dyDescent="0.25">
      <c r="A42" s="3">
        <v>36</v>
      </c>
      <c r="B42" s="4" t="s">
        <v>31</v>
      </c>
      <c r="C42" s="4" t="s">
        <v>32</v>
      </c>
      <c r="D42" s="4" t="s">
        <v>19</v>
      </c>
      <c r="E42" s="5">
        <v>753193</v>
      </c>
      <c r="F42" s="6">
        <v>2948.3739985000002</v>
      </c>
      <c r="G42" s="7">
        <v>1.1420029999999999E-2</v>
      </c>
      <c r="H42" s="31"/>
    </row>
    <row r="43" spans="1:8" ht="17.100000000000001" customHeight="1" x14ac:dyDescent="0.25">
      <c r="A43" s="3">
        <v>37</v>
      </c>
      <c r="B43" s="4" t="s">
        <v>41</v>
      </c>
      <c r="C43" s="4" t="s">
        <v>42</v>
      </c>
      <c r="D43" s="4" t="s">
        <v>19</v>
      </c>
      <c r="E43" s="5">
        <v>1099317</v>
      </c>
      <c r="F43" s="6">
        <v>2913.1900500000002</v>
      </c>
      <c r="G43" s="7">
        <v>1.128375E-2</v>
      </c>
      <c r="H43" s="31"/>
    </row>
    <row r="44" spans="1:8" ht="29.1" customHeight="1" x14ac:dyDescent="0.25">
      <c r="A44" s="3">
        <v>38</v>
      </c>
      <c r="B44" s="4" t="s">
        <v>50</v>
      </c>
      <c r="C44" s="4" t="s">
        <v>51</v>
      </c>
      <c r="D44" s="4" t="s">
        <v>11</v>
      </c>
      <c r="E44" s="5">
        <v>252888</v>
      </c>
      <c r="F44" s="6">
        <v>2906.5682280000001</v>
      </c>
      <c r="G44" s="7">
        <v>1.12581E-2</v>
      </c>
      <c r="H44" s="31"/>
    </row>
    <row r="45" spans="1:8" ht="17.100000000000001" customHeight="1" x14ac:dyDescent="0.25">
      <c r="A45" s="3">
        <v>39</v>
      </c>
      <c r="B45" s="4" t="s">
        <v>138</v>
      </c>
      <c r="C45" s="4" t="s">
        <v>139</v>
      </c>
      <c r="D45" s="4" t="s">
        <v>52</v>
      </c>
      <c r="E45" s="5">
        <v>40208</v>
      </c>
      <c r="F45" s="6">
        <v>2880.0990400000001</v>
      </c>
      <c r="G45" s="7">
        <v>1.115557E-2</v>
      </c>
      <c r="H45" s="31"/>
    </row>
    <row r="46" spans="1:8" ht="17.100000000000001" customHeight="1" x14ac:dyDescent="0.25">
      <c r="A46" s="3">
        <v>40</v>
      </c>
      <c r="B46" s="4" t="s">
        <v>46</v>
      </c>
      <c r="C46" s="4" t="s">
        <v>47</v>
      </c>
      <c r="D46" s="4" t="s">
        <v>33</v>
      </c>
      <c r="E46" s="5">
        <v>402291</v>
      </c>
      <c r="F46" s="6">
        <v>2756.0956409999999</v>
      </c>
      <c r="G46" s="7">
        <v>1.0675270000000001E-2</v>
      </c>
      <c r="H46" s="31"/>
    </row>
    <row r="47" spans="1:8" ht="17.100000000000001" customHeight="1" x14ac:dyDescent="0.25">
      <c r="A47" s="3">
        <v>41</v>
      </c>
      <c r="B47" s="4" t="s">
        <v>140</v>
      </c>
      <c r="C47" s="4" t="s">
        <v>141</v>
      </c>
      <c r="D47" s="4" t="s">
        <v>110</v>
      </c>
      <c r="E47" s="5">
        <v>210000</v>
      </c>
      <c r="F47" s="6">
        <v>2646.9450000000002</v>
      </c>
      <c r="G47" s="7">
        <v>1.025249E-2</v>
      </c>
      <c r="H47" s="31"/>
    </row>
    <row r="48" spans="1:8" ht="17.100000000000001" customHeight="1" x14ac:dyDescent="0.25">
      <c r="A48" s="3">
        <v>42</v>
      </c>
      <c r="B48" s="4" t="s">
        <v>195</v>
      </c>
      <c r="C48" s="4" t="s">
        <v>196</v>
      </c>
      <c r="D48" s="4" t="s">
        <v>233</v>
      </c>
      <c r="E48" s="5">
        <v>150000</v>
      </c>
      <c r="F48" s="6">
        <v>2623.05</v>
      </c>
      <c r="G48" s="7">
        <v>1.0159939999999999E-2</v>
      </c>
      <c r="H48" s="31"/>
    </row>
    <row r="49" spans="1:8" ht="17.100000000000001" customHeight="1" x14ac:dyDescent="0.25">
      <c r="A49" s="3">
        <v>43</v>
      </c>
      <c r="B49" s="4" t="s">
        <v>197</v>
      </c>
      <c r="C49" s="4" t="s">
        <v>198</v>
      </c>
      <c r="D49" s="4" t="s">
        <v>126</v>
      </c>
      <c r="E49" s="5">
        <v>45640</v>
      </c>
      <c r="F49" s="6">
        <v>2544.45282</v>
      </c>
      <c r="G49" s="7">
        <v>9.8555099999999996E-3</v>
      </c>
      <c r="H49" s="31"/>
    </row>
    <row r="50" spans="1:8" ht="17.100000000000001" customHeight="1" x14ac:dyDescent="0.25">
      <c r="A50" s="3">
        <v>44</v>
      </c>
      <c r="B50" s="4" t="s">
        <v>199</v>
      </c>
      <c r="C50" s="4" t="s">
        <v>200</v>
      </c>
      <c r="D50" s="4" t="s">
        <v>233</v>
      </c>
      <c r="E50" s="5">
        <v>498569</v>
      </c>
      <c r="F50" s="6">
        <v>2541.206193</v>
      </c>
      <c r="G50" s="7">
        <v>9.8429299999999997E-3</v>
      </c>
      <c r="H50" s="31"/>
    </row>
    <row r="51" spans="1:8" ht="17.100000000000001" customHeight="1" x14ac:dyDescent="0.25">
      <c r="A51" s="3">
        <v>45</v>
      </c>
      <c r="B51" s="4" t="s">
        <v>201</v>
      </c>
      <c r="C51" s="4" t="s">
        <v>202</v>
      </c>
      <c r="D51" s="4" t="s">
        <v>233</v>
      </c>
      <c r="E51" s="5">
        <v>420673</v>
      </c>
      <c r="F51" s="6">
        <v>2530.7687679999999</v>
      </c>
      <c r="G51" s="7">
        <v>9.8025000000000004E-3</v>
      </c>
      <c r="H51" s="31"/>
    </row>
    <row r="52" spans="1:8" ht="17.100000000000001" customHeight="1" x14ac:dyDescent="0.25">
      <c r="A52" s="3">
        <v>46</v>
      </c>
      <c r="B52" s="4" t="s">
        <v>203</v>
      </c>
      <c r="C52" s="4" t="s">
        <v>204</v>
      </c>
      <c r="D52" s="4" t="s">
        <v>111</v>
      </c>
      <c r="E52" s="5">
        <v>94501</v>
      </c>
      <c r="F52" s="6">
        <v>2524.8304674999999</v>
      </c>
      <c r="G52" s="7">
        <v>9.7795E-3</v>
      </c>
      <c r="H52" s="31"/>
    </row>
    <row r="53" spans="1:8" ht="17.100000000000001" customHeight="1" x14ac:dyDescent="0.25">
      <c r="A53" s="3">
        <v>47</v>
      </c>
      <c r="B53" s="4" t="s">
        <v>205</v>
      </c>
      <c r="C53" s="4" t="s">
        <v>206</v>
      </c>
      <c r="D53" s="4" t="s">
        <v>30</v>
      </c>
      <c r="E53" s="5">
        <v>26125</v>
      </c>
      <c r="F53" s="6">
        <v>2483.7559999999999</v>
      </c>
      <c r="G53" s="7">
        <v>9.6204099999999994E-3</v>
      </c>
      <c r="H53" s="31"/>
    </row>
    <row r="54" spans="1:8" ht="29.1" customHeight="1" x14ac:dyDescent="0.25">
      <c r="A54" s="3">
        <v>48</v>
      </c>
      <c r="B54" s="4" t="s">
        <v>43</v>
      </c>
      <c r="C54" s="4" t="s">
        <v>44</v>
      </c>
      <c r="D54" s="4" t="s">
        <v>11</v>
      </c>
      <c r="E54" s="5">
        <v>74011</v>
      </c>
      <c r="F54" s="6">
        <v>2439.180527</v>
      </c>
      <c r="G54" s="7">
        <v>9.4477499999999996E-3</v>
      </c>
      <c r="H54" s="31"/>
    </row>
    <row r="55" spans="1:8" ht="17.100000000000001" customHeight="1" x14ac:dyDescent="0.25">
      <c r="A55" s="3">
        <v>49</v>
      </c>
      <c r="B55" s="4" t="s">
        <v>132</v>
      </c>
      <c r="C55" s="4" t="s">
        <v>133</v>
      </c>
      <c r="D55" s="4" t="s">
        <v>13</v>
      </c>
      <c r="E55" s="5">
        <v>255189</v>
      </c>
      <c r="F55" s="6">
        <v>2429.909658</v>
      </c>
      <c r="G55" s="7">
        <v>9.4118399999999994E-3</v>
      </c>
      <c r="H55" s="31"/>
    </row>
    <row r="56" spans="1:8" ht="17.100000000000001" customHeight="1" x14ac:dyDescent="0.25">
      <c r="A56" s="3">
        <v>50</v>
      </c>
      <c r="B56" s="4" t="s">
        <v>103</v>
      </c>
      <c r="C56" s="4" t="s">
        <v>104</v>
      </c>
      <c r="D56" s="4" t="s">
        <v>33</v>
      </c>
      <c r="E56" s="5">
        <v>82456</v>
      </c>
      <c r="F56" s="6">
        <v>2391.6362800000002</v>
      </c>
      <c r="G56" s="7">
        <v>9.2636000000000003E-3</v>
      </c>
      <c r="H56" s="31"/>
    </row>
    <row r="57" spans="1:8" ht="17.100000000000001" customHeight="1" x14ac:dyDescent="0.25">
      <c r="A57" s="3">
        <v>51</v>
      </c>
      <c r="B57" s="4" t="s">
        <v>207</v>
      </c>
      <c r="C57" s="4" t="s">
        <v>208</v>
      </c>
      <c r="D57" s="4" t="s">
        <v>154</v>
      </c>
      <c r="E57" s="5">
        <v>311824</v>
      </c>
      <c r="F57" s="6">
        <v>2333.067168</v>
      </c>
      <c r="G57" s="7">
        <v>9.0367399999999997E-3</v>
      </c>
      <c r="H57" s="31"/>
    </row>
    <row r="58" spans="1:8" ht="17.100000000000001" customHeight="1" x14ac:dyDescent="0.25">
      <c r="A58" s="3">
        <v>52</v>
      </c>
      <c r="B58" s="4" t="s">
        <v>28</v>
      </c>
      <c r="C58" s="4" t="s">
        <v>29</v>
      </c>
      <c r="D58" s="4" t="s">
        <v>30</v>
      </c>
      <c r="E58" s="5">
        <v>46375</v>
      </c>
      <c r="F58" s="6">
        <v>2320.5354375000002</v>
      </c>
      <c r="G58" s="7">
        <v>8.9882E-3</v>
      </c>
      <c r="H58" s="31"/>
    </row>
    <row r="59" spans="1:8" ht="17.100000000000001" customHeight="1" x14ac:dyDescent="0.25">
      <c r="A59" s="3">
        <v>53</v>
      </c>
      <c r="B59" s="4" t="s">
        <v>20</v>
      </c>
      <c r="C59" s="4" t="s">
        <v>21</v>
      </c>
      <c r="D59" s="4" t="s">
        <v>10</v>
      </c>
      <c r="E59" s="5">
        <v>690873</v>
      </c>
      <c r="F59" s="6">
        <v>2293.6983599999999</v>
      </c>
      <c r="G59" s="7">
        <v>8.8842499999999998E-3</v>
      </c>
      <c r="H59" s="31"/>
    </row>
    <row r="60" spans="1:8" ht="17.100000000000001" customHeight="1" x14ac:dyDescent="0.25">
      <c r="A60" s="3">
        <v>54</v>
      </c>
      <c r="B60" s="4" t="s">
        <v>209</v>
      </c>
      <c r="C60" s="4" t="s">
        <v>210</v>
      </c>
      <c r="D60" s="4" t="s">
        <v>154</v>
      </c>
      <c r="E60" s="5">
        <v>203182</v>
      </c>
      <c r="F60" s="6">
        <v>2188.2701400000001</v>
      </c>
      <c r="G60" s="7">
        <v>8.4758899999999998E-3</v>
      </c>
      <c r="H60" s="31"/>
    </row>
    <row r="61" spans="1:8" ht="17.100000000000001" customHeight="1" x14ac:dyDescent="0.25">
      <c r="A61" s="3">
        <v>55</v>
      </c>
      <c r="B61" s="4" t="s">
        <v>169</v>
      </c>
      <c r="C61" s="4" t="s">
        <v>170</v>
      </c>
      <c r="D61" s="4" t="s">
        <v>13</v>
      </c>
      <c r="E61" s="5">
        <v>300000</v>
      </c>
      <c r="F61" s="6">
        <v>2162.85</v>
      </c>
      <c r="G61" s="7">
        <v>8.3774299999999999E-3</v>
      </c>
      <c r="H61" s="31"/>
    </row>
    <row r="62" spans="1:8" ht="17.100000000000001" customHeight="1" x14ac:dyDescent="0.25">
      <c r="A62" s="3">
        <v>56</v>
      </c>
      <c r="B62" s="4" t="s">
        <v>211</v>
      </c>
      <c r="C62" s="4" t="s">
        <v>212</v>
      </c>
      <c r="D62" s="4" t="s">
        <v>30</v>
      </c>
      <c r="E62" s="5">
        <v>884000</v>
      </c>
      <c r="F62" s="6">
        <v>2111.8760000000002</v>
      </c>
      <c r="G62" s="7">
        <v>8.1799899999999998E-3</v>
      </c>
      <c r="H62" s="31"/>
    </row>
    <row r="63" spans="1:8" ht="29.1" customHeight="1" x14ac:dyDescent="0.25">
      <c r="A63" s="3">
        <v>57</v>
      </c>
      <c r="B63" s="4" t="s">
        <v>213</v>
      </c>
      <c r="C63" s="4" t="s">
        <v>214</v>
      </c>
      <c r="D63" s="4" t="s">
        <v>177</v>
      </c>
      <c r="E63" s="5">
        <v>525000</v>
      </c>
      <c r="F63" s="6">
        <v>2047.7625</v>
      </c>
      <c r="G63" s="7">
        <v>7.9316600000000001E-3</v>
      </c>
      <c r="H63" s="31"/>
    </row>
    <row r="64" spans="1:8" ht="53.1" customHeight="1" x14ac:dyDescent="0.25">
      <c r="A64" s="3">
        <v>58</v>
      </c>
      <c r="B64" s="4" t="s">
        <v>48</v>
      </c>
      <c r="C64" s="4" t="s">
        <v>49</v>
      </c>
      <c r="D64" s="4" t="s">
        <v>25</v>
      </c>
      <c r="E64" s="5">
        <v>82013</v>
      </c>
      <c r="F64" s="6">
        <v>2023.0556775</v>
      </c>
      <c r="G64" s="7">
        <v>7.8359599999999995E-3</v>
      </c>
      <c r="H64" s="31"/>
    </row>
    <row r="65" spans="1:8" ht="17.100000000000001" customHeight="1" x14ac:dyDescent="0.25">
      <c r="A65" s="3">
        <v>59</v>
      </c>
      <c r="B65" s="4" t="s">
        <v>34</v>
      </c>
      <c r="C65" s="4" t="s">
        <v>35</v>
      </c>
      <c r="D65" s="4" t="s">
        <v>33</v>
      </c>
      <c r="E65" s="5">
        <v>328271</v>
      </c>
      <c r="F65" s="6">
        <v>1955.1820760000001</v>
      </c>
      <c r="G65" s="7">
        <v>7.5730700000000003E-3</v>
      </c>
      <c r="H65" s="31"/>
    </row>
    <row r="66" spans="1:8" ht="17.100000000000001" customHeight="1" x14ac:dyDescent="0.25">
      <c r="A66" s="3">
        <v>60</v>
      </c>
      <c r="B66" s="4" t="s">
        <v>215</v>
      </c>
      <c r="C66" s="4" t="s">
        <v>216</v>
      </c>
      <c r="D66" s="4" t="s">
        <v>154</v>
      </c>
      <c r="E66" s="5">
        <v>80661</v>
      </c>
      <c r="F66" s="6">
        <v>1916.0617245000001</v>
      </c>
      <c r="G66" s="7">
        <v>7.4215399999999999E-3</v>
      </c>
      <c r="H66" s="31"/>
    </row>
    <row r="67" spans="1:8" ht="17.100000000000001" customHeight="1" x14ac:dyDescent="0.25">
      <c r="A67" s="3">
        <v>61</v>
      </c>
      <c r="B67" s="4" t="s">
        <v>217</v>
      </c>
      <c r="C67" s="4" t="s">
        <v>218</v>
      </c>
      <c r="D67" s="4" t="s">
        <v>45</v>
      </c>
      <c r="E67" s="5">
        <v>54249</v>
      </c>
      <c r="F67" s="6">
        <v>1861.7714309999999</v>
      </c>
      <c r="G67" s="7">
        <v>7.2112599999999997E-3</v>
      </c>
      <c r="H67" s="31"/>
    </row>
    <row r="68" spans="1:8" ht="17.100000000000001" customHeight="1" x14ac:dyDescent="0.25">
      <c r="A68" s="3">
        <v>62</v>
      </c>
      <c r="B68" s="4" t="s">
        <v>219</v>
      </c>
      <c r="C68" s="4" t="s">
        <v>220</v>
      </c>
      <c r="D68" s="4" t="s">
        <v>154</v>
      </c>
      <c r="E68" s="5">
        <v>160942</v>
      </c>
      <c r="F68" s="6">
        <v>1832.244199</v>
      </c>
      <c r="G68" s="7">
        <v>7.0968899999999998E-3</v>
      </c>
      <c r="H68" s="31"/>
    </row>
    <row r="69" spans="1:8" ht="17.100000000000001" customHeight="1" x14ac:dyDescent="0.25">
      <c r="A69" s="3">
        <v>63</v>
      </c>
      <c r="B69" s="4" t="s">
        <v>26</v>
      </c>
      <c r="C69" s="4" t="s">
        <v>27</v>
      </c>
      <c r="D69" s="4" t="s">
        <v>10</v>
      </c>
      <c r="E69" s="5">
        <v>634000</v>
      </c>
      <c r="F69" s="6">
        <v>1747.3040000000001</v>
      </c>
      <c r="G69" s="7">
        <v>6.7678900000000004E-3</v>
      </c>
      <c r="H69" s="31"/>
    </row>
    <row r="70" spans="1:8" ht="17.100000000000001" customHeight="1" x14ac:dyDescent="0.25">
      <c r="A70" s="3">
        <v>64</v>
      </c>
      <c r="B70" s="4" t="s">
        <v>157</v>
      </c>
      <c r="C70" s="4" t="s">
        <v>158</v>
      </c>
      <c r="D70" s="4" t="s">
        <v>30</v>
      </c>
      <c r="E70" s="5">
        <v>143771</v>
      </c>
      <c r="F70" s="6">
        <v>1742.935833</v>
      </c>
      <c r="G70" s="7">
        <v>6.7509700000000002E-3</v>
      </c>
      <c r="H70" s="31"/>
    </row>
    <row r="71" spans="1:8" ht="17.100000000000001" customHeight="1" x14ac:dyDescent="0.25">
      <c r="A71" s="3">
        <v>65</v>
      </c>
      <c r="B71" s="4" t="s">
        <v>134</v>
      </c>
      <c r="C71" s="4" t="s">
        <v>135</v>
      </c>
      <c r="D71" s="4" t="s">
        <v>12</v>
      </c>
      <c r="E71" s="5">
        <v>522077</v>
      </c>
      <c r="F71" s="6">
        <v>1672.734708</v>
      </c>
      <c r="G71" s="7">
        <v>6.4790500000000001E-3</v>
      </c>
      <c r="H71" s="31"/>
    </row>
    <row r="72" spans="1:8" ht="29.1" customHeight="1" x14ac:dyDescent="0.25">
      <c r="A72" s="3">
        <v>66</v>
      </c>
      <c r="B72" s="4" t="s">
        <v>221</v>
      </c>
      <c r="C72" s="4" t="s">
        <v>222</v>
      </c>
      <c r="D72" s="4" t="s">
        <v>178</v>
      </c>
      <c r="E72" s="5">
        <v>1000000</v>
      </c>
      <c r="F72" s="6">
        <v>1632</v>
      </c>
      <c r="G72" s="7">
        <v>6.3212700000000004E-3</v>
      </c>
      <c r="H72" s="31"/>
    </row>
    <row r="73" spans="1:8" ht="17.100000000000001" customHeight="1" x14ac:dyDescent="0.25">
      <c r="A73" s="3">
        <v>67</v>
      </c>
      <c r="B73" s="4" t="s">
        <v>122</v>
      </c>
      <c r="C73" s="4" t="s">
        <v>123</v>
      </c>
      <c r="D73" s="4" t="s">
        <v>30</v>
      </c>
      <c r="E73" s="5">
        <v>155725</v>
      </c>
      <c r="F73" s="6">
        <v>1631.9201375</v>
      </c>
      <c r="G73" s="7">
        <v>6.3209700000000004E-3</v>
      </c>
      <c r="H73" s="31"/>
    </row>
    <row r="74" spans="1:8" ht="17.100000000000001" customHeight="1" x14ac:dyDescent="0.25">
      <c r="A74" s="3">
        <v>68</v>
      </c>
      <c r="B74" s="4" t="s">
        <v>223</v>
      </c>
      <c r="C74" s="4" t="s">
        <v>224</v>
      </c>
      <c r="D74" s="4" t="s">
        <v>110</v>
      </c>
      <c r="E74" s="5">
        <v>103878</v>
      </c>
      <c r="F74" s="6">
        <v>1397.1591000000001</v>
      </c>
      <c r="G74" s="7">
        <v>5.4116600000000004E-3</v>
      </c>
      <c r="H74" s="31"/>
    </row>
    <row r="75" spans="1:8" ht="17.100000000000001" customHeight="1" x14ac:dyDescent="0.25">
      <c r="A75" s="3">
        <v>69</v>
      </c>
      <c r="B75" s="4" t="s">
        <v>173</v>
      </c>
      <c r="C75" s="4" t="s">
        <v>174</v>
      </c>
      <c r="D75" s="4" t="s">
        <v>13</v>
      </c>
      <c r="E75" s="5">
        <v>150000</v>
      </c>
      <c r="F75" s="6">
        <v>1383.9749999999999</v>
      </c>
      <c r="G75" s="7">
        <v>5.3605900000000001E-3</v>
      </c>
      <c r="H75" s="31"/>
    </row>
    <row r="76" spans="1:8" ht="17.100000000000001" customHeight="1" x14ac:dyDescent="0.25">
      <c r="A76" s="3">
        <v>70</v>
      </c>
      <c r="B76" s="4" t="s">
        <v>142</v>
      </c>
      <c r="C76" s="4" t="s">
        <v>143</v>
      </c>
      <c r="D76" s="4" t="s">
        <v>24</v>
      </c>
      <c r="E76" s="5">
        <v>98055</v>
      </c>
      <c r="F76" s="6">
        <v>1377.4766400000001</v>
      </c>
      <c r="G76" s="7">
        <v>5.3354199999999996E-3</v>
      </c>
      <c r="H76" s="31"/>
    </row>
    <row r="77" spans="1:8" ht="17.100000000000001" customHeight="1" x14ac:dyDescent="0.25">
      <c r="A77" s="3">
        <v>71</v>
      </c>
      <c r="B77" s="4" t="s">
        <v>112</v>
      </c>
      <c r="C77" s="4" t="s">
        <v>113</v>
      </c>
      <c r="D77" s="4" t="s">
        <v>233</v>
      </c>
      <c r="E77" s="5">
        <v>22000</v>
      </c>
      <c r="F77" s="6">
        <v>1181.5540000000001</v>
      </c>
      <c r="G77" s="7">
        <v>4.5765500000000004E-3</v>
      </c>
      <c r="H77" s="31"/>
    </row>
    <row r="78" spans="1:8" ht="17.100000000000001" customHeight="1" x14ac:dyDescent="0.25">
      <c r="A78" s="3">
        <v>72</v>
      </c>
      <c r="B78" s="4" t="s">
        <v>225</v>
      </c>
      <c r="C78" s="4" t="s">
        <v>226</v>
      </c>
      <c r="D78" s="4" t="s">
        <v>52</v>
      </c>
      <c r="E78" s="5">
        <v>630505</v>
      </c>
      <c r="F78" s="6">
        <v>554.84439999999995</v>
      </c>
      <c r="G78" s="7">
        <v>2.1491000000000001E-3</v>
      </c>
      <c r="H78" s="31"/>
    </row>
    <row r="79" spans="1:8" ht="29.1" customHeight="1" x14ac:dyDescent="0.25">
      <c r="A79" s="3">
        <v>73</v>
      </c>
      <c r="B79" s="4" t="s">
        <v>227</v>
      </c>
      <c r="C79" s="4" t="s">
        <v>228</v>
      </c>
      <c r="D79" s="4" t="s">
        <v>229</v>
      </c>
      <c r="E79" s="5">
        <v>16887</v>
      </c>
      <c r="F79" s="6">
        <v>64.4492355</v>
      </c>
      <c r="G79" s="7">
        <v>2.4962999999999998E-4</v>
      </c>
      <c r="H79" s="31"/>
    </row>
    <row r="80" spans="1:8" ht="14.1" customHeight="1" x14ac:dyDescent="0.25">
      <c r="A80" s="1"/>
      <c r="B80" s="1"/>
      <c r="C80" s="2" t="s">
        <v>58</v>
      </c>
      <c r="D80" s="1"/>
      <c r="E80" s="1" t="s">
        <v>59</v>
      </c>
      <c r="F80" s="9">
        <v>245622.10181551901</v>
      </c>
      <c r="G80" s="10">
        <v>0.95137548999999999</v>
      </c>
      <c r="H80" s="31"/>
    </row>
    <row r="81" spans="1:8" ht="14.1" customHeight="1" x14ac:dyDescent="0.25">
      <c r="A81" s="1"/>
      <c r="B81" s="1"/>
      <c r="C81" s="11"/>
      <c r="D81" s="1"/>
      <c r="E81" s="1"/>
      <c r="F81" s="12"/>
      <c r="G81" s="12"/>
      <c r="H81" s="31"/>
    </row>
    <row r="82" spans="1:8" ht="14.1" customHeight="1" x14ac:dyDescent="0.25">
      <c r="A82" s="1"/>
      <c r="B82" s="1"/>
      <c r="C82" s="2" t="s">
        <v>60</v>
      </c>
      <c r="D82" s="1"/>
      <c r="E82" s="1"/>
      <c r="F82" s="1"/>
      <c r="G82" s="1"/>
      <c r="H82" s="31"/>
    </row>
    <row r="83" spans="1:8" ht="14.1" customHeight="1" x14ac:dyDescent="0.25">
      <c r="A83" s="1"/>
      <c r="B83" s="1"/>
      <c r="C83" s="2" t="s">
        <v>58</v>
      </c>
      <c r="D83" s="1"/>
      <c r="E83" s="1" t="s">
        <v>59</v>
      </c>
      <c r="F83" s="13" t="s">
        <v>61</v>
      </c>
      <c r="G83" s="10">
        <v>0</v>
      </c>
      <c r="H83" s="31"/>
    </row>
    <row r="84" spans="1:8" ht="14.1" customHeight="1" x14ac:dyDescent="0.25">
      <c r="A84" s="1"/>
      <c r="B84" s="1"/>
      <c r="C84" s="11"/>
      <c r="D84" s="1"/>
      <c r="E84" s="1"/>
      <c r="F84" s="12"/>
      <c r="G84" s="12"/>
      <c r="H84" s="31"/>
    </row>
    <row r="85" spans="1:8" ht="14.1" customHeight="1" x14ac:dyDescent="0.25">
      <c r="A85" s="1"/>
      <c r="B85" s="1"/>
      <c r="C85" s="2" t="s">
        <v>62</v>
      </c>
      <c r="D85" s="1"/>
      <c r="E85" s="1"/>
      <c r="F85" s="1"/>
      <c r="G85" s="1"/>
      <c r="H85" s="31"/>
    </row>
    <row r="86" spans="1:8" ht="17.100000000000001" customHeight="1" x14ac:dyDescent="0.25">
      <c r="A86" s="3">
        <v>1</v>
      </c>
      <c r="B86" s="4" t="s">
        <v>55</v>
      </c>
      <c r="C86" s="28" t="s">
        <v>230</v>
      </c>
      <c r="D86" s="4" t="s">
        <v>56</v>
      </c>
      <c r="E86" s="5">
        <v>375961</v>
      </c>
      <c r="F86" s="6">
        <v>7.5190000000000003E-6</v>
      </c>
      <c r="G86" s="8" t="s">
        <v>57</v>
      </c>
      <c r="H86" s="31"/>
    </row>
    <row r="87" spans="1:8" ht="14.1" customHeight="1" x14ac:dyDescent="0.25">
      <c r="A87" s="1"/>
      <c r="B87" s="1"/>
      <c r="C87" s="2" t="s">
        <v>58</v>
      </c>
      <c r="D87" s="1"/>
      <c r="E87" s="1" t="s">
        <v>59</v>
      </c>
      <c r="F87" s="9">
        <f>SUM(F86)</f>
        <v>7.5190000000000003E-6</v>
      </c>
      <c r="G87" s="10">
        <f>SUM(G86)</f>
        <v>0</v>
      </c>
      <c r="H87" s="31"/>
    </row>
    <row r="88" spans="1:8" ht="14.1" customHeight="1" x14ac:dyDescent="0.25">
      <c r="A88" s="1"/>
      <c r="B88" s="1"/>
      <c r="C88" s="11"/>
      <c r="D88" s="1"/>
      <c r="E88" s="1"/>
      <c r="F88" s="12"/>
      <c r="G88" s="12"/>
      <c r="H88" s="31"/>
    </row>
    <row r="89" spans="1:8" ht="14.1" customHeight="1" x14ac:dyDescent="0.25">
      <c r="A89" s="1"/>
      <c r="B89" s="1"/>
      <c r="C89" s="2" t="s">
        <v>63</v>
      </c>
      <c r="D89" s="1"/>
      <c r="E89" s="1"/>
      <c r="F89" s="1"/>
      <c r="G89" s="1"/>
      <c r="H89" s="31"/>
    </row>
    <row r="90" spans="1:8" ht="14.1" customHeight="1" x14ac:dyDescent="0.25">
      <c r="A90" s="1"/>
      <c r="B90" s="1"/>
      <c r="C90" s="2" t="s">
        <v>58</v>
      </c>
      <c r="D90" s="1"/>
      <c r="E90" s="1" t="s">
        <v>59</v>
      </c>
      <c r="F90" s="13" t="s">
        <v>61</v>
      </c>
      <c r="G90" s="10">
        <v>0</v>
      </c>
      <c r="H90" s="31"/>
    </row>
    <row r="91" spans="1:8" ht="14.1" customHeight="1" x14ac:dyDescent="0.25">
      <c r="A91" s="1"/>
      <c r="B91" s="1"/>
      <c r="C91" s="11"/>
      <c r="D91" s="1"/>
      <c r="E91" s="1"/>
      <c r="F91" s="12"/>
      <c r="G91" s="12"/>
      <c r="H91" s="31"/>
    </row>
    <row r="92" spans="1:8" ht="14.1" customHeight="1" x14ac:dyDescent="0.25">
      <c r="A92" s="1"/>
      <c r="B92" s="1"/>
      <c r="C92" s="2" t="s">
        <v>64</v>
      </c>
      <c r="D92" s="1"/>
      <c r="E92" s="1"/>
      <c r="F92" s="12"/>
      <c r="G92" s="12"/>
      <c r="H92" s="31"/>
    </row>
    <row r="93" spans="1:8" ht="14.1" customHeight="1" x14ac:dyDescent="0.25">
      <c r="A93" s="1"/>
      <c r="B93" s="1"/>
      <c r="C93" s="2" t="s">
        <v>58</v>
      </c>
      <c r="D93" s="1"/>
      <c r="E93" s="1" t="s">
        <v>59</v>
      </c>
      <c r="F93" s="13" t="s">
        <v>61</v>
      </c>
      <c r="G93" s="10">
        <v>0</v>
      </c>
      <c r="H93" s="31"/>
    </row>
    <row r="94" spans="1:8" ht="14.1" customHeight="1" x14ac:dyDescent="0.25">
      <c r="A94" s="1"/>
      <c r="B94" s="1"/>
      <c r="C94" s="11"/>
      <c r="D94" s="1"/>
      <c r="E94" s="1"/>
      <c r="F94" s="12"/>
      <c r="G94" s="12"/>
      <c r="H94" s="31"/>
    </row>
    <row r="95" spans="1:8" ht="14.1" customHeight="1" x14ac:dyDescent="0.25">
      <c r="A95" s="1"/>
      <c r="B95" s="1"/>
      <c r="C95" s="2" t="s">
        <v>65</v>
      </c>
      <c r="D95" s="1"/>
      <c r="E95" s="1"/>
      <c r="F95" s="12"/>
      <c r="G95" s="12"/>
      <c r="H95" s="31"/>
    </row>
    <row r="96" spans="1:8" ht="14.1" customHeight="1" x14ac:dyDescent="0.25">
      <c r="A96" s="1"/>
      <c r="B96" s="1"/>
      <c r="C96" s="2" t="s">
        <v>58</v>
      </c>
      <c r="D96" s="1"/>
      <c r="E96" s="1" t="s">
        <v>59</v>
      </c>
      <c r="F96" s="13" t="s">
        <v>61</v>
      </c>
      <c r="G96" s="10">
        <v>0</v>
      </c>
      <c r="H96" s="31"/>
    </row>
    <row r="97" spans="1:8" ht="14.1" customHeight="1" x14ac:dyDescent="0.25">
      <c r="A97" s="1"/>
      <c r="B97" s="1"/>
      <c r="C97" s="11"/>
      <c r="D97" s="1"/>
      <c r="E97" s="1"/>
      <c r="F97" s="12"/>
      <c r="G97" s="12"/>
      <c r="H97" s="31"/>
    </row>
    <row r="98" spans="1:8" ht="18" customHeight="1" x14ac:dyDescent="0.25">
      <c r="A98" s="1"/>
      <c r="B98" s="1"/>
      <c r="C98" s="2" t="s">
        <v>66</v>
      </c>
      <c r="D98" s="1"/>
      <c r="E98" s="1"/>
      <c r="F98" s="9">
        <v>245622.10181551901</v>
      </c>
      <c r="G98" s="10">
        <v>0.95137548999999999</v>
      </c>
      <c r="H98" s="31"/>
    </row>
    <row r="99" spans="1:8" ht="14.1" customHeight="1" x14ac:dyDescent="0.25">
      <c r="A99" s="1"/>
      <c r="B99" s="1"/>
      <c r="C99" s="11"/>
      <c r="D99" s="1"/>
      <c r="E99" s="1"/>
      <c r="F99" s="12"/>
      <c r="G99" s="12"/>
      <c r="H99" s="31"/>
    </row>
    <row r="100" spans="1:8" ht="14.1" customHeight="1" x14ac:dyDescent="0.25">
      <c r="A100" s="1"/>
      <c r="B100" s="1"/>
      <c r="C100" s="2" t="s">
        <v>67</v>
      </c>
      <c r="D100" s="1"/>
      <c r="E100" s="1"/>
      <c r="F100" s="12"/>
      <c r="G100" s="12"/>
      <c r="H100" s="31"/>
    </row>
    <row r="101" spans="1:8" ht="24" customHeight="1" x14ac:dyDescent="0.25">
      <c r="A101" s="1"/>
      <c r="B101" s="1"/>
      <c r="C101" s="2" t="s">
        <v>9</v>
      </c>
      <c r="D101" s="1"/>
      <c r="E101" s="1"/>
      <c r="F101" s="12"/>
      <c r="G101" s="12"/>
      <c r="H101" s="31"/>
    </row>
    <row r="102" spans="1:8" ht="14.1" customHeight="1" x14ac:dyDescent="0.25">
      <c r="A102" s="1"/>
      <c r="B102" s="1"/>
      <c r="C102" s="2" t="s">
        <v>58</v>
      </c>
      <c r="D102" s="1"/>
      <c r="E102" s="1" t="s">
        <v>59</v>
      </c>
      <c r="F102" s="13" t="s">
        <v>61</v>
      </c>
      <c r="G102" s="10">
        <v>0</v>
      </c>
      <c r="H102" s="31"/>
    </row>
    <row r="103" spans="1:8" ht="14.1" customHeight="1" x14ac:dyDescent="0.25">
      <c r="A103" s="1"/>
      <c r="B103" s="1"/>
      <c r="C103" s="11"/>
      <c r="D103" s="1"/>
      <c r="E103" s="1"/>
      <c r="F103" s="12"/>
      <c r="G103" s="12"/>
      <c r="H103" s="31"/>
    </row>
    <row r="104" spans="1:8" ht="14.1" customHeight="1" x14ac:dyDescent="0.25">
      <c r="A104" s="1"/>
      <c r="B104" s="1"/>
      <c r="C104" s="2" t="s">
        <v>68</v>
      </c>
      <c r="D104" s="1"/>
      <c r="E104" s="1"/>
      <c r="F104" s="1"/>
      <c r="G104" s="1"/>
      <c r="H104" s="31"/>
    </row>
    <row r="105" spans="1:8" ht="14.1" customHeight="1" x14ac:dyDescent="0.25">
      <c r="A105" s="1"/>
      <c r="B105" s="1"/>
      <c r="C105" s="2" t="s">
        <v>58</v>
      </c>
      <c r="D105" s="1"/>
      <c r="E105" s="1" t="s">
        <v>59</v>
      </c>
      <c r="F105" s="13" t="s">
        <v>61</v>
      </c>
      <c r="G105" s="10">
        <v>0</v>
      </c>
      <c r="H105" s="31"/>
    </row>
    <row r="106" spans="1:8" ht="14.1" customHeight="1" x14ac:dyDescent="0.25">
      <c r="A106" s="1"/>
      <c r="B106" s="1"/>
      <c r="C106" s="11"/>
      <c r="D106" s="1"/>
      <c r="E106" s="1"/>
      <c r="F106" s="12"/>
      <c r="G106" s="12"/>
      <c r="H106" s="31"/>
    </row>
    <row r="107" spans="1:8" ht="14.1" customHeight="1" x14ac:dyDescent="0.25">
      <c r="A107" s="1"/>
      <c r="B107" s="1"/>
      <c r="C107" s="2" t="s">
        <v>69</v>
      </c>
      <c r="D107" s="1"/>
      <c r="E107" s="1"/>
      <c r="F107" s="1"/>
      <c r="G107" s="1"/>
      <c r="H107" s="31"/>
    </row>
    <row r="108" spans="1:8" ht="14.1" customHeight="1" x14ac:dyDescent="0.25">
      <c r="A108" s="1"/>
      <c r="B108" s="1"/>
      <c r="C108" s="2" t="s">
        <v>58</v>
      </c>
      <c r="D108" s="1"/>
      <c r="E108" s="1" t="s">
        <v>59</v>
      </c>
      <c r="F108" s="13" t="s">
        <v>61</v>
      </c>
      <c r="G108" s="10">
        <v>0</v>
      </c>
      <c r="H108" s="31"/>
    </row>
    <row r="109" spans="1:8" ht="14.1" customHeight="1" x14ac:dyDescent="0.25">
      <c r="A109" s="1"/>
      <c r="B109" s="1"/>
      <c r="C109" s="11"/>
      <c r="D109" s="1"/>
      <c r="E109" s="1"/>
      <c r="F109" s="12"/>
      <c r="G109" s="12"/>
      <c r="H109" s="31"/>
    </row>
    <row r="110" spans="1:8" ht="14.1" customHeight="1" x14ac:dyDescent="0.25">
      <c r="A110" s="1"/>
      <c r="B110" s="1"/>
      <c r="C110" s="2" t="s">
        <v>70</v>
      </c>
      <c r="D110" s="1"/>
      <c r="E110" s="1"/>
      <c r="F110" s="12"/>
      <c r="G110" s="12"/>
      <c r="H110" s="31"/>
    </row>
    <row r="111" spans="1:8" ht="14.1" customHeight="1" x14ac:dyDescent="0.25">
      <c r="A111" s="1"/>
      <c r="B111" s="1"/>
      <c r="C111" s="2" t="s">
        <v>58</v>
      </c>
      <c r="D111" s="1"/>
      <c r="E111" s="1" t="s">
        <v>59</v>
      </c>
      <c r="F111" s="13" t="s">
        <v>61</v>
      </c>
      <c r="G111" s="10">
        <v>0</v>
      </c>
      <c r="H111" s="31"/>
    </row>
    <row r="112" spans="1:8" ht="14.1" customHeight="1" x14ac:dyDescent="0.25">
      <c r="A112" s="1"/>
      <c r="B112" s="1"/>
      <c r="C112" s="11"/>
      <c r="D112" s="1"/>
      <c r="E112" s="1"/>
      <c r="F112" s="12"/>
      <c r="G112" s="12"/>
      <c r="H112" s="31"/>
    </row>
    <row r="113" spans="1:8" ht="14.1" customHeight="1" x14ac:dyDescent="0.25">
      <c r="A113" s="1"/>
      <c r="B113" s="1"/>
      <c r="C113" s="2" t="s">
        <v>71</v>
      </c>
      <c r="D113" s="1"/>
      <c r="E113" s="1"/>
      <c r="F113" s="9">
        <v>0</v>
      </c>
      <c r="G113" s="10">
        <v>0</v>
      </c>
      <c r="H113" s="31"/>
    </row>
    <row r="114" spans="1:8" ht="14.1" customHeight="1" x14ac:dyDescent="0.25">
      <c r="A114" s="1"/>
      <c r="B114" s="1"/>
      <c r="C114" s="11"/>
      <c r="D114" s="1"/>
      <c r="E114" s="1"/>
      <c r="F114" s="12"/>
      <c r="G114" s="12"/>
      <c r="H114" s="31"/>
    </row>
    <row r="115" spans="1:8" ht="14.1" customHeight="1" x14ac:dyDescent="0.25">
      <c r="A115" s="1"/>
      <c r="B115" s="1"/>
      <c r="C115" s="2" t="s">
        <v>72</v>
      </c>
      <c r="D115" s="1"/>
      <c r="E115" s="1"/>
      <c r="F115" s="12"/>
      <c r="G115" s="12"/>
      <c r="H115" s="31"/>
    </row>
    <row r="116" spans="1:8" ht="14.1" customHeight="1" x14ac:dyDescent="0.25">
      <c r="A116" s="1"/>
      <c r="B116" s="1"/>
      <c r="C116" s="2" t="s">
        <v>73</v>
      </c>
      <c r="D116" s="1"/>
      <c r="E116" s="1"/>
      <c r="F116" s="12"/>
      <c r="G116" s="12"/>
      <c r="H116" s="31"/>
    </row>
    <row r="117" spans="1:8" ht="14.1" customHeight="1" x14ac:dyDescent="0.25">
      <c r="A117" s="1"/>
      <c r="B117" s="1"/>
      <c r="C117" s="2" t="s">
        <v>58</v>
      </c>
      <c r="D117" s="1"/>
      <c r="E117" s="1" t="s">
        <v>59</v>
      </c>
      <c r="F117" s="13" t="s">
        <v>61</v>
      </c>
      <c r="G117" s="10">
        <v>0</v>
      </c>
      <c r="H117" s="31"/>
    </row>
    <row r="118" spans="1:8" ht="14.1" customHeight="1" x14ac:dyDescent="0.25">
      <c r="A118" s="1"/>
      <c r="B118" s="1"/>
      <c r="C118" s="11"/>
      <c r="D118" s="1"/>
      <c r="E118" s="1"/>
      <c r="F118" s="12"/>
      <c r="G118" s="12"/>
      <c r="H118" s="31"/>
    </row>
    <row r="119" spans="1:8" ht="14.1" customHeight="1" x14ac:dyDescent="0.25">
      <c r="A119" s="1"/>
      <c r="B119" s="1"/>
      <c r="C119" s="2" t="s">
        <v>74</v>
      </c>
      <c r="D119" s="1"/>
      <c r="E119" s="1"/>
      <c r="F119" s="12"/>
      <c r="G119" s="12"/>
      <c r="H119" s="31"/>
    </row>
    <row r="120" spans="1:8" ht="14.1" customHeight="1" x14ac:dyDescent="0.25">
      <c r="A120" s="1"/>
      <c r="B120" s="1"/>
      <c r="C120" s="2" t="s">
        <v>58</v>
      </c>
      <c r="D120" s="1"/>
      <c r="E120" s="1" t="s">
        <v>59</v>
      </c>
      <c r="F120" s="13" t="s">
        <v>61</v>
      </c>
      <c r="G120" s="10">
        <v>0</v>
      </c>
      <c r="H120" s="31"/>
    </row>
    <row r="121" spans="1:8" ht="14.1" customHeight="1" x14ac:dyDescent="0.25">
      <c r="A121" s="1"/>
      <c r="B121" s="1"/>
      <c r="C121" s="11"/>
      <c r="D121" s="1"/>
      <c r="E121" s="1"/>
      <c r="F121" s="12"/>
      <c r="G121" s="12"/>
      <c r="H121" s="31"/>
    </row>
    <row r="122" spans="1:8" ht="14.1" customHeight="1" x14ac:dyDescent="0.25">
      <c r="A122" s="1"/>
      <c r="B122" s="1"/>
      <c r="C122" s="2" t="s">
        <v>75</v>
      </c>
      <c r="D122" s="1"/>
      <c r="E122" s="1"/>
      <c r="F122" s="12"/>
      <c r="G122" s="12"/>
      <c r="H122" s="31"/>
    </row>
    <row r="123" spans="1:8" ht="14.1" customHeight="1" x14ac:dyDescent="0.25">
      <c r="A123" s="1"/>
      <c r="B123" s="1"/>
      <c r="C123" s="2" t="s">
        <v>58</v>
      </c>
      <c r="D123" s="1"/>
      <c r="E123" s="1" t="s">
        <v>59</v>
      </c>
      <c r="F123" s="13" t="s">
        <v>61</v>
      </c>
      <c r="G123" s="10">
        <v>0</v>
      </c>
      <c r="H123" s="31"/>
    </row>
    <row r="124" spans="1:8" ht="14.1" customHeight="1" x14ac:dyDescent="0.25">
      <c r="A124" s="1"/>
      <c r="B124" s="1"/>
      <c r="C124" s="11"/>
      <c r="D124" s="1"/>
      <c r="E124" s="1"/>
      <c r="F124" s="12"/>
      <c r="G124" s="12"/>
      <c r="H124" s="31"/>
    </row>
    <row r="125" spans="1:8" ht="14.1" customHeight="1" x14ac:dyDescent="0.25">
      <c r="A125" s="1"/>
      <c r="B125" s="1"/>
      <c r="C125" s="2" t="s">
        <v>76</v>
      </c>
      <c r="D125" s="1"/>
      <c r="E125" s="1"/>
      <c r="F125" s="12"/>
      <c r="G125" s="12"/>
      <c r="H125" s="31"/>
    </row>
    <row r="126" spans="1:8" ht="17.100000000000001" customHeight="1" x14ac:dyDescent="0.25">
      <c r="A126" s="3">
        <v>1</v>
      </c>
      <c r="B126" s="4"/>
      <c r="C126" s="4" t="s">
        <v>77</v>
      </c>
      <c r="D126" s="4"/>
      <c r="E126" s="8"/>
      <c r="F126" s="6">
        <v>8584.9676430109994</v>
      </c>
      <c r="G126" s="7">
        <v>3.3252410000000003E-2</v>
      </c>
      <c r="H126" s="30">
        <v>6.6602331647804478</v>
      </c>
    </row>
    <row r="127" spans="1:8" ht="17.100000000000001" customHeight="1" x14ac:dyDescent="0.25">
      <c r="A127" s="3">
        <v>2</v>
      </c>
      <c r="B127" s="4"/>
      <c r="C127" s="4" t="s">
        <v>78</v>
      </c>
      <c r="D127" s="4"/>
      <c r="E127" s="8"/>
      <c r="F127" s="6">
        <v>6563.4491384000003</v>
      </c>
      <c r="G127" s="7">
        <v>2.5422400000000001E-2</v>
      </c>
      <c r="H127" s="30">
        <v>6.6588225936582406</v>
      </c>
    </row>
    <row r="128" spans="1:8" ht="14.1" customHeight="1" x14ac:dyDescent="0.25">
      <c r="A128" s="1"/>
      <c r="B128" s="1"/>
      <c r="C128" s="2" t="s">
        <v>58</v>
      </c>
      <c r="D128" s="1"/>
      <c r="E128" s="1" t="s">
        <v>59</v>
      </c>
      <c r="F128" s="9">
        <v>15148.416781411001</v>
      </c>
      <c r="G128" s="10">
        <v>5.8674810000000001E-2</v>
      </c>
      <c r="H128" s="31"/>
    </row>
    <row r="129" spans="1:8" ht="14.1" customHeight="1" x14ac:dyDescent="0.25">
      <c r="A129" s="1"/>
      <c r="B129" s="1"/>
      <c r="C129" s="11"/>
      <c r="D129" s="1"/>
      <c r="E129" s="1"/>
      <c r="F129" s="12"/>
      <c r="G129" s="12"/>
      <c r="H129" s="31"/>
    </row>
    <row r="130" spans="1:8" ht="14.1" customHeight="1" x14ac:dyDescent="0.25">
      <c r="A130" s="1"/>
      <c r="B130" s="1"/>
      <c r="C130" s="2" t="s">
        <v>79</v>
      </c>
      <c r="D130" s="1"/>
      <c r="E130" s="1"/>
      <c r="F130" s="9">
        <v>15148.416781411001</v>
      </c>
      <c r="G130" s="10">
        <v>5.8674810000000001E-2</v>
      </c>
      <c r="H130" s="31"/>
    </row>
    <row r="131" spans="1:8" ht="14.1" customHeight="1" x14ac:dyDescent="0.25">
      <c r="A131" s="1"/>
      <c r="B131" s="1"/>
      <c r="C131" s="12"/>
      <c r="D131" s="1"/>
      <c r="E131" s="1"/>
      <c r="F131" s="1"/>
      <c r="G131" s="1"/>
      <c r="H131" s="31"/>
    </row>
    <row r="132" spans="1:8" ht="14.1" customHeight="1" x14ac:dyDescent="0.25">
      <c r="A132" s="1"/>
      <c r="B132" s="1"/>
      <c r="C132" s="2" t="s">
        <v>80</v>
      </c>
      <c r="D132" s="1"/>
      <c r="E132" s="1"/>
      <c r="F132" s="1"/>
      <c r="G132" s="1"/>
      <c r="H132" s="31"/>
    </row>
    <row r="133" spans="1:8" ht="14.1" customHeight="1" x14ac:dyDescent="0.25">
      <c r="A133" s="1"/>
      <c r="B133" s="1"/>
      <c r="C133" s="2" t="s">
        <v>81</v>
      </c>
      <c r="D133" s="1"/>
      <c r="E133" s="1"/>
      <c r="F133" s="1"/>
      <c r="G133" s="1"/>
      <c r="H133" s="31"/>
    </row>
    <row r="134" spans="1:8" ht="14.1" customHeight="1" x14ac:dyDescent="0.25">
      <c r="A134" s="1"/>
      <c r="B134" s="1"/>
      <c r="C134" s="2" t="s">
        <v>58</v>
      </c>
      <c r="D134" s="1"/>
      <c r="E134" s="1" t="s">
        <v>59</v>
      </c>
      <c r="F134" s="13" t="s">
        <v>61</v>
      </c>
      <c r="G134" s="10">
        <v>0</v>
      </c>
      <c r="H134" s="31"/>
    </row>
    <row r="135" spans="1:8" ht="14.1" customHeight="1" x14ac:dyDescent="0.25">
      <c r="A135" s="1"/>
      <c r="B135" s="1"/>
      <c r="C135" s="11"/>
      <c r="D135" s="1"/>
      <c r="E135" s="1"/>
      <c r="F135" s="12"/>
      <c r="G135" s="12"/>
      <c r="H135" s="31"/>
    </row>
    <row r="136" spans="1:8" ht="14.1" customHeight="1" x14ac:dyDescent="0.25">
      <c r="A136" s="1"/>
      <c r="B136" s="1"/>
      <c r="C136" s="2" t="s">
        <v>82</v>
      </c>
      <c r="D136" s="1"/>
      <c r="E136" s="1"/>
      <c r="F136" s="1"/>
      <c r="G136" s="1"/>
      <c r="H136" s="31"/>
    </row>
    <row r="137" spans="1:8" ht="14.1" customHeight="1" x14ac:dyDescent="0.25">
      <c r="A137" s="1"/>
      <c r="B137" s="1"/>
      <c r="C137" s="2" t="s">
        <v>83</v>
      </c>
      <c r="D137" s="1"/>
      <c r="E137" s="1"/>
      <c r="F137" s="1"/>
      <c r="G137" s="1"/>
      <c r="H137" s="31"/>
    </row>
    <row r="138" spans="1:8" ht="14.1" customHeight="1" x14ac:dyDescent="0.25">
      <c r="A138" s="1"/>
      <c r="B138" s="1"/>
      <c r="C138" s="2" t="s">
        <v>58</v>
      </c>
      <c r="D138" s="1"/>
      <c r="E138" s="1" t="s">
        <v>59</v>
      </c>
      <c r="F138" s="13" t="s">
        <v>61</v>
      </c>
      <c r="G138" s="10">
        <v>0</v>
      </c>
      <c r="H138" s="31"/>
    </row>
    <row r="139" spans="1:8" ht="14.1" customHeight="1" x14ac:dyDescent="0.25">
      <c r="A139" s="1"/>
      <c r="B139" s="1"/>
      <c r="C139" s="11"/>
      <c r="D139" s="1"/>
      <c r="E139" s="1"/>
      <c r="F139" s="12"/>
      <c r="G139" s="12"/>
      <c r="H139" s="31"/>
    </row>
    <row r="140" spans="1:8" ht="24" customHeight="1" x14ac:dyDescent="0.25">
      <c r="A140" s="1"/>
      <c r="B140" s="1"/>
      <c r="C140" s="2" t="s">
        <v>84</v>
      </c>
      <c r="D140" s="1"/>
      <c r="E140" s="1"/>
      <c r="F140" s="12"/>
      <c r="G140" s="12"/>
      <c r="H140" s="31"/>
    </row>
    <row r="141" spans="1:8" ht="14.1" customHeight="1" x14ac:dyDescent="0.25">
      <c r="A141" s="1"/>
      <c r="B141" s="1"/>
      <c r="C141" s="2" t="s">
        <v>58</v>
      </c>
      <c r="D141" s="1"/>
      <c r="E141" s="1" t="s">
        <v>59</v>
      </c>
      <c r="F141" s="13" t="s">
        <v>61</v>
      </c>
      <c r="G141" s="10">
        <v>0</v>
      </c>
      <c r="H141" s="31"/>
    </row>
    <row r="142" spans="1:8" ht="14.1" customHeight="1" x14ac:dyDescent="0.25">
      <c r="A142" s="1"/>
      <c r="B142" s="1"/>
      <c r="C142" s="11"/>
      <c r="D142" s="1"/>
      <c r="E142" s="1"/>
      <c r="F142" s="12"/>
      <c r="G142" s="12"/>
      <c r="H142" s="31"/>
    </row>
    <row r="143" spans="1:8" ht="14.1" customHeight="1" x14ac:dyDescent="0.25">
      <c r="A143" s="1"/>
      <c r="B143" s="4"/>
      <c r="C143" s="4"/>
      <c r="D143" s="2"/>
      <c r="E143" s="1"/>
      <c r="F143" s="4"/>
      <c r="G143" s="8"/>
      <c r="H143" s="31"/>
    </row>
    <row r="144" spans="1:8" ht="18" customHeight="1" x14ac:dyDescent="0.25">
      <c r="A144" s="8"/>
      <c r="B144" s="4"/>
      <c r="C144" s="4" t="s">
        <v>85</v>
      </c>
      <c r="D144" s="4"/>
      <c r="E144" s="8"/>
      <c r="F144" s="6">
        <v>-2594.7277571999998</v>
      </c>
      <c r="G144" s="7">
        <f>F144/F145</f>
        <v>-1.00502365026578E-2</v>
      </c>
      <c r="H144" s="31"/>
    </row>
    <row r="145" spans="1:14" ht="14.1" customHeight="1" x14ac:dyDescent="0.25">
      <c r="A145" s="11"/>
      <c r="B145" s="11"/>
      <c r="C145" s="2" t="s">
        <v>86</v>
      </c>
      <c r="D145" s="12"/>
      <c r="E145" s="12"/>
      <c r="F145" s="9">
        <v>258175.79083973001</v>
      </c>
      <c r="G145" s="14">
        <v>1.0000000600000001</v>
      </c>
      <c r="H145" s="31"/>
    </row>
    <row r="146" spans="1:14" ht="14.1" customHeight="1" x14ac:dyDescent="0.25">
      <c r="A146" s="15"/>
      <c r="B146" s="15"/>
      <c r="C146" s="15"/>
      <c r="D146" s="16"/>
      <c r="E146" s="16"/>
      <c r="F146" s="16"/>
      <c r="G146" s="16"/>
    </row>
    <row r="147" spans="1:14" ht="17.100000000000001" customHeight="1" x14ac:dyDescent="0.25">
      <c r="A147" s="17"/>
      <c r="B147" s="48" t="s">
        <v>87</v>
      </c>
      <c r="C147" s="48"/>
      <c r="D147" s="48"/>
      <c r="E147" s="48"/>
      <c r="F147" s="48"/>
      <c r="G147" s="19"/>
    </row>
    <row r="148" spans="1:14" ht="14.1" customHeight="1" x14ac:dyDescent="0.25">
      <c r="A148" s="17"/>
      <c r="B148" s="17"/>
      <c r="C148" s="17"/>
      <c r="D148" s="19"/>
      <c r="E148" s="19"/>
      <c r="F148" s="19"/>
      <c r="G148" s="19"/>
    </row>
    <row r="149" spans="1:14" ht="14.1" customHeight="1" x14ac:dyDescent="0.25">
      <c r="A149" s="17"/>
      <c r="B149" s="49" t="s">
        <v>88</v>
      </c>
      <c r="C149" s="50"/>
      <c r="D149" s="51"/>
      <c r="E149" s="20"/>
      <c r="F149" s="19"/>
      <c r="G149" s="19"/>
    </row>
    <row r="150" spans="1:14" ht="29.1" customHeight="1" x14ac:dyDescent="0.25">
      <c r="A150" s="17"/>
      <c r="B150" s="44" t="s">
        <v>89</v>
      </c>
      <c r="C150" s="45"/>
      <c r="D150" s="2" t="s">
        <v>90</v>
      </c>
      <c r="E150" s="20"/>
      <c r="F150" s="19"/>
      <c r="G150" s="19"/>
    </row>
    <row r="151" spans="1:14" ht="17.100000000000001" customHeight="1" x14ac:dyDescent="0.25">
      <c r="A151" s="17"/>
      <c r="B151" s="46" t="s">
        <v>231</v>
      </c>
      <c r="C151" s="47"/>
      <c r="D151" s="29" t="s">
        <v>232</v>
      </c>
      <c r="E151" s="20"/>
      <c r="F151" s="19"/>
      <c r="G151" s="19"/>
    </row>
    <row r="152" spans="1:14" ht="17.100000000000001" customHeight="1" x14ac:dyDescent="0.25">
      <c r="A152" s="17"/>
      <c r="B152" s="44" t="s">
        <v>91</v>
      </c>
      <c r="C152" s="45"/>
      <c r="D152" s="12" t="s">
        <v>59</v>
      </c>
      <c r="E152" s="20"/>
      <c r="F152" s="19"/>
      <c r="G152" s="19"/>
    </row>
    <row r="153" spans="1:14" ht="24" customHeight="1" x14ac:dyDescent="0.25">
      <c r="A153" s="21"/>
      <c r="B153" s="22" t="s">
        <v>59</v>
      </c>
      <c r="C153" s="22" t="s">
        <v>92</v>
      </c>
      <c r="D153" s="22" t="s">
        <v>93</v>
      </c>
      <c r="E153" s="21"/>
      <c r="F153" s="21"/>
      <c r="G153" s="21"/>
    </row>
    <row r="154" spans="1:14" ht="18" customHeight="1" x14ac:dyDescent="0.25">
      <c r="A154" s="21"/>
      <c r="B154" s="23" t="s">
        <v>94</v>
      </c>
      <c r="C154" s="22" t="s">
        <v>95</v>
      </c>
      <c r="D154" s="22" t="s">
        <v>96</v>
      </c>
      <c r="E154" s="21"/>
      <c r="F154" s="21"/>
      <c r="G154" s="21"/>
    </row>
    <row r="155" spans="1:14" ht="17.100000000000001" customHeight="1" x14ac:dyDescent="0.25">
      <c r="A155" s="21"/>
      <c r="B155" s="4" t="s">
        <v>97</v>
      </c>
      <c r="C155" s="24">
        <v>194.7818</v>
      </c>
      <c r="D155" s="24">
        <v>203.19300000000001</v>
      </c>
      <c r="E155" s="21"/>
      <c r="F155" s="18"/>
      <c r="G155" s="25"/>
    </row>
    <row r="156" spans="1:14" ht="17.100000000000001" customHeight="1" x14ac:dyDescent="0.25">
      <c r="A156" s="21"/>
      <c r="B156" s="4" t="s">
        <v>237</v>
      </c>
      <c r="C156" s="24">
        <v>31.771899999999999</v>
      </c>
      <c r="D156" s="24">
        <v>33.143900000000002</v>
      </c>
      <c r="E156" s="21"/>
      <c r="F156" s="18"/>
      <c r="G156" s="25"/>
      <c r="J156" s="38"/>
      <c r="K156" s="38"/>
      <c r="L156" s="38"/>
      <c r="M156" s="38"/>
      <c r="N156" s="38"/>
    </row>
    <row r="157" spans="1:14" ht="17.100000000000001" customHeight="1" x14ac:dyDescent="0.25">
      <c r="A157" s="21"/>
      <c r="B157" s="4" t="s">
        <v>98</v>
      </c>
      <c r="C157" s="24">
        <v>179.7859</v>
      </c>
      <c r="D157" s="24">
        <v>187.37209999999999</v>
      </c>
      <c r="E157" s="21"/>
      <c r="F157" s="18"/>
      <c r="G157" s="25"/>
    </row>
    <row r="158" spans="1:14" ht="17.100000000000001" customHeight="1" x14ac:dyDescent="0.25">
      <c r="A158" s="21"/>
      <c r="B158" s="4" t="s">
        <v>238</v>
      </c>
      <c r="C158" s="24">
        <v>28.540500000000002</v>
      </c>
      <c r="D158" s="24">
        <v>29.744800000000001</v>
      </c>
      <c r="E158" s="21"/>
      <c r="F158" s="18"/>
      <c r="G158" s="25"/>
    </row>
    <row r="159" spans="1:14" ht="14.1" customHeight="1" x14ac:dyDescent="0.25">
      <c r="A159" s="21"/>
      <c r="B159" s="21"/>
      <c r="C159" s="21"/>
      <c r="D159" s="21"/>
      <c r="E159" s="21"/>
      <c r="F159" s="21"/>
      <c r="G159" s="21"/>
    </row>
    <row r="160" spans="1:14" ht="17.100000000000001" customHeight="1" x14ac:dyDescent="0.25">
      <c r="A160" s="21"/>
      <c r="B160" s="44" t="s">
        <v>239</v>
      </c>
      <c r="C160" s="45"/>
      <c r="D160" s="29" t="s">
        <v>90</v>
      </c>
      <c r="E160" s="21"/>
      <c r="F160" s="21"/>
      <c r="G160" s="21"/>
    </row>
    <row r="161" spans="1:7" ht="18" customHeight="1" x14ac:dyDescent="0.25">
      <c r="A161" s="21"/>
      <c r="B161" s="26"/>
      <c r="C161" s="26"/>
      <c r="D161" s="26"/>
      <c r="E161" s="21"/>
      <c r="F161" s="21"/>
      <c r="G161" s="21"/>
    </row>
    <row r="162" spans="1:7" ht="29.1" customHeight="1" x14ac:dyDescent="0.25">
      <c r="A162" s="21"/>
      <c r="B162" s="44" t="s">
        <v>99</v>
      </c>
      <c r="C162" s="45"/>
      <c r="D162" s="2" t="s">
        <v>90</v>
      </c>
      <c r="E162" s="27"/>
      <c r="F162" s="21"/>
      <c r="G162" s="21"/>
    </row>
    <row r="163" spans="1:7" ht="29.1" customHeight="1" x14ac:dyDescent="0.25">
      <c r="A163" s="21"/>
      <c r="B163" s="44" t="s">
        <v>100</v>
      </c>
      <c r="C163" s="45"/>
      <c r="D163" s="2" t="s">
        <v>90</v>
      </c>
      <c r="E163" s="27"/>
      <c r="F163" s="21"/>
      <c r="G163" s="21"/>
    </row>
    <row r="164" spans="1:7" ht="17.100000000000001" customHeight="1" x14ac:dyDescent="0.25">
      <c r="A164" s="21"/>
      <c r="B164" s="44" t="s">
        <v>101</v>
      </c>
      <c r="C164" s="45"/>
      <c r="D164" s="2" t="s">
        <v>90</v>
      </c>
      <c r="E164" s="27"/>
      <c r="F164" s="21"/>
      <c r="G164" s="21"/>
    </row>
    <row r="165" spans="1:7" ht="17.100000000000001" customHeight="1" x14ac:dyDescent="0.25">
      <c r="A165" s="21"/>
      <c r="B165" s="44" t="s">
        <v>102</v>
      </c>
      <c r="C165" s="45"/>
      <c r="D165" s="32">
        <v>0.38046181870351597</v>
      </c>
      <c r="E165" s="21"/>
      <c r="F165" s="18"/>
      <c r="G165" s="25"/>
    </row>
  </sheetData>
  <mergeCells count="14">
    <mergeCell ref="A1:H1"/>
    <mergeCell ref="A2:H2"/>
    <mergeCell ref="A3:H3"/>
    <mergeCell ref="J2:N2"/>
    <mergeCell ref="B165:C165"/>
    <mergeCell ref="B151:C151"/>
    <mergeCell ref="B152:C152"/>
    <mergeCell ref="B160:C160"/>
    <mergeCell ref="B162:C162"/>
    <mergeCell ref="B163:C163"/>
    <mergeCell ref="B164:C164"/>
    <mergeCell ref="B150:C150"/>
    <mergeCell ref="B147:F147"/>
    <mergeCell ref="B149:D149"/>
  </mergeCells>
  <hyperlinks>
    <hyperlink ref="I1" location="Index!B16" display="Index" xr:uid="{858446F4-15EF-4DB7-A8C7-62FA291E2398}"/>
  </hyperlinks>
  <pageMargins left="5.000000074505806E-2" right="5.000000074505806E-2" top="0.30000001192092896" bottom="0.20000000298023224" header="0" footer="0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Boopathi V - Sundaram Fund Services</dc:creator>
  <cp:lastModifiedBy>RAMESH RAJU</cp:lastModifiedBy>
  <dcterms:created xsi:type="dcterms:W3CDTF">2023-09-02T06:58:50Z</dcterms:created>
  <dcterms:modified xsi:type="dcterms:W3CDTF">2025-09-16T18:47:52Z</dcterms:modified>
</cp:coreProperties>
</file>