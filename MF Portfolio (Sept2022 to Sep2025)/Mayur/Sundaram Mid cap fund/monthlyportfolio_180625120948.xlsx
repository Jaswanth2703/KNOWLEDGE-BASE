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swapna\AppData\Local\Microsoft\Windows\INetCache\Content.Outlook\JQ23XPK4\"/>
    </mc:Choice>
  </mc:AlternateContent>
  <xr:revisionPtr revIDLastSave="0" documentId="13_ncr:1_{6F693F2C-7ABE-4459-96D9-A1D52AD2B956}" xr6:coauthVersionLast="47" xr6:coauthVersionMax="47" xr10:uidLastSave="{00000000-0000-0000-0000-000000000000}"/>
  <bookViews>
    <workbookView xWindow="-120" yWindow="-120" windowWidth="29040" windowHeight="15840" tabRatio="797" xr2:uid="{E7EAB571-466B-4790-90FA-50F5870F8D33}"/>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1" i="10" l="1"/>
  <c r="F72" i="10"/>
  <c r="F86" i="8"/>
  <c r="F85" i="8"/>
  <c r="F144" i="7"/>
  <c r="F99" i="6"/>
  <c r="F100" i="6"/>
  <c r="F152" i="5"/>
  <c r="F151" i="5"/>
  <c r="F105" i="4"/>
  <c r="F110" i="2"/>
  <c r="F109" i="2"/>
  <c r="J148" i="9"/>
  <c r="F13" i="9"/>
  <c r="F30" i="9" s="1"/>
  <c r="F48" i="9" s="1"/>
  <c r="G123" i="8"/>
  <c r="I185" i="7"/>
  <c r="F185" i="7"/>
  <c r="F142" i="7"/>
  <c r="F141" i="7"/>
  <c r="F140" i="7"/>
  <c r="F139" i="7"/>
  <c r="F8" i="7"/>
  <c r="F25" i="7" s="1"/>
  <c r="I160" i="6"/>
  <c r="J160" i="6" s="1"/>
  <c r="I159" i="6"/>
  <c r="J159" i="6" s="1"/>
  <c r="I158" i="6"/>
  <c r="J158" i="6" s="1"/>
  <c r="G158" i="6"/>
  <c r="I157" i="6"/>
  <c r="J157" i="6" s="1"/>
  <c r="I188" i="5"/>
  <c r="F188" i="5"/>
  <c r="F8" i="5"/>
  <c r="F25" i="5" s="1"/>
  <c r="I165" i="4"/>
  <c r="F165" i="4"/>
  <c r="I160" i="4"/>
  <c r="J160" i="4" s="1"/>
  <c r="I159" i="4"/>
  <c r="J159" i="4" s="1"/>
  <c r="I158" i="4"/>
  <c r="J158" i="4" s="1"/>
  <c r="F8" i="4"/>
  <c r="F25" i="4" s="1"/>
  <c r="G89" i="9"/>
  <c r="F89" i="9"/>
  <c r="F99" i="9" s="1"/>
  <c r="G98" i="9" s="1"/>
  <c r="G76" i="8"/>
  <c r="F76" i="8"/>
  <c r="G129" i="7"/>
  <c r="F129" i="7"/>
  <c r="G90" i="6"/>
  <c r="F90" i="6"/>
  <c r="G142" i="5"/>
  <c r="F142" i="5"/>
  <c r="G96" i="4"/>
  <c r="F96" i="4"/>
  <c r="G111" i="3"/>
  <c r="F111" i="3"/>
  <c r="G99" i="2"/>
  <c r="F99" i="2"/>
  <c r="G100" i="1"/>
  <c r="F100" i="1"/>
  <c r="G13" i="9" l="1"/>
  <c r="G30" i="9" s="1"/>
  <c r="G48" i="9" s="1"/>
  <c r="G99" i="9" s="1"/>
  <c r="F145" i="7"/>
  <c r="G144" i="7" l="1"/>
  <c r="H178" i="7"/>
  <c r="H177" i="7"/>
  <c r="H176" i="7"/>
  <c r="H179" i="7"/>
</calcChain>
</file>

<file path=xl/sharedStrings.xml><?xml version="1.0" encoding="utf-8"?>
<sst xmlns="http://schemas.openxmlformats.org/spreadsheetml/2006/main" count="3415" uniqueCount="753">
  <si>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</si>
  <si>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</si>
  <si>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</si>
  <si>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</si>
  <si>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</si>
  <si>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</si>
  <si>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</si>
  <si>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</si>
  <si>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</si>
  <si>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</si>
  <si>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</si>
  <si>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</si>
  <si>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</si>
  <si>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</si>
  <si>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</si>
  <si>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</si>
  <si>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</si>
  <si>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</si>
  <si>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</si>
  <si>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</si>
  <si>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</si>
  <si>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</si>
  <si>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</si>
  <si>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</si>
  <si>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</si>
  <si>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</si>
  <si>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</si>
  <si>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</si>
  <si>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</si>
  <si>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</si>
  <si>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INE261F08EJ7</t>
  </si>
  <si>
    <t>National Bank for Agriculture &amp; Rural Development - 7.64% - 06/12/2029**</t>
  </si>
  <si>
    <t>ICRA AAA</t>
  </si>
  <si>
    <t>INE261F08EH1</t>
  </si>
  <si>
    <t>National Bank for Agriculture &amp; Rural Development - 7.62% - 10/05/2029**</t>
  </si>
  <si>
    <t>INE040A08930</t>
  </si>
  <si>
    <t>HDFC Bank Ltd (Prev HDFC Ltd) - 7.65% - 25/05/2033**</t>
  </si>
  <si>
    <t>INE020B08EK4</t>
  </si>
  <si>
    <t>REC LTD - 7.46% - 30/06/2028**</t>
  </si>
  <si>
    <t>INE053F08304</t>
  </si>
  <si>
    <t>Indian Railway Finance Corporation Ltd - 7.23% - 15/10/2026**</t>
  </si>
  <si>
    <t>INE020B08EL2</t>
  </si>
  <si>
    <t>REC LTD - 7.44% - 30/04/2026**</t>
  </si>
  <si>
    <t>INE134E08MX3</t>
  </si>
  <si>
    <t>Power Finance Corporation Ltd - 7.6% - 13/04/2029**</t>
  </si>
  <si>
    <t>INE242A08544</t>
  </si>
  <si>
    <t>Indian Oil Corporation Ltd - 7.44% - 25/11/2027**</t>
  </si>
  <si>
    <t>INE296A07SV1</t>
  </si>
  <si>
    <t>Bajaj Finance Ltd - 7.82% - 31/01/2034**</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</si>
  <si>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</si>
  <si>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</si>
  <si>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</si>
  <si>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</si>
  <si>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</si>
  <si>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</si>
  <si>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</si>
  <si>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</si>
  <si>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INE134E08IO0</t>
  </si>
  <si>
    <t>Power Finance Corporation Ltd - 7.23% - 05/01/2027**</t>
  </si>
  <si>
    <t>INE752E08783</t>
  </si>
  <si>
    <t>Power Grid Corporation of India Ltd - 6.94% - 15/04/2035**</t>
  </si>
  <si>
    <t>INE0KUG08084</t>
  </si>
  <si>
    <t>National Bank for Financing Infrastructure and Development - 7.04% - 07/04/2035**</t>
  </si>
  <si>
    <t>INE756I07FG5</t>
  </si>
  <si>
    <t>HDB Financial Services Ltd - 7.4091% - 05/06/2028</t>
  </si>
  <si>
    <t>INE134E08NS1</t>
  </si>
  <si>
    <t>Power Finance Corporation Ltd - 6.61% - 15/07/2028**</t>
  </si>
  <si>
    <t>INE115A07MW4</t>
  </si>
  <si>
    <t>LIC Housing Finance Ltd - 7.95% - 29/01/2028**</t>
  </si>
  <si>
    <t>INE756I07EX3</t>
  </si>
  <si>
    <t>HDB Financial Services Ltd - 8.2378% - 06/04/2027**</t>
  </si>
  <si>
    <t>INE556F08KH1</t>
  </si>
  <si>
    <t>Small Industries Development Bank of India - 7.43% - 31/08/2026</t>
  </si>
  <si>
    <t>INE556F08KP4</t>
  </si>
  <si>
    <t>Small Industries Development Bank of India - 7.68% - 10/08/2027**</t>
  </si>
  <si>
    <t>INE296A07SU3</t>
  </si>
  <si>
    <t>Bajaj Finance Ltd - 7.87% - 08/02/2034**</t>
  </si>
  <si>
    <t>(b) Privately Placed / Unlisted</t>
  </si>
  <si>
    <t>(c) Govt Security</t>
  </si>
  <si>
    <t>IN0020240126</t>
  </si>
  <si>
    <t>6.79% Central Government Securities 07/10/2034</t>
  </si>
  <si>
    <t>Sovereign</t>
  </si>
  <si>
    <t>IN0020230135</t>
  </si>
  <si>
    <t>7.32% Government Securities-13/11/2030</t>
  </si>
  <si>
    <t>IN3120240400</t>
  </si>
  <si>
    <t>6.96% Tamil Nadu State Government Securities - 04/12/2028</t>
  </si>
  <si>
    <t>IN0020230051</t>
  </si>
  <si>
    <t>7.30% Government Securities - 19/06/2053</t>
  </si>
  <si>
    <t>IN0020250018</t>
  </si>
  <si>
    <t>6.90% Central Government Securities 15/04/2065</t>
  </si>
  <si>
    <t>IN0020240118</t>
  </si>
  <si>
    <t>7.09% Central Government Securities 05/08/2054</t>
  </si>
  <si>
    <t>IN0020230101</t>
  </si>
  <si>
    <t>7.37% Government Securities-23/10/2028</t>
  </si>
  <si>
    <t>IN0020230077</t>
  </si>
  <si>
    <t>7.18%  Government Securities - 24/07/2037</t>
  </si>
  <si>
    <t>IN0020250026</t>
  </si>
  <si>
    <t>6.33% Central Government Securities 05/05/2035</t>
  </si>
  <si>
    <t>IN0020240019</t>
  </si>
  <si>
    <t>7.10% Central Government Securities 08/04/2034</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</si>
  <si>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</si>
  <si>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</si>
  <si>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</si>
  <si>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</si>
  <si>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</si>
  <si>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</si>
  <si>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</si>
  <si>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</si>
  <si>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</si>
  <si>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</si>
  <si>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</si>
  <si>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</si>
  <si>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</si>
  <si>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</si>
  <si>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</si>
  <si>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</si>
  <si>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</si>
  <si>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</si>
  <si>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</si>
  <si>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</si>
  <si>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</si>
  <si>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</si>
  <si>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</si>
  <si>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</si>
  <si>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</si>
  <si>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</si>
  <si>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</si>
  <si>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</si>
  <si>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</si>
  <si>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</si>
  <si>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</si>
  <si>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</si>
  <si>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</si>
  <si>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</si>
  <si>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</si>
  <si>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</si>
  <si>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</si>
  <si>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INE031A08962</t>
  </si>
  <si>
    <t>Housing and Urban Development Corp. Ltd - 6.9% - 23/04/2032**</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</si>
  <si>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</si>
  <si>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</si>
  <si>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</si>
  <si>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</si>
  <si>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</si>
  <si>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</si>
  <si>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</si>
  <si>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</si>
  <si>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</si>
  <si>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</si>
  <si>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INE261F08EM1</t>
  </si>
  <si>
    <t>National Bank for Agriculture &amp; Rural Development - 7.53% - 24/03/2028**</t>
  </si>
  <si>
    <t>INE0KUG08035</t>
  </si>
  <si>
    <t>National Bank for Financing Infrastructure and Development - 7.43% - 04/07/2034**</t>
  </si>
  <si>
    <t>INE261F08EF5</t>
  </si>
  <si>
    <t>National Bank for Agriculture &amp; Rural Development - 7.8% - 15/03/2027</t>
  </si>
  <si>
    <t>INE053F08338</t>
  </si>
  <si>
    <t>Indian Railway Finance Corporation Ltd - 7.68% - 24/11/2026**</t>
  </si>
  <si>
    <t>IN0020240027</t>
  </si>
  <si>
    <t>7.23% Central Government Securities 15/04/2039</t>
  </si>
  <si>
    <t>IN0020240050</t>
  </si>
  <si>
    <t>7.04% Central Government Securities 03/06/2029</t>
  </si>
  <si>
    <t>INE562A16ON3</t>
  </si>
  <si>
    <t>Indian Bank - 25/03/2026**</t>
  </si>
  <si>
    <t>CRISIL A1+</t>
  </si>
  <si>
    <t>INE514E16CJ9</t>
  </si>
  <si>
    <t>Export Import Bank of India - 04/03/2026**</t>
  </si>
  <si>
    <t>INE040A16GE5</t>
  </si>
  <si>
    <t>HDFC Bank Ltd - 04/02/2026**</t>
  </si>
  <si>
    <t>INE514E16CK7</t>
  </si>
  <si>
    <t>Export Import Bank of India - 20/03/2026</t>
  </si>
  <si>
    <t>Direct Plan - Bonus</t>
  </si>
  <si>
    <t>Regular Plan - Bonus</t>
  </si>
  <si>
    <t>Sundaram Money Market Fund</t>
  </si>
  <si>
    <t>IN3120150187</t>
  </si>
  <si>
    <t>8.38% Tamil Nadu State Development Loan - 27/01/2026</t>
  </si>
  <si>
    <t>INE160A16RK5</t>
  </si>
  <si>
    <t>Punjab National Bank - 18/03/2026**</t>
  </si>
  <si>
    <t>INE040A16GS5</t>
  </si>
  <si>
    <t>HDFC Bank Ltd - 24/03/2026**</t>
  </si>
  <si>
    <t>INE562A16OG7</t>
  </si>
  <si>
    <t>Indian Bank - 06/03/2026**</t>
  </si>
  <si>
    <t>INE476A16B64</t>
  </si>
  <si>
    <t>Canara Bank - 18/03/2026**</t>
  </si>
  <si>
    <t>INE237A168Z9</t>
  </si>
  <si>
    <t>Kotak Mahindra Bank Ltd - 19/03/2026**</t>
  </si>
  <si>
    <t>INE556F16BG5</t>
  </si>
  <si>
    <t>Small Industries Development Bank of India - 26/03/2026**</t>
  </si>
  <si>
    <t>INE261F16967</t>
  </si>
  <si>
    <t>National Bank for Agriculture &amp; Rural Development - 27/02/2026**</t>
  </si>
  <si>
    <t>INE556F16BB6</t>
  </si>
  <si>
    <t>Small Industries Development Bank of India - 27/02/2026</t>
  </si>
  <si>
    <t>INE008A16W82</t>
  </si>
  <si>
    <t>IDBI Bank Ltd - 02/09/2025**</t>
  </si>
  <si>
    <t>INE238AD6AM2</t>
  </si>
  <si>
    <t>Axis Bank Ltd - 04/02/2026**</t>
  </si>
  <si>
    <t>INE949L16CY1</t>
  </si>
  <si>
    <t>AU Small Finance Bank Ltd - 28/10/2025**</t>
  </si>
  <si>
    <t>INE095A16X85</t>
  </si>
  <si>
    <t>IndusInd Bank Ltd - 05/12/2025**</t>
  </si>
  <si>
    <t>INE562A16OA0</t>
  </si>
  <si>
    <t>Indian Bank - 04/02/2026**</t>
  </si>
  <si>
    <t>INE261F16934</t>
  </si>
  <si>
    <t>National Bank for Agriculture &amp; Rural Development - 05/02/2026**</t>
  </si>
  <si>
    <t>INE084A16DC4</t>
  </si>
  <si>
    <t>Bank of India - 06/02/2026**</t>
  </si>
  <si>
    <t>INE237A165Z5</t>
  </si>
  <si>
    <t>Kotak Mahindra Bank Ltd - 18/02/2026</t>
  </si>
  <si>
    <t>INE261F16959</t>
  </si>
  <si>
    <t>National Bank for Agriculture &amp; Rural Development - 17/02/2026**</t>
  </si>
  <si>
    <t>INE237A166Z3</t>
  </si>
  <si>
    <t>Kotak Mahindra Bank Ltd - 27/02/2026**</t>
  </si>
  <si>
    <t>INE008A16X99</t>
  </si>
  <si>
    <t>IDBI Bank Ltd - 23/02/2026**</t>
  </si>
  <si>
    <t>INE237A167Z1</t>
  </si>
  <si>
    <t>Kotak Mahindra Bank Ltd - 13/03/2026**</t>
  </si>
  <si>
    <t>INE476A16B31</t>
  </si>
  <si>
    <t>Canara Bank - 13/03/2026**</t>
  </si>
  <si>
    <t>INE040A16GW7</t>
  </si>
  <si>
    <t>HDFC Bank Ltd - 19/05/2026**</t>
  </si>
  <si>
    <t>INE238AD6AT7</t>
  </si>
  <si>
    <t>Axis Bank Ltd - 11/06/2026**</t>
  </si>
  <si>
    <t>INE092T16XX1</t>
  </si>
  <si>
    <t>IDFC First Bank Ltd - 23/01/2026**</t>
  </si>
  <si>
    <t>INE476A16A65</t>
  </si>
  <si>
    <t>Canara Bank - 24/02/2026**</t>
  </si>
  <si>
    <t>INE261F16AA7</t>
  </si>
  <si>
    <t>National Bank for Agriculture &amp; Rural Development - 25/03/2026**</t>
  </si>
  <si>
    <t>INE556F16BA8</t>
  </si>
  <si>
    <t>Small Industries Development Bank of India - 06/02/2026**</t>
  </si>
  <si>
    <t>INE763G14XJ8</t>
  </si>
  <si>
    <t>ICICI Securities Ltd - 03/03/2026**</t>
  </si>
  <si>
    <t>INE144H14HG8</t>
  </si>
  <si>
    <t>Deutsche Investments India Private Ltd - 22/12/2025**</t>
  </si>
  <si>
    <t>INE144H14HQ7</t>
  </si>
  <si>
    <t>Deutsche Investments India Private Ltd - 27/02/2026**</t>
  </si>
  <si>
    <t>INE121A14XO2</t>
  </si>
  <si>
    <t>Cholamandalam Investment and Finance Company Ltd - 26/05/2026**</t>
  </si>
  <si>
    <t>INE403D14544</t>
  </si>
  <si>
    <t>Bharti Telecom Ltd - 17/10/2025</t>
  </si>
  <si>
    <t>INE115A14FJ1</t>
  </si>
  <si>
    <t>LIC Housing Finance Ltd - 18/02/2026**</t>
  </si>
  <si>
    <t>INE338I14JI6</t>
  </si>
  <si>
    <t>Motilal Oswal Financial Services Ltd - 25/02/2026**</t>
  </si>
  <si>
    <t>INE763G14YJ6</t>
  </si>
  <si>
    <t>ICICI Securities Ltd - 15/05/2026**</t>
  </si>
  <si>
    <t>INE09OL14HG3</t>
  </si>
  <si>
    <t>Birla Group Holdings Pvt Ltd - 22/05/2026**</t>
  </si>
  <si>
    <t>INE572E14JM1</t>
  </si>
  <si>
    <t>PNB Housing Finance Ltd - 25/09/2025**</t>
  </si>
  <si>
    <t>INE121A14XG8</t>
  </si>
  <si>
    <t>Cholamandalam Investment and Finance Company Ltd - 14/11/2025**</t>
  </si>
  <si>
    <t>INE338I14JF2</t>
  </si>
  <si>
    <t>Motilal Oswal Financial Services Ltd - 06/02/2026**</t>
  </si>
  <si>
    <t>INE144H14HM6</t>
  </si>
  <si>
    <t>Deutsche Investments India Private Ltd - 09/09/2025**</t>
  </si>
  <si>
    <t>INE121A14XK0</t>
  </si>
  <si>
    <t>Cholamandalam Investment and Finance Company Ltd - 22/05/2026**</t>
  </si>
  <si>
    <t>IN002024Z453</t>
  </si>
  <si>
    <t>364 Days - T Bill - 20/02/2026</t>
  </si>
  <si>
    <t>Reverse Repo</t>
  </si>
  <si>
    <t>Sundaram Low Duration Fund</t>
  </si>
  <si>
    <t>INE721A07SB0</t>
  </si>
  <si>
    <t>Shriram Finance Ltd - 9.2% - 22/05/2026**</t>
  </si>
  <si>
    <t>CRISIL AA+</t>
  </si>
  <si>
    <t>INE477A07373</t>
  </si>
  <si>
    <t>Can Fin Homes Ltd - 8.45% - 27/05/2026**</t>
  </si>
  <si>
    <t>IND AA+</t>
  </si>
  <si>
    <t>INE020B08ED9</t>
  </si>
  <si>
    <t>REC LTD - 7.56% - 30/06/2026**</t>
  </si>
  <si>
    <t>INE403D08181</t>
  </si>
  <si>
    <t>Bharti Telecom Ltd - 8.9% - 04/12/2025</t>
  </si>
  <si>
    <t>INE572E07183</t>
  </si>
  <si>
    <t>PNB Housing Finance Ltd - 8.15% - 29/07/2027**</t>
  </si>
  <si>
    <t>INE134E08IE1</t>
  </si>
  <si>
    <t>Power Finance Corporation Ltd - 8.03% - 02/05/2026**</t>
  </si>
  <si>
    <t>INE523H07CB9</t>
  </si>
  <si>
    <t>JM Financial Products Ltd - 8.92% - 16/11/2026**</t>
  </si>
  <si>
    <t>CRISIL AA</t>
  </si>
  <si>
    <t>INE414G07II5</t>
  </si>
  <si>
    <t>Muthoot Finance Ltd - 8.4% - 28/08/2028**</t>
  </si>
  <si>
    <t>INE414G07HI7</t>
  </si>
  <si>
    <t>Muthoot Finance Ltd - 8.3% - 06/01/2026**</t>
  </si>
  <si>
    <t>INE233A08121</t>
  </si>
  <si>
    <t>Godrej Industries Ltd - 8.36% - 28/08/2026**</t>
  </si>
  <si>
    <t>INE477A07415</t>
  </si>
  <si>
    <t>Can Fin Homes Ltd - 8.09% - 04/01/2027**</t>
  </si>
  <si>
    <t>INE020B08FF1</t>
  </si>
  <si>
    <t>REC LTD - 7.56% - 31/08/2027**</t>
  </si>
  <si>
    <t>INE121A07QT9</t>
  </si>
  <si>
    <t>Cholamandalam Investment and Finance Company Ltd - 8.45% - 21/11/2025**</t>
  </si>
  <si>
    <t>ICRA AA+</t>
  </si>
  <si>
    <t>INE414G07JL7</t>
  </si>
  <si>
    <t>Muthoot Finance Ltd - 8.65% - 31/01/2028</t>
  </si>
  <si>
    <t>IN0020220037</t>
  </si>
  <si>
    <t>7.38% Central Government Securities 20/06/2027</t>
  </si>
  <si>
    <t>INE028A16HY6</t>
  </si>
  <si>
    <t>Bank of Baroda - 12/12/2025</t>
  </si>
  <si>
    <t>IND A1+</t>
  </si>
  <si>
    <t>INE092T16YI0</t>
  </si>
  <si>
    <t>IDFC First Bank Ltd - 25/05/2026**</t>
  </si>
  <si>
    <t>INE238AD6918</t>
  </si>
  <si>
    <t>Axis Bank Ltd - 09/09/2025**</t>
  </si>
  <si>
    <t>INE040A16GF2</t>
  </si>
  <si>
    <t>HDFC Bank Ltd - 06/02/2026</t>
  </si>
  <si>
    <t>INE261F16983</t>
  </si>
  <si>
    <t>National Bank for Agriculture &amp; Rural Development - 13/03/2026**</t>
  </si>
  <si>
    <t>Sundaram Liquid Fund</t>
  </si>
  <si>
    <t>INE115A07PZ0</t>
  </si>
  <si>
    <t>LIC Housing Finance Ltd - 7.38% - 18/08/2025**</t>
  </si>
  <si>
    <t>INE414G07HT4</t>
  </si>
  <si>
    <t>Muthoot Finance Ltd - 8.6% - 25/08/2025**</t>
  </si>
  <si>
    <t>INE134E08LO4</t>
  </si>
  <si>
    <t>Power Finance Corporation Ltd - 7.13% - 08/08/2025**</t>
  </si>
  <si>
    <t>INE160A16RV2</t>
  </si>
  <si>
    <t>Punjab National Bank - 14/08/2025</t>
  </si>
  <si>
    <t>INE160A16SE6</t>
  </si>
  <si>
    <t>Punjab National Bank - 04/09/2025**</t>
  </si>
  <si>
    <t>INE238AD6AR1</t>
  </si>
  <si>
    <t>Axis Bank Ltd - 13/08/2025**</t>
  </si>
  <si>
    <t>INE238AD6876</t>
  </si>
  <si>
    <t>Axis Bank Ltd - 16/07/2025**</t>
  </si>
  <si>
    <t>INE565A16BB8</t>
  </si>
  <si>
    <t>Indian Overseas Bank - 22/08/2025**</t>
  </si>
  <si>
    <t>CARE A1+</t>
  </si>
  <si>
    <t>INE476A16C22</t>
  </si>
  <si>
    <t>Canara Bank - 26/08/2025**</t>
  </si>
  <si>
    <t>INE028A16IX6</t>
  </si>
  <si>
    <t>Bank of Baroda - 03/09/2025</t>
  </si>
  <si>
    <t>INE565A16BD4</t>
  </si>
  <si>
    <t>Indian Overseas Bank - 09/09/2025**</t>
  </si>
  <si>
    <t>INE160A16RU4</t>
  </si>
  <si>
    <t>Punjab National Bank - 12/08/2025**</t>
  </si>
  <si>
    <t>INE562A16OU8</t>
  </si>
  <si>
    <t>Indian Bank - 14/08/2025**</t>
  </si>
  <si>
    <t>INE028A16IY4</t>
  </si>
  <si>
    <t>Bank of Baroda - 04/09/2025**</t>
  </si>
  <si>
    <t>INE238AD6900</t>
  </si>
  <si>
    <t>Axis Bank Ltd - 04/09/2025</t>
  </si>
  <si>
    <t>INE238AD6868</t>
  </si>
  <si>
    <t>Axis Bank Ltd - 15/07/2025**</t>
  </si>
  <si>
    <t>INE237A162Y5</t>
  </si>
  <si>
    <t>Kotak Mahindra Bank Ltd - 22/08/2025**</t>
  </si>
  <si>
    <t>INE476A16C06</t>
  </si>
  <si>
    <t>Canara Bank - 22/08/2025**</t>
  </si>
  <si>
    <t>INE040A16FJ6</t>
  </si>
  <si>
    <t>HDFC Bank Ltd - 22/08/2025</t>
  </si>
  <si>
    <t>INE084A16DT8</t>
  </si>
  <si>
    <t>Bank of India - 10/09/2025**</t>
  </si>
  <si>
    <t>INE562A16NH7</t>
  </si>
  <si>
    <t>Indian Bank - 20/08/2025**</t>
  </si>
  <si>
    <t>INE261F14NL2</t>
  </si>
  <si>
    <t>National Bank for Agriculture &amp; Rural Development - 20/06/2025</t>
  </si>
  <si>
    <t>INE002A14LD2</t>
  </si>
  <si>
    <t>Reliance Industries Ltd - 23/06/2025**</t>
  </si>
  <si>
    <t>INE110L14TM4</t>
  </si>
  <si>
    <t>Reliance Jio Infocomm Ltd - 16/07/2025**</t>
  </si>
  <si>
    <t>INE002A14LG5</t>
  </si>
  <si>
    <t>Reliance Industries Ltd - 24/06/2025**</t>
  </si>
  <si>
    <t>INE556F14LC8</t>
  </si>
  <si>
    <t>Small Industries Development Bank of India - 09/07/2025**</t>
  </si>
  <si>
    <t>INE929O14DK9</t>
  </si>
  <si>
    <t>Reliance Retail Ventures Ltd - 14/08/2025**</t>
  </si>
  <si>
    <t>INE261F14NK4</t>
  </si>
  <si>
    <t>National Bank for Agriculture &amp; Rural Development - 16/06/2025</t>
  </si>
  <si>
    <t>INE242A14XP3</t>
  </si>
  <si>
    <t>Indian Oil Corporation Ltd - 16/06/2025</t>
  </si>
  <si>
    <t>INE763G14XW1</t>
  </si>
  <si>
    <t>ICICI Securities Ltd - 19/06/2025**</t>
  </si>
  <si>
    <t>INE110L14TK8</t>
  </si>
  <si>
    <t>Reliance Jio Infocomm Ltd - 23/06/2025**</t>
  </si>
  <si>
    <t>INE572E14JT6</t>
  </si>
  <si>
    <t>PNB Housing Finance Ltd - 15/07/2025**</t>
  </si>
  <si>
    <t>INE081A14FQ0</t>
  </si>
  <si>
    <t>Tata Steel Ltd - 07/08/2025**</t>
  </si>
  <si>
    <t>ICRA A1+</t>
  </si>
  <si>
    <t>INE763G14YG2</t>
  </si>
  <si>
    <t>ICICI Securities Ltd - 08/08/2025**</t>
  </si>
  <si>
    <t>INE763G14YI8</t>
  </si>
  <si>
    <t>ICICI Securities Ltd - 12/08/2025**</t>
  </si>
  <si>
    <t>INE700G14OG5</t>
  </si>
  <si>
    <t>HDFC Securities Ltd - 13/08/2025**</t>
  </si>
  <si>
    <t>INE178A14HO5</t>
  </si>
  <si>
    <t>Chennai Petroleum Corporation Ltd - 18/08/2025**</t>
  </si>
  <si>
    <t>INE289B14JR7</t>
  </si>
  <si>
    <t>GIC Housing Finance Ltd - 26/08/2025**</t>
  </si>
  <si>
    <t>INE790I14FZ0</t>
  </si>
  <si>
    <t>HSBC InvestDirect Financial Services India Limited - 26/08/2025**</t>
  </si>
  <si>
    <t>INE002A14LJ9</t>
  </si>
  <si>
    <t>Reliance Industries Ltd - 08/09/2025**</t>
  </si>
  <si>
    <t>INE556F14LF1</t>
  </si>
  <si>
    <t>Small Industries Development Bank of India - 08/09/2025**</t>
  </si>
  <si>
    <t>INE110L14TU7</t>
  </si>
  <si>
    <t>Reliance Jio Infocomm Ltd - 12/09/2025**</t>
  </si>
  <si>
    <t>INE982D14BF5</t>
  </si>
  <si>
    <t>INE071G14GR4</t>
  </si>
  <si>
    <t>ICICI Home Finance Company Ltd - 16/07/2025**</t>
  </si>
  <si>
    <t>INE700G14NW4</t>
  </si>
  <si>
    <t>HDFC Securities Ltd - 15/07/2025**</t>
  </si>
  <si>
    <t>INE047A14AI9</t>
  </si>
  <si>
    <t>Grasim Industries Ltd - 24/07/2025**</t>
  </si>
  <si>
    <t>INE071G14GU8</t>
  </si>
  <si>
    <t>ICICI Home Finance Company Ltd - 14/08/2025**</t>
  </si>
  <si>
    <t>INE912E14MD2</t>
  </si>
  <si>
    <t>SBI FACTORS LTD - 20/08/2025**</t>
  </si>
  <si>
    <t>INE870H14VF1</t>
  </si>
  <si>
    <t>Network18 Media &amp; Investments Ltd - 28/08/2025**</t>
  </si>
  <si>
    <t>INE912E14MF7</t>
  </si>
  <si>
    <t>SBI FACTORS LTD - 28/08/2025**</t>
  </si>
  <si>
    <t>INE763G14YW9</t>
  </si>
  <si>
    <t>ICICI Securities Ltd - 04/09/2025**</t>
  </si>
  <si>
    <t>INE233A142N4</t>
  </si>
  <si>
    <t>INE103A14447</t>
  </si>
  <si>
    <t>Mangalore Refinery and Petrochemicals Ltd - 24/07/2025**</t>
  </si>
  <si>
    <t>INE338I14KD5</t>
  </si>
  <si>
    <t>Motilal Oswal Financial Services Ltd - 08/08/2025**</t>
  </si>
  <si>
    <t>INE01C314BP1</t>
  </si>
  <si>
    <t>Bajaj Financial Securities Ltd - 13/08/2025**</t>
  </si>
  <si>
    <t>INE572E14JU4</t>
  </si>
  <si>
    <t>PNB Housing Finance Ltd - 18/08/2025**</t>
  </si>
  <si>
    <t>INE261F14NT5</t>
  </si>
  <si>
    <t>National Bank for Agriculture &amp; Rural Development - 22/08/2025**</t>
  </si>
  <si>
    <t>INE144H14HO2</t>
  </si>
  <si>
    <t>Deutsche Investments India Private Ltd - 19/08/2025**</t>
  </si>
  <si>
    <t>INE850D14TZ4</t>
  </si>
  <si>
    <t>Godrej Agrovet Ltd - 26/08/2025**</t>
  </si>
  <si>
    <t>INE865C14NT0</t>
  </si>
  <si>
    <t>Aditya Birla Money Ltd - 25/08/2025**</t>
  </si>
  <si>
    <t>INE261F14NU3</t>
  </si>
  <si>
    <t>National Bank for Agriculture &amp; Rural Development - 03/09/2025**</t>
  </si>
  <si>
    <t>INE975F14A50</t>
  </si>
  <si>
    <t>Kotak Mahindra Investments Ltd - 29/08/2025**</t>
  </si>
  <si>
    <t>INE242A14XX7</t>
  </si>
  <si>
    <t>Indian Oil Corporation Ltd - 04/09/2025</t>
  </si>
  <si>
    <t>INE929O14DN3</t>
  </si>
  <si>
    <t>Reliance Retail Ventures Ltd - 04/09/2025**</t>
  </si>
  <si>
    <t>INE870H14VI5</t>
  </si>
  <si>
    <t>Network18 Media &amp; Investments Ltd - 04/09/2025**</t>
  </si>
  <si>
    <t>INE700G14OQ4</t>
  </si>
  <si>
    <t>HDFC Securities Ltd - 08/09/2025**</t>
  </si>
  <si>
    <t>INE212K14AU3</t>
  </si>
  <si>
    <t>SBI Cap securities Ltd - 18/06/2025**</t>
  </si>
  <si>
    <t>INE790I14FX5</t>
  </si>
  <si>
    <t>HSBC InvestDirect Financial Services India Limited - 25/06/2025**</t>
  </si>
  <si>
    <t>INE338I14KF0</t>
  </si>
  <si>
    <t>Motilal Oswal Financial Services Ltd - 14/08/2025**</t>
  </si>
  <si>
    <t>INE417C14959</t>
  </si>
  <si>
    <t>Pilani Investment and Industries Corporation Ltd. - 22/08/2025**</t>
  </si>
  <si>
    <t>INE975F14B34</t>
  </si>
  <si>
    <t>Kotak Mahindra Investments Ltd - 08/09/2025**</t>
  </si>
  <si>
    <t>IN002025X059</t>
  </si>
  <si>
    <t>91 Days - T Bill - 01/08/2025</t>
  </si>
  <si>
    <t>IN002024Z222</t>
  </si>
  <si>
    <t>364 Days - T Bill - 28/08/2025</t>
  </si>
  <si>
    <t>IN002024X508</t>
  </si>
  <si>
    <t>91 Days - T Bill - 19/06/2025</t>
  </si>
  <si>
    <t>IN002024Z198</t>
  </si>
  <si>
    <t>364 Days - T Bill - 07/08/2025</t>
  </si>
  <si>
    <t>IN002024Z214</t>
  </si>
  <si>
    <t>364 Days - T Bill - 21/08/2025</t>
  </si>
  <si>
    <t>IN002024Y373</t>
  </si>
  <si>
    <t>182 Days - T Bill - 27/06/2025</t>
  </si>
  <si>
    <t>Sundaram Short Duration Fund</t>
  </si>
  <si>
    <t>INE134E08MJ2</t>
  </si>
  <si>
    <t>Power Finance Corporation Ltd - 7.77% - 15/04/2028**</t>
  </si>
  <si>
    <t>INE121A07RZ4</t>
  </si>
  <si>
    <t>Cholamandalam Investment and Finance Company Ltd - 8.54% - 12/04/2029**</t>
  </si>
  <si>
    <t>INE020B08EI8</t>
  </si>
  <si>
    <t>REC LTD - 7.51% - 31/07/2026</t>
  </si>
  <si>
    <t>INE134E08LP1</t>
  </si>
  <si>
    <t>Power Finance Corporation Ltd - 7.13% - 15/07/2026</t>
  </si>
  <si>
    <t>INE146O07557</t>
  </si>
  <si>
    <t>Hinduja Leyland Finance Ltd - 8.4% - 06/05/2027**</t>
  </si>
  <si>
    <t>INE115A07PI6</t>
  </si>
  <si>
    <t>LIC Housing Finance Ltd - 6.17% - 03/09/2026**</t>
  </si>
  <si>
    <t>IN3120230484</t>
  </si>
  <si>
    <t>7.44% Tamil Nadu State Government Securities -20/03/2034</t>
  </si>
  <si>
    <t>Sundaram Ultra Short Duration Fund</t>
  </si>
  <si>
    <t>INE071G07637</t>
  </si>
  <si>
    <t>ICICI Home Finance Company Ltd - 8.061% - 25/03/2026**</t>
  </si>
  <si>
    <t>INE756I07EJ2</t>
  </si>
  <si>
    <t>HDB Financial Services Ltd - 7.65% - 10/09/2027**</t>
  </si>
  <si>
    <t>INE756I07EI4</t>
  </si>
  <si>
    <t>HDB Financial Services Ltd - 7.5% - 23/09/2025**</t>
  </si>
  <si>
    <t>INE756I07EN4</t>
  </si>
  <si>
    <t>HDB Financial Services Ltd - 7.84% - 14/07/2026**</t>
  </si>
  <si>
    <t>INE121A07SN8</t>
  </si>
  <si>
    <t>Cholamandalam Investment and Finance Company Ltd - 7.38% - 28/05/2027</t>
  </si>
  <si>
    <t>INE040A16FM0</t>
  </si>
  <si>
    <t>HDFC Bank Ltd - 19/09/2025**</t>
  </si>
  <si>
    <t>INE171A16MM9</t>
  </si>
  <si>
    <t>The Federal Bank Ltd - 28/11/2025**</t>
  </si>
  <si>
    <t>INE238AD6991</t>
  </si>
  <si>
    <t>Axis Bank Ltd - 12/11/2025**</t>
  </si>
  <si>
    <t>INE238AD6983</t>
  </si>
  <si>
    <t>Axis Bank Ltd - 13/11/2025**</t>
  </si>
  <si>
    <t>INE692A16IC3</t>
  </si>
  <si>
    <t>Union Bank of India - 04/12/2025**</t>
  </si>
  <si>
    <t>INE556F16AX2</t>
  </si>
  <si>
    <t>Small Industries Development Bank of India - 05/12/2025**</t>
  </si>
  <si>
    <t>INE476A16ZT9</t>
  </si>
  <si>
    <t>Canara Bank - 18/12/2025**</t>
  </si>
  <si>
    <t>INE476A16A24</t>
  </si>
  <si>
    <t>Canara Bank - 03/02/2026</t>
  </si>
  <si>
    <t>INE095A16Y50</t>
  </si>
  <si>
    <t>IndusInd Bank Ltd - 04/02/2026**</t>
  </si>
  <si>
    <t>INE171A16MK3</t>
  </si>
  <si>
    <t>The Federal Bank Ltd - 25/11/2025**</t>
  </si>
  <si>
    <t>INE040A16FY5</t>
  </si>
  <si>
    <t>HDFC Bank Ltd - 04/12/2025</t>
  </si>
  <si>
    <t>INE692A16II0</t>
  </si>
  <si>
    <t>Union Bank of India - 18/12/2025**</t>
  </si>
  <si>
    <t>INE556F16AY0</t>
  </si>
  <si>
    <t>Small Industries Development Bank of India - 13/01/2026**</t>
  </si>
  <si>
    <t>INE261F16975</t>
  </si>
  <si>
    <t>National Bank for Agriculture &amp; Rural Development - 10/03/2026**</t>
  </si>
  <si>
    <t>INE556F16BD2</t>
  </si>
  <si>
    <t>Small Industries Development Bank of India - 11/03/2026**</t>
  </si>
  <si>
    <t>INE115A14FF9</t>
  </si>
  <si>
    <t>LIC Housing Finance Ltd - 11/09/2025</t>
  </si>
  <si>
    <t>INE498L14EE2</t>
  </si>
  <si>
    <t>L &amp; T Finance Ltd - 09/06/2026**</t>
  </si>
  <si>
    <t>INE121A14XQ7</t>
  </si>
  <si>
    <t>Cholamandalam Investment and Finance Company Ltd - 28/05/2026**</t>
  </si>
  <si>
    <t>INE824H14QT9</t>
  </si>
  <si>
    <t>Julius Baer Capital (India) Private Ltd - 17/06/2025**</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</si>
  <si>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</si>
  <si>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</si>
  <si>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</si>
  <si>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</si>
  <si>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</si>
  <si>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</si>
  <si>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</si>
  <si>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</si>
  <si>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</si>
  <si>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</si>
  <si>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</si>
  <si>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</si>
  <si>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</si>
  <si>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</si>
  <si>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</si>
  <si>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</si>
  <si>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</si>
  <si>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</si>
  <si>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INE009A01021</t>
  </si>
  <si>
    <t>Infosys Ltd</t>
  </si>
  <si>
    <t>INE238A01034</t>
  </si>
  <si>
    <t>Axis Bank Ltd</t>
  </si>
  <si>
    <t>INE062A01020</t>
  </si>
  <si>
    <t>State Bank of India</t>
  </si>
  <si>
    <t>INE154A01025</t>
  </si>
  <si>
    <t>ITC Ltd</t>
  </si>
  <si>
    <t>Diversified Fmcg</t>
  </si>
  <si>
    <t>INE029A01011</t>
  </si>
  <si>
    <t>Bharat Petroleum Corporation Ltd</t>
  </si>
  <si>
    <t>INE018A01030</t>
  </si>
  <si>
    <t>Larsen &amp; Toubro Ltd</t>
  </si>
  <si>
    <t>Construction</t>
  </si>
  <si>
    <t>INE237A01028</t>
  </si>
  <si>
    <t>Kotak Mahindra Bank Ltd</t>
  </si>
  <si>
    <t>INE481G01011</t>
  </si>
  <si>
    <t>Ultratech Cement Ltd</t>
  </si>
  <si>
    <t>Cement &amp; Cement Products</t>
  </si>
  <si>
    <t>INE196A01026</t>
  </si>
  <si>
    <t>Marico Ltd</t>
  </si>
  <si>
    <t>Agricultural Food &amp; Other Products</t>
  </si>
  <si>
    <t>INE797F01020</t>
  </si>
  <si>
    <t>Jubilant Foodworks Ltd</t>
  </si>
  <si>
    <t>Leisure Services</t>
  </si>
  <si>
    <t>INE917I01010</t>
  </si>
  <si>
    <t>Bajaj Auto Ltd</t>
  </si>
  <si>
    <t>Automobiles</t>
  </si>
  <si>
    <t>INE854D01024</t>
  </si>
  <si>
    <t>United Spirits Ltd</t>
  </si>
  <si>
    <t>Beverages</t>
  </si>
  <si>
    <t>INE603J01030</t>
  </si>
  <si>
    <t>PI Industries Ltd</t>
  </si>
  <si>
    <t>Fertilizers &amp; Agrochemicals</t>
  </si>
  <si>
    <t>INE726G01019</t>
  </si>
  <si>
    <t>ICICI Prudential Life Insurance Company Ltd</t>
  </si>
  <si>
    <t>Insurance</t>
  </si>
  <si>
    <t>INE585B01010</t>
  </si>
  <si>
    <t>Maruti Suzuki India Ltd</t>
  </si>
  <si>
    <t>INE540L01014</t>
  </si>
  <si>
    <t>Alkem Laboratories Ltd</t>
  </si>
  <si>
    <t>Pharmaceuticals &amp; Biotechnology</t>
  </si>
  <si>
    <t>INE047A01021</t>
  </si>
  <si>
    <t>Grasim Industries Ltd</t>
  </si>
  <si>
    <t>IN9397D01014</t>
  </si>
  <si>
    <t>Sundaram Overnight Fund</t>
  </si>
  <si>
    <t>IN002024Y365</t>
  </si>
  <si>
    <t>182 Days - T Bill - 19/06/2025</t>
  </si>
  <si>
    <t>IN002025X018</t>
  </si>
  <si>
    <t>91 Days - T Bill - 03/07/2025</t>
  </si>
  <si>
    <t>YTM (%)*</t>
  </si>
  <si>
    <t>Index</t>
  </si>
  <si>
    <t>S. No.</t>
  </si>
  <si>
    <t>ACRONYM</t>
  </si>
  <si>
    <t>SCHEME NAME</t>
  </si>
  <si>
    <t>SFRLTP</t>
  </si>
  <si>
    <t>SFRSTP</t>
  </si>
  <si>
    <t>SMMF</t>
  </si>
  <si>
    <t>SPLDF</t>
  </si>
  <si>
    <t>SPMON</t>
  </si>
  <si>
    <t>SPSDF</t>
  </si>
  <si>
    <t>SPUSDF</t>
  </si>
  <si>
    <t>SUNBDS</t>
  </si>
  <si>
    <t>SUNMIA</t>
  </si>
  <si>
    <t>SUNONF</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</si>
  <si>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</si>
  <si>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</si>
  <si>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</si>
  <si>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</si>
  <si>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</si>
  <si>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</si>
  <si>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</si>
  <si>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</si>
  <si>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</si>
  <si>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</si>
  <si>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</si>
  <si>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</si>
  <si>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</si>
  <si>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</si>
  <si>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</si>
  <si>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</si>
  <si>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</si>
  <si>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</si>
  <si>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</si>
  <si>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</si>
  <si>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</si>
  <si>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</si>
  <si>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Aggregate Investments by Other schemes of Sundaram Mutual Fund - Rs.16,145.50 Lakhs</t>
  </si>
  <si>
    <t xml:space="preserve">                    NIFTY Money Market Index A-I</t>
  </si>
  <si>
    <t>INE0JEI23010</t>
  </si>
  <si>
    <t>Roadstar Infra Investment Trust (InvIT)</t>
  </si>
  <si>
    <t>Services</t>
  </si>
  <si>
    <t>#</t>
  </si>
  <si>
    <t>Refer below point i)</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</si>
  <si>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</si>
  <si>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</si>
  <si>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</si>
  <si>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</si>
  <si>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</si>
  <si>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</si>
  <si>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</si>
  <si>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</si>
  <si>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</si>
  <si>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</si>
  <si>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</si>
  <si>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</si>
  <si>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</si>
  <si>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</si>
  <si>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</si>
  <si>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</si>
  <si>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</si>
  <si>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</si>
  <si>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</si>
  <si>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</si>
  <si>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 xml:space="preserve"> ## (Rs. in Lacs)</t>
  </si>
  <si>
    <t xml:space="preserve">Total Cost  </t>
  </si>
  <si>
    <t xml:space="preserve">Discounting Charges / Interest accrued till maturity </t>
  </si>
  <si>
    <t>Total CP Outstanding</t>
  </si>
  <si>
    <t xml:space="preserve"> 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</si>
  <si>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</si>
  <si>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</si>
  <si>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</si>
  <si>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</si>
  <si>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</si>
  <si>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</si>
  <si>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</si>
  <si>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</si>
  <si>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</si>
  <si>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</si>
  <si>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</si>
  <si>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</si>
  <si>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 Aggregate Investments by Other schemes of Sundaram Mutual Fund - Rs. 6,397.19 Lakhs</t>
  </si>
  <si>
    <t>Amount Recovered - 06th Mar 2025</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</si>
  <si>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</si>
  <si>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</si>
  <si>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</si>
  <si>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</si>
  <si>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</si>
  <si>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</si>
  <si>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</si>
  <si>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</si>
  <si>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</si>
  <si>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</si>
  <si>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</si>
  <si>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</si>
  <si>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</si>
  <si>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</si>
  <si>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</si>
  <si>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</si>
  <si>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</si>
  <si>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</si>
  <si>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</si>
  <si>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Interest Rate Swaps Pay Fix Receive Floating (06/03/2026) (FV 2500 Lacs)~</t>
  </si>
  <si>
    <t>Interest Rate Swaps Pay Fix Receive Floating (20/03/2026) (FV 2500 Lacs)~</t>
  </si>
  <si>
    <t>Interest Rate Swaps Pay Fix Receive Floating (26/05/2026)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</si>
  <si>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</si>
  <si>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</si>
  <si>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</si>
  <si>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</si>
  <si>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</si>
  <si>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</si>
  <si>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</si>
  <si>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</si>
  <si>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</si>
  <si>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</si>
  <si>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</si>
  <si>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</si>
  <si>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</si>
  <si>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REC Ltd</t>
  </si>
  <si>
    <t xml:space="preserve">          NIFTY Ultra Short Duration Debt Index A-I</t>
  </si>
  <si>
    <t>Regular Plan - Quarterly IDCW</t>
  </si>
  <si>
    <t>d) IDCW declared during the period (Rupees per unit)</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</si>
  <si>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</si>
  <si>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</si>
  <si>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</si>
  <si>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</si>
  <si>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</si>
  <si>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</si>
  <si>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</si>
  <si>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</si>
  <si>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</si>
  <si>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</si>
  <si>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</si>
  <si>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</si>
  <si>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</si>
  <si>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</si>
  <si>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</si>
  <si>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</si>
  <si>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</si>
  <si>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</si>
  <si>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</si>
  <si>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Macaulay Duration (Days)</t>
  </si>
  <si>
    <t>Average Maturity (Days)</t>
  </si>
  <si>
    <t xml:space="preserve">                        NIFTY 1D Rate Index</t>
  </si>
  <si>
    <t>Direct Plan - Monthly IDCW</t>
  </si>
  <si>
    <t>Direct Plan - Quarterly IDCW</t>
  </si>
  <si>
    <t>Direct Plan - Halfyearly IDCW</t>
  </si>
  <si>
    <t>Direct Plan - Annual IDCW</t>
  </si>
  <si>
    <t>Regular Plan - Monthly IDCW</t>
  </si>
  <si>
    <t>Regular Plan - Halfyearly IDCW</t>
  </si>
  <si>
    <t>Regular Plan - Annual IDCW</t>
  </si>
  <si>
    <t>15-Jun-2025</t>
  </si>
  <si>
    <t>i) Exposure to securities classified as below investment grade or default as on 15-Jun-2025:-</t>
  </si>
  <si>
    <t>h)  Hedging Positions through Swaps as on 15-Jun-2025:-</t>
  </si>
  <si>
    <t>% to AUM as on  15-Jun-2025</t>
  </si>
  <si>
    <t>h) Exposure to securities classified as below investment grade or default as on 15-Jun-2025:-</t>
  </si>
  <si>
    <t>YTM (%)</t>
  </si>
  <si>
    <t>Fortnightly Portfolio Statement as on 15 Jun 2025</t>
  </si>
  <si>
    <t>Godrej &amp; Boyce Mfg Co Ltd - 16/09/2025**</t>
  </si>
  <si>
    <t>Godrej Industries Ltd - 16/09/2025**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</si>
</sst>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dd\-mmm\-yyyy"/>
    <numFmt numFmtId="175" formatCode="[$-1014009]#,##0;\(#,##0\)"/>
    <numFmt numFmtId="176" formatCode="dd/mmm/yyyy"/>
  </numFmts>
  <fonts count="39" x14ac:knownFonts="1">
    <font>
      <sz val="10"/>
      <name val="Arial"/>
      <charset val="1"/>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0"/>
      <name val="Aptos Narrow"/>
      <family val="2"/>
      <scheme val="minor"/>
    </font>
    <font>
      <sz val="11"/>
      <color theme="0"/>
      <name val="Aptos Narrow"/>
      <family val="2"/>
      <scheme val="minor"/>
    </font>
    <font>
      <sz val="10"/>
      <name val="Arial"/>
      <family val="2"/>
    </font>
    <font>
      <b/>
      <sz val="11"/>
      <color indexed="8"/>
      <name val="Calibri"/>
      <family val="2"/>
    </font>
    <font>
      <sz val="10"/>
      <color indexed="8"/>
      <name val="Calibri"/>
      <family val="2"/>
    </font>
    <font>
      <u/>
      <sz val="10"/>
      <color theme="10"/>
      <name val="Arial"/>
      <family val="2"/>
    </font>
    <font>
      <u/>
      <sz val="11"/>
      <color rgb="FF002060"/>
      <name val="Aptos Narrow"/>
      <family val="2"/>
      <scheme val="minor"/>
    </font>
    <font>
      <b/>
      <sz val="10"/>
      <color indexed="8"/>
      <name val="Calibri"/>
      <family val="2"/>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b/>
      <i/>
      <sz val="10"/>
      <color indexed="8"/>
      <name val="Calibri"/>
      <family val="2"/>
    </font>
    <font>
      <sz val="10"/>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0"/>
      <color theme="1"/>
      <name val="Calibri"/>
      <family val="2"/>
    </font>
    <font>
      <sz val="10"/>
      <color theme="1"/>
      <name val="Calibri"/>
      <family val="2"/>
    </font>
    <font>
      <b/>
      <sz val="11"/>
      <name val="Aptos Narrow"/>
      <family val="2"/>
      <scheme val="minor"/>
    </font>
  </fonts>
  <fills count="2">
    <fill>
      <patternFill patternType="none"/>
    </fill>
    <fill>
      <patternFill patternType="gray125"/>
    </fill>
  </fills>
  <borders count="26">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s>
  <cellStyleXfs count="12">
    <xf numFmtId="0" fontId="0" fillId="0" borderId="0">
      <alignment wrapText="1"/>
    </xf>
    <xf numFmtId="9" fontId="6" fillId="0" borderId="0" applyFont="0" applyFill="0" applyBorder="0" applyAlignment="0" applyProtection="0"/>
    <xf numFmtId="164" fontId="9" fillId="0" borderId="0" applyFont="0" applyFill="0" applyBorder="0" applyAlignment="0" applyProtection="0"/>
    <xf numFmtId="0" fontId="12" fillId="0" borderId="0" applyNumberFormat="0" applyFill="0" applyBorder="0" applyAlignment="0" applyProtection="0">
      <alignment wrapText="1"/>
    </xf>
    <xf numFmtId="0" fontId="1" fillId="0" borderId="0"/>
    <xf numFmtId="0" fontId="1" fillId="0" borderId="0"/>
    <xf numFmtId="0" fontId="9" fillId="0" borderId="0">
      <alignment wrapText="1"/>
    </xf>
    <xf numFmtId="164" fontId="9" fillId="0" borderId="0" applyFont="0" applyFill="0" applyBorder="0" applyAlignment="0" applyProtection="0"/>
    <xf numFmtId="9" fontId="26" fillId="0" borderId="0" applyFont="0" applyFill="0" applyBorder="0" applyAlignment="0" applyProtection="0"/>
    <xf numFmtId="164" fontId="9" fillId="0" borderId="0" applyFont="0" applyFill="0" applyBorder="0" applyAlignment="0" applyProtection="0"/>
    <xf numFmtId="0" fontId="1" fillId="0" borderId="0"/>
    <xf numFmtId="0" fontId="1" fillId="0" borderId="0"/>
  </cellStyleXfs>
  <cellXfs count="249">
    <xf numFmtId="0" fontId="0" fillId="0" borderId="0" xfId="0">
      <alignment wrapText="1"/>
    </xf>
    <xf numFmtId="0" fontId="13" fillId="0" borderId="0" xfId="3" applyFont="1" applyFill="1" applyBorder="1" applyAlignment="1">
      <alignment horizontal="center" vertical="center" wrapText="1"/>
    </xf>
    <xf numFmtId="0" fontId="15" fillId="0" borderId="7" xfId="4" applyFont="1" applyBorder="1" applyAlignment="1">
      <alignment horizontal="center"/>
    </xf>
    <xf numFmtId="0" fontId="16" fillId="0" borderId="7" xfId="4" applyFont="1" applyBorder="1" applyAlignment="1">
      <alignment horizontal="center" vertical="center"/>
    </xf>
    <xf numFmtId="0" fontId="17" fillId="0" borderId="0" xfId="5" applyFont="1"/>
    <xf numFmtId="0" fontId="17" fillId="0" borderId="7" xfId="4" applyFont="1" applyBorder="1" applyAlignment="1">
      <alignment horizontal="center"/>
    </xf>
    <xf numFmtId="0" fontId="18" fillId="0" borderId="7" xfId="3" applyFont="1" applyFill="1" applyBorder="1" applyAlignment="1">
      <alignment vertical="center"/>
    </xf>
    <xf numFmtId="0" fontId="19" fillId="0" borderId="7" xfId="4" applyFont="1" applyBorder="1" applyAlignment="1">
      <alignment vertical="top"/>
    </xf>
    <xf numFmtId="4" fontId="25" fillId="0" borderId="12" xfId="8" applyNumberFormat="1" applyFont="1" applyFill="1" applyBorder="1"/>
    <xf numFmtId="4" fontId="25" fillId="0" borderId="0" xfId="8" applyNumberFormat="1" applyFont="1" applyFill="1" applyBorder="1"/>
    <xf numFmtId="164" fontId="25" fillId="0" borderId="12" xfId="9" applyFont="1" applyFill="1" applyBorder="1"/>
    <xf numFmtId="164" fontId="25" fillId="0" borderId="0" xfId="7" applyFont="1" applyFill="1" applyBorder="1"/>
    <xf numFmtId="164" fontId="25" fillId="0" borderId="7" xfId="9" applyFont="1" applyFill="1" applyBorder="1"/>
    <xf numFmtId="4" fontId="25" fillId="0" borderId="7" xfId="8" applyNumberFormat="1" applyFont="1" applyFill="1" applyBorder="1"/>
    <xf numFmtId="0" fontId="10" fillId="0" borderId="7" xfId="0" applyFont="1" applyBorder="1" applyAlignment="1">
      <alignment horizontal="center" vertical="center" wrapText="1" readingOrder="1"/>
    </xf>
    <xf numFmtId="164" fontId="10" fillId="0" borderId="7" xfId="2" applyFont="1" applyFill="1" applyBorder="1" applyAlignment="1">
      <alignment horizontal="center" vertical="center" wrapText="1" readingOrder="1"/>
    </xf>
    <xf numFmtId="0" fontId="0" fillId="0" borderId="0" xfId="0" applyAlignment="1">
      <alignment horizontal="center" vertical="center" wrapText="1"/>
    </xf>
    <xf numFmtId="0" fontId="11" fillId="0" borderId="4" xfId="0" applyFont="1" applyBorder="1" applyAlignment="1">
      <alignment horizontal="right" vertical="top" wrapText="1" readingOrder="1"/>
    </xf>
    <xf numFmtId="0" fontId="14" fillId="0" borderId="4" xfId="0" applyFont="1" applyBorder="1" applyAlignment="1">
      <alignment horizontal="left" vertical="center" wrapText="1" readingOrder="1"/>
    </xf>
    <xf numFmtId="166" fontId="11" fillId="0" borderId="8" xfId="0" applyNumberFormat="1" applyFont="1" applyBorder="1" applyAlignment="1">
      <alignment horizontal="right" vertical="center" wrapText="1" readingOrder="1"/>
    </xf>
    <xf numFmtId="0" fontId="2" fillId="0" borderId="4" xfId="0" applyFont="1" applyBorder="1" applyAlignment="1">
      <alignment horizontal="right" vertical="top" wrapText="1" readingOrder="1"/>
    </xf>
    <xf numFmtId="0" fontId="3" fillId="0" borderId="4" xfId="0" applyFont="1" applyBorder="1" applyAlignment="1">
      <alignment horizontal="left" vertical="center" wrapText="1" readingOrder="1"/>
    </xf>
    <xf numFmtId="0" fontId="3" fillId="0" borderId="4" xfId="0"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7" fontId="2" fillId="0" borderId="4" xfId="0" applyNumberFormat="1" applyFont="1" applyBorder="1" applyAlignment="1">
      <alignment horizontal="right" vertical="center" wrapText="1" readingOrder="1"/>
    </xf>
    <xf numFmtId="0" fontId="2" fillId="0" borderId="4" xfId="0" applyFont="1" applyBorder="1" applyAlignment="1">
      <alignment horizontal="left" vertical="center" wrapText="1" readingOrder="1"/>
    </xf>
    <xf numFmtId="168" fontId="2" fillId="0" borderId="4" xfId="0" applyNumberFormat="1" applyFont="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165" fontId="2" fillId="0" borderId="4" xfId="0" applyNumberFormat="1" applyFont="1" applyBorder="1" applyAlignment="1">
      <alignment horizontal="right" vertical="center" wrapText="1" readingOrder="1"/>
    </xf>
    <xf numFmtId="0" fontId="2" fillId="0" borderId="4" xfId="0" applyFont="1" applyBorder="1" applyAlignment="1">
      <alignment horizontal="right" vertical="center" wrapText="1" readingOrder="1"/>
    </xf>
    <xf numFmtId="170" fontId="3"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4" fillId="0" borderId="5" xfId="0" applyFont="1" applyBorder="1" applyAlignment="1">
      <alignment horizontal="right" vertical="center" wrapText="1" readingOrder="1"/>
    </xf>
    <xf numFmtId="0" fontId="20" fillId="0" borderId="0" xfId="0" applyFont="1" applyAlignment="1">
      <alignment horizontal="left" vertical="center" wrapText="1" readingOrder="1"/>
    </xf>
    <xf numFmtId="0" fontId="11" fillId="0" borderId="0" xfId="0" applyFont="1" applyAlignment="1">
      <alignment horizontal="lef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20" fillId="0" borderId="6" xfId="0" applyFont="1" applyBorder="1" applyAlignment="1">
      <alignment horizontal="right" vertical="center" wrapText="1" readingOrder="1"/>
    </xf>
    <xf numFmtId="0" fontId="20" fillId="0" borderId="0" xfId="0" applyFont="1" applyAlignment="1">
      <alignment horizontal="right" vertical="center" wrapText="1" readingOrder="1"/>
    </xf>
    <xf numFmtId="0" fontId="20" fillId="0" borderId="4" xfId="0" applyFont="1" applyBorder="1" applyAlignment="1">
      <alignment horizontal="right" vertical="center" wrapText="1" readingOrder="1"/>
    </xf>
    <xf numFmtId="0" fontId="11" fillId="0" borderId="0" xfId="0" applyFont="1" applyAlignment="1">
      <alignment horizontal="right" vertical="top" wrapText="1" readingOrder="1"/>
    </xf>
    <xf numFmtId="0" fontId="14" fillId="0" borderId="4" xfId="0" applyFont="1" applyBorder="1" applyAlignment="1">
      <alignment horizontal="right" vertical="top" wrapText="1" readingOrder="1"/>
    </xf>
    <xf numFmtId="0" fontId="14" fillId="0" borderId="4" xfId="0" applyFont="1" applyBorder="1" applyAlignment="1">
      <alignment horizontal="left" vertical="top" wrapText="1" readingOrder="1"/>
    </xf>
    <xf numFmtId="174" fontId="14" fillId="0" borderId="4" xfId="0" applyNumberFormat="1" applyFont="1" applyBorder="1" applyAlignment="1">
      <alignment horizontal="right" vertical="top" wrapText="1" readingOrder="1"/>
    </xf>
    <xf numFmtId="0" fontId="2" fillId="0" borderId="0" xfId="0" applyFont="1" applyAlignment="1">
      <alignment horizontal="right" vertical="top" wrapText="1" readingOrder="1"/>
    </xf>
    <xf numFmtId="171" fontId="2" fillId="0" borderId="4"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14" fillId="0" borderId="25" xfId="0" applyFont="1" applyBorder="1" applyAlignment="1">
      <alignment horizontal="left" vertical="center" wrapText="1" readingOrder="1"/>
    </xf>
    <xf numFmtId="0" fontId="3" fillId="0" borderId="0" xfId="0" applyFont="1" applyAlignment="1">
      <alignment horizontal="left" vertical="center" wrapText="1" readingOrder="1"/>
    </xf>
    <xf numFmtId="0" fontId="14" fillId="0" borderId="24" xfId="0" applyFont="1" applyBorder="1" applyAlignment="1">
      <alignment horizontal="left" vertical="center" wrapText="1" readingOrder="1"/>
    </xf>
    <xf numFmtId="0" fontId="11" fillId="0" borderId="6" xfId="0" applyFont="1" applyBorder="1" applyAlignment="1">
      <alignment horizontal="right" vertical="top" wrapText="1" readingOrder="1"/>
    </xf>
    <xf numFmtId="0" fontId="9" fillId="0" borderId="0" xfId="6">
      <alignment wrapText="1"/>
    </xf>
    <xf numFmtId="0" fontId="0" fillId="0" borderId="0" xfId="0" applyAlignment="1">
      <alignment horizontal="center" vertical="top" readingOrder="1"/>
    </xf>
    <xf numFmtId="0" fontId="21" fillId="0" borderId="0" xfId="0" applyFont="1" applyAlignment="1">
      <alignment vertical="center" wrapText="1"/>
    </xf>
    <xf numFmtId="0" fontId="0" fillId="0" borderId="0" xfId="0" applyAlignment="1">
      <alignment vertical="center" wrapText="1"/>
    </xf>
    <xf numFmtId="0" fontId="22" fillId="0" borderId="12" xfId="0" applyFont="1" applyBorder="1" applyAlignment="1">
      <alignment horizontal="center" vertical="center" wrapText="1"/>
    </xf>
    <xf numFmtId="0" fontId="21" fillId="0" borderId="12" xfId="0" applyFont="1" applyBorder="1" applyAlignment="1">
      <alignment vertical="center" wrapText="1"/>
    </xf>
    <xf numFmtId="0" fontId="21" fillId="0" borderId="12" xfId="0" applyFont="1" applyBorder="1" applyAlignment="1">
      <alignment horizontal="justify" vertical="center" wrapText="1"/>
    </xf>
    <xf numFmtId="173" fontId="14" fillId="0" borderId="4" xfId="0" applyNumberFormat="1" applyFont="1" applyBorder="1" applyAlignment="1">
      <alignment horizontal="left" vertical="center" wrapText="1" readingOrder="1"/>
    </xf>
    <xf numFmtId="175" fontId="14" fillId="0" borderId="4" xfId="0" applyNumberFormat="1" applyFont="1" applyBorder="1" applyAlignment="1">
      <alignment horizontal="left" vertical="center" wrapText="1" readingOrder="1"/>
    </xf>
    <xf numFmtId="175" fontId="14" fillId="0" borderId="4" xfId="0" quotePrefix="1" applyNumberFormat="1" applyFont="1" applyBorder="1" applyAlignment="1">
      <alignment horizontal="left" vertical="center" wrapText="1" readingOrder="1"/>
    </xf>
    <xf numFmtId="164" fontId="0" fillId="0" borderId="0" xfId="7" applyFont="1" applyFill="1" applyAlignment="1">
      <alignment wrapText="1"/>
    </xf>
    <xf numFmtId="0" fontId="23" fillId="0" borderId="0" xfId="0" applyFont="1">
      <alignment wrapText="1"/>
    </xf>
    <xf numFmtId="0" fontId="23" fillId="0" borderId="0" xfId="0" applyFont="1" applyAlignment="1"/>
    <xf numFmtId="0" fontId="0" fillId="0" borderId="0" xfId="0" applyAlignment="1"/>
    <xf numFmtId="167" fontId="11" fillId="0" borderId="4" xfId="0" applyNumberFormat="1" applyFont="1" applyBorder="1" applyAlignment="1">
      <alignment horizontal="right" vertical="center" wrapText="1" readingOrder="1"/>
    </xf>
    <xf numFmtId="0" fontId="11" fillId="0" borderId="4" xfId="0" applyFont="1" applyBorder="1" applyAlignment="1">
      <alignment horizontal="left" vertical="center" wrapText="1" readingOrder="1"/>
    </xf>
    <xf numFmtId="168" fontId="11" fillId="0" borderId="4" xfId="0" applyNumberFormat="1" applyFont="1" applyBorder="1" applyAlignment="1">
      <alignment horizontal="right" vertical="center" wrapText="1" readingOrder="1"/>
    </xf>
    <xf numFmtId="166" fontId="11" fillId="0" borderId="4" xfId="0" applyNumberFormat="1" applyFont="1" applyBorder="1" applyAlignment="1">
      <alignment horizontal="right" vertical="center" wrapText="1" readingOrder="1"/>
    </xf>
    <xf numFmtId="165" fontId="11" fillId="0" borderId="4" xfId="0" applyNumberFormat="1" applyFont="1" applyBorder="1" applyAlignment="1">
      <alignment horizontal="right" vertical="center" wrapText="1" readingOrder="1"/>
    </xf>
    <xf numFmtId="0" fontId="23" fillId="0" borderId="0" xfId="0" applyFont="1" applyAlignment="1">
      <alignment horizontal="center" vertical="center" wrapText="1"/>
    </xf>
    <xf numFmtId="0" fontId="20" fillId="0" borderId="4" xfId="0" applyFont="1" applyBorder="1" applyAlignment="1">
      <alignment horizontal="left" vertical="center" wrapText="1" readingOrder="1"/>
    </xf>
    <xf numFmtId="0" fontId="21" fillId="0" borderId="0" xfId="0" applyFont="1">
      <alignment wrapText="1"/>
    </xf>
    <xf numFmtId="169" fontId="11" fillId="0" borderId="4" xfId="0" applyNumberFormat="1" applyFont="1" applyBorder="1" applyAlignment="1">
      <alignment horizontal="right" vertical="center" wrapText="1" readingOrder="1"/>
    </xf>
    <xf numFmtId="166" fontId="14" fillId="0" borderId="4" xfId="0" applyNumberFormat="1" applyFont="1" applyBorder="1" applyAlignment="1">
      <alignment horizontal="right" vertical="center" wrapText="1" readingOrder="1"/>
    </xf>
    <xf numFmtId="165" fontId="14"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72" fontId="2" fillId="0" borderId="4" xfId="0" applyNumberFormat="1" applyFont="1" applyBorder="1" applyAlignment="1">
      <alignment horizontal="right" vertical="center" wrapText="1" readingOrder="1"/>
    </xf>
    <xf numFmtId="0" fontId="2" fillId="0" borderId="5" xfId="0" applyFont="1" applyBorder="1" applyAlignment="1">
      <alignment horizontal="left" vertical="center" wrapText="1" readingOrder="1"/>
    </xf>
    <xf numFmtId="0" fontId="3" fillId="0" borderId="5" xfId="0" applyFont="1" applyBorder="1" applyAlignment="1">
      <alignment horizontal="left" vertical="center" wrapText="1" readingOrder="1"/>
    </xf>
    <xf numFmtId="14" fontId="21" fillId="0" borderId="12" xfId="0" quotePrefix="1" applyNumberFormat="1" applyFont="1" applyBorder="1" applyAlignment="1">
      <alignment horizontal="justify" vertical="center" wrapText="1"/>
    </xf>
    <xf numFmtId="0" fontId="24" fillId="0" borderId="12" xfId="4" applyFont="1" applyBorder="1" applyAlignment="1">
      <alignment horizontal="center" vertical="center"/>
    </xf>
    <xf numFmtId="0" fontId="24" fillId="0" borderId="12" xfId="4" applyFont="1" applyBorder="1" applyAlignment="1">
      <alignment horizontal="center" vertical="center" wrapText="1"/>
    </xf>
    <xf numFmtId="0" fontId="9" fillId="0" borderId="0" xfId="6" applyAlignment="1">
      <alignment vertical="center" wrapText="1"/>
    </xf>
    <xf numFmtId="0" fontId="25" fillId="0" borderId="12" xfId="4" applyFont="1" applyBorder="1" applyAlignment="1">
      <alignment vertical="center"/>
    </xf>
    <xf numFmtId="0" fontId="25" fillId="0" borderId="12" xfId="4" applyFont="1" applyBorder="1" applyAlignment="1">
      <alignment wrapText="1"/>
    </xf>
    <xf numFmtId="0" fontId="25" fillId="0" borderId="12" xfId="4" applyFont="1" applyBorder="1"/>
    <xf numFmtId="0" fontId="24" fillId="0" borderId="12" xfId="4" applyFont="1" applyBorder="1" applyAlignment="1">
      <alignment horizontal="center"/>
    </xf>
    <xf numFmtId="4" fontId="25" fillId="0" borderId="12" xfId="4" applyNumberFormat="1" applyFont="1" applyBorder="1"/>
    <xf numFmtId="2" fontId="25" fillId="0" borderId="12" xfId="4" applyNumberFormat="1" applyFont="1" applyBorder="1"/>
    <xf numFmtId="4" fontId="9" fillId="0" borderId="12" xfId="6" applyNumberFormat="1" applyBorder="1">
      <alignment wrapText="1"/>
    </xf>
    <xf numFmtId="0" fontId="27" fillId="0" borderId="0" xfId="0" applyFont="1" applyAlignment="1"/>
    <xf numFmtId="0" fontId="12" fillId="0" borderId="0" xfId="3" applyFill="1" applyAlignment="1"/>
    <xf numFmtId="0" fontId="11" fillId="0" borderId="0" xfId="0" applyFont="1" applyAlignment="1">
      <alignment horizontal="right" vertical="center" wrapText="1" readingOrder="1"/>
    </xf>
    <xf numFmtId="0" fontId="7" fillId="0" borderId="0" xfId="11" applyFont="1" applyAlignment="1">
      <alignment horizontal="center" vertical="center"/>
    </xf>
    <xf numFmtId="0" fontId="1" fillId="0" borderId="0" xfId="11" applyAlignment="1">
      <alignment wrapText="1"/>
    </xf>
    <xf numFmtId="4" fontId="8" fillId="0" borderId="0" xfId="11" applyNumberFormat="1" applyFont="1"/>
    <xf numFmtId="0" fontId="35" fillId="0" borderId="0" xfId="11" applyFont="1" applyAlignment="1">
      <alignment wrapText="1"/>
    </xf>
    <xf numFmtId="0" fontId="36" fillId="0" borderId="12" xfId="11" applyFont="1" applyBorder="1" applyAlignment="1">
      <alignment horizontal="center" vertical="center"/>
    </xf>
    <xf numFmtId="0" fontId="36" fillId="0" borderId="0" xfId="11" applyFont="1" applyAlignment="1">
      <alignment horizontal="center" vertical="center"/>
    </xf>
    <xf numFmtId="0" fontId="37" fillId="0" borderId="12" xfId="11" applyFont="1" applyBorder="1" applyAlignment="1">
      <alignment vertical="center"/>
    </xf>
    <xf numFmtId="0" fontId="37" fillId="0" borderId="12" xfId="11" applyFont="1" applyBorder="1" applyAlignment="1">
      <alignment vertical="center" wrapText="1"/>
    </xf>
    <xf numFmtId="0" fontId="37" fillId="0" borderId="0" xfId="11" applyFont="1" applyAlignment="1">
      <alignment horizontal="center" vertical="center"/>
    </xf>
    <xf numFmtId="0" fontId="36" fillId="0" borderId="12" xfId="11" applyFont="1" applyBorder="1" applyAlignment="1">
      <alignment horizontal="center" vertical="center" wrapText="1"/>
    </xf>
    <xf numFmtId="0" fontId="38" fillId="0" borderId="0" xfId="11" applyFont="1" applyAlignment="1">
      <alignment horizontal="center" vertical="center"/>
    </xf>
    <xf numFmtId="0" fontId="37" fillId="0" borderId="12" xfId="11" applyFont="1" applyBorder="1" applyAlignment="1">
      <alignment horizontal="left" vertical="center"/>
    </xf>
    <xf numFmtId="4" fontId="37" fillId="0" borderId="12" xfId="11" applyNumberFormat="1" applyFont="1" applyBorder="1" applyAlignment="1">
      <alignment horizontal="right" vertical="center"/>
    </xf>
    <xf numFmtId="10" fontId="37" fillId="0" borderId="12" xfId="8" applyNumberFormat="1" applyFont="1" applyFill="1" applyBorder="1" applyAlignment="1">
      <alignment vertical="center"/>
    </xf>
    <xf numFmtId="164" fontId="35" fillId="0" borderId="0" xfId="7" applyFont="1" applyFill="1" applyAlignment="1">
      <alignment vertical="center"/>
    </xf>
    <xf numFmtId="164" fontId="37" fillId="0" borderId="0" xfId="7" applyFont="1" applyFill="1" applyAlignment="1">
      <alignment horizontal="center" vertical="center"/>
    </xf>
    <xf numFmtId="165" fontId="21" fillId="0" borderId="4" xfId="0" applyNumberFormat="1" applyFont="1" applyBorder="1" applyAlignment="1">
      <alignment horizontal="right" vertical="center" wrapText="1" readingOrder="1"/>
    </xf>
    <xf numFmtId="166" fontId="11" fillId="0" borderId="12" xfId="0" applyNumberFormat="1" applyFont="1" applyBorder="1" applyAlignment="1">
      <alignment horizontal="right" vertical="center" wrapText="1" readingOrder="1"/>
    </xf>
    <xf numFmtId="10" fontId="0" fillId="0" borderId="0" xfId="1" applyNumberFormat="1" applyFont="1" applyFill="1" applyAlignment="1">
      <alignment wrapText="1"/>
    </xf>
    <xf numFmtId="0" fontId="20" fillId="0" borderId="12" xfId="0" applyFont="1" applyBorder="1" applyAlignment="1">
      <alignment horizontal="left" vertical="center" wrapText="1" readingOrder="1"/>
    </xf>
    <xf numFmtId="0" fontId="28" fillId="0" borderId="12" xfId="0" applyFont="1" applyBorder="1">
      <alignment wrapText="1"/>
    </xf>
    <xf numFmtId="0" fontId="20" fillId="0" borderId="12" xfId="0" applyFont="1" applyBorder="1" applyAlignment="1">
      <alignment horizontal="right" vertical="center" wrapText="1" readingOrder="1"/>
    </xf>
    <xf numFmtId="0" fontId="0" fillId="0" borderId="12" xfId="0" applyBorder="1">
      <alignment wrapText="1"/>
    </xf>
    <xf numFmtId="0" fontId="29" fillId="0" borderId="12" xfId="0" applyFont="1" applyBorder="1">
      <alignment wrapText="1"/>
    </xf>
    <xf numFmtId="168" fontId="11" fillId="0" borderId="12" xfId="0" applyNumberFormat="1" applyFont="1" applyBorder="1" applyAlignment="1">
      <alignment horizontal="right" vertical="center" wrapText="1" readingOrder="1"/>
    </xf>
    <xf numFmtId="165" fontId="11" fillId="0" borderId="12" xfId="0" applyNumberFormat="1" applyFont="1" applyBorder="1" applyAlignment="1">
      <alignment horizontal="right" vertical="center" wrapText="1" readingOrder="1"/>
    </xf>
    <xf numFmtId="0" fontId="27" fillId="0" borderId="0" xfId="10" applyFont="1"/>
    <xf numFmtId="0" fontId="0" fillId="0" borderId="0" xfId="0" applyAlignment="1">
      <alignment horizontal="center" vertical="center"/>
    </xf>
    <xf numFmtId="0" fontId="30" fillId="0" borderId="7" xfId="0" applyFont="1" applyBorder="1" applyAlignment="1">
      <alignment horizontal="center" vertical="center" wrapText="1"/>
    </xf>
    <xf numFmtId="0" fontId="31" fillId="0" borderId="7" xfId="0" applyFont="1" applyBorder="1" applyAlignment="1">
      <alignment horizontal="center" vertical="center" wrapText="1"/>
    </xf>
    <xf numFmtId="10" fontId="0" fillId="0" borderId="0" xfId="1" applyNumberFormat="1" applyFont="1" applyFill="1" applyAlignment="1">
      <alignment horizontal="center" vertical="center" wrapText="1"/>
    </xf>
    <xf numFmtId="0" fontId="0" fillId="0" borderId="0" xfId="0" applyAlignment="1">
      <alignment vertical="center"/>
    </xf>
    <xf numFmtId="0" fontId="32" fillId="0" borderId="7" xfId="0" applyFont="1" applyBorder="1" applyAlignment="1">
      <alignment vertical="center"/>
    </xf>
    <xf numFmtId="0" fontId="33" fillId="0" borderId="7" xfId="0" applyFont="1" applyBorder="1" applyAlignment="1">
      <alignment vertical="center" wrapText="1"/>
    </xf>
    <xf numFmtId="0" fontId="33" fillId="0" borderId="7" xfId="0" applyFont="1" applyBorder="1" applyAlignment="1">
      <alignment vertical="center"/>
    </xf>
    <xf numFmtId="164" fontId="32" fillId="0" borderId="7" xfId="7" applyFont="1" applyFill="1" applyBorder="1" applyAlignment="1">
      <alignment vertical="center"/>
    </xf>
    <xf numFmtId="176" fontId="32" fillId="0" borderId="7" xfId="0" applyNumberFormat="1" applyFont="1" applyBorder="1" applyAlignment="1">
      <alignment vertical="center"/>
    </xf>
    <xf numFmtId="10" fontId="0" fillId="0" borderId="0" xfId="1" applyNumberFormat="1" applyFont="1" applyFill="1" applyAlignment="1">
      <alignment vertical="center" wrapText="1"/>
    </xf>
    <xf numFmtId="10" fontId="34" fillId="0" borderId="0" xfId="1" applyNumberFormat="1" applyFont="1" applyFill="1" applyAlignment="1"/>
    <xf numFmtId="0" fontId="34" fillId="0" borderId="0" xfId="0" applyFont="1" applyAlignment="1"/>
    <xf numFmtId="0" fontId="22" fillId="0" borderId="0" xfId="0" applyFont="1" applyAlignment="1">
      <alignment vertical="center" readingOrder="1"/>
    </xf>
    <xf numFmtId="0" fontId="24" fillId="0" borderId="7" xfId="4" applyFont="1" applyBorder="1" applyAlignment="1">
      <alignment horizontal="center" vertical="center" wrapText="1"/>
    </xf>
    <xf numFmtId="0" fontId="25" fillId="0" borderId="7" xfId="4" applyFont="1" applyBorder="1"/>
    <xf numFmtId="0" fontId="25" fillId="0" borderId="7" xfId="4" applyFont="1" applyBorder="1" applyAlignment="1">
      <alignment wrapText="1"/>
    </xf>
    <xf numFmtId="4" fontId="21" fillId="0" borderId="7" xfId="0" applyNumberFormat="1" applyFont="1" applyBorder="1" applyAlignment="1">
      <alignment vertical="center"/>
    </xf>
    <xf numFmtId="43" fontId="25" fillId="0" borderId="7" xfId="4" applyNumberFormat="1" applyFont="1" applyBorder="1"/>
    <xf numFmtId="0" fontId="25" fillId="0" borderId="0" xfId="4" applyFont="1"/>
    <xf numFmtId="0" fontId="25" fillId="0" borderId="0" xfId="4" applyFont="1" applyAlignment="1">
      <alignment wrapText="1"/>
    </xf>
    <xf numFmtId="4" fontId="21" fillId="0" borderId="0" xfId="0" applyNumberFormat="1" applyFont="1" applyAlignment="1">
      <alignment vertical="center"/>
    </xf>
    <xf numFmtId="43" fontId="25" fillId="0" borderId="0" xfId="4" applyNumberFormat="1" applyFont="1"/>
    <xf numFmtId="0" fontId="25" fillId="0" borderId="0" xfId="4" applyFont="1" applyAlignment="1">
      <alignment vertical="center" wrapText="1"/>
    </xf>
    <xf numFmtId="0" fontId="22" fillId="0" borderId="7" xfId="0" applyFont="1" applyBorder="1" applyAlignment="1">
      <alignment horizontal="center" vertical="center" wrapText="1"/>
    </xf>
    <xf numFmtId="0" fontId="21" fillId="0" borderId="7" xfId="0" applyFont="1" applyBorder="1" applyAlignment="1">
      <alignment vertical="center" wrapText="1"/>
    </xf>
    <xf numFmtId="0" fontId="21" fillId="0" borderId="7" xfId="0" applyFont="1" applyBorder="1" applyAlignment="1">
      <alignment horizontal="justify" vertical="center" wrapText="1"/>
    </xf>
    <xf numFmtId="0" fontId="27" fillId="0" borderId="0" xfId="0" applyFont="1" applyAlignment="1">
      <alignment horizontal="left" vertical="top" readingOrder="1"/>
    </xf>
    <xf numFmtId="164" fontId="25" fillId="0" borderId="12" xfId="7" applyFont="1" applyFill="1" applyBorder="1"/>
    <xf numFmtId="43" fontId="25" fillId="0" borderId="12" xfId="4" applyNumberFormat="1" applyFont="1" applyBorder="1"/>
    <xf numFmtId="4" fontId="25" fillId="0" borderId="0" xfId="4" applyNumberFormat="1" applyFont="1"/>
    <xf numFmtId="4" fontId="21" fillId="0" borderId="12" xfId="0" applyNumberFormat="1" applyFont="1" applyBorder="1" applyAlignment="1">
      <alignment vertical="center"/>
    </xf>
    <xf numFmtId="0" fontId="14" fillId="0" borderId="0" xfId="0" applyFont="1" applyAlignment="1">
      <alignment horizontal="left" vertical="center" wrapText="1" readingOrder="1"/>
    </xf>
    <xf numFmtId="0" fontId="20" fillId="0" borderId="0" xfId="6" applyFont="1" applyAlignment="1">
      <alignment horizontal="left" vertical="center" wrapText="1" readingOrder="1"/>
    </xf>
    <xf numFmtId="165" fontId="37" fillId="0" borderId="4" xfId="0" applyNumberFormat="1" applyFont="1" applyBorder="1" applyAlignment="1">
      <alignment horizontal="right" vertical="center" wrapText="1" readingOrder="1"/>
    </xf>
    <xf numFmtId="0" fontId="11" fillId="0" borderId="1"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14" fillId="0" borderId="12"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22" fillId="0" borderId="9" xfId="0" applyFont="1" applyBorder="1" applyAlignment="1">
      <alignment horizontal="center" vertical="center"/>
    </xf>
    <xf numFmtId="0" fontId="22" fillId="0" borderId="10" xfId="0" applyFont="1" applyBorder="1" applyAlignment="1">
      <alignment horizontal="center" vertical="center"/>
    </xf>
    <xf numFmtId="0" fontId="22" fillId="0" borderId="11" xfId="0" applyFont="1" applyBorder="1" applyAlignment="1">
      <alignment horizontal="center" vertical="center"/>
    </xf>
    <xf numFmtId="0" fontId="11" fillId="0" borderId="0" xfId="0" applyFont="1" applyAlignment="1">
      <alignment horizontal="left" vertical="center" wrapText="1" readingOrder="1"/>
    </xf>
    <xf numFmtId="0" fontId="14" fillId="0" borderId="1" xfId="0" applyFont="1" applyBorder="1" applyAlignment="1">
      <alignment horizontal="left" vertical="center" wrapText="1" readingOrder="1"/>
    </xf>
    <xf numFmtId="0" fontId="14" fillId="0" borderId="2" xfId="0" applyFont="1" applyBorder="1" applyAlignment="1">
      <alignment horizontal="left" vertical="center" wrapText="1" readingOrder="1"/>
    </xf>
    <xf numFmtId="0" fontId="14" fillId="0" borderId="3" xfId="0" applyFont="1" applyBorder="1" applyAlignment="1">
      <alignment horizontal="left" vertical="center" wrapText="1" readingOrder="1"/>
    </xf>
    <xf numFmtId="0" fontId="10" fillId="0" borderId="7" xfId="0" applyFont="1" applyBorder="1" applyAlignment="1">
      <alignment horizontal="center" vertical="center" wrapText="1" readingOrder="1"/>
    </xf>
    <xf numFmtId="0" fontId="11" fillId="0" borderId="12" xfId="0" applyFont="1" applyBorder="1" applyAlignment="1">
      <alignment horizontal="left" vertical="center" wrapText="1" readingOrder="1"/>
    </xf>
    <xf numFmtId="0" fontId="11" fillId="0" borderId="9" xfId="0" applyFont="1" applyBorder="1" applyAlignment="1">
      <alignment horizontal="left" vertical="center" wrapText="1" readingOrder="1"/>
    </xf>
    <xf numFmtId="0" fontId="11" fillId="0" borderId="11" xfId="0" applyFont="1" applyBorder="1" applyAlignment="1">
      <alignment horizontal="left" vertical="center" wrapText="1" readingOrder="1"/>
    </xf>
    <xf numFmtId="0" fontId="11" fillId="0" borderId="10" xfId="0" applyFont="1" applyBorder="1" applyAlignment="1">
      <alignment horizontal="left" vertical="center" wrapText="1" readingOrder="1"/>
    </xf>
    <xf numFmtId="0" fontId="14" fillId="0" borderId="9" xfId="0" applyFont="1" applyBorder="1" applyAlignment="1">
      <alignment horizontal="center" vertical="center" wrapText="1" readingOrder="1"/>
    </xf>
    <xf numFmtId="0" fontId="14" fillId="0" borderId="11" xfId="0" applyFont="1" applyBorder="1" applyAlignment="1">
      <alignment horizontal="center" vertical="center" wrapText="1" readingOrder="1"/>
    </xf>
    <xf numFmtId="0" fontId="11" fillId="0" borderId="0" xfId="6" quotePrefix="1" applyFont="1" applyAlignment="1">
      <alignment horizontal="left" vertical="center" wrapText="1" readingOrder="1"/>
    </xf>
    <xf numFmtId="0" fontId="11" fillId="0" borderId="0" xfId="6" applyFont="1" applyAlignment="1">
      <alignment horizontal="left" vertical="center" wrapText="1" readingOrder="1"/>
    </xf>
    <xf numFmtId="0" fontId="11" fillId="0" borderId="13" xfId="0" applyFont="1" applyBorder="1" applyAlignment="1">
      <alignment horizontal="left" vertical="center" wrapText="1" readingOrder="1"/>
    </xf>
    <xf numFmtId="0" fontId="24" fillId="0" borderId="12" xfId="4" applyFont="1" applyBorder="1" applyAlignment="1">
      <alignment horizontal="center" wrapText="1"/>
    </xf>
    <xf numFmtId="0" fontId="24" fillId="0" borderId="12" xfId="4" applyFont="1" applyBorder="1" applyAlignment="1">
      <alignment horizontal="center"/>
    </xf>
    <xf numFmtId="164" fontId="25" fillId="0" borderId="12" xfId="7" applyFont="1" applyFill="1" applyBorder="1" applyAlignment="1">
      <alignment horizontal="center"/>
    </xf>
    <xf numFmtId="0" fontId="25" fillId="0" borderId="12" xfId="4" applyFont="1" applyBorder="1" applyAlignment="1">
      <alignment horizontal="center"/>
    </xf>
    <xf numFmtId="0" fontId="25" fillId="0" borderId="0" xfId="4" applyFont="1" applyAlignment="1">
      <alignment horizontal="justify" vertical="center" wrapText="1"/>
    </xf>
    <xf numFmtId="0" fontId="24" fillId="0" borderId="14" xfId="4" applyFont="1" applyBorder="1" applyAlignment="1">
      <alignment horizontal="center" vertical="center" wrapText="1"/>
    </xf>
    <xf numFmtId="0" fontId="24" fillId="0" borderId="8" xfId="4" applyFont="1" applyBorder="1" applyAlignment="1">
      <alignment horizontal="center" vertical="center" wrapText="1"/>
    </xf>
    <xf numFmtId="0" fontId="24" fillId="0" borderId="14" xfId="4" applyFont="1" applyBorder="1" applyAlignment="1">
      <alignment horizontal="center" vertical="center"/>
    </xf>
    <xf numFmtId="0" fontId="24" fillId="0" borderId="15" xfId="4" applyFont="1" applyBorder="1" applyAlignment="1">
      <alignment horizontal="center" vertical="center"/>
    </xf>
    <xf numFmtId="0" fontId="24" fillId="0" borderId="8" xfId="4" applyFont="1" applyBorder="1" applyAlignment="1">
      <alignment horizontal="center" vertical="center"/>
    </xf>
    <xf numFmtId="0" fontId="24" fillId="0" borderId="9" xfId="4" applyFont="1" applyBorder="1" applyAlignment="1">
      <alignment horizontal="center" vertical="center"/>
    </xf>
    <xf numFmtId="0" fontId="24" fillId="0" borderId="10" xfId="4" applyFont="1" applyBorder="1" applyAlignment="1">
      <alignment horizontal="center" vertical="center"/>
    </xf>
    <xf numFmtId="0" fontId="24" fillId="0" borderId="11" xfId="4" applyFont="1" applyBorder="1" applyAlignment="1">
      <alignment horizontal="center" vertical="center"/>
    </xf>
    <xf numFmtId="0" fontId="24" fillId="0" borderId="9" xfId="4" applyFont="1" applyBorder="1" applyAlignment="1">
      <alignment horizontal="center" vertical="center" wrapText="1"/>
    </xf>
    <xf numFmtId="0" fontId="24" fillId="0" borderId="10" xfId="4" applyFont="1" applyBorder="1" applyAlignment="1">
      <alignment horizontal="center" vertical="center" wrapText="1"/>
    </xf>
    <xf numFmtId="0" fontId="24" fillId="0" borderId="11" xfId="4" applyFont="1" applyBorder="1" applyAlignment="1">
      <alignment horizontal="center" vertical="center" wrapText="1"/>
    </xf>
    <xf numFmtId="0" fontId="24" fillId="0" borderId="16" xfId="4" applyFont="1" applyBorder="1" applyAlignment="1">
      <alignment horizontal="center" vertical="center" wrapText="1"/>
    </xf>
    <xf numFmtId="0" fontId="24" fillId="0" borderId="17" xfId="4" applyFont="1" applyBorder="1" applyAlignment="1">
      <alignment horizontal="center" vertical="center" wrapText="1"/>
    </xf>
    <xf numFmtId="0" fontId="24" fillId="0" borderId="12" xfId="4" applyFont="1" applyBorder="1" applyAlignment="1">
      <alignment horizontal="center" vertical="center"/>
    </xf>
    <xf numFmtId="0" fontId="24" fillId="0" borderId="12" xfId="4" applyFont="1" applyBorder="1" applyAlignment="1">
      <alignment horizontal="center" vertical="center" wrapText="1"/>
    </xf>
    <xf numFmtId="0" fontId="11" fillId="0" borderId="0" xfId="0" quotePrefix="1" applyFont="1" applyAlignment="1">
      <alignment horizontal="left" vertical="center" wrapText="1" readingOrder="1"/>
    </xf>
    <xf numFmtId="0" fontId="27" fillId="0" borderId="0" xfId="0" applyFont="1" applyAlignment="1">
      <alignment horizontal="left" vertical="top" readingOrder="1"/>
    </xf>
    <xf numFmtId="0" fontId="24" fillId="0" borderId="9" xfId="4" applyFont="1" applyBorder="1" applyAlignment="1">
      <alignment horizontal="center" wrapText="1"/>
    </xf>
    <xf numFmtId="0" fontId="24" fillId="0" borderId="10" xfId="4" applyFont="1" applyBorder="1" applyAlignment="1">
      <alignment horizontal="center" wrapText="1"/>
    </xf>
    <xf numFmtId="0" fontId="24" fillId="0" borderId="11" xfId="4" applyFont="1" applyBorder="1" applyAlignment="1">
      <alignment horizontal="center" wrapText="1"/>
    </xf>
    <xf numFmtId="0" fontId="24" fillId="0" borderId="9" xfId="4" applyFont="1" applyBorder="1" applyAlignment="1">
      <alignment horizontal="center"/>
    </xf>
    <xf numFmtId="0" fontId="24" fillId="0" borderId="11" xfId="4" applyFont="1" applyBorder="1" applyAlignment="1">
      <alignment horizontal="center"/>
    </xf>
    <xf numFmtId="164" fontId="25" fillId="0" borderId="9" xfId="7" applyFont="1" applyFill="1" applyBorder="1" applyAlignment="1">
      <alignment horizontal="center"/>
    </xf>
    <xf numFmtId="164" fontId="25" fillId="0" borderId="10" xfId="7" applyFont="1" applyFill="1" applyBorder="1" applyAlignment="1">
      <alignment horizontal="center"/>
    </xf>
    <xf numFmtId="164" fontId="25" fillId="0" borderId="11" xfId="7" applyFont="1" applyFill="1" applyBorder="1" applyAlignment="1">
      <alignment horizontal="center"/>
    </xf>
    <xf numFmtId="0" fontId="25" fillId="0" borderId="0" xfId="4" applyFont="1" applyAlignment="1">
      <alignment horizontal="left" vertical="center" wrapText="1"/>
    </xf>
    <xf numFmtId="0" fontId="25" fillId="0" borderId="0" xfId="4" applyFont="1" applyAlignment="1">
      <alignment horizontal="center"/>
    </xf>
    <xf numFmtId="0" fontId="24" fillId="0" borderId="0" xfId="4" applyFont="1" applyAlignment="1">
      <alignment horizontal="center"/>
    </xf>
    <xf numFmtId="0" fontId="11" fillId="0" borderId="0" xfId="0" applyFont="1" applyAlignment="1">
      <alignment horizontal="justify" vertical="top" wrapText="1" readingOrder="1"/>
    </xf>
    <xf numFmtId="0" fontId="24" fillId="0" borderId="18" xfId="4" applyFont="1" applyBorder="1" applyAlignment="1">
      <alignment horizontal="center" vertical="center"/>
    </xf>
    <xf numFmtId="0" fontId="24" fillId="0" borderId="19" xfId="4" applyFont="1" applyBorder="1" applyAlignment="1">
      <alignment horizontal="center" vertical="center"/>
    </xf>
    <xf numFmtId="0" fontId="24" fillId="0" borderId="20" xfId="4" applyFont="1" applyBorder="1" applyAlignment="1">
      <alignment horizontal="center" vertical="center"/>
    </xf>
    <xf numFmtId="0" fontId="24" fillId="0" borderId="21" xfId="4" applyFont="1" applyBorder="1" applyAlignment="1">
      <alignment horizontal="center" vertical="center"/>
    </xf>
    <xf numFmtId="0" fontId="24" fillId="0" borderId="19" xfId="4" applyFont="1" applyBorder="1" applyAlignment="1">
      <alignment horizontal="center" vertical="center" wrapText="1"/>
    </xf>
    <xf numFmtId="0" fontId="24" fillId="0" borderId="20" xfId="4" applyFont="1" applyBorder="1" applyAlignment="1">
      <alignment horizontal="center" vertical="center" wrapText="1"/>
    </xf>
    <xf numFmtId="0" fontId="24" fillId="0" borderId="21" xfId="4" applyFont="1" applyBorder="1" applyAlignment="1">
      <alignment horizontal="center" vertical="center" wrapText="1"/>
    </xf>
    <xf numFmtId="0" fontId="24" fillId="0" borderId="18" xfId="4" applyFont="1" applyBorder="1" applyAlignment="1">
      <alignment horizontal="center" vertical="center" wrapText="1"/>
    </xf>
    <xf numFmtId="0" fontId="22" fillId="0" borderId="19" xfId="0" applyFont="1" applyBorder="1" applyAlignment="1">
      <alignment horizontal="center" vertical="center"/>
    </xf>
    <xf numFmtId="0" fontId="22" fillId="0" borderId="20" xfId="0" applyFont="1" applyBorder="1" applyAlignment="1">
      <alignment horizontal="center" vertical="center"/>
    </xf>
    <xf numFmtId="0" fontId="22" fillId="0" borderId="21" xfId="0" applyFont="1" applyBorder="1" applyAlignment="1">
      <alignment horizontal="center" vertical="center"/>
    </xf>
    <xf numFmtId="0" fontId="14" fillId="0" borderId="7" xfId="0" applyFont="1" applyBorder="1" applyAlignment="1">
      <alignment horizontal="center" vertical="center" wrapText="1" readingOrder="1"/>
    </xf>
    <xf numFmtId="0" fontId="11" fillId="0" borderId="7" xfId="0" applyFont="1" applyBorder="1" applyAlignment="1">
      <alignment horizontal="left" vertical="center" wrapText="1" readingOrder="1"/>
    </xf>
    <xf numFmtId="0" fontId="22" fillId="0" borderId="9" xfId="0" applyFont="1" applyBorder="1" applyAlignment="1">
      <alignment horizontal="left" vertical="center" readingOrder="1"/>
    </xf>
    <xf numFmtId="0" fontId="22" fillId="0" borderId="10" xfId="0" applyFont="1" applyBorder="1" applyAlignment="1">
      <alignment horizontal="left" vertical="center" readingOrder="1"/>
    </xf>
    <xf numFmtId="0" fontId="22" fillId="0" borderId="11" xfId="0" applyFont="1" applyBorder="1" applyAlignment="1">
      <alignment horizontal="left" vertical="center" readingOrder="1"/>
    </xf>
    <xf numFmtId="0" fontId="36" fillId="0" borderId="9" xfId="11" applyFont="1" applyBorder="1" applyAlignment="1">
      <alignment horizontal="center" vertical="center" wrapText="1"/>
    </xf>
    <xf numFmtId="0" fontId="36" fillId="0" borderId="11" xfId="11" applyFont="1" applyBorder="1" applyAlignment="1">
      <alignment horizontal="center" vertical="center" wrapText="1"/>
    </xf>
    <xf numFmtId="0" fontId="36" fillId="0" borderId="12" xfId="11" applyFont="1" applyBorder="1" applyAlignment="1">
      <alignment horizontal="center" vertical="center"/>
    </xf>
    <xf numFmtId="164" fontId="37" fillId="0" borderId="9" xfId="7" applyFont="1" applyFill="1" applyBorder="1" applyAlignment="1">
      <alignment horizontal="center" vertical="center"/>
    </xf>
    <xf numFmtId="164" fontId="37" fillId="0" borderId="11" xfId="7" applyFont="1" applyFill="1" applyBorder="1" applyAlignment="1">
      <alignment horizontal="center" vertical="center"/>
    </xf>
    <xf numFmtId="0" fontId="36" fillId="0" borderId="9" xfId="11" applyFont="1" applyBorder="1" applyAlignment="1">
      <alignment horizontal="center" vertical="center"/>
    </xf>
    <xf numFmtId="0" fontId="36" fillId="0" borderId="10" xfId="11" applyFont="1" applyBorder="1" applyAlignment="1">
      <alignment horizontal="center" vertical="center"/>
    </xf>
    <xf numFmtId="0" fontId="36" fillId="0" borderId="11" xfId="11" applyFont="1" applyBorder="1" applyAlignment="1">
      <alignment horizontal="center" vertical="center"/>
    </xf>
    <xf numFmtId="0" fontId="37" fillId="0" borderId="9" xfId="11" applyFont="1" applyBorder="1" applyAlignment="1">
      <alignment horizontal="left" vertical="center" wrapText="1"/>
    </xf>
    <xf numFmtId="0" fontId="37" fillId="0" borderId="10" xfId="11" applyFont="1" applyBorder="1" applyAlignment="1">
      <alignment horizontal="left" vertical="center" wrapText="1"/>
    </xf>
    <xf numFmtId="0" fontId="37" fillId="0" borderId="11" xfId="11" applyFont="1" applyBorder="1" applyAlignment="1">
      <alignment horizontal="left" vertical="center" wrapText="1"/>
    </xf>
    <xf numFmtId="0" fontId="27" fillId="0" borderId="12" xfId="0" applyFont="1" applyBorder="1" applyAlignment="1">
      <alignment horizontal="left" vertical="top" readingOrder="1"/>
    </xf>
    <xf numFmtId="0" fontId="2" fillId="0" borderId="25" xfId="0" applyFont="1" applyBorder="1" applyAlignment="1">
      <alignment horizontal="left" vertical="center" wrapText="1" readingOrder="1"/>
    </xf>
    <xf numFmtId="0" fontId="11" fillId="0" borderId="25" xfId="0" applyFont="1" applyBorder="1" applyAlignment="1">
      <alignment horizontal="left" vertical="center" wrapText="1" readingOrder="1"/>
    </xf>
    <xf numFmtId="0" fontId="11" fillId="0" borderId="22" xfId="0" applyFont="1" applyBorder="1" applyAlignment="1">
      <alignment horizontal="left" vertical="center" wrapText="1" readingOrder="1"/>
    </xf>
    <xf numFmtId="0" fontId="11" fillId="0" borderId="23" xfId="0" applyFont="1" applyBorder="1" applyAlignment="1">
      <alignment horizontal="left" vertical="center" wrapText="1" readingOrder="1"/>
    </xf>
  </cellXfs>
  <cellStyles count="12">
    <cellStyle name="Comma 2" xfId="7" xr:uid="{87C19F49-AA95-4655-951A-1D7F6B674DB7}"/>
    <cellStyle name="Comma 2 2" xfId="9" xr:uid="{A92C3C2C-C45C-4E8E-BADB-54B9F78D12EB}"/>
    <cellStyle name="Comma 3" xfId="2" xr:uid="{298F159C-0370-432C-A93B-AD5F8490DFE6}"/>
    <cellStyle name="Hyperlink 2" xfId="3" xr:uid="{E01C876F-9A8A-40B1-A0D6-5ACACF0D4115}"/>
    <cellStyle name="Normal" xfId="0" builtinId="0"/>
    <cellStyle name="Normal 2 2 2" xfId="4" xr:uid="{C56BC845-D43A-4300-A54C-9AFE82E53040}"/>
    <cellStyle name="Normal 2 2 3" xfId="11" xr:uid="{F9304515-1D03-4500-BE3C-C58DB0756015}"/>
    <cellStyle name="Normal 2 3" xfId="5" xr:uid="{58F033CC-C8AD-4A07-B6B1-82F44EAFD5FF}"/>
    <cellStyle name="Normal 3" xfId="6" xr:uid="{6B198E4C-0EE3-4E73-9249-591B3DDF61E0}"/>
    <cellStyle name="Normal 4" xfId="10" xr:uid="{44E5B655-91FD-4FE7-84DD-75EA4F6DFD1E}"/>
    <cellStyle name="Percent" xfId="1" builtinId="5"/>
    <cellStyle name="Percent 2" xfId="8" xr:uid="{25924185-2882-4455-961C-144C67F2F4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155</xdr:row>
      <xdr:rowOff>0</xdr:rowOff>
    </xdr:from>
    <xdr:to>
      <xdr:col>2</xdr:col>
      <xdr:colOff>2095500</xdr:colOff>
      <xdr:row>156</xdr:row>
      <xdr:rowOff>27375</xdr:rowOff>
    </xdr:to>
    <xdr:pic>
      <xdr:nvPicPr>
        <xdr:cNvPr id="4" name="Picture 3">
          <a:extLst>
            <a:ext uri="{FF2B5EF4-FFF2-40B4-BE49-F238E27FC236}">
              <a16:creationId xmlns:a16="http://schemas.microsoft.com/office/drawing/2014/main" id="{F4D5DD6B-4ED8-476F-AF33-09E489CE71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880175"/>
          <a:ext cx="34480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57152</xdr:colOff>
      <xdr:row>160</xdr:row>
      <xdr:rowOff>180976</xdr:rowOff>
    </xdr:from>
    <xdr:to>
      <xdr:col>2</xdr:col>
      <xdr:colOff>2057400</xdr:colOff>
      <xdr:row>161</xdr:row>
      <xdr:rowOff>65476</xdr:rowOff>
    </xdr:to>
    <xdr:pic>
      <xdr:nvPicPr>
        <xdr:cNvPr id="5" name="Picture 4">
          <a:extLst>
            <a:ext uri="{FF2B5EF4-FFF2-40B4-BE49-F238E27FC236}">
              <a16:creationId xmlns:a16="http://schemas.microsoft.com/office/drawing/2014/main" id="{969C471B-51AE-4770-9FDE-CDE46906222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7" y="34661476"/>
          <a:ext cx="3352798"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154</xdr:row>
      <xdr:rowOff>0</xdr:rowOff>
    </xdr:from>
    <xdr:to>
      <xdr:col>2</xdr:col>
      <xdr:colOff>1790701</xdr:colOff>
      <xdr:row>166</xdr:row>
      <xdr:rowOff>36900</xdr:rowOff>
    </xdr:to>
    <xdr:pic>
      <xdr:nvPicPr>
        <xdr:cNvPr id="2" name="Picture 1">
          <a:extLst>
            <a:ext uri="{FF2B5EF4-FFF2-40B4-BE49-F238E27FC236}">
              <a16:creationId xmlns:a16="http://schemas.microsoft.com/office/drawing/2014/main" id="{B426B5FD-ED81-4D20-AD7A-2AB825A4FE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1" y="35613975"/>
          <a:ext cx="32194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149</xdr:row>
      <xdr:rowOff>0</xdr:rowOff>
    </xdr:from>
    <xdr:to>
      <xdr:col>2</xdr:col>
      <xdr:colOff>1771650</xdr:colOff>
      <xdr:row>149</xdr:row>
      <xdr:rowOff>1980000</xdr:rowOff>
    </xdr:to>
    <xdr:pic>
      <xdr:nvPicPr>
        <xdr:cNvPr id="4" name="Picture 3">
          <a:extLst>
            <a:ext uri="{FF2B5EF4-FFF2-40B4-BE49-F238E27FC236}">
              <a16:creationId xmlns:a16="http://schemas.microsoft.com/office/drawing/2014/main" id="{2C551951-4771-48C5-8CA7-0F478AD3EE5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679900"/>
          <a:ext cx="320040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164</xdr:row>
      <xdr:rowOff>0</xdr:rowOff>
    </xdr:from>
    <xdr:to>
      <xdr:col>2</xdr:col>
      <xdr:colOff>2034089</xdr:colOff>
      <xdr:row>165</xdr:row>
      <xdr:rowOff>27375</xdr:rowOff>
    </xdr:to>
    <xdr:pic>
      <xdr:nvPicPr>
        <xdr:cNvPr id="4" name="Picture 3">
          <a:extLst>
            <a:ext uri="{FF2B5EF4-FFF2-40B4-BE49-F238E27FC236}">
              <a16:creationId xmlns:a16="http://schemas.microsoft.com/office/drawing/2014/main" id="{D3A1DEDF-F1F0-43D4-9FA3-3063AA141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3944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170</xdr:row>
      <xdr:rowOff>0</xdr:rowOff>
    </xdr:from>
    <xdr:to>
      <xdr:col>2</xdr:col>
      <xdr:colOff>2034089</xdr:colOff>
      <xdr:row>170</xdr:row>
      <xdr:rowOff>1980000</xdr:rowOff>
    </xdr:to>
    <xdr:pic>
      <xdr:nvPicPr>
        <xdr:cNvPr id="5" name="Picture 4">
          <a:extLst>
            <a:ext uri="{FF2B5EF4-FFF2-40B4-BE49-F238E27FC236}">
              <a16:creationId xmlns:a16="http://schemas.microsoft.com/office/drawing/2014/main" id="{1CF571EF-ED95-44BC-97D4-4B4D99FDA1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1566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184</xdr:row>
      <xdr:rowOff>200025</xdr:rowOff>
    </xdr:from>
    <xdr:to>
      <xdr:col>2</xdr:col>
      <xdr:colOff>2238375</xdr:colOff>
      <xdr:row>184</xdr:row>
      <xdr:rowOff>2180025</xdr:rowOff>
    </xdr:to>
    <xdr:pic>
      <xdr:nvPicPr>
        <xdr:cNvPr id="4" name="Picture 3">
          <a:extLst>
            <a:ext uri="{FF2B5EF4-FFF2-40B4-BE49-F238E27FC236}">
              <a16:creationId xmlns:a16="http://schemas.microsoft.com/office/drawing/2014/main" id="{3F12EEE3-F18F-411C-B5CE-4F1B6A809C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128700"/>
          <a:ext cx="359092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179</xdr:row>
      <xdr:rowOff>0</xdr:rowOff>
    </xdr:from>
    <xdr:to>
      <xdr:col>2</xdr:col>
      <xdr:colOff>2219325</xdr:colOff>
      <xdr:row>180</xdr:row>
      <xdr:rowOff>151200</xdr:rowOff>
    </xdr:to>
    <xdr:pic>
      <xdr:nvPicPr>
        <xdr:cNvPr id="5" name="Picture 4">
          <a:extLst>
            <a:ext uri="{FF2B5EF4-FFF2-40B4-BE49-F238E27FC236}">
              <a16:creationId xmlns:a16="http://schemas.microsoft.com/office/drawing/2014/main" id="{66259E42-6427-4AA5-B554-2EFEC64A1A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6725" y="36328350"/>
          <a:ext cx="3495675" cy="210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2</xdr:col>
      <xdr:colOff>2034089</xdr:colOff>
      <xdr:row>209</xdr:row>
      <xdr:rowOff>27375</xdr:rowOff>
    </xdr:to>
    <xdr:pic>
      <xdr:nvPicPr>
        <xdr:cNvPr id="4" name="Picture 3">
          <a:extLst>
            <a:ext uri="{FF2B5EF4-FFF2-40B4-BE49-F238E27FC236}">
              <a16:creationId xmlns:a16="http://schemas.microsoft.com/office/drawing/2014/main" id="{33205374-3BF0-4172-A7D0-7019EC7C3C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01383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213</xdr:row>
      <xdr:rowOff>0</xdr:rowOff>
    </xdr:from>
    <xdr:to>
      <xdr:col>2</xdr:col>
      <xdr:colOff>2034089</xdr:colOff>
      <xdr:row>213</xdr:row>
      <xdr:rowOff>1980000</xdr:rowOff>
    </xdr:to>
    <xdr:pic>
      <xdr:nvPicPr>
        <xdr:cNvPr id="5" name="Picture 4">
          <a:extLst>
            <a:ext uri="{FF2B5EF4-FFF2-40B4-BE49-F238E27FC236}">
              <a16:creationId xmlns:a16="http://schemas.microsoft.com/office/drawing/2014/main" id="{FC102E66-7EA9-42F5-BC0D-9E1C3D9D42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27386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173</xdr:row>
      <xdr:rowOff>0</xdr:rowOff>
    </xdr:from>
    <xdr:to>
      <xdr:col>2</xdr:col>
      <xdr:colOff>2028825</xdr:colOff>
      <xdr:row>174</xdr:row>
      <xdr:rowOff>27375</xdr:rowOff>
    </xdr:to>
    <xdr:pic>
      <xdr:nvPicPr>
        <xdr:cNvPr id="4" name="Picture 3">
          <a:extLst>
            <a:ext uri="{FF2B5EF4-FFF2-40B4-BE49-F238E27FC236}">
              <a16:creationId xmlns:a16="http://schemas.microsoft.com/office/drawing/2014/main" id="{0A109F81-B6F8-47FB-B397-9A3E745205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6737925"/>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178</xdr:row>
      <xdr:rowOff>0</xdr:rowOff>
    </xdr:from>
    <xdr:to>
      <xdr:col>2</xdr:col>
      <xdr:colOff>2034090</xdr:colOff>
      <xdr:row>178</xdr:row>
      <xdr:rowOff>1980000</xdr:rowOff>
    </xdr:to>
    <xdr:pic>
      <xdr:nvPicPr>
        <xdr:cNvPr id="5" name="Picture 4">
          <a:extLst>
            <a:ext uri="{FF2B5EF4-FFF2-40B4-BE49-F238E27FC236}">
              <a16:creationId xmlns:a16="http://schemas.microsoft.com/office/drawing/2014/main" id="{B54C2AE1-EE84-4FF7-906F-D9A4261477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393382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211</xdr:row>
      <xdr:rowOff>0</xdr:rowOff>
    </xdr:from>
    <xdr:to>
      <xdr:col>2</xdr:col>
      <xdr:colOff>2034089</xdr:colOff>
      <xdr:row>211</xdr:row>
      <xdr:rowOff>1980000</xdr:rowOff>
    </xdr:to>
    <xdr:pic>
      <xdr:nvPicPr>
        <xdr:cNvPr id="4" name="Picture 3">
          <a:extLst>
            <a:ext uri="{FF2B5EF4-FFF2-40B4-BE49-F238E27FC236}">
              <a16:creationId xmlns:a16="http://schemas.microsoft.com/office/drawing/2014/main" id="{53FA77E8-AAEC-4D12-8E79-D65446C797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44531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205</xdr:row>
      <xdr:rowOff>0</xdr:rowOff>
    </xdr:from>
    <xdr:to>
      <xdr:col>2</xdr:col>
      <xdr:colOff>2034089</xdr:colOff>
      <xdr:row>206</xdr:row>
      <xdr:rowOff>27375</xdr:rowOff>
    </xdr:to>
    <xdr:pic>
      <xdr:nvPicPr>
        <xdr:cNvPr id="3" name="Picture 2">
          <a:extLst>
            <a:ext uri="{FF2B5EF4-FFF2-40B4-BE49-F238E27FC236}">
              <a16:creationId xmlns:a16="http://schemas.microsoft.com/office/drawing/2014/main" id="{D44953EE-265A-4990-9EE8-E805A1E537A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1205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2</xdr:col>
      <xdr:colOff>2000249</xdr:colOff>
      <xdr:row>139</xdr:row>
      <xdr:rowOff>27375</xdr:rowOff>
    </xdr:to>
    <xdr:pic>
      <xdr:nvPicPr>
        <xdr:cNvPr id="4" name="Picture 3">
          <a:extLst>
            <a:ext uri="{FF2B5EF4-FFF2-40B4-BE49-F238E27FC236}">
              <a16:creationId xmlns:a16="http://schemas.microsoft.com/office/drawing/2014/main" id="{6E17AD66-B412-4E91-A061-3E493C9132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841575"/>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143</xdr:row>
      <xdr:rowOff>38101</xdr:rowOff>
    </xdr:from>
    <xdr:to>
      <xdr:col>2</xdr:col>
      <xdr:colOff>1962149</xdr:colOff>
      <xdr:row>143</xdr:row>
      <xdr:rowOff>2018101</xdr:rowOff>
    </xdr:to>
    <xdr:pic>
      <xdr:nvPicPr>
        <xdr:cNvPr id="5" name="Picture 4">
          <a:extLst>
            <a:ext uri="{FF2B5EF4-FFF2-40B4-BE49-F238E27FC236}">
              <a16:creationId xmlns:a16="http://schemas.microsoft.com/office/drawing/2014/main" id="{97FC6026-853F-47EF-9AF4-A77932DCD6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30480001"/>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28575</xdr:colOff>
      <xdr:row>160</xdr:row>
      <xdr:rowOff>0</xdr:rowOff>
    </xdr:from>
    <xdr:to>
      <xdr:col>2</xdr:col>
      <xdr:colOff>2124075</xdr:colOff>
      <xdr:row>161</xdr:row>
      <xdr:rowOff>28576</xdr:rowOff>
    </xdr:to>
    <xdr:pic>
      <xdr:nvPicPr>
        <xdr:cNvPr id="6" name="Picture 5">
          <a:extLst>
            <a:ext uri="{FF2B5EF4-FFF2-40B4-BE49-F238E27FC236}">
              <a16:creationId xmlns:a16="http://schemas.microsoft.com/office/drawing/2014/main" id="{C7AA6384-361C-4BE5-930C-807D13A5D4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31575375"/>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165</xdr:row>
      <xdr:rowOff>142875</xdr:rowOff>
    </xdr:from>
    <xdr:to>
      <xdr:col>2</xdr:col>
      <xdr:colOff>2047873</xdr:colOff>
      <xdr:row>166</xdr:row>
      <xdr:rowOff>27375</xdr:rowOff>
    </xdr:to>
    <xdr:pic>
      <xdr:nvPicPr>
        <xdr:cNvPr id="7" name="Picture 6">
          <a:extLst>
            <a:ext uri="{FF2B5EF4-FFF2-40B4-BE49-F238E27FC236}">
              <a16:creationId xmlns:a16="http://schemas.microsoft.com/office/drawing/2014/main" id="{BA7639FC-8A0B-4C2C-87BF-A1E8018808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318575"/>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112</xdr:row>
      <xdr:rowOff>161924</xdr:rowOff>
    </xdr:from>
    <xdr:to>
      <xdr:col>2</xdr:col>
      <xdr:colOff>2026948</xdr:colOff>
      <xdr:row>113</xdr:row>
      <xdr:rowOff>1979999</xdr:rowOff>
    </xdr:to>
    <xdr:pic>
      <xdr:nvPicPr>
        <xdr:cNvPr id="4" name="Picture 3">
          <a:extLst>
            <a:ext uri="{FF2B5EF4-FFF2-40B4-BE49-F238E27FC236}">
              <a16:creationId xmlns:a16="http://schemas.microsoft.com/office/drawing/2014/main" id="{26F6E87F-FBC4-4C02-9526-2E0D46120C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240749"/>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108</xdr:row>
      <xdr:rowOff>0</xdr:rowOff>
    </xdr:from>
    <xdr:to>
      <xdr:col>2</xdr:col>
      <xdr:colOff>1949325</xdr:colOff>
      <xdr:row>109</xdr:row>
      <xdr:rowOff>25899</xdr:rowOff>
    </xdr:to>
    <xdr:pic>
      <xdr:nvPicPr>
        <xdr:cNvPr id="5" name="Picture 4">
          <a:extLst>
            <a:ext uri="{FF2B5EF4-FFF2-40B4-BE49-F238E27FC236}">
              <a16:creationId xmlns:a16="http://schemas.microsoft.com/office/drawing/2014/main" id="{756AE9B3-41D5-4770-8152-7AAA55534D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8640425"/>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ABEC-5759-4156-A466-3D03CF6EB294}">
  <dimension ref="A1:C11"/>
  <sheetViews>
    <sheetView tabSelected="1" workbookViewId="0">
      <selection activeCell="E20" sqref="E20"/>
    </sheetView>
  </sheetViews>
  <sheetFormatPr defaultColWidth="8.85546875" defaultRowHeight="15" x14ac:dyDescent="0.25"/>
  <cols>
    <col min="1" max="1" width="6.140625" style="4" bestFit="1" customWidth="1"/>
    <col min="2" max="2" width="10.85546875" style="4" bestFit="1" customWidth="1"/>
    <col min="3" max="3" width="35" style="4" bestFit="1" customWidth="1"/>
    <col min="4" max="16384" width="8.85546875" style="4"/>
  </cols>
  <sheetData>
    <row r="1" spans="1:3" x14ac:dyDescent="0.25">
      <c r="A1" s="2" t="s">
        <v>595</v>
      </c>
      <c r="B1" s="3" t="s">
        <v>596</v>
      </c>
      <c r="C1" s="3" t="s">
        <v>597</v>
      </c>
    </row>
    <row r="2" spans="1:3" x14ac:dyDescent="0.25">
      <c r="A2" s="5">
        <v>1</v>
      </c>
      <c r="B2" s="6" t="s">
        <v>598</v>
      </c>
      <c r="C2" s="7" t="s">
        <v>1</v>
      </c>
    </row>
    <row r="3" spans="1:3" x14ac:dyDescent="0.25">
      <c r="A3" s="5">
        <v>2</v>
      </c>
      <c r="B3" s="6" t="s">
        <v>599</v>
      </c>
      <c r="C3" s="7" t="s">
        <v>132</v>
      </c>
    </row>
    <row r="4" spans="1:3" x14ac:dyDescent="0.25">
      <c r="A4" s="5">
        <v>3</v>
      </c>
      <c r="B4" s="6" t="s">
        <v>600</v>
      </c>
      <c r="C4" s="7" t="s">
        <v>172</v>
      </c>
    </row>
    <row r="5" spans="1:3" x14ac:dyDescent="0.25">
      <c r="A5" s="5">
        <v>4</v>
      </c>
      <c r="B5" s="6" t="s">
        <v>601</v>
      </c>
      <c r="C5" s="7" t="s">
        <v>260</v>
      </c>
    </row>
    <row r="6" spans="1:3" x14ac:dyDescent="0.25">
      <c r="A6" s="5">
        <v>5</v>
      </c>
      <c r="B6" s="6" t="s">
        <v>602</v>
      </c>
      <c r="C6" s="7" t="s">
        <v>306</v>
      </c>
    </row>
    <row r="7" spans="1:3" x14ac:dyDescent="0.25">
      <c r="A7" s="5">
        <v>6</v>
      </c>
      <c r="B7" s="6" t="s">
        <v>603</v>
      </c>
      <c r="C7" s="7" t="s">
        <v>461</v>
      </c>
    </row>
    <row r="8" spans="1:3" x14ac:dyDescent="0.25">
      <c r="A8" s="5">
        <v>7</v>
      </c>
      <c r="B8" s="6" t="s">
        <v>604</v>
      </c>
      <c r="C8" s="7" t="s">
        <v>476</v>
      </c>
    </row>
    <row r="9" spans="1:3" x14ac:dyDescent="0.25">
      <c r="A9" s="5">
        <v>8</v>
      </c>
      <c r="B9" s="6" t="s">
        <v>605</v>
      </c>
      <c r="C9" s="7" t="s">
        <v>525</v>
      </c>
    </row>
    <row r="10" spans="1:3" x14ac:dyDescent="0.25">
      <c r="A10" s="5">
        <v>9</v>
      </c>
      <c r="B10" s="6" t="s">
        <v>606</v>
      </c>
      <c r="C10" s="7" t="s">
        <v>528</v>
      </c>
    </row>
    <row r="11" spans="1:3" x14ac:dyDescent="0.25">
      <c r="A11" s="5">
        <v>10</v>
      </c>
      <c r="B11" s="6" t="s">
        <v>607</v>
      </c>
      <c r="C11" s="7" t="s">
        <v>588</v>
      </c>
    </row>
  </sheetData>
  <hyperlinks>
    <hyperlink ref="B3" location="SFRSTP!A1" display="SFRSTP" xr:uid="{68918599-4486-4BF2-AF7B-766FE454081D}"/>
    <hyperlink ref="B4" location="SMMF!A1" display="SMMF" xr:uid="{7DC54ABC-8A7F-42CF-A868-6B4859E303BB}"/>
    <hyperlink ref="B5" location="SPLDF!A1" display="SPLDF" xr:uid="{672127F7-29A4-4FE8-8179-6359BF45D445}"/>
    <hyperlink ref="B6" location="SPMON!A1" display="SPMON" xr:uid="{3DC46FA9-AF7F-4073-B953-B4D2BBBCC9DA}"/>
    <hyperlink ref="B7" location="SPSDF!A1" display="SPSDF" xr:uid="{431D6199-4C0F-4090-81F2-7969DADDB030}"/>
    <hyperlink ref="B8" location="SPUSDF!A1" display="SPUSDF" xr:uid="{578A5E08-457D-4B2C-AC9E-82B8267628DF}"/>
    <hyperlink ref="B9" location="SUNBDS!A1" display="SUNBDS" xr:uid="{416069FF-0C9B-415E-8349-09DBCE2BD82F}"/>
    <hyperlink ref="B10" location="SUNMIA!A1" display="SUNMIA" xr:uid="{38B38123-29DC-46B4-B182-0F9408566750}"/>
    <hyperlink ref="B11" location="SUNONF!A1" display="SUNONF" xr:uid="{B2CF8AE9-0863-4D27-AA63-A7DA559CCBFE}"/>
    <hyperlink ref="B2" location="SFRLTP!A1" display="SFRLTP" xr:uid="{CF183389-7D6D-4A64-A185-B9DA3E0CBF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9516E-2724-42BC-B4F5-ED77E7525CEC}">
  <sheetPr>
    <outlinePr summaryBelow="0" summaryRight="0"/>
  </sheetPr>
  <dimension ref="A1:Q161"/>
  <sheetViews>
    <sheetView showGridLines="0" workbookViewId="0">
      <selection activeCell="I18" sqref="I18"/>
    </sheetView>
  </sheetViews>
  <sheetFormatPr defaultRowHeight="12.75" x14ac:dyDescent="0.2"/>
  <cols>
    <col min="1" max="1" width="5.85546875" bestFit="1" customWidth="1"/>
    <col min="2" max="2" width="20.28515625" bestFit="1" customWidth="1"/>
    <col min="3" max="3" width="39" customWidth="1"/>
    <col min="4" max="4" width="12.5703125" customWidth="1"/>
    <col min="5" max="5" width="9.42578125" bestFit="1" customWidth="1"/>
    <col min="6" max="6" width="10.140625" bestFit="1" customWidth="1"/>
    <col min="7" max="7" width="14" bestFit="1" customWidth="1"/>
    <col min="8" max="8" width="11" customWidth="1"/>
  </cols>
  <sheetData>
    <row r="1" spans="1:9" ht="15" x14ac:dyDescent="0.2">
      <c r="A1" s="173" t="s">
        <v>0</v>
      </c>
      <c r="B1" s="173"/>
      <c r="C1" s="173"/>
      <c r="D1" s="173"/>
      <c r="E1" s="173"/>
      <c r="F1" s="173"/>
      <c r="G1" s="173"/>
      <c r="H1" s="173"/>
      <c r="I1" s="1" t="s">
        <v>594</v>
      </c>
    </row>
    <row r="2" spans="1:9" ht="15" x14ac:dyDescent="0.2">
      <c r="A2" s="173" t="s">
        <v>1</v>
      </c>
      <c r="B2" s="173"/>
      <c r="C2" s="173"/>
      <c r="D2" s="173"/>
      <c r="E2" s="173"/>
      <c r="F2" s="173"/>
      <c r="G2" s="173"/>
      <c r="H2" s="173"/>
    </row>
    <row r="3" spans="1:9" ht="15" x14ac:dyDescent="0.2">
      <c r="A3" s="173" t="s">
        <v>750</v>
      </c>
      <c r="B3" s="173"/>
      <c r="C3" s="173"/>
      <c r="D3" s="173"/>
      <c r="E3" s="173"/>
      <c r="F3" s="173"/>
      <c r="G3" s="173"/>
      <c r="H3" s="173"/>
    </row>
    <row r="4" spans="1:9" s="16" customFormat="1" ht="30" x14ac:dyDescent="0.2">
      <c r="A4" s="14" t="s">
        <v>2</v>
      </c>
      <c r="B4" s="14" t="s">
        <v>3</v>
      </c>
      <c r="C4" s="14" t="s">
        <v>4</v>
      </c>
      <c r="D4" s="14" t="s">
        <v>5</v>
      </c>
      <c r="E4" s="14" t="s">
        <v>6</v>
      </c>
      <c r="F4" s="14" t="s">
        <v>7</v>
      </c>
      <c r="G4" s="14" t="s">
        <v>8</v>
      </c>
      <c r="H4" s="15" t="s">
        <v>593</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ht="25.5" x14ac:dyDescent="0.2">
      <c r="A28" s="27">
        <v>1</v>
      </c>
      <c r="B28" s="28" t="s">
        <v>21</v>
      </c>
      <c r="C28" s="28" t="s">
        <v>22</v>
      </c>
      <c r="D28" s="28" t="s">
        <v>23</v>
      </c>
      <c r="E28" s="29">
        <v>5000</v>
      </c>
      <c r="F28" s="30">
        <v>5161.0950000000003</v>
      </c>
      <c r="G28" s="31">
        <v>6.7256079999999996E-2</v>
      </c>
      <c r="H28" s="19">
        <v>6.7290000000000001</v>
      </c>
    </row>
    <row r="29" spans="1:8" ht="25.5" x14ac:dyDescent="0.2">
      <c r="A29" s="27">
        <v>2</v>
      </c>
      <c r="B29" s="28" t="s">
        <v>24</v>
      </c>
      <c r="C29" s="28" t="s">
        <v>25</v>
      </c>
      <c r="D29" s="28" t="s">
        <v>23</v>
      </c>
      <c r="E29" s="29">
        <v>4000</v>
      </c>
      <c r="F29" s="30">
        <v>4091.8919999999998</v>
      </c>
      <c r="G29" s="31">
        <v>5.3322910000000001E-2</v>
      </c>
      <c r="H29" s="19">
        <v>6.7149999999999999</v>
      </c>
    </row>
    <row r="30" spans="1:8" x14ac:dyDescent="0.2">
      <c r="A30" s="27">
        <v>3</v>
      </c>
      <c r="B30" s="28" t="s">
        <v>26</v>
      </c>
      <c r="C30" s="28" t="s">
        <v>27</v>
      </c>
      <c r="D30" s="28" t="s">
        <v>23</v>
      </c>
      <c r="E30" s="29">
        <v>4000</v>
      </c>
      <c r="F30" s="30">
        <v>4031.1559999999999</v>
      </c>
      <c r="G30" s="31">
        <v>5.2531439999999999E-2</v>
      </c>
      <c r="H30" s="19">
        <v>6.48</v>
      </c>
    </row>
    <row r="31" spans="1:8" x14ac:dyDescent="0.2">
      <c r="A31" s="27">
        <v>4</v>
      </c>
      <c r="B31" s="28" t="s">
        <v>28</v>
      </c>
      <c r="C31" s="28" t="s">
        <v>29</v>
      </c>
      <c r="D31" s="28" t="s">
        <v>23</v>
      </c>
      <c r="E31" s="29">
        <v>300</v>
      </c>
      <c r="F31" s="30">
        <v>3052.32</v>
      </c>
      <c r="G31" s="31">
        <v>3.977588E-2</v>
      </c>
      <c r="H31" s="19">
        <v>7.01</v>
      </c>
    </row>
    <row r="32" spans="1:8" ht="25.5" x14ac:dyDescent="0.2">
      <c r="A32" s="27">
        <v>5</v>
      </c>
      <c r="B32" s="28" t="s">
        <v>30</v>
      </c>
      <c r="C32" s="28" t="s">
        <v>31</v>
      </c>
      <c r="D32" s="28" t="s">
        <v>32</v>
      </c>
      <c r="E32" s="29">
        <v>2500</v>
      </c>
      <c r="F32" s="30">
        <v>2577.1750000000002</v>
      </c>
      <c r="G32" s="31">
        <v>3.3584089999999997E-2</v>
      </c>
      <c r="H32" s="19">
        <v>6.8</v>
      </c>
    </row>
    <row r="33" spans="1:8" ht="25.5" x14ac:dyDescent="0.2">
      <c r="A33" s="27">
        <v>6</v>
      </c>
      <c r="B33" s="28" t="s">
        <v>33</v>
      </c>
      <c r="C33" s="28" t="s">
        <v>34</v>
      </c>
      <c r="D33" s="28" t="s">
        <v>23</v>
      </c>
      <c r="E33" s="29">
        <v>2500</v>
      </c>
      <c r="F33" s="30">
        <v>2567.6350000000002</v>
      </c>
      <c r="G33" s="31">
        <v>3.345977E-2</v>
      </c>
      <c r="H33" s="19">
        <v>6.8</v>
      </c>
    </row>
    <row r="34" spans="1:8" ht="25.5" x14ac:dyDescent="0.2">
      <c r="A34" s="27">
        <v>7</v>
      </c>
      <c r="B34" s="28" t="s">
        <v>35</v>
      </c>
      <c r="C34" s="28" t="s">
        <v>36</v>
      </c>
      <c r="D34" s="28" t="s">
        <v>23</v>
      </c>
      <c r="E34" s="29">
        <v>2500</v>
      </c>
      <c r="F34" s="30">
        <v>2564.2275</v>
      </c>
      <c r="G34" s="31">
        <v>3.341537E-2</v>
      </c>
      <c r="H34" s="19">
        <v>5.8049999999999997</v>
      </c>
    </row>
    <row r="35" spans="1:8" x14ac:dyDescent="0.2">
      <c r="A35" s="27">
        <v>8</v>
      </c>
      <c r="B35" s="28" t="s">
        <v>37</v>
      </c>
      <c r="C35" s="28" t="s">
        <v>38</v>
      </c>
      <c r="D35" s="28" t="s">
        <v>23</v>
      </c>
      <c r="E35" s="29">
        <v>2500</v>
      </c>
      <c r="F35" s="30">
        <v>2551.17</v>
      </c>
      <c r="G35" s="31">
        <v>3.3245209999999997E-2</v>
      </c>
      <c r="H35" s="19">
        <v>6.69</v>
      </c>
    </row>
    <row r="36" spans="1:8" ht="25.5" x14ac:dyDescent="0.2">
      <c r="A36" s="27">
        <v>9</v>
      </c>
      <c r="B36" s="28" t="s">
        <v>39</v>
      </c>
      <c r="C36" s="28" t="s">
        <v>40</v>
      </c>
      <c r="D36" s="28" t="s">
        <v>23</v>
      </c>
      <c r="E36" s="29">
        <v>2500</v>
      </c>
      <c r="F36" s="30">
        <v>2523.5625</v>
      </c>
      <c r="G36" s="31">
        <v>3.2885449999999997E-2</v>
      </c>
      <c r="H36" s="19">
        <v>6.4850000000000003</v>
      </c>
    </row>
    <row r="37" spans="1:8" x14ac:dyDescent="0.2">
      <c r="A37" s="27">
        <v>10</v>
      </c>
      <c r="B37" s="28" t="s">
        <v>41</v>
      </c>
      <c r="C37" s="28" t="s">
        <v>42</v>
      </c>
      <c r="D37" s="28" t="s">
        <v>23</v>
      </c>
      <c r="E37" s="29">
        <v>2500</v>
      </c>
      <c r="F37" s="30">
        <v>2519.9499999999998</v>
      </c>
      <c r="G37" s="31">
        <v>3.2838369999999999E-2</v>
      </c>
      <c r="H37" s="19">
        <v>6.4957000000000003</v>
      </c>
    </row>
    <row r="38" spans="1:8" ht="25.5" x14ac:dyDescent="0.2">
      <c r="A38" s="27">
        <v>11</v>
      </c>
      <c r="B38" s="28" t="s">
        <v>43</v>
      </c>
      <c r="C38" s="28" t="s">
        <v>44</v>
      </c>
      <c r="D38" s="28" t="s">
        <v>23</v>
      </c>
      <c r="E38" s="29">
        <v>2000</v>
      </c>
      <c r="F38" s="30">
        <v>2054.1480000000001</v>
      </c>
      <c r="G38" s="31">
        <v>2.6768340000000002E-2</v>
      </c>
      <c r="H38" s="19">
        <v>6.7637999999999998</v>
      </c>
    </row>
    <row r="39" spans="1:8" ht="25.5" x14ac:dyDescent="0.2">
      <c r="A39" s="27">
        <v>12</v>
      </c>
      <c r="B39" s="28" t="s">
        <v>45</v>
      </c>
      <c r="C39" s="28" t="s">
        <v>46</v>
      </c>
      <c r="D39" s="28" t="s">
        <v>32</v>
      </c>
      <c r="E39" s="29">
        <v>200</v>
      </c>
      <c r="F39" s="30">
        <v>2041.2180000000001</v>
      </c>
      <c r="G39" s="31">
        <v>2.659984E-2</v>
      </c>
      <c r="H39" s="19">
        <v>6.4749999999999996</v>
      </c>
    </row>
    <row r="40" spans="1:8" x14ac:dyDescent="0.2">
      <c r="A40" s="27">
        <v>13</v>
      </c>
      <c r="B40" s="28" t="s">
        <v>47</v>
      </c>
      <c r="C40" s="28" t="s">
        <v>48</v>
      </c>
      <c r="D40" s="28" t="s">
        <v>23</v>
      </c>
      <c r="E40" s="29">
        <v>2000</v>
      </c>
      <c r="F40" s="30">
        <v>2032.7539999999999</v>
      </c>
      <c r="G40" s="31">
        <v>2.6489550000000001E-2</v>
      </c>
      <c r="H40" s="19">
        <v>7.5449999999999999</v>
      </c>
    </row>
    <row r="41" spans="1:8" x14ac:dyDescent="0.2">
      <c r="A41" s="27">
        <v>14</v>
      </c>
      <c r="B41" s="28" t="s">
        <v>49</v>
      </c>
      <c r="C41" s="28" t="s">
        <v>50</v>
      </c>
      <c r="D41" s="28" t="s">
        <v>23</v>
      </c>
      <c r="E41" s="29">
        <v>2000</v>
      </c>
      <c r="F41" s="30">
        <v>2018.75</v>
      </c>
      <c r="G41" s="31">
        <v>2.630706E-2</v>
      </c>
      <c r="H41" s="19">
        <v>6.48</v>
      </c>
    </row>
    <row r="42" spans="1:8" ht="25.5" x14ac:dyDescent="0.2">
      <c r="A42" s="27">
        <v>15</v>
      </c>
      <c r="B42" s="28" t="s">
        <v>51</v>
      </c>
      <c r="C42" s="28" t="s">
        <v>52</v>
      </c>
      <c r="D42" s="28" t="s">
        <v>23</v>
      </c>
      <c r="E42" s="29">
        <v>1500</v>
      </c>
      <c r="F42" s="30">
        <v>1555.9095</v>
      </c>
      <c r="G42" s="31">
        <v>2.0275620000000001E-2</v>
      </c>
      <c r="H42" s="19">
        <v>7.16</v>
      </c>
    </row>
    <row r="43" spans="1:8" x14ac:dyDescent="0.2">
      <c r="A43" s="27">
        <v>16</v>
      </c>
      <c r="B43" s="28" t="s">
        <v>53</v>
      </c>
      <c r="C43" s="28" t="s">
        <v>54</v>
      </c>
      <c r="D43" s="28" t="s">
        <v>23</v>
      </c>
      <c r="E43" s="29">
        <v>1500</v>
      </c>
      <c r="F43" s="30">
        <v>1521.1965</v>
      </c>
      <c r="G43" s="31">
        <v>1.9823259999999999E-2</v>
      </c>
      <c r="H43" s="19">
        <v>6.55</v>
      </c>
    </row>
    <row r="44" spans="1:8" ht="25.5" x14ac:dyDescent="0.2">
      <c r="A44" s="27">
        <v>17</v>
      </c>
      <c r="B44" s="28" t="s">
        <v>55</v>
      </c>
      <c r="C44" s="28" t="s">
        <v>56</v>
      </c>
      <c r="D44" s="28" t="s">
        <v>23</v>
      </c>
      <c r="E44" s="29">
        <v>1500</v>
      </c>
      <c r="F44" s="30">
        <v>1515.0345</v>
      </c>
      <c r="G44" s="31">
        <v>1.974296E-2</v>
      </c>
      <c r="H44" s="19">
        <v>6.6</v>
      </c>
    </row>
    <row r="45" spans="1:8" ht="25.5" x14ac:dyDescent="0.2">
      <c r="A45" s="27">
        <v>18</v>
      </c>
      <c r="B45" s="28" t="s">
        <v>57</v>
      </c>
      <c r="C45" s="28" t="s">
        <v>58</v>
      </c>
      <c r="D45" s="28" t="s">
        <v>32</v>
      </c>
      <c r="E45" s="29">
        <v>150</v>
      </c>
      <c r="F45" s="30">
        <v>1514.6969999999999</v>
      </c>
      <c r="G45" s="31">
        <v>1.9738559999999999E-2</v>
      </c>
      <c r="H45" s="19">
        <v>6.5162000000000004</v>
      </c>
    </row>
    <row r="46" spans="1:8" ht="25.5" x14ac:dyDescent="0.2">
      <c r="A46" s="27">
        <v>19</v>
      </c>
      <c r="B46" s="28" t="s">
        <v>59</v>
      </c>
      <c r="C46" s="28" t="s">
        <v>60</v>
      </c>
      <c r="D46" s="28" t="s">
        <v>23</v>
      </c>
      <c r="E46" s="29">
        <v>1500</v>
      </c>
      <c r="F46" s="30">
        <v>1504.0005000000001</v>
      </c>
      <c r="G46" s="31">
        <v>1.9599169999999999E-2</v>
      </c>
      <c r="H46" s="19">
        <v>6.9</v>
      </c>
    </row>
    <row r="47" spans="1:8" ht="25.5" x14ac:dyDescent="0.2">
      <c r="A47" s="27">
        <v>20</v>
      </c>
      <c r="B47" s="28" t="s">
        <v>61</v>
      </c>
      <c r="C47" s="28" t="s">
        <v>62</v>
      </c>
      <c r="D47" s="28" t="s">
        <v>23</v>
      </c>
      <c r="E47" s="29">
        <v>1500</v>
      </c>
      <c r="F47" s="30">
        <v>1494.54</v>
      </c>
      <c r="G47" s="31">
        <v>1.9475889999999999E-2</v>
      </c>
      <c r="H47" s="19">
        <v>7.0875000000000004</v>
      </c>
    </row>
    <row r="48" spans="1:8" ht="25.5" x14ac:dyDescent="0.2">
      <c r="A48" s="27">
        <v>21</v>
      </c>
      <c r="B48" s="28" t="s">
        <v>63</v>
      </c>
      <c r="C48" s="28" t="s">
        <v>64</v>
      </c>
      <c r="D48" s="28" t="s">
        <v>23</v>
      </c>
      <c r="E48" s="29">
        <v>1400</v>
      </c>
      <c r="F48" s="30">
        <v>1401.8424</v>
      </c>
      <c r="G48" s="31">
        <v>1.8267909999999998E-2</v>
      </c>
      <c r="H48" s="19">
        <v>7.35</v>
      </c>
    </row>
    <row r="49" spans="1:8" ht="25.5" x14ac:dyDescent="0.2">
      <c r="A49" s="27">
        <v>22</v>
      </c>
      <c r="B49" s="28" t="s">
        <v>65</v>
      </c>
      <c r="C49" s="28" t="s">
        <v>66</v>
      </c>
      <c r="D49" s="28" t="s">
        <v>23</v>
      </c>
      <c r="E49" s="29">
        <v>1300</v>
      </c>
      <c r="F49" s="30">
        <v>1295.7217000000001</v>
      </c>
      <c r="G49" s="31">
        <v>1.6885009999999999E-2</v>
      </c>
      <c r="H49" s="19">
        <v>6.7350000000000003</v>
      </c>
    </row>
    <row r="50" spans="1:8" ht="25.5" x14ac:dyDescent="0.2">
      <c r="A50" s="27">
        <v>23</v>
      </c>
      <c r="B50" s="28" t="s">
        <v>67</v>
      </c>
      <c r="C50" s="28" t="s">
        <v>68</v>
      </c>
      <c r="D50" s="28" t="s">
        <v>23</v>
      </c>
      <c r="E50" s="29">
        <v>100</v>
      </c>
      <c r="F50" s="30">
        <v>1021.193</v>
      </c>
      <c r="G50" s="31">
        <v>1.330753E-2</v>
      </c>
      <c r="H50" s="19">
        <v>7.01</v>
      </c>
    </row>
    <row r="51" spans="1:8" ht="25.5" x14ac:dyDescent="0.2">
      <c r="A51" s="27">
        <v>24</v>
      </c>
      <c r="B51" s="28" t="s">
        <v>69</v>
      </c>
      <c r="C51" s="28" t="s">
        <v>70</v>
      </c>
      <c r="D51" s="28" t="s">
        <v>23</v>
      </c>
      <c r="E51" s="29">
        <v>1000</v>
      </c>
      <c r="F51" s="30">
        <v>1016.475</v>
      </c>
      <c r="G51" s="31">
        <v>1.3246050000000001E-2</v>
      </c>
      <c r="H51" s="19">
        <v>7.2050000000000001</v>
      </c>
    </row>
    <row r="52" spans="1:8" ht="25.5" x14ac:dyDescent="0.2">
      <c r="A52" s="27">
        <v>25</v>
      </c>
      <c r="B52" s="28" t="s">
        <v>71</v>
      </c>
      <c r="C52" s="28" t="s">
        <v>72</v>
      </c>
      <c r="D52" s="28" t="s">
        <v>23</v>
      </c>
      <c r="E52" s="29">
        <v>1000</v>
      </c>
      <c r="F52" s="30">
        <v>1008.952</v>
      </c>
      <c r="G52" s="31">
        <v>1.314802E-2</v>
      </c>
      <c r="H52" s="19">
        <v>6.6</v>
      </c>
    </row>
    <row r="53" spans="1:8" ht="25.5" x14ac:dyDescent="0.2">
      <c r="A53" s="27">
        <v>26</v>
      </c>
      <c r="B53" s="28" t="s">
        <v>73</v>
      </c>
      <c r="C53" s="28" t="s">
        <v>74</v>
      </c>
      <c r="D53" s="28" t="s">
        <v>23</v>
      </c>
      <c r="E53" s="29">
        <v>500</v>
      </c>
      <c r="F53" s="30">
        <v>510.00299999999999</v>
      </c>
      <c r="G53" s="31">
        <v>6.6460299999999998E-3</v>
      </c>
      <c r="H53" s="19">
        <v>6.6550000000000002</v>
      </c>
    </row>
    <row r="54" spans="1:8" x14ac:dyDescent="0.2">
      <c r="A54" s="27">
        <v>27</v>
      </c>
      <c r="B54" s="28" t="s">
        <v>75</v>
      </c>
      <c r="C54" s="28" t="s">
        <v>76</v>
      </c>
      <c r="D54" s="28" t="s">
        <v>23</v>
      </c>
      <c r="E54" s="29">
        <v>500</v>
      </c>
      <c r="F54" s="30">
        <v>509.8895</v>
      </c>
      <c r="G54" s="31">
        <v>6.6445499999999999E-3</v>
      </c>
      <c r="H54" s="19">
        <v>7.54</v>
      </c>
    </row>
    <row r="55" spans="1:8" x14ac:dyDescent="0.2">
      <c r="A55" s="20"/>
      <c r="B55" s="20"/>
      <c r="C55" s="21" t="s">
        <v>11</v>
      </c>
      <c r="D55" s="20"/>
      <c r="E55" s="20" t="s">
        <v>12</v>
      </c>
      <c r="F55" s="26">
        <v>55656.507599999997</v>
      </c>
      <c r="G55" s="23">
        <v>0.72527991999999997</v>
      </c>
      <c r="H55" s="19" t="s">
        <v>12</v>
      </c>
    </row>
    <row r="56" spans="1:8" x14ac:dyDescent="0.2">
      <c r="A56" s="20"/>
      <c r="B56" s="20"/>
      <c r="C56" s="24"/>
      <c r="D56" s="20"/>
      <c r="E56" s="20"/>
      <c r="F56" s="25"/>
      <c r="G56" s="25"/>
      <c r="H56" s="19" t="s">
        <v>12</v>
      </c>
    </row>
    <row r="57" spans="1:8" x14ac:dyDescent="0.2">
      <c r="A57" s="20"/>
      <c r="B57" s="20"/>
      <c r="C57" s="21" t="s">
        <v>77</v>
      </c>
      <c r="D57" s="20"/>
      <c r="E57" s="20"/>
      <c r="F57" s="20"/>
      <c r="G57" s="20"/>
      <c r="H57" s="19" t="s">
        <v>12</v>
      </c>
    </row>
    <row r="58" spans="1:8" x14ac:dyDescent="0.2">
      <c r="A58" s="20"/>
      <c r="B58" s="20"/>
      <c r="C58" s="21" t="s">
        <v>11</v>
      </c>
      <c r="D58" s="20"/>
      <c r="E58" s="20" t="s">
        <v>12</v>
      </c>
      <c r="F58" s="22" t="s">
        <v>13</v>
      </c>
      <c r="G58" s="23">
        <v>0</v>
      </c>
      <c r="H58" s="19" t="s">
        <v>12</v>
      </c>
    </row>
    <row r="59" spans="1:8" x14ac:dyDescent="0.2">
      <c r="A59" s="20"/>
      <c r="B59" s="20"/>
      <c r="C59" s="24"/>
      <c r="D59" s="20"/>
      <c r="E59" s="20"/>
      <c r="F59" s="25"/>
      <c r="G59" s="25"/>
      <c r="H59" s="19" t="s">
        <v>12</v>
      </c>
    </row>
    <row r="60" spans="1:8" x14ac:dyDescent="0.2">
      <c r="A60" s="20"/>
      <c r="B60" s="20"/>
      <c r="C60" s="21" t="s">
        <v>78</v>
      </c>
      <c r="D60" s="20"/>
      <c r="E60" s="20"/>
      <c r="F60" s="20"/>
      <c r="G60" s="20"/>
      <c r="H60" s="19" t="s">
        <v>12</v>
      </c>
    </row>
    <row r="61" spans="1:8" ht="25.5" x14ac:dyDescent="0.2">
      <c r="A61" s="27">
        <v>1</v>
      </c>
      <c r="B61" s="28" t="s">
        <v>79</v>
      </c>
      <c r="C61" s="28" t="s">
        <v>80</v>
      </c>
      <c r="D61" s="28" t="s">
        <v>81</v>
      </c>
      <c r="E61" s="29">
        <v>4000000</v>
      </c>
      <c r="F61" s="30">
        <v>4118.232</v>
      </c>
      <c r="G61" s="31">
        <v>5.3666159999999997E-2</v>
      </c>
      <c r="H61" s="19">
        <v>6.4637000000000002</v>
      </c>
    </row>
    <row r="62" spans="1:8" x14ac:dyDescent="0.2">
      <c r="A62" s="27">
        <v>2</v>
      </c>
      <c r="B62" s="28" t="s">
        <v>82</v>
      </c>
      <c r="C62" s="28" t="s">
        <v>83</v>
      </c>
      <c r="D62" s="28" t="s">
        <v>81</v>
      </c>
      <c r="E62" s="29">
        <v>2000000</v>
      </c>
      <c r="F62" s="30">
        <v>2109.3519999999999</v>
      </c>
      <c r="G62" s="31">
        <v>2.748772E-2</v>
      </c>
      <c r="H62" s="19">
        <v>6.2091000000000003</v>
      </c>
    </row>
    <row r="63" spans="1:8" ht="25.5" x14ac:dyDescent="0.2">
      <c r="A63" s="27">
        <v>3</v>
      </c>
      <c r="B63" s="28" t="s">
        <v>84</v>
      </c>
      <c r="C63" s="28" t="s">
        <v>85</v>
      </c>
      <c r="D63" s="28" t="s">
        <v>81</v>
      </c>
      <c r="E63" s="29">
        <v>1500000</v>
      </c>
      <c r="F63" s="30">
        <v>1541.0115000000001</v>
      </c>
      <c r="G63" s="31">
        <v>2.0081470000000001E-2</v>
      </c>
      <c r="H63" s="19">
        <v>6.1646999999999998</v>
      </c>
    </row>
    <row r="64" spans="1:8" x14ac:dyDescent="0.2">
      <c r="A64" s="27">
        <v>4</v>
      </c>
      <c r="B64" s="28" t="s">
        <v>86</v>
      </c>
      <c r="C64" s="28" t="s">
        <v>87</v>
      </c>
      <c r="D64" s="28" t="s">
        <v>81</v>
      </c>
      <c r="E64" s="29">
        <v>1000000</v>
      </c>
      <c r="F64" s="30">
        <v>1034.501</v>
      </c>
      <c r="G64" s="31">
        <v>1.348095E-2</v>
      </c>
      <c r="H64" s="19">
        <v>7.1398999999999999</v>
      </c>
    </row>
    <row r="65" spans="1:8" ht="25.5" x14ac:dyDescent="0.2">
      <c r="A65" s="27">
        <v>5</v>
      </c>
      <c r="B65" s="28" t="s">
        <v>88</v>
      </c>
      <c r="C65" s="28" t="s">
        <v>89</v>
      </c>
      <c r="D65" s="28" t="s">
        <v>81</v>
      </c>
      <c r="E65" s="29">
        <v>1000000</v>
      </c>
      <c r="F65" s="30">
        <v>977.34500000000003</v>
      </c>
      <c r="G65" s="31">
        <v>1.273613E-2</v>
      </c>
      <c r="H65" s="19">
        <v>7.1948999999999996</v>
      </c>
    </row>
    <row r="66" spans="1:8" ht="25.5" x14ac:dyDescent="0.2">
      <c r="A66" s="27">
        <v>6</v>
      </c>
      <c r="B66" s="28" t="s">
        <v>90</v>
      </c>
      <c r="C66" s="28" t="s">
        <v>91</v>
      </c>
      <c r="D66" s="28" t="s">
        <v>81</v>
      </c>
      <c r="E66" s="29">
        <v>667000</v>
      </c>
      <c r="F66" s="30">
        <v>672.09587999999997</v>
      </c>
      <c r="G66" s="31">
        <v>8.75832E-3</v>
      </c>
      <c r="H66" s="19">
        <v>7.1505000000000001</v>
      </c>
    </row>
    <row r="67" spans="1:8" x14ac:dyDescent="0.2">
      <c r="A67" s="27">
        <v>7</v>
      </c>
      <c r="B67" s="28" t="s">
        <v>92</v>
      </c>
      <c r="C67" s="28" t="s">
        <v>93</v>
      </c>
      <c r="D67" s="28" t="s">
        <v>81</v>
      </c>
      <c r="E67" s="29">
        <v>500000</v>
      </c>
      <c r="F67" s="30">
        <v>522.32650000000001</v>
      </c>
      <c r="G67" s="31">
        <v>6.8066200000000002E-3</v>
      </c>
      <c r="H67" s="19">
        <v>5.9659000000000004</v>
      </c>
    </row>
    <row r="68" spans="1:8" x14ac:dyDescent="0.2">
      <c r="A68" s="27">
        <v>8</v>
      </c>
      <c r="B68" s="28" t="s">
        <v>94</v>
      </c>
      <c r="C68" s="28" t="s">
        <v>95</v>
      </c>
      <c r="D68" s="28" t="s">
        <v>81</v>
      </c>
      <c r="E68" s="29">
        <v>500000</v>
      </c>
      <c r="F68" s="30">
        <v>521.81050000000005</v>
      </c>
      <c r="G68" s="31">
        <v>6.7999000000000002E-3</v>
      </c>
      <c r="H68" s="19">
        <v>6.7591999999999999</v>
      </c>
    </row>
    <row r="69" spans="1:8" ht="25.5" x14ac:dyDescent="0.2">
      <c r="A69" s="27">
        <v>9</v>
      </c>
      <c r="B69" s="28" t="s">
        <v>96</v>
      </c>
      <c r="C69" s="28" t="s">
        <v>97</v>
      </c>
      <c r="D69" s="28" t="s">
        <v>81</v>
      </c>
      <c r="E69" s="29">
        <v>500000</v>
      </c>
      <c r="F69" s="30">
        <v>500.91050000000001</v>
      </c>
      <c r="G69" s="31">
        <v>6.5275400000000001E-3</v>
      </c>
      <c r="H69" s="19">
        <v>6.4031000000000002</v>
      </c>
    </row>
    <row r="70" spans="1:8" ht="25.5" x14ac:dyDescent="0.2">
      <c r="A70" s="27">
        <v>10</v>
      </c>
      <c r="B70" s="28" t="s">
        <v>98</v>
      </c>
      <c r="C70" s="28" t="s">
        <v>99</v>
      </c>
      <c r="D70" s="28" t="s">
        <v>81</v>
      </c>
      <c r="E70" s="29">
        <v>200000</v>
      </c>
      <c r="F70" s="30">
        <v>209.3176</v>
      </c>
      <c r="G70" s="31">
        <v>2.7276900000000001E-3</v>
      </c>
      <c r="H70" s="19">
        <v>6.5004</v>
      </c>
    </row>
    <row r="71" spans="1:8" x14ac:dyDescent="0.2">
      <c r="A71" s="20"/>
      <c r="B71" s="20"/>
      <c r="C71" s="21" t="s">
        <v>11</v>
      </c>
      <c r="D71" s="20"/>
      <c r="E71" s="20" t="s">
        <v>12</v>
      </c>
      <c r="F71" s="26">
        <v>12206.902480000001</v>
      </c>
      <c r="G71" s="23">
        <v>0.15907250000000001</v>
      </c>
      <c r="H71" s="19" t="s">
        <v>12</v>
      </c>
    </row>
    <row r="72" spans="1:8" x14ac:dyDescent="0.2">
      <c r="A72" s="20"/>
      <c r="B72" s="20"/>
      <c r="C72" s="24"/>
      <c r="D72" s="20"/>
      <c r="E72" s="20"/>
      <c r="F72" s="25"/>
      <c r="G72" s="25"/>
      <c r="H72" s="19" t="s">
        <v>12</v>
      </c>
    </row>
    <row r="73" spans="1:8" x14ac:dyDescent="0.2">
      <c r="A73" s="20"/>
      <c r="B73" s="20"/>
      <c r="C73" s="21" t="s">
        <v>100</v>
      </c>
      <c r="D73" s="20"/>
      <c r="E73" s="20"/>
      <c r="F73" s="25"/>
      <c r="G73" s="25"/>
      <c r="H73" s="19" t="s">
        <v>12</v>
      </c>
    </row>
    <row r="74" spans="1:8" x14ac:dyDescent="0.2">
      <c r="A74" s="20"/>
      <c r="B74" s="20"/>
      <c r="C74" s="21" t="s">
        <v>11</v>
      </c>
      <c r="D74" s="20"/>
      <c r="E74" s="20" t="s">
        <v>12</v>
      </c>
      <c r="F74" s="22" t="s">
        <v>13</v>
      </c>
      <c r="G74" s="23">
        <v>0</v>
      </c>
      <c r="H74" s="19" t="s">
        <v>12</v>
      </c>
    </row>
    <row r="75" spans="1:8" x14ac:dyDescent="0.2">
      <c r="A75" s="20"/>
      <c r="B75" s="20"/>
      <c r="C75" s="24"/>
      <c r="D75" s="20"/>
      <c r="E75" s="20"/>
      <c r="F75" s="25"/>
      <c r="G75" s="25"/>
      <c r="H75" s="19" t="s">
        <v>12</v>
      </c>
    </row>
    <row r="76" spans="1:8" x14ac:dyDescent="0.2">
      <c r="A76" s="20"/>
      <c r="B76" s="20"/>
      <c r="C76" s="21" t="s">
        <v>101</v>
      </c>
      <c r="D76" s="20"/>
      <c r="E76" s="20"/>
      <c r="F76" s="26">
        <v>67863.410080000001</v>
      </c>
      <c r="G76" s="23">
        <v>0.88435242000000003</v>
      </c>
      <c r="H76" s="19" t="s">
        <v>12</v>
      </c>
    </row>
    <row r="77" spans="1:8" x14ac:dyDescent="0.2">
      <c r="A77" s="20"/>
      <c r="B77" s="20"/>
      <c r="C77" s="24"/>
      <c r="D77" s="20"/>
      <c r="E77" s="20"/>
      <c r="F77" s="25"/>
      <c r="G77" s="25"/>
      <c r="H77" s="19" t="s">
        <v>12</v>
      </c>
    </row>
    <row r="78" spans="1:8" x14ac:dyDescent="0.2">
      <c r="A78" s="20"/>
      <c r="B78" s="20"/>
      <c r="C78" s="21" t="s">
        <v>102</v>
      </c>
      <c r="D78" s="20"/>
      <c r="E78" s="20"/>
      <c r="F78" s="25"/>
      <c r="G78" s="25"/>
      <c r="H78" s="19" t="s">
        <v>12</v>
      </c>
    </row>
    <row r="79" spans="1:8" x14ac:dyDescent="0.2">
      <c r="A79" s="20"/>
      <c r="B79" s="20"/>
      <c r="C79" s="21" t="s">
        <v>103</v>
      </c>
      <c r="D79" s="20"/>
      <c r="E79" s="20"/>
      <c r="F79" s="25"/>
      <c r="G79" s="25"/>
      <c r="H79" s="19" t="s">
        <v>12</v>
      </c>
    </row>
    <row r="80" spans="1:8" x14ac:dyDescent="0.2">
      <c r="A80" s="20"/>
      <c r="B80" s="20"/>
      <c r="C80" s="21" t="s">
        <v>11</v>
      </c>
      <c r="D80" s="20"/>
      <c r="E80" s="20" t="s">
        <v>12</v>
      </c>
      <c r="F80" s="22" t="s">
        <v>13</v>
      </c>
      <c r="G80" s="23">
        <v>0</v>
      </c>
      <c r="H80" s="19" t="s">
        <v>12</v>
      </c>
    </row>
    <row r="81" spans="1:8" x14ac:dyDescent="0.2">
      <c r="A81" s="20"/>
      <c r="B81" s="20"/>
      <c r="C81" s="24"/>
      <c r="D81" s="20"/>
      <c r="E81" s="20"/>
      <c r="F81" s="25"/>
      <c r="G81" s="25"/>
      <c r="H81" s="19" t="s">
        <v>12</v>
      </c>
    </row>
    <row r="82" spans="1:8" x14ac:dyDescent="0.2">
      <c r="A82" s="20"/>
      <c r="B82" s="20"/>
      <c r="C82" s="21" t="s">
        <v>104</v>
      </c>
      <c r="D82" s="20"/>
      <c r="E82" s="20"/>
      <c r="F82" s="25"/>
      <c r="G82" s="25"/>
      <c r="H82" s="19" t="s">
        <v>12</v>
      </c>
    </row>
    <row r="83" spans="1:8" x14ac:dyDescent="0.2">
      <c r="A83" s="20"/>
      <c r="B83" s="20"/>
      <c r="C83" s="21" t="s">
        <v>11</v>
      </c>
      <c r="D83" s="20"/>
      <c r="E83" s="20" t="s">
        <v>12</v>
      </c>
      <c r="F83" s="22" t="s">
        <v>13</v>
      </c>
      <c r="G83" s="23">
        <v>0</v>
      </c>
      <c r="H83" s="19" t="s">
        <v>12</v>
      </c>
    </row>
    <row r="84" spans="1:8" x14ac:dyDescent="0.2">
      <c r="A84" s="20"/>
      <c r="B84" s="20"/>
      <c r="C84" s="24"/>
      <c r="D84" s="20"/>
      <c r="E84" s="20"/>
      <c r="F84" s="25"/>
      <c r="G84" s="25"/>
      <c r="H84" s="19" t="s">
        <v>12</v>
      </c>
    </row>
    <row r="85" spans="1:8" x14ac:dyDescent="0.2">
      <c r="A85" s="20"/>
      <c r="B85" s="20"/>
      <c r="C85" s="21" t="s">
        <v>105</v>
      </c>
      <c r="D85" s="20"/>
      <c r="E85" s="20"/>
      <c r="F85" s="25"/>
      <c r="G85" s="25"/>
      <c r="H85" s="19" t="s">
        <v>12</v>
      </c>
    </row>
    <row r="86" spans="1:8" x14ac:dyDescent="0.2">
      <c r="A86" s="20"/>
      <c r="B86" s="20"/>
      <c r="C86" s="21" t="s">
        <v>11</v>
      </c>
      <c r="D86" s="20"/>
      <c r="E86" s="20" t="s">
        <v>12</v>
      </c>
      <c r="F86" s="22" t="s">
        <v>13</v>
      </c>
      <c r="G86" s="23">
        <v>0</v>
      </c>
      <c r="H86" s="19" t="s">
        <v>12</v>
      </c>
    </row>
    <row r="87" spans="1:8" x14ac:dyDescent="0.2">
      <c r="A87" s="20"/>
      <c r="B87" s="20"/>
      <c r="C87" s="24"/>
      <c r="D87" s="20"/>
      <c r="E87" s="20"/>
      <c r="F87" s="25"/>
      <c r="G87" s="25"/>
      <c r="H87" s="19" t="s">
        <v>12</v>
      </c>
    </row>
    <row r="88" spans="1:8" x14ac:dyDescent="0.2">
      <c r="A88" s="20"/>
      <c r="B88" s="20"/>
      <c r="C88" s="21" t="s">
        <v>106</v>
      </c>
      <c r="D88" s="20"/>
      <c r="E88" s="20"/>
      <c r="F88" s="25"/>
      <c r="G88" s="25"/>
      <c r="H88" s="19" t="s">
        <v>12</v>
      </c>
    </row>
    <row r="89" spans="1:8" x14ac:dyDescent="0.2">
      <c r="A89" s="27">
        <v>1</v>
      </c>
      <c r="B89" s="28"/>
      <c r="C89" s="28" t="s">
        <v>107</v>
      </c>
      <c r="D89" s="28"/>
      <c r="E89" s="32"/>
      <c r="F89" s="30">
        <v>6837.738640001</v>
      </c>
      <c r="G89" s="31">
        <v>8.9105030000000002E-2</v>
      </c>
      <c r="H89" s="19">
        <v>5.07</v>
      </c>
    </row>
    <row r="90" spans="1:8" x14ac:dyDescent="0.2">
      <c r="A90" s="20"/>
      <c r="B90" s="20"/>
      <c r="C90" s="21" t="s">
        <v>11</v>
      </c>
      <c r="D90" s="20"/>
      <c r="E90" s="20" t="s">
        <v>12</v>
      </c>
      <c r="F90" s="26">
        <v>6837.738640001</v>
      </c>
      <c r="G90" s="23">
        <v>8.9105030000000002E-2</v>
      </c>
      <c r="H90" s="19" t="s">
        <v>12</v>
      </c>
    </row>
    <row r="91" spans="1:8" x14ac:dyDescent="0.2">
      <c r="A91" s="20"/>
      <c r="B91" s="20"/>
      <c r="C91" s="24"/>
      <c r="D91" s="20"/>
      <c r="E91" s="20"/>
      <c r="F91" s="25"/>
      <c r="G91" s="25"/>
      <c r="H91" s="19" t="s">
        <v>12</v>
      </c>
    </row>
    <row r="92" spans="1:8" x14ac:dyDescent="0.2">
      <c r="A92" s="20"/>
      <c r="B92" s="20"/>
      <c r="C92" s="21" t="s">
        <v>108</v>
      </c>
      <c r="D92" s="20"/>
      <c r="E92" s="20"/>
      <c r="F92" s="26">
        <v>6837.738640001</v>
      </c>
      <c r="G92" s="23">
        <v>8.9105030000000002E-2</v>
      </c>
      <c r="H92" s="19" t="s">
        <v>12</v>
      </c>
    </row>
    <row r="93" spans="1:8" x14ac:dyDescent="0.2">
      <c r="A93" s="20"/>
      <c r="B93" s="20"/>
      <c r="C93" s="25"/>
      <c r="D93" s="20"/>
      <c r="E93" s="20"/>
      <c r="F93" s="20"/>
      <c r="G93" s="20"/>
      <c r="H93" s="19" t="s">
        <v>12</v>
      </c>
    </row>
    <row r="94" spans="1:8" x14ac:dyDescent="0.2">
      <c r="A94" s="20"/>
      <c r="B94" s="20"/>
      <c r="C94" s="21" t="s">
        <v>109</v>
      </c>
      <c r="D94" s="20"/>
      <c r="E94" s="20"/>
      <c r="F94" s="20"/>
      <c r="G94" s="20"/>
      <c r="H94" s="19" t="s">
        <v>12</v>
      </c>
    </row>
    <row r="95" spans="1:8" x14ac:dyDescent="0.2">
      <c r="A95" s="20"/>
      <c r="B95" s="20"/>
      <c r="C95" s="21" t="s">
        <v>110</v>
      </c>
      <c r="D95" s="20"/>
      <c r="E95" s="20"/>
      <c r="F95" s="20"/>
      <c r="G95" s="20"/>
      <c r="H95" s="19" t="s">
        <v>12</v>
      </c>
    </row>
    <row r="96" spans="1:8" x14ac:dyDescent="0.2">
      <c r="A96" s="20"/>
      <c r="B96" s="20"/>
      <c r="C96" s="21" t="s">
        <v>11</v>
      </c>
      <c r="D96" s="20"/>
      <c r="E96" s="20" t="s">
        <v>12</v>
      </c>
      <c r="F96" s="22" t="s">
        <v>13</v>
      </c>
      <c r="G96" s="23">
        <v>0</v>
      </c>
      <c r="H96" s="19" t="s">
        <v>12</v>
      </c>
    </row>
    <row r="97" spans="1:17" x14ac:dyDescent="0.2">
      <c r="A97" s="17"/>
      <c r="B97" s="17"/>
      <c r="C97" s="75"/>
      <c r="D97" s="17"/>
      <c r="E97" s="17"/>
      <c r="F97" s="42"/>
      <c r="G97" s="42"/>
      <c r="H97" s="19" t="s">
        <v>12</v>
      </c>
    </row>
    <row r="98" spans="1:17" x14ac:dyDescent="0.2">
      <c r="A98" s="17"/>
      <c r="B98" s="17"/>
      <c r="C98" s="18" t="s">
        <v>608</v>
      </c>
      <c r="D98" s="17"/>
      <c r="E98" s="17"/>
      <c r="F98" s="42"/>
      <c r="G98" s="42"/>
      <c r="H98" s="19" t="s">
        <v>12</v>
      </c>
      <c r="K98" s="55"/>
      <c r="L98" s="55"/>
      <c r="M98" s="55"/>
      <c r="N98" s="55"/>
      <c r="O98" s="76"/>
      <c r="P98" s="76"/>
      <c r="Q98" s="76"/>
    </row>
    <row r="99" spans="1:17" ht="25.5" x14ac:dyDescent="0.2">
      <c r="A99" s="69">
        <v>1</v>
      </c>
      <c r="B99" s="70" t="s">
        <v>111</v>
      </c>
      <c r="C99" s="70" t="s">
        <v>112</v>
      </c>
      <c r="D99" s="70"/>
      <c r="E99" s="77">
        <v>2586.3710000000001</v>
      </c>
      <c r="F99" s="72">
        <v>290.195629091</v>
      </c>
      <c r="G99" s="73">
        <v>3.7816400000000002E-3</v>
      </c>
      <c r="H99" s="19"/>
    </row>
    <row r="100" spans="1:17" x14ac:dyDescent="0.2">
      <c r="A100" s="17"/>
      <c r="B100" s="17"/>
      <c r="C100" s="18" t="s">
        <v>11</v>
      </c>
      <c r="D100" s="17"/>
      <c r="E100" s="17" t="s">
        <v>12</v>
      </c>
      <c r="F100" s="78">
        <f>SUM(F99)</f>
        <v>290.195629091</v>
      </c>
      <c r="G100" s="79">
        <f>SUM(G99)</f>
        <v>3.7816400000000002E-3</v>
      </c>
      <c r="H100" s="19" t="s">
        <v>12</v>
      </c>
    </row>
    <row r="101" spans="1:17" x14ac:dyDescent="0.2">
      <c r="A101" s="20"/>
      <c r="B101" s="20"/>
      <c r="C101" s="24"/>
      <c r="D101" s="20"/>
      <c r="E101" s="20"/>
      <c r="F101" s="25"/>
      <c r="G101" s="25"/>
      <c r="H101" s="19" t="s">
        <v>12</v>
      </c>
    </row>
    <row r="102" spans="1:17" x14ac:dyDescent="0.2">
      <c r="A102" s="20"/>
      <c r="B102" s="20"/>
      <c r="C102" s="21" t="s">
        <v>113</v>
      </c>
      <c r="D102" s="20"/>
      <c r="E102" s="20"/>
      <c r="F102" s="20"/>
      <c r="G102" s="20"/>
      <c r="H102" s="19" t="s">
        <v>12</v>
      </c>
    </row>
    <row r="103" spans="1:17" x14ac:dyDescent="0.2">
      <c r="A103" s="20"/>
      <c r="B103" s="20"/>
      <c r="C103" s="21" t="s">
        <v>114</v>
      </c>
      <c r="D103" s="20"/>
      <c r="E103" s="20"/>
      <c r="F103" s="20"/>
      <c r="G103" s="20"/>
      <c r="H103" s="19" t="s">
        <v>12</v>
      </c>
    </row>
    <row r="104" spans="1:17" x14ac:dyDescent="0.2">
      <c r="A104" s="20"/>
      <c r="B104" s="20"/>
      <c r="C104" s="21" t="s">
        <v>11</v>
      </c>
      <c r="D104" s="20"/>
      <c r="E104" s="20" t="s">
        <v>12</v>
      </c>
      <c r="F104" s="22" t="s">
        <v>13</v>
      </c>
      <c r="G104" s="23">
        <v>0</v>
      </c>
      <c r="H104" s="19" t="s">
        <v>12</v>
      </c>
    </row>
    <row r="105" spans="1:17" x14ac:dyDescent="0.2">
      <c r="A105" s="20"/>
      <c r="B105" s="20"/>
      <c r="C105" s="24"/>
      <c r="D105" s="20"/>
      <c r="E105" s="20"/>
      <c r="F105" s="25"/>
      <c r="G105" s="25"/>
      <c r="H105" s="19" t="s">
        <v>12</v>
      </c>
    </row>
    <row r="106" spans="1:17" ht="25.5" x14ac:dyDescent="0.2">
      <c r="A106" s="20"/>
      <c r="B106" s="20"/>
      <c r="C106" s="21" t="s">
        <v>115</v>
      </c>
      <c r="D106" s="20"/>
      <c r="E106" s="20"/>
      <c r="F106" s="25"/>
      <c r="G106" s="25"/>
      <c r="H106" s="19" t="s">
        <v>12</v>
      </c>
    </row>
    <row r="107" spans="1:17" x14ac:dyDescent="0.2">
      <c r="A107" s="20"/>
      <c r="B107" s="20"/>
      <c r="C107" s="21" t="s">
        <v>11</v>
      </c>
      <c r="D107" s="20"/>
      <c r="E107" s="20" t="s">
        <v>12</v>
      </c>
      <c r="F107" s="22" t="s">
        <v>13</v>
      </c>
      <c r="G107" s="23">
        <v>0</v>
      </c>
      <c r="H107" s="19" t="s">
        <v>12</v>
      </c>
    </row>
    <row r="108" spans="1:17" x14ac:dyDescent="0.2">
      <c r="A108" s="20"/>
      <c r="B108" s="28"/>
      <c r="C108" s="28"/>
      <c r="D108" s="21"/>
      <c r="E108" s="20"/>
      <c r="F108" s="28"/>
      <c r="G108" s="32"/>
      <c r="H108" s="19" t="s">
        <v>12</v>
      </c>
    </row>
    <row r="109" spans="1:17" x14ac:dyDescent="0.2">
      <c r="A109" s="32"/>
      <c r="B109" s="28"/>
      <c r="C109" s="28" t="s">
        <v>116</v>
      </c>
      <c r="D109" s="28"/>
      <c r="E109" s="32"/>
      <c r="F109" s="30">
        <v>1746.6245760700001</v>
      </c>
      <c r="G109" s="31">
        <v>2.2760889999999999E-2</v>
      </c>
      <c r="H109" s="19" t="s">
        <v>12</v>
      </c>
    </row>
    <row r="110" spans="1:17" x14ac:dyDescent="0.2">
      <c r="A110" s="24"/>
      <c r="B110" s="24"/>
      <c r="C110" s="21" t="s">
        <v>117</v>
      </c>
      <c r="D110" s="25"/>
      <c r="E110" s="25"/>
      <c r="F110" s="26">
        <v>76737.968925162</v>
      </c>
      <c r="G110" s="33">
        <v>0.99999998000000001</v>
      </c>
      <c r="H110" s="19" t="s">
        <v>12</v>
      </c>
    </row>
    <row r="111" spans="1:17" x14ac:dyDescent="0.2">
      <c r="A111" s="34"/>
      <c r="B111" s="34"/>
      <c r="C111" s="34"/>
      <c r="D111" s="35"/>
      <c r="E111" s="35"/>
      <c r="F111" s="35"/>
      <c r="G111" s="35"/>
    </row>
    <row r="112" spans="1:17" x14ac:dyDescent="0.2">
      <c r="A112" s="36"/>
      <c r="B112" s="169" t="s">
        <v>609</v>
      </c>
      <c r="C112" s="169"/>
      <c r="D112" s="169"/>
      <c r="E112" s="169"/>
      <c r="F112" s="169"/>
      <c r="G112" s="169"/>
      <c r="H112" s="169"/>
    </row>
    <row r="113" spans="1:8" x14ac:dyDescent="0.2">
      <c r="A113" s="36"/>
      <c r="B113" s="169" t="s">
        <v>610</v>
      </c>
      <c r="C113" s="169"/>
      <c r="D113" s="169"/>
      <c r="E113" s="169"/>
      <c r="F113" s="169"/>
      <c r="G113" s="169"/>
      <c r="H113" s="169"/>
    </row>
    <row r="114" spans="1:8" x14ac:dyDescent="0.2">
      <c r="A114" s="36"/>
      <c r="B114" s="169" t="s">
        <v>611</v>
      </c>
      <c r="C114" s="169"/>
      <c r="D114" s="169"/>
      <c r="E114" s="169"/>
      <c r="F114" s="169"/>
      <c r="G114" s="169"/>
      <c r="H114" s="169"/>
    </row>
    <row r="115" spans="1:8" x14ac:dyDescent="0.2">
      <c r="A115" s="38"/>
      <c r="B115" s="38"/>
      <c r="C115" s="38"/>
      <c r="D115" s="39"/>
      <c r="E115" s="39"/>
      <c r="F115" s="39"/>
      <c r="G115" s="39"/>
    </row>
    <row r="116" spans="1:8" x14ac:dyDescent="0.2">
      <c r="A116" s="36"/>
      <c r="B116" s="170" t="s">
        <v>118</v>
      </c>
      <c r="C116" s="171"/>
      <c r="D116" s="172"/>
      <c r="E116" s="40"/>
      <c r="F116" s="41"/>
      <c r="G116" s="41"/>
    </row>
    <row r="117" spans="1:8" x14ac:dyDescent="0.2">
      <c r="A117" s="36"/>
      <c r="B117" s="161" t="s">
        <v>119</v>
      </c>
      <c r="C117" s="162"/>
      <c r="D117" s="18" t="s">
        <v>120</v>
      </c>
      <c r="E117" s="40"/>
      <c r="F117" s="41"/>
      <c r="G117" s="41"/>
    </row>
    <row r="118" spans="1:8" x14ac:dyDescent="0.2">
      <c r="A118" s="36"/>
      <c r="B118" s="161" t="s">
        <v>121</v>
      </c>
      <c r="C118" s="162"/>
      <c r="D118" s="18" t="s">
        <v>120</v>
      </c>
      <c r="E118" s="40"/>
      <c r="F118" s="41"/>
      <c r="G118" s="41"/>
    </row>
    <row r="119" spans="1:8" x14ac:dyDescent="0.2">
      <c r="A119" s="36"/>
      <c r="B119" s="161" t="s">
        <v>122</v>
      </c>
      <c r="C119" s="162"/>
      <c r="D119" s="42" t="s">
        <v>12</v>
      </c>
      <c r="E119" s="40"/>
      <c r="F119" s="41"/>
      <c r="G119" s="41"/>
    </row>
    <row r="120" spans="1:8" x14ac:dyDescent="0.2">
      <c r="A120" s="43"/>
      <c r="B120" s="44" t="s">
        <v>12</v>
      </c>
      <c r="C120" s="44" t="s">
        <v>612</v>
      </c>
      <c r="D120" s="44" t="s">
        <v>123</v>
      </c>
      <c r="E120" s="43"/>
      <c r="F120" s="43"/>
      <c r="G120" s="43"/>
    </row>
    <row r="121" spans="1:8" x14ac:dyDescent="0.2">
      <c r="A121" s="43"/>
      <c r="B121" s="45" t="s">
        <v>124</v>
      </c>
      <c r="C121" s="46">
        <v>45808</v>
      </c>
      <c r="D121" s="46">
        <v>45823</v>
      </c>
      <c r="E121" s="43"/>
      <c r="F121" s="43"/>
      <c r="G121" s="43"/>
    </row>
    <row r="122" spans="1:8" x14ac:dyDescent="0.2">
      <c r="A122" s="47"/>
      <c r="B122" s="28" t="s">
        <v>125</v>
      </c>
      <c r="C122" s="48">
        <v>41.651600000000002</v>
      </c>
      <c r="D122" s="48">
        <v>41.578299999999999</v>
      </c>
      <c r="E122" s="47"/>
      <c r="F122" s="49"/>
      <c r="G122" s="50"/>
    </row>
    <row r="123" spans="1:8" ht="25.5" x14ac:dyDescent="0.2">
      <c r="A123" s="47"/>
      <c r="B123" s="28" t="s">
        <v>737</v>
      </c>
      <c r="C123" s="48">
        <v>18.072500000000002</v>
      </c>
      <c r="D123" s="48">
        <v>18.040700000000001</v>
      </c>
      <c r="E123" s="47"/>
      <c r="F123" s="49"/>
      <c r="G123" s="50"/>
    </row>
    <row r="124" spans="1:8" ht="25.5" x14ac:dyDescent="0.2">
      <c r="A124" s="47"/>
      <c r="B124" s="28" t="s">
        <v>738</v>
      </c>
      <c r="C124" s="48">
        <v>20.286999999999999</v>
      </c>
      <c r="D124" s="48">
        <v>19.9086</v>
      </c>
      <c r="E124" s="47"/>
      <c r="F124" s="49"/>
      <c r="G124" s="50"/>
    </row>
    <row r="125" spans="1:8" ht="25.5" x14ac:dyDescent="0.2">
      <c r="A125" s="47"/>
      <c r="B125" s="28" t="s">
        <v>739</v>
      </c>
      <c r="C125" s="48">
        <v>17.7729</v>
      </c>
      <c r="D125" s="48">
        <v>17.741599999999998</v>
      </c>
      <c r="E125" s="47"/>
      <c r="F125" s="49"/>
      <c r="G125" s="50"/>
    </row>
    <row r="126" spans="1:8" ht="25.5" x14ac:dyDescent="0.2">
      <c r="A126" s="47"/>
      <c r="B126" s="28" t="s">
        <v>740</v>
      </c>
      <c r="C126" s="48">
        <v>18.5319</v>
      </c>
      <c r="D126" s="48">
        <v>18.499400000000001</v>
      </c>
      <c r="E126" s="47"/>
      <c r="F126" s="49"/>
      <c r="G126" s="50"/>
    </row>
    <row r="127" spans="1:8" x14ac:dyDescent="0.2">
      <c r="A127" s="47"/>
      <c r="B127" s="28" t="s">
        <v>126</v>
      </c>
      <c r="C127" s="48">
        <v>40.284599999999998</v>
      </c>
      <c r="D127" s="48">
        <v>40.2102</v>
      </c>
      <c r="E127" s="47"/>
      <c r="F127" s="49"/>
      <c r="G127" s="50"/>
    </row>
    <row r="128" spans="1:8" ht="25.5" x14ac:dyDescent="0.2">
      <c r="A128" s="47"/>
      <c r="B128" s="28" t="s">
        <v>741</v>
      </c>
      <c r="C128" s="48">
        <v>17.056699999999999</v>
      </c>
      <c r="D128" s="48">
        <v>17.025200000000002</v>
      </c>
      <c r="E128" s="47"/>
      <c r="F128" s="49"/>
      <c r="G128" s="50"/>
    </row>
    <row r="129" spans="1:14" ht="25.5" x14ac:dyDescent="0.2">
      <c r="A129" s="47"/>
      <c r="B129" s="28" t="s">
        <v>713</v>
      </c>
      <c r="C129" s="48">
        <v>19.657499999999999</v>
      </c>
      <c r="D129" s="48">
        <v>19.289400000000001</v>
      </c>
      <c r="E129" s="47"/>
      <c r="F129" s="49"/>
      <c r="G129" s="50"/>
    </row>
    <row r="130" spans="1:14" ht="25.5" x14ac:dyDescent="0.2">
      <c r="A130" s="47"/>
      <c r="B130" s="28" t="s">
        <v>742</v>
      </c>
      <c r="C130" s="48">
        <v>17.635200000000001</v>
      </c>
      <c r="D130" s="48">
        <v>17.602599999999999</v>
      </c>
      <c r="E130" s="47"/>
      <c r="F130" s="49"/>
      <c r="G130" s="50"/>
    </row>
    <row r="131" spans="1:14" ht="25.5" x14ac:dyDescent="0.2">
      <c r="A131" s="47"/>
      <c r="B131" s="28" t="s">
        <v>743</v>
      </c>
      <c r="C131" s="48">
        <v>17.961200000000002</v>
      </c>
      <c r="D131" s="48">
        <v>17.928000000000001</v>
      </c>
      <c r="E131" s="47"/>
      <c r="F131" s="49"/>
      <c r="G131" s="50"/>
    </row>
    <row r="132" spans="1:14" x14ac:dyDescent="0.2">
      <c r="A132" s="47"/>
      <c r="B132" s="47"/>
      <c r="C132" s="47"/>
      <c r="D132" s="47"/>
      <c r="E132" s="47"/>
      <c r="F132" s="47"/>
      <c r="G132" s="47"/>
    </row>
    <row r="133" spans="1:14" x14ac:dyDescent="0.2">
      <c r="A133" s="47"/>
      <c r="B133" s="164" t="s">
        <v>714</v>
      </c>
      <c r="C133" s="165"/>
      <c r="D133" s="21" t="s">
        <v>12</v>
      </c>
      <c r="E133" s="47"/>
      <c r="F133" s="47"/>
      <c r="G133" s="47"/>
    </row>
    <row r="134" spans="1:14" x14ac:dyDescent="0.2">
      <c r="A134" s="47"/>
      <c r="B134" s="80" t="s">
        <v>124</v>
      </c>
      <c r="C134" s="81" t="s">
        <v>127</v>
      </c>
      <c r="D134" s="81" t="s">
        <v>128</v>
      </c>
      <c r="E134" s="47"/>
      <c r="F134" s="47"/>
      <c r="G134" s="47"/>
    </row>
    <row r="135" spans="1:14" ht="25.5" x14ac:dyDescent="0.2">
      <c r="A135" s="47"/>
      <c r="B135" s="28" t="s">
        <v>738</v>
      </c>
      <c r="C135" s="82">
        <v>0.34300000000000003</v>
      </c>
      <c r="D135" s="32" t="s">
        <v>129</v>
      </c>
      <c r="E135" s="47"/>
      <c r="F135" s="49"/>
      <c r="G135" s="50"/>
    </row>
    <row r="136" spans="1:14" ht="25.5" x14ac:dyDescent="0.2">
      <c r="A136" s="47"/>
      <c r="B136" s="28" t="s">
        <v>713</v>
      </c>
      <c r="C136" s="82">
        <v>0.33200000000000002</v>
      </c>
      <c r="D136" s="82">
        <v>0.33200000000000002</v>
      </c>
      <c r="E136" s="47"/>
      <c r="F136" s="49"/>
      <c r="G136" s="50"/>
    </row>
    <row r="137" spans="1:14" x14ac:dyDescent="0.2">
      <c r="A137" s="47"/>
      <c r="B137" s="83"/>
      <c r="C137" s="83"/>
      <c r="D137" s="84"/>
      <c r="E137" s="47"/>
      <c r="F137" s="49"/>
      <c r="G137" s="50"/>
    </row>
    <row r="138" spans="1:14" x14ac:dyDescent="0.2">
      <c r="A138" s="43"/>
      <c r="B138" s="161" t="s">
        <v>130</v>
      </c>
      <c r="C138" s="162"/>
      <c r="D138" s="18" t="s">
        <v>120</v>
      </c>
      <c r="E138" s="54"/>
      <c r="F138" s="43"/>
      <c r="G138" s="43"/>
    </row>
    <row r="139" spans="1:14" x14ac:dyDescent="0.2">
      <c r="A139" s="43"/>
      <c r="B139" s="161" t="s">
        <v>131</v>
      </c>
      <c r="C139" s="162"/>
      <c r="D139" s="18" t="s">
        <v>120</v>
      </c>
      <c r="E139" s="54"/>
      <c r="F139" s="43"/>
      <c r="G139" s="43"/>
    </row>
    <row r="140" spans="1:14" x14ac:dyDescent="0.2">
      <c r="A140" s="43"/>
      <c r="B140" s="161" t="s">
        <v>613</v>
      </c>
      <c r="C140" s="162"/>
      <c r="D140" s="18" t="s">
        <v>120</v>
      </c>
      <c r="E140" s="54"/>
      <c r="F140" s="43"/>
      <c r="G140" s="43"/>
    </row>
    <row r="141" spans="1:14" x14ac:dyDescent="0.2">
      <c r="A141" s="56"/>
      <c r="B141" s="56"/>
      <c r="C141" s="56"/>
      <c r="D141" s="56"/>
      <c r="E141" s="56"/>
      <c r="F141" s="56"/>
      <c r="G141" s="56"/>
    </row>
    <row r="142" spans="1:14" s="57" customFormat="1" x14ac:dyDescent="0.2">
      <c r="B142" s="166" t="s">
        <v>614</v>
      </c>
      <c r="C142" s="167"/>
      <c r="D142" s="168"/>
      <c r="H142"/>
      <c r="I142"/>
      <c r="J142" s="55"/>
      <c r="K142" s="55"/>
      <c r="L142" s="55"/>
      <c r="M142" s="55"/>
      <c r="N142" s="55"/>
    </row>
    <row r="143" spans="1:14" s="57" customFormat="1" ht="38.25" x14ac:dyDescent="0.2">
      <c r="B143" s="163" t="s">
        <v>615</v>
      </c>
      <c r="C143" s="163"/>
      <c r="D143" s="59" t="s">
        <v>1</v>
      </c>
      <c r="H143"/>
      <c r="I143"/>
      <c r="J143" s="55"/>
      <c r="K143" s="55"/>
      <c r="L143" s="55"/>
      <c r="M143" s="55"/>
      <c r="N143" s="55"/>
    </row>
    <row r="144" spans="1:14" s="57" customFormat="1" x14ac:dyDescent="0.2">
      <c r="B144" s="174" t="s">
        <v>616</v>
      </c>
      <c r="C144" s="174"/>
      <c r="D144" s="60"/>
      <c r="H144"/>
      <c r="I144"/>
      <c r="J144" s="55"/>
      <c r="K144" s="55"/>
      <c r="L144" s="55"/>
      <c r="M144" s="55"/>
      <c r="N144" s="55"/>
    </row>
    <row r="145" spans="2:14" s="57" customFormat="1" x14ac:dyDescent="0.2">
      <c r="B145" s="175"/>
      <c r="C145" s="176"/>
      <c r="D145" s="61"/>
      <c r="H145"/>
      <c r="I145"/>
      <c r="J145" s="55"/>
      <c r="K145" s="55"/>
      <c r="L145" s="55"/>
      <c r="M145" s="55"/>
      <c r="N145" s="55"/>
    </row>
    <row r="146" spans="2:14" s="57" customFormat="1" x14ac:dyDescent="0.2">
      <c r="B146" s="174" t="s">
        <v>617</v>
      </c>
      <c r="C146" s="174"/>
      <c r="D146" s="62">
        <v>6.5510881302488491</v>
      </c>
      <c r="H146"/>
      <c r="I146"/>
      <c r="J146" s="55"/>
      <c r="K146" s="55"/>
      <c r="L146" s="55"/>
      <c r="M146" s="55"/>
      <c r="N146" s="55"/>
    </row>
    <row r="147" spans="2:14" s="57" customFormat="1" x14ac:dyDescent="0.2">
      <c r="B147" s="175"/>
      <c r="C147" s="176"/>
      <c r="D147" s="61"/>
      <c r="H147"/>
      <c r="I147"/>
      <c r="J147" s="55"/>
      <c r="K147" s="55"/>
      <c r="L147" s="55"/>
      <c r="M147" s="55"/>
      <c r="N147" s="55"/>
    </row>
    <row r="148" spans="2:14" s="57" customFormat="1" x14ac:dyDescent="0.2">
      <c r="B148" s="174" t="s">
        <v>618</v>
      </c>
      <c r="C148" s="174"/>
      <c r="D148" s="62">
        <v>3.3799081308381713</v>
      </c>
      <c r="H148"/>
      <c r="I148"/>
      <c r="J148" s="55"/>
      <c r="K148" s="55"/>
      <c r="L148" s="55"/>
      <c r="M148" s="55"/>
      <c r="N148" s="55"/>
    </row>
    <row r="149" spans="2:14" s="57" customFormat="1" x14ac:dyDescent="0.2">
      <c r="B149" s="174" t="s">
        <v>619</v>
      </c>
      <c r="C149" s="174"/>
      <c r="D149" s="62">
        <v>4.8143258490115093</v>
      </c>
      <c r="H149"/>
      <c r="I149"/>
      <c r="J149" s="55"/>
      <c r="K149" s="55"/>
      <c r="L149" s="55"/>
      <c r="M149" s="55"/>
      <c r="N149" s="55"/>
    </row>
    <row r="150" spans="2:14" s="57" customFormat="1" x14ac:dyDescent="0.2">
      <c r="B150" s="175"/>
      <c r="C150" s="176"/>
      <c r="D150" s="61"/>
      <c r="I150"/>
      <c r="J150" s="55"/>
      <c r="K150" s="55"/>
      <c r="L150" s="55"/>
      <c r="M150" s="55"/>
      <c r="N150" s="55"/>
    </row>
    <row r="151" spans="2:14" s="57" customFormat="1" x14ac:dyDescent="0.2">
      <c r="B151" s="174" t="s">
        <v>620</v>
      </c>
      <c r="C151" s="174"/>
      <c r="D151" s="64" t="s">
        <v>744</v>
      </c>
      <c r="I151"/>
      <c r="J151" s="55"/>
      <c r="K151" s="55"/>
      <c r="L151" s="55"/>
      <c r="M151" s="55"/>
      <c r="N151" s="58"/>
    </row>
    <row r="152" spans="2:14" s="57" customFormat="1" x14ac:dyDescent="0.2">
      <c r="B152" s="175" t="s">
        <v>621</v>
      </c>
      <c r="C152" s="177"/>
      <c r="D152" s="176"/>
      <c r="I152"/>
      <c r="J152" s="55"/>
      <c r="K152" s="55"/>
      <c r="L152" s="55"/>
      <c r="M152" s="55"/>
      <c r="N152" s="55"/>
    </row>
    <row r="154" spans="2:14" ht="25.5" x14ac:dyDescent="0.2">
      <c r="B154" s="66" t="s">
        <v>622</v>
      </c>
    </row>
    <row r="156" spans="2:14" ht="153.75" customHeight="1" x14ac:dyDescent="0.2"/>
    <row r="159" spans="2:14" x14ac:dyDescent="0.2">
      <c r="B159" s="67" t="s">
        <v>623</v>
      </c>
      <c r="C159" s="68"/>
      <c r="D159" s="67"/>
    </row>
    <row r="160" spans="2:14" x14ac:dyDescent="0.2">
      <c r="B160" s="67" t="s">
        <v>624</v>
      </c>
      <c r="D160" s="67"/>
    </row>
    <row r="161" customFormat="1" ht="165" customHeight="1" x14ac:dyDescent="0.2"/>
  </sheetData>
  <mergeCells count="25">
    <mergeCell ref="B149:C149"/>
    <mergeCell ref="B150:C150"/>
    <mergeCell ref="B151:C151"/>
    <mergeCell ref="B152:D152"/>
    <mergeCell ref="B144:C144"/>
    <mergeCell ref="B145:C145"/>
    <mergeCell ref="B146:C146"/>
    <mergeCell ref="B147:C147"/>
    <mergeCell ref="B148:C148"/>
    <mergeCell ref="A1:H1"/>
    <mergeCell ref="A2:H2"/>
    <mergeCell ref="A3:H3"/>
    <mergeCell ref="B112:H112"/>
    <mergeCell ref="B113:H113"/>
    <mergeCell ref="B114:H114"/>
    <mergeCell ref="B116:D116"/>
    <mergeCell ref="B117:C117"/>
    <mergeCell ref="B118:C118"/>
    <mergeCell ref="B119:C119"/>
    <mergeCell ref="B140:C140"/>
    <mergeCell ref="B143:C143"/>
    <mergeCell ref="B133:C133"/>
    <mergeCell ref="B139:C139"/>
    <mergeCell ref="B138:C138"/>
    <mergeCell ref="B142:D142"/>
  </mergeCells>
  <hyperlinks>
    <hyperlink ref="I1" location="Index!B2" display="Index" xr:uid="{390EAFD1-4806-4F54-92C7-C9B15FD48E1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3339F-9864-496C-9F82-638017997A41}">
  <sheetPr>
    <outlinePr summaryBelow="0" summaryRight="0"/>
  </sheetPr>
  <dimension ref="A1:R174"/>
  <sheetViews>
    <sheetView showGridLines="0" workbookViewId="0">
      <selection activeCell="A93" sqref="A1:XFD1048576"/>
    </sheetView>
  </sheetViews>
  <sheetFormatPr defaultRowHeight="12.75" x14ac:dyDescent="0.2"/>
  <cols>
    <col min="1" max="1" width="5.85546875" bestFit="1" customWidth="1"/>
    <col min="2" max="2" width="21.42578125" customWidth="1"/>
    <col min="3" max="3" width="39" customWidth="1"/>
    <col min="4" max="4" width="13.140625" customWidth="1"/>
    <col min="5" max="5" width="9.42578125" bestFit="1" customWidth="1"/>
    <col min="6" max="6" width="10.140625" bestFit="1" customWidth="1"/>
    <col min="7" max="7" width="14" bestFit="1" customWidth="1"/>
    <col min="8" max="8" width="11" customWidth="1"/>
  </cols>
  <sheetData>
    <row r="1" spans="1:9" ht="15" x14ac:dyDescent="0.2">
      <c r="A1" s="173" t="s">
        <v>0</v>
      </c>
      <c r="B1" s="173"/>
      <c r="C1" s="173"/>
      <c r="D1" s="173"/>
      <c r="E1" s="173"/>
      <c r="F1" s="173"/>
      <c r="G1" s="173"/>
      <c r="H1" s="173"/>
      <c r="I1" s="1" t="s">
        <v>594</v>
      </c>
    </row>
    <row r="2" spans="1:9" ht="15" x14ac:dyDescent="0.2">
      <c r="A2" s="173" t="s">
        <v>132</v>
      </c>
      <c r="B2" s="173"/>
      <c r="C2" s="173"/>
      <c r="D2" s="173"/>
      <c r="E2" s="173"/>
      <c r="F2" s="173"/>
      <c r="G2" s="173"/>
      <c r="H2" s="173"/>
    </row>
    <row r="3" spans="1:9" ht="15" x14ac:dyDescent="0.2">
      <c r="A3" s="173" t="s">
        <v>750</v>
      </c>
      <c r="B3" s="173"/>
      <c r="C3" s="173"/>
      <c r="D3" s="173"/>
      <c r="E3" s="173"/>
      <c r="F3" s="173"/>
      <c r="G3" s="173"/>
      <c r="H3" s="173"/>
    </row>
    <row r="4" spans="1:9" s="16" customFormat="1" ht="30" x14ac:dyDescent="0.2">
      <c r="A4" s="14" t="s">
        <v>2</v>
      </c>
      <c r="B4" s="14" t="s">
        <v>3</v>
      </c>
      <c r="C4" s="14" t="s">
        <v>4</v>
      </c>
      <c r="D4" s="14" t="s">
        <v>5</v>
      </c>
      <c r="E4" s="14" t="s">
        <v>6</v>
      </c>
      <c r="F4" s="14" t="s">
        <v>7</v>
      </c>
      <c r="G4" s="14" t="s">
        <v>8</v>
      </c>
      <c r="H4" s="15" t="s">
        <v>593</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ht="25.5" x14ac:dyDescent="0.2">
      <c r="A28" s="27">
        <v>1</v>
      </c>
      <c r="B28" s="28" t="s">
        <v>45</v>
      </c>
      <c r="C28" s="28" t="s">
        <v>46</v>
      </c>
      <c r="D28" s="28" t="s">
        <v>32</v>
      </c>
      <c r="E28" s="29">
        <v>300</v>
      </c>
      <c r="F28" s="30">
        <v>3061.8270000000002</v>
      </c>
      <c r="G28" s="31">
        <v>6.5041479999999999E-2</v>
      </c>
      <c r="H28" s="19">
        <v>6.4749999999999996</v>
      </c>
    </row>
    <row r="29" spans="1:8" x14ac:dyDescent="0.2">
      <c r="A29" s="27">
        <v>2</v>
      </c>
      <c r="B29" s="28" t="s">
        <v>133</v>
      </c>
      <c r="C29" s="28" t="s">
        <v>134</v>
      </c>
      <c r="D29" s="28" t="s">
        <v>32</v>
      </c>
      <c r="E29" s="29">
        <v>250</v>
      </c>
      <c r="F29" s="30">
        <v>2552.0949999999998</v>
      </c>
      <c r="G29" s="31">
        <v>5.421339E-2</v>
      </c>
      <c r="H29" s="19">
        <v>6.69</v>
      </c>
    </row>
    <row r="30" spans="1:8" x14ac:dyDescent="0.2">
      <c r="A30" s="27">
        <v>3</v>
      </c>
      <c r="B30" s="28" t="s">
        <v>135</v>
      </c>
      <c r="C30" s="28" t="s">
        <v>136</v>
      </c>
      <c r="D30" s="28" t="s">
        <v>23</v>
      </c>
      <c r="E30" s="29">
        <v>2500</v>
      </c>
      <c r="F30" s="30">
        <v>2547.5</v>
      </c>
      <c r="G30" s="31">
        <v>5.4115780000000002E-2</v>
      </c>
      <c r="H30" s="19">
        <v>6.95</v>
      </c>
    </row>
    <row r="31" spans="1:8" ht="25.5" x14ac:dyDescent="0.2">
      <c r="A31" s="27">
        <v>4</v>
      </c>
      <c r="B31" s="28" t="s">
        <v>137</v>
      </c>
      <c r="C31" s="28" t="s">
        <v>138</v>
      </c>
      <c r="D31" s="28" t="s">
        <v>32</v>
      </c>
      <c r="E31" s="29">
        <v>2500</v>
      </c>
      <c r="F31" s="30">
        <v>2509.3000000000002</v>
      </c>
      <c r="G31" s="31">
        <v>5.3304310000000001E-2</v>
      </c>
      <c r="H31" s="19">
        <v>6.8250000000000002</v>
      </c>
    </row>
    <row r="32" spans="1:8" x14ac:dyDescent="0.2">
      <c r="A32" s="27">
        <v>5</v>
      </c>
      <c r="B32" s="28" t="s">
        <v>139</v>
      </c>
      <c r="C32" s="28" t="s">
        <v>140</v>
      </c>
      <c r="D32" s="28" t="s">
        <v>23</v>
      </c>
      <c r="E32" s="29">
        <v>2000</v>
      </c>
      <c r="F32" s="30">
        <v>2042.038</v>
      </c>
      <c r="G32" s="31">
        <v>4.3378399999999998E-2</v>
      </c>
      <c r="H32" s="19">
        <v>6.4821999999999997</v>
      </c>
    </row>
    <row r="33" spans="1:8" ht="25.5" x14ac:dyDescent="0.2">
      <c r="A33" s="27">
        <v>6</v>
      </c>
      <c r="B33" s="28" t="s">
        <v>141</v>
      </c>
      <c r="C33" s="28" t="s">
        <v>142</v>
      </c>
      <c r="D33" s="28" t="s">
        <v>32</v>
      </c>
      <c r="E33" s="29">
        <v>200</v>
      </c>
      <c r="F33" s="30">
        <v>2011.5519999999999</v>
      </c>
      <c r="G33" s="31">
        <v>4.2730799999999999E-2</v>
      </c>
      <c r="H33" s="19">
        <v>6.42</v>
      </c>
    </row>
    <row r="34" spans="1:8" ht="25.5" x14ac:dyDescent="0.2">
      <c r="A34" s="27">
        <v>7</v>
      </c>
      <c r="B34" s="28" t="s">
        <v>143</v>
      </c>
      <c r="C34" s="28" t="s">
        <v>144</v>
      </c>
      <c r="D34" s="28" t="s">
        <v>32</v>
      </c>
      <c r="E34" s="29">
        <v>200</v>
      </c>
      <c r="F34" s="30">
        <v>1989.11</v>
      </c>
      <c r="G34" s="31">
        <v>4.2254069999999998E-2</v>
      </c>
      <c r="H34" s="19">
        <v>6.55</v>
      </c>
    </row>
    <row r="35" spans="1:8" ht="25.5" x14ac:dyDescent="0.2">
      <c r="A35" s="27">
        <v>8</v>
      </c>
      <c r="B35" s="28" t="s">
        <v>33</v>
      </c>
      <c r="C35" s="28" t="s">
        <v>34</v>
      </c>
      <c r="D35" s="28" t="s">
        <v>23</v>
      </c>
      <c r="E35" s="29">
        <v>1500</v>
      </c>
      <c r="F35" s="30">
        <v>1540.5809999999999</v>
      </c>
      <c r="G35" s="31">
        <v>3.2726100000000001E-2</v>
      </c>
      <c r="H35" s="19">
        <v>6.8</v>
      </c>
    </row>
    <row r="36" spans="1:8" ht="25.5" x14ac:dyDescent="0.2">
      <c r="A36" s="27">
        <v>9</v>
      </c>
      <c r="B36" s="28" t="s">
        <v>145</v>
      </c>
      <c r="C36" s="28" t="s">
        <v>146</v>
      </c>
      <c r="D36" s="28" t="s">
        <v>23</v>
      </c>
      <c r="E36" s="29">
        <v>1500</v>
      </c>
      <c r="F36" s="30">
        <v>1532.1089999999999</v>
      </c>
      <c r="G36" s="31">
        <v>3.254613E-2</v>
      </c>
      <c r="H36" s="19">
        <v>6.5650000000000004</v>
      </c>
    </row>
    <row r="37" spans="1:8" ht="25.5" x14ac:dyDescent="0.2">
      <c r="A37" s="27">
        <v>10</v>
      </c>
      <c r="B37" s="28" t="s">
        <v>39</v>
      </c>
      <c r="C37" s="28" t="s">
        <v>40</v>
      </c>
      <c r="D37" s="28" t="s">
        <v>23</v>
      </c>
      <c r="E37" s="29">
        <v>1500</v>
      </c>
      <c r="F37" s="30">
        <v>1514.1375</v>
      </c>
      <c r="G37" s="31">
        <v>3.2164369999999998E-2</v>
      </c>
      <c r="H37" s="19">
        <v>6.4850000000000003</v>
      </c>
    </row>
    <row r="38" spans="1:8" ht="25.5" x14ac:dyDescent="0.2">
      <c r="A38" s="27">
        <v>11</v>
      </c>
      <c r="B38" s="28" t="s">
        <v>147</v>
      </c>
      <c r="C38" s="28" t="s">
        <v>148</v>
      </c>
      <c r="D38" s="28" t="s">
        <v>23</v>
      </c>
      <c r="E38" s="29">
        <v>1000</v>
      </c>
      <c r="F38" s="30">
        <v>1028.557</v>
      </c>
      <c r="G38" s="31">
        <v>2.184933E-2</v>
      </c>
      <c r="H38" s="19">
        <v>6.9</v>
      </c>
    </row>
    <row r="39" spans="1:8" ht="25.5" x14ac:dyDescent="0.2">
      <c r="A39" s="27">
        <v>12</v>
      </c>
      <c r="B39" s="28" t="s">
        <v>24</v>
      </c>
      <c r="C39" s="28" t="s">
        <v>25</v>
      </c>
      <c r="D39" s="28" t="s">
        <v>23</v>
      </c>
      <c r="E39" s="29">
        <v>1000</v>
      </c>
      <c r="F39" s="30">
        <v>1022.973</v>
      </c>
      <c r="G39" s="31">
        <v>2.173071E-2</v>
      </c>
      <c r="H39" s="19">
        <v>6.7149999999999999</v>
      </c>
    </row>
    <row r="40" spans="1:8" ht="25.5" x14ac:dyDescent="0.2">
      <c r="A40" s="27">
        <v>13</v>
      </c>
      <c r="B40" s="28" t="s">
        <v>149</v>
      </c>
      <c r="C40" s="28" t="s">
        <v>150</v>
      </c>
      <c r="D40" s="28" t="s">
        <v>32</v>
      </c>
      <c r="E40" s="29">
        <v>1000</v>
      </c>
      <c r="F40" s="30">
        <v>1019.3150000000001</v>
      </c>
      <c r="G40" s="31">
        <v>2.1652999999999999E-2</v>
      </c>
      <c r="H40" s="19">
        <v>6.7249999999999996</v>
      </c>
    </row>
    <row r="41" spans="1:8" ht="25.5" x14ac:dyDescent="0.2">
      <c r="A41" s="27">
        <v>14</v>
      </c>
      <c r="B41" s="28" t="s">
        <v>59</v>
      </c>
      <c r="C41" s="28" t="s">
        <v>60</v>
      </c>
      <c r="D41" s="28" t="s">
        <v>23</v>
      </c>
      <c r="E41" s="29">
        <v>1000</v>
      </c>
      <c r="F41" s="30">
        <v>1002.667</v>
      </c>
      <c r="G41" s="31">
        <v>2.129936E-2</v>
      </c>
      <c r="H41" s="19">
        <v>6.9</v>
      </c>
    </row>
    <row r="42" spans="1:8" ht="25.5" x14ac:dyDescent="0.2">
      <c r="A42" s="27">
        <v>15</v>
      </c>
      <c r="B42" s="28" t="s">
        <v>65</v>
      </c>
      <c r="C42" s="28" t="s">
        <v>66</v>
      </c>
      <c r="D42" s="28" t="s">
        <v>23</v>
      </c>
      <c r="E42" s="29">
        <v>1000</v>
      </c>
      <c r="F42" s="30">
        <v>996.70899999999995</v>
      </c>
      <c r="G42" s="31">
        <v>2.117279E-2</v>
      </c>
      <c r="H42" s="19">
        <v>6.7350000000000003</v>
      </c>
    </row>
    <row r="43" spans="1:8" ht="25.5" x14ac:dyDescent="0.2">
      <c r="A43" s="27">
        <v>16</v>
      </c>
      <c r="B43" s="28" t="s">
        <v>43</v>
      </c>
      <c r="C43" s="28" t="s">
        <v>44</v>
      </c>
      <c r="D43" s="28" t="s">
        <v>23</v>
      </c>
      <c r="E43" s="29">
        <v>500</v>
      </c>
      <c r="F43" s="30">
        <v>513.53700000000003</v>
      </c>
      <c r="G43" s="31">
        <v>1.0908910000000001E-2</v>
      </c>
      <c r="H43" s="19">
        <v>6.7637999999999998</v>
      </c>
    </row>
    <row r="44" spans="1:8" ht="25.5" x14ac:dyDescent="0.2">
      <c r="A44" s="27">
        <v>17</v>
      </c>
      <c r="B44" s="28" t="s">
        <v>151</v>
      </c>
      <c r="C44" s="28" t="s">
        <v>152</v>
      </c>
      <c r="D44" s="28" t="s">
        <v>23</v>
      </c>
      <c r="E44" s="29">
        <v>500</v>
      </c>
      <c r="F44" s="30">
        <v>511.10050000000001</v>
      </c>
      <c r="G44" s="31">
        <v>1.0857159999999999E-2</v>
      </c>
      <c r="H44" s="19">
        <v>7.0875000000000004</v>
      </c>
    </row>
    <row r="45" spans="1:8" ht="25.5" x14ac:dyDescent="0.2">
      <c r="A45" s="27">
        <v>18</v>
      </c>
      <c r="B45" s="28" t="s">
        <v>153</v>
      </c>
      <c r="C45" s="28" t="s">
        <v>154</v>
      </c>
      <c r="D45" s="28" t="s">
        <v>32</v>
      </c>
      <c r="E45" s="29">
        <v>500</v>
      </c>
      <c r="F45" s="30">
        <v>509.2595</v>
      </c>
      <c r="G45" s="31">
        <v>1.0818049999999999E-2</v>
      </c>
      <c r="H45" s="19">
        <v>6.6123000000000003</v>
      </c>
    </row>
    <row r="46" spans="1:8" ht="25.5" x14ac:dyDescent="0.2">
      <c r="A46" s="27">
        <v>19</v>
      </c>
      <c r="B46" s="28" t="s">
        <v>69</v>
      </c>
      <c r="C46" s="28" t="s">
        <v>70</v>
      </c>
      <c r="D46" s="28" t="s">
        <v>23</v>
      </c>
      <c r="E46" s="29">
        <v>500</v>
      </c>
      <c r="F46" s="30">
        <v>508.23750000000001</v>
      </c>
      <c r="G46" s="31">
        <v>1.079634E-2</v>
      </c>
      <c r="H46" s="19">
        <v>7.2050000000000001</v>
      </c>
    </row>
    <row r="47" spans="1:8" ht="25.5" x14ac:dyDescent="0.2">
      <c r="A47" s="27">
        <v>20</v>
      </c>
      <c r="B47" s="28" t="s">
        <v>155</v>
      </c>
      <c r="C47" s="28" t="s">
        <v>156</v>
      </c>
      <c r="D47" s="28" t="s">
        <v>23</v>
      </c>
      <c r="E47" s="29">
        <v>500</v>
      </c>
      <c r="F47" s="30">
        <v>507.815</v>
      </c>
      <c r="G47" s="31">
        <v>1.0787359999999999E-2</v>
      </c>
      <c r="H47" s="19">
        <v>6.4850000000000003</v>
      </c>
    </row>
    <row r="48" spans="1:8" x14ac:dyDescent="0.2">
      <c r="A48" s="27">
        <v>21</v>
      </c>
      <c r="B48" s="28" t="s">
        <v>53</v>
      </c>
      <c r="C48" s="28" t="s">
        <v>54</v>
      </c>
      <c r="D48" s="28" t="s">
        <v>23</v>
      </c>
      <c r="E48" s="29">
        <v>500</v>
      </c>
      <c r="F48" s="30">
        <v>507.06549999999999</v>
      </c>
      <c r="G48" s="31">
        <v>1.077144E-2</v>
      </c>
      <c r="H48" s="19">
        <v>6.55</v>
      </c>
    </row>
    <row r="49" spans="1:8" ht="25.5" x14ac:dyDescent="0.2">
      <c r="A49" s="27">
        <v>22</v>
      </c>
      <c r="B49" s="28" t="s">
        <v>57</v>
      </c>
      <c r="C49" s="28" t="s">
        <v>58</v>
      </c>
      <c r="D49" s="28" t="s">
        <v>32</v>
      </c>
      <c r="E49" s="29">
        <v>50</v>
      </c>
      <c r="F49" s="30">
        <v>504.899</v>
      </c>
      <c r="G49" s="31">
        <v>1.0725419999999999E-2</v>
      </c>
      <c r="H49" s="19">
        <v>6.5162000000000004</v>
      </c>
    </row>
    <row r="50" spans="1:8" x14ac:dyDescent="0.2">
      <c r="A50" s="27">
        <v>23</v>
      </c>
      <c r="B50" s="28" t="s">
        <v>49</v>
      </c>
      <c r="C50" s="28" t="s">
        <v>50</v>
      </c>
      <c r="D50" s="28" t="s">
        <v>23</v>
      </c>
      <c r="E50" s="29">
        <v>500</v>
      </c>
      <c r="F50" s="30">
        <v>504.6875</v>
      </c>
      <c r="G50" s="31">
        <v>1.072093E-2</v>
      </c>
      <c r="H50" s="19">
        <v>6.48</v>
      </c>
    </row>
    <row r="51" spans="1:8" x14ac:dyDescent="0.2">
      <c r="A51" s="20"/>
      <c r="B51" s="20"/>
      <c r="C51" s="21" t="s">
        <v>11</v>
      </c>
      <c r="D51" s="20"/>
      <c r="E51" s="20" t="s">
        <v>12</v>
      </c>
      <c r="F51" s="26">
        <v>30437.072</v>
      </c>
      <c r="G51" s="23">
        <v>0.64656563</v>
      </c>
      <c r="H51" s="19" t="s">
        <v>12</v>
      </c>
    </row>
    <row r="52" spans="1:8" x14ac:dyDescent="0.2">
      <c r="A52" s="20"/>
      <c r="B52" s="20"/>
      <c r="C52" s="24"/>
      <c r="D52" s="20"/>
      <c r="E52" s="20"/>
      <c r="F52" s="25"/>
      <c r="G52" s="25"/>
      <c r="H52" s="19" t="s">
        <v>12</v>
      </c>
    </row>
    <row r="53" spans="1:8" x14ac:dyDescent="0.2">
      <c r="A53" s="20"/>
      <c r="B53" s="20"/>
      <c r="C53" s="21" t="s">
        <v>77</v>
      </c>
      <c r="D53" s="20"/>
      <c r="E53" s="20"/>
      <c r="F53" s="20"/>
      <c r="G53" s="20"/>
      <c r="H53" s="19" t="s">
        <v>12</v>
      </c>
    </row>
    <row r="54" spans="1:8" x14ac:dyDescent="0.2">
      <c r="A54" s="20"/>
      <c r="B54" s="20"/>
      <c r="C54" s="21" t="s">
        <v>11</v>
      </c>
      <c r="D54" s="20"/>
      <c r="E54" s="20" t="s">
        <v>12</v>
      </c>
      <c r="F54" s="22" t="s">
        <v>13</v>
      </c>
      <c r="G54" s="23">
        <v>0</v>
      </c>
      <c r="H54" s="19" t="s">
        <v>12</v>
      </c>
    </row>
    <row r="55" spans="1:8" x14ac:dyDescent="0.2">
      <c r="A55" s="20"/>
      <c r="B55" s="20"/>
      <c r="C55" s="24"/>
      <c r="D55" s="20"/>
      <c r="E55" s="20"/>
      <c r="F55" s="25"/>
      <c r="G55" s="25"/>
      <c r="H55" s="19" t="s">
        <v>12</v>
      </c>
    </row>
    <row r="56" spans="1:8" x14ac:dyDescent="0.2">
      <c r="A56" s="20"/>
      <c r="B56" s="20"/>
      <c r="C56" s="21" t="s">
        <v>78</v>
      </c>
      <c r="D56" s="20"/>
      <c r="E56" s="20"/>
      <c r="F56" s="20"/>
      <c r="G56" s="20"/>
      <c r="H56" s="19" t="s">
        <v>12</v>
      </c>
    </row>
    <row r="57" spans="1:8" ht="25.5" x14ac:dyDescent="0.2">
      <c r="A57" s="27">
        <v>1</v>
      </c>
      <c r="B57" s="28" t="s">
        <v>79</v>
      </c>
      <c r="C57" s="28" t="s">
        <v>80</v>
      </c>
      <c r="D57" s="28" t="s">
        <v>81</v>
      </c>
      <c r="E57" s="29">
        <v>4000000</v>
      </c>
      <c r="F57" s="30">
        <v>4118.232</v>
      </c>
      <c r="G57" s="31">
        <v>8.7482370000000004E-2</v>
      </c>
      <c r="H57" s="19">
        <v>6.4637000000000002</v>
      </c>
    </row>
    <row r="58" spans="1:8" x14ac:dyDescent="0.2">
      <c r="A58" s="27">
        <v>2</v>
      </c>
      <c r="B58" s="28" t="s">
        <v>82</v>
      </c>
      <c r="C58" s="28" t="s">
        <v>83</v>
      </c>
      <c r="D58" s="28" t="s">
        <v>81</v>
      </c>
      <c r="E58" s="29">
        <v>1000000</v>
      </c>
      <c r="F58" s="30">
        <v>1054.6759999999999</v>
      </c>
      <c r="G58" s="31">
        <v>2.2404170000000001E-2</v>
      </c>
      <c r="H58" s="19">
        <v>6.2091000000000003</v>
      </c>
    </row>
    <row r="59" spans="1:8" ht="25.5" x14ac:dyDescent="0.2">
      <c r="A59" s="27">
        <v>3</v>
      </c>
      <c r="B59" s="28" t="s">
        <v>84</v>
      </c>
      <c r="C59" s="28" t="s">
        <v>85</v>
      </c>
      <c r="D59" s="28" t="s">
        <v>81</v>
      </c>
      <c r="E59" s="29">
        <v>1000000</v>
      </c>
      <c r="F59" s="30">
        <v>1027.3409999999999</v>
      </c>
      <c r="G59" s="31">
        <v>2.1823499999999999E-2</v>
      </c>
      <c r="H59" s="19">
        <v>6.1646999999999998</v>
      </c>
    </row>
    <row r="60" spans="1:8" ht="25.5" x14ac:dyDescent="0.2">
      <c r="A60" s="27">
        <v>4</v>
      </c>
      <c r="B60" s="28" t="s">
        <v>157</v>
      </c>
      <c r="C60" s="28" t="s">
        <v>158</v>
      </c>
      <c r="D60" s="28" t="s">
        <v>81</v>
      </c>
      <c r="E60" s="29">
        <v>500000</v>
      </c>
      <c r="F60" s="30">
        <v>524.87249999999995</v>
      </c>
      <c r="G60" s="31">
        <v>1.114971E-2</v>
      </c>
      <c r="H60" s="19">
        <v>6.7835000000000001</v>
      </c>
    </row>
    <row r="61" spans="1:8" ht="25.5" x14ac:dyDescent="0.2">
      <c r="A61" s="27">
        <v>5</v>
      </c>
      <c r="B61" s="28" t="s">
        <v>159</v>
      </c>
      <c r="C61" s="28" t="s">
        <v>160</v>
      </c>
      <c r="D61" s="28" t="s">
        <v>81</v>
      </c>
      <c r="E61" s="29">
        <v>500000</v>
      </c>
      <c r="F61" s="30">
        <v>517.91499999999996</v>
      </c>
      <c r="G61" s="31">
        <v>1.100191E-2</v>
      </c>
      <c r="H61" s="19">
        <v>6.1</v>
      </c>
    </row>
    <row r="62" spans="1:8" ht="25.5" x14ac:dyDescent="0.2">
      <c r="A62" s="27">
        <v>6</v>
      </c>
      <c r="B62" s="28" t="s">
        <v>96</v>
      </c>
      <c r="C62" s="28" t="s">
        <v>97</v>
      </c>
      <c r="D62" s="28" t="s">
        <v>81</v>
      </c>
      <c r="E62" s="29">
        <v>500000</v>
      </c>
      <c r="F62" s="30">
        <v>500.91050000000001</v>
      </c>
      <c r="G62" s="31">
        <v>1.064069E-2</v>
      </c>
      <c r="H62" s="19">
        <v>6.4031000000000002</v>
      </c>
    </row>
    <row r="63" spans="1:8" ht="25.5" x14ac:dyDescent="0.2">
      <c r="A63" s="27">
        <v>7</v>
      </c>
      <c r="B63" s="28" t="s">
        <v>88</v>
      </c>
      <c r="C63" s="28" t="s">
        <v>89</v>
      </c>
      <c r="D63" s="28" t="s">
        <v>81</v>
      </c>
      <c r="E63" s="29">
        <v>500000</v>
      </c>
      <c r="F63" s="30">
        <v>488.67250000000001</v>
      </c>
      <c r="G63" s="31">
        <v>1.038072E-2</v>
      </c>
      <c r="H63" s="19">
        <v>7.1948999999999996</v>
      </c>
    </row>
    <row r="64" spans="1:8" ht="25.5" x14ac:dyDescent="0.2">
      <c r="A64" s="27">
        <v>8</v>
      </c>
      <c r="B64" s="28" t="s">
        <v>90</v>
      </c>
      <c r="C64" s="28" t="s">
        <v>91</v>
      </c>
      <c r="D64" s="28" t="s">
        <v>81</v>
      </c>
      <c r="E64" s="29">
        <v>333000</v>
      </c>
      <c r="F64" s="30">
        <v>335.54412000000002</v>
      </c>
      <c r="G64" s="31">
        <v>7.1278599999999998E-3</v>
      </c>
      <c r="H64" s="19">
        <v>7.1505000000000001</v>
      </c>
    </row>
    <row r="65" spans="1:8" ht="25.5" x14ac:dyDescent="0.2">
      <c r="A65" s="27">
        <v>9</v>
      </c>
      <c r="B65" s="28" t="s">
        <v>98</v>
      </c>
      <c r="C65" s="28" t="s">
        <v>99</v>
      </c>
      <c r="D65" s="28" t="s">
        <v>81</v>
      </c>
      <c r="E65" s="29">
        <v>200000</v>
      </c>
      <c r="F65" s="30">
        <v>209.3176</v>
      </c>
      <c r="G65" s="31">
        <v>4.4464700000000001E-3</v>
      </c>
      <c r="H65" s="19">
        <v>6.5004</v>
      </c>
    </row>
    <row r="66" spans="1:8" x14ac:dyDescent="0.2">
      <c r="A66" s="20"/>
      <c r="B66" s="20"/>
      <c r="C66" s="21" t="s">
        <v>11</v>
      </c>
      <c r="D66" s="20"/>
      <c r="E66" s="20" t="s">
        <v>12</v>
      </c>
      <c r="F66" s="26">
        <v>8777.4812199999997</v>
      </c>
      <c r="G66" s="23">
        <v>0.1864574</v>
      </c>
      <c r="H66" s="19" t="s">
        <v>12</v>
      </c>
    </row>
    <row r="67" spans="1:8" x14ac:dyDescent="0.2">
      <c r="A67" s="20"/>
      <c r="B67" s="20"/>
      <c r="C67" s="24"/>
      <c r="D67" s="20"/>
      <c r="E67" s="20"/>
      <c r="F67" s="25"/>
      <c r="G67" s="25"/>
      <c r="H67" s="19" t="s">
        <v>12</v>
      </c>
    </row>
    <row r="68" spans="1:8" x14ac:dyDescent="0.2">
      <c r="A68" s="20"/>
      <c r="B68" s="20"/>
      <c r="C68" s="21" t="s">
        <v>100</v>
      </c>
      <c r="D68" s="20"/>
      <c r="E68" s="20"/>
      <c r="F68" s="25"/>
      <c r="G68" s="25"/>
      <c r="H68" s="19" t="s">
        <v>12</v>
      </c>
    </row>
    <row r="69" spans="1:8" x14ac:dyDescent="0.2">
      <c r="A69" s="20"/>
      <c r="B69" s="20"/>
      <c r="C69" s="21" t="s">
        <v>11</v>
      </c>
      <c r="D69" s="20"/>
      <c r="E69" s="20" t="s">
        <v>12</v>
      </c>
      <c r="F69" s="22" t="s">
        <v>13</v>
      </c>
      <c r="G69" s="23">
        <v>0</v>
      </c>
      <c r="H69" s="19" t="s">
        <v>12</v>
      </c>
    </row>
    <row r="70" spans="1:8" x14ac:dyDescent="0.2">
      <c r="A70" s="20"/>
      <c r="B70" s="20"/>
      <c r="C70" s="24"/>
      <c r="D70" s="20"/>
      <c r="E70" s="20"/>
      <c r="F70" s="25"/>
      <c r="G70" s="25"/>
      <c r="H70" s="19" t="s">
        <v>12</v>
      </c>
    </row>
    <row r="71" spans="1:8" x14ac:dyDescent="0.2">
      <c r="A71" s="20"/>
      <c r="B71" s="20"/>
      <c r="C71" s="21" t="s">
        <v>101</v>
      </c>
      <c r="D71" s="20"/>
      <c r="E71" s="20"/>
      <c r="F71" s="26">
        <v>39214.553220000002</v>
      </c>
      <c r="G71" s="23">
        <v>0.83302303</v>
      </c>
      <c r="H71" s="19" t="s">
        <v>12</v>
      </c>
    </row>
    <row r="72" spans="1:8" x14ac:dyDescent="0.2">
      <c r="A72" s="20"/>
      <c r="B72" s="20"/>
      <c r="C72" s="24"/>
      <c r="D72" s="20"/>
      <c r="E72" s="20"/>
      <c r="F72" s="25"/>
      <c r="G72" s="25"/>
      <c r="H72" s="19" t="s">
        <v>12</v>
      </c>
    </row>
    <row r="73" spans="1:8" x14ac:dyDescent="0.2">
      <c r="A73" s="20"/>
      <c r="B73" s="20"/>
      <c r="C73" s="21" t="s">
        <v>102</v>
      </c>
      <c r="D73" s="20"/>
      <c r="E73" s="20"/>
      <c r="F73" s="25"/>
      <c r="G73" s="25"/>
      <c r="H73" s="19" t="s">
        <v>12</v>
      </c>
    </row>
    <row r="74" spans="1:8" x14ac:dyDescent="0.2">
      <c r="A74" s="20"/>
      <c r="B74" s="20"/>
      <c r="C74" s="21" t="s">
        <v>103</v>
      </c>
      <c r="D74" s="20"/>
      <c r="E74" s="20"/>
      <c r="F74" s="25"/>
      <c r="G74" s="25"/>
      <c r="H74" s="19" t="s">
        <v>12</v>
      </c>
    </row>
    <row r="75" spans="1:8" x14ac:dyDescent="0.2">
      <c r="A75" s="27">
        <v>1</v>
      </c>
      <c r="B75" s="28" t="s">
        <v>161</v>
      </c>
      <c r="C75" s="28" t="s">
        <v>162</v>
      </c>
      <c r="D75" s="28" t="s">
        <v>163</v>
      </c>
      <c r="E75" s="29">
        <v>400</v>
      </c>
      <c r="F75" s="30">
        <v>1907.874</v>
      </c>
      <c r="G75" s="31">
        <v>4.0528399999999999E-2</v>
      </c>
      <c r="H75" s="19">
        <v>6.25</v>
      </c>
    </row>
    <row r="76" spans="1:8" x14ac:dyDescent="0.2">
      <c r="A76" s="27">
        <v>2</v>
      </c>
      <c r="B76" s="28" t="s">
        <v>164</v>
      </c>
      <c r="C76" s="28" t="s">
        <v>165</v>
      </c>
      <c r="D76" s="28" t="s">
        <v>163</v>
      </c>
      <c r="E76" s="29">
        <v>200</v>
      </c>
      <c r="F76" s="30">
        <v>957.351</v>
      </c>
      <c r="G76" s="31">
        <v>2.0336719999999999E-2</v>
      </c>
      <c r="H76" s="19">
        <v>6.23</v>
      </c>
    </row>
    <row r="77" spans="1:8" x14ac:dyDescent="0.2">
      <c r="A77" s="27">
        <v>3</v>
      </c>
      <c r="B77" s="28" t="s">
        <v>166</v>
      </c>
      <c r="C77" s="28" t="s">
        <v>167</v>
      </c>
      <c r="D77" s="28" t="s">
        <v>163</v>
      </c>
      <c r="E77" s="29">
        <v>100</v>
      </c>
      <c r="F77" s="30">
        <v>480.72800000000001</v>
      </c>
      <c r="G77" s="31">
        <v>1.0211960000000001E-2</v>
      </c>
      <c r="H77" s="19">
        <v>6.28</v>
      </c>
    </row>
    <row r="78" spans="1:8" x14ac:dyDescent="0.2">
      <c r="A78" s="27">
        <v>4</v>
      </c>
      <c r="B78" s="28" t="s">
        <v>168</v>
      </c>
      <c r="C78" s="28" t="s">
        <v>169</v>
      </c>
      <c r="D78" s="28" t="s">
        <v>163</v>
      </c>
      <c r="E78" s="29">
        <v>100</v>
      </c>
      <c r="F78" s="30">
        <v>477.42750000000001</v>
      </c>
      <c r="G78" s="31">
        <v>1.0141850000000001E-2</v>
      </c>
      <c r="H78" s="19">
        <v>6.23</v>
      </c>
    </row>
    <row r="79" spans="1:8" x14ac:dyDescent="0.2">
      <c r="A79" s="20"/>
      <c r="B79" s="20"/>
      <c r="C79" s="21" t="s">
        <v>11</v>
      </c>
      <c r="D79" s="20"/>
      <c r="E79" s="20" t="s">
        <v>12</v>
      </c>
      <c r="F79" s="26">
        <v>3823.3805000000002</v>
      </c>
      <c r="G79" s="23">
        <v>8.1218929999999995E-2</v>
      </c>
      <c r="H79" s="19" t="s">
        <v>12</v>
      </c>
    </row>
    <row r="80" spans="1:8" x14ac:dyDescent="0.2">
      <c r="A80" s="20"/>
      <c r="B80" s="20"/>
      <c r="C80" s="24"/>
      <c r="D80" s="20"/>
      <c r="E80" s="20"/>
      <c r="F80" s="25"/>
      <c r="G80" s="25"/>
      <c r="H80" s="19" t="s">
        <v>12</v>
      </c>
    </row>
    <row r="81" spans="1:8" x14ac:dyDescent="0.2">
      <c r="A81" s="20"/>
      <c r="B81" s="20"/>
      <c r="C81" s="21" t="s">
        <v>104</v>
      </c>
      <c r="D81" s="20"/>
      <c r="E81" s="20"/>
      <c r="F81" s="25"/>
      <c r="G81" s="25"/>
      <c r="H81" s="19" t="s">
        <v>12</v>
      </c>
    </row>
    <row r="82" spans="1:8" x14ac:dyDescent="0.2">
      <c r="A82" s="20"/>
      <c r="B82" s="20"/>
      <c r="C82" s="21" t="s">
        <v>11</v>
      </c>
      <c r="D82" s="20"/>
      <c r="E82" s="20" t="s">
        <v>12</v>
      </c>
      <c r="F82" s="22" t="s">
        <v>13</v>
      </c>
      <c r="G82" s="23">
        <v>0</v>
      </c>
      <c r="H82" s="19" t="s">
        <v>12</v>
      </c>
    </row>
    <row r="83" spans="1:8" x14ac:dyDescent="0.2">
      <c r="A83" s="20"/>
      <c r="B83" s="20"/>
      <c r="C83" s="24"/>
      <c r="D83" s="20"/>
      <c r="E83" s="20"/>
      <c r="F83" s="25"/>
      <c r="G83" s="25"/>
      <c r="H83" s="19" t="s">
        <v>12</v>
      </c>
    </row>
    <row r="84" spans="1:8" x14ac:dyDescent="0.2">
      <c r="A84" s="20"/>
      <c r="B84" s="20"/>
      <c r="C84" s="21" t="s">
        <v>105</v>
      </c>
      <c r="D84" s="20"/>
      <c r="E84" s="20"/>
      <c r="F84" s="25"/>
      <c r="G84" s="25"/>
      <c r="H84" s="19" t="s">
        <v>12</v>
      </c>
    </row>
    <row r="85" spans="1:8" x14ac:dyDescent="0.2">
      <c r="A85" s="20"/>
      <c r="B85" s="20"/>
      <c r="C85" s="21" t="s">
        <v>11</v>
      </c>
      <c r="D85" s="20"/>
      <c r="E85" s="20" t="s">
        <v>12</v>
      </c>
      <c r="F85" s="22" t="s">
        <v>13</v>
      </c>
      <c r="G85" s="23">
        <v>0</v>
      </c>
      <c r="H85" s="19" t="s">
        <v>12</v>
      </c>
    </row>
    <row r="86" spans="1:8" x14ac:dyDescent="0.2">
      <c r="A86" s="20"/>
      <c r="B86" s="20"/>
      <c r="C86" s="24"/>
      <c r="D86" s="20"/>
      <c r="E86" s="20"/>
      <c r="F86" s="25"/>
      <c r="G86" s="25"/>
      <c r="H86" s="19" t="s">
        <v>12</v>
      </c>
    </row>
    <row r="87" spans="1:8" x14ac:dyDescent="0.2">
      <c r="A87" s="20"/>
      <c r="B87" s="20"/>
      <c r="C87" s="21" t="s">
        <v>106</v>
      </c>
      <c r="D87" s="20"/>
      <c r="E87" s="20"/>
      <c r="F87" s="25"/>
      <c r="G87" s="25"/>
      <c r="H87" s="19" t="s">
        <v>12</v>
      </c>
    </row>
    <row r="88" spans="1:8" x14ac:dyDescent="0.2">
      <c r="A88" s="27">
        <v>1</v>
      </c>
      <c r="B88" s="28"/>
      <c r="C88" s="28" t="s">
        <v>107</v>
      </c>
      <c r="D88" s="28"/>
      <c r="E88" s="32"/>
      <c r="F88" s="30">
        <v>3101.5829910050002</v>
      </c>
      <c r="G88" s="31">
        <v>6.5886E-2</v>
      </c>
      <c r="H88" s="19">
        <v>5.07</v>
      </c>
    </row>
    <row r="89" spans="1:8" x14ac:dyDescent="0.2">
      <c r="A89" s="20"/>
      <c r="B89" s="20"/>
      <c r="C89" s="21" t="s">
        <v>11</v>
      </c>
      <c r="D89" s="20"/>
      <c r="E89" s="20" t="s">
        <v>12</v>
      </c>
      <c r="F89" s="26">
        <v>3101.5829910050002</v>
      </c>
      <c r="G89" s="23">
        <v>6.5886E-2</v>
      </c>
      <c r="H89" s="19" t="s">
        <v>12</v>
      </c>
    </row>
    <row r="90" spans="1:8" x14ac:dyDescent="0.2">
      <c r="A90" s="20"/>
      <c r="B90" s="20"/>
      <c r="C90" s="24"/>
      <c r="D90" s="20"/>
      <c r="E90" s="20"/>
      <c r="F90" s="25"/>
      <c r="G90" s="25"/>
      <c r="H90" s="19" t="s">
        <v>12</v>
      </c>
    </row>
    <row r="91" spans="1:8" x14ac:dyDescent="0.2">
      <c r="A91" s="20"/>
      <c r="B91" s="20"/>
      <c r="C91" s="21" t="s">
        <v>108</v>
      </c>
      <c r="D91" s="20"/>
      <c r="E91" s="20"/>
      <c r="F91" s="26">
        <v>6924.9634910049999</v>
      </c>
      <c r="G91" s="23">
        <v>0.14710492999999999</v>
      </c>
      <c r="H91" s="19" t="s">
        <v>12</v>
      </c>
    </row>
    <row r="92" spans="1:8" x14ac:dyDescent="0.2">
      <c r="A92" s="20"/>
      <c r="B92" s="20"/>
      <c r="C92" s="25"/>
      <c r="D92" s="20"/>
      <c r="E92" s="20"/>
      <c r="F92" s="20"/>
      <c r="G92" s="20"/>
      <c r="H92" s="19" t="s">
        <v>12</v>
      </c>
    </row>
    <row r="93" spans="1:8" x14ac:dyDescent="0.2">
      <c r="A93" s="20"/>
      <c r="B93" s="20"/>
      <c r="C93" s="21" t="s">
        <v>109</v>
      </c>
      <c r="D93" s="20"/>
      <c r="E93" s="20"/>
      <c r="F93" s="20"/>
      <c r="G93" s="20"/>
      <c r="H93" s="19" t="s">
        <v>12</v>
      </c>
    </row>
    <row r="94" spans="1:8" x14ac:dyDescent="0.2">
      <c r="A94" s="20"/>
      <c r="B94" s="20"/>
      <c r="C94" s="21" t="s">
        <v>110</v>
      </c>
      <c r="D94" s="20"/>
      <c r="E94" s="20"/>
      <c r="F94" s="20"/>
      <c r="G94" s="20"/>
      <c r="H94" s="19" t="s">
        <v>12</v>
      </c>
    </row>
    <row r="95" spans="1:8" x14ac:dyDescent="0.2">
      <c r="A95" s="20"/>
      <c r="B95" s="20"/>
      <c r="C95" s="21" t="s">
        <v>11</v>
      </c>
      <c r="D95" s="20"/>
      <c r="E95" s="20" t="s">
        <v>12</v>
      </c>
      <c r="F95" s="22" t="s">
        <v>13</v>
      </c>
      <c r="G95" s="23">
        <v>0</v>
      </c>
      <c r="H95" s="19" t="s">
        <v>12</v>
      </c>
    </row>
    <row r="96" spans="1:8" x14ac:dyDescent="0.2">
      <c r="A96" s="17"/>
      <c r="B96" s="17"/>
      <c r="C96" s="75"/>
      <c r="D96" s="17"/>
      <c r="E96" s="17"/>
      <c r="F96" s="42"/>
      <c r="G96" s="42"/>
      <c r="H96" s="19" t="s">
        <v>12</v>
      </c>
    </row>
    <row r="97" spans="1:17" x14ac:dyDescent="0.2">
      <c r="A97" s="17"/>
      <c r="B97" s="17"/>
      <c r="C97" s="18" t="s">
        <v>608</v>
      </c>
      <c r="D97" s="17"/>
      <c r="E97" s="17"/>
      <c r="F97" s="42"/>
      <c r="G97" s="42"/>
      <c r="H97" s="19" t="s">
        <v>12</v>
      </c>
      <c r="K97" s="55"/>
      <c r="L97" s="55"/>
      <c r="M97" s="55"/>
      <c r="N97" s="55"/>
      <c r="O97" s="76"/>
      <c r="P97" s="76"/>
      <c r="Q97" s="76"/>
    </row>
    <row r="98" spans="1:17" ht="25.5" x14ac:dyDescent="0.2">
      <c r="A98" s="69">
        <v>1</v>
      </c>
      <c r="B98" s="70" t="s">
        <v>111</v>
      </c>
      <c r="C98" s="70" t="s">
        <v>112</v>
      </c>
      <c r="D98" s="70"/>
      <c r="E98" s="77">
        <v>1138.2429999999999</v>
      </c>
      <c r="F98" s="72">
        <v>127.71297831699999</v>
      </c>
      <c r="G98" s="73">
        <v>2.7129699999999999E-3</v>
      </c>
      <c r="H98" s="19"/>
    </row>
    <row r="99" spans="1:17" x14ac:dyDescent="0.2">
      <c r="A99" s="17"/>
      <c r="B99" s="17"/>
      <c r="C99" s="18" t="s">
        <v>11</v>
      </c>
      <c r="D99" s="17"/>
      <c r="E99" s="17" t="s">
        <v>12</v>
      </c>
      <c r="F99" s="78">
        <f>SUM(F98)</f>
        <v>127.71297831699999</v>
      </c>
      <c r="G99" s="79">
        <f>SUM(G98)</f>
        <v>2.7129699999999999E-3</v>
      </c>
      <c r="H99" s="19" t="s">
        <v>12</v>
      </c>
    </row>
    <row r="100" spans="1:17" x14ac:dyDescent="0.2">
      <c r="A100" s="20"/>
      <c r="B100" s="20"/>
      <c r="C100" s="24"/>
      <c r="D100" s="20"/>
      <c r="E100" s="20"/>
      <c r="F100" s="25"/>
      <c r="G100" s="25"/>
      <c r="H100" s="19" t="s">
        <v>12</v>
      </c>
    </row>
    <row r="101" spans="1:17" x14ac:dyDescent="0.2">
      <c r="A101" s="20"/>
      <c r="B101" s="20"/>
      <c r="C101" s="24"/>
      <c r="D101" s="20"/>
      <c r="E101" s="20"/>
      <c r="F101" s="25"/>
      <c r="G101" s="25"/>
      <c r="H101" s="19" t="s">
        <v>12</v>
      </c>
    </row>
    <row r="102" spans="1:17" x14ac:dyDescent="0.2">
      <c r="A102" s="20"/>
      <c r="B102" s="20"/>
      <c r="C102" s="21" t="s">
        <v>113</v>
      </c>
      <c r="D102" s="20"/>
      <c r="E102" s="20"/>
      <c r="F102" s="20"/>
      <c r="G102" s="20"/>
      <c r="H102" s="19" t="s">
        <v>12</v>
      </c>
    </row>
    <row r="103" spans="1:17" x14ac:dyDescent="0.2">
      <c r="A103" s="20"/>
      <c r="B103" s="20"/>
      <c r="C103" s="21" t="s">
        <v>114</v>
      </c>
      <c r="D103" s="20"/>
      <c r="E103" s="20"/>
      <c r="F103" s="20"/>
      <c r="G103" s="20"/>
      <c r="H103" s="19" t="s">
        <v>12</v>
      </c>
    </row>
    <row r="104" spans="1:17" x14ac:dyDescent="0.2">
      <c r="A104" s="20"/>
      <c r="B104" s="20"/>
      <c r="C104" s="21" t="s">
        <v>11</v>
      </c>
      <c r="D104" s="20"/>
      <c r="E104" s="20" t="s">
        <v>12</v>
      </c>
      <c r="F104" s="22" t="s">
        <v>13</v>
      </c>
      <c r="G104" s="23">
        <v>0</v>
      </c>
      <c r="H104" s="19" t="s">
        <v>12</v>
      </c>
    </row>
    <row r="105" spans="1:17" x14ac:dyDescent="0.2">
      <c r="A105" s="20"/>
      <c r="B105" s="20"/>
      <c r="C105" s="24"/>
      <c r="D105" s="20"/>
      <c r="E105" s="20"/>
      <c r="F105" s="25"/>
      <c r="G105" s="25"/>
      <c r="H105" s="19" t="s">
        <v>12</v>
      </c>
    </row>
    <row r="106" spans="1:17" ht="25.5" x14ac:dyDescent="0.2">
      <c r="A106" s="20"/>
      <c r="B106" s="20"/>
      <c r="C106" s="21" t="s">
        <v>115</v>
      </c>
      <c r="D106" s="20"/>
      <c r="E106" s="20"/>
      <c r="F106" s="25"/>
      <c r="G106" s="25"/>
      <c r="H106" s="19" t="s">
        <v>12</v>
      </c>
    </row>
    <row r="107" spans="1:17" x14ac:dyDescent="0.2">
      <c r="A107" s="20"/>
      <c r="B107" s="20"/>
      <c r="C107" s="21" t="s">
        <v>11</v>
      </c>
      <c r="D107" s="20"/>
      <c r="E107" s="20" t="s">
        <v>12</v>
      </c>
      <c r="F107" s="22" t="s">
        <v>13</v>
      </c>
      <c r="G107" s="23">
        <v>0</v>
      </c>
      <c r="H107" s="19" t="s">
        <v>12</v>
      </c>
    </row>
    <row r="108" spans="1:17" x14ac:dyDescent="0.2">
      <c r="A108" s="20"/>
      <c r="B108" s="20"/>
      <c r="C108" s="24"/>
      <c r="D108" s="20"/>
      <c r="E108" s="20"/>
      <c r="F108" s="25"/>
      <c r="G108" s="25"/>
      <c r="H108" s="19" t="s">
        <v>12</v>
      </c>
    </row>
    <row r="109" spans="1:17" x14ac:dyDescent="0.2">
      <c r="A109" s="32"/>
      <c r="B109" s="28"/>
      <c r="C109" s="28" t="s">
        <v>116</v>
      </c>
      <c r="D109" s="28"/>
      <c r="E109" s="32"/>
      <c r="F109" s="30">
        <f>807.76201475-0.000287892007827759</f>
        <v>807.76172685799224</v>
      </c>
      <c r="G109" s="31">
        <v>1.7159049999999999E-2</v>
      </c>
      <c r="H109" s="19" t="s">
        <v>12</v>
      </c>
    </row>
    <row r="110" spans="1:17" x14ac:dyDescent="0.2">
      <c r="A110" s="24"/>
      <c r="B110" s="24"/>
      <c r="C110" s="21" t="s">
        <v>117</v>
      </c>
      <c r="D110" s="25"/>
      <c r="E110" s="25"/>
      <c r="F110" s="26">
        <f>47074.991704072-0.000287892007827759</f>
        <v>47074.991416179997</v>
      </c>
      <c r="G110" s="33">
        <v>0.99999998000000001</v>
      </c>
      <c r="H110" s="19" t="s">
        <v>12</v>
      </c>
    </row>
    <row r="111" spans="1:17" x14ac:dyDescent="0.2">
      <c r="A111" s="34"/>
      <c r="B111" s="34"/>
      <c r="C111" s="34"/>
      <c r="D111" s="35"/>
      <c r="E111" s="35"/>
      <c r="F111" s="35"/>
      <c r="G111" s="35"/>
    </row>
    <row r="112" spans="1:17" x14ac:dyDescent="0.2">
      <c r="A112" s="36"/>
      <c r="B112" s="169" t="s">
        <v>609</v>
      </c>
      <c r="C112" s="169"/>
      <c r="D112" s="169"/>
      <c r="E112" s="169"/>
      <c r="F112" s="169"/>
      <c r="G112" s="169"/>
      <c r="H112" s="169"/>
    </row>
    <row r="113" spans="1:8" x14ac:dyDescent="0.2">
      <c r="A113" s="36"/>
      <c r="B113" s="169" t="s">
        <v>610</v>
      </c>
      <c r="C113" s="169"/>
      <c r="D113" s="169"/>
      <c r="E113" s="169"/>
      <c r="F113" s="169"/>
      <c r="G113" s="169"/>
      <c r="H113" s="169"/>
    </row>
    <row r="114" spans="1:8" x14ac:dyDescent="0.2">
      <c r="A114" s="36"/>
      <c r="B114" s="169" t="s">
        <v>611</v>
      </c>
      <c r="C114" s="169"/>
      <c r="D114" s="169"/>
      <c r="E114" s="169"/>
      <c r="F114" s="169"/>
      <c r="G114" s="169"/>
      <c r="H114" s="169"/>
    </row>
    <row r="115" spans="1:8" x14ac:dyDescent="0.2">
      <c r="A115" s="38"/>
      <c r="B115" s="38"/>
      <c r="C115" s="38"/>
      <c r="D115" s="39"/>
      <c r="E115" s="39"/>
      <c r="F115" s="39"/>
      <c r="G115" s="39"/>
    </row>
    <row r="116" spans="1:8" x14ac:dyDescent="0.2">
      <c r="A116" s="36"/>
      <c r="B116" s="170" t="s">
        <v>118</v>
      </c>
      <c r="C116" s="171"/>
      <c r="D116" s="172"/>
      <c r="E116" s="40"/>
      <c r="F116" s="41"/>
      <c r="G116" s="41"/>
    </row>
    <row r="117" spans="1:8" x14ac:dyDescent="0.2">
      <c r="A117" s="36"/>
      <c r="B117" s="161" t="s">
        <v>119</v>
      </c>
      <c r="C117" s="162"/>
      <c r="D117" s="18" t="s">
        <v>120</v>
      </c>
      <c r="E117" s="40"/>
      <c r="F117" s="41"/>
      <c r="G117" s="41"/>
    </row>
    <row r="118" spans="1:8" x14ac:dyDescent="0.2">
      <c r="A118" s="36"/>
      <c r="B118" s="161" t="s">
        <v>121</v>
      </c>
      <c r="C118" s="162"/>
      <c r="D118" s="18" t="s">
        <v>120</v>
      </c>
      <c r="E118" s="40"/>
      <c r="F118" s="41"/>
      <c r="G118" s="41"/>
    </row>
    <row r="119" spans="1:8" x14ac:dyDescent="0.2">
      <c r="A119" s="36"/>
      <c r="B119" s="161" t="s">
        <v>122</v>
      </c>
      <c r="C119" s="162"/>
      <c r="D119" s="42" t="s">
        <v>12</v>
      </c>
      <c r="E119" s="40"/>
      <c r="F119" s="41"/>
      <c r="G119" s="41"/>
    </row>
    <row r="120" spans="1:8" x14ac:dyDescent="0.2">
      <c r="A120" s="43"/>
      <c r="B120" s="44" t="s">
        <v>12</v>
      </c>
      <c r="C120" s="44" t="s">
        <v>612</v>
      </c>
      <c r="D120" s="44" t="s">
        <v>123</v>
      </c>
      <c r="E120" s="43"/>
      <c r="F120" s="43"/>
      <c r="G120" s="43"/>
    </row>
    <row r="121" spans="1:8" x14ac:dyDescent="0.2">
      <c r="A121" s="43"/>
      <c r="B121" s="45" t="s">
        <v>124</v>
      </c>
      <c r="C121" s="46">
        <v>45808</v>
      </c>
      <c r="D121" s="46">
        <v>45823</v>
      </c>
      <c r="E121" s="43"/>
      <c r="F121" s="43"/>
      <c r="G121" s="43"/>
    </row>
    <row r="122" spans="1:8" x14ac:dyDescent="0.2">
      <c r="A122" s="47"/>
      <c r="B122" s="28" t="s">
        <v>125</v>
      </c>
      <c r="C122" s="48">
        <v>43.763199999999998</v>
      </c>
      <c r="D122" s="48">
        <v>43.722099999999998</v>
      </c>
      <c r="E122" s="47"/>
      <c r="F122" s="49"/>
      <c r="G122" s="50"/>
    </row>
    <row r="123" spans="1:8" x14ac:dyDescent="0.2">
      <c r="A123" s="47"/>
      <c r="B123" s="28" t="s">
        <v>170</v>
      </c>
      <c r="C123" s="48">
        <v>21.8934</v>
      </c>
      <c r="D123" s="48">
        <v>21.872800000000002</v>
      </c>
      <c r="E123" s="47"/>
      <c r="F123" s="49"/>
      <c r="G123" s="50"/>
    </row>
    <row r="124" spans="1:8" ht="25.5" x14ac:dyDescent="0.2">
      <c r="A124" s="47"/>
      <c r="B124" s="28" t="s">
        <v>737</v>
      </c>
      <c r="C124" s="48">
        <v>11.755599999999999</v>
      </c>
      <c r="D124" s="48">
        <v>11.7445</v>
      </c>
      <c r="E124" s="47"/>
      <c r="F124" s="49"/>
      <c r="G124" s="50"/>
    </row>
    <row r="125" spans="1:8" x14ac:dyDescent="0.2">
      <c r="A125" s="47"/>
      <c r="B125" s="28" t="s">
        <v>126</v>
      </c>
      <c r="C125" s="48">
        <v>43.1554</v>
      </c>
      <c r="D125" s="48">
        <v>43.112400000000001</v>
      </c>
      <c r="E125" s="47"/>
      <c r="F125" s="49"/>
      <c r="G125" s="50"/>
    </row>
    <row r="126" spans="1:8" x14ac:dyDescent="0.2">
      <c r="A126" s="47"/>
      <c r="B126" s="28" t="s">
        <v>171</v>
      </c>
      <c r="C126" s="48">
        <v>21.762</v>
      </c>
      <c r="D126" s="48">
        <v>21.740300000000001</v>
      </c>
      <c r="E126" s="47"/>
      <c r="F126" s="49"/>
      <c r="G126" s="50"/>
    </row>
    <row r="127" spans="1:8" ht="25.5" x14ac:dyDescent="0.2">
      <c r="A127" s="47"/>
      <c r="B127" s="28" t="s">
        <v>741</v>
      </c>
      <c r="C127" s="48">
        <v>11.8025</v>
      </c>
      <c r="D127" s="48">
        <v>11.790699999999999</v>
      </c>
      <c r="E127" s="47"/>
      <c r="F127" s="49"/>
      <c r="G127" s="50"/>
    </row>
    <row r="128" spans="1:8" x14ac:dyDescent="0.2">
      <c r="A128" s="47"/>
      <c r="B128" s="47"/>
      <c r="C128" s="47"/>
      <c r="D128" s="47"/>
      <c r="E128" s="47"/>
      <c r="F128" s="47"/>
      <c r="G128" s="47"/>
    </row>
    <row r="129" spans="1:18" x14ac:dyDescent="0.2">
      <c r="A129" s="47"/>
      <c r="B129" s="164" t="s">
        <v>714</v>
      </c>
      <c r="C129" s="165"/>
      <c r="D129" s="18" t="s">
        <v>120</v>
      </c>
      <c r="E129" s="47"/>
      <c r="F129" s="47"/>
      <c r="G129" s="47"/>
    </row>
    <row r="130" spans="1:18" x14ac:dyDescent="0.2">
      <c r="A130" s="47"/>
      <c r="B130" s="56"/>
      <c r="C130" s="56"/>
      <c r="D130" s="56"/>
      <c r="E130" s="47"/>
      <c r="F130" s="47"/>
      <c r="G130" s="47"/>
    </row>
    <row r="131" spans="1:18" s="57" customFormat="1" x14ac:dyDescent="0.2">
      <c r="A131" s="98"/>
      <c r="B131" s="161" t="s">
        <v>625</v>
      </c>
      <c r="C131" s="162"/>
      <c r="D131" s="18" t="s">
        <v>120</v>
      </c>
      <c r="E131" s="98"/>
      <c r="F131" s="37"/>
      <c r="G131" s="98"/>
      <c r="I131"/>
      <c r="J131"/>
      <c r="K131" s="55"/>
      <c r="L131" s="55"/>
      <c r="M131" s="55"/>
      <c r="N131" s="55"/>
      <c r="O131" s="58"/>
    </row>
    <row r="132" spans="1:18" x14ac:dyDescent="0.2">
      <c r="A132" s="43"/>
      <c r="B132" s="161" t="s">
        <v>626</v>
      </c>
      <c r="C132" s="162"/>
      <c r="D132" s="18" t="s">
        <v>120</v>
      </c>
      <c r="E132" s="54"/>
      <c r="F132" s="43"/>
      <c r="G132" s="43"/>
    </row>
    <row r="133" spans="1:18" x14ac:dyDescent="0.2">
      <c r="A133" s="43"/>
      <c r="B133" s="161" t="s">
        <v>627</v>
      </c>
      <c r="C133" s="162"/>
      <c r="D133" s="18" t="s">
        <v>120</v>
      </c>
      <c r="E133" s="54"/>
      <c r="F133" s="43"/>
      <c r="G133" s="43"/>
    </row>
    <row r="134" spans="1:18" x14ac:dyDescent="0.2">
      <c r="A134" s="43"/>
      <c r="B134" s="161" t="s">
        <v>628</v>
      </c>
      <c r="C134" s="162"/>
      <c r="D134" s="18" t="s">
        <v>120</v>
      </c>
      <c r="E134" s="54"/>
      <c r="F134" s="43"/>
      <c r="G134" s="43"/>
    </row>
    <row r="135" spans="1:18" x14ac:dyDescent="0.2">
      <c r="A135" s="56"/>
      <c r="B135" s="56"/>
      <c r="C135" s="56"/>
      <c r="D135" s="56"/>
      <c r="E135" s="56"/>
      <c r="F135" s="56"/>
      <c r="G135" s="56"/>
    </row>
    <row r="136" spans="1:18" s="57" customFormat="1" x14ac:dyDescent="0.2">
      <c r="B136" s="166" t="s">
        <v>614</v>
      </c>
      <c r="C136" s="167"/>
      <c r="D136" s="168"/>
      <c r="I136"/>
      <c r="J136" s="16"/>
      <c r="K136" s="55"/>
      <c r="L136" s="55"/>
      <c r="M136" s="55"/>
      <c r="N136" s="55"/>
      <c r="O136" s="58"/>
    </row>
    <row r="137" spans="1:18" s="57" customFormat="1" ht="38.25" x14ac:dyDescent="0.2">
      <c r="B137" s="163" t="s">
        <v>615</v>
      </c>
      <c r="C137" s="163"/>
      <c r="D137" s="59" t="s">
        <v>132</v>
      </c>
      <c r="I137"/>
      <c r="J137" s="16"/>
      <c r="K137" s="55"/>
      <c r="L137" s="55"/>
      <c r="M137" s="55"/>
      <c r="N137" s="55"/>
      <c r="O137" s="58"/>
    </row>
    <row r="138" spans="1:18" s="57" customFormat="1" x14ac:dyDescent="0.2">
      <c r="B138" s="174" t="s">
        <v>616</v>
      </c>
      <c r="C138" s="174"/>
      <c r="D138" s="60"/>
      <c r="I138"/>
      <c r="J138" s="16"/>
      <c r="K138" s="55"/>
      <c r="L138" s="55"/>
      <c r="M138" s="55"/>
      <c r="N138" s="55"/>
      <c r="O138" s="58"/>
    </row>
    <row r="139" spans="1:18" s="57" customFormat="1" x14ac:dyDescent="0.2">
      <c r="B139" s="174"/>
      <c r="C139" s="174"/>
      <c r="D139" s="61"/>
      <c r="I139"/>
      <c r="J139"/>
      <c r="K139" s="55"/>
      <c r="L139" s="55"/>
      <c r="M139" s="55"/>
      <c r="N139" s="55"/>
      <c r="O139" s="58"/>
    </row>
    <row r="140" spans="1:18" s="57" customFormat="1" x14ac:dyDescent="0.2">
      <c r="B140" s="174" t="s">
        <v>617</v>
      </c>
      <c r="C140" s="174"/>
      <c r="D140" s="62">
        <v>6.4941497115312368</v>
      </c>
      <c r="I140"/>
      <c r="J140"/>
      <c r="K140" s="55"/>
      <c r="L140" s="55"/>
      <c r="M140" s="55"/>
      <c r="N140" s="55"/>
      <c r="O140" s="58"/>
    </row>
    <row r="141" spans="1:18" s="57" customFormat="1" x14ac:dyDescent="0.2">
      <c r="B141" s="174"/>
      <c r="C141" s="174"/>
      <c r="D141" s="61"/>
      <c r="I141"/>
      <c r="J141" s="16"/>
      <c r="K141" s="55"/>
      <c r="L141" s="55"/>
      <c r="M141" s="55"/>
      <c r="N141" s="55"/>
      <c r="O141" s="58"/>
    </row>
    <row r="142" spans="1:18" s="57" customFormat="1" x14ac:dyDescent="0.2">
      <c r="B142" s="174" t="s">
        <v>618</v>
      </c>
      <c r="C142" s="174"/>
      <c r="D142" s="62">
        <v>3.2173857707418745</v>
      </c>
      <c r="I142"/>
      <c r="J142" s="16"/>
      <c r="K142" s="55"/>
      <c r="L142" s="55"/>
      <c r="M142" s="55"/>
      <c r="N142" s="55"/>
      <c r="O142" s="58"/>
    </row>
    <row r="143" spans="1:18" s="57" customFormat="1" x14ac:dyDescent="0.2">
      <c r="B143" s="174" t="s">
        <v>619</v>
      </c>
      <c r="C143" s="174"/>
      <c r="D143" s="62">
        <v>4.2389468666546</v>
      </c>
      <c r="I143"/>
      <c r="J143" s="16"/>
      <c r="K143" s="55"/>
      <c r="L143" s="55"/>
      <c r="M143" s="55"/>
      <c r="N143" s="55"/>
      <c r="O143" s="58"/>
    </row>
    <row r="144" spans="1:18" s="57" customFormat="1" x14ac:dyDescent="0.2">
      <c r="B144" s="174"/>
      <c r="C144" s="174"/>
      <c r="D144" s="61"/>
      <c r="I144"/>
      <c r="J144" s="16"/>
      <c r="K144" s="55"/>
      <c r="L144" s="55"/>
      <c r="M144" s="55"/>
      <c r="N144" s="55"/>
      <c r="O144" s="58"/>
      <c r="R144"/>
    </row>
    <row r="145" spans="2:18" s="57" customFormat="1" x14ac:dyDescent="0.2">
      <c r="B145" s="174" t="s">
        <v>620</v>
      </c>
      <c r="C145" s="174"/>
      <c r="D145" s="64" t="s">
        <v>744</v>
      </c>
      <c r="I145"/>
      <c r="J145" s="16"/>
      <c r="K145" s="55"/>
      <c r="L145" s="55"/>
      <c r="M145" s="55"/>
      <c r="N145" s="55"/>
      <c r="O145" s="58"/>
    </row>
    <row r="146" spans="2:18" s="57" customFormat="1" x14ac:dyDescent="0.2">
      <c r="B146" s="175" t="s">
        <v>621</v>
      </c>
      <c r="C146" s="177"/>
      <c r="D146" s="176"/>
      <c r="I146"/>
      <c r="J146" s="16"/>
      <c r="K146" s="55"/>
      <c r="L146" s="55"/>
      <c r="M146" s="55"/>
      <c r="N146" s="55"/>
      <c r="O146" s="58"/>
      <c r="R146"/>
    </row>
    <row r="147" spans="2:18" x14ac:dyDescent="0.2">
      <c r="J147" s="16"/>
    </row>
    <row r="148" spans="2:18" x14ac:dyDescent="0.2">
      <c r="B148" s="66" t="s">
        <v>622</v>
      </c>
    </row>
    <row r="149" spans="2:18" ht="5.25" customHeight="1" x14ac:dyDescent="0.2"/>
    <row r="150" spans="2:18" ht="168" customHeight="1" x14ac:dyDescent="0.2"/>
    <row r="153" spans="2:18" x14ac:dyDescent="0.2">
      <c r="B153" s="67" t="s">
        <v>623</v>
      </c>
      <c r="C153" s="68"/>
      <c r="D153" s="67"/>
    </row>
    <row r="154" spans="2:18" x14ac:dyDescent="0.2">
      <c r="B154" s="67" t="s">
        <v>629</v>
      </c>
      <c r="D154" s="67"/>
    </row>
    <row r="156" spans="2:18" x14ac:dyDescent="0.2">
      <c r="J156" s="16"/>
    </row>
    <row r="157" spans="2:18" x14ac:dyDescent="0.2">
      <c r="J157" s="16"/>
    </row>
    <row r="158" spans="2:18" x14ac:dyDescent="0.2">
      <c r="J158" s="16"/>
    </row>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sheetData>
  <mergeCells count="26">
    <mergeCell ref="B145:C145"/>
    <mergeCell ref="B146:D146"/>
    <mergeCell ref="B140:C140"/>
    <mergeCell ref="B141:C141"/>
    <mergeCell ref="B142:C142"/>
    <mergeCell ref="B143:C143"/>
    <mergeCell ref="B144:C144"/>
    <mergeCell ref="B131:C131"/>
    <mergeCell ref="B132:C132"/>
    <mergeCell ref="B136:D136"/>
    <mergeCell ref="B139:C139"/>
    <mergeCell ref="B133:C133"/>
    <mergeCell ref="B134:C134"/>
    <mergeCell ref="B137:C137"/>
    <mergeCell ref="B138:C138"/>
    <mergeCell ref="A1:H1"/>
    <mergeCell ref="A2:H2"/>
    <mergeCell ref="A3:H3"/>
    <mergeCell ref="B112:H112"/>
    <mergeCell ref="B113:H113"/>
    <mergeCell ref="B114:H114"/>
    <mergeCell ref="B116:D116"/>
    <mergeCell ref="B117:C117"/>
    <mergeCell ref="B118:C118"/>
    <mergeCell ref="B129:C129"/>
    <mergeCell ref="B119:C119"/>
  </mergeCells>
  <hyperlinks>
    <hyperlink ref="I1" location="Index!B2" display="Index" xr:uid="{DF34FEB5-AA27-49B9-BBD6-0327D9A6154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550C6-0F12-49CF-A9B1-64D514F8A8A2}">
  <sheetPr>
    <outlinePr summaryBelow="0" summaryRight="0"/>
  </sheetPr>
  <dimension ref="A1:Q181"/>
  <sheetViews>
    <sheetView showGridLines="0" workbookViewId="0">
      <selection activeCell="A2" sqref="A2:H2"/>
    </sheetView>
  </sheetViews>
  <sheetFormatPr defaultRowHeight="12.75" x14ac:dyDescent="0.2"/>
  <cols>
    <col min="1" max="1" width="5.85546875" bestFit="1" customWidth="1"/>
    <col min="2" max="2" width="20.28515625" bestFit="1" customWidth="1"/>
    <col min="3" max="3" width="39" customWidth="1"/>
    <col min="4" max="4" width="12.28515625" customWidth="1"/>
    <col min="5" max="5" width="9.42578125" bestFit="1" customWidth="1"/>
    <col min="6" max="6" width="10.140625" bestFit="1" customWidth="1"/>
    <col min="7" max="7" width="14" bestFit="1" customWidth="1"/>
    <col min="8" max="8" width="11" customWidth="1"/>
  </cols>
  <sheetData>
    <row r="1" spans="1:9" ht="15" x14ac:dyDescent="0.2">
      <c r="A1" s="173" t="s">
        <v>0</v>
      </c>
      <c r="B1" s="173"/>
      <c r="C1" s="173"/>
      <c r="D1" s="173"/>
      <c r="E1" s="173"/>
      <c r="F1" s="173"/>
      <c r="G1" s="173"/>
      <c r="H1" s="173"/>
      <c r="I1" s="1" t="s">
        <v>594</v>
      </c>
    </row>
    <row r="2" spans="1:9" ht="15" x14ac:dyDescent="0.2">
      <c r="A2" s="173" t="s">
        <v>172</v>
      </c>
      <c r="B2" s="173"/>
      <c r="C2" s="173"/>
      <c r="D2" s="173"/>
      <c r="E2" s="173"/>
      <c r="F2" s="173"/>
      <c r="G2" s="173"/>
      <c r="H2" s="173"/>
    </row>
    <row r="3" spans="1:9" ht="15" x14ac:dyDescent="0.2">
      <c r="A3" s="173" t="s">
        <v>750</v>
      </c>
      <c r="B3" s="173"/>
      <c r="C3" s="173"/>
      <c r="D3" s="173"/>
      <c r="E3" s="173"/>
      <c r="F3" s="173"/>
      <c r="G3" s="173"/>
      <c r="H3" s="173"/>
    </row>
    <row r="4" spans="1:9" s="16" customFormat="1" ht="30" x14ac:dyDescent="0.2">
      <c r="A4" s="14" t="s">
        <v>2</v>
      </c>
      <c r="B4" s="14" t="s">
        <v>3</v>
      </c>
      <c r="C4" s="14" t="s">
        <v>4</v>
      </c>
      <c r="D4" s="14" t="s">
        <v>5</v>
      </c>
      <c r="E4" s="14" t="s">
        <v>6</v>
      </c>
      <c r="F4" s="14" t="s">
        <v>7</v>
      </c>
      <c r="G4" s="14" t="s">
        <v>8</v>
      </c>
      <c r="H4" s="15" t="s">
        <v>593</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x14ac:dyDescent="0.2">
      <c r="A28" s="20"/>
      <c r="B28" s="20"/>
      <c r="C28" s="21" t="s">
        <v>11</v>
      </c>
      <c r="D28" s="20"/>
      <c r="E28" s="20" t="s">
        <v>12</v>
      </c>
      <c r="F28" s="22" t="s">
        <v>13</v>
      </c>
      <c r="G28" s="23">
        <v>0</v>
      </c>
      <c r="H28" s="19" t="s">
        <v>12</v>
      </c>
    </row>
    <row r="29" spans="1:8" x14ac:dyDescent="0.2">
      <c r="A29" s="20"/>
      <c r="B29" s="20"/>
      <c r="C29" s="24"/>
      <c r="D29" s="20"/>
      <c r="E29" s="20"/>
      <c r="F29" s="25"/>
      <c r="G29" s="25"/>
      <c r="H29" s="19" t="s">
        <v>12</v>
      </c>
    </row>
    <row r="30" spans="1:8" x14ac:dyDescent="0.2">
      <c r="A30" s="20"/>
      <c r="B30" s="20"/>
      <c r="C30" s="21" t="s">
        <v>77</v>
      </c>
      <c r="D30" s="20"/>
      <c r="E30" s="20"/>
      <c r="F30" s="20"/>
      <c r="G30" s="20"/>
      <c r="H30" s="19" t="s">
        <v>12</v>
      </c>
    </row>
    <row r="31" spans="1:8" x14ac:dyDescent="0.2">
      <c r="A31" s="20"/>
      <c r="B31" s="20"/>
      <c r="C31" s="21" t="s">
        <v>11</v>
      </c>
      <c r="D31" s="20"/>
      <c r="E31" s="20" t="s">
        <v>12</v>
      </c>
      <c r="F31" s="22" t="s">
        <v>13</v>
      </c>
      <c r="G31" s="23">
        <v>0</v>
      </c>
      <c r="H31" s="19" t="s">
        <v>12</v>
      </c>
    </row>
    <row r="32" spans="1:8" x14ac:dyDescent="0.2">
      <c r="A32" s="20"/>
      <c r="B32" s="20"/>
      <c r="C32" s="24"/>
      <c r="D32" s="20"/>
      <c r="E32" s="20"/>
      <c r="F32" s="25"/>
      <c r="G32" s="25"/>
      <c r="H32" s="19" t="s">
        <v>12</v>
      </c>
    </row>
    <row r="33" spans="1:8" x14ac:dyDescent="0.2">
      <c r="A33" s="20"/>
      <c r="B33" s="20"/>
      <c r="C33" s="21" t="s">
        <v>78</v>
      </c>
      <c r="D33" s="20"/>
      <c r="E33" s="20"/>
      <c r="F33" s="20"/>
      <c r="G33" s="20"/>
      <c r="H33" s="19" t="s">
        <v>12</v>
      </c>
    </row>
    <row r="34" spans="1:8" ht="25.5" x14ac:dyDescent="0.2">
      <c r="A34" s="27">
        <v>1</v>
      </c>
      <c r="B34" s="28" t="s">
        <v>173</v>
      </c>
      <c r="C34" s="28" t="s">
        <v>174</v>
      </c>
      <c r="D34" s="28" t="s">
        <v>81</v>
      </c>
      <c r="E34" s="29">
        <v>4000000</v>
      </c>
      <c r="F34" s="30">
        <v>4066.384</v>
      </c>
      <c r="G34" s="31">
        <v>2.7466029999999999E-2</v>
      </c>
      <c r="H34" s="19">
        <v>5.6532999999999998</v>
      </c>
    </row>
    <row r="35" spans="1:8" x14ac:dyDescent="0.2">
      <c r="A35" s="20"/>
      <c r="B35" s="20"/>
      <c r="C35" s="21" t="s">
        <v>11</v>
      </c>
      <c r="D35" s="20"/>
      <c r="E35" s="20" t="s">
        <v>12</v>
      </c>
      <c r="F35" s="26">
        <v>4066.384</v>
      </c>
      <c r="G35" s="23">
        <v>2.7466029999999999E-2</v>
      </c>
      <c r="H35" s="19" t="s">
        <v>12</v>
      </c>
    </row>
    <row r="36" spans="1:8" x14ac:dyDescent="0.2">
      <c r="A36" s="20"/>
      <c r="B36" s="20"/>
      <c r="C36" s="24"/>
      <c r="D36" s="20"/>
      <c r="E36" s="20"/>
      <c r="F36" s="25"/>
      <c r="G36" s="25"/>
      <c r="H36" s="19" t="s">
        <v>12</v>
      </c>
    </row>
    <row r="37" spans="1:8" x14ac:dyDescent="0.2">
      <c r="A37" s="20"/>
      <c r="B37" s="20"/>
      <c r="C37" s="21" t="s">
        <v>100</v>
      </c>
      <c r="D37" s="20"/>
      <c r="E37" s="20"/>
      <c r="F37" s="25"/>
      <c r="G37" s="25"/>
      <c r="H37" s="19" t="s">
        <v>12</v>
      </c>
    </row>
    <row r="38" spans="1:8" x14ac:dyDescent="0.2">
      <c r="A38" s="20"/>
      <c r="B38" s="20"/>
      <c r="C38" s="21" t="s">
        <v>11</v>
      </c>
      <c r="D38" s="20"/>
      <c r="E38" s="20" t="s">
        <v>12</v>
      </c>
      <c r="F38" s="22" t="s">
        <v>13</v>
      </c>
      <c r="G38" s="23">
        <v>0</v>
      </c>
      <c r="H38" s="19" t="s">
        <v>12</v>
      </c>
    </row>
    <row r="39" spans="1:8" x14ac:dyDescent="0.2">
      <c r="A39" s="20"/>
      <c r="B39" s="20"/>
      <c r="C39" s="24"/>
      <c r="D39" s="20"/>
      <c r="E39" s="20"/>
      <c r="F39" s="25"/>
      <c r="G39" s="25"/>
      <c r="H39" s="19" t="s">
        <v>12</v>
      </c>
    </row>
    <row r="40" spans="1:8" x14ac:dyDescent="0.2">
      <c r="A40" s="20"/>
      <c r="B40" s="20"/>
      <c r="C40" s="21" t="s">
        <v>101</v>
      </c>
      <c r="D40" s="20"/>
      <c r="E40" s="20"/>
      <c r="F40" s="26">
        <v>4066.384</v>
      </c>
      <c r="G40" s="23">
        <v>2.7466029999999999E-2</v>
      </c>
      <c r="H40" s="19" t="s">
        <v>12</v>
      </c>
    </row>
    <row r="41" spans="1:8" x14ac:dyDescent="0.2">
      <c r="A41" s="20"/>
      <c r="B41" s="20"/>
      <c r="C41" s="24"/>
      <c r="D41" s="20"/>
      <c r="E41" s="20"/>
      <c r="F41" s="25"/>
      <c r="G41" s="25"/>
      <c r="H41" s="19" t="s">
        <v>12</v>
      </c>
    </row>
    <row r="42" spans="1:8" x14ac:dyDescent="0.2">
      <c r="A42" s="20"/>
      <c r="B42" s="20"/>
      <c r="C42" s="21" t="s">
        <v>102</v>
      </c>
      <c r="D42" s="20"/>
      <c r="E42" s="20"/>
      <c r="F42" s="25"/>
      <c r="G42" s="25"/>
      <c r="H42" s="19" t="s">
        <v>12</v>
      </c>
    </row>
    <row r="43" spans="1:8" x14ac:dyDescent="0.2">
      <c r="A43" s="20"/>
      <c r="B43" s="20"/>
      <c r="C43" s="21" t="s">
        <v>103</v>
      </c>
      <c r="D43" s="20"/>
      <c r="E43" s="20"/>
      <c r="F43" s="25"/>
      <c r="G43" s="25"/>
      <c r="H43" s="19" t="s">
        <v>12</v>
      </c>
    </row>
    <row r="44" spans="1:8" x14ac:dyDescent="0.2">
      <c r="A44" s="27">
        <v>1</v>
      </c>
      <c r="B44" s="28" t="s">
        <v>168</v>
      </c>
      <c r="C44" s="28" t="s">
        <v>169</v>
      </c>
      <c r="D44" s="28" t="s">
        <v>163</v>
      </c>
      <c r="E44" s="29">
        <v>1700</v>
      </c>
      <c r="F44" s="30">
        <v>8116.2674999999999</v>
      </c>
      <c r="G44" s="31">
        <v>5.4820609999999999E-2</v>
      </c>
      <c r="H44" s="19">
        <v>6.23</v>
      </c>
    </row>
    <row r="45" spans="1:8" x14ac:dyDescent="0.2">
      <c r="A45" s="27">
        <v>2</v>
      </c>
      <c r="B45" s="28" t="s">
        <v>175</v>
      </c>
      <c r="C45" s="28" t="s">
        <v>176</v>
      </c>
      <c r="D45" s="28" t="s">
        <v>163</v>
      </c>
      <c r="E45" s="29">
        <v>1500</v>
      </c>
      <c r="F45" s="30">
        <v>7162.7174999999997</v>
      </c>
      <c r="G45" s="31">
        <v>4.8379940000000003E-2</v>
      </c>
      <c r="H45" s="19">
        <v>6.25</v>
      </c>
    </row>
    <row r="46" spans="1:8" x14ac:dyDescent="0.2">
      <c r="A46" s="27">
        <v>3</v>
      </c>
      <c r="B46" s="28" t="s">
        <v>177</v>
      </c>
      <c r="C46" s="28" t="s">
        <v>178</v>
      </c>
      <c r="D46" s="28" t="s">
        <v>163</v>
      </c>
      <c r="E46" s="29">
        <v>1500</v>
      </c>
      <c r="F46" s="30">
        <v>7154.1225000000004</v>
      </c>
      <c r="G46" s="31">
        <v>4.8321889999999999E-2</v>
      </c>
      <c r="H46" s="19">
        <v>6.28</v>
      </c>
    </row>
    <row r="47" spans="1:8" x14ac:dyDescent="0.2">
      <c r="A47" s="27">
        <v>4</v>
      </c>
      <c r="B47" s="28" t="s">
        <v>179</v>
      </c>
      <c r="C47" s="28" t="s">
        <v>180</v>
      </c>
      <c r="D47" s="28" t="s">
        <v>163</v>
      </c>
      <c r="E47" s="29">
        <v>1000</v>
      </c>
      <c r="F47" s="30">
        <v>4784.53</v>
      </c>
      <c r="G47" s="31">
        <v>3.2316690000000002E-2</v>
      </c>
      <c r="H47" s="19">
        <v>6.25</v>
      </c>
    </row>
    <row r="48" spans="1:8" x14ac:dyDescent="0.2">
      <c r="A48" s="27">
        <v>5</v>
      </c>
      <c r="B48" s="28" t="s">
        <v>181</v>
      </c>
      <c r="C48" s="28" t="s">
        <v>182</v>
      </c>
      <c r="D48" s="28" t="s">
        <v>163</v>
      </c>
      <c r="E48" s="29">
        <v>1000</v>
      </c>
      <c r="F48" s="30">
        <v>4775.4849999999997</v>
      </c>
      <c r="G48" s="31">
        <v>3.2255590000000001E-2</v>
      </c>
      <c r="H48" s="19">
        <v>6.24</v>
      </c>
    </row>
    <row r="49" spans="1:8" x14ac:dyDescent="0.2">
      <c r="A49" s="27">
        <v>6</v>
      </c>
      <c r="B49" s="28" t="s">
        <v>183</v>
      </c>
      <c r="C49" s="28" t="s">
        <v>184</v>
      </c>
      <c r="D49" s="28" t="s">
        <v>163</v>
      </c>
      <c r="E49" s="29">
        <v>1000</v>
      </c>
      <c r="F49" s="30">
        <v>4775.3999999999996</v>
      </c>
      <c r="G49" s="31">
        <v>3.2255020000000002E-2</v>
      </c>
      <c r="H49" s="19">
        <v>6.22</v>
      </c>
    </row>
    <row r="50" spans="1:8" ht="25.5" x14ac:dyDescent="0.2">
      <c r="A50" s="27">
        <v>7</v>
      </c>
      <c r="B50" s="28" t="s">
        <v>185</v>
      </c>
      <c r="C50" s="28" t="s">
        <v>186</v>
      </c>
      <c r="D50" s="28" t="s">
        <v>163</v>
      </c>
      <c r="E50" s="29">
        <v>900</v>
      </c>
      <c r="F50" s="30">
        <v>4289.7960000000003</v>
      </c>
      <c r="G50" s="31">
        <v>2.8975049999999999E-2</v>
      </c>
      <c r="H50" s="19">
        <v>6.32</v>
      </c>
    </row>
    <row r="51" spans="1:8" ht="25.5" x14ac:dyDescent="0.2">
      <c r="A51" s="27">
        <v>8</v>
      </c>
      <c r="B51" s="28" t="s">
        <v>187</v>
      </c>
      <c r="C51" s="28" t="s">
        <v>188</v>
      </c>
      <c r="D51" s="28" t="s">
        <v>163</v>
      </c>
      <c r="E51" s="29">
        <v>800</v>
      </c>
      <c r="F51" s="30">
        <v>3830.904</v>
      </c>
      <c r="G51" s="31">
        <v>2.5875499999999999E-2</v>
      </c>
      <c r="H51" s="19">
        <v>6.2934999999999999</v>
      </c>
    </row>
    <row r="52" spans="1:8" ht="25.5" x14ac:dyDescent="0.2">
      <c r="A52" s="27">
        <v>9</v>
      </c>
      <c r="B52" s="28" t="s">
        <v>189</v>
      </c>
      <c r="C52" s="28" t="s">
        <v>190</v>
      </c>
      <c r="D52" s="28" t="s">
        <v>163</v>
      </c>
      <c r="E52" s="29">
        <v>800</v>
      </c>
      <c r="F52" s="30">
        <v>3830.22</v>
      </c>
      <c r="G52" s="31">
        <v>2.5870879999999999E-2</v>
      </c>
      <c r="H52" s="19">
        <v>6.32</v>
      </c>
    </row>
    <row r="53" spans="1:8" x14ac:dyDescent="0.2">
      <c r="A53" s="27">
        <v>10</v>
      </c>
      <c r="B53" s="28" t="s">
        <v>191</v>
      </c>
      <c r="C53" s="28" t="s">
        <v>192</v>
      </c>
      <c r="D53" s="28" t="s">
        <v>163</v>
      </c>
      <c r="E53" s="29">
        <v>600</v>
      </c>
      <c r="F53" s="30">
        <v>2962.116</v>
      </c>
      <c r="G53" s="31">
        <v>2.000735E-2</v>
      </c>
      <c r="H53" s="19">
        <v>5.9852999999999996</v>
      </c>
    </row>
    <row r="54" spans="1:8" x14ac:dyDescent="0.2">
      <c r="A54" s="27">
        <v>11</v>
      </c>
      <c r="B54" s="28" t="s">
        <v>193</v>
      </c>
      <c r="C54" s="28" t="s">
        <v>194</v>
      </c>
      <c r="D54" s="28" t="s">
        <v>163</v>
      </c>
      <c r="E54" s="29">
        <v>600</v>
      </c>
      <c r="F54" s="30">
        <v>2884.3679999999999</v>
      </c>
      <c r="G54" s="31">
        <v>1.948221E-2</v>
      </c>
      <c r="H54" s="19">
        <v>6.28</v>
      </c>
    </row>
    <row r="55" spans="1:8" x14ac:dyDescent="0.2">
      <c r="A55" s="27">
        <v>12</v>
      </c>
      <c r="B55" s="28" t="s">
        <v>195</v>
      </c>
      <c r="C55" s="28" t="s">
        <v>196</v>
      </c>
      <c r="D55" s="28" t="s">
        <v>163</v>
      </c>
      <c r="E55" s="29">
        <v>500</v>
      </c>
      <c r="F55" s="30">
        <v>2442.17</v>
      </c>
      <c r="G55" s="31">
        <v>1.649542E-2</v>
      </c>
      <c r="H55" s="19">
        <v>6.45</v>
      </c>
    </row>
    <row r="56" spans="1:8" x14ac:dyDescent="0.2">
      <c r="A56" s="27">
        <v>13</v>
      </c>
      <c r="B56" s="28" t="s">
        <v>197</v>
      </c>
      <c r="C56" s="28" t="s">
        <v>198</v>
      </c>
      <c r="D56" s="28" t="s">
        <v>163</v>
      </c>
      <c r="E56" s="29">
        <v>500</v>
      </c>
      <c r="F56" s="30">
        <v>2424.9524999999999</v>
      </c>
      <c r="G56" s="31">
        <v>1.6379129999999999E-2</v>
      </c>
      <c r="H56" s="19">
        <v>6.5674999999999999</v>
      </c>
    </row>
    <row r="57" spans="1:8" x14ac:dyDescent="0.2">
      <c r="A57" s="27">
        <v>14</v>
      </c>
      <c r="B57" s="28" t="s">
        <v>199</v>
      </c>
      <c r="C57" s="28" t="s">
        <v>200</v>
      </c>
      <c r="D57" s="28" t="s">
        <v>163</v>
      </c>
      <c r="E57" s="29">
        <v>500</v>
      </c>
      <c r="F57" s="30">
        <v>2404.0825</v>
      </c>
      <c r="G57" s="31">
        <v>1.6238160000000001E-2</v>
      </c>
      <c r="H57" s="19">
        <v>6.2500999999999998</v>
      </c>
    </row>
    <row r="58" spans="1:8" ht="25.5" x14ac:dyDescent="0.2">
      <c r="A58" s="27">
        <v>15</v>
      </c>
      <c r="B58" s="28" t="s">
        <v>201</v>
      </c>
      <c r="C58" s="28" t="s">
        <v>202</v>
      </c>
      <c r="D58" s="28" t="s">
        <v>163</v>
      </c>
      <c r="E58" s="29">
        <v>500</v>
      </c>
      <c r="F58" s="30">
        <v>2403.0974999999999</v>
      </c>
      <c r="G58" s="31">
        <v>1.6231510000000001E-2</v>
      </c>
      <c r="H58" s="19">
        <v>6.2899000000000003</v>
      </c>
    </row>
    <row r="59" spans="1:8" x14ac:dyDescent="0.2">
      <c r="A59" s="27">
        <v>16</v>
      </c>
      <c r="B59" s="28" t="s">
        <v>203</v>
      </c>
      <c r="C59" s="28" t="s">
        <v>204</v>
      </c>
      <c r="D59" s="28" t="s">
        <v>163</v>
      </c>
      <c r="E59" s="29">
        <v>500</v>
      </c>
      <c r="F59" s="30">
        <v>2402.8825000000002</v>
      </c>
      <c r="G59" s="31">
        <v>1.6230060000000001E-2</v>
      </c>
      <c r="H59" s="19">
        <v>6.2775999999999996</v>
      </c>
    </row>
    <row r="60" spans="1:8" x14ac:dyDescent="0.2">
      <c r="A60" s="27">
        <v>17</v>
      </c>
      <c r="B60" s="28" t="s">
        <v>205</v>
      </c>
      <c r="C60" s="28" t="s">
        <v>206</v>
      </c>
      <c r="D60" s="28" t="s">
        <v>163</v>
      </c>
      <c r="E60" s="29">
        <v>500</v>
      </c>
      <c r="F60" s="30">
        <v>2399.0225</v>
      </c>
      <c r="G60" s="31">
        <v>1.6203990000000001E-2</v>
      </c>
      <c r="H60" s="19">
        <v>6.22</v>
      </c>
    </row>
    <row r="61" spans="1:8" ht="25.5" x14ac:dyDescent="0.2">
      <c r="A61" s="27">
        <v>18</v>
      </c>
      <c r="B61" s="28" t="s">
        <v>207</v>
      </c>
      <c r="C61" s="28" t="s">
        <v>208</v>
      </c>
      <c r="D61" s="28" t="s">
        <v>163</v>
      </c>
      <c r="E61" s="29">
        <v>500</v>
      </c>
      <c r="F61" s="30">
        <v>2398.3874999999998</v>
      </c>
      <c r="G61" s="31">
        <v>1.6199700000000001E-2</v>
      </c>
      <c r="H61" s="19">
        <v>6.2862</v>
      </c>
    </row>
    <row r="62" spans="1:8" x14ac:dyDescent="0.2">
      <c r="A62" s="27">
        <v>19</v>
      </c>
      <c r="B62" s="28" t="s">
        <v>209</v>
      </c>
      <c r="C62" s="28" t="s">
        <v>210</v>
      </c>
      <c r="D62" s="28" t="s">
        <v>163</v>
      </c>
      <c r="E62" s="29">
        <v>500</v>
      </c>
      <c r="F62" s="30">
        <v>2395.4949999999999</v>
      </c>
      <c r="G62" s="31">
        <v>1.6180159999999999E-2</v>
      </c>
      <c r="H62" s="19">
        <v>6.22</v>
      </c>
    </row>
    <row r="63" spans="1:8" x14ac:dyDescent="0.2">
      <c r="A63" s="27">
        <v>20</v>
      </c>
      <c r="B63" s="28" t="s">
        <v>211</v>
      </c>
      <c r="C63" s="28" t="s">
        <v>212</v>
      </c>
      <c r="D63" s="28" t="s">
        <v>163</v>
      </c>
      <c r="E63" s="29">
        <v>500</v>
      </c>
      <c r="F63" s="30">
        <v>2394.3625000000002</v>
      </c>
      <c r="G63" s="31">
        <v>1.6172510000000001E-2</v>
      </c>
      <c r="H63" s="19">
        <v>6.3902999999999999</v>
      </c>
    </row>
    <row r="64" spans="1:8" x14ac:dyDescent="0.2">
      <c r="A64" s="27">
        <v>21</v>
      </c>
      <c r="B64" s="28" t="s">
        <v>213</v>
      </c>
      <c r="C64" s="28" t="s">
        <v>214</v>
      </c>
      <c r="D64" s="28" t="s">
        <v>163</v>
      </c>
      <c r="E64" s="29">
        <v>500</v>
      </c>
      <c r="F64" s="30">
        <v>2390.0349999999999</v>
      </c>
      <c r="G64" s="31">
        <v>1.6143279999999999E-2</v>
      </c>
      <c r="H64" s="19">
        <v>6.22</v>
      </c>
    </row>
    <row r="65" spans="1:8" x14ac:dyDescent="0.2">
      <c r="A65" s="27">
        <v>22</v>
      </c>
      <c r="B65" s="28" t="s">
        <v>215</v>
      </c>
      <c r="C65" s="28" t="s">
        <v>216</v>
      </c>
      <c r="D65" s="28" t="s">
        <v>163</v>
      </c>
      <c r="E65" s="29">
        <v>500</v>
      </c>
      <c r="F65" s="30">
        <v>2389.6950000000002</v>
      </c>
      <c r="G65" s="31">
        <v>1.6140979999999999E-2</v>
      </c>
      <c r="H65" s="19">
        <v>6.24</v>
      </c>
    </row>
    <row r="66" spans="1:8" x14ac:dyDescent="0.2">
      <c r="A66" s="27">
        <v>23</v>
      </c>
      <c r="B66" s="28" t="s">
        <v>217</v>
      </c>
      <c r="C66" s="28" t="s">
        <v>218</v>
      </c>
      <c r="D66" s="28" t="s">
        <v>163</v>
      </c>
      <c r="E66" s="29">
        <v>500</v>
      </c>
      <c r="F66" s="30">
        <v>2361.3924999999999</v>
      </c>
      <c r="G66" s="31">
        <v>1.594982E-2</v>
      </c>
      <c r="H66" s="19">
        <v>6.3574999999999999</v>
      </c>
    </row>
    <row r="67" spans="1:8" x14ac:dyDescent="0.2">
      <c r="A67" s="27">
        <v>24</v>
      </c>
      <c r="B67" s="28" t="s">
        <v>219</v>
      </c>
      <c r="C67" s="28" t="s">
        <v>220</v>
      </c>
      <c r="D67" s="28" t="s">
        <v>163</v>
      </c>
      <c r="E67" s="29">
        <v>500</v>
      </c>
      <c r="F67" s="30">
        <v>2351.9974999999999</v>
      </c>
      <c r="G67" s="31">
        <v>1.5886359999999999E-2</v>
      </c>
      <c r="H67" s="19">
        <v>6.38</v>
      </c>
    </row>
    <row r="68" spans="1:8" x14ac:dyDescent="0.2">
      <c r="A68" s="27">
        <v>25</v>
      </c>
      <c r="B68" s="28" t="s">
        <v>166</v>
      </c>
      <c r="C68" s="28" t="s">
        <v>167</v>
      </c>
      <c r="D68" s="28" t="s">
        <v>163</v>
      </c>
      <c r="E68" s="29">
        <v>400</v>
      </c>
      <c r="F68" s="30">
        <v>1922.912</v>
      </c>
      <c r="G68" s="31">
        <v>1.298814E-2</v>
      </c>
      <c r="H68" s="19">
        <v>6.28</v>
      </c>
    </row>
    <row r="69" spans="1:8" x14ac:dyDescent="0.2">
      <c r="A69" s="27">
        <v>26</v>
      </c>
      <c r="B69" s="28" t="s">
        <v>221</v>
      </c>
      <c r="C69" s="28" t="s">
        <v>222</v>
      </c>
      <c r="D69" s="28" t="s">
        <v>163</v>
      </c>
      <c r="E69" s="29">
        <v>300</v>
      </c>
      <c r="F69" s="30">
        <v>1443.4949999999999</v>
      </c>
      <c r="G69" s="31">
        <v>9.7499600000000002E-3</v>
      </c>
      <c r="H69" s="19">
        <v>6.4649999999999999</v>
      </c>
    </row>
    <row r="70" spans="1:8" x14ac:dyDescent="0.2">
      <c r="A70" s="27">
        <v>27</v>
      </c>
      <c r="B70" s="28" t="s">
        <v>223</v>
      </c>
      <c r="C70" s="28" t="s">
        <v>224</v>
      </c>
      <c r="D70" s="28" t="s">
        <v>163</v>
      </c>
      <c r="E70" s="29">
        <v>300</v>
      </c>
      <c r="F70" s="30">
        <v>1437.8115</v>
      </c>
      <c r="G70" s="31">
        <v>9.7115699999999992E-3</v>
      </c>
      <c r="H70" s="19">
        <v>6.2401</v>
      </c>
    </row>
    <row r="71" spans="1:8" x14ac:dyDescent="0.2">
      <c r="A71" s="27">
        <v>28</v>
      </c>
      <c r="B71" s="28" t="s">
        <v>164</v>
      </c>
      <c r="C71" s="28" t="s">
        <v>165</v>
      </c>
      <c r="D71" s="28" t="s">
        <v>163</v>
      </c>
      <c r="E71" s="29">
        <v>300</v>
      </c>
      <c r="F71" s="30">
        <v>1436.0264999999999</v>
      </c>
      <c r="G71" s="31">
        <v>9.6995099999999997E-3</v>
      </c>
      <c r="H71" s="19">
        <v>6.23</v>
      </c>
    </row>
    <row r="72" spans="1:8" ht="25.5" x14ac:dyDescent="0.2">
      <c r="A72" s="27">
        <v>29</v>
      </c>
      <c r="B72" s="28" t="s">
        <v>225</v>
      </c>
      <c r="C72" s="28" t="s">
        <v>226</v>
      </c>
      <c r="D72" s="28" t="s">
        <v>163</v>
      </c>
      <c r="E72" s="29">
        <v>300</v>
      </c>
      <c r="F72" s="30">
        <v>1430.3775000000001</v>
      </c>
      <c r="G72" s="31">
        <v>9.6613600000000008E-3</v>
      </c>
      <c r="H72" s="19">
        <v>6.3</v>
      </c>
    </row>
    <row r="73" spans="1:8" ht="25.5" x14ac:dyDescent="0.2">
      <c r="A73" s="27">
        <v>30</v>
      </c>
      <c r="B73" s="28" t="s">
        <v>227</v>
      </c>
      <c r="C73" s="28" t="s">
        <v>228</v>
      </c>
      <c r="D73" s="28" t="s">
        <v>163</v>
      </c>
      <c r="E73" s="29">
        <v>200</v>
      </c>
      <c r="F73" s="30">
        <v>960.90099999999995</v>
      </c>
      <c r="G73" s="31">
        <v>6.4903199999999999E-3</v>
      </c>
      <c r="H73" s="19">
        <v>6.32</v>
      </c>
    </row>
    <row r="74" spans="1:8" x14ac:dyDescent="0.2">
      <c r="A74" s="27">
        <v>31</v>
      </c>
      <c r="B74" s="28" t="s">
        <v>161</v>
      </c>
      <c r="C74" s="28" t="s">
        <v>162</v>
      </c>
      <c r="D74" s="28" t="s">
        <v>163</v>
      </c>
      <c r="E74" s="29">
        <v>100</v>
      </c>
      <c r="F74" s="30">
        <v>476.96850000000001</v>
      </c>
      <c r="G74" s="31">
        <v>3.22164E-3</v>
      </c>
      <c r="H74" s="19">
        <v>6.25</v>
      </c>
    </row>
    <row r="75" spans="1:8" x14ac:dyDescent="0.2">
      <c r="A75" s="20"/>
      <c r="B75" s="20"/>
      <c r="C75" s="21" t="s">
        <v>11</v>
      </c>
      <c r="D75" s="20"/>
      <c r="E75" s="20" t="s">
        <v>12</v>
      </c>
      <c r="F75" s="26">
        <v>94831.990999999995</v>
      </c>
      <c r="G75" s="23">
        <v>0.64053431000000005</v>
      </c>
      <c r="H75" s="19" t="s">
        <v>12</v>
      </c>
    </row>
    <row r="76" spans="1:8" x14ac:dyDescent="0.2">
      <c r="A76" s="20"/>
      <c r="B76" s="20"/>
      <c r="C76" s="24"/>
      <c r="D76" s="20"/>
      <c r="E76" s="20"/>
      <c r="F76" s="25"/>
      <c r="G76" s="25"/>
      <c r="H76" s="19" t="s">
        <v>12</v>
      </c>
    </row>
    <row r="77" spans="1:8" x14ac:dyDescent="0.2">
      <c r="A77" s="20"/>
      <c r="B77" s="20"/>
      <c r="C77" s="21" t="s">
        <v>104</v>
      </c>
      <c r="D77" s="20"/>
      <c r="E77" s="20"/>
      <c r="F77" s="25"/>
      <c r="G77" s="25"/>
      <c r="H77" s="19" t="s">
        <v>12</v>
      </c>
    </row>
    <row r="78" spans="1:8" x14ac:dyDescent="0.2">
      <c r="A78" s="27">
        <v>1</v>
      </c>
      <c r="B78" s="28" t="s">
        <v>229</v>
      </c>
      <c r="C78" s="28" t="s">
        <v>230</v>
      </c>
      <c r="D78" s="28" t="s">
        <v>163</v>
      </c>
      <c r="E78" s="29">
        <v>800</v>
      </c>
      <c r="F78" s="30">
        <v>3816.364</v>
      </c>
      <c r="G78" s="31">
        <v>2.5777290000000001E-2</v>
      </c>
      <c r="H78" s="19">
        <v>6.7549999999999999</v>
      </c>
    </row>
    <row r="79" spans="1:8" ht="25.5" x14ac:dyDescent="0.2">
      <c r="A79" s="27">
        <v>2</v>
      </c>
      <c r="B79" s="28" t="s">
        <v>231</v>
      </c>
      <c r="C79" s="28" t="s">
        <v>232</v>
      </c>
      <c r="D79" s="28" t="s">
        <v>163</v>
      </c>
      <c r="E79" s="29">
        <v>700</v>
      </c>
      <c r="F79" s="30">
        <v>3380.1950000000002</v>
      </c>
      <c r="G79" s="31">
        <v>2.2831230000000001E-2</v>
      </c>
      <c r="H79" s="19">
        <v>6.8449999999999998</v>
      </c>
    </row>
    <row r="80" spans="1:8" ht="25.5" x14ac:dyDescent="0.2">
      <c r="A80" s="27">
        <v>3</v>
      </c>
      <c r="B80" s="28" t="s">
        <v>233</v>
      </c>
      <c r="C80" s="28" t="s">
        <v>234</v>
      </c>
      <c r="D80" s="28" t="s">
        <v>163</v>
      </c>
      <c r="E80" s="29">
        <v>700</v>
      </c>
      <c r="F80" s="30">
        <v>3335.9830000000002</v>
      </c>
      <c r="G80" s="31">
        <v>2.25326E-2</v>
      </c>
      <c r="H80" s="19">
        <v>7.0101000000000004</v>
      </c>
    </row>
    <row r="81" spans="1:8" ht="25.5" x14ac:dyDescent="0.2">
      <c r="A81" s="27">
        <v>4</v>
      </c>
      <c r="B81" s="28" t="s">
        <v>235</v>
      </c>
      <c r="C81" s="28" t="s">
        <v>236</v>
      </c>
      <c r="D81" s="28" t="s">
        <v>163</v>
      </c>
      <c r="E81" s="29">
        <v>700</v>
      </c>
      <c r="F81" s="30">
        <v>3282.5169999999998</v>
      </c>
      <c r="G81" s="31">
        <v>2.2171469999999999E-2</v>
      </c>
      <c r="H81" s="19">
        <v>7.03</v>
      </c>
    </row>
    <row r="82" spans="1:8" x14ac:dyDescent="0.2">
      <c r="A82" s="27">
        <v>5</v>
      </c>
      <c r="B82" s="28" t="s">
        <v>237</v>
      </c>
      <c r="C82" s="28" t="s">
        <v>238</v>
      </c>
      <c r="D82" s="28" t="s">
        <v>163</v>
      </c>
      <c r="E82" s="29">
        <v>500</v>
      </c>
      <c r="F82" s="30">
        <v>2442.7874999999999</v>
      </c>
      <c r="G82" s="31">
        <v>1.6499590000000001E-2</v>
      </c>
      <c r="H82" s="19">
        <v>6.9500999999999999</v>
      </c>
    </row>
    <row r="83" spans="1:8" x14ac:dyDescent="0.2">
      <c r="A83" s="27">
        <v>6</v>
      </c>
      <c r="B83" s="28" t="s">
        <v>239</v>
      </c>
      <c r="C83" s="28" t="s">
        <v>240</v>
      </c>
      <c r="D83" s="28" t="s">
        <v>163</v>
      </c>
      <c r="E83" s="29">
        <v>500</v>
      </c>
      <c r="F83" s="30">
        <v>2396.9974999999999</v>
      </c>
      <c r="G83" s="31">
        <v>1.6190309999999999E-2</v>
      </c>
      <c r="H83" s="19">
        <v>6.35</v>
      </c>
    </row>
    <row r="84" spans="1:8" ht="25.5" x14ac:dyDescent="0.2">
      <c r="A84" s="27">
        <v>7</v>
      </c>
      <c r="B84" s="28" t="s">
        <v>241</v>
      </c>
      <c r="C84" s="28" t="s">
        <v>242</v>
      </c>
      <c r="D84" s="28" t="s">
        <v>163</v>
      </c>
      <c r="E84" s="29">
        <v>500</v>
      </c>
      <c r="F84" s="30">
        <v>2380.9924999999998</v>
      </c>
      <c r="G84" s="31">
        <v>1.6082200000000001E-2</v>
      </c>
      <c r="H84" s="19">
        <v>7.1825999999999999</v>
      </c>
    </row>
    <row r="85" spans="1:8" x14ac:dyDescent="0.2">
      <c r="A85" s="27">
        <v>8</v>
      </c>
      <c r="B85" s="28" t="s">
        <v>243</v>
      </c>
      <c r="C85" s="28" t="s">
        <v>244</v>
      </c>
      <c r="D85" s="28" t="s">
        <v>163</v>
      </c>
      <c r="E85" s="29">
        <v>500</v>
      </c>
      <c r="F85" s="30">
        <v>2353.9650000000001</v>
      </c>
      <c r="G85" s="31">
        <v>1.5899650000000001E-2</v>
      </c>
      <c r="H85" s="19">
        <v>6.8</v>
      </c>
    </row>
    <row r="86" spans="1:8" x14ac:dyDescent="0.2">
      <c r="A86" s="27">
        <v>9</v>
      </c>
      <c r="B86" s="28" t="s">
        <v>245</v>
      </c>
      <c r="C86" s="28" t="s">
        <v>246</v>
      </c>
      <c r="D86" s="28" t="s">
        <v>163</v>
      </c>
      <c r="E86" s="29">
        <v>500</v>
      </c>
      <c r="F86" s="30">
        <v>2346.7600000000002</v>
      </c>
      <c r="G86" s="31">
        <v>1.5850980000000001E-2</v>
      </c>
      <c r="H86" s="19">
        <v>7.01</v>
      </c>
    </row>
    <row r="87" spans="1:8" x14ac:dyDescent="0.2">
      <c r="A87" s="27">
        <v>10</v>
      </c>
      <c r="B87" s="28" t="s">
        <v>247</v>
      </c>
      <c r="C87" s="28" t="s">
        <v>248</v>
      </c>
      <c r="D87" s="28" t="s">
        <v>163</v>
      </c>
      <c r="E87" s="29">
        <v>300</v>
      </c>
      <c r="F87" s="30">
        <v>1474.8810000000001</v>
      </c>
      <c r="G87" s="31">
        <v>9.9619500000000007E-3</v>
      </c>
      <c r="H87" s="19">
        <v>6.1550000000000002</v>
      </c>
    </row>
    <row r="88" spans="1:8" ht="25.5" x14ac:dyDescent="0.2">
      <c r="A88" s="27">
        <v>11</v>
      </c>
      <c r="B88" s="28" t="s">
        <v>249</v>
      </c>
      <c r="C88" s="28" t="s">
        <v>250</v>
      </c>
      <c r="D88" s="28" t="s">
        <v>163</v>
      </c>
      <c r="E88" s="29">
        <v>300</v>
      </c>
      <c r="F88" s="30">
        <v>1458.7815000000001</v>
      </c>
      <c r="G88" s="31">
        <v>9.8532099999999994E-3</v>
      </c>
      <c r="H88" s="19">
        <v>6.83</v>
      </c>
    </row>
    <row r="89" spans="1:8" ht="25.5" x14ac:dyDescent="0.2">
      <c r="A89" s="27">
        <v>12</v>
      </c>
      <c r="B89" s="28" t="s">
        <v>251</v>
      </c>
      <c r="C89" s="28" t="s">
        <v>252</v>
      </c>
      <c r="D89" s="28" t="s">
        <v>163</v>
      </c>
      <c r="E89" s="29">
        <v>300</v>
      </c>
      <c r="F89" s="30">
        <v>1433.7</v>
      </c>
      <c r="G89" s="31">
        <v>9.6837999999999994E-3</v>
      </c>
      <c r="H89" s="19">
        <v>7.1825999999999999</v>
      </c>
    </row>
    <row r="90" spans="1:8" ht="25.5" x14ac:dyDescent="0.2">
      <c r="A90" s="27">
        <v>13</v>
      </c>
      <c r="B90" s="28" t="s">
        <v>253</v>
      </c>
      <c r="C90" s="28" t="s">
        <v>254</v>
      </c>
      <c r="D90" s="28" t="s">
        <v>163</v>
      </c>
      <c r="E90" s="29">
        <v>200</v>
      </c>
      <c r="F90" s="30">
        <v>985.12300000000005</v>
      </c>
      <c r="G90" s="31">
        <v>6.6539299999999997E-3</v>
      </c>
      <c r="H90" s="19">
        <v>6.4850000000000003</v>
      </c>
    </row>
    <row r="91" spans="1:8" ht="25.5" x14ac:dyDescent="0.2">
      <c r="A91" s="27">
        <v>14</v>
      </c>
      <c r="B91" s="28" t="s">
        <v>255</v>
      </c>
      <c r="C91" s="28" t="s">
        <v>256</v>
      </c>
      <c r="D91" s="28" t="s">
        <v>163</v>
      </c>
      <c r="E91" s="29">
        <v>100</v>
      </c>
      <c r="F91" s="30">
        <v>469.27</v>
      </c>
      <c r="G91" s="31">
        <v>3.16964E-3</v>
      </c>
      <c r="H91" s="19">
        <v>7.03</v>
      </c>
    </row>
    <row r="92" spans="1:8" x14ac:dyDescent="0.2">
      <c r="A92" s="20"/>
      <c r="B92" s="20"/>
      <c r="C92" s="21" t="s">
        <v>11</v>
      </c>
      <c r="D92" s="20"/>
      <c r="E92" s="20" t="s">
        <v>12</v>
      </c>
      <c r="F92" s="26">
        <v>31558.316999999999</v>
      </c>
      <c r="G92" s="23">
        <v>0.21315785000000001</v>
      </c>
      <c r="H92" s="19" t="s">
        <v>12</v>
      </c>
    </row>
    <row r="93" spans="1:8" x14ac:dyDescent="0.2">
      <c r="A93" s="20"/>
      <c r="B93" s="20"/>
      <c r="C93" s="24"/>
      <c r="D93" s="20"/>
      <c r="E93" s="20"/>
      <c r="F93" s="25"/>
      <c r="G93" s="25"/>
      <c r="H93" s="19" t="s">
        <v>12</v>
      </c>
    </row>
    <row r="94" spans="1:8" x14ac:dyDescent="0.2">
      <c r="A94" s="20"/>
      <c r="B94" s="20"/>
      <c r="C94" s="21" t="s">
        <v>105</v>
      </c>
      <c r="D94" s="20"/>
      <c r="E94" s="20"/>
      <c r="F94" s="25"/>
      <c r="G94" s="25"/>
      <c r="H94" s="19" t="s">
        <v>12</v>
      </c>
    </row>
    <row r="95" spans="1:8" x14ac:dyDescent="0.2">
      <c r="A95" s="27">
        <v>1</v>
      </c>
      <c r="B95" s="28" t="s">
        <v>257</v>
      </c>
      <c r="C95" s="28" t="s">
        <v>258</v>
      </c>
      <c r="D95" s="28" t="s">
        <v>81</v>
      </c>
      <c r="E95" s="29">
        <v>2500000</v>
      </c>
      <c r="F95" s="30">
        <v>2410.1950000000002</v>
      </c>
      <c r="G95" s="31">
        <v>1.6279450000000001E-2</v>
      </c>
      <c r="H95" s="19">
        <v>5.4619999999999997</v>
      </c>
    </row>
    <row r="96" spans="1:8" x14ac:dyDescent="0.2">
      <c r="A96" s="20"/>
      <c r="B96" s="20"/>
      <c r="C96" s="21" t="s">
        <v>11</v>
      </c>
      <c r="D96" s="20"/>
      <c r="E96" s="20" t="s">
        <v>12</v>
      </c>
      <c r="F96" s="26">
        <v>2410.1950000000002</v>
      </c>
      <c r="G96" s="23">
        <v>1.6279450000000001E-2</v>
      </c>
      <c r="H96" s="19" t="s">
        <v>12</v>
      </c>
    </row>
    <row r="97" spans="1:17" x14ac:dyDescent="0.2">
      <c r="A97" s="20"/>
      <c r="B97" s="20"/>
      <c r="C97" s="24"/>
      <c r="D97" s="20"/>
      <c r="E97" s="20"/>
      <c r="F97" s="25"/>
      <c r="G97" s="25"/>
      <c r="H97" s="19" t="s">
        <v>12</v>
      </c>
    </row>
    <row r="98" spans="1:17" x14ac:dyDescent="0.2">
      <c r="A98" s="20"/>
      <c r="B98" s="20"/>
      <c r="C98" s="21" t="s">
        <v>106</v>
      </c>
      <c r="D98" s="20"/>
      <c r="E98" s="20"/>
      <c r="F98" s="25"/>
      <c r="G98" s="25"/>
      <c r="H98" s="19" t="s">
        <v>12</v>
      </c>
    </row>
    <row r="99" spans="1:17" x14ac:dyDescent="0.2">
      <c r="A99" s="27">
        <v>1</v>
      </c>
      <c r="B99" s="28"/>
      <c r="C99" s="28" t="s">
        <v>259</v>
      </c>
      <c r="D99" s="28"/>
      <c r="E99" s="32"/>
      <c r="F99" s="30">
        <v>9999.8967188000006</v>
      </c>
      <c r="G99" s="31">
        <v>6.7543420000000007E-2</v>
      </c>
      <c r="H99" s="19">
        <v>5.3</v>
      </c>
    </row>
    <row r="100" spans="1:17" x14ac:dyDescent="0.2">
      <c r="A100" s="27">
        <v>2</v>
      </c>
      <c r="B100" s="28"/>
      <c r="C100" s="28" t="s">
        <v>107</v>
      </c>
      <c r="D100" s="28"/>
      <c r="E100" s="32"/>
      <c r="F100" s="30">
        <v>4898.3821750180005</v>
      </c>
      <c r="G100" s="31">
        <v>3.3085690000000001E-2</v>
      </c>
      <c r="H100" s="19">
        <v>5.07</v>
      </c>
    </row>
    <row r="101" spans="1:17" x14ac:dyDescent="0.2">
      <c r="A101" s="20"/>
      <c r="B101" s="20"/>
      <c r="C101" s="21" t="s">
        <v>11</v>
      </c>
      <c r="D101" s="20"/>
      <c r="E101" s="20" t="s">
        <v>12</v>
      </c>
      <c r="F101" s="26">
        <v>14898.278893818</v>
      </c>
      <c r="G101" s="23">
        <v>0.10062910999999999</v>
      </c>
      <c r="H101" s="19" t="s">
        <v>12</v>
      </c>
    </row>
    <row r="102" spans="1:17" x14ac:dyDescent="0.2">
      <c r="A102" s="20"/>
      <c r="B102" s="20"/>
      <c r="C102" s="24"/>
      <c r="D102" s="20"/>
      <c r="E102" s="20"/>
      <c r="F102" s="25"/>
      <c r="G102" s="25"/>
      <c r="H102" s="19" t="s">
        <v>12</v>
      </c>
    </row>
    <row r="103" spans="1:17" x14ac:dyDescent="0.2">
      <c r="A103" s="20"/>
      <c r="B103" s="20"/>
      <c r="C103" s="21" t="s">
        <v>108</v>
      </c>
      <c r="D103" s="20"/>
      <c r="E103" s="20"/>
      <c r="F103" s="26">
        <v>143698.781893818</v>
      </c>
      <c r="G103" s="23">
        <v>0.97060071999999997</v>
      </c>
      <c r="H103" s="19" t="s">
        <v>12</v>
      </c>
    </row>
    <row r="104" spans="1:17" x14ac:dyDescent="0.2">
      <c r="A104" s="20"/>
      <c r="B104" s="20"/>
      <c r="C104" s="25"/>
      <c r="D104" s="20"/>
      <c r="E104" s="20"/>
      <c r="F104" s="20"/>
      <c r="G104" s="20"/>
      <c r="H104" s="19" t="s">
        <v>12</v>
      </c>
    </row>
    <row r="105" spans="1:17" x14ac:dyDescent="0.2">
      <c r="A105" s="20"/>
      <c r="B105" s="20"/>
      <c r="C105" s="21" t="s">
        <v>109</v>
      </c>
      <c r="D105" s="20"/>
      <c r="E105" s="20"/>
      <c r="F105" s="20"/>
      <c r="G105" s="20"/>
      <c r="H105" s="19" t="s">
        <v>12</v>
      </c>
    </row>
    <row r="106" spans="1:17" x14ac:dyDescent="0.2">
      <c r="A106" s="20"/>
      <c r="B106" s="20"/>
      <c r="C106" s="21" t="s">
        <v>110</v>
      </c>
      <c r="D106" s="20"/>
      <c r="E106" s="20"/>
      <c r="F106" s="20"/>
      <c r="G106" s="20"/>
      <c r="H106" s="19" t="s">
        <v>12</v>
      </c>
    </row>
    <row r="107" spans="1:17" x14ac:dyDescent="0.2">
      <c r="A107" s="20"/>
      <c r="B107" s="20"/>
      <c r="C107" s="21" t="s">
        <v>11</v>
      </c>
      <c r="D107" s="20"/>
      <c r="E107" s="20" t="s">
        <v>12</v>
      </c>
      <c r="F107" s="22" t="s">
        <v>13</v>
      </c>
      <c r="G107" s="23">
        <v>0</v>
      </c>
      <c r="H107" s="19" t="s">
        <v>12</v>
      </c>
    </row>
    <row r="108" spans="1:17" x14ac:dyDescent="0.2">
      <c r="A108" s="17"/>
      <c r="B108" s="17"/>
      <c r="C108" s="75"/>
      <c r="D108" s="17"/>
      <c r="E108" s="17"/>
      <c r="F108" s="42"/>
      <c r="G108" s="42"/>
      <c r="H108" s="19" t="s">
        <v>12</v>
      </c>
    </row>
    <row r="109" spans="1:17" x14ac:dyDescent="0.2">
      <c r="A109" s="17"/>
      <c r="B109" s="17"/>
      <c r="C109" s="18" t="s">
        <v>608</v>
      </c>
      <c r="D109" s="17"/>
      <c r="E109" s="17"/>
      <c r="F109" s="42"/>
      <c r="G109" s="42"/>
      <c r="H109" s="19" t="s">
        <v>12</v>
      </c>
      <c r="K109" s="55"/>
      <c r="L109" s="55"/>
      <c r="M109" s="55"/>
      <c r="N109" s="55"/>
      <c r="O109" s="76"/>
      <c r="P109" s="76"/>
      <c r="Q109" s="76"/>
    </row>
    <row r="110" spans="1:17" ht="25.5" x14ac:dyDescent="0.2">
      <c r="A110" s="69">
        <v>1</v>
      </c>
      <c r="B110" s="70" t="s">
        <v>111</v>
      </c>
      <c r="C110" s="70" t="s">
        <v>112</v>
      </c>
      <c r="D110" s="70"/>
      <c r="E110" s="77">
        <v>1363.741</v>
      </c>
      <c r="F110" s="72">
        <v>153.014272667</v>
      </c>
      <c r="G110" s="73">
        <v>1.03352E-3</v>
      </c>
      <c r="H110" s="19"/>
    </row>
    <row r="111" spans="1:17" x14ac:dyDescent="0.2">
      <c r="A111" s="17"/>
      <c r="B111" s="17"/>
      <c r="C111" s="18" t="s">
        <v>11</v>
      </c>
      <c r="D111" s="17"/>
      <c r="E111" s="17" t="s">
        <v>12</v>
      </c>
      <c r="F111" s="78">
        <f>SUM(F110)</f>
        <v>153.014272667</v>
      </c>
      <c r="G111" s="79">
        <f>SUM(G110)</f>
        <v>1.03352E-3</v>
      </c>
      <c r="H111" s="19" t="s">
        <v>12</v>
      </c>
    </row>
    <row r="112" spans="1:17" x14ac:dyDescent="0.2">
      <c r="A112" s="20"/>
      <c r="B112" s="20"/>
      <c r="C112" s="24"/>
      <c r="D112" s="20"/>
      <c r="E112" s="20"/>
      <c r="F112" s="25"/>
      <c r="G112" s="25"/>
      <c r="H112" s="19" t="s">
        <v>12</v>
      </c>
    </row>
    <row r="113" spans="1:8" x14ac:dyDescent="0.2">
      <c r="A113" s="20"/>
      <c r="B113" s="20"/>
      <c r="C113" s="24"/>
      <c r="D113" s="20"/>
      <c r="E113" s="20"/>
      <c r="F113" s="25"/>
      <c r="G113" s="25"/>
      <c r="H113" s="19" t="s">
        <v>12</v>
      </c>
    </row>
    <row r="114" spans="1:8" x14ac:dyDescent="0.2">
      <c r="A114" s="20"/>
      <c r="B114" s="20"/>
      <c r="C114" s="21" t="s">
        <v>113</v>
      </c>
      <c r="D114" s="20"/>
      <c r="E114" s="20"/>
      <c r="F114" s="20"/>
      <c r="G114" s="20"/>
      <c r="H114" s="19" t="s">
        <v>12</v>
      </c>
    </row>
    <row r="115" spans="1:8" x14ac:dyDescent="0.2">
      <c r="A115" s="20"/>
      <c r="B115" s="20"/>
      <c r="C115" s="21" t="s">
        <v>114</v>
      </c>
      <c r="D115" s="20"/>
      <c r="E115" s="20"/>
      <c r="F115" s="20"/>
      <c r="G115" s="20"/>
      <c r="H115" s="19" t="s">
        <v>12</v>
      </c>
    </row>
    <row r="116" spans="1:8" x14ac:dyDescent="0.2">
      <c r="A116" s="20"/>
      <c r="B116" s="20"/>
      <c r="C116" s="21" t="s">
        <v>11</v>
      </c>
      <c r="D116" s="20"/>
      <c r="E116" s="20" t="s">
        <v>12</v>
      </c>
      <c r="F116" s="22" t="s">
        <v>13</v>
      </c>
      <c r="G116" s="23">
        <v>0</v>
      </c>
      <c r="H116" s="19" t="s">
        <v>12</v>
      </c>
    </row>
    <row r="117" spans="1:8" x14ac:dyDescent="0.2">
      <c r="A117" s="20"/>
      <c r="B117" s="20"/>
      <c r="C117" s="24"/>
      <c r="D117" s="20"/>
      <c r="E117" s="20"/>
      <c r="F117" s="25"/>
      <c r="G117" s="25"/>
      <c r="H117" s="19" t="s">
        <v>12</v>
      </c>
    </row>
    <row r="118" spans="1:8" ht="25.5" x14ac:dyDescent="0.2">
      <c r="A118" s="20"/>
      <c r="B118" s="20"/>
      <c r="C118" s="21" t="s">
        <v>115</v>
      </c>
      <c r="D118" s="20"/>
      <c r="E118" s="20"/>
      <c r="F118" s="25"/>
      <c r="G118" s="25"/>
      <c r="H118" s="19" t="s">
        <v>12</v>
      </c>
    </row>
    <row r="119" spans="1:8" x14ac:dyDescent="0.2">
      <c r="A119" s="20"/>
      <c r="B119" s="20"/>
      <c r="C119" s="21" t="s">
        <v>11</v>
      </c>
      <c r="D119" s="20"/>
      <c r="E119" s="20" t="s">
        <v>12</v>
      </c>
      <c r="F119" s="22" t="s">
        <v>13</v>
      </c>
      <c r="G119" s="23">
        <v>0</v>
      </c>
      <c r="H119" s="19" t="s">
        <v>12</v>
      </c>
    </row>
    <row r="120" spans="1:8" x14ac:dyDescent="0.2">
      <c r="A120" s="20"/>
      <c r="B120" s="20"/>
      <c r="C120" s="24"/>
      <c r="D120" s="20"/>
      <c r="E120" s="20"/>
      <c r="F120" s="25"/>
      <c r="G120" s="25"/>
      <c r="H120" s="19" t="s">
        <v>12</v>
      </c>
    </row>
    <row r="121" spans="1:8" x14ac:dyDescent="0.2">
      <c r="A121" s="32"/>
      <c r="B121" s="28"/>
      <c r="C121" s="28" t="s">
        <v>116</v>
      </c>
      <c r="D121" s="28"/>
      <c r="E121" s="32"/>
      <c r="F121" s="30">
        <v>133.20257204999999</v>
      </c>
      <c r="G121" s="31">
        <v>8.9970999999999996E-4</v>
      </c>
      <c r="H121" s="19" t="s">
        <v>12</v>
      </c>
    </row>
    <row r="122" spans="1:8" x14ac:dyDescent="0.2">
      <c r="A122" s="24"/>
      <c r="B122" s="24"/>
      <c r="C122" s="21" t="s">
        <v>117</v>
      </c>
      <c r="D122" s="25"/>
      <c r="E122" s="25"/>
      <c r="F122" s="26">
        <v>148051.382738535</v>
      </c>
      <c r="G122" s="33">
        <v>0.99999998000000001</v>
      </c>
      <c r="H122" s="19" t="s">
        <v>12</v>
      </c>
    </row>
    <row r="123" spans="1:8" x14ac:dyDescent="0.2">
      <c r="A123" s="34"/>
      <c r="B123" s="34"/>
      <c r="C123" s="34"/>
      <c r="D123" s="35"/>
      <c r="E123" s="35"/>
      <c r="F123" s="35"/>
      <c r="G123" s="35"/>
    </row>
    <row r="124" spans="1:8" x14ac:dyDescent="0.2">
      <c r="A124" s="36"/>
      <c r="B124" s="169" t="s">
        <v>609</v>
      </c>
      <c r="C124" s="169"/>
      <c r="D124" s="169"/>
      <c r="E124" s="169"/>
      <c r="F124" s="169"/>
      <c r="G124" s="169"/>
      <c r="H124" s="169"/>
    </row>
    <row r="125" spans="1:8" x14ac:dyDescent="0.2">
      <c r="A125" s="36"/>
      <c r="B125" s="169" t="s">
        <v>610</v>
      </c>
      <c r="C125" s="169"/>
      <c r="D125" s="169"/>
      <c r="E125" s="169"/>
      <c r="F125" s="169"/>
      <c r="G125" s="169"/>
      <c r="H125" s="169"/>
    </row>
    <row r="126" spans="1:8" x14ac:dyDescent="0.2">
      <c r="A126" s="36"/>
      <c r="B126" s="169" t="s">
        <v>611</v>
      </c>
      <c r="C126" s="169"/>
      <c r="D126" s="169"/>
      <c r="E126" s="169"/>
      <c r="F126" s="169"/>
      <c r="G126" s="169"/>
      <c r="H126" s="169"/>
    </row>
    <row r="127" spans="1:8" x14ac:dyDescent="0.2">
      <c r="A127" s="159"/>
      <c r="B127" s="180" t="s">
        <v>630</v>
      </c>
      <c r="C127" s="181"/>
      <c r="D127" s="181"/>
      <c r="E127" s="181"/>
      <c r="F127" s="181"/>
      <c r="G127" s="181"/>
      <c r="H127" s="181"/>
    </row>
    <row r="128" spans="1:8" x14ac:dyDescent="0.2">
      <c r="A128" s="38"/>
      <c r="B128" s="38"/>
      <c r="C128" s="38"/>
      <c r="D128" s="39"/>
      <c r="E128" s="39"/>
      <c r="F128" s="39"/>
      <c r="G128" s="39"/>
    </row>
    <row r="129" spans="1:7" x14ac:dyDescent="0.2">
      <c r="A129" s="36"/>
      <c r="B129" s="170" t="s">
        <v>118</v>
      </c>
      <c r="C129" s="171"/>
      <c r="D129" s="172"/>
      <c r="E129" s="40"/>
      <c r="F129" s="41"/>
      <c r="G129" s="41"/>
    </row>
    <row r="130" spans="1:7" x14ac:dyDescent="0.2">
      <c r="A130" s="36"/>
      <c r="B130" s="161" t="s">
        <v>119</v>
      </c>
      <c r="C130" s="162"/>
      <c r="D130" s="18" t="s">
        <v>120</v>
      </c>
      <c r="E130" s="40"/>
      <c r="F130" s="41"/>
      <c r="G130" s="41"/>
    </row>
    <row r="131" spans="1:7" x14ac:dyDescent="0.2">
      <c r="A131" s="36"/>
      <c r="B131" s="161" t="s">
        <v>121</v>
      </c>
      <c r="C131" s="162"/>
      <c r="D131" s="18" t="s">
        <v>120</v>
      </c>
      <c r="E131" s="40"/>
      <c r="F131" s="41"/>
      <c r="G131" s="41"/>
    </row>
    <row r="132" spans="1:7" x14ac:dyDescent="0.2">
      <c r="A132" s="36"/>
      <c r="B132" s="161" t="s">
        <v>122</v>
      </c>
      <c r="C132" s="162"/>
      <c r="D132" s="42" t="s">
        <v>12</v>
      </c>
      <c r="E132" s="40"/>
      <c r="F132" s="41"/>
      <c r="G132" s="41"/>
    </row>
    <row r="133" spans="1:7" x14ac:dyDescent="0.2">
      <c r="A133" s="43"/>
      <c r="B133" s="44" t="s">
        <v>12</v>
      </c>
      <c r="C133" s="44" t="s">
        <v>612</v>
      </c>
      <c r="D133" s="44" t="s">
        <v>123</v>
      </c>
      <c r="E133" s="43"/>
      <c r="F133" s="43"/>
      <c r="G133" s="43"/>
    </row>
    <row r="134" spans="1:7" x14ac:dyDescent="0.2">
      <c r="A134" s="43"/>
      <c r="B134" s="45" t="s">
        <v>124</v>
      </c>
      <c r="C134" s="46">
        <v>45808</v>
      </c>
      <c r="D134" s="46">
        <v>45823</v>
      </c>
      <c r="E134" s="43"/>
      <c r="F134" s="43"/>
      <c r="G134" s="43"/>
    </row>
    <row r="135" spans="1:7" x14ac:dyDescent="0.2">
      <c r="A135" s="47"/>
      <c r="B135" s="28" t="s">
        <v>125</v>
      </c>
      <c r="C135" s="48">
        <v>15.0341</v>
      </c>
      <c r="D135" s="48">
        <v>15.087999999999999</v>
      </c>
      <c r="E135" s="47"/>
      <c r="F135" s="49"/>
      <c r="G135" s="50"/>
    </row>
    <row r="136" spans="1:7" ht="25.5" x14ac:dyDescent="0.2">
      <c r="A136" s="47"/>
      <c r="B136" s="28" t="s">
        <v>737</v>
      </c>
      <c r="C136" s="48">
        <v>11.282400000000001</v>
      </c>
      <c r="D136" s="48">
        <v>11.322900000000001</v>
      </c>
      <c r="E136" s="47"/>
      <c r="F136" s="49"/>
      <c r="G136" s="50"/>
    </row>
    <row r="137" spans="1:7" ht="25.5" x14ac:dyDescent="0.2">
      <c r="A137" s="47"/>
      <c r="B137" s="28" t="s">
        <v>738</v>
      </c>
      <c r="C137" s="48">
        <v>12.860099999999999</v>
      </c>
      <c r="D137" s="48">
        <v>12.716200000000001</v>
      </c>
      <c r="E137" s="47"/>
      <c r="F137" s="49"/>
      <c r="G137" s="50"/>
    </row>
    <row r="138" spans="1:7" x14ac:dyDescent="0.2">
      <c r="A138" s="47"/>
      <c r="B138" s="28" t="s">
        <v>126</v>
      </c>
      <c r="C138" s="48">
        <v>14.9354</v>
      </c>
      <c r="D138" s="48">
        <v>14.988200000000001</v>
      </c>
      <c r="E138" s="47"/>
      <c r="F138" s="49"/>
      <c r="G138" s="50"/>
    </row>
    <row r="139" spans="1:7" ht="25.5" x14ac:dyDescent="0.2">
      <c r="A139" s="47"/>
      <c r="B139" s="28" t="s">
        <v>741</v>
      </c>
      <c r="C139" s="48">
        <v>11.255699999999999</v>
      </c>
      <c r="D139" s="48">
        <v>11.295500000000001</v>
      </c>
      <c r="E139" s="47"/>
      <c r="F139" s="49"/>
      <c r="G139" s="50"/>
    </row>
    <row r="140" spans="1:7" ht="25.5" x14ac:dyDescent="0.2">
      <c r="A140" s="47"/>
      <c r="B140" s="28" t="s">
        <v>713</v>
      </c>
      <c r="C140" s="48">
        <v>12.773899999999999</v>
      </c>
      <c r="D140" s="48">
        <v>12.631</v>
      </c>
      <c r="E140" s="47"/>
      <c r="F140" s="49"/>
      <c r="G140" s="50"/>
    </row>
    <row r="141" spans="1:7" x14ac:dyDescent="0.2">
      <c r="A141" s="47"/>
      <c r="B141" s="47"/>
      <c r="C141" s="47"/>
      <c r="D141" s="47"/>
      <c r="E141" s="47"/>
      <c r="F141" s="47"/>
      <c r="G141" s="47"/>
    </row>
    <row r="142" spans="1:7" x14ac:dyDescent="0.2">
      <c r="A142" s="47"/>
      <c r="B142" s="164" t="s">
        <v>714</v>
      </c>
      <c r="C142" s="165"/>
      <c r="D142" s="21" t="s">
        <v>12</v>
      </c>
      <c r="E142" s="47"/>
      <c r="F142" s="47"/>
      <c r="G142" s="47"/>
    </row>
    <row r="143" spans="1:7" x14ac:dyDescent="0.2">
      <c r="A143" s="47"/>
      <c r="B143" s="80" t="s">
        <v>124</v>
      </c>
      <c r="C143" s="81" t="s">
        <v>127</v>
      </c>
      <c r="D143" s="81" t="s">
        <v>128</v>
      </c>
      <c r="E143" s="47"/>
      <c r="F143" s="47"/>
      <c r="G143" s="47"/>
    </row>
    <row r="144" spans="1:7" ht="25.5" x14ac:dyDescent="0.2">
      <c r="A144" s="47"/>
      <c r="B144" s="28" t="s">
        <v>738</v>
      </c>
      <c r="C144" s="82">
        <v>0.19</v>
      </c>
      <c r="D144" s="32" t="s">
        <v>129</v>
      </c>
      <c r="E144" s="47"/>
      <c r="F144" s="49"/>
      <c r="G144" s="50"/>
    </row>
    <row r="145" spans="1:14" ht="25.5" x14ac:dyDescent="0.2">
      <c r="A145" s="47"/>
      <c r="B145" s="28" t="s">
        <v>713</v>
      </c>
      <c r="C145" s="82">
        <v>0.188</v>
      </c>
      <c r="D145" s="32" t="s">
        <v>129</v>
      </c>
      <c r="E145" s="47"/>
      <c r="F145" s="49"/>
      <c r="G145" s="50"/>
    </row>
    <row r="146" spans="1:14" x14ac:dyDescent="0.2">
      <c r="A146" s="47"/>
      <c r="B146" s="83"/>
      <c r="C146" s="83"/>
      <c r="D146" s="84"/>
      <c r="E146" s="47"/>
      <c r="F146" s="49"/>
      <c r="G146" s="50"/>
    </row>
    <row r="147" spans="1:14" x14ac:dyDescent="0.2">
      <c r="A147" s="43"/>
      <c r="B147" s="161" t="s">
        <v>130</v>
      </c>
      <c r="C147" s="162"/>
      <c r="D147" s="18" t="s">
        <v>120</v>
      </c>
      <c r="E147" s="54"/>
      <c r="F147" s="43"/>
      <c r="G147" s="43"/>
      <c r="I147" s="117"/>
    </row>
    <row r="148" spans="1:14" x14ac:dyDescent="0.2">
      <c r="A148" s="43"/>
      <c r="B148" s="161" t="s">
        <v>131</v>
      </c>
      <c r="C148" s="162"/>
      <c r="D148" s="18" t="s">
        <v>120</v>
      </c>
      <c r="E148" s="54"/>
      <c r="F148" s="43"/>
      <c r="G148" s="43"/>
      <c r="I148" s="117"/>
    </row>
    <row r="149" spans="1:14" x14ac:dyDescent="0.2">
      <c r="A149" s="43"/>
      <c r="B149" s="161" t="s">
        <v>613</v>
      </c>
      <c r="C149" s="162"/>
      <c r="D149" s="18" t="s">
        <v>120</v>
      </c>
      <c r="E149" s="54"/>
      <c r="F149" s="43"/>
      <c r="G149" s="43"/>
      <c r="I149" s="117"/>
    </row>
    <row r="150" spans="1:14" x14ac:dyDescent="0.2">
      <c r="A150" s="56"/>
      <c r="B150" s="56"/>
      <c r="C150" s="56"/>
      <c r="D150" s="56"/>
      <c r="E150" s="56"/>
      <c r="F150" s="56"/>
      <c r="G150" s="56"/>
      <c r="I150" s="117"/>
    </row>
    <row r="151" spans="1:14" s="57" customFormat="1" x14ac:dyDescent="0.2">
      <c r="B151" s="166" t="s">
        <v>614</v>
      </c>
      <c r="C151" s="167"/>
      <c r="D151" s="168"/>
      <c r="I151" s="117"/>
      <c r="J151" s="55"/>
      <c r="K151" s="55"/>
      <c r="L151" s="55"/>
      <c r="M151" s="55"/>
      <c r="N151" s="58"/>
    </row>
    <row r="152" spans="1:14" s="57" customFormat="1" ht="38.25" x14ac:dyDescent="0.2">
      <c r="B152" s="178" t="s">
        <v>615</v>
      </c>
      <c r="C152" s="179"/>
      <c r="D152" s="59" t="s">
        <v>172</v>
      </c>
      <c r="I152" s="117"/>
      <c r="J152" s="55"/>
      <c r="K152" s="55"/>
      <c r="L152" s="55"/>
      <c r="M152" s="55"/>
      <c r="N152" s="58"/>
    </row>
    <row r="153" spans="1:14" s="57" customFormat="1" x14ac:dyDescent="0.2">
      <c r="B153" s="175" t="s">
        <v>616</v>
      </c>
      <c r="C153" s="176"/>
      <c r="D153" s="60"/>
      <c r="I153" s="117"/>
      <c r="J153" s="55"/>
      <c r="K153" s="55"/>
      <c r="L153" s="55"/>
      <c r="M153" s="55"/>
      <c r="N153" s="58"/>
    </row>
    <row r="154" spans="1:14" s="57" customFormat="1" x14ac:dyDescent="0.2">
      <c r="B154" s="175"/>
      <c r="C154" s="176"/>
      <c r="D154" s="61"/>
      <c r="I154" s="117"/>
      <c r="J154" s="55"/>
      <c r="K154" s="55"/>
      <c r="L154" s="55"/>
      <c r="M154" s="55"/>
      <c r="N154" s="58"/>
    </row>
    <row r="155" spans="1:14" s="57" customFormat="1" x14ac:dyDescent="0.2">
      <c r="B155" s="175" t="s">
        <v>617</v>
      </c>
      <c r="C155" s="182"/>
      <c r="D155" s="62">
        <v>6.2544470077694303</v>
      </c>
      <c r="I155" s="117"/>
      <c r="J155" s="55"/>
      <c r="K155" s="55"/>
      <c r="L155" s="55"/>
      <c r="M155" s="55"/>
      <c r="N155" s="58"/>
    </row>
    <row r="156" spans="1:14" s="57" customFormat="1" x14ac:dyDescent="0.2">
      <c r="B156" s="175"/>
      <c r="C156" s="176"/>
      <c r="D156" s="61"/>
      <c r="I156" s="117"/>
      <c r="J156" s="55"/>
      <c r="K156" s="55"/>
      <c r="L156" s="55"/>
      <c r="M156" s="55"/>
      <c r="N156" s="58"/>
    </row>
    <row r="157" spans="1:14" s="57" customFormat="1" x14ac:dyDescent="0.2">
      <c r="B157" s="175" t="s">
        <v>618</v>
      </c>
      <c r="C157" s="182"/>
      <c r="D157" s="62">
        <v>0.6208673167831954</v>
      </c>
      <c r="I157" s="117"/>
      <c r="J157" s="55"/>
      <c r="K157" s="55"/>
      <c r="L157" s="55"/>
      <c r="M157" s="55"/>
      <c r="N157" s="58"/>
    </row>
    <row r="158" spans="1:14" s="57" customFormat="1" x14ac:dyDescent="0.2">
      <c r="B158" s="175" t="s">
        <v>619</v>
      </c>
      <c r="C158" s="182"/>
      <c r="D158" s="62">
        <v>0.62160492478175566</v>
      </c>
      <c r="I158" s="117"/>
      <c r="J158" s="55"/>
      <c r="K158" s="55"/>
      <c r="L158" s="55"/>
      <c r="M158" s="55"/>
      <c r="N158" s="58"/>
    </row>
    <row r="159" spans="1:14" s="57" customFormat="1" x14ac:dyDescent="0.2">
      <c r="B159" s="175"/>
      <c r="C159" s="176"/>
      <c r="D159" s="61"/>
      <c r="I159" s="117"/>
      <c r="J159" s="55"/>
      <c r="K159" s="55"/>
      <c r="L159" s="55"/>
      <c r="M159" s="55"/>
      <c r="N159" s="58"/>
    </row>
    <row r="160" spans="1:14" s="57" customFormat="1" x14ac:dyDescent="0.2">
      <c r="B160" s="174" t="s">
        <v>620</v>
      </c>
      <c r="C160" s="174"/>
      <c r="D160" s="64" t="s">
        <v>744</v>
      </c>
      <c r="I160" s="117"/>
      <c r="J160" s="55"/>
      <c r="K160" s="55"/>
      <c r="L160" s="55"/>
      <c r="M160" s="55"/>
      <c r="N160" s="58"/>
    </row>
    <row r="161" spans="2:16" s="57" customFormat="1" x14ac:dyDescent="0.2">
      <c r="B161" s="175" t="s">
        <v>621</v>
      </c>
      <c r="C161" s="177"/>
      <c r="D161" s="176"/>
      <c r="I161" s="117"/>
      <c r="J161" s="55"/>
      <c r="K161" s="55"/>
      <c r="L161" s="55"/>
      <c r="M161" s="55"/>
      <c r="N161" s="58"/>
      <c r="O161"/>
      <c r="P161"/>
    </row>
    <row r="162" spans="2:16" x14ac:dyDescent="0.2">
      <c r="I162" s="117"/>
    </row>
    <row r="163" spans="2:16" ht="25.5" x14ac:dyDescent="0.2">
      <c r="B163" s="66" t="s">
        <v>622</v>
      </c>
      <c r="I163" s="117"/>
    </row>
    <row r="164" spans="2:16" x14ac:dyDescent="0.2">
      <c r="I164" s="117"/>
    </row>
    <row r="165" spans="2:16" ht="153.75" customHeight="1" x14ac:dyDescent="0.2">
      <c r="I165" s="117"/>
    </row>
    <row r="166" spans="2:16" x14ac:dyDescent="0.2">
      <c r="I166" s="117"/>
    </row>
    <row r="167" spans="2:16" x14ac:dyDescent="0.2">
      <c r="I167" s="117"/>
    </row>
    <row r="168" spans="2:16" x14ac:dyDescent="0.2">
      <c r="B168" s="67" t="s">
        <v>623</v>
      </c>
      <c r="C168" s="68"/>
      <c r="D168" s="67"/>
      <c r="I168" s="117"/>
    </row>
    <row r="169" spans="2:16" x14ac:dyDescent="0.2">
      <c r="B169" s="67" t="s">
        <v>631</v>
      </c>
      <c r="C169" s="68"/>
      <c r="D169" s="67"/>
      <c r="I169" s="117"/>
    </row>
    <row r="170" spans="2:16" x14ac:dyDescent="0.2">
      <c r="D170" s="67"/>
      <c r="I170" s="117"/>
    </row>
    <row r="171" spans="2:16" ht="165" customHeight="1" x14ac:dyDescent="0.2">
      <c r="I171" s="117"/>
    </row>
    <row r="172" spans="2:16" x14ac:dyDescent="0.2">
      <c r="I172" s="117"/>
    </row>
    <row r="173" spans="2:16" x14ac:dyDescent="0.2">
      <c r="I173" s="117"/>
    </row>
    <row r="174" spans="2:16" x14ac:dyDescent="0.2">
      <c r="I174" s="117"/>
    </row>
    <row r="175" spans="2:16" x14ac:dyDescent="0.2">
      <c r="I175" s="117"/>
    </row>
    <row r="177" customFormat="1" x14ac:dyDescent="0.2"/>
    <row r="178" customFormat="1" x14ac:dyDescent="0.2"/>
    <row r="179" customFormat="1" x14ac:dyDescent="0.2"/>
    <row r="180" customFormat="1" x14ac:dyDescent="0.2"/>
    <row r="181" customFormat="1" x14ac:dyDescent="0.2"/>
  </sheetData>
  <mergeCells count="26">
    <mergeCell ref="B158:C158"/>
    <mergeCell ref="B159:C159"/>
    <mergeCell ref="B160:C160"/>
    <mergeCell ref="B161:D161"/>
    <mergeCell ref="B153:C153"/>
    <mergeCell ref="B154:C154"/>
    <mergeCell ref="B155:C155"/>
    <mergeCell ref="B156:C156"/>
    <mergeCell ref="B157:C157"/>
    <mergeCell ref="A1:H1"/>
    <mergeCell ref="A2:H2"/>
    <mergeCell ref="A3:H3"/>
    <mergeCell ref="B124:H124"/>
    <mergeCell ref="B125:H125"/>
    <mergeCell ref="B126:H126"/>
    <mergeCell ref="B129:D129"/>
    <mergeCell ref="B130:C130"/>
    <mergeCell ref="B131:C131"/>
    <mergeCell ref="B132:C132"/>
    <mergeCell ref="B127:H127"/>
    <mergeCell ref="B149:C149"/>
    <mergeCell ref="B152:C152"/>
    <mergeCell ref="B142:C142"/>
    <mergeCell ref="B148:C148"/>
    <mergeCell ref="B147:C147"/>
    <mergeCell ref="B151:D151"/>
  </mergeCells>
  <hyperlinks>
    <hyperlink ref="I1" location="Index!B2" display="Index" xr:uid="{CD82DB19-6D96-44AE-9EC7-8040075E0BC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8661C-B8A9-425C-A28B-3F2F09AE651F}">
  <sheetPr>
    <outlinePr summaryBelow="0" summaryRight="0"/>
  </sheetPr>
  <dimension ref="A1:T196"/>
  <sheetViews>
    <sheetView showGridLines="0" workbookViewId="0">
      <selection activeCell="A2" sqref="A2:H2"/>
    </sheetView>
  </sheetViews>
  <sheetFormatPr defaultRowHeight="12.75" x14ac:dyDescent="0.2"/>
  <cols>
    <col min="1" max="1" width="5.85546875" bestFit="1" customWidth="1"/>
    <col min="2" max="2" width="20.28515625" bestFit="1" customWidth="1"/>
    <col min="3" max="3" width="40.42578125" customWidth="1"/>
    <col min="4" max="4" width="17.28515625" customWidth="1"/>
    <col min="5" max="5" width="9.42578125" bestFit="1" customWidth="1"/>
    <col min="6" max="6" width="10.140625" bestFit="1" customWidth="1"/>
    <col min="7" max="7" width="14" bestFit="1" customWidth="1"/>
    <col min="8" max="8" width="11" customWidth="1"/>
  </cols>
  <sheetData>
    <row r="1" spans="1:9" ht="15" x14ac:dyDescent="0.2">
      <c r="A1" s="173" t="s">
        <v>0</v>
      </c>
      <c r="B1" s="173"/>
      <c r="C1" s="173"/>
      <c r="D1" s="173"/>
      <c r="E1" s="173"/>
      <c r="F1" s="173"/>
      <c r="G1" s="173"/>
      <c r="H1" s="173"/>
      <c r="I1" s="1" t="s">
        <v>594</v>
      </c>
    </row>
    <row r="2" spans="1:9" ht="15" x14ac:dyDescent="0.2">
      <c r="A2" s="173" t="s">
        <v>260</v>
      </c>
      <c r="B2" s="173"/>
      <c r="C2" s="173"/>
      <c r="D2" s="173"/>
      <c r="E2" s="173"/>
      <c r="F2" s="173"/>
      <c r="G2" s="173"/>
      <c r="H2" s="173"/>
    </row>
    <row r="3" spans="1:9" ht="15" x14ac:dyDescent="0.2">
      <c r="A3" s="173" t="s">
        <v>750</v>
      </c>
      <c r="B3" s="173"/>
      <c r="C3" s="173"/>
      <c r="D3" s="173"/>
      <c r="E3" s="173"/>
      <c r="F3" s="173"/>
      <c r="G3" s="173"/>
      <c r="H3" s="173"/>
    </row>
    <row r="4" spans="1:9" s="16" customFormat="1" ht="30" x14ac:dyDescent="0.2">
      <c r="A4" s="14" t="s">
        <v>2</v>
      </c>
      <c r="B4" s="14" t="s">
        <v>3</v>
      </c>
      <c r="C4" s="14" t="s">
        <v>4</v>
      </c>
      <c r="D4" s="14" t="s">
        <v>5</v>
      </c>
      <c r="E4" s="14" t="s">
        <v>6</v>
      </c>
      <c r="F4" s="14" t="s">
        <v>7</v>
      </c>
      <c r="G4" s="14" t="s">
        <v>8</v>
      </c>
      <c r="H4" s="15" t="s">
        <v>593</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7">
        <v>1</v>
      </c>
      <c r="B7" s="70" t="s">
        <v>632</v>
      </c>
      <c r="C7" s="70" t="s">
        <v>633</v>
      </c>
      <c r="D7" s="70" t="s">
        <v>634</v>
      </c>
      <c r="E7" s="71">
        <v>8000</v>
      </c>
      <c r="F7" s="72">
        <v>0.01</v>
      </c>
      <c r="G7" s="115" t="s">
        <v>635</v>
      </c>
      <c r="H7" s="19" t="s">
        <v>12</v>
      </c>
      <c r="I7" s="117"/>
    </row>
    <row r="8" spans="1:9" x14ac:dyDescent="0.2">
      <c r="A8" s="20"/>
      <c r="B8" s="20"/>
      <c r="C8" s="21" t="s">
        <v>11</v>
      </c>
      <c r="D8" s="20"/>
      <c r="E8" s="20" t="s">
        <v>12</v>
      </c>
      <c r="F8" s="26">
        <f>SUM(F7)</f>
        <v>0.01</v>
      </c>
      <c r="G8" s="23">
        <v>0</v>
      </c>
      <c r="H8" s="19" t="s">
        <v>12</v>
      </c>
    </row>
    <row r="9" spans="1:9" x14ac:dyDescent="0.2">
      <c r="A9" s="20"/>
      <c r="B9" s="20"/>
      <c r="C9" s="24"/>
      <c r="D9" s="20"/>
      <c r="E9" s="20"/>
      <c r="F9" s="25"/>
      <c r="G9" s="25"/>
      <c r="H9" s="19" t="s">
        <v>12</v>
      </c>
    </row>
    <row r="10" spans="1:9" x14ac:dyDescent="0.2">
      <c r="A10" s="20"/>
      <c r="B10" s="20"/>
      <c r="C10" s="21" t="s">
        <v>14</v>
      </c>
      <c r="D10" s="20"/>
      <c r="E10" s="20"/>
      <c r="F10" s="20"/>
      <c r="G10" s="20"/>
      <c r="H10" s="19" t="s">
        <v>12</v>
      </c>
    </row>
    <row r="11" spans="1:9" x14ac:dyDescent="0.2">
      <c r="A11" s="20"/>
      <c r="B11" s="20"/>
      <c r="C11" s="21" t="s">
        <v>11</v>
      </c>
      <c r="D11" s="20"/>
      <c r="E11" s="20" t="s">
        <v>12</v>
      </c>
      <c r="F11" s="22" t="s">
        <v>13</v>
      </c>
      <c r="G11" s="23">
        <v>0</v>
      </c>
      <c r="H11" s="19" t="s">
        <v>12</v>
      </c>
    </row>
    <row r="12" spans="1:9" x14ac:dyDescent="0.2">
      <c r="A12" s="20"/>
      <c r="B12" s="20"/>
      <c r="C12" s="24"/>
      <c r="D12" s="20"/>
      <c r="E12" s="20"/>
      <c r="F12" s="25"/>
      <c r="G12" s="25"/>
      <c r="H12" s="19" t="s">
        <v>12</v>
      </c>
    </row>
    <row r="13" spans="1:9" x14ac:dyDescent="0.2">
      <c r="A13" s="20"/>
      <c r="B13" s="20"/>
      <c r="C13" s="21" t="s">
        <v>15</v>
      </c>
      <c r="D13" s="20"/>
      <c r="E13" s="20"/>
      <c r="F13" s="20"/>
      <c r="G13" s="20"/>
      <c r="H13" s="19" t="s">
        <v>12</v>
      </c>
    </row>
    <row r="14" spans="1:9" x14ac:dyDescent="0.2">
      <c r="A14" s="20"/>
      <c r="B14" s="20"/>
      <c r="C14" s="21" t="s">
        <v>11</v>
      </c>
      <c r="D14" s="20"/>
      <c r="E14" s="20" t="s">
        <v>12</v>
      </c>
      <c r="F14" s="22" t="s">
        <v>13</v>
      </c>
      <c r="G14" s="23">
        <v>0</v>
      </c>
      <c r="H14" s="19" t="s">
        <v>12</v>
      </c>
    </row>
    <row r="15" spans="1:9" x14ac:dyDescent="0.2">
      <c r="A15" s="20"/>
      <c r="B15" s="20"/>
      <c r="C15" s="24"/>
      <c r="D15" s="20"/>
      <c r="E15" s="20"/>
      <c r="F15" s="25"/>
      <c r="G15" s="25"/>
      <c r="H15" s="19" t="s">
        <v>12</v>
      </c>
    </row>
    <row r="16" spans="1:9" x14ac:dyDescent="0.2">
      <c r="A16" s="20"/>
      <c r="B16" s="20"/>
      <c r="C16" s="21" t="s">
        <v>16</v>
      </c>
      <c r="D16" s="20"/>
      <c r="E16" s="20"/>
      <c r="F16" s="20"/>
      <c r="G16" s="20"/>
      <c r="H16" s="19" t="s">
        <v>12</v>
      </c>
    </row>
    <row r="17" spans="1:8" x14ac:dyDescent="0.2">
      <c r="A17" s="20"/>
      <c r="B17" s="20"/>
      <c r="C17" s="21" t="s">
        <v>11</v>
      </c>
      <c r="D17" s="20"/>
      <c r="E17" s="20" t="s">
        <v>12</v>
      </c>
      <c r="F17" s="22" t="s">
        <v>13</v>
      </c>
      <c r="G17" s="23">
        <v>0</v>
      </c>
      <c r="H17" s="19" t="s">
        <v>12</v>
      </c>
    </row>
    <row r="18" spans="1:8" x14ac:dyDescent="0.2">
      <c r="A18" s="20"/>
      <c r="B18" s="20"/>
      <c r="C18" s="24"/>
      <c r="D18" s="20"/>
      <c r="E18" s="20"/>
      <c r="F18" s="25"/>
      <c r="G18" s="25"/>
      <c r="H18" s="19" t="s">
        <v>12</v>
      </c>
    </row>
    <row r="19" spans="1:8" x14ac:dyDescent="0.2">
      <c r="A19" s="20"/>
      <c r="B19" s="20"/>
      <c r="C19" s="21" t="s">
        <v>17</v>
      </c>
      <c r="D19" s="20"/>
      <c r="E19" s="20"/>
      <c r="F19" s="25"/>
      <c r="G19" s="25"/>
      <c r="H19" s="19" t="s">
        <v>12</v>
      </c>
    </row>
    <row r="20" spans="1:8" x14ac:dyDescent="0.2">
      <c r="A20" s="20"/>
      <c r="B20" s="20"/>
      <c r="C20" s="21" t="s">
        <v>11</v>
      </c>
      <c r="D20" s="20"/>
      <c r="E20" s="20" t="s">
        <v>12</v>
      </c>
      <c r="F20" s="22" t="s">
        <v>13</v>
      </c>
      <c r="G20" s="23">
        <v>0</v>
      </c>
      <c r="H20" s="19" t="s">
        <v>12</v>
      </c>
    </row>
    <row r="21" spans="1:8" x14ac:dyDescent="0.2">
      <c r="A21" s="20"/>
      <c r="B21" s="20"/>
      <c r="C21" s="24"/>
      <c r="D21" s="20"/>
      <c r="E21" s="20"/>
      <c r="F21" s="25"/>
      <c r="G21" s="25"/>
      <c r="H21" s="19" t="s">
        <v>12</v>
      </c>
    </row>
    <row r="22" spans="1:8" x14ac:dyDescent="0.2">
      <c r="A22" s="20"/>
      <c r="B22" s="20"/>
      <c r="C22" s="21" t="s">
        <v>18</v>
      </c>
      <c r="D22" s="20"/>
      <c r="E22" s="20"/>
      <c r="F22" s="25"/>
      <c r="G22" s="25"/>
      <c r="H22" s="19" t="s">
        <v>12</v>
      </c>
    </row>
    <row r="23" spans="1:8" x14ac:dyDescent="0.2">
      <c r="A23" s="20"/>
      <c r="B23" s="20"/>
      <c r="C23" s="21" t="s">
        <v>11</v>
      </c>
      <c r="D23" s="20"/>
      <c r="E23" s="20" t="s">
        <v>12</v>
      </c>
      <c r="F23" s="22" t="s">
        <v>13</v>
      </c>
      <c r="G23" s="23">
        <v>0</v>
      </c>
      <c r="H23" s="19" t="s">
        <v>12</v>
      </c>
    </row>
    <row r="24" spans="1:8" x14ac:dyDescent="0.2">
      <c r="A24" s="20"/>
      <c r="B24" s="20"/>
      <c r="C24" s="24"/>
      <c r="D24" s="20"/>
      <c r="E24" s="20"/>
      <c r="F24" s="25"/>
      <c r="G24" s="25"/>
      <c r="H24" s="19" t="s">
        <v>12</v>
      </c>
    </row>
    <row r="25" spans="1:8" x14ac:dyDescent="0.2">
      <c r="A25" s="20"/>
      <c r="B25" s="20"/>
      <c r="C25" s="21" t="s">
        <v>19</v>
      </c>
      <c r="D25" s="20"/>
      <c r="E25" s="20"/>
      <c r="F25" s="26">
        <f>F8</f>
        <v>0.01</v>
      </c>
      <c r="G25" s="23">
        <v>0</v>
      </c>
      <c r="H25" s="19" t="s">
        <v>12</v>
      </c>
    </row>
    <row r="26" spans="1:8" x14ac:dyDescent="0.2">
      <c r="A26" s="20"/>
      <c r="B26" s="20"/>
      <c r="C26" s="24"/>
      <c r="D26" s="20"/>
      <c r="E26" s="20"/>
      <c r="F26" s="25"/>
      <c r="G26" s="25"/>
      <c r="H26" s="19" t="s">
        <v>12</v>
      </c>
    </row>
    <row r="27" spans="1:8" x14ac:dyDescent="0.2">
      <c r="A27" s="20"/>
      <c r="B27" s="20"/>
      <c r="C27" s="21" t="s">
        <v>20</v>
      </c>
      <c r="D27" s="20"/>
      <c r="E27" s="20"/>
      <c r="F27" s="25"/>
      <c r="G27" s="25"/>
      <c r="H27" s="19" t="s">
        <v>12</v>
      </c>
    </row>
    <row r="28" spans="1:8" x14ac:dyDescent="0.2">
      <c r="A28" s="20"/>
      <c r="B28" s="20"/>
      <c r="C28" s="21" t="s">
        <v>10</v>
      </c>
      <c r="D28" s="20"/>
      <c r="E28" s="20"/>
      <c r="F28" s="25"/>
      <c r="G28" s="25"/>
      <c r="H28" s="19" t="s">
        <v>12</v>
      </c>
    </row>
    <row r="29" spans="1:8" x14ac:dyDescent="0.2">
      <c r="A29" s="27">
        <v>1</v>
      </c>
      <c r="B29" s="28" t="s">
        <v>261</v>
      </c>
      <c r="C29" s="28" t="s">
        <v>262</v>
      </c>
      <c r="D29" s="28" t="s">
        <v>263</v>
      </c>
      <c r="E29" s="29">
        <v>1500</v>
      </c>
      <c r="F29" s="30">
        <v>1519.6890000000001</v>
      </c>
      <c r="G29" s="31">
        <v>3.7910810000000003E-2</v>
      </c>
      <c r="H29" s="19">
        <v>7.6425000000000001</v>
      </c>
    </row>
    <row r="30" spans="1:8" x14ac:dyDescent="0.2">
      <c r="A30" s="27">
        <v>2</v>
      </c>
      <c r="B30" s="28" t="s">
        <v>264</v>
      </c>
      <c r="C30" s="28" t="s">
        <v>265</v>
      </c>
      <c r="D30" s="28" t="s">
        <v>266</v>
      </c>
      <c r="E30" s="29">
        <v>1500</v>
      </c>
      <c r="F30" s="30">
        <v>1518.0825</v>
      </c>
      <c r="G30" s="31">
        <v>3.7870729999999998E-2</v>
      </c>
      <c r="H30" s="19">
        <v>7.0750000000000002</v>
      </c>
    </row>
    <row r="31" spans="1:8" x14ac:dyDescent="0.2">
      <c r="A31" s="27">
        <v>3</v>
      </c>
      <c r="B31" s="28" t="s">
        <v>267</v>
      </c>
      <c r="C31" s="28" t="s">
        <v>268</v>
      </c>
      <c r="D31" s="28" t="s">
        <v>23</v>
      </c>
      <c r="E31" s="29">
        <v>1500</v>
      </c>
      <c r="F31" s="30">
        <v>1514.6130000000001</v>
      </c>
      <c r="G31" s="31">
        <v>3.7784180000000001E-2</v>
      </c>
      <c r="H31" s="19">
        <v>6.55</v>
      </c>
    </row>
    <row r="32" spans="1:8" x14ac:dyDescent="0.2">
      <c r="A32" s="27">
        <v>4</v>
      </c>
      <c r="B32" s="28" t="s">
        <v>269</v>
      </c>
      <c r="C32" s="28" t="s">
        <v>270</v>
      </c>
      <c r="D32" s="28" t="s">
        <v>263</v>
      </c>
      <c r="E32" s="29">
        <v>1200</v>
      </c>
      <c r="F32" s="30">
        <v>1206.1056000000001</v>
      </c>
      <c r="G32" s="31">
        <v>3.0088030000000002E-2</v>
      </c>
      <c r="H32" s="19">
        <v>7.4249999999999998</v>
      </c>
    </row>
    <row r="33" spans="1:8" ht="25.5" x14ac:dyDescent="0.2">
      <c r="A33" s="27">
        <v>5</v>
      </c>
      <c r="B33" s="28" t="s">
        <v>73</v>
      </c>
      <c r="C33" s="28" t="s">
        <v>74</v>
      </c>
      <c r="D33" s="28" t="s">
        <v>23</v>
      </c>
      <c r="E33" s="29">
        <v>1000</v>
      </c>
      <c r="F33" s="30">
        <v>1020.006</v>
      </c>
      <c r="G33" s="31">
        <v>2.5445510000000001E-2</v>
      </c>
      <c r="H33" s="19">
        <v>6.6550000000000002</v>
      </c>
    </row>
    <row r="34" spans="1:8" ht="25.5" x14ac:dyDescent="0.2">
      <c r="A34" s="27">
        <v>6</v>
      </c>
      <c r="B34" s="28" t="s">
        <v>69</v>
      </c>
      <c r="C34" s="28" t="s">
        <v>70</v>
      </c>
      <c r="D34" s="28" t="s">
        <v>23</v>
      </c>
      <c r="E34" s="29">
        <v>1000</v>
      </c>
      <c r="F34" s="30">
        <v>1016.475</v>
      </c>
      <c r="G34" s="31">
        <v>2.5357419999999999E-2</v>
      </c>
      <c r="H34" s="19">
        <v>7.2050000000000001</v>
      </c>
    </row>
    <row r="35" spans="1:8" x14ac:dyDescent="0.2">
      <c r="A35" s="27">
        <v>7</v>
      </c>
      <c r="B35" s="28" t="s">
        <v>271</v>
      </c>
      <c r="C35" s="28" t="s">
        <v>272</v>
      </c>
      <c r="D35" s="28" t="s">
        <v>266</v>
      </c>
      <c r="E35" s="29">
        <v>1000</v>
      </c>
      <c r="F35" s="30">
        <v>1013.169</v>
      </c>
      <c r="G35" s="31">
        <v>2.5274950000000001E-2</v>
      </c>
      <c r="H35" s="19">
        <v>7.4466000000000001</v>
      </c>
    </row>
    <row r="36" spans="1:8" ht="25.5" x14ac:dyDescent="0.2">
      <c r="A36" s="27">
        <v>8</v>
      </c>
      <c r="B36" s="28" t="s">
        <v>273</v>
      </c>
      <c r="C36" s="28" t="s">
        <v>274</v>
      </c>
      <c r="D36" s="28" t="s">
        <v>23</v>
      </c>
      <c r="E36" s="29">
        <v>100</v>
      </c>
      <c r="F36" s="30">
        <v>1011.7329999999999</v>
      </c>
      <c r="G36" s="31">
        <v>2.523912E-2</v>
      </c>
      <c r="H36" s="19">
        <v>6.55</v>
      </c>
    </row>
    <row r="37" spans="1:8" ht="25.5" x14ac:dyDescent="0.2">
      <c r="A37" s="27">
        <v>9</v>
      </c>
      <c r="B37" s="28" t="s">
        <v>39</v>
      </c>
      <c r="C37" s="28" t="s">
        <v>40</v>
      </c>
      <c r="D37" s="28" t="s">
        <v>23</v>
      </c>
      <c r="E37" s="29">
        <v>1000</v>
      </c>
      <c r="F37" s="30">
        <v>1009.425</v>
      </c>
      <c r="G37" s="31">
        <v>2.518155E-2</v>
      </c>
      <c r="H37" s="19">
        <v>6.4850000000000003</v>
      </c>
    </row>
    <row r="38" spans="1:8" ht="25.5" x14ac:dyDescent="0.2">
      <c r="A38" s="27">
        <v>10</v>
      </c>
      <c r="B38" s="28" t="s">
        <v>71</v>
      </c>
      <c r="C38" s="28" t="s">
        <v>72</v>
      </c>
      <c r="D38" s="28" t="s">
        <v>23</v>
      </c>
      <c r="E38" s="29">
        <v>1000</v>
      </c>
      <c r="F38" s="30">
        <v>1008.952</v>
      </c>
      <c r="G38" s="31">
        <v>2.5169750000000001E-2</v>
      </c>
      <c r="H38" s="19">
        <v>6.6</v>
      </c>
    </row>
    <row r="39" spans="1:8" ht="25.5" x14ac:dyDescent="0.2">
      <c r="A39" s="27">
        <v>11</v>
      </c>
      <c r="B39" s="28" t="s">
        <v>275</v>
      </c>
      <c r="C39" s="28" t="s">
        <v>276</v>
      </c>
      <c r="D39" s="28" t="s">
        <v>277</v>
      </c>
      <c r="E39" s="29">
        <v>1000</v>
      </c>
      <c r="F39" s="30">
        <v>1007.931</v>
      </c>
      <c r="G39" s="31">
        <v>2.5144280000000001E-2</v>
      </c>
      <c r="H39" s="19">
        <v>8.4499999999999993</v>
      </c>
    </row>
    <row r="40" spans="1:8" x14ac:dyDescent="0.2">
      <c r="A40" s="27">
        <v>12</v>
      </c>
      <c r="B40" s="28" t="s">
        <v>278</v>
      </c>
      <c r="C40" s="28" t="s">
        <v>279</v>
      </c>
      <c r="D40" s="28" t="s">
        <v>263</v>
      </c>
      <c r="E40" s="29">
        <v>1000</v>
      </c>
      <c r="F40" s="30">
        <v>1007.827</v>
      </c>
      <c r="G40" s="31">
        <v>2.514168E-2</v>
      </c>
      <c r="H40" s="19">
        <v>8.0932999999999993</v>
      </c>
    </row>
    <row r="41" spans="1:8" x14ac:dyDescent="0.2">
      <c r="A41" s="27">
        <v>13</v>
      </c>
      <c r="B41" s="28" t="s">
        <v>280</v>
      </c>
      <c r="C41" s="28" t="s">
        <v>281</v>
      </c>
      <c r="D41" s="28" t="s">
        <v>263</v>
      </c>
      <c r="E41" s="29">
        <v>100</v>
      </c>
      <c r="F41" s="30">
        <v>1003.474</v>
      </c>
      <c r="G41" s="31">
        <v>2.5033090000000001E-2</v>
      </c>
      <c r="H41" s="19">
        <v>7.3825000000000003</v>
      </c>
    </row>
    <row r="42" spans="1:8" x14ac:dyDescent="0.2">
      <c r="A42" s="27">
        <v>14</v>
      </c>
      <c r="B42" s="28" t="s">
        <v>282</v>
      </c>
      <c r="C42" s="28" t="s">
        <v>283</v>
      </c>
      <c r="D42" s="28" t="s">
        <v>263</v>
      </c>
      <c r="E42" s="29">
        <v>900</v>
      </c>
      <c r="F42" s="30">
        <v>909.61289999999997</v>
      </c>
      <c r="G42" s="31">
        <v>2.2691590000000001E-2</v>
      </c>
      <c r="H42" s="19">
        <v>7.3550000000000004</v>
      </c>
    </row>
    <row r="43" spans="1:8" x14ac:dyDescent="0.2">
      <c r="A43" s="27">
        <v>15</v>
      </c>
      <c r="B43" s="28" t="s">
        <v>284</v>
      </c>
      <c r="C43" s="28" t="s">
        <v>285</v>
      </c>
      <c r="D43" s="28" t="s">
        <v>32</v>
      </c>
      <c r="E43" s="29">
        <v>900</v>
      </c>
      <c r="F43" s="30">
        <v>908.62379999999996</v>
      </c>
      <c r="G43" s="31">
        <v>2.266692E-2</v>
      </c>
      <c r="H43" s="19">
        <v>7.4</v>
      </c>
    </row>
    <row r="44" spans="1:8" x14ac:dyDescent="0.2">
      <c r="A44" s="27">
        <v>16</v>
      </c>
      <c r="B44" s="28" t="s">
        <v>286</v>
      </c>
      <c r="C44" s="28" t="s">
        <v>287</v>
      </c>
      <c r="D44" s="28" t="s">
        <v>32</v>
      </c>
      <c r="E44" s="29">
        <v>500</v>
      </c>
      <c r="F44" s="30">
        <v>510.08350000000002</v>
      </c>
      <c r="G44" s="31">
        <v>1.272476E-2</v>
      </c>
      <c r="H44" s="19">
        <v>6.53</v>
      </c>
    </row>
    <row r="45" spans="1:8" ht="25.5" x14ac:dyDescent="0.2">
      <c r="A45" s="27">
        <v>17</v>
      </c>
      <c r="B45" s="28" t="s">
        <v>153</v>
      </c>
      <c r="C45" s="28" t="s">
        <v>154</v>
      </c>
      <c r="D45" s="28" t="s">
        <v>32</v>
      </c>
      <c r="E45" s="29">
        <v>500</v>
      </c>
      <c r="F45" s="30">
        <v>509.2595</v>
      </c>
      <c r="G45" s="31">
        <v>1.2704210000000001E-2</v>
      </c>
      <c r="H45" s="19">
        <v>6.6123000000000003</v>
      </c>
    </row>
    <row r="46" spans="1:8" x14ac:dyDescent="0.2">
      <c r="A46" s="27">
        <v>18</v>
      </c>
      <c r="B46" s="28" t="s">
        <v>53</v>
      </c>
      <c r="C46" s="28" t="s">
        <v>54</v>
      </c>
      <c r="D46" s="28" t="s">
        <v>23</v>
      </c>
      <c r="E46" s="29">
        <v>500</v>
      </c>
      <c r="F46" s="30">
        <v>507.06549999999999</v>
      </c>
      <c r="G46" s="31">
        <v>1.2649469999999999E-2</v>
      </c>
      <c r="H46" s="19">
        <v>6.55</v>
      </c>
    </row>
    <row r="47" spans="1:8" ht="25.5" x14ac:dyDescent="0.2">
      <c r="A47" s="27">
        <v>19</v>
      </c>
      <c r="B47" s="28" t="s">
        <v>288</v>
      </c>
      <c r="C47" s="28" t="s">
        <v>289</v>
      </c>
      <c r="D47" s="28" t="s">
        <v>290</v>
      </c>
      <c r="E47" s="29">
        <v>50</v>
      </c>
      <c r="F47" s="30">
        <v>502.18700000000001</v>
      </c>
      <c r="G47" s="31">
        <v>1.2527770000000001E-2</v>
      </c>
      <c r="H47" s="19">
        <v>7.07</v>
      </c>
    </row>
    <row r="48" spans="1:8" x14ac:dyDescent="0.2">
      <c r="A48" s="27">
        <v>20</v>
      </c>
      <c r="B48" s="28" t="s">
        <v>291</v>
      </c>
      <c r="C48" s="28" t="s">
        <v>292</v>
      </c>
      <c r="D48" s="28" t="s">
        <v>263</v>
      </c>
      <c r="E48" s="29">
        <v>350</v>
      </c>
      <c r="F48" s="30">
        <v>354.12335000000002</v>
      </c>
      <c r="G48" s="31">
        <v>8.8341099999999992E-3</v>
      </c>
      <c r="H48" s="19">
        <v>8.1</v>
      </c>
    </row>
    <row r="49" spans="1:8" x14ac:dyDescent="0.2">
      <c r="A49" s="20"/>
      <c r="B49" s="20"/>
      <c r="C49" s="21" t="s">
        <v>11</v>
      </c>
      <c r="D49" s="20"/>
      <c r="E49" s="20" t="s">
        <v>12</v>
      </c>
      <c r="F49" s="26">
        <v>19058.43765</v>
      </c>
      <c r="G49" s="23">
        <v>0.47543993000000001</v>
      </c>
      <c r="H49" s="19" t="s">
        <v>12</v>
      </c>
    </row>
    <row r="50" spans="1:8" x14ac:dyDescent="0.2">
      <c r="A50" s="20"/>
      <c r="B50" s="20"/>
      <c r="C50" s="24"/>
      <c r="D50" s="20"/>
      <c r="E50" s="20"/>
      <c r="F50" s="25"/>
      <c r="G50" s="25"/>
      <c r="H50" s="19" t="s">
        <v>12</v>
      </c>
    </row>
    <row r="51" spans="1:8" x14ac:dyDescent="0.2">
      <c r="A51" s="20"/>
      <c r="B51" s="20"/>
      <c r="C51" s="21" t="s">
        <v>77</v>
      </c>
      <c r="D51" s="20"/>
      <c r="E51" s="20"/>
      <c r="F51" s="20"/>
      <c r="G51" s="20"/>
      <c r="H51" s="19" t="s">
        <v>12</v>
      </c>
    </row>
    <row r="52" spans="1:8" x14ac:dyDescent="0.2">
      <c r="A52" s="20"/>
      <c r="B52" s="20"/>
      <c r="C52" s="21" t="s">
        <v>11</v>
      </c>
      <c r="D52" s="20"/>
      <c r="E52" s="20" t="s">
        <v>12</v>
      </c>
      <c r="F52" s="22" t="s">
        <v>13</v>
      </c>
      <c r="G52" s="23">
        <v>0</v>
      </c>
      <c r="H52" s="19" t="s">
        <v>12</v>
      </c>
    </row>
    <row r="53" spans="1:8" x14ac:dyDescent="0.2">
      <c r="A53" s="20"/>
      <c r="B53" s="20"/>
      <c r="C53" s="24"/>
      <c r="D53" s="20"/>
      <c r="E53" s="20"/>
      <c r="F53" s="25"/>
      <c r="G53" s="25"/>
      <c r="H53" s="19" t="s">
        <v>12</v>
      </c>
    </row>
    <row r="54" spans="1:8" x14ac:dyDescent="0.2">
      <c r="A54" s="20"/>
      <c r="B54" s="20"/>
      <c r="C54" s="21" t="s">
        <v>78</v>
      </c>
      <c r="D54" s="20"/>
      <c r="E54" s="20"/>
      <c r="F54" s="20"/>
      <c r="G54" s="20"/>
      <c r="H54" s="19" t="s">
        <v>12</v>
      </c>
    </row>
    <row r="55" spans="1:8" ht="25.5" x14ac:dyDescent="0.2">
      <c r="A55" s="27">
        <v>1</v>
      </c>
      <c r="B55" s="28" t="s">
        <v>159</v>
      </c>
      <c r="C55" s="28" t="s">
        <v>160</v>
      </c>
      <c r="D55" s="28" t="s">
        <v>81</v>
      </c>
      <c r="E55" s="29">
        <v>400000</v>
      </c>
      <c r="F55" s="30">
        <v>414.33199999999999</v>
      </c>
      <c r="G55" s="31">
        <v>1.0336100000000001E-2</v>
      </c>
      <c r="H55" s="19">
        <v>6.1</v>
      </c>
    </row>
    <row r="56" spans="1:8" ht="25.5" x14ac:dyDescent="0.2">
      <c r="A56" s="27">
        <v>2</v>
      </c>
      <c r="B56" s="28" t="s">
        <v>293</v>
      </c>
      <c r="C56" s="28" t="s">
        <v>294</v>
      </c>
      <c r="D56" s="28" t="s">
        <v>81</v>
      </c>
      <c r="E56" s="29">
        <v>300000</v>
      </c>
      <c r="F56" s="30">
        <v>308.87310000000002</v>
      </c>
      <c r="G56" s="31">
        <v>7.7052800000000001E-3</v>
      </c>
      <c r="H56" s="19">
        <v>5.8842999999999996</v>
      </c>
    </row>
    <row r="57" spans="1:8" x14ac:dyDescent="0.2">
      <c r="A57" s="20"/>
      <c r="B57" s="20"/>
      <c r="C57" s="21" t="s">
        <v>11</v>
      </c>
      <c r="D57" s="20"/>
      <c r="E57" s="20" t="s">
        <v>12</v>
      </c>
      <c r="F57" s="26">
        <v>723.20510000000002</v>
      </c>
      <c r="G57" s="23">
        <v>1.8041379999999999E-2</v>
      </c>
      <c r="H57" s="19" t="s">
        <v>12</v>
      </c>
    </row>
    <row r="58" spans="1:8" x14ac:dyDescent="0.2">
      <c r="A58" s="20"/>
      <c r="B58" s="20"/>
      <c r="C58" s="24"/>
      <c r="D58" s="20"/>
      <c r="E58" s="20"/>
      <c r="F58" s="25"/>
      <c r="G58" s="25"/>
      <c r="H58" s="19" t="s">
        <v>12</v>
      </c>
    </row>
    <row r="59" spans="1:8" x14ac:dyDescent="0.2">
      <c r="A59" s="20"/>
      <c r="B59" s="20"/>
      <c r="C59" s="21" t="s">
        <v>100</v>
      </c>
      <c r="D59" s="20"/>
      <c r="E59" s="20"/>
      <c r="F59" s="25"/>
      <c r="G59" s="25"/>
      <c r="H59" s="19" t="s">
        <v>12</v>
      </c>
    </row>
    <row r="60" spans="1:8" x14ac:dyDescent="0.2">
      <c r="A60" s="20"/>
      <c r="B60" s="20"/>
      <c r="C60" s="21" t="s">
        <v>11</v>
      </c>
      <c r="D60" s="20"/>
      <c r="E60" s="20" t="s">
        <v>12</v>
      </c>
      <c r="F60" s="22" t="s">
        <v>13</v>
      </c>
      <c r="G60" s="23">
        <v>0</v>
      </c>
      <c r="H60" s="19" t="s">
        <v>12</v>
      </c>
    </row>
    <row r="61" spans="1:8" x14ac:dyDescent="0.2">
      <c r="A61" s="20"/>
      <c r="B61" s="20"/>
      <c r="C61" s="24"/>
      <c r="D61" s="20"/>
      <c r="E61" s="20"/>
      <c r="F61" s="25"/>
      <c r="G61" s="25"/>
      <c r="H61" s="19" t="s">
        <v>12</v>
      </c>
    </row>
    <row r="62" spans="1:8" x14ac:dyDescent="0.2">
      <c r="A62" s="20"/>
      <c r="B62" s="20"/>
      <c r="C62" s="21" t="s">
        <v>101</v>
      </c>
      <c r="D62" s="20"/>
      <c r="E62" s="20"/>
      <c r="F62" s="26">
        <v>19781.642749999999</v>
      </c>
      <c r="G62" s="23">
        <v>0.49348131000000001</v>
      </c>
      <c r="H62" s="19" t="s">
        <v>12</v>
      </c>
    </row>
    <row r="63" spans="1:8" x14ac:dyDescent="0.2">
      <c r="A63" s="20"/>
      <c r="B63" s="20"/>
      <c r="C63" s="24"/>
      <c r="D63" s="20"/>
      <c r="E63" s="20"/>
      <c r="F63" s="25"/>
      <c r="G63" s="25"/>
      <c r="H63" s="19" t="s">
        <v>12</v>
      </c>
    </row>
    <row r="64" spans="1:8" x14ac:dyDescent="0.2">
      <c r="A64" s="20"/>
      <c r="B64" s="20"/>
      <c r="C64" s="21" t="s">
        <v>102</v>
      </c>
      <c r="D64" s="20"/>
      <c r="E64" s="20"/>
      <c r="F64" s="25"/>
      <c r="G64" s="25"/>
      <c r="H64" s="19" t="s">
        <v>12</v>
      </c>
    </row>
    <row r="65" spans="1:8" x14ac:dyDescent="0.2">
      <c r="A65" s="20"/>
      <c r="B65" s="20"/>
      <c r="C65" s="21" t="s">
        <v>103</v>
      </c>
      <c r="D65" s="20"/>
      <c r="E65" s="20"/>
      <c r="F65" s="25"/>
      <c r="G65" s="25"/>
      <c r="H65" s="19" t="s">
        <v>12</v>
      </c>
    </row>
    <row r="66" spans="1:8" x14ac:dyDescent="0.2">
      <c r="A66" s="27">
        <v>1</v>
      </c>
      <c r="B66" s="28" t="s">
        <v>175</v>
      </c>
      <c r="C66" s="28" t="s">
        <v>176</v>
      </c>
      <c r="D66" s="28" t="s">
        <v>163</v>
      </c>
      <c r="E66" s="29">
        <v>500</v>
      </c>
      <c r="F66" s="30">
        <v>2387.5725000000002</v>
      </c>
      <c r="G66" s="31">
        <v>5.95614E-2</v>
      </c>
      <c r="H66" s="19">
        <v>6.25</v>
      </c>
    </row>
    <row r="67" spans="1:8" x14ac:dyDescent="0.2">
      <c r="A67" s="27">
        <v>2</v>
      </c>
      <c r="B67" s="28" t="s">
        <v>295</v>
      </c>
      <c r="C67" s="28" t="s">
        <v>296</v>
      </c>
      <c r="D67" s="28" t="s">
        <v>297</v>
      </c>
      <c r="E67" s="29">
        <v>400</v>
      </c>
      <c r="F67" s="30">
        <v>1941.4459999999999</v>
      </c>
      <c r="G67" s="31">
        <v>4.8432139999999999E-2</v>
      </c>
      <c r="H67" s="19">
        <v>6.1498999999999997</v>
      </c>
    </row>
    <row r="68" spans="1:8" x14ac:dyDescent="0.2">
      <c r="A68" s="27">
        <v>3</v>
      </c>
      <c r="B68" s="28" t="s">
        <v>298</v>
      </c>
      <c r="C68" s="28" t="s">
        <v>299</v>
      </c>
      <c r="D68" s="28" t="s">
        <v>163</v>
      </c>
      <c r="E68" s="29">
        <v>400</v>
      </c>
      <c r="F68" s="30">
        <v>1884.2860000000001</v>
      </c>
      <c r="G68" s="31">
        <v>4.7006199999999998E-2</v>
      </c>
      <c r="H68" s="19">
        <v>6.5350000000000001</v>
      </c>
    </row>
    <row r="69" spans="1:8" x14ac:dyDescent="0.2">
      <c r="A69" s="27">
        <v>4</v>
      </c>
      <c r="B69" s="28" t="s">
        <v>300</v>
      </c>
      <c r="C69" s="28" t="s">
        <v>301</v>
      </c>
      <c r="D69" s="28" t="s">
        <v>163</v>
      </c>
      <c r="E69" s="29">
        <v>200</v>
      </c>
      <c r="F69" s="30">
        <v>986.47</v>
      </c>
      <c r="G69" s="31">
        <v>2.46089E-2</v>
      </c>
      <c r="H69" s="19">
        <v>5.8898999999999999</v>
      </c>
    </row>
    <row r="70" spans="1:8" x14ac:dyDescent="0.2">
      <c r="A70" s="27">
        <v>5</v>
      </c>
      <c r="B70" s="28" t="s">
        <v>302</v>
      </c>
      <c r="C70" s="28" t="s">
        <v>303</v>
      </c>
      <c r="D70" s="28" t="s">
        <v>163</v>
      </c>
      <c r="E70" s="29">
        <v>200</v>
      </c>
      <c r="F70" s="30">
        <v>961.13800000000003</v>
      </c>
      <c r="G70" s="31">
        <v>2.3976959999999999E-2</v>
      </c>
      <c r="H70" s="19">
        <v>6.28</v>
      </c>
    </row>
    <row r="71" spans="1:8" ht="25.5" x14ac:dyDescent="0.2">
      <c r="A71" s="27">
        <v>6</v>
      </c>
      <c r="B71" s="28" t="s">
        <v>187</v>
      </c>
      <c r="C71" s="28" t="s">
        <v>188</v>
      </c>
      <c r="D71" s="28" t="s">
        <v>163</v>
      </c>
      <c r="E71" s="29">
        <v>200</v>
      </c>
      <c r="F71" s="30">
        <v>957.726</v>
      </c>
      <c r="G71" s="31">
        <v>2.3891840000000001E-2</v>
      </c>
      <c r="H71" s="19">
        <v>6.2934999999999999</v>
      </c>
    </row>
    <row r="72" spans="1:8" ht="25.5" x14ac:dyDescent="0.2">
      <c r="A72" s="27">
        <v>7</v>
      </c>
      <c r="B72" s="28" t="s">
        <v>189</v>
      </c>
      <c r="C72" s="28" t="s">
        <v>190</v>
      </c>
      <c r="D72" s="28" t="s">
        <v>163</v>
      </c>
      <c r="E72" s="29">
        <v>200</v>
      </c>
      <c r="F72" s="30">
        <v>957.55499999999995</v>
      </c>
      <c r="G72" s="31">
        <v>2.3887579999999999E-2</v>
      </c>
      <c r="H72" s="19">
        <v>6.32</v>
      </c>
    </row>
    <row r="73" spans="1:8" ht="25.5" x14ac:dyDescent="0.2">
      <c r="A73" s="27">
        <v>8</v>
      </c>
      <c r="B73" s="28" t="s">
        <v>304</v>
      </c>
      <c r="C73" s="28" t="s">
        <v>305</v>
      </c>
      <c r="D73" s="28" t="s">
        <v>163</v>
      </c>
      <c r="E73" s="29">
        <v>200</v>
      </c>
      <c r="F73" s="30">
        <v>955.47299999999996</v>
      </c>
      <c r="G73" s="31">
        <v>2.3835640000000002E-2</v>
      </c>
      <c r="H73" s="19">
        <v>6.3</v>
      </c>
    </row>
    <row r="74" spans="1:8" x14ac:dyDescent="0.2">
      <c r="A74" s="27">
        <v>9</v>
      </c>
      <c r="B74" s="28" t="s">
        <v>168</v>
      </c>
      <c r="C74" s="28" t="s">
        <v>169</v>
      </c>
      <c r="D74" s="28" t="s">
        <v>163</v>
      </c>
      <c r="E74" s="29">
        <v>200</v>
      </c>
      <c r="F74" s="30">
        <v>954.85500000000002</v>
      </c>
      <c r="G74" s="31">
        <v>2.382022E-2</v>
      </c>
      <c r="H74" s="19">
        <v>6.23</v>
      </c>
    </row>
    <row r="75" spans="1:8" ht="25.5" x14ac:dyDescent="0.2">
      <c r="A75" s="27">
        <v>10</v>
      </c>
      <c r="B75" s="28" t="s">
        <v>225</v>
      </c>
      <c r="C75" s="28" t="s">
        <v>226</v>
      </c>
      <c r="D75" s="28" t="s">
        <v>163</v>
      </c>
      <c r="E75" s="29">
        <v>100</v>
      </c>
      <c r="F75" s="30">
        <v>476.79250000000002</v>
      </c>
      <c r="G75" s="31">
        <v>1.189427E-2</v>
      </c>
      <c r="H75" s="19">
        <v>6.3</v>
      </c>
    </row>
    <row r="76" spans="1:8" x14ac:dyDescent="0.2">
      <c r="A76" s="20"/>
      <c r="B76" s="20"/>
      <c r="C76" s="21" t="s">
        <v>11</v>
      </c>
      <c r="D76" s="20"/>
      <c r="E76" s="20" t="s">
        <v>12</v>
      </c>
      <c r="F76" s="26">
        <v>12463.314</v>
      </c>
      <c r="G76" s="23">
        <v>0.31091514999999997</v>
      </c>
      <c r="H76" s="19" t="s">
        <v>12</v>
      </c>
    </row>
    <row r="77" spans="1:8" x14ac:dyDescent="0.2">
      <c r="A77" s="20"/>
      <c r="B77" s="20"/>
      <c r="C77" s="24"/>
      <c r="D77" s="20"/>
      <c r="E77" s="20"/>
      <c r="F77" s="25"/>
      <c r="G77" s="25"/>
      <c r="H77" s="19" t="s">
        <v>12</v>
      </c>
    </row>
    <row r="78" spans="1:8" x14ac:dyDescent="0.2">
      <c r="A78" s="20"/>
      <c r="B78" s="20"/>
      <c r="C78" s="21" t="s">
        <v>104</v>
      </c>
      <c r="D78" s="20"/>
      <c r="E78" s="20"/>
      <c r="F78" s="25"/>
      <c r="G78" s="25"/>
      <c r="H78" s="19" t="s">
        <v>12</v>
      </c>
    </row>
    <row r="79" spans="1:8" x14ac:dyDescent="0.2">
      <c r="A79" s="20"/>
      <c r="B79" s="20"/>
      <c r="C79" s="21" t="s">
        <v>11</v>
      </c>
      <c r="D79" s="20"/>
      <c r="E79" s="20" t="s">
        <v>12</v>
      </c>
      <c r="F79" s="22" t="s">
        <v>13</v>
      </c>
      <c r="G79" s="23">
        <v>0</v>
      </c>
      <c r="H79" s="19" t="s">
        <v>12</v>
      </c>
    </row>
    <row r="80" spans="1:8" x14ac:dyDescent="0.2">
      <c r="A80" s="20"/>
      <c r="B80" s="20"/>
      <c r="C80" s="24"/>
      <c r="D80" s="20"/>
      <c r="E80" s="20"/>
      <c r="F80" s="25"/>
      <c r="G80" s="25"/>
      <c r="H80" s="19" t="s">
        <v>12</v>
      </c>
    </row>
    <row r="81" spans="1:17" x14ac:dyDescent="0.2">
      <c r="A81" s="20"/>
      <c r="B81" s="20"/>
      <c r="C81" s="21" t="s">
        <v>105</v>
      </c>
      <c r="D81" s="20"/>
      <c r="E81" s="20"/>
      <c r="F81" s="25"/>
      <c r="G81" s="25"/>
      <c r="H81" s="19" t="s">
        <v>12</v>
      </c>
    </row>
    <row r="82" spans="1:17" x14ac:dyDescent="0.2">
      <c r="A82" s="20"/>
      <c r="B82" s="20"/>
      <c r="C82" s="21" t="s">
        <v>11</v>
      </c>
      <c r="D82" s="20"/>
      <c r="E82" s="20" t="s">
        <v>12</v>
      </c>
      <c r="F82" s="22" t="s">
        <v>13</v>
      </c>
      <c r="G82" s="23">
        <v>0</v>
      </c>
      <c r="H82" s="19" t="s">
        <v>12</v>
      </c>
    </row>
    <row r="83" spans="1:17" x14ac:dyDescent="0.2">
      <c r="A83" s="20"/>
      <c r="B83" s="20"/>
      <c r="C83" s="24"/>
      <c r="D83" s="20"/>
      <c r="E83" s="20"/>
      <c r="F83" s="25"/>
      <c r="G83" s="25"/>
      <c r="H83" s="19" t="s">
        <v>12</v>
      </c>
    </row>
    <row r="84" spans="1:17" x14ac:dyDescent="0.2">
      <c r="A84" s="20"/>
      <c r="B84" s="20"/>
      <c r="C84" s="21" t="s">
        <v>106</v>
      </c>
      <c r="D84" s="20"/>
      <c r="E84" s="20"/>
      <c r="F84" s="25"/>
      <c r="G84" s="25"/>
      <c r="H84" s="19" t="s">
        <v>12</v>
      </c>
    </row>
    <row r="85" spans="1:17" x14ac:dyDescent="0.2">
      <c r="A85" s="27">
        <v>1</v>
      </c>
      <c r="B85" s="28"/>
      <c r="C85" s="28" t="s">
        <v>107</v>
      </c>
      <c r="D85" s="28"/>
      <c r="E85" s="32"/>
      <c r="F85" s="30">
        <v>7173.9481730260004</v>
      </c>
      <c r="G85" s="31">
        <v>0.17896437000000001</v>
      </c>
      <c r="H85" s="19">
        <v>5.07</v>
      </c>
    </row>
    <row r="86" spans="1:17" x14ac:dyDescent="0.2">
      <c r="A86" s="20"/>
      <c r="B86" s="20"/>
      <c r="C86" s="21" t="s">
        <v>11</v>
      </c>
      <c r="D86" s="20"/>
      <c r="E86" s="20" t="s">
        <v>12</v>
      </c>
      <c r="F86" s="26">
        <v>7173.9481730260004</v>
      </c>
      <c r="G86" s="23">
        <v>0.17896437000000001</v>
      </c>
      <c r="H86" s="19" t="s">
        <v>12</v>
      </c>
    </row>
    <row r="87" spans="1:17" x14ac:dyDescent="0.2">
      <c r="A87" s="20"/>
      <c r="B87" s="20"/>
      <c r="C87" s="24"/>
      <c r="D87" s="20"/>
      <c r="E87" s="20"/>
      <c r="F87" s="25"/>
      <c r="G87" s="25"/>
      <c r="H87" s="19" t="s">
        <v>12</v>
      </c>
    </row>
    <row r="88" spans="1:17" x14ac:dyDescent="0.2">
      <c r="A88" s="20"/>
      <c r="B88" s="20"/>
      <c r="C88" s="21" t="s">
        <v>108</v>
      </c>
      <c r="D88" s="20"/>
      <c r="E88" s="20"/>
      <c r="F88" s="26">
        <v>19637.262173026</v>
      </c>
      <c r="G88" s="23">
        <v>0.48987952000000001</v>
      </c>
      <c r="H88" s="19" t="s">
        <v>12</v>
      </c>
    </row>
    <row r="89" spans="1:17" x14ac:dyDescent="0.2">
      <c r="A89" s="20"/>
      <c r="B89" s="20"/>
      <c r="C89" s="25"/>
      <c r="D89" s="20"/>
      <c r="E89" s="20"/>
      <c r="F89" s="20"/>
      <c r="G89" s="20"/>
      <c r="H89" s="19" t="s">
        <v>12</v>
      </c>
    </row>
    <row r="90" spans="1:17" x14ac:dyDescent="0.2">
      <c r="A90" s="20"/>
      <c r="B90" s="20"/>
      <c r="C90" s="21" t="s">
        <v>109</v>
      </c>
      <c r="D90" s="20"/>
      <c r="E90" s="20"/>
      <c r="F90" s="20"/>
      <c r="G90" s="20"/>
      <c r="H90" s="19" t="s">
        <v>12</v>
      </c>
    </row>
    <row r="91" spans="1:17" x14ac:dyDescent="0.2">
      <c r="A91" s="20"/>
      <c r="B91" s="20"/>
      <c r="C91" s="21" t="s">
        <v>110</v>
      </c>
      <c r="D91" s="20"/>
      <c r="E91" s="20"/>
      <c r="F91" s="20"/>
      <c r="G91" s="20"/>
      <c r="H91" s="19" t="s">
        <v>12</v>
      </c>
    </row>
    <row r="92" spans="1:17" x14ac:dyDescent="0.2">
      <c r="A92" s="20"/>
      <c r="B92" s="20"/>
      <c r="C92" s="21" t="s">
        <v>11</v>
      </c>
      <c r="D92" s="20"/>
      <c r="E92" s="20" t="s">
        <v>12</v>
      </c>
      <c r="F92" s="22" t="s">
        <v>13</v>
      </c>
      <c r="G92" s="23">
        <v>0</v>
      </c>
      <c r="H92" s="19" t="s">
        <v>12</v>
      </c>
    </row>
    <row r="93" spans="1:17" x14ac:dyDescent="0.2">
      <c r="A93" s="17"/>
      <c r="B93" s="17"/>
      <c r="C93" s="75"/>
      <c r="D93" s="17"/>
      <c r="E93" s="17"/>
      <c r="F93" s="42"/>
      <c r="G93" s="42"/>
      <c r="H93" s="19" t="s">
        <v>12</v>
      </c>
    </row>
    <row r="94" spans="1:17" x14ac:dyDescent="0.2">
      <c r="A94" s="17"/>
      <c r="B94" s="17"/>
      <c r="C94" s="18" t="s">
        <v>608</v>
      </c>
      <c r="D94" s="17"/>
      <c r="E94" s="17"/>
      <c r="F94" s="42"/>
      <c r="G94" s="42"/>
      <c r="H94" s="19" t="s">
        <v>12</v>
      </c>
      <c r="K94" s="55"/>
      <c r="L94" s="55"/>
      <c r="M94" s="55"/>
      <c r="N94" s="55"/>
      <c r="O94" s="76"/>
      <c r="P94" s="76"/>
      <c r="Q94" s="76"/>
    </row>
    <row r="95" spans="1:17" ht="25.5" x14ac:dyDescent="0.2">
      <c r="A95" s="69">
        <v>1</v>
      </c>
      <c r="B95" s="70" t="s">
        <v>111</v>
      </c>
      <c r="C95" s="70" t="s">
        <v>112</v>
      </c>
      <c r="D95" s="70"/>
      <c r="E95" s="77">
        <v>1043.4449999999999</v>
      </c>
      <c r="F95" s="72">
        <v>117.076466677</v>
      </c>
      <c r="G95" s="73">
        <v>2.92064E-3</v>
      </c>
      <c r="H95" s="19"/>
    </row>
    <row r="96" spans="1:17" x14ac:dyDescent="0.2">
      <c r="A96" s="17"/>
      <c r="B96" s="17"/>
      <c r="C96" s="18" t="s">
        <v>11</v>
      </c>
      <c r="D96" s="17"/>
      <c r="E96" s="17" t="s">
        <v>12</v>
      </c>
      <c r="F96" s="78">
        <f>SUM(F95)</f>
        <v>117.076466677</v>
      </c>
      <c r="G96" s="79">
        <f>SUM(G95)</f>
        <v>2.92064E-3</v>
      </c>
      <c r="H96" s="19" t="s">
        <v>12</v>
      </c>
    </row>
    <row r="97" spans="1:8" x14ac:dyDescent="0.2">
      <c r="A97" s="20"/>
      <c r="B97" s="20"/>
      <c r="C97" s="24"/>
      <c r="D97" s="20"/>
      <c r="E97" s="20"/>
      <c r="F97" s="25"/>
      <c r="G97" s="25"/>
      <c r="H97" s="19" t="s">
        <v>12</v>
      </c>
    </row>
    <row r="98" spans="1:8" x14ac:dyDescent="0.2">
      <c r="A98" s="20"/>
      <c r="B98" s="20"/>
      <c r="C98" s="21" t="s">
        <v>113</v>
      </c>
      <c r="D98" s="20"/>
      <c r="E98" s="20"/>
      <c r="F98" s="20"/>
      <c r="G98" s="20"/>
      <c r="H98" s="19" t="s">
        <v>12</v>
      </c>
    </row>
    <row r="99" spans="1:8" x14ac:dyDescent="0.2">
      <c r="A99" s="20"/>
      <c r="B99" s="20"/>
      <c r="C99" s="21" t="s">
        <v>114</v>
      </c>
      <c r="D99" s="20"/>
      <c r="E99" s="20"/>
      <c r="F99" s="20"/>
      <c r="G99" s="20"/>
      <c r="H99" s="19" t="s">
        <v>12</v>
      </c>
    </row>
    <row r="100" spans="1:8" x14ac:dyDescent="0.2">
      <c r="A100" s="20"/>
      <c r="B100" s="20"/>
      <c r="C100" s="21" t="s">
        <v>11</v>
      </c>
      <c r="D100" s="20"/>
      <c r="E100" s="20" t="s">
        <v>12</v>
      </c>
      <c r="F100" s="22" t="s">
        <v>13</v>
      </c>
      <c r="G100" s="23">
        <v>0</v>
      </c>
      <c r="H100" s="19" t="s">
        <v>12</v>
      </c>
    </row>
    <row r="101" spans="1:8" x14ac:dyDescent="0.2">
      <c r="A101" s="20"/>
      <c r="B101" s="20"/>
      <c r="C101" s="24"/>
      <c r="D101" s="20"/>
      <c r="E101" s="20"/>
      <c r="F101" s="25"/>
      <c r="G101" s="25"/>
      <c r="H101" s="19" t="s">
        <v>12</v>
      </c>
    </row>
    <row r="102" spans="1:8" x14ac:dyDescent="0.2">
      <c r="A102" s="20"/>
      <c r="B102" s="20"/>
      <c r="C102" s="21" t="s">
        <v>115</v>
      </c>
      <c r="D102" s="20"/>
      <c r="E102" s="20"/>
      <c r="F102" s="25"/>
      <c r="G102" s="25"/>
      <c r="H102" s="19" t="s">
        <v>12</v>
      </c>
    </row>
    <row r="103" spans="1:8" x14ac:dyDescent="0.2">
      <c r="A103" s="20"/>
      <c r="B103" s="20"/>
      <c r="C103" s="21" t="s">
        <v>11</v>
      </c>
      <c r="D103" s="20"/>
      <c r="E103" s="20" t="s">
        <v>12</v>
      </c>
      <c r="F103" s="22" t="s">
        <v>13</v>
      </c>
      <c r="G103" s="23">
        <v>0</v>
      </c>
      <c r="H103" s="19" t="s">
        <v>12</v>
      </c>
    </row>
    <row r="104" spans="1:8" x14ac:dyDescent="0.2">
      <c r="A104" s="20"/>
      <c r="B104" s="20"/>
      <c r="C104" s="24"/>
      <c r="D104" s="20"/>
      <c r="E104" s="20"/>
      <c r="F104" s="25"/>
      <c r="G104" s="25"/>
      <c r="H104" s="19" t="s">
        <v>12</v>
      </c>
    </row>
    <row r="105" spans="1:8" x14ac:dyDescent="0.2">
      <c r="A105" s="32"/>
      <c r="B105" s="28"/>
      <c r="C105" s="28" t="s">
        <v>116</v>
      </c>
      <c r="D105" s="28"/>
      <c r="E105" s="32"/>
      <c r="F105" s="30">
        <f>549.91970023-F25-0.00431896300792694</f>
        <v>549.90538126699209</v>
      </c>
      <c r="G105" s="31">
        <v>1.371853E-2</v>
      </c>
      <c r="H105" s="19" t="s">
        <v>12</v>
      </c>
    </row>
    <row r="106" spans="1:8" x14ac:dyDescent="0.2">
      <c r="A106" s="24"/>
      <c r="B106" s="24"/>
      <c r="C106" s="21" t="s">
        <v>117</v>
      </c>
      <c r="D106" s="25"/>
      <c r="E106" s="25"/>
      <c r="F106" s="26">
        <v>40085.896770969994</v>
      </c>
      <c r="G106" s="33">
        <v>1</v>
      </c>
      <c r="H106" s="19" t="s">
        <v>12</v>
      </c>
    </row>
    <row r="107" spans="1:8" x14ac:dyDescent="0.2">
      <c r="A107" s="34"/>
      <c r="B107" s="34"/>
      <c r="C107" s="34"/>
      <c r="D107" s="35"/>
      <c r="E107" s="35"/>
      <c r="F107" s="35"/>
      <c r="G107" s="35"/>
    </row>
    <row r="108" spans="1:8" x14ac:dyDescent="0.2">
      <c r="A108" s="36"/>
      <c r="B108" s="169" t="s">
        <v>609</v>
      </c>
      <c r="C108" s="169"/>
      <c r="D108" s="169"/>
      <c r="E108" s="169"/>
      <c r="F108" s="169"/>
      <c r="G108" s="169"/>
      <c r="H108" s="169"/>
    </row>
    <row r="109" spans="1:8" x14ac:dyDescent="0.2">
      <c r="A109" s="36"/>
      <c r="B109" s="169" t="s">
        <v>610</v>
      </c>
      <c r="C109" s="169"/>
      <c r="D109" s="169"/>
      <c r="E109" s="169"/>
      <c r="F109" s="169"/>
      <c r="G109" s="169"/>
      <c r="H109" s="169"/>
    </row>
    <row r="110" spans="1:8" x14ac:dyDescent="0.2">
      <c r="A110" s="36"/>
      <c r="B110" s="169" t="s">
        <v>611</v>
      </c>
      <c r="C110" s="169"/>
      <c r="D110" s="169"/>
      <c r="E110" s="169"/>
      <c r="F110" s="169"/>
      <c r="G110" s="169"/>
      <c r="H110" s="169"/>
    </row>
    <row r="111" spans="1:8" x14ac:dyDescent="0.2">
      <c r="A111" s="38"/>
      <c r="B111" s="38"/>
      <c r="C111" s="38"/>
      <c r="D111" s="39"/>
      <c r="E111" s="39"/>
      <c r="F111" s="39"/>
      <c r="G111" s="39"/>
    </row>
    <row r="112" spans="1:8" x14ac:dyDescent="0.2">
      <c r="A112" s="36"/>
      <c r="B112" s="170" t="s">
        <v>118</v>
      </c>
      <c r="C112" s="171"/>
      <c r="D112" s="172"/>
      <c r="E112" s="40"/>
      <c r="F112" s="41"/>
      <c r="G112" s="41"/>
    </row>
    <row r="113" spans="1:7" x14ac:dyDescent="0.2">
      <c r="A113" s="36"/>
      <c r="B113" s="161" t="s">
        <v>119</v>
      </c>
      <c r="C113" s="162"/>
      <c r="D113" s="18" t="s">
        <v>636</v>
      </c>
      <c r="E113" s="40"/>
      <c r="F113" s="41"/>
      <c r="G113" s="41"/>
    </row>
    <row r="114" spans="1:7" x14ac:dyDescent="0.2">
      <c r="A114" s="36"/>
      <c r="B114" s="161" t="s">
        <v>121</v>
      </c>
      <c r="C114" s="162"/>
      <c r="D114" s="18" t="s">
        <v>120</v>
      </c>
      <c r="E114" s="40"/>
      <c r="F114" s="41"/>
      <c r="G114" s="41"/>
    </row>
    <row r="115" spans="1:7" x14ac:dyDescent="0.2">
      <c r="A115" s="36"/>
      <c r="B115" s="161" t="s">
        <v>122</v>
      </c>
      <c r="C115" s="162"/>
      <c r="D115" s="42" t="s">
        <v>12</v>
      </c>
      <c r="E115" s="40"/>
      <c r="F115" s="41"/>
      <c r="G115" s="41"/>
    </row>
    <row r="116" spans="1:7" x14ac:dyDescent="0.2">
      <c r="A116" s="43"/>
      <c r="B116" s="44" t="s">
        <v>12</v>
      </c>
      <c r="C116" s="44" t="s">
        <v>612</v>
      </c>
      <c r="D116" s="44" t="s">
        <v>123</v>
      </c>
      <c r="E116" s="43"/>
      <c r="F116" s="43"/>
      <c r="G116" s="43"/>
    </row>
    <row r="117" spans="1:7" x14ac:dyDescent="0.2">
      <c r="A117" s="43"/>
      <c r="B117" s="45" t="s">
        <v>124</v>
      </c>
      <c r="C117" s="46">
        <v>45808</v>
      </c>
      <c r="D117" s="46">
        <v>45823</v>
      </c>
      <c r="E117" s="43"/>
      <c r="F117" s="43"/>
      <c r="G117" s="43"/>
    </row>
    <row r="118" spans="1:7" x14ac:dyDescent="0.2">
      <c r="A118" s="47"/>
      <c r="B118" s="28" t="s">
        <v>125</v>
      </c>
      <c r="C118" s="48">
        <v>3695.9277000000002</v>
      </c>
      <c r="D118" s="48">
        <v>3705.9865</v>
      </c>
      <c r="E118" s="47"/>
      <c r="F118" s="49"/>
      <c r="G118" s="50"/>
    </row>
    <row r="119" spans="1:7" ht="25.5" x14ac:dyDescent="0.2">
      <c r="A119" s="47"/>
      <c r="B119" s="28" t="s">
        <v>737</v>
      </c>
      <c r="C119" s="48">
        <v>1106.3530000000001</v>
      </c>
      <c r="D119" s="48">
        <v>1109.3641</v>
      </c>
      <c r="E119" s="47"/>
      <c r="F119" s="49"/>
      <c r="G119" s="50"/>
    </row>
    <row r="120" spans="1:7" ht="25.5" x14ac:dyDescent="0.2">
      <c r="A120" s="47"/>
      <c r="B120" s="28" t="s">
        <v>738</v>
      </c>
      <c r="C120" s="48">
        <v>1270.6167</v>
      </c>
      <c r="D120" s="48">
        <v>1252.2702999999999</v>
      </c>
      <c r="E120" s="47"/>
      <c r="F120" s="49"/>
      <c r="G120" s="50"/>
    </row>
    <row r="121" spans="1:7" x14ac:dyDescent="0.2">
      <c r="A121" s="47"/>
      <c r="B121" s="28" t="s">
        <v>126</v>
      </c>
      <c r="C121" s="48">
        <v>3449.1685000000002</v>
      </c>
      <c r="D121" s="48">
        <v>3457.4897000000001</v>
      </c>
      <c r="E121" s="47"/>
      <c r="F121" s="49"/>
      <c r="G121" s="50"/>
    </row>
    <row r="122" spans="1:7" x14ac:dyDescent="0.2">
      <c r="A122" s="47"/>
      <c r="B122" s="28" t="s">
        <v>171</v>
      </c>
      <c r="C122" s="48">
        <v>1335.7637999999999</v>
      </c>
      <c r="D122" s="48">
        <v>1338.9863</v>
      </c>
      <c r="E122" s="47"/>
      <c r="F122" s="49"/>
      <c r="G122" s="50"/>
    </row>
    <row r="123" spans="1:7" ht="25.5" x14ac:dyDescent="0.2">
      <c r="A123" s="47"/>
      <c r="B123" s="28" t="s">
        <v>741</v>
      </c>
      <c r="C123" s="48">
        <v>1094.1036999999999</v>
      </c>
      <c r="D123" s="48">
        <v>1096.7434000000001</v>
      </c>
      <c r="E123" s="47"/>
      <c r="F123" s="49"/>
      <c r="G123" s="50"/>
    </row>
    <row r="124" spans="1:7" ht="25.5" x14ac:dyDescent="0.2">
      <c r="A124" s="47"/>
      <c r="B124" s="28" t="s">
        <v>713</v>
      </c>
      <c r="C124" s="48">
        <v>1225.8153</v>
      </c>
      <c r="D124" s="48">
        <v>1207.6932999999999</v>
      </c>
      <c r="E124" s="47"/>
      <c r="F124" s="49"/>
      <c r="G124" s="50"/>
    </row>
    <row r="125" spans="1:7" x14ac:dyDescent="0.2">
      <c r="A125" s="47"/>
      <c r="B125" s="47"/>
      <c r="C125" s="47"/>
      <c r="D125" s="47"/>
      <c r="E125" s="47"/>
      <c r="F125" s="47"/>
      <c r="G125" s="47"/>
    </row>
    <row r="126" spans="1:7" x14ac:dyDescent="0.2">
      <c r="A126" s="47"/>
      <c r="B126" s="164" t="s">
        <v>714</v>
      </c>
      <c r="C126" s="165"/>
      <c r="D126" s="21" t="s">
        <v>12</v>
      </c>
      <c r="E126" s="47"/>
      <c r="F126" s="47"/>
      <c r="G126" s="47"/>
    </row>
    <row r="127" spans="1:7" x14ac:dyDescent="0.2">
      <c r="A127" s="47"/>
      <c r="B127" s="80" t="s">
        <v>124</v>
      </c>
      <c r="C127" s="81" t="s">
        <v>127</v>
      </c>
      <c r="D127" s="81" t="s">
        <v>128</v>
      </c>
      <c r="E127" s="47"/>
      <c r="F127" s="47"/>
      <c r="G127" s="47"/>
    </row>
    <row r="128" spans="1:7" ht="25.5" x14ac:dyDescent="0.2">
      <c r="A128" s="47"/>
      <c r="B128" s="28" t="s">
        <v>738</v>
      </c>
      <c r="C128" s="82">
        <v>21.8</v>
      </c>
      <c r="D128" s="82">
        <v>21.8</v>
      </c>
      <c r="E128" s="47"/>
      <c r="F128" s="49"/>
      <c r="G128" s="50"/>
    </row>
    <row r="129" spans="1:17" ht="25.5" x14ac:dyDescent="0.2">
      <c r="A129" s="47"/>
      <c r="B129" s="28" t="s">
        <v>713</v>
      </c>
      <c r="C129" s="82">
        <v>21.077000000000002</v>
      </c>
      <c r="D129" s="82">
        <v>21.077000000000002</v>
      </c>
      <c r="E129" s="47"/>
      <c r="F129" s="49"/>
      <c r="G129" s="50"/>
    </row>
    <row r="130" spans="1:17" x14ac:dyDescent="0.2">
      <c r="A130" s="47"/>
      <c r="B130" s="83"/>
      <c r="C130" s="83"/>
      <c r="D130" s="84"/>
      <c r="E130" s="47"/>
      <c r="F130" s="49"/>
      <c r="G130" s="50"/>
    </row>
    <row r="131" spans="1:17" s="57" customFormat="1" x14ac:dyDescent="0.2">
      <c r="A131" s="98"/>
      <c r="B131" s="161" t="s">
        <v>625</v>
      </c>
      <c r="C131" s="162"/>
      <c r="D131" s="18" t="s">
        <v>120</v>
      </c>
      <c r="G131" s="98"/>
      <c r="I131"/>
      <c r="J131" s="16"/>
      <c r="K131" s="55"/>
      <c r="L131" s="55"/>
      <c r="M131" s="55"/>
      <c r="N131" s="55"/>
      <c r="O131" s="58"/>
    </row>
    <row r="132" spans="1:17" x14ac:dyDescent="0.2">
      <c r="A132" s="43"/>
      <c r="B132" s="161" t="s">
        <v>626</v>
      </c>
      <c r="C132" s="162"/>
      <c r="D132" s="18" t="s">
        <v>120</v>
      </c>
      <c r="E132" s="54"/>
      <c r="F132" s="43"/>
      <c r="G132" s="43"/>
      <c r="J132" s="16"/>
    </row>
    <row r="133" spans="1:17" x14ac:dyDescent="0.2">
      <c r="A133" s="43"/>
      <c r="B133" s="161" t="s">
        <v>627</v>
      </c>
      <c r="C133" s="162"/>
      <c r="D133" s="18" t="s">
        <v>120</v>
      </c>
      <c r="E133" s="54"/>
      <c r="F133" s="43"/>
      <c r="G133" s="43"/>
      <c r="J133" s="16"/>
    </row>
    <row r="134" spans="1:17" x14ac:dyDescent="0.2">
      <c r="A134" s="43"/>
      <c r="B134" s="161" t="s">
        <v>628</v>
      </c>
      <c r="C134" s="162"/>
      <c r="D134" s="18" t="s">
        <v>120</v>
      </c>
      <c r="E134" s="54"/>
      <c r="F134" s="43"/>
      <c r="G134" s="43"/>
      <c r="J134" s="16"/>
    </row>
    <row r="135" spans="1:17" x14ac:dyDescent="0.2">
      <c r="A135" s="43"/>
      <c r="B135" s="37"/>
      <c r="C135" s="37"/>
      <c r="D135" s="158"/>
      <c r="E135" s="43"/>
      <c r="F135" s="43"/>
      <c r="G135" s="43"/>
      <c r="J135" s="16"/>
    </row>
    <row r="136" spans="1:17" s="57" customFormat="1" x14ac:dyDescent="0.2">
      <c r="B136" s="166" t="s">
        <v>614</v>
      </c>
      <c r="C136" s="167"/>
      <c r="D136" s="168"/>
      <c r="I136"/>
      <c r="J136" s="16"/>
      <c r="K136" s="55"/>
      <c r="L136" s="55"/>
      <c r="M136" s="55"/>
      <c r="N136" s="55"/>
      <c r="O136" s="58"/>
    </row>
    <row r="137" spans="1:17" s="57" customFormat="1" ht="25.5" x14ac:dyDescent="0.2">
      <c r="B137" s="163" t="s">
        <v>615</v>
      </c>
      <c r="C137" s="163"/>
      <c r="D137" s="59" t="s">
        <v>260</v>
      </c>
      <c r="I137"/>
      <c r="J137" s="16"/>
      <c r="K137" s="55"/>
      <c r="L137" s="55"/>
      <c r="M137" s="55"/>
      <c r="N137" s="55"/>
      <c r="O137" s="58"/>
    </row>
    <row r="138" spans="1:17" s="57" customFormat="1" x14ac:dyDescent="0.2">
      <c r="B138" s="174" t="s">
        <v>616</v>
      </c>
      <c r="C138" s="174"/>
      <c r="D138" s="60"/>
      <c r="I138"/>
      <c r="J138" s="16"/>
      <c r="K138" s="55"/>
      <c r="L138" s="55"/>
      <c r="M138" s="55"/>
      <c r="N138" s="55"/>
      <c r="O138" s="58"/>
    </row>
    <row r="139" spans="1:17" s="57" customFormat="1" x14ac:dyDescent="0.2">
      <c r="B139" s="174"/>
      <c r="C139" s="174"/>
      <c r="D139" s="61"/>
      <c r="I139"/>
      <c r="J139" s="16"/>
      <c r="K139" s="55"/>
      <c r="L139" s="55"/>
      <c r="M139" s="55"/>
      <c r="N139" s="55"/>
      <c r="O139" s="58"/>
    </row>
    <row r="140" spans="1:17" s="57" customFormat="1" x14ac:dyDescent="0.2">
      <c r="B140" s="174" t="s">
        <v>617</v>
      </c>
      <c r="C140" s="174"/>
      <c r="D140" s="62">
        <v>6.5099698586972936</v>
      </c>
      <c r="I140"/>
      <c r="J140" s="16"/>
      <c r="K140" s="55"/>
      <c r="L140" s="55"/>
      <c r="M140" s="55"/>
      <c r="N140" s="55"/>
      <c r="O140" s="58"/>
    </row>
    <row r="141" spans="1:17" s="57" customFormat="1" x14ac:dyDescent="0.2">
      <c r="B141" s="174"/>
      <c r="C141" s="174"/>
      <c r="D141" s="61"/>
      <c r="I141"/>
      <c r="J141" s="16"/>
      <c r="K141" s="55"/>
      <c r="L141" s="55"/>
      <c r="M141" s="55"/>
      <c r="N141" s="55"/>
      <c r="O141" s="58"/>
      <c r="P141"/>
      <c r="Q141"/>
    </row>
    <row r="142" spans="1:17" s="57" customFormat="1" x14ac:dyDescent="0.2">
      <c r="B142" s="174" t="s">
        <v>618</v>
      </c>
      <c r="C142" s="174"/>
      <c r="D142" s="62">
        <v>0.89769488823092414</v>
      </c>
      <c r="I142"/>
      <c r="J142" s="16"/>
      <c r="K142" s="55"/>
      <c r="L142" s="55"/>
      <c r="M142" s="55"/>
      <c r="N142" s="55"/>
      <c r="O142" s="58"/>
      <c r="P142"/>
      <c r="Q142"/>
    </row>
    <row r="143" spans="1:17" s="57" customFormat="1" x14ac:dyDescent="0.2">
      <c r="B143" s="174" t="s">
        <v>637</v>
      </c>
      <c r="C143" s="174"/>
      <c r="D143" s="62">
        <v>0.95082721215866628</v>
      </c>
      <c r="I143"/>
      <c r="J143" s="16"/>
      <c r="K143" s="55"/>
      <c r="L143" s="55"/>
      <c r="M143" s="55"/>
      <c r="N143" s="55"/>
      <c r="O143"/>
      <c r="P143"/>
      <c r="Q143"/>
    </row>
    <row r="144" spans="1:17" s="57" customFormat="1" x14ac:dyDescent="0.2">
      <c r="B144" s="174"/>
      <c r="C144" s="174"/>
      <c r="D144" s="61"/>
      <c r="I144"/>
      <c r="J144" s="16"/>
      <c r="K144" s="55"/>
      <c r="L144" s="55"/>
      <c r="M144" s="55"/>
      <c r="N144" s="55"/>
      <c r="O144"/>
      <c r="P144"/>
      <c r="Q144"/>
    </row>
    <row r="145" spans="1:20" s="57" customFormat="1" x14ac:dyDescent="0.2">
      <c r="B145" s="174" t="s">
        <v>620</v>
      </c>
      <c r="C145" s="174"/>
      <c r="D145" s="64" t="s">
        <v>744</v>
      </c>
      <c r="I145"/>
      <c r="J145" s="16"/>
      <c r="K145" s="55"/>
      <c r="L145" s="55"/>
      <c r="M145" s="55"/>
      <c r="N145" s="55"/>
      <c r="O145" s="58"/>
    </row>
    <row r="146" spans="1:20" s="57" customFormat="1" x14ac:dyDescent="0.2">
      <c r="B146" s="175" t="s">
        <v>621</v>
      </c>
      <c r="C146" s="177"/>
      <c r="D146" s="176"/>
      <c r="I146"/>
      <c r="J146" s="16"/>
      <c r="K146" s="55"/>
      <c r="L146" s="55"/>
      <c r="M146" s="55"/>
      <c r="N146" s="55"/>
      <c r="O146"/>
      <c r="P146"/>
      <c r="Q146"/>
      <c r="R146"/>
      <c r="S146"/>
      <c r="T146"/>
    </row>
    <row r="147" spans="1:20" x14ac:dyDescent="0.2">
      <c r="A147" s="56"/>
      <c r="B147" s="56"/>
      <c r="C147" s="56"/>
      <c r="D147" s="56"/>
      <c r="E147" s="56"/>
      <c r="F147" s="56"/>
      <c r="G147" s="56"/>
      <c r="J147" s="16"/>
    </row>
    <row r="148" spans="1:20" s="57" customFormat="1" x14ac:dyDescent="0.2">
      <c r="B148" s="139" t="s">
        <v>745</v>
      </c>
      <c r="C148" s="139"/>
      <c r="D148" s="139"/>
      <c r="E148" s="139"/>
      <c r="F148" s="139"/>
      <c r="G148" s="139"/>
      <c r="H148" s="139"/>
      <c r="I148"/>
      <c r="J148" s="16"/>
      <c r="K148" s="55"/>
      <c r="L148" s="55"/>
      <c r="M148" s="55"/>
      <c r="N148" s="55"/>
      <c r="O148" s="58"/>
    </row>
    <row r="149" spans="1:20" s="57" customFormat="1" ht="6.75" customHeight="1" x14ac:dyDescent="0.2">
      <c r="B149" s="139"/>
      <c r="C149" s="139"/>
      <c r="D149" s="139"/>
      <c r="E149" s="139"/>
      <c r="F149" s="139"/>
      <c r="G149" s="139"/>
      <c r="H149" s="139"/>
      <c r="I149"/>
      <c r="J149" s="16"/>
      <c r="K149" s="55"/>
      <c r="L149" s="55"/>
      <c r="M149" s="55"/>
      <c r="N149" s="55"/>
      <c r="O149" s="58"/>
    </row>
    <row r="150" spans="1:20" ht="13.5" x14ac:dyDescent="0.25">
      <c r="B150" s="92" t="s">
        <v>638</v>
      </c>
      <c r="C150" s="92" t="s">
        <v>639</v>
      </c>
      <c r="D150" s="183" t="s">
        <v>640</v>
      </c>
      <c r="E150" s="183"/>
      <c r="F150" s="183"/>
      <c r="G150" s="184" t="s">
        <v>641</v>
      </c>
      <c r="H150" s="184"/>
      <c r="J150" s="16"/>
      <c r="K150" s="55"/>
      <c r="L150" s="55"/>
      <c r="M150" s="55"/>
      <c r="N150" s="55"/>
      <c r="P150" s="55"/>
    </row>
    <row r="151" spans="1:20" ht="27" x14ac:dyDescent="0.25">
      <c r="B151" s="91" t="s">
        <v>642</v>
      </c>
      <c r="C151" s="90" t="s">
        <v>643</v>
      </c>
      <c r="D151" s="185">
        <v>0</v>
      </c>
      <c r="E151" s="185"/>
      <c r="F151" s="185"/>
      <c r="G151" s="185">
        <v>0</v>
      </c>
      <c r="H151" s="185"/>
      <c r="J151" s="16"/>
      <c r="K151" s="55"/>
      <c r="L151" s="55"/>
      <c r="M151" s="55"/>
      <c r="N151" s="55"/>
      <c r="P151" s="55"/>
    </row>
    <row r="152" spans="1:20" ht="27" x14ac:dyDescent="0.25">
      <c r="B152" s="91" t="s">
        <v>644</v>
      </c>
      <c r="C152" s="90" t="s">
        <v>645</v>
      </c>
      <c r="D152" s="185">
        <v>0</v>
      </c>
      <c r="E152" s="185"/>
      <c r="F152" s="185"/>
      <c r="G152" s="185">
        <v>0</v>
      </c>
      <c r="H152" s="185"/>
      <c r="J152" s="16"/>
      <c r="K152" s="55"/>
      <c r="L152" s="55"/>
      <c r="M152" s="55"/>
      <c r="N152" s="55"/>
      <c r="P152" s="55"/>
    </row>
    <row r="153" spans="1:20" ht="27" x14ac:dyDescent="0.25">
      <c r="B153" s="91" t="s">
        <v>646</v>
      </c>
      <c r="C153" s="90" t="s">
        <v>647</v>
      </c>
      <c r="D153" s="185">
        <v>0</v>
      </c>
      <c r="E153" s="185"/>
      <c r="F153" s="185"/>
      <c r="G153" s="185">
        <v>0</v>
      </c>
      <c r="H153" s="185"/>
      <c r="J153" s="16"/>
      <c r="K153" s="55"/>
      <c r="L153" s="55"/>
      <c r="M153" s="55"/>
      <c r="N153" s="55"/>
      <c r="P153" s="55"/>
    </row>
    <row r="154" spans="1:20" ht="13.5" x14ac:dyDescent="0.25">
      <c r="B154" s="91"/>
      <c r="C154" s="91"/>
      <c r="D154" s="186"/>
      <c r="E154" s="186"/>
      <c r="F154" s="186"/>
      <c r="G154" s="186"/>
      <c r="H154" s="186"/>
      <c r="J154" s="16"/>
      <c r="K154" s="55"/>
      <c r="L154" s="55"/>
      <c r="M154" s="55"/>
      <c r="N154" s="55"/>
      <c r="P154" s="55"/>
    </row>
    <row r="155" spans="1:20" ht="13.5" x14ac:dyDescent="0.25">
      <c r="B155" s="184" t="s">
        <v>648</v>
      </c>
      <c r="C155" s="184"/>
      <c r="D155" s="184"/>
      <c r="E155" s="184"/>
      <c r="F155" s="184"/>
      <c r="G155" s="184"/>
      <c r="H155" s="184"/>
      <c r="J155" s="16"/>
      <c r="K155" s="55"/>
      <c r="L155" s="55"/>
      <c r="M155" s="55"/>
      <c r="N155" s="55"/>
      <c r="P155" s="55"/>
    </row>
    <row r="156" spans="1:20" ht="13.5" customHeight="1" x14ac:dyDescent="0.2">
      <c r="B156" s="201" t="s">
        <v>638</v>
      </c>
      <c r="C156" s="201" t="s">
        <v>639</v>
      </c>
      <c r="D156" s="201" t="s">
        <v>649</v>
      </c>
      <c r="E156" s="201"/>
      <c r="F156" s="201"/>
      <c r="G156" s="201"/>
      <c r="H156" s="202" t="s">
        <v>650</v>
      </c>
      <c r="I156" s="202" t="s">
        <v>651</v>
      </c>
      <c r="J156" s="188" t="s">
        <v>652</v>
      </c>
      <c r="K156" s="55"/>
      <c r="L156" s="55"/>
      <c r="M156" s="55"/>
      <c r="N156" s="55"/>
      <c r="O156" s="55"/>
      <c r="P156" s="55"/>
    </row>
    <row r="157" spans="1:20" ht="94.5" customHeight="1" x14ac:dyDescent="0.2">
      <c r="B157" s="201"/>
      <c r="C157" s="201"/>
      <c r="D157" s="87" t="s">
        <v>653</v>
      </c>
      <c r="E157" s="87" t="s">
        <v>654</v>
      </c>
      <c r="F157" s="87" t="s">
        <v>655</v>
      </c>
      <c r="G157" s="87" t="s">
        <v>656</v>
      </c>
      <c r="H157" s="202"/>
      <c r="I157" s="202"/>
      <c r="J157" s="189"/>
      <c r="K157" s="55"/>
      <c r="L157" s="55"/>
      <c r="M157" s="55"/>
      <c r="N157" s="55"/>
      <c r="O157" s="55"/>
      <c r="P157" s="55"/>
    </row>
    <row r="158" spans="1:20" ht="27" x14ac:dyDescent="0.25">
      <c r="B158" s="91" t="s">
        <v>642</v>
      </c>
      <c r="C158" s="90" t="s">
        <v>643</v>
      </c>
      <c r="D158" s="93">
        <v>1500</v>
      </c>
      <c r="E158" s="93">
        <v>99.850684900000005</v>
      </c>
      <c r="F158" s="154">
        <v>36.275342200000004</v>
      </c>
      <c r="G158" s="155">
        <v>1636.1260271000001</v>
      </c>
      <c r="H158" s="8">
        <v>726.67232000000001</v>
      </c>
      <c r="I158" s="8">
        <f>1250521/10^5</f>
        <v>12.50521</v>
      </c>
      <c r="J158" s="8">
        <f>H158+I158</f>
        <v>739.17753000000005</v>
      </c>
      <c r="K158" s="55"/>
      <c r="L158" s="55"/>
      <c r="M158" s="55"/>
      <c r="N158" s="55"/>
      <c r="O158" s="55"/>
      <c r="P158" s="55"/>
    </row>
    <row r="159" spans="1:20" ht="27" x14ac:dyDescent="0.25">
      <c r="B159" s="91" t="s">
        <v>644</v>
      </c>
      <c r="C159" s="90" t="s">
        <v>645</v>
      </c>
      <c r="D159" s="93">
        <v>2517.2199999999998</v>
      </c>
      <c r="E159" s="93">
        <v>183.25361600000002</v>
      </c>
      <c r="F159" s="154">
        <v>45.813405699999997</v>
      </c>
      <c r="G159" s="155">
        <v>2746.2870217</v>
      </c>
      <c r="H159" s="8">
        <v>1225.53333</v>
      </c>
      <c r="I159" s="8">
        <f>2109013/10^5</f>
        <v>21.090129999999998</v>
      </c>
      <c r="J159" s="8">
        <f>H159+I159</f>
        <v>1246.62346</v>
      </c>
      <c r="K159" s="55"/>
      <c r="L159" s="55"/>
      <c r="M159" s="55"/>
      <c r="N159" s="55"/>
      <c r="O159" s="55"/>
      <c r="P159" s="55"/>
    </row>
    <row r="160" spans="1:20" ht="27" x14ac:dyDescent="0.25">
      <c r="B160" s="91" t="s">
        <v>646</v>
      </c>
      <c r="C160" s="90" t="s">
        <v>647</v>
      </c>
      <c r="D160" s="93">
        <v>4882.25</v>
      </c>
      <c r="E160" s="93">
        <v>323.21163799999999</v>
      </c>
      <c r="F160" s="154">
        <v>117.42144879999999</v>
      </c>
      <c r="G160" s="155">
        <v>5322.8830868000005</v>
      </c>
      <c r="H160" s="8">
        <v>2364.0489899999998</v>
      </c>
      <c r="I160" s="8">
        <f>4068280/10^5</f>
        <v>40.6828</v>
      </c>
      <c r="J160" s="8">
        <f>H160+I160</f>
        <v>2404.7317899999998</v>
      </c>
      <c r="K160" s="55"/>
      <c r="L160" s="55"/>
      <c r="M160" s="55"/>
      <c r="N160" s="55"/>
      <c r="O160" s="55"/>
      <c r="P160" s="55"/>
    </row>
    <row r="161" spans="2:16" ht="13.5" x14ac:dyDescent="0.25">
      <c r="B161" s="145"/>
      <c r="C161" s="146"/>
      <c r="D161" s="156"/>
      <c r="E161" s="156"/>
      <c r="F161" s="11"/>
      <c r="G161" s="148"/>
      <c r="H161" s="9"/>
      <c r="I161" s="9"/>
      <c r="J161" s="9"/>
      <c r="K161" s="55"/>
      <c r="L161" s="55"/>
      <c r="M161" s="55"/>
      <c r="N161" s="55"/>
      <c r="O161" s="55"/>
      <c r="P161" s="55"/>
    </row>
    <row r="162" spans="2:16" ht="13.5" customHeight="1" x14ac:dyDescent="0.2">
      <c r="B162" s="190" t="s">
        <v>638</v>
      </c>
      <c r="C162" s="190" t="s">
        <v>639</v>
      </c>
      <c r="D162" s="193" t="s">
        <v>649</v>
      </c>
      <c r="E162" s="194"/>
      <c r="F162" s="195"/>
      <c r="G162" s="196" t="s">
        <v>657</v>
      </c>
      <c r="H162" s="197"/>
      <c r="I162" s="198"/>
      <c r="J162" s="55"/>
      <c r="K162" s="55"/>
      <c r="L162" s="55"/>
      <c r="M162" s="55"/>
      <c r="N162" s="55"/>
      <c r="O162" s="55"/>
    </row>
    <row r="163" spans="2:16" ht="46.5" customHeight="1" x14ac:dyDescent="0.2">
      <c r="B163" s="191"/>
      <c r="C163" s="191"/>
      <c r="D163" s="188" t="s">
        <v>658</v>
      </c>
      <c r="E163" s="188" t="s">
        <v>659</v>
      </c>
      <c r="F163" s="188" t="s">
        <v>660</v>
      </c>
      <c r="G163" s="199" t="s">
        <v>661</v>
      </c>
      <c r="H163" s="200"/>
      <c r="I163" s="188" t="s">
        <v>662</v>
      </c>
      <c r="J163" s="55"/>
      <c r="K163" s="55"/>
      <c r="L163" s="55"/>
      <c r="M163" s="55"/>
      <c r="N163" s="55"/>
      <c r="O163" s="55"/>
    </row>
    <row r="164" spans="2:16" ht="21" customHeight="1" x14ac:dyDescent="0.2">
      <c r="B164" s="192"/>
      <c r="C164" s="192"/>
      <c r="D164" s="189"/>
      <c r="E164" s="189"/>
      <c r="F164" s="189"/>
      <c r="G164" s="87" t="s">
        <v>663</v>
      </c>
      <c r="H164" s="87" t="s">
        <v>664</v>
      </c>
      <c r="I164" s="189"/>
      <c r="J164" s="55"/>
      <c r="K164" s="55"/>
      <c r="L164" s="55"/>
      <c r="M164" s="55"/>
      <c r="N164" s="55"/>
      <c r="O164" s="55"/>
    </row>
    <row r="165" spans="2:16" ht="13.5" x14ac:dyDescent="0.25">
      <c r="B165" s="91" t="s">
        <v>665</v>
      </c>
      <c r="C165" s="90" t="s">
        <v>666</v>
      </c>
      <c r="D165" s="157">
        <v>293.30880000000002</v>
      </c>
      <c r="E165" s="10">
        <v>6.6912000000000003</v>
      </c>
      <c r="F165" s="155">
        <f>D165+E165</f>
        <v>300</v>
      </c>
      <c r="G165" s="8">
        <v>12.699082800000001</v>
      </c>
      <c r="H165" s="8">
        <v>8</v>
      </c>
      <c r="I165" s="8">
        <f>G165+H165</f>
        <v>20.699082799999999</v>
      </c>
      <c r="J165" s="55"/>
      <c r="K165" s="55"/>
      <c r="L165" s="55"/>
      <c r="M165" s="55"/>
      <c r="N165" s="55"/>
      <c r="O165" s="55"/>
    </row>
    <row r="166" spans="2:16" ht="6.75" customHeight="1" x14ac:dyDescent="0.25">
      <c r="B166" s="145"/>
      <c r="C166" s="146"/>
      <c r="D166" s="147"/>
      <c r="E166" s="11"/>
      <c r="F166" s="148"/>
      <c r="G166" s="9"/>
      <c r="H166" s="9"/>
      <c r="I166" s="9"/>
      <c r="J166" s="55"/>
      <c r="K166" s="55"/>
      <c r="L166" s="55"/>
      <c r="M166" s="55"/>
      <c r="N166" s="55"/>
      <c r="O166" s="55"/>
    </row>
    <row r="167" spans="2:16" ht="45" customHeight="1" x14ac:dyDescent="0.2">
      <c r="B167" s="187" t="s">
        <v>667</v>
      </c>
      <c r="C167" s="187"/>
      <c r="D167" s="187"/>
      <c r="E167" s="187"/>
      <c r="F167" s="187"/>
      <c r="G167" s="187"/>
      <c r="H167" s="187"/>
      <c r="I167" s="187"/>
      <c r="J167" s="149"/>
      <c r="K167" s="55"/>
      <c r="L167" s="55"/>
      <c r="M167" s="55"/>
      <c r="N167" s="55"/>
      <c r="O167" s="55"/>
    </row>
    <row r="168" spans="2:16" ht="13.5" x14ac:dyDescent="0.25">
      <c r="B168" s="96" t="s">
        <v>668</v>
      </c>
      <c r="I168" s="55"/>
      <c r="J168" s="16"/>
      <c r="K168" s="55"/>
      <c r="L168" s="55"/>
      <c r="M168" s="55"/>
      <c r="N168" s="55"/>
      <c r="O168" s="55"/>
      <c r="P168" s="55"/>
    </row>
    <row r="169" spans="2:16" x14ac:dyDescent="0.2">
      <c r="B169" s="55"/>
      <c r="C169" s="55"/>
      <c r="D169" s="55"/>
      <c r="E169" s="55"/>
      <c r="F169" s="55"/>
      <c r="G169" s="55"/>
      <c r="H169" s="55"/>
      <c r="I169" s="55"/>
      <c r="J169" s="16"/>
      <c r="K169" s="55"/>
      <c r="L169" s="55"/>
      <c r="M169" s="55"/>
      <c r="N169" s="55"/>
      <c r="O169" s="55"/>
      <c r="P169" s="55"/>
    </row>
    <row r="170" spans="2:16" x14ac:dyDescent="0.2">
      <c r="B170" s="97" t="s">
        <v>669</v>
      </c>
      <c r="C170" s="55"/>
      <c r="D170" s="55"/>
      <c r="E170" s="55"/>
      <c r="F170" s="55"/>
      <c r="G170" s="55"/>
      <c r="H170" s="55"/>
      <c r="I170" s="55"/>
      <c r="J170" s="16"/>
      <c r="K170" s="55"/>
      <c r="L170" s="55"/>
      <c r="M170" s="55"/>
      <c r="N170" s="55"/>
      <c r="O170" s="55"/>
      <c r="P170" s="55"/>
    </row>
    <row r="171" spans="2:16" x14ac:dyDescent="0.2">
      <c r="B171" s="55"/>
      <c r="C171" s="55"/>
      <c r="D171" s="55"/>
      <c r="E171" s="55"/>
      <c r="F171" s="55"/>
      <c r="G171" s="55"/>
      <c r="H171" s="55"/>
      <c r="I171" s="55"/>
      <c r="J171" s="16"/>
      <c r="K171" s="55"/>
      <c r="L171" s="55"/>
      <c r="M171" s="55"/>
      <c r="N171" s="55"/>
      <c r="O171" s="55"/>
      <c r="P171" s="55"/>
    </row>
    <row r="172" spans="2:16" x14ac:dyDescent="0.2">
      <c r="B172" s="97" t="s">
        <v>670</v>
      </c>
      <c r="C172" s="55"/>
      <c r="D172" s="55"/>
      <c r="E172" s="55"/>
      <c r="F172" s="55"/>
      <c r="G172" s="55"/>
      <c r="H172" s="55"/>
      <c r="I172" s="55"/>
      <c r="J172" s="16"/>
      <c r="K172" s="55"/>
      <c r="L172" s="55"/>
      <c r="M172" s="55"/>
      <c r="N172" s="55"/>
      <c r="O172" s="55"/>
      <c r="P172" s="55"/>
    </row>
    <row r="173" spans="2:16" x14ac:dyDescent="0.2">
      <c r="J173" s="16"/>
    </row>
    <row r="174" spans="2:16" x14ac:dyDescent="0.2">
      <c r="B174" s="97" t="s">
        <v>671</v>
      </c>
      <c r="J174" s="16"/>
      <c r="K174" s="55"/>
      <c r="L174" s="55"/>
      <c r="M174" s="55"/>
      <c r="N174" s="55"/>
      <c r="O174" s="55"/>
    </row>
    <row r="175" spans="2:16" x14ac:dyDescent="0.2">
      <c r="B175" s="97"/>
      <c r="J175" s="16"/>
      <c r="K175" s="55"/>
      <c r="L175" s="55"/>
      <c r="M175" s="55"/>
      <c r="N175" s="55"/>
      <c r="O175" s="55"/>
    </row>
    <row r="176" spans="2:16" x14ac:dyDescent="0.2">
      <c r="B176" s="97" t="s">
        <v>672</v>
      </c>
      <c r="J176" s="16"/>
      <c r="K176" s="55"/>
      <c r="L176" s="55"/>
      <c r="M176" s="55"/>
      <c r="N176" s="55"/>
      <c r="O176" s="55"/>
    </row>
    <row r="177" spans="2:10" x14ac:dyDescent="0.2">
      <c r="J177" s="16"/>
    </row>
    <row r="178" spans="2:10" ht="25.5" x14ac:dyDescent="0.2">
      <c r="B178" s="66" t="s">
        <v>622</v>
      </c>
    </row>
    <row r="180" spans="2:10" ht="153.75" customHeight="1" x14ac:dyDescent="0.2"/>
    <row r="183" spans="2:10" x14ac:dyDescent="0.2">
      <c r="B183" s="67" t="s">
        <v>623</v>
      </c>
      <c r="C183" s="68"/>
      <c r="D183" s="67"/>
    </row>
    <row r="184" spans="2:10" x14ac:dyDescent="0.2">
      <c r="B184" s="67" t="s">
        <v>673</v>
      </c>
      <c r="D184" s="67"/>
    </row>
    <row r="185" spans="2:10" ht="180" customHeight="1" x14ac:dyDescent="0.2"/>
    <row r="193" customFormat="1" x14ac:dyDescent="0.2"/>
    <row r="194" customFormat="1" x14ac:dyDescent="0.2"/>
    <row r="195" customFormat="1" x14ac:dyDescent="0.2"/>
    <row r="196" customFormat="1" x14ac:dyDescent="0.2"/>
  </sheetData>
  <mergeCells count="53">
    <mergeCell ref="B167:I167"/>
    <mergeCell ref="J156:J157"/>
    <mergeCell ref="B162:B164"/>
    <mergeCell ref="C162:C164"/>
    <mergeCell ref="D162:F162"/>
    <mergeCell ref="G162:I162"/>
    <mergeCell ref="D163:D164"/>
    <mergeCell ref="E163:E164"/>
    <mergeCell ref="F163:F164"/>
    <mergeCell ref="G163:H163"/>
    <mergeCell ref="I163:I164"/>
    <mergeCell ref="B156:B157"/>
    <mergeCell ref="C156:C157"/>
    <mergeCell ref="D156:G156"/>
    <mergeCell ref="H156:H157"/>
    <mergeCell ref="I156:I157"/>
    <mergeCell ref="D153:F153"/>
    <mergeCell ref="G153:H153"/>
    <mergeCell ref="D154:F154"/>
    <mergeCell ref="G154:H154"/>
    <mergeCell ref="B155:H155"/>
    <mergeCell ref="D150:F150"/>
    <mergeCell ref="G150:H150"/>
    <mergeCell ref="D151:F151"/>
    <mergeCell ref="G151:H151"/>
    <mergeCell ref="D152:F152"/>
    <mergeCell ref="G152:H152"/>
    <mergeCell ref="B142:C142"/>
    <mergeCell ref="B143:C143"/>
    <mergeCell ref="B144:C144"/>
    <mergeCell ref="B145:C145"/>
    <mergeCell ref="B146:D146"/>
    <mergeCell ref="B137:C137"/>
    <mergeCell ref="B138:C138"/>
    <mergeCell ref="B139:C139"/>
    <mergeCell ref="B140:C140"/>
    <mergeCell ref="B141:C141"/>
    <mergeCell ref="A1:H1"/>
    <mergeCell ref="A2:H2"/>
    <mergeCell ref="A3:H3"/>
    <mergeCell ref="B108:H108"/>
    <mergeCell ref="B109:H109"/>
    <mergeCell ref="B110:H110"/>
    <mergeCell ref="B112:D112"/>
    <mergeCell ref="B113:C113"/>
    <mergeCell ref="B114:C114"/>
    <mergeCell ref="B115:C115"/>
    <mergeCell ref="B136:D136"/>
    <mergeCell ref="B133:C133"/>
    <mergeCell ref="B134:C134"/>
    <mergeCell ref="B126:C126"/>
    <mergeCell ref="B132:C132"/>
    <mergeCell ref="B131:C131"/>
  </mergeCells>
  <hyperlinks>
    <hyperlink ref="I1" location="Index!B2" display="Index" xr:uid="{02079D4F-6FC4-4EA4-A8D0-6702E83F84E3}"/>
    <hyperlink ref="B170" r:id="rId1" xr:uid="{84C72B7F-9DE0-4DB5-81B5-0D9A7217A045}"/>
    <hyperlink ref="B172" r:id="rId2" xr:uid="{8538850D-D09D-4BF2-BF1A-E0524D985BCF}"/>
    <hyperlink ref="B174" r:id="rId3" xr:uid="{FD1A1FC9-127F-4B37-8152-ADB97DDDFE2A}"/>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6AEF2-081E-4812-8A57-9CF525468880}">
  <sheetPr>
    <outlinePr summaryBelow="0" summaryRight="0"/>
  </sheetPr>
  <dimension ref="A1:R216"/>
  <sheetViews>
    <sheetView showGridLines="0" workbookViewId="0">
      <selection activeCell="A2" sqref="A2:H2"/>
    </sheetView>
  </sheetViews>
  <sheetFormatPr defaultRowHeight="12.75" x14ac:dyDescent="0.2"/>
  <cols>
    <col min="1" max="1" width="5.85546875" bestFit="1" customWidth="1"/>
    <col min="2" max="2" width="20.28515625" bestFit="1" customWidth="1"/>
    <col min="3" max="3" width="40.85546875" customWidth="1"/>
    <col min="4" max="4" width="16.28515625" customWidth="1"/>
    <col min="5" max="5" width="10.42578125" bestFit="1" customWidth="1"/>
    <col min="6" max="6" width="10.140625" bestFit="1" customWidth="1"/>
    <col min="7" max="7" width="14" bestFit="1" customWidth="1"/>
    <col min="8" max="8" width="11" customWidth="1"/>
  </cols>
  <sheetData>
    <row r="1" spans="1:10" ht="15" x14ac:dyDescent="0.2">
      <c r="A1" s="173" t="s">
        <v>0</v>
      </c>
      <c r="B1" s="173"/>
      <c r="C1" s="173"/>
      <c r="D1" s="173"/>
      <c r="E1" s="173"/>
      <c r="F1" s="173"/>
      <c r="G1" s="173"/>
      <c r="H1" s="173"/>
      <c r="I1" s="1" t="s">
        <v>594</v>
      </c>
    </row>
    <row r="2" spans="1:10" ht="15" x14ac:dyDescent="0.2">
      <c r="A2" s="173" t="s">
        <v>306</v>
      </c>
      <c r="B2" s="173"/>
      <c r="C2" s="173"/>
      <c r="D2" s="173"/>
      <c r="E2" s="173"/>
      <c r="F2" s="173"/>
      <c r="G2" s="173"/>
      <c r="H2" s="173"/>
    </row>
    <row r="3" spans="1:10" ht="15" x14ac:dyDescent="0.2">
      <c r="A3" s="173" t="s">
        <v>750</v>
      </c>
      <c r="B3" s="173"/>
      <c r="C3" s="173"/>
      <c r="D3" s="173"/>
      <c r="E3" s="173"/>
      <c r="F3" s="173"/>
      <c r="G3" s="173"/>
      <c r="H3" s="173"/>
    </row>
    <row r="4" spans="1:10" s="16" customFormat="1" ht="30" x14ac:dyDescent="0.2">
      <c r="A4" s="14" t="s">
        <v>2</v>
      </c>
      <c r="B4" s="14" t="s">
        <v>3</v>
      </c>
      <c r="C4" s="14" t="s">
        <v>4</v>
      </c>
      <c r="D4" s="14" t="s">
        <v>5</v>
      </c>
      <c r="E4" s="14" t="s">
        <v>6</v>
      </c>
      <c r="F4" s="14" t="s">
        <v>7</v>
      </c>
      <c r="G4" s="14" t="s">
        <v>8</v>
      </c>
      <c r="H4" s="15" t="s">
        <v>749</v>
      </c>
    </row>
    <row r="5" spans="1:10" x14ac:dyDescent="0.2">
      <c r="A5" s="17"/>
      <c r="B5" s="17"/>
      <c r="C5" s="18" t="s">
        <v>9</v>
      </c>
      <c r="D5" s="17"/>
      <c r="E5" s="17"/>
      <c r="F5" s="17"/>
      <c r="G5" s="17"/>
      <c r="H5" s="19" t="s">
        <v>12</v>
      </c>
    </row>
    <row r="6" spans="1:10" x14ac:dyDescent="0.2">
      <c r="A6" s="20"/>
      <c r="B6" s="20"/>
      <c r="C6" s="21" t="s">
        <v>10</v>
      </c>
      <c r="D6" s="20"/>
      <c r="E6" s="20"/>
      <c r="F6" s="20"/>
      <c r="G6" s="20"/>
      <c r="H6" s="19" t="s">
        <v>12</v>
      </c>
    </row>
    <row r="7" spans="1:10" x14ac:dyDescent="0.2">
      <c r="A7" s="27">
        <v>1</v>
      </c>
      <c r="B7" s="70" t="s">
        <v>632</v>
      </c>
      <c r="C7" s="70" t="s">
        <v>633</v>
      </c>
      <c r="D7" s="70" t="s">
        <v>634</v>
      </c>
      <c r="E7" s="71">
        <v>150667</v>
      </c>
      <c r="F7" s="72">
        <v>0.15</v>
      </c>
      <c r="G7" s="115" t="s">
        <v>635</v>
      </c>
      <c r="H7" s="19" t="s">
        <v>12</v>
      </c>
      <c r="J7" s="117"/>
    </row>
    <row r="8" spans="1:10" x14ac:dyDescent="0.2">
      <c r="A8" s="20"/>
      <c r="B8" s="20"/>
      <c r="C8" s="21" t="s">
        <v>11</v>
      </c>
      <c r="D8" s="20"/>
      <c r="E8" s="20" t="s">
        <v>12</v>
      </c>
      <c r="F8" s="26">
        <f>SUM(F7)</f>
        <v>0.15</v>
      </c>
      <c r="G8" s="23">
        <v>0</v>
      </c>
      <c r="H8" s="19" t="s">
        <v>12</v>
      </c>
    </row>
    <row r="9" spans="1:10" x14ac:dyDescent="0.2">
      <c r="A9" s="20"/>
      <c r="B9" s="20"/>
      <c r="C9" s="24"/>
      <c r="D9" s="20"/>
      <c r="E9" s="20"/>
      <c r="F9" s="25"/>
      <c r="G9" s="25"/>
      <c r="H9" s="19" t="s">
        <v>12</v>
      </c>
    </row>
    <row r="10" spans="1:10" x14ac:dyDescent="0.2">
      <c r="A10" s="20"/>
      <c r="B10" s="20"/>
      <c r="C10" s="21" t="s">
        <v>14</v>
      </c>
      <c r="D10" s="20"/>
      <c r="E10" s="20"/>
      <c r="F10" s="20"/>
      <c r="G10" s="20"/>
      <c r="H10" s="19" t="s">
        <v>12</v>
      </c>
    </row>
    <row r="11" spans="1:10" x14ac:dyDescent="0.2">
      <c r="A11" s="20"/>
      <c r="B11" s="20"/>
      <c r="C11" s="21" t="s">
        <v>11</v>
      </c>
      <c r="D11" s="20"/>
      <c r="E11" s="20" t="s">
        <v>12</v>
      </c>
      <c r="F11" s="22" t="s">
        <v>13</v>
      </c>
      <c r="G11" s="23">
        <v>0</v>
      </c>
      <c r="H11" s="19" t="s">
        <v>12</v>
      </c>
    </row>
    <row r="12" spans="1:10" x14ac:dyDescent="0.2">
      <c r="A12" s="20"/>
      <c r="B12" s="20"/>
      <c r="C12" s="24"/>
      <c r="D12" s="20"/>
      <c r="E12" s="20"/>
      <c r="F12" s="25"/>
      <c r="G12" s="25"/>
      <c r="H12" s="19" t="s">
        <v>12</v>
      </c>
    </row>
    <row r="13" spans="1:10" x14ac:dyDescent="0.2">
      <c r="A13" s="20"/>
      <c r="B13" s="20"/>
      <c r="C13" s="21" t="s">
        <v>15</v>
      </c>
      <c r="D13" s="20"/>
      <c r="E13" s="20"/>
      <c r="F13" s="20"/>
      <c r="G13" s="20"/>
      <c r="H13" s="19" t="s">
        <v>12</v>
      </c>
    </row>
    <row r="14" spans="1:10" x14ac:dyDescent="0.2">
      <c r="A14" s="20"/>
      <c r="B14" s="20"/>
      <c r="C14" s="21" t="s">
        <v>11</v>
      </c>
      <c r="D14" s="20"/>
      <c r="E14" s="20" t="s">
        <v>12</v>
      </c>
      <c r="F14" s="22" t="s">
        <v>13</v>
      </c>
      <c r="G14" s="23">
        <v>0</v>
      </c>
      <c r="H14" s="19" t="s">
        <v>12</v>
      </c>
    </row>
    <row r="15" spans="1:10" x14ac:dyDescent="0.2">
      <c r="A15" s="20"/>
      <c r="B15" s="20"/>
      <c r="C15" s="24"/>
      <c r="D15" s="20"/>
      <c r="E15" s="20"/>
      <c r="F15" s="25"/>
      <c r="G15" s="25"/>
      <c r="H15" s="19" t="s">
        <v>12</v>
      </c>
    </row>
    <row r="16" spans="1:10" x14ac:dyDescent="0.2">
      <c r="A16" s="20"/>
      <c r="B16" s="20"/>
      <c r="C16" s="21" t="s">
        <v>16</v>
      </c>
      <c r="D16" s="20"/>
      <c r="E16" s="20"/>
      <c r="F16" s="20"/>
      <c r="G16" s="20"/>
      <c r="H16" s="19" t="s">
        <v>12</v>
      </c>
    </row>
    <row r="17" spans="1:8" x14ac:dyDescent="0.2">
      <c r="A17" s="20"/>
      <c r="B17" s="20"/>
      <c r="C17" s="21" t="s">
        <v>11</v>
      </c>
      <c r="D17" s="20"/>
      <c r="E17" s="20" t="s">
        <v>12</v>
      </c>
      <c r="F17" s="22" t="s">
        <v>13</v>
      </c>
      <c r="G17" s="23">
        <v>0</v>
      </c>
      <c r="H17" s="19" t="s">
        <v>12</v>
      </c>
    </row>
    <row r="18" spans="1:8" x14ac:dyDescent="0.2">
      <c r="A18" s="20"/>
      <c r="B18" s="20"/>
      <c r="C18" s="24"/>
      <c r="D18" s="20"/>
      <c r="E18" s="20"/>
      <c r="F18" s="25"/>
      <c r="G18" s="25"/>
      <c r="H18" s="19" t="s">
        <v>12</v>
      </c>
    </row>
    <row r="19" spans="1:8" x14ac:dyDescent="0.2">
      <c r="A19" s="20"/>
      <c r="B19" s="20"/>
      <c r="C19" s="21" t="s">
        <v>17</v>
      </c>
      <c r="D19" s="20"/>
      <c r="E19" s="20"/>
      <c r="F19" s="25"/>
      <c r="G19" s="25"/>
      <c r="H19" s="19" t="s">
        <v>12</v>
      </c>
    </row>
    <row r="20" spans="1:8" x14ac:dyDescent="0.2">
      <c r="A20" s="20"/>
      <c r="B20" s="20"/>
      <c r="C20" s="21" t="s">
        <v>11</v>
      </c>
      <c r="D20" s="20"/>
      <c r="E20" s="20" t="s">
        <v>12</v>
      </c>
      <c r="F20" s="22" t="s">
        <v>13</v>
      </c>
      <c r="G20" s="23">
        <v>0</v>
      </c>
      <c r="H20" s="19" t="s">
        <v>12</v>
      </c>
    </row>
    <row r="21" spans="1:8" x14ac:dyDescent="0.2">
      <c r="A21" s="20"/>
      <c r="B21" s="20"/>
      <c r="C21" s="24"/>
      <c r="D21" s="20"/>
      <c r="E21" s="20"/>
      <c r="F21" s="25"/>
      <c r="G21" s="25"/>
      <c r="H21" s="19" t="s">
        <v>12</v>
      </c>
    </row>
    <row r="22" spans="1:8" x14ac:dyDescent="0.2">
      <c r="A22" s="20"/>
      <c r="B22" s="20"/>
      <c r="C22" s="21" t="s">
        <v>18</v>
      </c>
      <c r="D22" s="20"/>
      <c r="E22" s="20"/>
      <c r="F22" s="25"/>
      <c r="G22" s="25"/>
      <c r="H22" s="19" t="s">
        <v>12</v>
      </c>
    </row>
    <row r="23" spans="1:8" x14ac:dyDescent="0.2">
      <c r="A23" s="20"/>
      <c r="B23" s="20"/>
      <c r="C23" s="21" t="s">
        <v>11</v>
      </c>
      <c r="D23" s="20"/>
      <c r="E23" s="20" t="s">
        <v>12</v>
      </c>
      <c r="F23" s="22" t="s">
        <v>13</v>
      </c>
      <c r="G23" s="23">
        <v>0</v>
      </c>
      <c r="H23" s="19" t="s">
        <v>12</v>
      </c>
    </row>
    <row r="24" spans="1:8" x14ac:dyDescent="0.2">
      <c r="A24" s="20"/>
      <c r="B24" s="20"/>
      <c r="C24" s="24"/>
      <c r="D24" s="20"/>
      <c r="E24" s="20"/>
      <c r="F24" s="25"/>
      <c r="G24" s="25"/>
      <c r="H24" s="19" t="s">
        <v>12</v>
      </c>
    </row>
    <row r="25" spans="1:8" x14ac:dyDescent="0.2">
      <c r="A25" s="20"/>
      <c r="B25" s="20"/>
      <c r="C25" s="21" t="s">
        <v>19</v>
      </c>
      <c r="D25" s="20"/>
      <c r="E25" s="20"/>
      <c r="F25" s="26">
        <f>F8</f>
        <v>0.15</v>
      </c>
      <c r="G25" s="23">
        <v>0</v>
      </c>
      <c r="H25" s="19" t="s">
        <v>12</v>
      </c>
    </row>
    <row r="26" spans="1:8" x14ac:dyDescent="0.2">
      <c r="A26" s="20"/>
      <c r="B26" s="20"/>
      <c r="C26" s="24"/>
      <c r="D26" s="20"/>
      <c r="E26" s="20"/>
      <c r="F26" s="25"/>
      <c r="G26" s="25"/>
      <c r="H26" s="19" t="s">
        <v>12</v>
      </c>
    </row>
    <row r="27" spans="1:8" x14ac:dyDescent="0.2">
      <c r="A27" s="20"/>
      <c r="B27" s="20"/>
      <c r="C27" s="21" t="s">
        <v>20</v>
      </c>
      <c r="D27" s="20"/>
      <c r="E27" s="20"/>
      <c r="F27" s="25"/>
      <c r="G27" s="25"/>
      <c r="H27" s="19" t="s">
        <v>12</v>
      </c>
    </row>
    <row r="28" spans="1:8" x14ac:dyDescent="0.2">
      <c r="A28" s="20"/>
      <c r="B28" s="20"/>
      <c r="C28" s="21" t="s">
        <v>10</v>
      </c>
      <c r="D28" s="20"/>
      <c r="E28" s="20"/>
      <c r="F28" s="25"/>
      <c r="G28" s="25"/>
      <c r="H28" s="19" t="s">
        <v>12</v>
      </c>
    </row>
    <row r="29" spans="1:8" x14ac:dyDescent="0.2">
      <c r="A29" s="27">
        <v>1</v>
      </c>
      <c r="B29" s="28" t="s">
        <v>307</v>
      </c>
      <c r="C29" s="28" t="s">
        <v>308</v>
      </c>
      <c r="D29" s="28" t="s">
        <v>23</v>
      </c>
      <c r="E29" s="29">
        <v>750</v>
      </c>
      <c r="F29" s="30">
        <v>7509.45</v>
      </c>
      <c r="G29" s="31">
        <v>1.056112E-2</v>
      </c>
      <c r="H29" s="19">
        <v>6.26</v>
      </c>
    </row>
    <row r="30" spans="1:8" x14ac:dyDescent="0.2">
      <c r="A30" s="27">
        <v>2</v>
      </c>
      <c r="B30" s="28" t="s">
        <v>309</v>
      </c>
      <c r="C30" s="28" t="s">
        <v>310</v>
      </c>
      <c r="D30" s="28" t="s">
        <v>263</v>
      </c>
      <c r="E30" s="29">
        <v>5000</v>
      </c>
      <c r="F30" s="30">
        <v>5010.9949999999999</v>
      </c>
      <c r="G30" s="31">
        <v>7.04735E-3</v>
      </c>
      <c r="H30" s="19">
        <v>6.9550000000000001</v>
      </c>
    </row>
    <row r="31" spans="1:8" ht="25.5" x14ac:dyDescent="0.2">
      <c r="A31" s="27">
        <v>3</v>
      </c>
      <c r="B31" s="28" t="s">
        <v>311</v>
      </c>
      <c r="C31" s="28" t="s">
        <v>312</v>
      </c>
      <c r="D31" s="28" t="s">
        <v>23</v>
      </c>
      <c r="E31" s="29">
        <v>250</v>
      </c>
      <c r="F31" s="30">
        <v>2502.36</v>
      </c>
      <c r="G31" s="31">
        <v>3.5192600000000002E-3</v>
      </c>
      <c r="H31" s="19">
        <v>6.1050000000000004</v>
      </c>
    </row>
    <row r="32" spans="1:8" x14ac:dyDescent="0.2">
      <c r="A32" s="20"/>
      <c r="B32" s="20"/>
      <c r="C32" s="21" t="s">
        <v>11</v>
      </c>
      <c r="D32" s="20"/>
      <c r="E32" s="20" t="s">
        <v>12</v>
      </c>
      <c r="F32" s="26">
        <v>15022.805</v>
      </c>
      <c r="G32" s="23">
        <v>2.1127730000000001E-2</v>
      </c>
      <c r="H32" s="19" t="s">
        <v>12</v>
      </c>
    </row>
    <row r="33" spans="1:8" x14ac:dyDescent="0.2">
      <c r="A33" s="20"/>
      <c r="B33" s="20"/>
      <c r="C33" s="24"/>
      <c r="D33" s="20"/>
      <c r="E33" s="20"/>
      <c r="F33" s="25"/>
      <c r="G33" s="25"/>
      <c r="H33" s="19" t="s">
        <v>12</v>
      </c>
    </row>
    <row r="34" spans="1:8" x14ac:dyDescent="0.2">
      <c r="A34" s="20"/>
      <c r="B34" s="20"/>
      <c r="C34" s="21" t="s">
        <v>77</v>
      </c>
      <c r="D34" s="20"/>
      <c r="E34" s="20"/>
      <c r="F34" s="20"/>
      <c r="G34" s="20"/>
      <c r="H34" s="19" t="s">
        <v>12</v>
      </c>
    </row>
    <row r="35" spans="1:8" x14ac:dyDescent="0.2">
      <c r="A35" s="20"/>
      <c r="B35" s="20"/>
      <c r="C35" s="21" t="s">
        <v>11</v>
      </c>
      <c r="D35" s="20"/>
      <c r="E35" s="20" t="s">
        <v>12</v>
      </c>
      <c r="F35" s="22" t="s">
        <v>13</v>
      </c>
      <c r="G35" s="23">
        <v>0</v>
      </c>
      <c r="H35" s="19" t="s">
        <v>12</v>
      </c>
    </row>
    <row r="36" spans="1:8" x14ac:dyDescent="0.2">
      <c r="A36" s="20"/>
      <c r="B36" s="20"/>
      <c r="C36" s="24"/>
      <c r="D36" s="20"/>
      <c r="E36" s="20"/>
      <c r="F36" s="25"/>
      <c r="G36" s="25"/>
      <c r="H36" s="19" t="s">
        <v>12</v>
      </c>
    </row>
    <row r="37" spans="1:8" x14ac:dyDescent="0.2">
      <c r="A37" s="20"/>
      <c r="B37" s="20"/>
      <c r="C37" s="21" t="s">
        <v>78</v>
      </c>
      <c r="D37" s="20"/>
      <c r="E37" s="20"/>
      <c r="F37" s="20"/>
      <c r="G37" s="20"/>
      <c r="H37" s="19" t="s">
        <v>12</v>
      </c>
    </row>
    <row r="38" spans="1:8" x14ac:dyDescent="0.2">
      <c r="A38" s="20"/>
      <c r="B38" s="20"/>
      <c r="C38" s="21" t="s">
        <v>11</v>
      </c>
      <c r="D38" s="20"/>
      <c r="E38" s="20" t="s">
        <v>12</v>
      </c>
      <c r="F38" s="22" t="s">
        <v>13</v>
      </c>
      <c r="G38" s="23">
        <v>0</v>
      </c>
      <c r="H38" s="19" t="s">
        <v>12</v>
      </c>
    </row>
    <row r="39" spans="1:8" x14ac:dyDescent="0.2">
      <c r="A39" s="20"/>
      <c r="B39" s="20"/>
      <c r="C39" s="24"/>
      <c r="D39" s="20"/>
      <c r="E39" s="20"/>
      <c r="F39" s="25"/>
      <c r="G39" s="25"/>
      <c r="H39" s="19" t="s">
        <v>12</v>
      </c>
    </row>
    <row r="40" spans="1:8" x14ac:dyDescent="0.2">
      <c r="A40" s="20"/>
      <c r="B40" s="20"/>
      <c r="C40" s="21" t="s">
        <v>100</v>
      </c>
      <c r="D40" s="20"/>
      <c r="E40" s="20"/>
      <c r="F40" s="25"/>
      <c r="G40" s="25"/>
      <c r="H40" s="19" t="s">
        <v>12</v>
      </c>
    </row>
    <row r="41" spans="1:8" x14ac:dyDescent="0.2">
      <c r="A41" s="20"/>
      <c r="B41" s="20"/>
      <c r="C41" s="21" t="s">
        <v>11</v>
      </c>
      <c r="D41" s="20"/>
      <c r="E41" s="20" t="s">
        <v>12</v>
      </c>
      <c r="F41" s="22" t="s">
        <v>13</v>
      </c>
      <c r="G41" s="23">
        <v>0</v>
      </c>
      <c r="H41" s="19" t="s">
        <v>12</v>
      </c>
    </row>
    <row r="42" spans="1:8" x14ac:dyDescent="0.2">
      <c r="A42" s="20"/>
      <c r="B42" s="20"/>
      <c r="C42" s="24"/>
      <c r="D42" s="20"/>
      <c r="E42" s="20"/>
      <c r="F42" s="25"/>
      <c r="G42" s="25"/>
      <c r="H42" s="19" t="s">
        <v>12</v>
      </c>
    </row>
    <row r="43" spans="1:8" x14ac:dyDescent="0.2">
      <c r="A43" s="20"/>
      <c r="B43" s="20"/>
      <c r="C43" s="21" t="s">
        <v>101</v>
      </c>
      <c r="D43" s="20"/>
      <c r="E43" s="20"/>
      <c r="F43" s="26">
        <v>15022.805</v>
      </c>
      <c r="G43" s="23">
        <v>2.1127730000000001E-2</v>
      </c>
      <c r="H43" s="19" t="s">
        <v>12</v>
      </c>
    </row>
    <row r="44" spans="1:8" x14ac:dyDescent="0.2">
      <c r="A44" s="20"/>
      <c r="B44" s="20"/>
      <c r="C44" s="24"/>
      <c r="D44" s="20"/>
      <c r="E44" s="20"/>
      <c r="F44" s="25"/>
      <c r="G44" s="25"/>
      <c r="H44" s="19" t="s">
        <v>12</v>
      </c>
    </row>
    <row r="45" spans="1:8" x14ac:dyDescent="0.2">
      <c r="A45" s="20"/>
      <c r="B45" s="20"/>
      <c r="C45" s="21" t="s">
        <v>102</v>
      </c>
      <c r="D45" s="20"/>
      <c r="E45" s="20"/>
      <c r="F45" s="25"/>
      <c r="G45" s="25"/>
      <c r="H45" s="19" t="s">
        <v>12</v>
      </c>
    </row>
    <row r="46" spans="1:8" x14ac:dyDescent="0.2">
      <c r="A46" s="20"/>
      <c r="B46" s="20"/>
      <c r="C46" s="21" t="s">
        <v>103</v>
      </c>
      <c r="D46" s="20"/>
      <c r="E46" s="20"/>
      <c r="F46" s="25"/>
      <c r="G46" s="25"/>
      <c r="H46" s="19" t="s">
        <v>12</v>
      </c>
    </row>
    <row r="47" spans="1:8" x14ac:dyDescent="0.2">
      <c r="A47" s="27">
        <v>1</v>
      </c>
      <c r="B47" s="28" t="s">
        <v>313</v>
      </c>
      <c r="C47" s="28" t="s">
        <v>314</v>
      </c>
      <c r="D47" s="28" t="s">
        <v>163</v>
      </c>
      <c r="E47" s="29">
        <v>3000</v>
      </c>
      <c r="F47" s="30">
        <v>14860.44</v>
      </c>
      <c r="G47" s="31">
        <v>2.089939E-2</v>
      </c>
      <c r="H47" s="19">
        <v>5.8098999999999998</v>
      </c>
    </row>
    <row r="48" spans="1:8" x14ac:dyDescent="0.2">
      <c r="A48" s="27">
        <v>2</v>
      </c>
      <c r="B48" s="28" t="s">
        <v>315</v>
      </c>
      <c r="C48" s="28" t="s">
        <v>316</v>
      </c>
      <c r="D48" s="28" t="s">
        <v>163</v>
      </c>
      <c r="E48" s="29">
        <v>3000</v>
      </c>
      <c r="F48" s="30">
        <v>14809.785</v>
      </c>
      <c r="G48" s="31">
        <v>2.082815E-2</v>
      </c>
      <c r="H48" s="19">
        <v>5.86</v>
      </c>
    </row>
    <row r="49" spans="1:8" x14ac:dyDescent="0.2">
      <c r="A49" s="27">
        <v>3</v>
      </c>
      <c r="B49" s="28" t="s">
        <v>317</v>
      </c>
      <c r="C49" s="28" t="s">
        <v>318</v>
      </c>
      <c r="D49" s="28" t="s">
        <v>163</v>
      </c>
      <c r="E49" s="29">
        <v>2500</v>
      </c>
      <c r="F49" s="30">
        <v>12384.487499999999</v>
      </c>
      <c r="G49" s="31">
        <v>1.7417269999999999E-2</v>
      </c>
      <c r="H49" s="19">
        <v>5.8699000000000003</v>
      </c>
    </row>
    <row r="50" spans="1:8" x14ac:dyDescent="0.2">
      <c r="A50" s="27">
        <v>4</v>
      </c>
      <c r="B50" s="28" t="s">
        <v>319</v>
      </c>
      <c r="C50" s="28" t="s">
        <v>320</v>
      </c>
      <c r="D50" s="28" t="s">
        <v>163</v>
      </c>
      <c r="E50" s="29">
        <v>2000</v>
      </c>
      <c r="F50" s="30">
        <v>9951.82</v>
      </c>
      <c r="G50" s="31">
        <v>1.399602E-2</v>
      </c>
      <c r="H50" s="19">
        <v>5.8898999999999999</v>
      </c>
    </row>
    <row r="51" spans="1:8" x14ac:dyDescent="0.2">
      <c r="A51" s="27">
        <v>5</v>
      </c>
      <c r="B51" s="28" t="s">
        <v>321</v>
      </c>
      <c r="C51" s="28" t="s">
        <v>322</v>
      </c>
      <c r="D51" s="28" t="s">
        <v>323</v>
      </c>
      <c r="E51" s="29">
        <v>2000</v>
      </c>
      <c r="F51" s="30">
        <v>9892.32</v>
      </c>
      <c r="G51" s="31">
        <v>1.391234E-2</v>
      </c>
      <c r="H51" s="19">
        <v>5.9298999999999999</v>
      </c>
    </row>
    <row r="52" spans="1:8" x14ac:dyDescent="0.2">
      <c r="A52" s="27">
        <v>6</v>
      </c>
      <c r="B52" s="28" t="s">
        <v>324</v>
      </c>
      <c r="C52" s="28" t="s">
        <v>325</v>
      </c>
      <c r="D52" s="28" t="s">
        <v>163</v>
      </c>
      <c r="E52" s="29">
        <v>2000</v>
      </c>
      <c r="F52" s="30">
        <v>9887.8700000000008</v>
      </c>
      <c r="G52" s="31">
        <v>1.3906079999999999E-2</v>
      </c>
      <c r="H52" s="19">
        <v>5.83</v>
      </c>
    </row>
    <row r="53" spans="1:8" x14ac:dyDescent="0.2">
      <c r="A53" s="27">
        <v>7</v>
      </c>
      <c r="B53" s="28" t="s">
        <v>326</v>
      </c>
      <c r="C53" s="28" t="s">
        <v>327</v>
      </c>
      <c r="D53" s="28" t="s">
        <v>297</v>
      </c>
      <c r="E53" s="29">
        <v>2000</v>
      </c>
      <c r="F53" s="30">
        <v>9874.33</v>
      </c>
      <c r="G53" s="31">
        <v>1.388704E-2</v>
      </c>
      <c r="H53" s="19">
        <v>5.8802000000000003</v>
      </c>
    </row>
    <row r="54" spans="1:8" x14ac:dyDescent="0.2">
      <c r="A54" s="27">
        <v>8</v>
      </c>
      <c r="B54" s="28" t="s">
        <v>328</v>
      </c>
      <c r="C54" s="28" t="s">
        <v>329</v>
      </c>
      <c r="D54" s="28" t="s">
        <v>323</v>
      </c>
      <c r="E54" s="29">
        <v>2000</v>
      </c>
      <c r="F54" s="30">
        <v>9863.11</v>
      </c>
      <c r="G54" s="31">
        <v>1.387126E-2</v>
      </c>
      <c r="H54" s="19">
        <v>5.9599000000000002</v>
      </c>
    </row>
    <row r="55" spans="1:8" x14ac:dyDescent="0.2">
      <c r="A55" s="27">
        <v>9</v>
      </c>
      <c r="B55" s="28" t="s">
        <v>330</v>
      </c>
      <c r="C55" s="28" t="s">
        <v>331</v>
      </c>
      <c r="D55" s="28" t="s">
        <v>163</v>
      </c>
      <c r="E55" s="29">
        <v>1500</v>
      </c>
      <c r="F55" s="30">
        <v>7432.2224999999999</v>
      </c>
      <c r="G55" s="31">
        <v>1.045251E-2</v>
      </c>
      <c r="H55" s="19">
        <v>5.8402000000000003</v>
      </c>
    </row>
    <row r="56" spans="1:8" x14ac:dyDescent="0.2">
      <c r="A56" s="27">
        <v>10</v>
      </c>
      <c r="B56" s="28" t="s">
        <v>332</v>
      </c>
      <c r="C56" s="28" t="s">
        <v>333</v>
      </c>
      <c r="D56" s="28" t="s">
        <v>163</v>
      </c>
      <c r="E56" s="29">
        <v>1500</v>
      </c>
      <c r="F56" s="30">
        <v>7429.7475000000004</v>
      </c>
      <c r="G56" s="31">
        <v>1.044903E-2</v>
      </c>
      <c r="H56" s="19">
        <v>5.85</v>
      </c>
    </row>
    <row r="57" spans="1:8" x14ac:dyDescent="0.2">
      <c r="A57" s="27">
        <v>11</v>
      </c>
      <c r="B57" s="28" t="s">
        <v>334</v>
      </c>
      <c r="C57" s="28" t="s">
        <v>335</v>
      </c>
      <c r="D57" s="28" t="s">
        <v>297</v>
      </c>
      <c r="E57" s="29">
        <v>1500</v>
      </c>
      <c r="F57" s="30">
        <v>7404.57</v>
      </c>
      <c r="G57" s="31">
        <v>1.041362E-2</v>
      </c>
      <c r="H57" s="19">
        <v>5.8800999999999997</v>
      </c>
    </row>
    <row r="58" spans="1:8" x14ac:dyDescent="0.2">
      <c r="A58" s="27">
        <v>12</v>
      </c>
      <c r="B58" s="28" t="s">
        <v>336</v>
      </c>
      <c r="C58" s="28" t="s">
        <v>337</v>
      </c>
      <c r="D58" s="28" t="s">
        <v>163</v>
      </c>
      <c r="E58" s="29">
        <v>1500</v>
      </c>
      <c r="F58" s="30">
        <v>7404.57</v>
      </c>
      <c r="G58" s="31">
        <v>1.041362E-2</v>
      </c>
      <c r="H58" s="19">
        <v>5.8802000000000003</v>
      </c>
    </row>
    <row r="59" spans="1:8" x14ac:dyDescent="0.2">
      <c r="A59" s="27">
        <v>13</v>
      </c>
      <c r="B59" s="28" t="s">
        <v>338</v>
      </c>
      <c r="C59" s="28" t="s">
        <v>339</v>
      </c>
      <c r="D59" s="28" t="s">
        <v>163</v>
      </c>
      <c r="E59" s="29">
        <v>1000</v>
      </c>
      <c r="F59" s="30">
        <v>4976.91</v>
      </c>
      <c r="G59" s="31">
        <v>6.9994100000000002E-3</v>
      </c>
      <c r="H59" s="19">
        <v>5.8399000000000001</v>
      </c>
    </row>
    <row r="60" spans="1:8" x14ac:dyDescent="0.2">
      <c r="A60" s="27">
        <v>14</v>
      </c>
      <c r="B60" s="28" t="s">
        <v>340</v>
      </c>
      <c r="C60" s="28" t="s">
        <v>341</v>
      </c>
      <c r="D60" s="28" t="s">
        <v>163</v>
      </c>
      <c r="E60" s="29">
        <v>1000</v>
      </c>
      <c r="F60" s="30">
        <v>4947.24</v>
      </c>
      <c r="G60" s="31">
        <v>6.9576899999999999E-3</v>
      </c>
      <c r="H60" s="19">
        <v>5.81</v>
      </c>
    </row>
    <row r="61" spans="1:8" x14ac:dyDescent="0.2">
      <c r="A61" s="27">
        <v>15</v>
      </c>
      <c r="B61" s="28" t="s">
        <v>342</v>
      </c>
      <c r="C61" s="28" t="s">
        <v>343</v>
      </c>
      <c r="D61" s="28" t="s">
        <v>163</v>
      </c>
      <c r="E61" s="29">
        <v>1000</v>
      </c>
      <c r="F61" s="30">
        <v>4947.0600000000004</v>
      </c>
      <c r="G61" s="31">
        <v>6.9574299999999997E-3</v>
      </c>
      <c r="H61" s="19">
        <v>5.83</v>
      </c>
    </row>
    <row r="62" spans="1:8" x14ac:dyDescent="0.2">
      <c r="A62" s="27">
        <v>16</v>
      </c>
      <c r="B62" s="28" t="s">
        <v>344</v>
      </c>
      <c r="C62" s="28" t="s">
        <v>345</v>
      </c>
      <c r="D62" s="28" t="s">
        <v>163</v>
      </c>
      <c r="E62" s="29">
        <v>1000</v>
      </c>
      <c r="F62" s="30">
        <v>4947.0600000000004</v>
      </c>
      <c r="G62" s="31">
        <v>6.9574299999999997E-3</v>
      </c>
      <c r="H62" s="19">
        <v>5.8299000000000003</v>
      </c>
    </row>
    <row r="63" spans="1:8" x14ac:dyDescent="0.2">
      <c r="A63" s="27">
        <v>17</v>
      </c>
      <c r="B63" s="28" t="s">
        <v>346</v>
      </c>
      <c r="C63" s="28" t="s">
        <v>347</v>
      </c>
      <c r="D63" s="28" t="s">
        <v>163</v>
      </c>
      <c r="E63" s="29">
        <v>1000</v>
      </c>
      <c r="F63" s="30">
        <v>4931.2749999999996</v>
      </c>
      <c r="G63" s="31">
        <v>6.9352299999999997E-3</v>
      </c>
      <c r="H63" s="19">
        <v>5.9150999999999998</v>
      </c>
    </row>
    <row r="64" spans="1:8" x14ac:dyDescent="0.2">
      <c r="A64" s="27">
        <v>18</v>
      </c>
      <c r="B64" s="28" t="s">
        <v>348</v>
      </c>
      <c r="C64" s="28" t="s">
        <v>349</v>
      </c>
      <c r="D64" s="28" t="s">
        <v>163</v>
      </c>
      <c r="E64" s="29">
        <v>500</v>
      </c>
      <c r="F64" s="30">
        <v>2474.2249999999999</v>
      </c>
      <c r="G64" s="31">
        <v>3.4796900000000001E-3</v>
      </c>
      <c r="H64" s="19">
        <v>5.85</v>
      </c>
    </row>
    <row r="65" spans="1:8" x14ac:dyDescent="0.2">
      <c r="A65" s="20"/>
      <c r="B65" s="20"/>
      <c r="C65" s="21" t="s">
        <v>11</v>
      </c>
      <c r="D65" s="20"/>
      <c r="E65" s="20" t="s">
        <v>12</v>
      </c>
      <c r="F65" s="26">
        <v>148419.04250000001</v>
      </c>
      <c r="G65" s="23">
        <v>0.20873321</v>
      </c>
      <c r="H65" s="19" t="s">
        <v>12</v>
      </c>
    </row>
    <row r="66" spans="1:8" x14ac:dyDescent="0.2">
      <c r="A66" s="20"/>
      <c r="B66" s="20"/>
      <c r="C66" s="24"/>
      <c r="D66" s="20"/>
      <c r="E66" s="20"/>
      <c r="F66" s="25"/>
      <c r="G66" s="25"/>
      <c r="H66" s="19" t="s">
        <v>12</v>
      </c>
    </row>
    <row r="67" spans="1:8" x14ac:dyDescent="0.2">
      <c r="A67" s="20"/>
      <c r="B67" s="20"/>
      <c r="C67" s="21" t="s">
        <v>104</v>
      </c>
      <c r="D67" s="20"/>
      <c r="E67" s="20"/>
      <c r="F67" s="25"/>
      <c r="G67" s="25"/>
      <c r="H67" s="19" t="s">
        <v>12</v>
      </c>
    </row>
    <row r="68" spans="1:8" ht="25.5" x14ac:dyDescent="0.2">
      <c r="A68" s="27">
        <v>1</v>
      </c>
      <c r="B68" s="28" t="s">
        <v>350</v>
      </c>
      <c r="C68" s="28" t="s">
        <v>351</v>
      </c>
      <c r="D68" s="28" t="s">
        <v>163</v>
      </c>
      <c r="E68" s="29">
        <v>3000</v>
      </c>
      <c r="F68" s="30">
        <v>14991.105</v>
      </c>
      <c r="G68" s="31">
        <v>2.1083149999999998E-2</v>
      </c>
      <c r="H68" s="19">
        <v>5.4180999999999999</v>
      </c>
    </row>
    <row r="69" spans="1:8" x14ac:dyDescent="0.2">
      <c r="A69" s="27">
        <v>2</v>
      </c>
      <c r="B69" s="28" t="s">
        <v>352</v>
      </c>
      <c r="C69" s="28" t="s">
        <v>353</v>
      </c>
      <c r="D69" s="28" t="s">
        <v>163</v>
      </c>
      <c r="E69" s="29">
        <v>3000</v>
      </c>
      <c r="F69" s="30">
        <v>14984.04</v>
      </c>
      <c r="G69" s="31">
        <v>2.107322E-2</v>
      </c>
      <c r="H69" s="19">
        <v>5.5549999999999997</v>
      </c>
    </row>
    <row r="70" spans="1:8" x14ac:dyDescent="0.2">
      <c r="A70" s="27">
        <v>3</v>
      </c>
      <c r="B70" s="28" t="s">
        <v>354</v>
      </c>
      <c r="C70" s="28" t="s">
        <v>355</v>
      </c>
      <c r="D70" s="28" t="s">
        <v>163</v>
      </c>
      <c r="E70" s="29">
        <v>3000</v>
      </c>
      <c r="F70" s="30">
        <v>14926.334999999999</v>
      </c>
      <c r="G70" s="31">
        <v>2.099206E-2</v>
      </c>
      <c r="H70" s="19">
        <v>6.0050999999999997</v>
      </c>
    </row>
    <row r="71" spans="1:8" x14ac:dyDescent="0.2">
      <c r="A71" s="27">
        <v>4</v>
      </c>
      <c r="B71" s="28" t="s">
        <v>356</v>
      </c>
      <c r="C71" s="28" t="s">
        <v>357</v>
      </c>
      <c r="D71" s="28" t="s">
        <v>163</v>
      </c>
      <c r="E71" s="29">
        <v>2500</v>
      </c>
      <c r="F71" s="30">
        <v>12484.8</v>
      </c>
      <c r="G71" s="31">
        <v>1.7558339999999999E-2</v>
      </c>
      <c r="H71" s="19">
        <v>5.5549999999999997</v>
      </c>
    </row>
    <row r="72" spans="1:8" ht="25.5" x14ac:dyDescent="0.2">
      <c r="A72" s="27">
        <v>5</v>
      </c>
      <c r="B72" s="28" t="s">
        <v>358</v>
      </c>
      <c r="C72" s="28" t="s">
        <v>359</v>
      </c>
      <c r="D72" s="28" t="s">
        <v>163</v>
      </c>
      <c r="E72" s="29">
        <v>2500</v>
      </c>
      <c r="F72" s="30">
        <v>12453.775</v>
      </c>
      <c r="G72" s="31">
        <v>1.7514709999999999E-2</v>
      </c>
      <c r="H72" s="19">
        <v>5.8901000000000003</v>
      </c>
    </row>
    <row r="73" spans="1:8" x14ac:dyDescent="0.2">
      <c r="A73" s="27">
        <v>6</v>
      </c>
      <c r="B73" s="28" t="s">
        <v>360</v>
      </c>
      <c r="C73" s="28" t="s">
        <v>361</v>
      </c>
      <c r="D73" s="28" t="s">
        <v>163</v>
      </c>
      <c r="E73" s="29">
        <v>2500</v>
      </c>
      <c r="F73" s="30">
        <v>12380.825000000001</v>
      </c>
      <c r="G73" s="31">
        <v>1.7412110000000001E-2</v>
      </c>
      <c r="H73" s="19">
        <v>5.9551999999999996</v>
      </c>
    </row>
    <row r="74" spans="1:8" ht="25.5" x14ac:dyDescent="0.2">
      <c r="A74" s="27">
        <v>7</v>
      </c>
      <c r="B74" s="28" t="s">
        <v>362</v>
      </c>
      <c r="C74" s="28" t="s">
        <v>363</v>
      </c>
      <c r="D74" s="28" t="s">
        <v>163</v>
      </c>
      <c r="E74" s="29">
        <v>2000</v>
      </c>
      <c r="F74" s="30">
        <v>10000</v>
      </c>
      <c r="G74" s="31">
        <v>1.406378E-2</v>
      </c>
      <c r="H74" s="19">
        <v>5.3556999999999997</v>
      </c>
    </row>
    <row r="75" spans="1:8" x14ac:dyDescent="0.2">
      <c r="A75" s="27">
        <v>8</v>
      </c>
      <c r="B75" s="28" t="s">
        <v>364</v>
      </c>
      <c r="C75" s="28" t="s">
        <v>365</v>
      </c>
      <c r="D75" s="28" t="s">
        <v>163</v>
      </c>
      <c r="E75" s="29">
        <v>2000</v>
      </c>
      <c r="F75" s="30">
        <v>10000</v>
      </c>
      <c r="G75" s="31">
        <v>1.406378E-2</v>
      </c>
      <c r="H75" s="19">
        <v>5.3876999999999997</v>
      </c>
    </row>
    <row r="76" spans="1:8" x14ac:dyDescent="0.2">
      <c r="A76" s="27">
        <v>9</v>
      </c>
      <c r="B76" s="28" t="s">
        <v>366</v>
      </c>
      <c r="C76" s="28" t="s">
        <v>367</v>
      </c>
      <c r="D76" s="28" t="s">
        <v>163</v>
      </c>
      <c r="E76" s="29">
        <v>2000</v>
      </c>
      <c r="F76" s="30">
        <v>9995.34</v>
      </c>
      <c r="G76" s="31">
        <v>1.405722E-2</v>
      </c>
      <c r="H76" s="19">
        <v>5.6736000000000004</v>
      </c>
    </row>
    <row r="77" spans="1:8" x14ac:dyDescent="0.2">
      <c r="A77" s="27">
        <v>10</v>
      </c>
      <c r="B77" s="28" t="s">
        <v>368</v>
      </c>
      <c r="C77" s="28" t="s">
        <v>369</v>
      </c>
      <c r="D77" s="28" t="s">
        <v>163</v>
      </c>
      <c r="E77" s="29">
        <v>2000</v>
      </c>
      <c r="F77" s="30">
        <v>9989.2800000000007</v>
      </c>
      <c r="G77" s="31">
        <v>1.4048700000000001E-2</v>
      </c>
      <c r="H77" s="19">
        <v>5.5951000000000004</v>
      </c>
    </row>
    <row r="78" spans="1:8" x14ac:dyDescent="0.2">
      <c r="A78" s="27">
        <v>11</v>
      </c>
      <c r="B78" s="28" t="s">
        <v>370</v>
      </c>
      <c r="C78" s="28" t="s">
        <v>371</v>
      </c>
      <c r="D78" s="28" t="s">
        <v>163</v>
      </c>
      <c r="E78" s="29">
        <v>2000</v>
      </c>
      <c r="F78" s="30">
        <v>9951.9599999999991</v>
      </c>
      <c r="G78" s="31">
        <v>1.399621E-2</v>
      </c>
      <c r="H78" s="19">
        <v>6.0750000000000002</v>
      </c>
    </row>
    <row r="79" spans="1:8" x14ac:dyDescent="0.2">
      <c r="A79" s="27">
        <v>12</v>
      </c>
      <c r="B79" s="28" t="s">
        <v>372</v>
      </c>
      <c r="C79" s="28" t="s">
        <v>373</v>
      </c>
      <c r="D79" s="28" t="s">
        <v>374</v>
      </c>
      <c r="E79" s="29">
        <v>2000</v>
      </c>
      <c r="F79" s="30">
        <v>9914.0499999999993</v>
      </c>
      <c r="G79" s="31">
        <v>1.3942899999999999E-2</v>
      </c>
      <c r="H79" s="19">
        <v>6.085</v>
      </c>
    </row>
    <row r="80" spans="1:8" x14ac:dyDescent="0.2">
      <c r="A80" s="27">
        <v>13</v>
      </c>
      <c r="B80" s="28" t="s">
        <v>375</v>
      </c>
      <c r="C80" s="28" t="s">
        <v>376</v>
      </c>
      <c r="D80" s="28" t="s">
        <v>163</v>
      </c>
      <c r="E80" s="29">
        <v>2000</v>
      </c>
      <c r="F80" s="30">
        <v>9908.7800000000007</v>
      </c>
      <c r="G80" s="31">
        <v>1.393549E-2</v>
      </c>
      <c r="H80" s="19">
        <v>6.34</v>
      </c>
    </row>
    <row r="81" spans="1:8" x14ac:dyDescent="0.2">
      <c r="A81" s="27">
        <v>14</v>
      </c>
      <c r="B81" s="28" t="s">
        <v>377</v>
      </c>
      <c r="C81" s="28" t="s">
        <v>378</v>
      </c>
      <c r="D81" s="28" t="s">
        <v>163</v>
      </c>
      <c r="E81" s="29">
        <v>2000</v>
      </c>
      <c r="F81" s="30">
        <v>9901.9699999999993</v>
      </c>
      <c r="G81" s="31">
        <v>1.392591E-2</v>
      </c>
      <c r="H81" s="19">
        <v>6.34</v>
      </c>
    </row>
    <row r="82" spans="1:8" x14ac:dyDescent="0.2">
      <c r="A82" s="27">
        <v>15</v>
      </c>
      <c r="B82" s="28" t="s">
        <v>379</v>
      </c>
      <c r="C82" s="28" t="s">
        <v>380</v>
      </c>
      <c r="D82" s="28" t="s">
        <v>163</v>
      </c>
      <c r="E82" s="29">
        <v>2000</v>
      </c>
      <c r="F82" s="30">
        <v>9900.0300000000007</v>
      </c>
      <c r="G82" s="31">
        <v>1.392318E-2</v>
      </c>
      <c r="H82" s="19">
        <v>6.3550000000000004</v>
      </c>
    </row>
    <row r="83" spans="1:8" ht="25.5" x14ac:dyDescent="0.2">
      <c r="A83" s="27">
        <v>16</v>
      </c>
      <c r="B83" s="28" t="s">
        <v>381</v>
      </c>
      <c r="C83" s="28" t="s">
        <v>382</v>
      </c>
      <c r="D83" s="28" t="s">
        <v>163</v>
      </c>
      <c r="E83" s="29">
        <v>2000</v>
      </c>
      <c r="F83" s="30">
        <v>9898.6</v>
      </c>
      <c r="G83" s="31">
        <v>1.392117E-2</v>
      </c>
      <c r="H83" s="19">
        <v>5.9349999999999996</v>
      </c>
    </row>
    <row r="84" spans="1:8" x14ac:dyDescent="0.2">
      <c r="A84" s="27">
        <v>17</v>
      </c>
      <c r="B84" s="28" t="s">
        <v>383</v>
      </c>
      <c r="C84" s="28" t="s">
        <v>384</v>
      </c>
      <c r="D84" s="28" t="s">
        <v>163</v>
      </c>
      <c r="E84" s="29">
        <v>2000</v>
      </c>
      <c r="F84" s="30">
        <v>9881.4</v>
      </c>
      <c r="G84" s="31">
        <v>1.389698E-2</v>
      </c>
      <c r="H84" s="19">
        <v>6.17</v>
      </c>
    </row>
    <row r="85" spans="1:8" ht="25.5" x14ac:dyDescent="0.2">
      <c r="A85" s="27">
        <v>18</v>
      </c>
      <c r="B85" s="28" t="s">
        <v>385</v>
      </c>
      <c r="C85" s="28" t="s">
        <v>386</v>
      </c>
      <c r="D85" s="28" t="s">
        <v>163</v>
      </c>
      <c r="E85" s="29">
        <v>2000</v>
      </c>
      <c r="F85" s="30">
        <v>9876.57</v>
      </c>
      <c r="G85" s="31">
        <v>1.389019E-2</v>
      </c>
      <c r="H85" s="19">
        <v>6.4249999999999998</v>
      </c>
    </row>
    <row r="86" spans="1:8" x14ac:dyDescent="0.2">
      <c r="A86" s="27">
        <v>19</v>
      </c>
      <c r="B86" s="28" t="s">
        <v>387</v>
      </c>
      <c r="C86" s="28" t="s">
        <v>388</v>
      </c>
      <c r="D86" s="28" t="s">
        <v>163</v>
      </c>
      <c r="E86" s="29">
        <v>2000</v>
      </c>
      <c r="F86" s="30">
        <v>9865.3700000000008</v>
      </c>
      <c r="G86" s="31">
        <v>1.387444E-2</v>
      </c>
      <c r="H86" s="19">
        <v>5.93</v>
      </c>
    </row>
    <row r="87" spans="1:8" ht="25.5" x14ac:dyDescent="0.2">
      <c r="A87" s="27">
        <v>20</v>
      </c>
      <c r="B87" s="28" t="s">
        <v>389</v>
      </c>
      <c r="C87" s="28" t="s">
        <v>390</v>
      </c>
      <c r="D87" s="28" t="s">
        <v>163</v>
      </c>
      <c r="E87" s="29">
        <v>2000</v>
      </c>
      <c r="F87" s="30">
        <v>9865.14</v>
      </c>
      <c r="G87" s="31">
        <v>1.387411E-2</v>
      </c>
      <c r="H87" s="19">
        <v>5.9401000000000002</v>
      </c>
    </row>
    <row r="88" spans="1:8" x14ac:dyDescent="0.2">
      <c r="A88" s="27">
        <v>21</v>
      </c>
      <c r="B88" s="28" t="s">
        <v>391</v>
      </c>
      <c r="C88" s="28" t="s">
        <v>392</v>
      </c>
      <c r="D88" s="28" t="s">
        <v>163</v>
      </c>
      <c r="E88" s="29">
        <v>2000</v>
      </c>
      <c r="F88" s="30">
        <v>9857.06</v>
      </c>
      <c r="G88" s="31">
        <v>1.386275E-2</v>
      </c>
      <c r="H88" s="19">
        <v>6.0148999999999999</v>
      </c>
    </row>
    <row r="89" spans="1:8" x14ac:dyDescent="0.2">
      <c r="A89" s="27">
        <v>22</v>
      </c>
      <c r="B89" s="28" t="s">
        <v>393</v>
      </c>
      <c r="C89" s="28" t="s">
        <v>751</v>
      </c>
      <c r="D89" s="28" t="s">
        <v>163</v>
      </c>
      <c r="E89" s="29">
        <v>2000</v>
      </c>
      <c r="F89" s="30">
        <v>9855.0400000000009</v>
      </c>
      <c r="G89" s="31">
        <v>1.385991E-2</v>
      </c>
      <c r="H89" s="19">
        <v>5.89</v>
      </c>
    </row>
    <row r="90" spans="1:8" x14ac:dyDescent="0.2">
      <c r="A90" s="27">
        <v>23</v>
      </c>
      <c r="B90" s="28" t="s">
        <v>394</v>
      </c>
      <c r="C90" s="28" t="s">
        <v>395</v>
      </c>
      <c r="D90" s="28" t="s">
        <v>374</v>
      </c>
      <c r="E90" s="29">
        <v>1500</v>
      </c>
      <c r="F90" s="30">
        <v>7463.1075000000001</v>
      </c>
      <c r="G90" s="31">
        <v>1.049595E-2</v>
      </c>
      <c r="H90" s="19">
        <v>6.0149999999999997</v>
      </c>
    </row>
    <row r="91" spans="1:8" x14ac:dyDescent="0.2">
      <c r="A91" s="27">
        <v>24</v>
      </c>
      <c r="B91" s="28" t="s">
        <v>396</v>
      </c>
      <c r="C91" s="28" t="s">
        <v>397</v>
      </c>
      <c r="D91" s="28" t="s">
        <v>163</v>
      </c>
      <c r="E91" s="29">
        <v>1500</v>
      </c>
      <c r="F91" s="30">
        <v>7462.38</v>
      </c>
      <c r="G91" s="31">
        <v>1.049492E-2</v>
      </c>
      <c r="H91" s="19">
        <v>6.3449999999999998</v>
      </c>
    </row>
    <row r="92" spans="1:8" x14ac:dyDescent="0.2">
      <c r="A92" s="27">
        <v>25</v>
      </c>
      <c r="B92" s="28" t="s">
        <v>398</v>
      </c>
      <c r="C92" s="28" t="s">
        <v>399</v>
      </c>
      <c r="D92" s="28" t="s">
        <v>163</v>
      </c>
      <c r="E92" s="29">
        <v>1500</v>
      </c>
      <c r="F92" s="30">
        <v>7453.8074999999999</v>
      </c>
      <c r="G92" s="31">
        <v>1.048287E-2</v>
      </c>
      <c r="H92" s="19">
        <v>5.9524999999999997</v>
      </c>
    </row>
    <row r="93" spans="1:8" x14ac:dyDescent="0.2">
      <c r="A93" s="27">
        <v>26</v>
      </c>
      <c r="B93" s="28" t="s">
        <v>400</v>
      </c>
      <c r="C93" s="28" t="s">
        <v>401</v>
      </c>
      <c r="D93" s="28" t="s">
        <v>374</v>
      </c>
      <c r="E93" s="29">
        <v>1500</v>
      </c>
      <c r="F93" s="30">
        <v>7428.1350000000002</v>
      </c>
      <c r="G93" s="31">
        <v>1.0446759999999999E-2</v>
      </c>
      <c r="H93" s="19">
        <v>5.9850000000000003</v>
      </c>
    </row>
    <row r="94" spans="1:8" x14ac:dyDescent="0.2">
      <c r="A94" s="27">
        <v>27</v>
      </c>
      <c r="B94" s="28" t="s">
        <v>402</v>
      </c>
      <c r="C94" s="28" t="s">
        <v>403</v>
      </c>
      <c r="D94" s="28" t="s">
        <v>163</v>
      </c>
      <c r="E94" s="29">
        <v>1500</v>
      </c>
      <c r="F94" s="30">
        <v>7416.3975</v>
      </c>
      <c r="G94" s="31">
        <v>1.043026E-2</v>
      </c>
      <c r="H94" s="19">
        <v>6.33</v>
      </c>
    </row>
    <row r="95" spans="1:8" ht="25.5" x14ac:dyDescent="0.2">
      <c r="A95" s="27">
        <v>28</v>
      </c>
      <c r="B95" s="28" t="s">
        <v>404</v>
      </c>
      <c r="C95" s="28" t="s">
        <v>405</v>
      </c>
      <c r="D95" s="28" t="s">
        <v>374</v>
      </c>
      <c r="E95" s="29">
        <v>1500</v>
      </c>
      <c r="F95" s="30">
        <v>7411.0649999999996</v>
      </c>
      <c r="G95" s="31">
        <v>1.042276E-2</v>
      </c>
      <c r="H95" s="19">
        <v>6</v>
      </c>
    </row>
    <row r="96" spans="1:8" x14ac:dyDescent="0.2">
      <c r="A96" s="27">
        <v>29</v>
      </c>
      <c r="B96" s="28" t="s">
        <v>406</v>
      </c>
      <c r="C96" s="28" t="s">
        <v>407</v>
      </c>
      <c r="D96" s="28" t="s">
        <v>163</v>
      </c>
      <c r="E96" s="29">
        <v>1500</v>
      </c>
      <c r="F96" s="30">
        <v>7406.2349999999997</v>
      </c>
      <c r="G96" s="31">
        <v>1.041596E-2</v>
      </c>
      <c r="H96" s="19">
        <v>6.33</v>
      </c>
    </row>
    <row r="97" spans="1:8" x14ac:dyDescent="0.2">
      <c r="A97" s="27">
        <v>30</v>
      </c>
      <c r="B97" s="28" t="s">
        <v>408</v>
      </c>
      <c r="C97" s="28" t="s">
        <v>409</v>
      </c>
      <c r="D97" s="28" t="s">
        <v>163</v>
      </c>
      <c r="E97" s="29">
        <v>1500</v>
      </c>
      <c r="F97" s="30">
        <v>7397.37</v>
      </c>
      <c r="G97" s="31">
        <v>1.04035E-2</v>
      </c>
      <c r="H97" s="19">
        <v>6.33</v>
      </c>
    </row>
    <row r="98" spans="1:8" x14ac:dyDescent="0.2">
      <c r="A98" s="27">
        <v>31</v>
      </c>
      <c r="B98" s="28" t="s">
        <v>410</v>
      </c>
      <c r="C98" s="28" t="s">
        <v>752</v>
      </c>
      <c r="D98" s="28" t="s">
        <v>163</v>
      </c>
      <c r="E98" s="29">
        <v>1500</v>
      </c>
      <c r="F98" s="30">
        <v>7391.28</v>
      </c>
      <c r="G98" s="31">
        <v>1.039493E-2</v>
      </c>
      <c r="H98" s="19">
        <v>5.89</v>
      </c>
    </row>
    <row r="99" spans="1:8" ht="25.5" x14ac:dyDescent="0.2">
      <c r="A99" s="27">
        <v>32</v>
      </c>
      <c r="B99" s="28" t="s">
        <v>411</v>
      </c>
      <c r="C99" s="28" t="s">
        <v>412</v>
      </c>
      <c r="D99" s="28" t="s">
        <v>163</v>
      </c>
      <c r="E99" s="29">
        <v>1000</v>
      </c>
      <c r="F99" s="30">
        <v>4969.1949999999997</v>
      </c>
      <c r="G99" s="31">
        <v>6.9885600000000004E-3</v>
      </c>
      <c r="H99" s="19">
        <v>5.9550000000000001</v>
      </c>
    </row>
    <row r="100" spans="1:8" ht="25.5" x14ac:dyDescent="0.2">
      <c r="A100" s="27">
        <v>33</v>
      </c>
      <c r="B100" s="28" t="s">
        <v>413</v>
      </c>
      <c r="C100" s="28" t="s">
        <v>414</v>
      </c>
      <c r="D100" s="28" t="s">
        <v>163</v>
      </c>
      <c r="E100" s="29">
        <v>1000</v>
      </c>
      <c r="F100" s="30">
        <v>4953.7849999999999</v>
      </c>
      <c r="G100" s="31">
        <v>6.9668899999999999E-3</v>
      </c>
      <c r="H100" s="19">
        <v>6.4249999999999998</v>
      </c>
    </row>
    <row r="101" spans="1:8" x14ac:dyDescent="0.2">
      <c r="A101" s="27">
        <v>34</v>
      </c>
      <c r="B101" s="28" t="s">
        <v>415</v>
      </c>
      <c r="C101" s="28" t="s">
        <v>416</v>
      </c>
      <c r="D101" s="28" t="s">
        <v>163</v>
      </c>
      <c r="E101" s="29">
        <v>1000</v>
      </c>
      <c r="F101" s="30">
        <v>4950.085</v>
      </c>
      <c r="G101" s="31">
        <v>6.9616900000000004E-3</v>
      </c>
      <c r="H101" s="19">
        <v>6.3464</v>
      </c>
    </row>
    <row r="102" spans="1:8" x14ac:dyDescent="0.2">
      <c r="A102" s="27">
        <v>35</v>
      </c>
      <c r="B102" s="28" t="s">
        <v>417</v>
      </c>
      <c r="C102" s="28" t="s">
        <v>418</v>
      </c>
      <c r="D102" s="28" t="s">
        <v>163</v>
      </c>
      <c r="E102" s="29">
        <v>1000</v>
      </c>
      <c r="F102" s="30">
        <v>4947.99</v>
      </c>
      <c r="G102" s="31">
        <v>6.9587399999999997E-3</v>
      </c>
      <c r="H102" s="19">
        <v>6.09</v>
      </c>
    </row>
    <row r="103" spans="1:8" ht="25.5" x14ac:dyDescent="0.2">
      <c r="A103" s="27">
        <v>36</v>
      </c>
      <c r="B103" s="28" t="s">
        <v>419</v>
      </c>
      <c r="C103" s="28" t="s">
        <v>420</v>
      </c>
      <c r="D103" s="28" t="s">
        <v>163</v>
      </c>
      <c r="E103" s="29">
        <v>1000</v>
      </c>
      <c r="F103" s="30">
        <v>4946.7</v>
      </c>
      <c r="G103" s="31">
        <v>6.9569300000000001E-3</v>
      </c>
      <c r="H103" s="19">
        <v>5.87</v>
      </c>
    </row>
    <row r="104" spans="1:8" ht="25.5" x14ac:dyDescent="0.2">
      <c r="A104" s="27">
        <v>37</v>
      </c>
      <c r="B104" s="28" t="s">
        <v>421</v>
      </c>
      <c r="C104" s="28" t="s">
        <v>422</v>
      </c>
      <c r="D104" s="28" t="s">
        <v>163</v>
      </c>
      <c r="E104" s="29">
        <v>1000</v>
      </c>
      <c r="F104" s="30">
        <v>4943.5249999999996</v>
      </c>
      <c r="G104" s="31">
        <v>6.9524599999999997E-3</v>
      </c>
      <c r="H104" s="19">
        <v>6.5149999999999997</v>
      </c>
    </row>
    <row r="105" spans="1:8" x14ac:dyDescent="0.2">
      <c r="A105" s="27">
        <v>38</v>
      </c>
      <c r="B105" s="28" t="s">
        <v>423</v>
      </c>
      <c r="C105" s="28" t="s">
        <v>424</v>
      </c>
      <c r="D105" s="28" t="s">
        <v>163</v>
      </c>
      <c r="E105" s="29">
        <v>1000</v>
      </c>
      <c r="F105" s="30">
        <v>4942.51</v>
      </c>
      <c r="G105" s="31">
        <v>6.9510400000000003E-3</v>
      </c>
      <c r="H105" s="19">
        <v>5.98</v>
      </c>
    </row>
    <row r="106" spans="1:8" x14ac:dyDescent="0.2">
      <c r="A106" s="27">
        <v>39</v>
      </c>
      <c r="B106" s="28" t="s">
        <v>425</v>
      </c>
      <c r="C106" s="28" t="s">
        <v>426</v>
      </c>
      <c r="D106" s="28" t="s">
        <v>163</v>
      </c>
      <c r="E106" s="29">
        <v>1000</v>
      </c>
      <c r="F106" s="30">
        <v>4938.16</v>
      </c>
      <c r="G106" s="31">
        <v>6.9449200000000003E-3</v>
      </c>
      <c r="H106" s="19">
        <v>6.53</v>
      </c>
    </row>
    <row r="107" spans="1:8" ht="25.5" x14ac:dyDescent="0.2">
      <c r="A107" s="27">
        <v>40</v>
      </c>
      <c r="B107" s="28" t="s">
        <v>427</v>
      </c>
      <c r="C107" s="28" t="s">
        <v>428</v>
      </c>
      <c r="D107" s="28" t="s">
        <v>163</v>
      </c>
      <c r="E107" s="29">
        <v>1000</v>
      </c>
      <c r="F107" s="30">
        <v>4937.01</v>
      </c>
      <c r="G107" s="31">
        <v>6.9433000000000003E-3</v>
      </c>
      <c r="H107" s="19">
        <v>5.8949999999999996</v>
      </c>
    </row>
    <row r="108" spans="1:8" x14ac:dyDescent="0.2">
      <c r="A108" s="27">
        <v>41</v>
      </c>
      <c r="B108" s="28" t="s">
        <v>429</v>
      </c>
      <c r="C108" s="28" t="s">
        <v>430</v>
      </c>
      <c r="D108" s="28" t="s">
        <v>163</v>
      </c>
      <c r="E108" s="29">
        <v>1000</v>
      </c>
      <c r="F108" s="30">
        <v>4936.6499999999996</v>
      </c>
      <c r="G108" s="31">
        <v>6.9427899999999999E-3</v>
      </c>
      <c r="H108" s="19">
        <v>6.33</v>
      </c>
    </row>
    <row r="109" spans="1:8" x14ac:dyDescent="0.2">
      <c r="A109" s="27">
        <v>42</v>
      </c>
      <c r="B109" s="28" t="s">
        <v>431</v>
      </c>
      <c r="C109" s="28" t="s">
        <v>432</v>
      </c>
      <c r="D109" s="28" t="s">
        <v>163</v>
      </c>
      <c r="E109" s="29">
        <v>1000</v>
      </c>
      <c r="F109" s="30">
        <v>4935.9549999999999</v>
      </c>
      <c r="G109" s="31">
        <v>6.9418199999999996E-3</v>
      </c>
      <c r="H109" s="19">
        <v>5.9199000000000002</v>
      </c>
    </row>
    <row r="110" spans="1:8" x14ac:dyDescent="0.2">
      <c r="A110" s="27">
        <v>43</v>
      </c>
      <c r="B110" s="28" t="s">
        <v>433</v>
      </c>
      <c r="C110" s="28" t="s">
        <v>434</v>
      </c>
      <c r="D110" s="28" t="s">
        <v>163</v>
      </c>
      <c r="E110" s="29">
        <v>1000</v>
      </c>
      <c r="F110" s="30">
        <v>4935.58</v>
      </c>
      <c r="G110" s="31">
        <v>6.9412900000000001E-3</v>
      </c>
      <c r="H110" s="19">
        <v>5.9551999999999996</v>
      </c>
    </row>
    <row r="111" spans="1:8" ht="25.5" x14ac:dyDescent="0.2">
      <c r="A111" s="27">
        <v>44</v>
      </c>
      <c r="B111" s="28" t="s">
        <v>435</v>
      </c>
      <c r="C111" s="28" t="s">
        <v>436</v>
      </c>
      <c r="D111" s="28" t="s">
        <v>374</v>
      </c>
      <c r="E111" s="29">
        <v>1000</v>
      </c>
      <c r="F111" s="30">
        <v>4935.1000000000004</v>
      </c>
      <c r="G111" s="31">
        <v>6.9406099999999998E-3</v>
      </c>
      <c r="H111" s="19">
        <v>6</v>
      </c>
    </row>
    <row r="112" spans="1:8" x14ac:dyDescent="0.2">
      <c r="A112" s="27">
        <v>45</v>
      </c>
      <c r="B112" s="28" t="s">
        <v>437</v>
      </c>
      <c r="C112" s="28" t="s">
        <v>438</v>
      </c>
      <c r="D112" s="28" t="s">
        <v>163</v>
      </c>
      <c r="E112" s="29">
        <v>1000</v>
      </c>
      <c r="F112" s="30">
        <v>4928.2650000000003</v>
      </c>
      <c r="G112" s="31">
        <v>6.9309999999999997E-3</v>
      </c>
      <c r="H112" s="19">
        <v>6.3250000000000002</v>
      </c>
    </row>
    <row r="113" spans="1:8" x14ac:dyDescent="0.2">
      <c r="A113" s="27">
        <v>46</v>
      </c>
      <c r="B113" s="28" t="s">
        <v>439</v>
      </c>
      <c r="C113" s="28" t="s">
        <v>440</v>
      </c>
      <c r="D113" s="28" t="s">
        <v>163</v>
      </c>
      <c r="E113" s="29">
        <v>500</v>
      </c>
      <c r="F113" s="30">
        <v>2499.2125000000001</v>
      </c>
      <c r="G113" s="31">
        <v>3.51484E-3</v>
      </c>
      <c r="H113" s="19">
        <v>5.7502000000000004</v>
      </c>
    </row>
    <row r="114" spans="1:8" ht="25.5" x14ac:dyDescent="0.2">
      <c r="A114" s="27">
        <v>47</v>
      </c>
      <c r="B114" s="28" t="s">
        <v>441</v>
      </c>
      <c r="C114" s="28" t="s">
        <v>442</v>
      </c>
      <c r="D114" s="28" t="s">
        <v>163</v>
      </c>
      <c r="E114" s="29">
        <v>500</v>
      </c>
      <c r="F114" s="30">
        <v>2496.3249999999998</v>
      </c>
      <c r="G114" s="31">
        <v>3.5107799999999998E-3</v>
      </c>
      <c r="H114" s="19">
        <v>5.97</v>
      </c>
    </row>
    <row r="115" spans="1:8" ht="25.5" x14ac:dyDescent="0.2">
      <c r="A115" s="27">
        <v>48</v>
      </c>
      <c r="B115" s="28" t="s">
        <v>443</v>
      </c>
      <c r="C115" s="28" t="s">
        <v>444</v>
      </c>
      <c r="D115" s="28" t="s">
        <v>163</v>
      </c>
      <c r="E115" s="29">
        <v>500</v>
      </c>
      <c r="F115" s="30">
        <v>2474.3049999999998</v>
      </c>
      <c r="G115" s="31">
        <v>3.4798099999999998E-3</v>
      </c>
      <c r="H115" s="19">
        <v>6.4249999999999998</v>
      </c>
    </row>
    <row r="116" spans="1:8" ht="25.5" x14ac:dyDescent="0.2">
      <c r="A116" s="27">
        <v>49</v>
      </c>
      <c r="B116" s="28" t="s">
        <v>445</v>
      </c>
      <c r="C116" s="28" t="s">
        <v>446</v>
      </c>
      <c r="D116" s="28" t="s">
        <v>163</v>
      </c>
      <c r="E116" s="29">
        <v>500</v>
      </c>
      <c r="F116" s="30">
        <v>2470.8150000000001</v>
      </c>
      <c r="G116" s="31">
        <v>3.4749E-3</v>
      </c>
      <c r="H116" s="19">
        <v>6.4349999999999996</v>
      </c>
    </row>
    <row r="117" spans="1:8" x14ac:dyDescent="0.2">
      <c r="A117" s="27">
        <v>50</v>
      </c>
      <c r="B117" s="28" t="s">
        <v>447</v>
      </c>
      <c r="C117" s="28" t="s">
        <v>448</v>
      </c>
      <c r="D117" s="28" t="s">
        <v>163</v>
      </c>
      <c r="E117" s="29">
        <v>500</v>
      </c>
      <c r="F117" s="30">
        <v>2464.2725</v>
      </c>
      <c r="G117" s="31">
        <v>3.4656999999999999E-3</v>
      </c>
      <c r="H117" s="19">
        <v>6.3</v>
      </c>
    </row>
    <row r="118" spans="1:8" x14ac:dyDescent="0.2">
      <c r="A118" s="20"/>
      <c r="B118" s="20"/>
      <c r="C118" s="21" t="s">
        <v>11</v>
      </c>
      <c r="D118" s="20"/>
      <c r="E118" s="20" t="s">
        <v>12</v>
      </c>
      <c r="F118" s="26">
        <v>389316.6875</v>
      </c>
      <c r="G118" s="23">
        <v>0.54752628999999997</v>
      </c>
      <c r="H118" s="19" t="s">
        <v>12</v>
      </c>
    </row>
    <row r="119" spans="1:8" x14ac:dyDescent="0.2">
      <c r="A119" s="20"/>
      <c r="B119" s="20"/>
      <c r="C119" s="24"/>
      <c r="D119" s="20"/>
      <c r="E119" s="20"/>
      <c r="F119" s="25"/>
      <c r="G119" s="25"/>
      <c r="H119" s="19" t="s">
        <v>12</v>
      </c>
    </row>
    <row r="120" spans="1:8" x14ac:dyDescent="0.2">
      <c r="A120" s="20"/>
      <c r="B120" s="20"/>
      <c r="C120" s="21" t="s">
        <v>105</v>
      </c>
      <c r="D120" s="20"/>
      <c r="E120" s="20"/>
      <c r="F120" s="25"/>
      <c r="G120" s="25"/>
      <c r="H120" s="19" t="s">
        <v>12</v>
      </c>
    </row>
    <row r="121" spans="1:8" x14ac:dyDescent="0.2">
      <c r="A121" s="27">
        <v>1</v>
      </c>
      <c r="B121" s="28" t="s">
        <v>449</v>
      </c>
      <c r="C121" s="28" t="s">
        <v>450</v>
      </c>
      <c r="D121" s="28" t="s">
        <v>81</v>
      </c>
      <c r="E121" s="29">
        <v>20000000</v>
      </c>
      <c r="F121" s="30">
        <v>19866.14</v>
      </c>
      <c r="G121" s="31">
        <v>2.7939289999999999E-2</v>
      </c>
      <c r="H121" s="19">
        <v>5.3472</v>
      </c>
    </row>
    <row r="122" spans="1:8" x14ac:dyDescent="0.2">
      <c r="A122" s="27">
        <v>2</v>
      </c>
      <c r="B122" s="28" t="s">
        <v>451</v>
      </c>
      <c r="C122" s="28" t="s">
        <v>452</v>
      </c>
      <c r="D122" s="28" t="s">
        <v>81</v>
      </c>
      <c r="E122" s="29">
        <v>20000000</v>
      </c>
      <c r="F122" s="30">
        <v>19788.28</v>
      </c>
      <c r="G122" s="31">
        <v>2.782979E-2</v>
      </c>
      <c r="H122" s="19">
        <v>5.3498999999999999</v>
      </c>
    </row>
    <row r="123" spans="1:8" x14ac:dyDescent="0.2">
      <c r="A123" s="27">
        <v>3</v>
      </c>
      <c r="B123" s="28" t="s">
        <v>453</v>
      </c>
      <c r="C123" s="28" t="s">
        <v>454</v>
      </c>
      <c r="D123" s="28" t="s">
        <v>81</v>
      </c>
      <c r="E123" s="29">
        <v>12500000</v>
      </c>
      <c r="F123" s="30">
        <v>12494.475</v>
      </c>
      <c r="G123" s="31">
        <v>1.7571949999999999E-2</v>
      </c>
      <c r="H123" s="19">
        <v>5.3800999999999997</v>
      </c>
    </row>
    <row r="124" spans="1:8" x14ac:dyDescent="0.2">
      <c r="A124" s="27">
        <v>4</v>
      </c>
      <c r="B124" s="28" t="s">
        <v>455</v>
      </c>
      <c r="C124" s="28" t="s">
        <v>456</v>
      </c>
      <c r="D124" s="28" t="s">
        <v>81</v>
      </c>
      <c r="E124" s="29">
        <v>10000000</v>
      </c>
      <c r="F124" s="30">
        <v>9924.5</v>
      </c>
      <c r="G124" s="31">
        <v>1.3957590000000001E-2</v>
      </c>
      <c r="H124" s="19">
        <v>5.34</v>
      </c>
    </row>
    <row r="125" spans="1:8" x14ac:dyDescent="0.2">
      <c r="A125" s="27">
        <v>5</v>
      </c>
      <c r="B125" s="28" t="s">
        <v>457</v>
      </c>
      <c r="C125" s="28" t="s">
        <v>458</v>
      </c>
      <c r="D125" s="28" t="s">
        <v>81</v>
      </c>
      <c r="E125" s="29">
        <v>10000000</v>
      </c>
      <c r="F125" s="30">
        <v>9904.19</v>
      </c>
      <c r="G125" s="31">
        <v>1.392903E-2</v>
      </c>
      <c r="H125" s="19">
        <v>5.35</v>
      </c>
    </row>
    <row r="126" spans="1:8" x14ac:dyDescent="0.2">
      <c r="A126" s="27">
        <v>6</v>
      </c>
      <c r="B126" s="28" t="s">
        <v>459</v>
      </c>
      <c r="C126" s="28" t="s">
        <v>460</v>
      </c>
      <c r="D126" s="28" t="s">
        <v>81</v>
      </c>
      <c r="E126" s="29">
        <v>5000000</v>
      </c>
      <c r="F126" s="30">
        <v>4991.9750000000004</v>
      </c>
      <c r="G126" s="31">
        <v>7.0206000000000001E-3</v>
      </c>
      <c r="H126" s="19">
        <v>5.3357000000000001</v>
      </c>
    </row>
    <row r="127" spans="1:8" x14ac:dyDescent="0.2">
      <c r="A127" s="20"/>
      <c r="B127" s="20"/>
      <c r="C127" s="21" t="s">
        <v>11</v>
      </c>
      <c r="D127" s="20"/>
      <c r="E127" s="20" t="s">
        <v>12</v>
      </c>
      <c r="F127" s="26">
        <v>76969.56</v>
      </c>
      <c r="G127" s="23">
        <v>0.10824825</v>
      </c>
      <c r="H127" s="19" t="s">
        <v>12</v>
      </c>
    </row>
    <row r="128" spans="1:8" x14ac:dyDescent="0.2">
      <c r="A128" s="20"/>
      <c r="B128" s="20"/>
      <c r="C128" s="24"/>
      <c r="D128" s="20"/>
      <c r="E128" s="20"/>
      <c r="F128" s="25"/>
      <c r="G128" s="25"/>
      <c r="H128" s="19" t="s">
        <v>12</v>
      </c>
    </row>
    <row r="129" spans="1:17" x14ac:dyDescent="0.2">
      <c r="A129" s="20"/>
      <c r="B129" s="20"/>
      <c r="C129" s="21" t="s">
        <v>106</v>
      </c>
      <c r="D129" s="20"/>
      <c r="E129" s="20"/>
      <c r="F129" s="25"/>
      <c r="G129" s="25"/>
      <c r="H129" s="19" t="s">
        <v>12</v>
      </c>
    </row>
    <row r="130" spans="1:17" x14ac:dyDescent="0.2">
      <c r="A130" s="27">
        <v>1</v>
      </c>
      <c r="B130" s="28"/>
      <c r="C130" s="28" t="s">
        <v>259</v>
      </c>
      <c r="D130" s="28"/>
      <c r="E130" s="32"/>
      <c r="F130" s="30">
        <v>70611.533498300007</v>
      </c>
      <c r="G130" s="31">
        <v>9.9306469999999994E-2</v>
      </c>
      <c r="H130" s="19">
        <v>5.33</v>
      </c>
    </row>
    <row r="131" spans="1:17" x14ac:dyDescent="0.2">
      <c r="A131" s="27">
        <v>2</v>
      </c>
      <c r="B131" s="28"/>
      <c r="C131" s="28" t="s">
        <v>107</v>
      </c>
      <c r="D131" s="28"/>
      <c r="E131" s="32"/>
      <c r="F131" s="30">
        <v>10392.497387009</v>
      </c>
      <c r="G131" s="31">
        <v>1.461578E-2</v>
      </c>
      <c r="H131" s="19">
        <v>5.07</v>
      </c>
    </row>
    <row r="132" spans="1:17" x14ac:dyDescent="0.2">
      <c r="A132" s="20"/>
      <c r="B132" s="20"/>
      <c r="C132" s="21" t="s">
        <v>11</v>
      </c>
      <c r="D132" s="20"/>
      <c r="E132" s="20" t="s">
        <v>12</v>
      </c>
      <c r="F132" s="26">
        <v>81004.030885308995</v>
      </c>
      <c r="G132" s="23">
        <v>0.11392225</v>
      </c>
      <c r="H132" s="19" t="s">
        <v>12</v>
      </c>
    </row>
    <row r="133" spans="1:17" x14ac:dyDescent="0.2">
      <c r="A133" s="20"/>
      <c r="B133" s="20"/>
      <c r="C133" s="24"/>
      <c r="D133" s="20"/>
      <c r="E133" s="20"/>
      <c r="F133" s="25"/>
      <c r="G133" s="25"/>
      <c r="H133" s="19" t="s">
        <v>12</v>
      </c>
    </row>
    <row r="134" spans="1:17" x14ac:dyDescent="0.2">
      <c r="A134" s="20"/>
      <c r="B134" s="20"/>
      <c r="C134" s="21" t="s">
        <v>108</v>
      </c>
      <c r="D134" s="20"/>
      <c r="E134" s="20"/>
      <c r="F134" s="26">
        <v>695709.32088530902</v>
      </c>
      <c r="G134" s="23">
        <v>0.97843000000000002</v>
      </c>
      <c r="H134" s="19" t="s">
        <v>12</v>
      </c>
    </row>
    <row r="135" spans="1:17" x14ac:dyDescent="0.2">
      <c r="A135" s="20"/>
      <c r="B135" s="20"/>
      <c r="C135" s="25"/>
      <c r="D135" s="20"/>
      <c r="E135" s="20"/>
      <c r="F135" s="20"/>
      <c r="G135" s="20"/>
      <c r="H135" s="19" t="s">
        <v>12</v>
      </c>
    </row>
    <row r="136" spans="1:17" x14ac:dyDescent="0.2">
      <c r="A136" s="20"/>
      <c r="B136" s="20"/>
      <c r="C136" s="21" t="s">
        <v>109</v>
      </c>
      <c r="D136" s="20"/>
      <c r="E136" s="20"/>
      <c r="F136" s="20"/>
      <c r="G136" s="20"/>
      <c r="H136" s="19" t="s">
        <v>12</v>
      </c>
    </row>
    <row r="137" spans="1:17" x14ac:dyDescent="0.2">
      <c r="A137" s="20"/>
      <c r="B137" s="20"/>
      <c r="C137" s="21" t="s">
        <v>110</v>
      </c>
      <c r="D137" s="20"/>
      <c r="E137" s="20"/>
      <c r="F137" s="20"/>
      <c r="G137" s="20"/>
      <c r="H137" s="19" t="s">
        <v>12</v>
      </c>
    </row>
    <row r="138" spans="1:17" x14ac:dyDescent="0.2">
      <c r="A138" s="20"/>
      <c r="B138" s="20"/>
      <c r="C138" s="21" t="s">
        <v>11</v>
      </c>
      <c r="D138" s="20"/>
      <c r="E138" s="20" t="s">
        <v>12</v>
      </c>
      <c r="F138" s="22" t="s">
        <v>13</v>
      </c>
      <c r="G138" s="23">
        <v>0</v>
      </c>
      <c r="H138" s="19" t="s">
        <v>12</v>
      </c>
    </row>
    <row r="139" spans="1:17" x14ac:dyDescent="0.2">
      <c r="A139" s="17"/>
      <c r="B139" s="17"/>
      <c r="C139" s="75"/>
      <c r="D139" s="17"/>
      <c r="E139" s="17"/>
      <c r="F139" s="42"/>
      <c r="G139" s="42"/>
      <c r="H139" s="19" t="s">
        <v>12</v>
      </c>
    </row>
    <row r="140" spans="1:17" x14ac:dyDescent="0.2">
      <c r="A140" s="17"/>
      <c r="B140" s="17"/>
      <c r="C140" s="18" t="s">
        <v>608</v>
      </c>
      <c r="D140" s="17"/>
      <c r="E140" s="17"/>
      <c r="F140" s="42"/>
      <c r="G140" s="42"/>
      <c r="H140" s="19" t="s">
        <v>12</v>
      </c>
      <c r="K140" s="55"/>
      <c r="L140" s="55"/>
      <c r="M140" s="55"/>
      <c r="N140" s="55"/>
      <c r="O140" s="76"/>
      <c r="P140" s="76"/>
      <c r="Q140" s="76"/>
    </row>
    <row r="141" spans="1:17" ht="25.5" x14ac:dyDescent="0.2">
      <c r="A141" s="69">
        <v>1</v>
      </c>
      <c r="B141" s="70" t="s">
        <v>111</v>
      </c>
      <c r="C141" s="70" t="s">
        <v>112</v>
      </c>
      <c r="D141" s="70"/>
      <c r="E141" s="77">
        <v>13489.8614</v>
      </c>
      <c r="F141" s="72">
        <v>1513.587499753</v>
      </c>
      <c r="G141" s="73">
        <v>2.12868E-3</v>
      </c>
      <c r="H141" s="19">
        <v>9.9999999999999995E-7</v>
      </c>
    </row>
    <row r="142" spans="1:17" x14ac:dyDescent="0.2">
      <c r="A142" s="17"/>
      <c r="B142" s="17"/>
      <c r="C142" s="18" t="s">
        <v>11</v>
      </c>
      <c r="D142" s="17"/>
      <c r="E142" s="17" t="s">
        <v>12</v>
      </c>
      <c r="F142" s="78">
        <f>SUM(F141)</f>
        <v>1513.587499753</v>
      </c>
      <c r="G142" s="79">
        <f>SUM(G141)</f>
        <v>2.12868E-3</v>
      </c>
      <c r="H142" s="19" t="s">
        <v>12</v>
      </c>
    </row>
    <row r="143" spans="1:17" x14ac:dyDescent="0.2">
      <c r="A143" s="20"/>
      <c r="B143" s="20"/>
      <c r="C143" s="24"/>
      <c r="D143" s="20"/>
      <c r="E143" s="20"/>
      <c r="F143" s="25"/>
      <c r="G143" s="25"/>
      <c r="H143" s="19" t="s">
        <v>12</v>
      </c>
    </row>
    <row r="144" spans="1:17" x14ac:dyDescent="0.2">
      <c r="A144" s="20"/>
      <c r="B144" s="20"/>
      <c r="C144" s="21" t="s">
        <v>113</v>
      </c>
      <c r="D144" s="20"/>
      <c r="E144" s="20"/>
      <c r="F144" s="20"/>
      <c r="G144" s="20"/>
      <c r="H144" s="19" t="s">
        <v>12</v>
      </c>
    </row>
    <row r="145" spans="1:9" x14ac:dyDescent="0.2">
      <c r="A145" s="20"/>
      <c r="B145" s="20"/>
      <c r="C145" s="21" t="s">
        <v>114</v>
      </c>
      <c r="D145" s="20"/>
      <c r="E145" s="20"/>
      <c r="F145" s="20"/>
      <c r="G145" s="20"/>
      <c r="H145" s="19" t="s">
        <v>12</v>
      </c>
    </row>
    <row r="146" spans="1:9" x14ac:dyDescent="0.2">
      <c r="A146" s="20"/>
      <c r="B146" s="20"/>
      <c r="C146" s="21" t="s">
        <v>11</v>
      </c>
      <c r="D146" s="20"/>
      <c r="E146" s="20" t="s">
        <v>12</v>
      </c>
      <c r="F146" s="22" t="s">
        <v>13</v>
      </c>
      <c r="G146" s="23">
        <v>0</v>
      </c>
      <c r="H146" s="19" t="s">
        <v>12</v>
      </c>
    </row>
    <row r="147" spans="1:9" x14ac:dyDescent="0.2">
      <c r="A147" s="20"/>
      <c r="B147" s="20"/>
      <c r="C147" s="24"/>
      <c r="D147" s="20"/>
      <c r="E147" s="20"/>
      <c r="F147" s="25"/>
      <c r="G147" s="25"/>
      <c r="H147" s="19" t="s">
        <v>12</v>
      </c>
    </row>
    <row r="148" spans="1:9" x14ac:dyDescent="0.2">
      <c r="A148" s="20"/>
      <c r="B148" s="20"/>
      <c r="C148" s="21" t="s">
        <v>115</v>
      </c>
      <c r="D148" s="20"/>
      <c r="E148" s="20"/>
      <c r="F148" s="25"/>
      <c r="G148" s="25"/>
      <c r="H148" s="19" t="s">
        <v>12</v>
      </c>
    </row>
    <row r="149" spans="1:9" x14ac:dyDescent="0.2">
      <c r="A149" s="20"/>
      <c r="B149" s="20"/>
      <c r="C149" s="21" t="s">
        <v>11</v>
      </c>
      <c r="D149" s="20"/>
      <c r="E149" s="20" t="s">
        <v>12</v>
      </c>
      <c r="F149" s="22" t="s">
        <v>13</v>
      </c>
      <c r="G149" s="23">
        <v>0</v>
      </c>
      <c r="H149" s="19" t="s">
        <v>12</v>
      </c>
    </row>
    <row r="150" spans="1:9" x14ac:dyDescent="0.2">
      <c r="A150" s="20"/>
      <c r="B150" s="28"/>
      <c r="C150" s="28"/>
      <c r="D150" s="21"/>
      <c r="E150" s="20"/>
      <c r="F150" s="28"/>
      <c r="G150" s="32"/>
      <c r="H150" s="19" t="s">
        <v>12</v>
      </c>
    </row>
    <row r="151" spans="1:9" x14ac:dyDescent="0.2">
      <c r="A151" s="32"/>
      <c r="B151" s="28"/>
      <c r="C151" s="28" t="s">
        <v>116</v>
      </c>
      <c r="D151" s="28"/>
      <c r="E151" s="32"/>
      <c r="F151" s="30">
        <f>-1199.07805373-F25-0.00323330200195313</f>
        <v>-1199.231287032002</v>
      </c>
      <c r="G151" s="31">
        <v>-1.68636E-3</v>
      </c>
      <c r="H151" s="19" t="s">
        <v>12</v>
      </c>
    </row>
    <row r="152" spans="1:9" x14ac:dyDescent="0.2">
      <c r="A152" s="24"/>
      <c r="B152" s="24"/>
      <c r="C152" s="21" t="s">
        <v>117</v>
      </c>
      <c r="D152" s="25"/>
      <c r="E152" s="25"/>
      <c r="F152" s="26">
        <f>711046.635331332-0.00323330200195313</f>
        <v>711046.63209802995</v>
      </c>
      <c r="G152" s="33">
        <v>1.0000000499999999</v>
      </c>
      <c r="H152" s="19" t="s">
        <v>12</v>
      </c>
    </row>
    <row r="153" spans="1:9" x14ac:dyDescent="0.2">
      <c r="A153" s="34"/>
      <c r="B153" s="34"/>
      <c r="C153" s="34"/>
      <c r="D153" s="35"/>
      <c r="E153" s="35"/>
      <c r="F153" s="35"/>
      <c r="G153" s="35"/>
    </row>
    <row r="154" spans="1:9" x14ac:dyDescent="0.2">
      <c r="A154" s="36"/>
      <c r="B154" s="169" t="s">
        <v>609</v>
      </c>
      <c r="C154" s="169"/>
      <c r="D154" s="169"/>
      <c r="E154" s="169"/>
      <c r="F154" s="169"/>
      <c r="G154" s="169"/>
      <c r="H154" s="169"/>
    </row>
    <row r="155" spans="1:9" x14ac:dyDescent="0.2">
      <c r="A155" s="36"/>
      <c r="B155" s="169" t="s">
        <v>610</v>
      </c>
      <c r="C155" s="169"/>
      <c r="D155" s="169"/>
      <c r="E155" s="169"/>
      <c r="F155" s="169"/>
      <c r="G155" s="169"/>
      <c r="H155" s="169"/>
    </row>
    <row r="156" spans="1:9" x14ac:dyDescent="0.2">
      <c r="A156" s="36"/>
      <c r="B156" s="169" t="s">
        <v>611</v>
      </c>
      <c r="C156" s="169"/>
      <c r="D156" s="169"/>
      <c r="E156" s="169"/>
      <c r="F156" s="169"/>
      <c r="G156" s="169"/>
      <c r="H156" s="169"/>
    </row>
    <row r="157" spans="1:9" x14ac:dyDescent="0.2">
      <c r="A157" s="36"/>
      <c r="B157" s="203" t="s">
        <v>674</v>
      </c>
      <c r="C157" s="169"/>
      <c r="D157" s="169"/>
      <c r="E157" s="169"/>
      <c r="F157" s="169"/>
      <c r="G157" s="169"/>
      <c r="H157" s="169"/>
      <c r="I157" s="117"/>
    </row>
    <row r="158" spans="1:9" x14ac:dyDescent="0.2">
      <c r="A158" s="38"/>
      <c r="B158" s="38"/>
      <c r="C158" s="38"/>
      <c r="D158" s="39"/>
      <c r="E158" s="39"/>
      <c r="F158" s="39"/>
      <c r="G158" s="39"/>
    </row>
    <row r="159" spans="1:9" x14ac:dyDescent="0.2">
      <c r="A159" s="36"/>
      <c r="B159" s="170" t="s">
        <v>118</v>
      </c>
      <c r="C159" s="171"/>
      <c r="D159" s="172"/>
      <c r="E159" s="40"/>
      <c r="F159" s="41"/>
      <c r="G159" s="41"/>
    </row>
    <row r="160" spans="1:9" ht="25.5" x14ac:dyDescent="0.2">
      <c r="A160" s="36"/>
      <c r="B160" s="161" t="s">
        <v>119</v>
      </c>
      <c r="C160" s="162"/>
      <c r="D160" s="18" t="s">
        <v>636</v>
      </c>
      <c r="E160" s="40"/>
      <c r="F160" s="41"/>
      <c r="G160" s="41"/>
    </row>
    <row r="161" spans="1:7" x14ac:dyDescent="0.2">
      <c r="A161" s="36"/>
      <c r="B161" s="161" t="s">
        <v>121</v>
      </c>
      <c r="C161" s="162"/>
      <c r="D161" s="18" t="s">
        <v>120</v>
      </c>
      <c r="E161" s="40"/>
      <c r="F161" s="41"/>
      <c r="G161" s="41"/>
    </row>
    <row r="162" spans="1:7" x14ac:dyDescent="0.2">
      <c r="A162" s="36"/>
      <c r="B162" s="161" t="s">
        <v>122</v>
      </c>
      <c r="C162" s="162"/>
      <c r="D162" s="42" t="s">
        <v>12</v>
      </c>
      <c r="E162" s="40"/>
      <c r="F162" s="41"/>
      <c r="G162" s="41"/>
    </row>
    <row r="163" spans="1:7" x14ac:dyDescent="0.2">
      <c r="A163" s="43"/>
      <c r="B163" s="44" t="s">
        <v>12</v>
      </c>
      <c r="C163" s="44" t="s">
        <v>612</v>
      </c>
      <c r="D163" s="44" t="s">
        <v>123</v>
      </c>
      <c r="E163" s="43"/>
      <c r="F163" s="43"/>
      <c r="G163" s="43"/>
    </row>
    <row r="164" spans="1:7" x14ac:dyDescent="0.2">
      <c r="A164" s="43"/>
      <c r="B164" s="45" t="s">
        <v>124</v>
      </c>
      <c r="C164" s="46">
        <v>45808</v>
      </c>
      <c r="D164" s="46">
        <v>45823</v>
      </c>
      <c r="E164" s="43"/>
      <c r="F164" s="43"/>
      <c r="G164" s="43"/>
    </row>
    <row r="165" spans="1:7" x14ac:dyDescent="0.2">
      <c r="A165" s="47"/>
      <c r="B165" s="28" t="s">
        <v>125</v>
      </c>
      <c r="C165" s="48">
        <v>2318.3247000000001</v>
      </c>
      <c r="D165" s="48">
        <v>2324.5508</v>
      </c>
      <c r="E165" s="47"/>
      <c r="F165" s="49"/>
      <c r="G165" s="50"/>
    </row>
    <row r="166" spans="1:7" x14ac:dyDescent="0.2">
      <c r="A166" s="47"/>
      <c r="B166" s="28" t="s">
        <v>170</v>
      </c>
      <c r="C166" s="48">
        <v>1274.8524</v>
      </c>
      <c r="D166" s="48">
        <v>1278.2746999999999</v>
      </c>
      <c r="E166" s="47"/>
      <c r="F166" s="49"/>
      <c r="G166" s="50"/>
    </row>
    <row r="167" spans="1:7" ht="25.5" x14ac:dyDescent="0.2">
      <c r="A167" s="47"/>
      <c r="B167" s="28" t="s">
        <v>737</v>
      </c>
      <c r="C167" s="48">
        <v>1030.0181</v>
      </c>
      <c r="D167" s="48">
        <v>1032.7844</v>
      </c>
      <c r="E167" s="47"/>
      <c r="F167" s="49"/>
      <c r="G167" s="50"/>
    </row>
    <row r="168" spans="1:7" ht="25.5" x14ac:dyDescent="0.2">
      <c r="A168" s="47"/>
      <c r="B168" s="28" t="s">
        <v>738</v>
      </c>
      <c r="C168" s="48">
        <v>1164.7715000000001</v>
      </c>
      <c r="D168" s="48">
        <v>1150.6284000000001</v>
      </c>
      <c r="E168" s="47"/>
      <c r="F168" s="49"/>
      <c r="G168" s="50"/>
    </row>
    <row r="169" spans="1:7" x14ac:dyDescent="0.2">
      <c r="A169" s="47"/>
      <c r="B169" s="28" t="s">
        <v>126</v>
      </c>
      <c r="C169" s="48">
        <v>2291.8989999999999</v>
      </c>
      <c r="D169" s="48">
        <v>2297.8746000000001</v>
      </c>
      <c r="E169" s="47"/>
      <c r="F169" s="49"/>
      <c r="G169" s="50"/>
    </row>
    <row r="170" spans="1:7" x14ac:dyDescent="0.2">
      <c r="A170" s="47"/>
      <c r="B170" s="28" t="s">
        <v>171</v>
      </c>
      <c r="C170" s="48">
        <v>1268.6353999999999</v>
      </c>
      <c r="D170" s="48">
        <v>1271.9431</v>
      </c>
      <c r="E170" s="47"/>
      <c r="F170" s="49"/>
      <c r="G170" s="50"/>
    </row>
    <row r="171" spans="1:7" ht="25.5" x14ac:dyDescent="0.2">
      <c r="A171" s="47"/>
      <c r="B171" s="28" t="s">
        <v>741</v>
      </c>
      <c r="C171" s="48">
        <v>1029.2915</v>
      </c>
      <c r="D171" s="48">
        <v>1031.9752000000001</v>
      </c>
      <c r="E171" s="47"/>
      <c r="F171" s="49"/>
      <c r="G171" s="50"/>
    </row>
    <row r="172" spans="1:7" ht="25.5" x14ac:dyDescent="0.2">
      <c r="A172" s="47"/>
      <c r="B172" s="28" t="s">
        <v>713</v>
      </c>
      <c r="C172" s="48">
        <v>1159.2766999999999</v>
      </c>
      <c r="D172" s="48">
        <v>1145.1039000000001</v>
      </c>
      <c r="E172" s="47"/>
      <c r="F172" s="49"/>
      <c r="G172" s="50"/>
    </row>
    <row r="173" spans="1:7" x14ac:dyDescent="0.2">
      <c r="A173" s="47"/>
      <c r="B173" s="47"/>
      <c r="C173" s="47"/>
      <c r="D173" s="47"/>
      <c r="E173" s="47"/>
      <c r="F173" s="47"/>
      <c r="G173" s="47"/>
    </row>
    <row r="174" spans="1:7" x14ac:dyDescent="0.2">
      <c r="A174" s="47"/>
      <c r="B174" s="164" t="s">
        <v>714</v>
      </c>
      <c r="C174" s="165"/>
      <c r="D174" s="21" t="s">
        <v>12</v>
      </c>
      <c r="E174" s="47"/>
      <c r="F174" s="47"/>
      <c r="G174" s="47"/>
    </row>
    <row r="175" spans="1:7" x14ac:dyDescent="0.2">
      <c r="A175" s="47"/>
      <c r="B175" s="80" t="s">
        <v>124</v>
      </c>
      <c r="C175" s="81" t="s">
        <v>127</v>
      </c>
      <c r="D175" s="81" t="s">
        <v>128</v>
      </c>
      <c r="E175" s="47"/>
      <c r="F175" s="47"/>
      <c r="G175" s="47"/>
    </row>
    <row r="176" spans="1:7" ht="25.5" x14ac:dyDescent="0.2">
      <c r="A176" s="47"/>
      <c r="B176" s="28" t="s">
        <v>738</v>
      </c>
      <c r="C176" s="82">
        <v>17.259</v>
      </c>
      <c r="D176" s="32" t="s">
        <v>129</v>
      </c>
      <c r="E176" s="47"/>
      <c r="F176" s="49"/>
      <c r="G176" s="50"/>
    </row>
    <row r="177" spans="1:17" ht="25.5" x14ac:dyDescent="0.2">
      <c r="A177" s="47"/>
      <c r="B177" s="28" t="s">
        <v>713</v>
      </c>
      <c r="C177" s="82">
        <v>17.187999999999999</v>
      </c>
      <c r="D177" s="32" t="s">
        <v>129</v>
      </c>
      <c r="E177" s="47"/>
      <c r="F177" s="49"/>
      <c r="G177" s="50"/>
    </row>
    <row r="178" spans="1:17" x14ac:dyDescent="0.2">
      <c r="A178" s="47"/>
      <c r="B178" s="83"/>
      <c r="C178" s="83"/>
      <c r="D178" s="84"/>
      <c r="E178" s="47"/>
      <c r="F178" s="49"/>
      <c r="G178" s="50"/>
    </row>
    <row r="179" spans="1:17" s="57" customFormat="1" x14ac:dyDescent="0.2">
      <c r="A179" s="98"/>
      <c r="B179" s="161" t="s">
        <v>625</v>
      </c>
      <c r="C179" s="162"/>
      <c r="D179" s="18" t="s">
        <v>120</v>
      </c>
      <c r="E179" s="98"/>
      <c r="F179" s="98"/>
      <c r="G179" s="98"/>
      <c r="I179" s="117"/>
      <c r="J179" s="16"/>
      <c r="K179" s="55"/>
      <c r="L179" s="55"/>
      <c r="M179" s="55"/>
      <c r="N179" s="55"/>
      <c r="O179" s="58"/>
      <c r="P179"/>
      <c r="Q179"/>
    </row>
    <row r="180" spans="1:17" x14ac:dyDescent="0.2">
      <c r="A180" s="43"/>
      <c r="B180" s="161" t="s">
        <v>626</v>
      </c>
      <c r="C180" s="162"/>
      <c r="D180" s="18" t="s">
        <v>120</v>
      </c>
      <c r="E180" s="54"/>
      <c r="F180" s="43"/>
      <c r="G180" s="43"/>
      <c r="I180" s="117"/>
      <c r="J180" s="16"/>
    </row>
    <row r="181" spans="1:17" x14ac:dyDescent="0.2">
      <c r="A181" s="43"/>
      <c r="B181" s="161" t="s">
        <v>627</v>
      </c>
      <c r="C181" s="162"/>
      <c r="D181" s="18" t="s">
        <v>120</v>
      </c>
      <c r="E181" s="54"/>
      <c r="F181" s="43"/>
      <c r="G181" s="43"/>
      <c r="I181" s="117"/>
      <c r="J181" s="16"/>
    </row>
    <row r="182" spans="1:17" x14ac:dyDescent="0.2">
      <c r="A182" s="43"/>
      <c r="B182" s="161" t="s">
        <v>628</v>
      </c>
      <c r="C182" s="162"/>
      <c r="D182" s="18" t="s">
        <v>120</v>
      </c>
      <c r="E182" s="54"/>
      <c r="F182" s="43"/>
      <c r="G182" s="43"/>
      <c r="I182" s="117"/>
      <c r="J182" s="16"/>
    </row>
    <row r="183" spans="1:17" x14ac:dyDescent="0.2">
      <c r="A183" s="56"/>
      <c r="B183" s="56"/>
      <c r="C183" s="56"/>
      <c r="D183" s="56"/>
      <c r="E183" s="56"/>
      <c r="F183" s="56"/>
      <c r="G183" s="56"/>
      <c r="I183" s="117"/>
      <c r="J183" s="16"/>
    </row>
    <row r="184" spans="1:17" s="57" customFormat="1" x14ac:dyDescent="0.2">
      <c r="B184" s="139" t="s">
        <v>745</v>
      </c>
      <c r="C184" s="139"/>
      <c r="D184" s="139"/>
      <c r="E184" s="139"/>
      <c r="F184" s="139"/>
      <c r="G184" s="139"/>
      <c r="I184" s="117"/>
      <c r="J184" s="16"/>
      <c r="K184" s="55"/>
      <c r="L184" s="55"/>
      <c r="M184" s="55"/>
      <c r="N184" s="55"/>
      <c r="O184"/>
    </row>
    <row r="185" spans="1:17" ht="13.5" customHeight="1" x14ac:dyDescent="0.2">
      <c r="B185" s="190" t="s">
        <v>638</v>
      </c>
      <c r="C185" s="190" t="s">
        <v>639</v>
      </c>
      <c r="D185" s="193" t="s">
        <v>649</v>
      </c>
      <c r="E185" s="194"/>
      <c r="F185" s="195"/>
      <c r="G185" s="196" t="s">
        <v>657</v>
      </c>
      <c r="H185" s="197"/>
      <c r="I185" s="198"/>
      <c r="J185" s="55"/>
      <c r="K185" s="55"/>
      <c r="L185" s="55"/>
      <c r="M185" s="55"/>
      <c r="N185" s="55"/>
      <c r="O185" s="55"/>
    </row>
    <row r="186" spans="1:17" ht="46.5" customHeight="1" x14ac:dyDescent="0.2">
      <c r="B186" s="191"/>
      <c r="C186" s="191"/>
      <c r="D186" s="188" t="s">
        <v>658</v>
      </c>
      <c r="E186" s="188" t="s">
        <v>659</v>
      </c>
      <c r="F186" s="188" t="s">
        <v>660</v>
      </c>
      <c r="G186" s="199" t="s">
        <v>675</v>
      </c>
      <c r="H186" s="200"/>
      <c r="I186" s="188" t="s">
        <v>662</v>
      </c>
      <c r="J186" s="55"/>
      <c r="K186" s="55"/>
      <c r="L186" s="55"/>
      <c r="M186" s="55"/>
      <c r="N186" s="55"/>
      <c r="O186" s="55"/>
    </row>
    <row r="187" spans="1:17" ht="21" customHeight="1" x14ac:dyDescent="0.2">
      <c r="B187" s="192"/>
      <c r="C187" s="192"/>
      <c r="D187" s="189"/>
      <c r="E187" s="189"/>
      <c r="F187" s="189"/>
      <c r="G187" s="87" t="s">
        <v>663</v>
      </c>
      <c r="H187" s="87" t="s">
        <v>664</v>
      </c>
      <c r="I187" s="189"/>
      <c r="J187" s="55"/>
      <c r="K187" s="55"/>
      <c r="L187" s="55"/>
      <c r="M187" s="55"/>
      <c r="N187" s="55"/>
      <c r="O187" s="55"/>
    </row>
    <row r="188" spans="1:17" ht="13.5" x14ac:dyDescent="0.25">
      <c r="B188" s="91" t="s">
        <v>665</v>
      </c>
      <c r="C188" s="90" t="s">
        <v>666</v>
      </c>
      <c r="D188" s="157">
        <v>5523.9823999999999</v>
      </c>
      <c r="E188" s="10">
        <v>126.0176</v>
      </c>
      <c r="F188" s="155">
        <f>D188+E188</f>
        <v>5650</v>
      </c>
      <c r="G188" s="8">
        <v>239.15547683099999</v>
      </c>
      <c r="H188" s="8">
        <v>150.66</v>
      </c>
      <c r="I188" s="8">
        <f>G188+H188</f>
        <v>389.81547683099996</v>
      </c>
      <c r="J188" s="55"/>
      <c r="K188" s="55"/>
      <c r="L188" s="55"/>
      <c r="M188" s="55"/>
      <c r="N188" s="55"/>
      <c r="O188" s="55"/>
    </row>
    <row r="189" spans="1:17" ht="6.75" customHeight="1" x14ac:dyDescent="0.25">
      <c r="B189" s="145"/>
      <c r="C189" s="146"/>
      <c r="D189" s="147"/>
      <c r="E189" s="11"/>
      <c r="F189" s="148"/>
      <c r="G189" s="9"/>
      <c r="H189" s="9"/>
      <c r="I189" s="9"/>
      <c r="J189" s="55"/>
      <c r="K189" s="55"/>
      <c r="L189" s="55"/>
      <c r="M189" s="55"/>
      <c r="N189" s="55"/>
      <c r="O189" s="55"/>
    </row>
    <row r="190" spans="1:17" ht="51" customHeight="1" x14ac:dyDescent="0.2">
      <c r="B190" s="187" t="s">
        <v>667</v>
      </c>
      <c r="C190" s="187"/>
      <c r="D190" s="187"/>
      <c r="E190" s="187"/>
      <c r="F190" s="187"/>
      <c r="G190" s="187"/>
      <c r="H190" s="187"/>
      <c r="I190" s="187"/>
      <c r="J190" s="149"/>
      <c r="K190" s="55"/>
      <c r="L190" s="55"/>
      <c r="M190" s="55"/>
      <c r="N190" s="55"/>
      <c r="O190" s="55"/>
    </row>
    <row r="191" spans="1:17" ht="13.5" x14ac:dyDescent="0.25">
      <c r="B191" s="96" t="s">
        <v>668</v>
      </c>
      <c r="I191" s="55"/>
      <c r="J191" s="16"/>
      <c r="K191" s="55"/>
      <c r="L191" s="55"/>
      <c r="M191" s="55"/>
      <c r="N191" s="55"/>
      <c r="O191" s="55"/>
      <c r="P191" s="55"/>
    </row>
    <row r="192" spans="1:17" x14ac:dyDescent="0.2">
      <c r="B192" s="97"/>
      <c r="J192" s="16"/>
      <c r="K192" s="55"/>
      <c r="L192" s="55"/>
      <c r="M192" s="55"/>
      <c r="N192" s="55"/>
      <c r="O192" s="55"/>
    </row>
    <row r="193" spans="2:18" x14ac:dyDescent="0.2">
      <c r="B193" s="97" t="s">
        <v>672</v>
      </c>
      <c r="J193" s="16"/>
      <c r="K193" s="55"/>
      <c r="L193" s="55"/>
      <c r="M193" s="55"/>
      <c r="N193" s="55"/>
      <c r="O193" s="55"/>
    </row>
    <row r="194" spans="2:18" s="57" customFormat="1" x14ac:dyDescent="0.2">
      <c r="I194" s="117"/>
      <c r="J194" s="16"/>
      <c r="K194" s="55"/>
      <c r="L194" s="55"/>
      <c r="M194" s="55"/>
      <c r="N194" s="55"/>
      <c r="O194"/>
      <c r="R194"/>
    </row>
    <row r="195" spans="2:18" s="57" customFormat="1" x14ac:dyDescent="0.2">
      <c r="B195" s="166" t="s">
        <v>614</v>
      </c>
      <c r="C195" s="167"/>
      <c r="D195" s="168"/>
      <c r="I195" s="117"/>
      <c r="J195" s="16"/>
      <c r="K195" s="55"/>
      <c r="L195" s="55"/>
      <c r="M195" s="55"/>
      <c r="N195" s="55"/>
      <c r="O195"/>
      <c r="R195"/>
    </row>
    <row r="196" spans="2:18" s="57" customFormat="1" ht="25.5" x14ac:dyDescent="0.2">
      <c r="B196" s="163" t="s">
        <v>615</v>
      </c>
      <c r="C196" s="163"/>
      <c r="D196" s="59" t="s">
        <v>306</v>
      </c>
      <c r="I196" s="117"/>
      <c r="J196" s="16"/>
      <c r="K196" s="55"/>
      <c r="L196" s="55"/>
      <c r="M196" s="55"/>
      <c r="N196" s="55"/>
      <c r="O196"/>
      <c r="R196"/>
    </row>
    <row r="197" spans="2:18" s="57" customFormat="1" x14ac:dyDescent="0.2">
      <c r="B197" s="174" t="s">
        <v>616</v>
      </c>
      <c r="C197" s="174"/>
      <c r="D197" s="60"/>
      <c r="I197" s="117"/>
      <c r="J197" s="16"/>
      <c r="K197" s="55"/>
      <c r="L197" s="55"/>
      <c r="M197" s="55"/>
      <c r="N197" s="55"/>
      <c r="O197"/>
      <c r="R197"/>
    </row>
    <row r="198" spans="2:18" s="57" customFormat="1" x14ac:dyDescent="0.2">
      <c r="B198" s="174"/>
      <c r="C198" s="174"/>
      <c r="D198" s="61"/>
      <c r="I198" s="117"/>
      <c r="J198" s="16"/>
      <c r="K198" s="55"/>
      <c r="L198" s="55"/>
      <c r="M198" s="55"/>
      <c r="N198" s="55"/>
      <c r="O198"/>
      <c r="R198"/>
    </row>
    <row r="199" spans="2:18" s="57" customFormat="1" x14ac:dyDescent="0.2">
      <c r="B199" s="174" t="s">
        <v>617</v>
      </c>
      <c r="C199" s="174"/>
      <c r="D199" s="62">
        <v>5.8025112130500691</v>
      </c>
      <c r="I199" s="117"/>
      <c r="J199" s="16"/>
      <c r="K199" s="55"/>
      <c r="L199" s="55"/>
      <c r="M199" s="55"/>
      <c r="N199" s="55"/>
      <c r="O199"/>
      <c r="R199"/>
    </row>
    <row r="200" spans="2:18" s="57" customFormat="1" x14ac:dyDescent="0.2">
      <c r="B200" s="174"/>
      <c r="C200" s="174"/>
      <c r="D200" s="61"/>
      <c r="I200" s="117"/>
      <c r="J200" s="16"/>
      <c r="K200" s="55"/>
      <c r="L200" s="55"/>
      <c r="M200" s="55"/>
      <c r="N200" s="55"/>
      <c r="O200"/>
      <c r="R200"/>
    </row>
    <row r="201" spans="2:18" s="57" customFormat="1" x14ac:dyDescent="0.2">
      <c r="B201" s="174" t="s">
        <v>618</v>
      </c>
      <c r="C201" s="174"/>
      <c r="D201" s="62">
        <v>0.12876914939668402</v>
      </c>
      <c r="I201" s="117"/>
      <c r="J201" s="16"/>
      <c r="K201" s="55"/>
      <c r="L201" s="55"/>
      <c r="M201" s="55"/>
      <c r="N201" s="55"/>
      <c r="O201"/>
      <c r="R201"/>
    </row>
    <row r="202" spans="2:18" s="57" customFormat="1" x14ac:dyDescent="0.2">
      <c r="B202" s="174" t="s">
        <v>619</v>
      </c>
      <c r="C202" s="174"/>
      <c r="D202" s="62">
        <v>0.1288513493652762</v>
      </c>
      <c r="I202" s="117"/>
      <c r="J202" s="16"/>
      <c r="K202" s="55"/>
      <c r="L202" s="55"/>
      <c r="M202" s="55"/>
      <c r="N202" s="55"/>
      <c r="O202"/>
      <c r="R202"/>
    </row>
    <row r="203" spans="2:18" s="57" customFormat="1" x14ac:dyDescent="0.2">
      <c r="B203" s="174"/>
      <c r="C203" s="174"/>
      <c r="D203" s="61"/>
      <c r="I203" s="117"/>
      <c r="J203" s="16"/>
      <c r="K203" s="55"/>
      <c r="L203" s="55"/>
      <c r="M203" s="55"/>
      <c r="N203" s="55"/>
      <c r="O203"/>
      <c r="P203"/>
      <c r="Q203"/>
      <c r="R203"/>
    </row>
    <row r="204" spans="2:18" s="57" customFormat="1" x14ac:dyDescent="0.2">
      <c r="B204" s="174" t="s">
        <v>620</v>
      </c>
      <c r="C204" s="174"/>
      <c r="D204" s="64" t="s">
        <v>744</v>
      </c>
      <c r="I204" s="117"/>
      <c r="J204" s="16"/>
      <c r="K204" s="55"/>
      <c r="L204" s="55"/>
      <c r="M204" s="55"/>
      <c r="N204" s="55"/>
      <c r="O204" s="58"/>
    </row>
    <row r="205" spans="2:18" s="57" customFormat="1" x14ac:dyDescent="0.2">
      <c r="B205" s="175" t="s">
        <v>621</v>
      </c>
      <c r="C205" s="177"/>
      <c r="D205" s="176"/>
      <c r="I205" s="117"/>
      <c r="J205" s="16"/>
      <c r="K205" s="55"/>
      <c r="L205" s="55"/>
      <c r="M205" s="55"/>
      <c r="N205" s="55"/>
      <c r="O205"/>
      <c r="P205"/>
      <c r="Q205"/>
      <c r="R205"/>
    </row>
    <row r="206" spans="2:18" x14ac:dyDescent="0.2">
      <c r="I206" s="117"/>
      <c r="J206" s="16"/>
    </row>
    <row r="207" spans="2:18" ht="25.5" x14ac:dyDescent="0.2">
      <c r="B207" s="66" t="s">
        <v>622</v>
      </c>
      <c r="I207" s="117"/>
    </row>
    <row r="208" spans="2:18" x14ac:dyDescent="0.2">
      <c r="I208" s="117"/>
    </row>
    <row r="209" spans="2:10" ht="153.75" customHeight="1" x14ac:dyDescent="0.2">
      <c r="I209" s="117"/>
    </row>
    <row r="210" spans="2:10" x14ac:dyDescent="0.2">
      <c r="I210" s="117"/>
    </row>
    <row r="211" spans="2:10" x14ac:dyDescent="0.2">
      <c r="I211" s="117"/>
    </row>
    <row r="212" spans="2:10" x14ac:dyDescent="0.2">
      <c r="B212" s="67" t="s">
        <v>623</v>
      </c>
      <c r="C212" s="68"/>
      <c r="D212" s="67"/>
      <c r="I212" s="117"/>
    </row>
    <row r="213" spans="2:10" x14ac:dyDescent="0.2">
      <c r="B213" s="67" t="s">
        <v>676</v>
      </c>
      <c r="D213" s="67"/>
      <c r="I213" s="117"/>
    </row>
    <row r="214" spans="2:10" ht="165" customHeight="1" x14ac:dyDescent="0.2">
      <c r="I214" s="117"/>
    </row>
    <row r="215" spans="2:10" x14ac:dyDescent="0.2">
      <c r="I215" s="117"/>
    </row>
    <row r="216" spans="2:10" x14ac:dyDescent="0.2">
      <c r="I216" s="117"/>
      <c r="J216" s="16"/>
    </row>
  </sheetData>
  <mergeCells count="37">
    <mergeCell ref="B204:C204"/>
    <mergeCell ref="B205:D205"/>
    <mergeCell ref="B199:C199"/>
    <mergeCell ref="B200:C200"/>
    <mergeCell ref="B201:C201"/>
    <mergeCell ref="B202:C202"/>
    <mergeCell ref="B203:C203"/>
    <mergeCell ref="B190:I190"/>
    <mergeCell ref="B195:D195"/>
    <mergeCell ref="B196:C196"/>
    <mergeCell ref="B197:C197"/>
    <mergeCell ref="B198:C198"/>
    <mergeCell ref="B185:B187"/>
    <mergeCell ref="C185:C187"/>
    <mergeCell ref="D185:F185"/>
    <mergeCell ref="G185:I185"/>
    <mergeCell ref="D186:D187"/>
    <mergeCell ref="E186:E187"/>
    <mergeCell ref="F186:F187"/>
    <mergeCell ref="G186:H186"/>
    <mergeCell ref="I186:I187"/>
    <mergeCell ref="A1:H1"/>
    <mergeCell ref="A2:H2"/>
    <mergeCell ref="A3:H3"/>
    <mergeCell ref="B154:H154"/>
    <mergeCell ref="B155:H155"/>
    <mergeCell ref="B156:H156"/>
    <mergeCell ref="B159:D159"/>
    <mergeCell ref="B160:C160"/>
    <mergeCell ref="B161:C161"/>
    <mergeCell ref="B162:C162"/>
    <mergeCell ref="B157:H157"/>
    <mergeCell ref="B181:C181"/>
    <mergeCell ref="B182:C182"/>
    <mergeCell ref="B174:C174"/>
    <mergeCell ref="B180:C180"/>
    <mergeCell ref="B179:C179"/>
  </mergeCells>
  <hyperlinks>
    <hyperlink ref="I1" location="Index!B2" display="Index" xr:uid="{5C7DFDFC-07C5-4C57-9A7F-3CB49E77D7F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5DB2-1063-47D9-B71F-BF0AB5D300DF}">
  <sheetPr>
    <outlinePr summaryBelow="0" summaryRight="0"/>
  </sheetPr>
  <dimension ref="A1:S181"/>
  <sheetViews>
    <sheetView showGridLines="0" workbookViewId="0">
      <selection activeCell="A2" sqref="A2:H2"/>
    </sheetView>
  </sheetViews>
  <sheetFormatPr defaultRowHeight="12.75" x14ac:dyDescent="0.2"/>
  <cols>
    <col min="1" max="1" width="5.85546875" bestFit="1" customWidth="1"/>
    <col min="2" max="2" width="20.28515625" bestFit="1" customWidth="1"/>
    <col min="3" max="3" width="40.85546875" customWidth="1"/>
    <col min="4" max="4" width="11.42578125" customWidth="1"/>
    <col min="5" max="5" width="8.7109375" bestFit="1" customWidth="1"/>
    <col min="6" max="6" width="10.140625" bestFit="1" customWidth="1"/>
    <col min="7" max="7" width="14" bestFit="1" customWidth="1"/>
    <col min="8" max="8" width="11" customWidth="1"/>
  </cols>
  <sheetData>
    <row r="1" spans="1:9" ht="15" x14ac:dyDescent="0.2">
      <c r="A1" s="173" t="s">
        <v>0</v>
      </c>
      <c r="B1" s="173"/>
      <c r="C1" s="173"/>
      <c r="D1" s="173"/>
      <c r="E1" s="173"/>
      <c r="F1" s="173"/>
      <c r="G1" s="173"/>
      <c r="H1" s="173"/>
      <c r="I1" s="1" t="s">
        <v>594</v>
      </c>
    </row>
    <row r="2" spans="1:9" ht="15" x14ac:dyDescent="0.2">
      <c r="A2" s="173" t="s">
        <v>461</v>
      </c>
      <c r="B2" s="173"/>
      <c r="C2" s="173"/>
      <c r="D2" s="173"/>
      <c r="E2" s="173"/>
      <c r="F2" s="173"/>
      <c r="G2" s="173"/>
      <c r="H2" s="173"/>
    </row>
    <row r="3" spans="1:9" ht="15" x14ac:dyDescent="0.2">
      <c r="A3" s="173" t="s">
        <v>750</v>
      </c>
      <c r="B3" s="173"/>
      <c r="C3" s="173"/>
      <c r="D3" s="173"/>
      <c r="E3" s="173"/>
      <c r="F3" s="173"/>
      <c r="G3" s="173"/>
      <c r="H3" s="173"/>
    </row>
    <row r="4" spans="1:9" s="16" customFormat="1" ht="30" x14ac:dyDescent="0.2">
      <c r="A4" s="14" t="s">
        <v>2</v>
      </c>
      <c r="B4" s="14" t="s">
        <v>3</v>
      </c>
      <c r="C4" s="14" t="s">
        <v>4</v>
      </c>
      <c r="D4" s="14" t="s">
        <v>5</v>
      </c>
      <c r="E4" s="14" t="s">
        <v>6</v>
      </c>
      <c r="F4" s="14" t="s">
        <v>7</v>
      </c>
      <c r="G4" s="14" t="s">
        <v>8</v>
      </c>
      <c r="H4" s="15" t="s">
        <v>593</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x14ac:dyDescent="0.2">
      <c r="A28" s="27">
        <v>1</v>
      </c>
      <c r="B28" s="28" t="s">
        <v>269</v>
      </c>
      <c r="C28" s="28" t="s">
        <v>270</v>
      </c>
      <c r="D28" s="28" t="s">
        <v>263</v>
      </c>
      <c r="E28" s="29">
        <v>1100</v>
      </c>
      <c r="F28" s="30">
        <v>1105.5968</v>
      </c>
      <c r="G28" s="31">
        <v>5.1110589999999997E-2</v>
      </c>
      <c r="H28" s="19">
        <v>7.4249999999999998</v>
      </c>
    </row>
    <row r="29" spans="1:8" ht="25.5" x14ac:dyDescent="0.2">
      <c r="A29" s="27">
        <v>2</v>
      </c>
      <c r="B29" s="28" t="s">
        <v>33</v>
      </c>
      <c r="C29" s="28" t="s">
        <v>34</v>
      </c>
      <c r="D29" s="28" t="s">
        <v>23</v>
      </c>
      <c r="E29" s="29">
        <v>1000</v>
      </c>
      <c r="F29" s="30">
        <v>1027.0540000000001</v>
      </c>
      <c r="G29" s="31">
        <v>4.7479639999999997E-2</v>
      </c>
      <c r="H29" s="19">
        <v>6.8</v>
      </c>
    </row>
    <row r="30" spans="1:8" ht="25.5" x14ac:dyDescent="0.2">
      <c r="A30" s="27">
        <v>3</v>
      </c>
      <c r="B30" s="28" t="s">
        <v>462</v>
      </c>
      <c r="C30" s="28" t="s">
        <v>463</v>
      </c>
      <c r="D30" s="28" t="s">
        <v>23</v>
      </c>
      <c r="E30" s="29">
        <v>1000</v>
      </c>
      <c r="F30" s="30">
        <v>1025.6780000000001</v>
      </c>
      <c r="G30" s="31">
        <v>4.7416029999999998E-2</v>
      </c>
      <c r="H30" s="19">
        <v>6.73</v>
      </c>
    </row>
    <row r="31" spans="1:8" ht="25.5" x14ac:dyDescent="0.2">
      <c r="A31" s="27">
        <v>4</v>
      </c>
      <c r="B31" s="28" t="s">
        <v>145</v>
      </c>
      <c r="C31" s="28" t="s">
        <v>146</v>
      </c>
      <c r="D31" s="28" t="s">
        <v>23</v>
      </c>
      <c r="E31" s="29">
        <v>1000</v>
      </c>
      <c r="F31" s="30">
        <v>1021.4059999999999</v>
      </c>
      <c r="G31" s="31">
        <v>4.7218540000000003E-2</v>
      </c>
      <c r="H31" s="19">
        <v>6.5650000000000004</v>
      </c>
    </row>
    <row r="32" spans="1:8" x14ac:dyDescent="0.2">
      <c r="A32" s="27">
        <v>5</v>
      </c>
      <c r="B32" s="28" t="s">
        <v>271</v>
      </c>
      <c r="C32" s="28" t="s">
        <v>272</v>
      </c>
      <c r="D32" s="28" t="s">
        <v>266</v>
      </c>
      <c r="E32" s="29">
        <v>1000</v>
      </c>
      <c r="F32" s="30">
        <v>1013.169</v>
      </c>
      <c r="G32" s="31">
        <v>4.6837749999999997E-2</v>
      </c>
      <c r="H32" s="19">
        <v>7.4466000000000001</v>
      </c>
    </row>
    <row r="33" spans="1:8" ht="25.5" x14ac:dyDescent="0.2">
      <c r="A33" s="27">
        <v>6</v>
      </c>
      <c r="B33" s="28" t="s">
        <v>464</v>
      </c>
      <c r="C33" s="28" t="s">
        <v>465</v>
      </c>
      <c r="D33" s="28" t="s">
        <v>290</v>
      </c>
      <c r="E33" s="29">
        <v>500</v>
      </c>
      <c r="F33" s="30">
        <v>513.68650000000002</v>
      </c>
      <c r="G33" s="31">
        <v>2.3747190000000001E-2</v>
      </c>
      <c r="H33" s="19">
        <v>7.6725000000000003</v>
      </c>
    </row>
    <row r="34" spans="1:8" x14ac:dyDescent="0.2">
      <c r="A34" s="27">
        <v>7</v>
      </c>
      <c r="B34" s="28" t="s">
        <v>67</v>
      </c>
      <c r="C34" s="28" t="s">
        <v>68</v>
      </c>
      <c r="D34" s="28" t="s">
        <v>23</v>
      </c>
      <c r="E34" s="29">
        <v>50</v>
      </c>
      <c r="F34" s="30">
        <v>510.59649999999999</v>
      </c>
      <c r="G34" s="31">
        <v>2.360435E-2</v>
      </c>
      <c r="H34" s="19">
        <v>7.01</v>
      </c>
    </row>
    <row r="35" spans="1:8" x14ac:dyDescent="0.2">
      <c r="A35" s="27">
        <v>8</v>
      </c>
      <c r="B35" s="28" t="s">
        <v>139</v>
      </c>
      <c r="C35" s="28" t="s">
        <v>140</v>
      </c>
      <c r="D35" s="28" t="s">
        <v>23</v>
      </c>
      <c r="E35" s="29">
        <v>500</v>
      </c>
      <c r="F35" s="30">
        <v>510.5095</v>
      </c>
      <c r="G35" s="31">
        <v>2.3600320000000001E-2</v>
      </c>
      <c r="H35" s="19">
        <v>6.4821999999999997</v>
      </c>
    </row>
    <row r="36" spans="1:8" ht="25.5" x14ac:dyDescent="0.2">
      <c r="A36" s="27">
        <v>9</v>
      </c>
      <c r="B36" s="28" t="s">
        <v>153</v>
      </c>
      <c r="C36" s="28" t="s">
        <v>154</v>
      </c>
      <c r="D36" s="28" t="s">
        <v>32</v>
      </c>
      <c r="E36" s="29">
        <v>500</v>
      </c>
      <c r="F36" s="30">
        <v>509.2595</v>
      </c>
      <c r="G36" s="31">
        <v>2.3542540000000001E-2</v>
      </c>
      <c r="H36" s="19">
        <v>6.6123000000000003</v>
      </c>
    </row>
    <row r="37" spans="1:8" x14ac:dyDescent="0.2">
      <c r="A37" s="27">
        <v>10</v>
      </c>
      <c r="B37" s="28" t="s">
        <v>261</v>
      </c>
      <c r="C37" s="28" t="s">
        <v>262</v>
      </c>
      <c r="D37" s="28" t="s">
        <v>263</v>
      </c>
      <c r="E37" s="29">
        <v>500</v>
      </c>
      <c r="F37" s="30">
        <v>506.56299999999999</v>
      </c>
      <c r="G37" s="31">
        <v>2.3417879999999999E-2</v>
      </c>
      <c r="H37" s="19">
        <v>7.6425000000000001</v>
      </c>
    </row>
    <row r="38" spans="1:8" x14ac:dyDescent="0.2">
      <c r="A38" s="27">
        <v>11</v>
      </c>
      <c r="B38" s="28" t="s">
        <v>291</v>
      </c>
      <c r="C38" s="28" t="s">
        <v>292</v>
      </c>
      <c r="D38" s="28" t="s">
        <v>263</v>
      </c>
      <c r="E38" s="29">
        <v>500</v>
      </c>
      <c r="F38" s="30">
        <v>505.89049999999997</v>
      </c>
      <c r="G38" s="31">
        <v>2.3386790000000001E-2</v>
      </c>
      <c r="H38" s="19">
        <v>8.1</v>
      </c>
    </row>
    <row r="39" spans="1:8" ht="25.5" x14ac:dyDescent="0.2">
      <c r="A39" s="27">
        <v>12</v>
      </c>
      <c r="B39" s="28" t="s">
        <v>273</v>
      </c>
      <c r="C39" s="28" t="s">
        <v>274</v>
      </c>
      <c r="D39" s="28" t="s">
        <v>23</v>
      </c>
      <c r="E39" s="29">
        <v>50</v>
      </c>
      <c r="F39" s="30">
        <v>505.86649999999997</v>
      </c>
      <c r="G39" s="31">
        <v>2.3385679999999999E-2</v>
      </c>
      <c r="H39" s="19">
        <v>6.55</v>
      </c>
    </row>
    <row r="40" spans="1:8" x14ac:dyDescent="0.2">
      <c r="A40" s="27">
        <v>13</v>
      </c>
      <c r="B40" s="28" t="s">
        <v>466</v>
      </c>
      <c r="C40" s="28" t="s">
        <v>467</v>
      </c>
      <c r="D40" s="28" t="s">
        <v>23</v>
      </c>
      <c r="E40" s="29">
        <v>500</v>
      </c>
      <c r="F40" s="30">
        <v>504.911</v>
      </c>
      <c r="G40" s="31">
        <v>2.3341509999999999E-2</v>
      </c>
      <c r="H40" s="19">
        <v>6.55</v>
      </c>
    </row>
    <row r="41" spans="1:8" x14ac:dyDescent="0.2">
      <c r="A41" s="27">
        <v>14</v>
      </c>
      <c r="B41" s="28" t="s">
        <v>267</v>
      </c>
      <c r="C41" s="28" t="s">
        <v>268</v>
      </c>
      <c r="D41" s="28" t="s">
        <v>23</v>
      </c>
      <c r="E41" s="29">
        <v>500</v>
      </c>
      <c r="F41" s="30">
        <v>504.87099999999998</v>
      </c>
      <c r="G41" s="31">
        <v>2.3339660000000002E-2</v>
      </c>
      <c r="H41" s="19">
        <v>6.55</v>
      </c>
    </row>
    <row r="42" spans="1:8" x14ac:dyDescent="0.2">
      <c r="A42" s="27">
        <v>15</v>
      </c>
      <c r="B42" s="28" t="s">
        <v>284</v>
      </c>
      <c r="C42" s="28" t="s">
        <v>285</v>
      </c>
      <c r="D42" s="28" t="s">
        <v>32</v>
      </c>
      <c r="E42" s="29">
        <v>500</v>
      </c>
      <c r="F42" s="30">
        <v>504.791</v>
      </c>
      <c r="G42" s="31">
        <v>2.3335959999999999E-2</v>
      </c>
      <c r="H42" s="19">
        <v>7.4</v>
      </c>
    </row>
    <row r="43" spans="1:8" ht="25.5" x14ac:dyDescent="0.2">
      <c r="A43" s="27">
        <v>16</v>
      </c>
      <c r="B43" s="28" t="s">
        <v>71</v>
      </c>
      <c r="C43" s="28" t="s">
        <v>72</v>
      </c>
      <c r="D43" s="28" t="s">
        <v>23</v>
      </c>
      <c r="E43" s="29">
        <v>500</v>
      </c>
      <c r="F43" s="30">
        <v>504.476</v>
      </c>
      <c r="G43" s="31">
        <v>2.3321399999999999E-2</v>
      </c>
      <c r="H43" s="19">
        <v>6.6</v>
      </c>
    </row>
    <row r="44" spans="1:8" ht="25.5" x14ac:dyDescent="0.2">
      <c r="A44" s="27">
        <v>17</v>
      </c>
      <c r="B44" s="28" t="s">
        <v>468</v>
      </c>
      <c r="C44" s="28" t="s">
        <v>469</v>
      </c>
      <c r="D44" s="28" t="s">
        <v>23</v>
      </c>
      <c r="E44" s="29">
        <v>50</v>
      </c>
      <c r="F44" s="30">
        <v>502.86</v>
      </c>
      <c r="G44" s="31">
        <v>2.3246699999999999E-2</v>
      </c>
      <c r="H44" s="19">
        <v>6.55</v>
      </c>
    </row>
    <row r="45" spans="1:8" ht="25.5" x14ac:dyDescent="0.2">
      <c r="A45" s="27">
        <v>18</v>
      </c>
      <c r="B45" s="28" t="s">
        <v>470</v>
      </c>
      <c r="C45" s="28" t="s">
        <v>471</v>
      </c>
      <c r="D45" s="28" t="s">
        <v>263</v>
      </c>
      <c r="E45" s="29">
        <v>500</v>
      </c>
      <c r="F45" s="30">
        <v>502.5215</v>
      </c>
      <c r="G45" s="31">
        <v>2.323105E-2</v>
      </c>
      <c r="H45" s="19">
        <v>8.0823</v>
      </c>
    </row>
    <row r="46" spans="1:8" x14ac:dyDescent="0.2">
      <c r="A46" s="27">
        <v>19</v>
      </c>
      <c r="B46" s="28" t="s">
        <v>472</v>
      </c>
      <c r="C46" s="28" t="s">
        <v>473</v>
      </c>
      <c r="D46" s="28" t="s">
        <v>23</v>
      </c>
      <c r="E46" s="29">
        <v>50</v>
      </c>
      <c r="F46" s="30">
        <v>496.01049999999998</v>
      </c>
      <c r="G46" s="31">
        <v>2.293005E-2</v>
      </c>
      <c r="H46" s="19">
        <v>6.8449999999999998</v>
      </c>
    </row>
    <row r="47" spans="1:8" x14ac:dyDescent="0.2">
      <c r="A47" s="27">
        <v>20</v>
      </c>
      <c r="B47" s="28" t="s">
        <v>264</v>
      </c>
      <c r="C47" s="28" t="s">
        <v>265</v>
      </c>
      <c r="D47" s="28" t="s">
        <v>266</v>
      </c>
      <c r="E47" s="29">
        <v>300</v>
      </c>
      <c r="F47" s="30">
        <v>303.61649999999997</v>
      </c>
      <c r="G47" s="31">
        <v>1.4035880000000001E-2</v>
      </c>
      <c r="H47" s="19">
        <v>7.0750000000000002</v>
      </c>
    </row>
    <row r="48" spans="1:8" x14ac:dyDescent="0.2">
      <c r="A48" s="20"/>
      <c r="B48" s="20"/>
      <c r="C48" s="21" t="s">
        <v>11</v>
      </c>
      <c r="D48" s="20"/>
      <c r="E48" s="20" t="s">
        <v>12</v>
      </c>
      <c r="F48" s="26">
        <v>12579.3333</v>
      </c>
      <c r="G48" s="23">
        <v>0.58152950999999997</v>
      </c>
      <c r="H48" s="19" t="s">
        <v>12</v>
      </c>
    </row>
    <row r="49" spans="1:8" x14ac:dyDescent="0.2">
      <c r="A49" s="20"/>
      <c r="B49" s="20"/>
      <c r="C49" s="24"/>
      <c r="D49" s="20"/>
      <c r="E49" s="20"/>
      <c r="F49" s="25"/>
      <c r="G49" s="25"/>
      <c r="H49" s="19" t="s">
        <v>12</v>
      </c>
    </row>
    <row r="50" spans="1:8" x14ac:dyDescent="0.2">
      <c r="A50" s="20"/>
      <c r="B50" s="20"/>
      <c r="C50" s="21" t="s">
        <v>77</v>
      </c>
      <c r="D50" s="20"/>
      <c r="E50" s="20"/>
      <c r="F50" s="20"/>
      <c r="G50" s="20"/>
      <c r="H50" s="19" t="s">
        <v>12</v>
      </c>
    </row>
    <row r="51" spans="1:8" x14ac:dyDescent="0.2">
      <c r="A51" s="20"/>
      <c r="B51" s="20"/>
      <c r="C51" s="21" t="s">
        <v>11</v>
      </c>
      <c r="D51" s="20"/>
      <c r="E51" s="20" t="s">
        <v>12</v>
      </c>
      <c r="F51" s="22" t="s">
        <v>13</v>
      </c>
      <c r="G51" s="23">
        <v>0</v>
      </c>
      <c r="H51" s="19" t="s">
        <v>12</v>
      </c>
    </row>
    <row r="52" spans="1:8" x14ac:dyDescent="0.2">
      <c r="A52" s="20"/>
      <c r="B52" s="20"/>
      <c r="C52" s="24"/>
      <c r="D52" s="20"/>
      <c r="E52" s="20"/>
      <c r="F52" s="25"/>
      <c r="G52" s="25"/>
      <c r="H52" s="19" t="s">
        <v>12</v>
      </c>
    </row>
    <row r="53" spans="1:8" x14ac:dyDescent="0.2">
      <c r="A53" s="20"/>
      <c r="B53" s="20"/>
      <c r="C53" s="21" t="s">
        <v>78</v>
      </c>
      <c r="D53" s="20"/>
      <c r="E53" s="20"/>
      <c r="F53" s="20"/>
      <c r="G53" s="20"/>
      <c r="H53" s="19" t="s">
        <v>12</v>
      </c>
    </row>
    <row r="54" spans="1:8" x14ac:dyDescent="0.2">
      <c r="A54" s="27">
        <v>1</v>
      </c>
      <c r="B54" s="28" t="s">
        <v>98</v>
      </c>
      <c r="C54" s="28" t="s">
        <v>99</v>
      </c>
      <c r="D54" s="28" t="s">
        <v>81</v>
      </c>
      <c r="E54" s="29">
        <v>2500000</v>
      </c>
      <c r="F54" s="30">
        <v>2616.4699999999998</v>
      </c>
      <c r="G54" s="31">
        <v>0.12095669000000001</v>
      </c>
      <c r="H54" s="19">
        <v>6.5004</v>
      </c>
    </row>
    <row r="55" spans="1:8" x14ac:dyDescent="0.2">
      <c r="A55" s="27">
        <v>2</v>
      </c>
      <c r="B55" s="28" t="s">
        <v>92</v>
      </c>
      <c r="C55" s="28" t="s">
        <v>93</v>
      </c>
      <c r="D55" s="28" t="s">
        <v>81</v>
      </c>
      <c r="E55" s="29">
        <v>1500000</v>
      </c>
      <c r="F55" s="30">
        <v>1566.9794999999999</v>
      </c>
      <c r="G55" s="31">
        <v>7.2439829999999997E-2</v>
      </c>
      <c r="H55" s="19">
        <v>5.9659000000000004</v>
      </c>
    </row>
    <row r="56" spans="1:8" x14ac:dyDescent="0.2">
      <c r="A56" s="27">
        <v>3</v>
      </c>
      <c r="B56" s="28" t="s">
        <v>293</v>
      </c>
      <c r="C56" s="28" t="s">
        <v>294</v>
      </c>
      <c r="D56" s="28" t="s">
        <v>81</v>
      </c>
      <c r="E56" s="29">
        <v>700000</v>
      </c>
      <c r="F56" s="30">
        <v>720.70389999999998</v>
      </c>
      <c r="G56" s="31">
        <v>3.3317390000000002E-2</v>
      </c>
      <c r="H56" s="19">
        <v>5.8842999999999996</v>
      </c>
    </row>
    <row r="57" spans="1:8" x14ac:dyDescent="0.2">
      <c r="A57" s="27">
        <v>4</v>
      </c>
      <c r="B57" s="28" t="s">
        <v>82</v>
      </c>
      <c r="C57" s="28" t="s">
        <v>83</v>
      </c>
      <c r="D57" s="28" t="s">
        <v>81</v>
      </c>
      <c r="E57" s="29">
        <v>500000</v>
      </c>
      <c r="F57" s="30">
        <v>527.33799999999997</v>
      </c>
      <c r="G57" s="31">
        <v>2.437829E-2</v>
      </c>
      <c r="H57" s="19">
        <v>6.2091000000000003</v>
      </c>
    </row>
    <row r="58" spans="1:8" ht="25.5" x14ac:dyDescent="0.2">
      <c r="A58" s="27">
        <v>5</v>
      </c>
      <c r="B58" s="28" t="s">
        <v>474</v>
      </c>
      <c r="C58" s="28" t="s">
        <v>475</v>
      </c>
      <c r="D58" s="28" t="s">
        <v>81</v>
      </c>
      <c r="E58" s="29">
        <v>500000</v>
      </c>
      <c r="F58" s="30">
        <v>525.33000000000004</v>
      </c>
      <c r="G58" s="31">
        <v>2.4285459999999998E-2</v>
      </c>
      <c r="H58" s="19">
        <v>6.7759999999999998</v>
      </c>
    </row>
    <row r="59" spans="1:8" x14ac:dyDescent="0.2">
      <c r="A59" s="27">
        <v>6</v>
      </c>
      <c r="B59" s="28" t="s">
        <v>94</v>
      </c>
      <c r="C59" s="28" t="s">
        <v>95</v>
      </c>
      <c r="D59" s="28" t="s">
        <v>81</v>
      </c>
      <c r="E59" s="29">
        <v>500000</v>
      </c>
      <c r="F59" s="30">
        <v>521.81050000000005</v>
      </c>
      <c r="G59" s="31">
        <v>2.412276E-2</v>
      </c>
      <c r="H59" s="19">
        <v>6.7591999999999999</v>
      </c>
    </row>
    <row r="60" spans="1:8" x14ac:dyDescent="0.2">
      <c r="A60" s="27">
        <v>7</v>
      </c>
      <c r="B60" s="28" t="s">
        <v>159</v>
      </c>
      <c r="C60" s="28" t="s">
        <v>160</v>
      </c>
      <c r="D60" s="28" t="s">
        <v>81</v>
      </c>
      <c r="E60" s="29">
        <v>500000</v>
      </c>
      <c r="F60" s="30">
        <v>517.91499999999996</v>
      </c>
      <c r="G60" s="31">
        <v>2.3942669999999999E-2</v>
      </c>
      <c r="H60" s="19">
        <v>6.1</v>
      </c>
    </row>
    <row r="61" spans="1:8" x14ac:dyDescent="0.2">
      <c r="A61" s="20"/>
      <c r="B61" s="20"/>
      <c r="C61" s="21" t="s">
        <v>11</v>
      </c>
      <c r="D61" s="20"/>
      <c r="E61" s="20" t="s">
        <v>12</v>
      </c>
      <c r="F61" s="26">
        <v>6996.5469000000003</v>
      </c>
      <c r="G61" s="23">
        <v>0.32344308999999999</v>
      </c>
      <c r="H61" s="19" t="s">
        <v>12</v>
      </c>
    </row>
    <row r="62" spans="1:8" x14ac:dyDescent="0.2">
      <c r="A62" s="20"/>
      <c r="B62" s="20"/>
      <c r="C62" s="24"/>
      <c r="D62" s="20"/>
      <c r="E62" s="20"/>
      <c r="F62" s="25"/>
      <c r="G62" s="25"/>
      <c r="H62" s="19" t="s">
        <v>12</v>
      </c>
    </row>
    <row r="63" spans="1:8" x14ac:dyDescent="0.2">
      <c r="A63" s="20"/>
      <c r="B63" s="20"/>
      <c r="C63" s="21" t="s">
        <v>100</v>
      </c>
      <c r="D63" s="20"/>
      <c r="E63" s="20"/>
      <c r="F63" s="25"/>
      <c r="G63" s="25"/>
      <c r="H63" s="19" t="s">
        <v>12</v>
      </c>
    </row>
    <row r="64" spans="1:8" x14ac:dyDescent="0.2">
      <c r="A64" s="20"/>
      <c r="B64" s="20"/>
      <c r="C64" s="21" t="s">
        <v>11</v>
      </c>
      <c r="D64" s="20"/>
      <c r="E64" s="20" t="s">
        <v>12</v>
      </c>
      <c r="F64" s="22" t="s">
        <v>13</v>
      </c>
      <c r="G64" s="23">
        <v>0</v>
      </c>
      <c r="H64" s="19" t="s">
        <v>12</v>
      </c>
    </row>
    <row r="65" spans="1:8" x14ac:dyDescent="0.2">
      <c r="A65" s="20"/>
      <c r="B65" s="20"/>
      <c r="C65" s="24"/>
      <c r="D65" s="20"/>
      <c r="E65" s="20"/>
      <c r="F65" s="25"/>
      <c r="G65" s="25"/>
      <c r="H65" s="19" t="s">
        <v>12</v>
      </c>
    </row>
    <row r="66" spans="1:8" x14ac:dyDescent="0.2">
      <c r="A66" s="20"/>
      <c r="B66" s="20"/>
      <c r="C66" s="21" t="s">
        <v>101</v>
      </c>
      <c r="D66" s="20"/>
      <c r="E66" s="20"/>
      <c r="F66" s="26">
        <v>19575.8802</v>
      </c>
      <c r="G66" s="23">
        <v>0.90497260000000002</v>
      </c>
      <c r="H66" s="19" t="s">
        <v>12</v>
      </c>
    </row>
    <row r="67" spans="1:8" x14ac:dyDescent="0.2">
      <c r="A67" s="20"/>
      <c r="B67" s="20"/>
      <c r="C67" s="24"/>
      <c r="D67" s="20"/>
      <c r="E67" s="20"/>
      <c r="F67" s="25"/>
      <c r="G67" s="25"/>
      <c r="H67" s="19" t="s">
        <v>12</v>
      </c>
    </row>
    <row r="68" spans="1:8" x14ac:dyDescent="0.2">
      <c r="A68" s="20"/>
      <c r="B68" s="20"/>
      <c r="C68" s="21" t="s">
        <v>102</v>
      </c>
      <c r="D68" s="20"/>
      <c r="E68" s="20"/>
      <c r="F68" s="25"/>
      <c r="G68" s="25"/>
      <c r="H68" s="19" t="s">
        <v>12</v>
      </c>
    </row>
    <row r="69" spans="1:8" x14ac:dyDescent="0.2">
      <c r="A69" s="20"/>
      <c r="B69" s="20"/>
      <c r="C69" s="21" t="s">
        <v>103</v>
      </c>
      <c r="D69" s="20"/>
      <c r="E69" s="20"/>
      <c r="F69" s="25"/>
      <c r="G69" s="25"/>
      <c r="H69" s="19" t="s">
        <v>12</v>
      </c>
    </row>
    <row r="70" spans="1:8" x14ac:dyDescent="0.2">
      <c r="A70" s="20"/>
      <c r="B70" s="20"/>
      <c r="C70" s="21" t="s">
        <v>11</v>
      </c>
      <c r="D70" s="20"/>
      <c r="E70" s="20" t="s">
        <v>12</v>
      </c>
      <c r="F70" s="22" t="s">
        <v>13</v>
      </c>
      <c r="G70" s="23">
        <v>0</v>
      </c>
      <c r="H70" s="19" t="s">
        <v>12</v>
      </c>
    </row>
    <row r="71" spans="1:8" x14ac:dyDescent="0.2">
      <c r="A71" s="20"/>
      <c r="B71" s="20"/>
      <c r="C71" s="24"/>
      <c r="D71" s="20"/>
      <c r="E71" s="20"/>
      <c r="F71" s="25"/>
      <c r="G71" s="25"/>
      <c r="H71" s="19" t="s">
        <v>12</v>
      </c>
    </row>
    <row r="72" spans="1:8" x14ac:dyDescent="0.2">
      <c r="A72" s="20"/>
      <c r="B72" s="20"/>
      <c r="C72" s="21" t="s">
        <v>104</v>
      </c>
      <c r="D72" s="20"/>
      <c r="E72" s="20"/>
      <c r="F72" s="25"/>
      <c r="G72" s="25"/>
      <c r="H72" s="19" t="s">
        <v>12</v>
      </c>
    </row>
    <row r="73" spans="1:8" x14ac:dyDescent="0.2">
      <c r="A73" s="20"/>
      <c r="B73" s="20"/>
      <c r="C73" s="21" t="s">
        <v>11</v>
      </c>
      <c r="D73" s="20"/>
      <c r="E73" s="20" t="s">
        <v>12</v>
      </c>
      <c r="F73" s="22" t="s">
        <v>13</v>
      </c>
      <c r="G73" s="23">
        <v>0</v>
      </c>
      <c r="H73" s="19" t="s">
        <v>12</v>
      </c>
    </row>
    <row r="74" spans="1:8" x14ac:dyDescent="0.2">
      <c r="A74" s="20"/>
      <c r="B74" s="20"/>
      <c r="C74" s="24"/>
      <c r="D74" s="20"/>
      <c r="E74" s="20"/>
      <c r="F74" s="25"/>
      <c r="G74" s="25"/>
      <c r="H74" s="19" t="s">
        <v>12</v>
      </c>
    </row>
    <row r="75" spans="1:8" x14ac:dyDescent="0.2">
      <c r="A75" s="20"/>
      <c r="B75" s="20"/>
      <c r="C75" s="21" t="s">
        <v>105</v>
      </c>
      <c r="D75" s="20"/>
      <c r="E75" s="20"/>
      <c r="F75" s="25"/>
      <c r="G75" s="25"/>
      <c r="H75" s="19" t="s">
        <v>12</v>
      </c>
    </row>
    <row r="76" spans="1:8" x14ac:dyDescent="0.2">
      <c r="A76" s="20"/>
      <c r="B76" s="20"/>
      <c r="C76" s="21" t="s">
        <v>11</v>
      </c>
      <c r="D76" s="20"/>
      <c r="E76" s="20" t="s">
        <v>12</v>
      </c>
      <c r="F76" s="22" t="s">
        <v>13</v>
      </c>
      <c r="G76" s="23">
        <v>0</v>
      </c>
      <c r="H76" s="19" t="s">
        <v>12</v>
      </c>
    </row>
    <row r="77" spans="1:8" x14ac:dyDescent="0.2">
      <c r="A77" s="20"/>
      <c r="B77" s="20"/>
      <c r="C77" s="24"/>
      <c r="D77" s="20"/>
      <c r="E77" s="20"/>
      <c r="F77" s="25"/>
      <c r="G77" s="25"/>
      <c r="H77" s="19" t="s">
        <v>12</v>
      </c>
    </row>
    <row r="78" spans="1:8" x14ac:dyDescent="0.2">
      <c r="A78" s="20"/>
      <c r="B78" s="20"/>
      <c r="C78" s="21" t="s">
        <v>106</v>
      </c>
      <c r="D78" s="20"/>
      <c r="E78" s="20"/>
      <c r="F78" s="25"/>
      <c r="G78" s="25"/>
      <c r="H78" s="19" t="s">
        <v>12</v>
      </c>
    </row>
    <row r="79" spans="1:8" x14ac:dyDescent="0.2">
      <c r="A79" s="27">
        <v>1</v>
      </c>
      <c r="B79" s="28"/>
      <c r="C79" s="28" t="s">
        <v>107</v>
      </c>
      <c r="D79" s="28"/>
      <c r="E79" s="32"/>
      <c r="F79" s="30">
        <v>1525.9462480059999</v>
      </c>
      <c r="G79" s="31">
        <v>7.054291E-2</v>
      </c>
      <c r="H79" s="19">
        <v>5.07</v>
      </c>
    </row>
    <row r="80" spans="1:8" x14ac:dyDescent="0.2">
      <c r="A80" s="20"/>
      <c r="B80" s="20"/>
      <c r="C80" s="21" t="s">
        <v>11</v>
      </c>
      <c r="D80" s="20"/>
      <c r="E80" s="20" t="s">
        <v>12</v>
      </c>
      <c r="F80" s="26">
        <v>1525.9462480059999</v>
      </c>
      <c r="G80" s="23">
        <v>7.054291E-2</v>
      </c>
      <c r="H80" s="19" t="s">
        <v>12</v>
      </c>
    </row>
    <row r="81" spans="1:17" x14ac:dyDescent="0.2">
      <c r="A81" s="20"/>
      <c r="B81" s="20"/>
      <c r="C81" s="24"/>
      <c r="D81" s="20"/>
      <c r="E81" s="20"/>
      <c r="F81" s="25"/>
      <c r="G81" s="25"/>
      <c r="H81" s="19" t="s">
        <v>12</v>
      </c>
    </row>
    <row r="82" spans="1:17" x14ac:dyDescent="0.2">
      <c r="A82" s="20"/>
      <c r="B82" s="20"/>
      <c r="C82" s="21" t="s">
        <v>108</v>
      </c>
      <c r="D82" s="20"/>
      <c r="E82" s="20"/>
      <c r="F82" s="26">
        <v>1525.9462480059999</v>
      </c>
      <c r="G82" s="23">
        <v>7.054291E-2</v>
      </c>
      <c r="H82" s="19" t="s">
        <v>12</v>
      </c>
    </row>
    <row r="83" spans="1:17" x14ac:dyDescent="0.2">
      <c r="A83" s="20"/>
      <c r="B83" s="20"/>
      <c r="C83" s="25"/>
      <c r="D83" s="20"/>
      <c r="E83" s="20"/>
      <c r="F83" s="20"/>
      <c r="G83" s="20"/>
      <c r="H83" s="19" t="s">
        <v>12</v>
      </c>
    </row>
    <row r="84" spans="1:17" x14ac:dyDescent="0.2">
      <c r="A84" s="20"/>
      <c r="B84" s="20"/>
      <c r="C84" s="21" t="s">
        <v>109</v>
      </c>
      <c r="D84" s="20"/>
      <c r="E84" s="20"/>
      <c r="F84" s="20"/>
      <c r="G84" s="20"/>
      <c r="H84" s="19" t="s">
        <v>12</v>
      </c>
    </row>
    <row r="85" spans="1:17" x14ac:dyDescent="0.2">
      <c r="A85" s="20"/>
      <c r="B85" s="20"/>
      <c r="C85" s="21" t="s">
        <v>110</v>
      </c>
      <c r="D85" s="20"/>
      <c r="E85" s="20"/>
      <c r="F85" s="20"/>
      <c r="G85" s="20"/>
      <c r="H85" s="19" t="s">
        <v>12</v>
      </c>
    </row>
    <row r="86" spans="1:17" x14ac:dyDescent="0.2">
      <c r="A86" s="20"/>
      <c r="B86" s="20"/>
      <c r="C86" s="21" t="s">
        <v>11</v>
      </c>
      <c r="D86" s="20"/>
      <c r="E86" s="20" t="s">
        <v>12</v>
      </c>
      <c r="F86" s="22" t="s">
        <v>13</v>
      </c>
      <c r="G86" s="23">
        <v>0</v>
      </c>
      <c r="H86" s="19" t="s">
        <v>12</v>
      </c>
    </row>
    <row r="87" spans="1:17" x14ac:dyDescent="0.2">
      <c r="A87" s="17"/>
      <c r="B87" s="17"/>
      <c r="C87" s="75"/>
      <c r="D87" s="17"/>
      <c r="E87" s="17"/>
      <c r="F87" s="42"/>
      <c r="G87" s="42"/>
      <c r="H87" s="19" t="s">
        <v>12</v>
      </c>
    </row>
    <row r="88" spans="1:17" x14ac:dyDescent="0.2">
      <c r="A88" s="17"/>
      <c r="B88" s="17"/>
      <c r="C88" s="18" t="s">
        <v>608</v>
      </c>
      <c r="D88" s="17"/>
      <c r="E88" s="17"/>
      <c r="F88" s="42"/>
      <c r="G88" s="42"/>
      <c r="H88" s="19" t="s">
        <v>12</v>
      </c>
      <c r="K88" s="55"/>
      <c r="L88" s="55"/>
      <c r="M88" s="55"/>
      <c r="N88" s="55"/>
      <c r="O88" s="76"/>
      <c r="P88" s="76"/>
      <c r="Q88" s="76"/>
    </row>
    <row r="89" spans="1:17" ht="25.5" x14ac:dyDescent="0.2">
      <c r="A89" s="69">
        <v>1</v>
      </c>
      <c r="B89" s="70" t="s">
        <v>111</v>
      </c>
      <c r="C89" s="70" t="s">
        <v>112</v>
      </c>
      <c r="D89" s="70"/>
      <c r="E89" s="77">
        <v>543.85400000000004</v>
      </c>
      <c r="F89" s="72">
        <v>61.021428737000001</v>
      </c>
      <c r="G89" s="73">
        <v>2.82096E-3</v>
      </c>
      <c r="H89" s="19">
        <v>9.9999999999999995E-7</v>
      </c>
    </row>
    <row r="90" spans="1:17" x14ac:dyDescent="0.2">
      <c r="A90" s="17"/>
      <c r="B90" s="17"/>
      <c r="C90" s="18" t="s">
        <v>11</v>
      </c>
      <c r="D90" s="17"/>
      <c r="E90" s="17" t="s">
        <v>12</v>
      </c>
      <c r="F90" s="78">
        <f>SUM(F89)</f>
        <v>61.021428737000001</v>
      </c>
      <c r="G90" s="79">
        <f>SUM(G89)</f>
        <v>2.82096E-3</v>
      </c>
      <c r="H90" s="19" t="s">
        <v>12</v>
      </c>
    </row>
    <row r="91" spans="1:17" x14ac:dyDescent="0.2">
      <c r="A91" s="20"/>
      <c r="B91" s="20"/>
      <c r="C91" s="24"/>
      <c r="D91" s="20"/>
      <c r="E91" s="20"/>
      <c r="F91" s="25"/>
      <c r="G91" s="25"/>
      <c r="H91" s="19" t="s">
        <v>12</v>
      </c>
    </row>
    <row r="92" spans="1:17" x14ac:dyDescent="0.2">
      <c r="A92" s="20"/>
      <c r="B92" s="20"/>
      <c r="C92" s="21" t="s">
        <v>113</v>
      </c>
      <c r="D92" s="20"/>
      <c r="E92" s="20"/>
      <c r="F92" s="20"/>
      <c r="G92" s="20"/>
      <c r="H92" s="19" t="s">
        <v>12</v>
      </c>
    </row>
    <row r="93" spans="1:17" x14ac:dyDescent="0.2">
      <c r="A93" s="20"/>
      <c r="B93" s="20"/>
      <c r="C93" s="21" t="s">
        <v>114</v>
      </c>
      <c r="D93" s="20"/>
      <c r="E93" s="20"/>
      <c r="F93" s="20"/>
      <c r="G93" s="20"/>
      <c r="H93" s="19" t="s">
        <v>12</v>
      </c>
    </row>
    <row r="94" spans="1:17" x14ac:dyDescent="0.2">
      <c r="A94" s="20"/>
      <c r="B94" s="20"/>
      <c r="C94" s="21" t="s">
        <v>11</v>
      </c>
      <c r="D94" s="20"/>
      <c r="E94" s="20" t="s">
        <v>12</v>
      </c>
      <c r="F94" s="22" t="s">
        <v>13</v>
      </c>
      <c r="G94" s="23">
        <v>0</v>
      </c>
      <c r="H94" s="19" t="s">
        <v>12</v>
      </c>
    </row>
    <row r="95" spans="1:17" x14ac:dyDescent="0.2">
      <c r="A95" s="20"/>
      <c r="B95" s="20"/>
      <c r="C95" s="24"/>
      <c r="D95" s="20"/>
      <c r="E95" s="20"/>
      <c r="F95" s="25"/>
      <c r="G95" s="25"/>
      <c r="H95" s="19" t="s">
        <v>12</v>
      </c>
    </row>
    <row r="96" spans="1:17" x14ac:dyDescent="0.2">
      <c r="A96" s="20"/>
      <c r="B96" s="20"/>
      <c r="C96" s="21" t="s">
        <v>115</v>
      </c>
      <c r="D96" s="20"/>
      <c r="E96" s="20"/>
      <c r="F96" s="25"/>
      <c r="G96" s="25"/>
      <c r="H96" s="19" t="s">
        <v>12</v>
      </c>
    </row>
    <row r="97" spans="1:8" x14ac:dyDescent="0.2">
      <c r="A97" s="20"/>
      <c r="B97" s="20"/>
      <c r="C97" s="21" t="s">
        <v>11</v>
      </c>
      <c r="D97" s="20"/>
      <c r="E97" s="20" t="s">
        <v>12</v>
      </c>
      <c r="F97" s="22" t="s">
        <v>13</v>
      </c>
      <c r="G97" s="23">
        <v>0</v>
      </c>
      <c r="H97" s="19" t="s">
        <v>12</v>
      </c>
    </row>
    <row r="98" spans="1:8" x14ac:dyDescent="0.2">
      <c r="A98" s="20"/>
      <c r="B98" s="20"/>
      <c r="C98" s="24"/>
      <c r="D98" s="20"/>
      <c r="E98" s="20"/>
      <c r="F98" s="25"/>
      <c r="G98" s="25"/>
      <c r="H98" s="19" t="s">
        <v>12</v>
      </c>
    </row>
    <row r="99" spans="1:8" x14ac:dyDescent="0.2">
      <c r="A99" s="32"/>
      <c r="B99" s="28"/>
      <c r="C99" s="28" t="s">
        <v>116</v>
      </c>
      <c r="D99" s="28"/>
      <c r="E99" s="32"/>
      <c r="F99" s="30">
        <f>468.61411577-0.000715142998695374</f>
        <v>468.61340062700134</v>
      </c>
      <c r="G99" s="31">
        <v>2.1663539999999998E-2</v>
      </c>
      <c r="H99" s="19" t="s">
        <v>12</v>
      </c>
    </row>
    <row r="100" spans="1:8" x14ac:dyDescent="0.2">
      <c r="A100" s="24"/>
      <c r="B100" s="24"/>
      <c r="C100" s="21" t="s">
        <v>117</v>
      </c>
      <c r="D100" s="25"/>
      <c r="E100" s="25"/>
      <c r="F100" s="26">
        <f>21631.461992513-0.000715142998695374</f>
        <v>21631.461277369999</v>
      </c>
      <c r="G100" s="33">
        <v>1.0000000099999999</v>
      </c>
      <c r="H100" s="19" t="s">
        <v>12</v>
      </c>
    </row>
    <row r="101" spans="1:8" x14ac:dyDescent="0.2">
      <c r="A101" s="34"/>
      <c r="B101" s="34"/>
      <c r="C101" s="34"/>
      <c r="D101" s="35"/>
      <c r="E101" s="35"/>
      <c r="F101" s="35"/>
      <c r="G101" s="35"/>
    </row>
    <row r="102" spans="1:8" x14ac:dyDescent="0.2">
      <c r="A102" s="36"/>
      <c r="B102" s="169" t="s">
        <v>609</v>
      </c>
      <c r="C102" s="169"/>
      <c r="D102" s="169"/>
      <c r="E102" s="169"/>
      <c r="F102" s="169"/>
      <c r="G102" s="169"/>
      <c r="H102" s="169"/>
    </row>
    <row r="103" spans="1:8" x14ac:dyDescent="0.2">
      <c r="A103" s="36"/>
      <c r="B103" s="169" t="s">
        <v>610</v>
      </c>
      <c r="C103" s="169"/>
      <c r="D103" s="169"/>
      <c r="E103" s="169"/>
      <c r="F103" s="169"/>
      <c r="G103" s="169"/>
      <c r="H103" s="169"/>
    </row>
    <row r="104" spans="1:8" x14ac:dyDescent="0.2">
      <c r="A104" s="36"/>
      <c r="B104" s="169" t="s">
        <v>611</v>
      </c>
      <c r="C104" s="169"/>
      <c r="D104" s="169"/>
      <c r="E104" s="169"/>
      <c r="F104" s="169"/>
      <c r="G104" s="169"/>
      <c r="H104" s="169"/>
    </row>
    <row r="105" spans="1:8" x14ac:dyDescent="0.2">
      <c r="A105" s="38"/>
      <c r="B105" s="38"/>
      <c r="C105" s="38"/>
      <c r="D105" s="39"/>
      <c r="E105" s="39"/>
      <c r="F105" s="39"/>
      <c r="G105" s="39"/>
    </row>
    <row r="106" spans="1:8" x14ac:dyDescent="0.2">
      <c r="A106" s="36"/>
      <c r="B106" s="170" t="s">
        <v>118</v>
      </c>
      <c r="C106" s="171"/>
      <c r="D106" s="172"/>
      <c r="E106" s="40"/>
      <c r="F106" s="41"/>
      <c r="G106" s="41"/>
    </row>
    <row r="107" spans="1:8" ht="25.5" x14ac:dyDescent="0.2">
      <c r="A107" s="36"/>
      <c r="B107" s="161" t="s">
        <v>119</v>
      </c>
      <c r="C107" s="162"/>
      <c r="D107" s="18" t="s">
        <v>636</v>
      </c>
      <c r="E107" s="40"/>
      <c r="F107" s="41"/>
      <c r="G107" s="41"/>
    </row>
    <row r="108" spans="1:8" x14ac:dyDescent="0.2">
      <c r="A108" s="36"/>
      <c r="B108" s="161" t="s">
        <v>121</v>
      </c>
      <c r="C108" s="162"/>
      <c r="D108" s="18" t="s">
        <v>120</v>
      </c>
      <c r="E108" s="40"/>
      <c r="F108" s="41"/>
      <c r="G108" s="41"/>
    </row>
    <row r="109" spans="1:8" x14ac:dyDescent="0.2">
      <c r="A109" s="36"/>
      <c r="B109" s="161" t="s">
        <v>122</v>
      </c>
      <c r="C109" s="162"/>
      <c r="D109" s="42" t="s">
        <v>12</v>
      </c>
      <c r="E109" s="40"/>
      <c r="F109" s="41"/>
      <c r="G109" s="41"/>
    </row>
    <row r="110" spans="1:8" x14ac:dyDescent="0.2">
      <c r="A110" s="43"/>
      <c r="B110" s="44" t="s">
        <v>12</v>
      </c>
      <c r="C110" s="44" t="s">
        <v>612</v>
      </c>
      <c r="D110" s="44" t="s">
        <v>123</v>
      </c>
      <c r="E110" s="43"/>
      <c r="F110" s="43"/>
      <c r="G110" s="43"/>
    </row>
    <row r="111" spans="1:8" x14ac:dyDescent="0.2">
      <c r="A111" s="43"/>
      <c r="B111" s="45" t="s">
        <v>124</v>
      </c>
      <c r="C111" s="46">
        <v>45808</v>
      </c>
      <c r="D111" s="46">
        <v>45823</v>
      </c>
      <c r="E111" s="43"/>
      <c r="F111" s="43"/>
      <c r="G111" s="43"/>
    </row>
    <row r="112" spans="1:8" x14ac:dyDescent="0.2">
      <c r="A112" s="47"/>
      <c r="B112" s="28" t="s">
        <v>125</v>
      </c>
      <c r="C112" s="48">
        <v>47.96</v>
      </c>
      <c r="D112" s="48">
        <v>47.950200000000002</v>
      </c>
      <c r="E112" s="47"/>
      <c r="F112" s="49"/>
      <c r="G112" s="50"/>
    </row>
    <row r="113" spans="1:7" ht="25.5" x14ac:dyDescent="0.2">
      <c r="A113" s="47"/>
      <c r="B113" s="28" t="s">
        <v>737</v>
      </c>
      <c r="C113" s="48">
        <v>13.139200000000001</v>
      </c>
      <c r="D113" s="48">
        <v>13.1365</v>
      </c>
      <c r="E113" s="47"/>
      <c r="F113" s="49"/>
      <c r="G113" s="50"/>
    </row>
    <row r="114" spans="1:7" ht="25.5" x14ac:dyDescent="0.2">
      <c r="A114" s="47"/>
      <c r="B114" s="28" t="s">
        <v>738</v>
      </c>
      <c r="C114" s="48">
        <v>15.346500000000001</v>
      </c>
      <c r="D114" s="48">
        <v>15.0824</v>
      </c>
      <c r="E114" s="47"/>
      <c r="F114" s="49"/>
      <c r="G114" s="50"/>
    </row>
    <row r="115" spans="1:7" ht="25.5" x14ac:dyDescent="0.2">
      <c r="A115" s="47"/>
      <c r="B115" s="28" t="s">
        <v>739</v>
      </c>
      <c r="C115" s="48">
        <v>14.7903</v>
      </c>
      <c r="D115" s="48">
        <v>14.7873</v>
      </c>
      <c r="E115" s="47"/>
      <c r="F115" s="49"/>
      <c r="G115" s="50"/>
    </row>
    <row r="116" spans="1:7" ht="25.5" x14ac:dyDescent="0.2">
      <c r="A116" s="47"/>
      <c r="B116" s="28" t="s">
        <v>740</v>
      </c>
      <c r="C116" s="48">
        <v>15.3249</v>
      </c>
      <c r="D116" s="48">
        <v>15.3218</v>
      </c>
      <c r="E116" s="47"/>
      <c r="F116" s="49"/>
      <c r="G116" s="50"/>
    </row>
    <row r="117" spans="1:7" x14ac:dyDescent="0.2">
      <c r="A117" s="47"/>
      <c r="B117" s="28" t="s">
        <v>126</v>
      </c>
      <c r="C117" s="48">
        <v>44.3384</v>
      </c>
      <c r="D117" s="48">
        <v>44.318600000000004</v>
      </c>
      <c r="E117" s="47"/>
      <c r="F117" s="49"/>
      <c r="G117" s="50"/>
    </row>
    <row r="118" spans="1:7" x14ac:dyDescent="0.2">
      <c r="A118" s="47"/>
      <c r="B118" s="28" t="s">
        <v>171</v>
      </c>
      <c r="C118" s="48">
        <v>16.016200000000001</v>
      </c>
      <c r="D118" s="48">
        <v>16.009</v>
      </c>
      <c r="E118" s="47"/>
      <c r="F118" s="49"/>
      <c r="G118" s="50"/>
    </row>
    <row r="119" spans="1:7" ht="25.5" x14ac:dyDescent="0.2">
      <c r="A119" s="47"/>
      <c r="B119" s="28" t="s">
        <v>741</v>
      </c>
      <c r="C119" s="48">
        <v>13.078099999999999</v>
      </c>
      <c r="D119" s="48">
        <v>13.0722</v>
      </c>
      <c r="E119" s="47"/>
      <c r="F119" s="49"/>
      <c r="G119" s="50"/>
    </row>
    <row r="120" spans="1:7" ht="25.5" x14ac:dyDescent="0.2">
      <c r="A120" s="47"/>
      <c r="B120" s="28" t="s">
        <v>713</v>
      </c>
      <c r="C120" s="48">
        <v>14.9925</v>
      </c>
      <c r="D120" s="48">
        <v>14.7309</v>
      </c>
      <c r="E120" s="47"/>
      <c r="F120" s="49"/>
      <c r="G120" s="50"/>
    </row>
    <row r="121" spans="1:7" ht="25.5" x14ac:dyDescent="0.2">
      <c r="A121" s="47"/>
      <c r="B121" s="28" t="s">
        <v>742</v>
      </c>
      <c r="C121" s="48">
        <v>14.449400000000001</v>
      </c>
      <c r="D121" s="48">
        <v>14.4429</v>
      </c>
      <c r="E121" s="47"/>
      <c r="F121" s="49"/>
      <c r="G121" s="50"/>
    </row>
    <row r="122" spans="1:7" ht="25.5" x14ac:dyDescent="0.2">
      <c r="A122" s="47"/>
      <c r="B122" s="28" t="s">
        <v>743</v>
      </c>
      <c r="C122" s="48">
        <v>14.970599999999999</v>
      </c>
      <c r="D122" s="48">
        <v>14.963900000000001</v>
      </c>
      <c r="E122" s="47"/>
      <c r="F122" s="49"/>
      <c r="G122" s="50"/>
    </row>
    <row r="123" spans="1:7" x14ac:dyDescent="0.2">
      <c r="A123" s="47"/>
      <c r="B123" s="47"/>
      <c r="C123" s="47"/>
      <c r="D123" s="47"/>
      <c r="E123" s="47"/>
      <c r="F123" s="47"/>
      <c r="G123" s="47"/>
    </row>
    <row r="124" spans="1:7" x14ac:dyDescent="0.2">
      <c r="A124" s="47"/>
      <c r="B124" s="164" t="s">
        <v>714</v>
      </c>
      <c r="C124" s="165"/>
      <c r="D124" s="21" t="s">
        <v>12</v>
      </c>
      <c r="E124" s="47"/>
      <c r="F124" s="47"/>
      <c r="G124" s="47"/>
    </row>
    <row r="125" spans="1:7" x14ac:dyDescent="0.2">
      <c r="A125" s="47"/>
      <c r="B125" s="80" t="s">
        <v>124</v>
      </c>
      <c r="C125" s="81" t="s">
        <v>127</v>
      </c>
      <c r="D125" s="81" t="s">
        <v>128</v>
      </c>
      <c r="E125" s="47"/>
      <c r="F125" s="47"/>
      <c r="G125" s="47"/>
    </row>
    <row r="126" spans="1:7" ht="25.5" x14ac:dyDescent="0.2">
      <c r="A126" s="47"/>
      <c r="B126" s="28" t="s">
        <v>738</v>
      </c>
      <c r="C126" s="82">
        <v>0.26100000000000001</v>
      </c>
      <c r="D126" s="32" t="s">
        <v>129</v>
      </c>
      <c r="E126" s="47"/>
      <c r="F126" s="49"/>
      <c r="G126" s="50"/>
    </row>
    <row r="127" spans="1:7" ht="25.5" x14ac:dyDescent="0.2">
      <c r="A127" s="47"/>
      <c r="B127" s="28" t="s">
        <v>713</v>
      </c>
      <c r="C127" s="82">
        <v>0.255</v>
      </c>
      <c r="D127" s="32" t="s">
        <v>129</v>
      </c>
      <c r="E127" s="47"/>
      <c r="F127" s="49"/>
      <c r="G127" s="50"/>
    </row>
    <row r="128" spans="1:7" x14ac:dyDescent="0.2">
      <c r="A128" s="47"/>
      <c r="B128" s="83"/>
      <c r="C128" s="83"/>
      <c r="D128" s="84"/>
      <c r="E128" s="47"/>
      <c r="F128" s="49"/>
      <c r="G128" s="50"/>
    </row>
    <row r="129" spans="1:19" s="57" customFormat="1" x14ac:dyDescent="0.2">
      <c r="A129" s="98"/>
      <c r="B129" s="161" t="s">
        <v>625</v>
      </c>
      <c r="C129" s="162"/>
      <c r="D129" s="18" t="s">
        <v>120</v>
      </c>
      <c r="E129" s="98"/>
      <c r="F129" s="98"/>
      <c r="G129" s="98"/>
      <c r="I129"/>
      <c r="J129" s="16"/>
      <c r="K129"/>
      <c r="L129" s="55"/>
      <c r="M129" s="55"/>
      <c r="N129" s="55"/>
      <c r="O129" s="58"/>
      <c r="P129"/>
      <c r="Q129"/>
    </row>
    <row r="130" spans="1:19" x14ac:dyDescent="0.2">
      <c r="A130" s="43"/>
      <c r="B130" s="161" t="s">
        <v>626</v>
      </c>
      <c r="C130" s="162"/>
      <c r="D130" s="18" t="s">
        <v>120</v>
      </c>
      <c r="E130" s="54"/>
      <c r="F130" s="43"/>
      <c r="G130" s="43"/>
      <c r="J130" s="16"/>
    </row>
    <row r="131" spans="1:19" x14ac:dyDescent="0.2">
      <c r="A131" s="43"/>
      <c r="B131" s="161" t="s">
        <v>627</v>
      </c>
      <c r="C131" s="162"/>
      <c r="D131" s="18" t="s">
        <v>120</v>
      </c>
      <c r="E131" s="54"/>
      <c r="F131" s="43"/>
      <c r="G131" s="43"/>
      <c r="J131" s="16"/>
    </row>
    <row r="132" spans="1:19" x14ac:dyDescent="0.2">
      <c r="A132" s="43"/>
      <c r="B132" s="161" t="s">
        <v>628</v>
      </c>
      <c r="C132" s="162"/>
      <c r="D132" s="18" t="s">
        <v>120</v>
      </c>
      <c r="E132" s="54"/>
      <c r="F132" s="43"/>
      <c r="G132" s="43"/>
      <c r="J132" s="16"/>
    </row>
    <row r="133" spans="1:19" x14ac:dyDescent="0.2">
      <c r="A133" s="56"/>
      <c r="B133" s="56"/>
      <c r="C133" s="56"/>
      <c r="D133" s="56"/>
      <c r="E133" s="56"/>
      <c r="F133" s="56"/>
      <c r="G133" s="56"/>
      <c r="J133" s="16"/>
    </row>
    <row r="134" spans="1:19" s="57" customFormat="1" x14ac:dyDescent="0.2">
      <c r="B134" s="166" t="s">
        <v>614</v>
      </c>
      <c r="C134" s="167"/>
      <c r="D134" s="168"/>
      <c r="I134"/>
      <c r="J134" s="16"/>
      <c r="K134"/>
      <c r="L134" s="55"/>
      <c r="M134" s="55"/>
      <c r="N134" s="55"/>
      <c r="O134" s="58"/>
      <c r="R134"/>
      <c r="S134"/>
    </row>
    <row r="135" spans="1:19" s="57" customFormat="1" ht="51" x14ac:dyDescent="0.2">
      <c r="B135" s="163" t="s">
        <v>615</v>
      </c>
      <c r="C135" s="163"/>
      <c r="D135" s="59" t="s">
        <v>461</v>
      </c>
      <c r="I135"/>
      <c r="J135" s="16"/>
      <c r="K135"/>
      <c r="L135" s="55"/>
      <c r="M135" s="55"/>
      <c r="N135" s="55"/>
      <c r="O135" s="58"/>
      <c r="R135"/>
      <c r="S135"/>
    </row>
    <row r="136" spans="1:19" s="57" customFormat="1" x14ac:dyDescent="0.2">
      <c r="B136" s="174" t="s">
        <v>616</v>
      </c>
      <c r="C136" s="174"/>
      <c r="D136" s="60"/>
      <c r="I136"/>
      <c r="J136" s="16"/>
      <c r="K136"/>
      <c r="L136" s="55"/>
      <c r="M136" s="55"/>
      <c r="N136" s="55"/>
      <c r="O136" s="58"/>
      <c r="R136"/>
      <c r="S136"/>
    </row>
    <row r="137" spans="1:19" s="57" customFormat="1" x14ac:dyDescent="0.2">
      <c r="B137" s="174"/>
      <c r="C137" s="174"/>
      <c r="D137" s="61"/>
      <c r="I137"/>
      <c r="J137" s="16"/>
      <c r="K137"/>
      <c r="L137" s="55"/>
      <c r="M137" s="55"/>
      <c r="N137" s="55"/>
      <c r="O137" s="58"/>
      <c r="R137"/>
      <c r="S137"/>
    </row>
    <row r="138" spans="1:19" s="57" customFormat="1" x14ac:dyDescent="0.2">
      <c r="B138" s="174" t="s">
        <v>617</v>
      </c>
      <c r="C138" s="174"/>
      <c r="D138" s="62">
        <v>6.6589082829098833</v>
      </c>
      <c r="I138"/>
      <c r="J138" s="16"/>
      <c r="K138"/>
      <c r="L138" s="55"/>
      <c r="M138" s="55"/>
      <c r="N138" s="55"/>
      <c r="O138" s="58"/>
    </row>
    <row r="139" spans="1:19" s="57" customFormat="1" x14ac:dyDescent="0.2">
      <c r="B139" s="174"/>
      <c r="C139" s="174"/>
      <c r="D139" s="61"/>
      <c r="I139"/>
      <c r="J139" s="16"/>
      <c r="K139"/>
      <c r="L139" s="55"/>
      <c r="M139" s="55"/>
      <c r="N139" s="55"/>
      <c r="O139" s="58"/>
    </row>
    <row r="140" spans="1:19" s="57" customFormat="1" x14ac:dyDescent="0.2">
      <c r="B140" s="174" t="s">
        <v>618</v>
      </c>
      <c r="C140" s="174"/>
      <c r="D140" s="62">
        <v>2.7703041099620789</v>
      </c>
      <c r="I140"/>
      <c r="J140" s="16"/>
      <c r="K140"/>
      <c r="L140" s="55"/>
      <c r="M140" s="55"/>
      <c r="N140" s="55"/>
      <c r="O140" s="58"/>
    </row>
    <row r="141" spans="1:19" s="57" customFormat="1" x14ac:dyDescent="0.2">
      <c r="B141" s="174" t="s">
        <v>637</v>
      </c>
      <c r="C141" s="174"/>
      <c r="D141" s="62">
        <v>3.3433751252150201</v>
      </c>
      <c r="I141"/>
      <c r="J141" s="16"/>
      <c r="K141"/>
      <c r="L141" s="55"/>
      <c r="M141" s="55"/>
      <c r="N141" s="55"/>
      <c r="O141" s="58"/>
    </row>
    <row r="142" spans="1:19" s="57" customFormat="1" x14ac:dyDescent="0.2">
      <c r="B142" s="174"/>
      <c r="C142" s="174"/>
      <c r="D142" s="61"/>
      <c r="I142"/>
      <c r="J142" s="16"/>
      <c r="K142"/>
      <c r="L142" s="55"/>
      <c r="M142" s="55"/>
      <c r="N142" s="55"/>
      <c r="O142" s="58"/>
    </row>
    <row r="143" spans="1:19" s="57" customFormat="1" x14ac:dyDescent="0.2">
      <c r="B143" s="174" t="s">
        <v>620</v>
      </c>
      <c r="C143" s="174"/>
      <c r="D143" s="64" t="s">
        <v>744</v>
      </c>
      <c r="I143"/>
      <c r="J143" s="16"/>
      <c r="K143" s="55"/>
      <c r="L143" s="55"/>
      <c r="M143" s="55"/>
      <c r="N143" s="55"/>
      <c r="O143" s="58"/>
    </row>
    <row r="144" spans="1:19" s="57" customFormat="1" x14ac:dyDescent="0.2">
      <c r="B144" s="175" t="s">
        <v>621</v>
      </c>
      <c r="C144" s="177"/>
      <c r="D144" s="176"/>
      <c r="I144"/>
      <c r="J144" s="16"/>
      <c r="K144"/>
      <c r="L144" s="55"/>
      <c r="M144" s="55"/>
      <c r="N144" s="55"/>
      <c r="O144" s="58"/>
    </row>
    <row r="145" spans="2:15" x14ac:dyDescent="0.2">
      <c r="J145" s="16"/>
    </row>
    <row r="146" spans="2:15" ht="13.5" x14ac:dyDescent="0.2">
      <c r="B146" s="204" t="s">
        <v>745</v>
      </c>
      <c r="C146" s="204"/>
      <c r="D146" s="204"/>
      <c r="E146" s="204"/>
      <c r="F146" s="204"/>
      <c r="G146" s="204"/>
      <c r="H146" s="204"/>
    </row>
    <row r="147" spans="2:15" ht="13.5" x14ac:dyDescent="0.2">
      <c r="B147" s="153"/>
      <c r="C147" s="153"/>
      <c r="D147" s="153"/>
      <c r="E147" s="153"/>
      <c r="F147" s="153"/>
      <c r="G147" s="153"/>
      <c r="H147" s="153"/>
      <c r="J147" s="55"/>
      <c r="K147" s="55"/>
      <c r="L147" s="55"/>
      <c r="M147" s="55"/>
      <c r="N147" s="55"/>
      <c r="O147" s="55"/>
    </row>
    <row r="148" spans="2:15" ht="13.5" x14ac:dyDescent="0.25">
      <c r="B148" s="92" t="s">
        <v>638</v>
      </c>
      <c r="C148" s="92" t="s">
        <v>639</v>
      </c>
      <c r="D148" s="205" t="s">
        <v>640</v>
      </c>
      <c r="E148" s="206"/>
      <c r="F148" s="207"/>
      <c r="G148" s="208" t="s">
        <v>641</v>
      </c>
      <c r="H148" s="209"/>
      <c r="J148" s="55"/>
      <c r="K148" s="55"/>
      <c r="L148" s="55"/>
      <c r="M148" s="55"/>
      <c r="N148" s="55"/>
      <c r="O148" s="55"/>
    </row>
    <row r="149" spans="2:15" ht="27" x14ac:dyDescent="0.25">
      <c r="B149" s="91" t="s">
        <v>646</v>
      </c>
      <c r="C149" s="90" t="s">
        <v>677</v>
      </c>
      <c r="D149" s="210">
        <v>0</v>
      </c>
      <c r="E149" s="211"/>
      <c r="F149" s="212"/>
      <c r="G149" s="210">
        <v>0</v>
      </c>
      <c r="H149" s="212"/>
      <c r="J149" s="55"/>
      <c r="K149" s="55"/>
      <c r="L149" s="55"/>
      <c r="M149" s="55"/>
      <c r="N149" s="55"/>
      <c r="O149" s="55"/>
    </row>
    <row r="150" spans="2:15" ht="27" x14ac:dyDescent="0.25">
      <c r="B150" s="91" t="s">
        <v>642</v>
      </c>
      <c r="C150" s="90" t="s">
        <v>678</v>
      </c>
      <c r="D150" s="210">
        <v>0</v>
      </c>
      <c r="E150" s="211"/>
      <c r="F150" s="212"/>
      <c r="G150" s="210">
        <v>0</v>
      </c>
      <c r="H150" s="212"/>
      <c r="J150" s="55"/>
      <c r="K150" s="55"/>
      <c r="L150" s="55"/>
      <c r="M150" s="55"/>
      <c r="N150" s="55"/>
      <c r="O150" s="55"/>
    </row>
    <row r="151" spans="2:15" ht="27" x14ac:dyDescent="0.25">
      <c r="B151" s="91" t="s">
        <v>679</v>
      </c>
      <c r="C151" s="90" t="s">
        <v>680</v>
      </c>
      <c r="D151" s="210">
        <v>0</v>
      </c>
      <c r="E151" s="211"/>
      <c r="F151" s="212"/>
      <c r="G151" s="210">
        <v>0</v>
      </c>
      <c r="H151" s="212"/>
      <c r="J151" s="55"/>
      <c r="K151" s="55"/>
      <c r="L151" s="55"/>
      <c r="M151" s="55"/>
      <c r="N151" s="55"/>
      <c r="O151" s="55"/>
    </row>
    <row r="152" spans="2:15" ht="27" x14ac:dyDescent="0.25">
      <c r="B152" s="91" t="s">
        <v>644</v>
      </c>
      <c r="C152" s="90" t="s">
        <v>681</v>
      </c>
      <c r="D152" s="185">
        <v>0</v>
      </c>
      <c r="E152" s="185"/>
      <c r="F152" s="185"/>
      <c r="G152" s="185">
        <v>0</v>
      </c>
      <c r="H152" s="185"/>
      <c r="J152" s="55"/>
      <c r="K152" s="55"/>
      <c r="L152" s="55"/>
      <c r="M152" s="55"/>
      <c r="N152" s="55"/>
      <c r="O152" s="55"/>
    </row>
    <row r="153" spans="2:15" ht="13.5" x14ac:dyDescent="0.25">
      <c r="B153" s="145"/>
      <c r="C153" s="145"/>
      <c r="D153" s="214"/>
      <c r="E153" s="214"/>
      <c r="F153" s="214"/>
      <c r="G153" s="214"/>
      <c r="H153" s="214"/>
      <c r="J153" s="55"/>
      <c r="K153" s="55"/>
      <c r="L153" s="55"/>
      <c r="M153" s="55"/>
      <c r="N153" s="55"/>
      <c r="O153" s="55"/>
    </row>
    <row r="154" spans="2:15" ht="13.5" x14ac:dyDescent="0.25">
      <c r="B154" s="215" t="s">
        <v>648</v>
      </c>
      <c r="C154" s="215"/>
      <c r="D154" s="215"/>
      <c r="E154" s="215"/>
      <c r="F154" s="215"/>
      <c r="G154" s="215"/>
      <c r="H154" s="215"/>
      <c r="J154" s="55"/>
      <c r="K154" s="55"/>
      <c r="L154" s="55"/>
      <c r="M154" s="55"/>
      <c r="N154" s="55"/>
      <c r="O154" s="55"/>
    </row>
    <row r="155" spans="2:15" ht="13.5" x14ac:dyDescent="0.2">
      <c r="B155" s="201" t="s">
        <v>638</v>
      </c>
      <c r="C155" s="201" t="s">
        <v>639</v>
      </c>
      <c r="D155" s="201" t="s">
        <v>682</v>
      </c>
      <c r="E155" s="201"/>
      <c r="F155" s="201"/>
      <c r="G155" s="201"/>
      <c r="H155" s="202" t="s">
        <v>683</v>
      </c>
      <c r="I155" s="202" t="s">
        <v>684</v>
      </c>
      <c r="J155" s="202" t="s">
        <v>685</v>
      </c>
      <c r="K155" s="55"/>
      <c r="L155" s="55"/>
      <c r="M155" s="55"/>
      <c r="N155" s="55"/>
      <c r="O155" s="55"/>
    </row>
    <row r="156" spans="2:15" ht="121.5" x14ac:dyDescent="0.2">
      <c r="B156" s="201"/>
      <c r="C156" s="201"/>
      <c r="D156" s="87" t="s">
        <v>686</v>
      </c>
      <c r="E156" s="87" t="s">
        <v>687</v>
      </c>
      <c r="F156" s="87" t="s">
        <v>688</v>
      </c>
      <c r="G156" s="87" t="s">
        <v>689</v>
      </c>
      <c r="H156" s="202"/>
      <c r="I156" s="202"/>
      <c r="J156" s="202"/>
      <c r="K156" s="55"/>
      <c r="L156" s="55"/>
      <c r="M156" s="55"/>
      <c r="N156" s="55"/>
      <c r="O156" s="55"/>
    </row>
    <row r="157" spans="2:15" ht="27" x14ac:dyDescent="0.25">
      <c r="B157" s="91" t="s">
        <v>646</v>
      </c>
      <c r="C157" s="90" t="s">
        <v>677</v>
      </c>
      <c r="D157" s="93">
        <v>3000</v>
      </c>
      <c r="E157" s="93">
        <v>198.60410960000002</v>
      </c>
      <c r="F157" s="154">
        <v>72.152053199999997</v>
      </c>
      <c r="G157" s="155">
        <v>3270.7561627999999</v>
      </c>
      <c r="H157" s="8">
        <v>1452.6372699999999</v>
      </c>
      <c r="I157" s="8">
        <f>2499839/10^5</f>
        <v>24.998390000000001</v>
      </c>
      <c r="J157" s="8">
        <f>H157+I157</f>
        <v>1477.6356599999999</v>
      </c>
      <c r="K157" s="55"/>
      <c r="L157" s="55"/>
      <c r="M157" s="55"/>
      <c r="N157" s="55"/>
      <c r="O157" s="55"/>
    </row>
    <row r="158" spans="2:15" ht="27" x14ac:dyDescent="0.25">
      <c r="B158" s="91" t="s">
        <v>642</v>
      </c>
      <c r="C158" s="90" t="s">
        <v>678</v>
      </c>
      <c r="D158" s="93">
        <v>500</v>
      </c>
      <c r="E158" s="93">
        <v>33.283561599999999</v>
      </c>
      <c r="F158" s="154">
        <v>12.091777499999999</v>
      </c>
      <c r="G158" s="155">
        <f>D158+E158+F158</f>
        <v>545.37533910000002</v>
      </c>
      <c r="H158" s="8">
        <v>242.22076999999999</v>
      </c>
      <c r="I158" s="8">
        <f>416840/10^5</f>
        <v>4.1684000000000001</v>
      </c>
      <c r="J158" s="8">
        <f>H158+I158</f>
        <v>246.38916999999998</v>
      </c>
      <c r="K158" s="55"/>
      <c r="L158" s="55"/>
      <c r="M158" s="55"/>
      <c r="N158" s="55"/>
      <c r="O158" s="55"/>
    </row>
    <row r="159" spans="2:15" ht="27" x14ac:dyDescent="0.25">
      <c r="B159" s="91" t="s">
        <v>679</v>
      </c>
      <c r="C159" s="90" t="s">
        <v>690</v>
      </c>
      <c r="D159" s="93">
        <v>2000</v>
      </c>
      <c r="E159" s="93">
        <v>39.762295099999996</v>
      </c>
      <c r="F159" s="154">
        <v>64.029485721917808</v>
      </c>
      <c r="G159" s="155">
        <v>2103.7917808219199</v>
      </c>
      <c r="H159" s="8">
        <v>933.64715000000001</v>
      </c>
      <c r="I159" s="8">
        <f>1606686/10^5</f>
        <v>16.066859999999998</v>
      </c>
      <c r="J159" s="8">
        <f>H159+I159</f>
        <v>949.71401000000003</v>
      </c>
      <c r="K159" s="55"/>
      <c r="L159" s="55"/>
      <c r="M159" s="55"/>
      <c r="N159" s="55"/>
      <c r="O159" s="55"/>
    </row>
    <row r="160" spans="2:15" ht="27" x14ac:dyDescent="0.25">
      <c r="B160" s="91" t="s">
        <v>644</v>
      </c>
      <c r="C160" s="90" t="s">
        <v>681</v>
      </c>
      <c r="D160" s="93">
        <v>1882.78</v>
      </c>
      <c r="E160" s="93">
        <v>137.066384</v>
      </c>
      <c r="F160" s="154">
        <v>34.266601500000007</v>
      </c>
      <c r="G160" s="155">
        <v>2054.1129854999999</v>
      </c>
      <c r="H160" s="8">
        <v>916.65184999999997</v>
      </c>
      <c r="I160" s="8">
        <f>1577458/10^5</f>
        <v>15.77458</v>
      </c>
      <c r="J160" s="8">
        <f>H160+I160</f>
        <v>932.42642999999998</v>
      </c>
      <c r="K160" s="55"/>
      <c r="L160" s="55"/>
      <c r="M160" s="55"/>
      <c r="N160" s="55"/>
      <c r="O160" s="55"/>
    </row>
    <row r="161" spans="2:15" ht="13.5" x14ac:dyDescent="0.25">
      <c r="B161" s="145"/>
      <c r="C161" s="146"/>
      <c r="D161" s="156"/>
      <c r="E161" s="156"/>
      <c r="F161" s="11"/>
      <c r="G161" s="148"/>
      <c r="H161" s="9"/>
      <c r="J161" s="16"/>
      <c r="K161" s="55"/>
      <c r="L161" s="55"/>
      <c r="M161" s="55"/>
      <c r="N161" s="55"/>
      <c r="O161" s="55"/>
    </row>
    <row r="162" spans="2:15" ht="39" customHeight="1" x14ac:dyDescent="0.2">
      <c r="B162" s="213" t="s">
        <v>691</v>
      </c>
      <c r="C162" s="213"/>
      <c r="D162" s="213"/>
      <c r="E162" s="213"/>
      <c r="F162" s="213"/>
      <c r="G162" s="213"/>
      <c r="H162" s="213"/>
      <c r="I162" s="213"/>
      <c r="J162" s="16"/>
      <c r="K162" s="55"/>
      <c r="L162" s="55"/>
      <c r="M162" s="55"/>
      <c r="N162" s="55"/>
      <c r="O162" s="55"/>
    </row>
    <row r="163" spans="2:15" x14ac:dyDescent="0.2">
      <c r="B163" s="55"/>
      <c r="C163" s="55"/>
      <c r="D163" s="55"/>
      <c r="E163" s="55"/>
      <c r="F163" s="55"/>
      <c r="G163" s="55"/>
      <c r="H163" s="55"/>
      <c r="J163" s="16"/>
      <c r="K163" s="55"/>
      <c r="L163" s="55"/>
      <c r="M163" s="55"/>
      <c r="N163" s="55"/>
      <c r="O163" s="55"/>
    </row>
    <row r="164" spans="2:15" ht="13.5" x14ac:dyDescent="0.25">
      <c r="B164" s="96" t="s">
        <v>668</v>
      </c>
      <c r="C164" s="55"/>
      <c r="D164" s="55"/>
      <c r="E164" s="55"/>
      <c r="F164" s="55"/>
      <c r="G164" s="55"/>
      <c r="H164" s="55"/>
      <c r="J164" s="16"/>
      <c r="K164" s="55"/>
      <c r="L164" s="55"/>
      <c r="M164" s="55"/>
      <c r="N164" s="55"/>
      <c r="O164" s="55"/>
    </row>
    <row r="165" spans="2:15" x14ac:dyDescent="0.2">
      <c r="B165" s="55"/>
      <c r="C165" s="55"/>
      <c r="D165" s="55"/>
      <c r="E165" s="55"/>
      <c r="F165" s="55"/>
      <c r="G165" s="55"/>
      <c r="H165" s="55"/>
      <c r="I165" s="55"/>
      <c r="J165" s="16"/>
      <c r="K165" s="55"/>
      <c r="L165" s="55"/>
      <c r="M165" s="55"/>
      <c r="N165" s="55"/>
      <c r="O165" s="55"/>
    </row>
    <row r="166" spans="2:15" x14ac:dyDescent="0.2">
      <c r="B166" s="97" t="s">
        <v>669</v>
      </c>
      <c r="C166" s="55"/>
      <c r="D166" s="55"/>
      <c r="E166" s="55"/>
      <c r="F166" s="55"/>
      <c r="G166" s="55"/>
      <c r="H166" s="55"/>
      <c r="I166" s="55"/>
      <c r="J166" s="16"/>
      <c r="K166" s="55"/>
      <c r="L166" s="55"/>
      <c r="M166" s="55"/>
      <c r="N166" s="55"/>
      <c r="O166" s="55"/>
    </row>
    <row r="167" spans="2:15" x14ac:dyDescent="0.2">
      <c r="B167" s="55"/>
      <c r="C167" s="55"/>
      <c r="D167" s="55"/>
      <c r="E167" s="55"/>
      <c r="F167" s="55"/>
      <c r="G167" s="55"/>
      <c r="H167" s="55"/>
      <c r="I167" s="55"/>
      <c r="J167" s="16"/>
      <c r="K167" s="55"/>
      <c r="L167" s="55"/>
      <c r="M167" s="55"/>
      <c r="N167" s="55"/>
      <c r="O167" s="55"/>
    </row>
    <row r="168" spans="2:15" x14ac:dyDescent="0.2">
      <c r="B168" s="97" t="s">
        <v>670</v>
      </c>
      <c r="C168" s="55"/>
      <c r="D168" s="55"/>
      <c r="E168" s="55"/>
      <c r="F168" s="55"/>
      <c r="G168" s="55"/>
      <c r="H168" s="55"/>
      <c r="I168" s="55"/>
      <c r="J168" s="16"/>
      <c r="K168" s="55"/>
      <c r="L168" s="55"/>
      <c r="M168" s="55"/>
      <c r="N168" s="55"/>
      <c r="O168" s="55"/>
    </row>
    <row r="169" spans="2:15" x14ac:dyDescent="0.2">
      <c r="I169" s="55"/>
      <c r="J169" s="16"/>
      <c r="K169" s="55"/>
      <c r="L169" s="55"/>
      <c r="M169" s="55"/>
      <c r="N169" s="55"/>
      <c r="O169" s="55"/>
    </row>
    <row r="170" spans="2:15" x14ac:dyDescent="0.2">
      <c r="B170" s="97" t="s">
        <v>671</v>
      </c>
      <c r="J170" s="16"/>
      <c r="K170" s="55"/>
      <c r="L170" s="55"/>
      <c r="M170" s="55"/>
      <c r="N170" s="55"/>
      <c r="O170" s="55"/>
    </row>
    <row r="171" spans="2:15" x14ac:dyDescent="0.2">
      <c r="I171" s="55"/>
      <c r="J171" s="16"/>
      <c r="K171" s="55"/>
      <c r="L171" s="55"/>
      <c r="M171" s="55"/>
      <c r="N171" s="55"/>
      <c r="O171" s="55"/>
    </row>
    <row r="172" spans="2:15" ht="25.5" x14ac:dyDescent="0.2">
      <c r="B172" s="66" t="s">
        <v>622</v>
      </c>
    </row>
    <row r="174" spans="2:15" ht="153.75" customHeight="1" x14ac:dyDescent="0.2"/>
    <row r="177" spans="2:10" x14ac:dyDescent="0.2">
      <c r="B177" s="67" t="s">
        <v>623</v>
      </c>
      <c r="C177" s="68"/>
      <c r="D177" s="67"/>
    </row>
    <row r="178" spans="2:10" x14ac:dyDescent="0.2">
      <c r="B178" s="67" t="s">
        <v>692</v>
      </c>
      <c r="D178" s="67"/>
    </row>
    <row r="179" spans="2:10" ht="165" customHeight="1" x14ac:dyDescent="0.2"/>
    <row r="181" spans="2:10" x14ac:dyDescent="0.2">
      <c r="J181" s="16"/>
    </row>
  </sheetData>
  <mergeCells count="47">
    <mergeCell ref="I155:I156"/>
    <mergeCell ref="J155:J156"/>
    <mergeCell ref="B162:I162"/>
    <mergeCell ref="D153:F153"/>
    <mergeCell ref="G153:H153"/>
    <mergeCell ref="B154:H154"/>
    <mergeCell ref="B155:B156"/>
    <mergeCell ref="C155:C156"/>
    <mergeCell ref="D155:G155"/>
    <mergeCell ref="H155:H156"/>
    <mergeCell ref="D150:F150"/>
    <mergeCell ref="G150:H150"/>
    <mergeCell ref="D151:F151"/>
    <mergeCell ref="G151:H151"/>
    <mergeCell ref="D152:F152"/>
    <mergeCell ref="G152:H152"/>
    <mergeCell ref="B146:H146"/>
    <mergeCell ref="D148:F148"/>
    <mergeCell ref="G148:H148"/>
    <mergeCell ref="D149:F149"/>
    <mergeCell ref="G149:H149"/>
    <mergeCell ref="B140:C140"/>
    <mergeCell ref="B141:C141"/>
    <mergeCell ref="B142:C142"/>
    <mergeCell ref="B143:C143"/>
    <mergeCell ref="B144:D144"/>
    <mergeCell ref="B135:C135"/>
    <mergeCell ref="B136:C136"/>
    <mergeCell ref="B137:C137"/>
    <mergeCell ref="B138:C138"/>
    <mergeCell ref="B139:C139"/>
    <mergeCell ref="A1:H1"/>
    <mergeCell ref="A2:H2"/>
    <mergeCell ref="A3:H3"/>
    <mergeCell ref="B102:H102"/>
    <mergeCell ref="B103:H103"/>
    <mergeCell ref="B104:H104"/>
    <mergeCell ref="B106:D106"/>
    <mergeCell ref="B107:C107"/>
    <mergeCell ref="B108:C108"/>
    <mergeCell ref="B109:C109"/>
    <mergeCell ref="B134:D134"/>
    <mergeCell ref="B131:C131"/>
    <mergeCell ref="B132:C132"/>
    <mergeCell ref="B124:C124"/>
    <mergeCell ref="B130:C130"/>
    <mergeCell ref="B129:C129"/>
  </mergeCells>
  <hyperlinks>
    <hyperlink ref="I1" location="Index!B2" display="Index" xr:uid="{8A0049FC-E5EA-4FE2-B318-F3B31CF0075B}"/>
    <hyperlink ref="B166" r:id="rId1" xr:uid="{B63F67F5-36D4-4072-ADB9-2333D9F24CFA}"/>
    <hyperlink ref="B168" r:id="rId2" xr:uid="{1F643E4E-EE51-47CA-8032-EEC543E5E57E}"/>
    <hyperlink ref="B170" r:id="rId3" xr:uid="{522A15E7-4B24-4041-9D3B-179206CA7B31}"/>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9E631-E4AF-4C33-A5AC-E77460FAC9CA}">
  <sheetPr>
    <outlinePr summaryBelow="0" summaryRight="0"/>
  </sheetPr>
  <dimension ref="A1:Q219"/>
  <sheetViews>
    <sheetView showGridLines="0" workbookViewId="0">
      <selection sqref="A1:H1"/>
    </sheetView>
  </sheetViews>
  <sheetFormatPr defaultRowHeight="12.75" x14ac:dyDescent="0.2"/>
  <cols>
    <col min="1" max="1" width="5.85546875" bestFit="1" customWidth="1"/>
    <col min="2" max="2" width="20.28515625" bestFit="1" customWidth="1"/>
    <col min="3" max="3" width="40.85546875" customWidth="1"/>
    <col min="4" max="4" width="17.85546875" customWidth="1"/>
    <col min="5" max="5" width="9.42578125" bestFit="1" customWidth="1"/>
    <col min="6" max="6" width="10.140625" bestFit="1" customWidth="1"/>
    <col min="7" max="7" width="14" bestFit="1" customWidth="1"/>
    <col min="8" max="8" width="11" customWidth="1"/>
  </cols>
  <sheetData>
    <row r="1" spans="1:9" ht="15" x14ac:dyDescent="0.2">
      <c r="A1" s="173" t="s">
        <v>0</v>
      </c>
      <c r="B1" s="173"/>
      <c r="C1" s="173"/>
      <c r="D1" s="173"/>
      <c r="E1" s="173"/>
      <c r="F1" s="173"/>
      <c r="G1" s="173"/>
      <c r="H1" s="173"/>
      <c r="I1" s="1" t="s">
        <v>594</v>
      </c>
    </row>
    <row r="2" spans="1:9" ht="15" x14ac:dyDescent="0.2">
      <c r="A2" s="173" t="s">
        <v>476</v>
      </c>
      <c r="B2" s="173"/>
      <c r="C2" s="173"/>
      <c r="D2" s="173"/>
      <c r="E2" s="173"/>
      <c r="F2" s="173"/>
      <c r="G2" s="173"/>
      <c r="H2" s="173"/>
    </row>
    <row r="3" spans="1:9" ht="15" x14ac:dyDescent="0.2">
      <c r="A3" s="173" t="s">
        <v>750</v>
      </c>
      <c r="B3" s="173"/>
      <c r="C3" s="173"/>
      <c r="D3" s="173"/>
      <c r="E3" s="173"/>
      <c r="F3" s="173"/>
      <c r="G3" s="173"/>
      <c r="H3" s="173"/>
    </row>
    <row r="4" spans="1:9" s="16" customFormat="1" ht="30" x14ac:dyDescent="0.2">
      <c r="A4" s="14" t="s">
        <v>2</v>
      </c>
      <c r="B4" s="14" t="s">
        <v>3</v>
      </c>
      <c r="C4" s="14" t="s">
        <v>4</v>
      </c>
      <c r="D4" s="14" t="s">
        <v>5</v>
      </c>
      <c r="E4" s="14" t="s">
        <v>6</v>
      </c>
      <c r="F4" s="14" t="s">
        <v>7</v>
      </c>
      <c r="G4" s="14" t="s">
        <v>8</v>
      </c>
      <c r="H4" s="15" t="s">
        <v>749</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7">
        <v>1</v>
      </c>
      <c r="B7" s="70" t="s">
        <v>632</v>
      </c>
      <c r="C7" s="70" t="s">
        <v>633</v>
      </c>
      <c r="D7" s="70" t="s">
        <v>634</v>
      </c>
      <c r="E7" s="71">
        <v>13333</v>
      </c>
      <c r="F7" s="72">
        <v>0.01</v>
      </c>
      <c r="G7" s="115" t="s">
        <v>635</v>
      </c>
      <c r="H7" s="19" t="s">
        <v>12</v>
      </c>
    </row>
    <row r="8" spans="1:9" x14ac:dyDescent="0.2">
      <c r="A8" s="20"/>
      <c r="B8" s="20"/>
      <c r="C8" s="21" t="s">
        <v>11</v>
      </c>
      <c r="D8" s="20"/>
      <c r="E8" s="20" t="s">
        <v>12</v>
      </c>
      <c r="F8" s="26">
        <f>SUM(F7)</f>
        <v>0.01</v>
      </c>
      <c r="G8" s="23">
        <v>0</v>
      </c>
      <c r="H8" s="19" t="s">
        <v>12</v>
      </c>
    </row>
    <row r="9" spans="1:9" x14ac:dyDescent="0.2">
      <c r="A9" s="20"/>
      <c r="B9" s="20"/>
      <c r="C9" s="24"/>
      <c r="D9" s="20"/>
      <c r="E9" s="20"/>
      <c r="F9" s="25"/>
      <c r="G9" s="25"/>
      <c r="H9" s="19" t="s">
        <v>12</v>
      </c>
    </row>
    <row r="10" spans="1:9" x14ac:dyDescent="0.2">
      <c r="A10" s="20"/>
      <c r="B10" s="20"/>
      <c r="C10" s="21" t="s">
        <v>14</v>
      </c>
      <c r="D10" s="20"/>
      <c r="E10" s="20"/>
      <c r="F10" s="20"/>
      <c r="G10" s="20"/>
      <c r="H10" s="19" t="s">
        <v>12</v>
      </c>
    </row>
    <row r="11" spans="1:9" x14ac:dyDescent="0.2">
      <c r="A11" s="20"/>
      <c r="B11" s="20"/>
      <c r="C11" s="21" t="s">
        <v>11</v>
      </c>
      <c r="D11" s="20"/>
      <c r="E11" s="20" t="s">
        <v>12</v>
      </c>
      <c r="F11" s="22" t="s">
        <v>13</v>
      </c>
      <c r="G11" s="23">
        <v>0</v>
      </c>
      <c r="H11" s="19" t="s">
        <v>12</v>
      </c>
    </row>
    <row r="12" spans="1:9" x14ac:dyDescent="0.2">
      <c r="A12" s="20"/>
      <c r="B12" s="20"/>
      <c r="C12" s="24"/>
      <c r="D12" s="20"/>
      <c r="E12" s="20"/>
      <c r="F12" s="25"/>
      <c r="G12" s="25"/>
      <c r="H12" s="19" t="s">
        <v>12</v>
      </c>
    </row>
    <row r="13" spans="1:9" x14ac:dyDescent="0.2">
      <c r="A13" s="20"/>
      <c r="B13" s="20"/>
      <c r="C13" s="21" t="s">
        <v>15</v>
      </c>
      <c r="D13" s="20"/>
      <c r="E13" s="20"/>
      <c r="F13" s="20"/>
      <c r="G13" s="20"/>
      <c r="H13" s="19" t="s">
        <v>12</v>
      </c>
    </row>
    <row r="14" spans="1:9" x14ac:dyDescent="0.2">
      <c r="A14" s="20"/>
      <c r="B14" s="20"/>
      <c r="C14" s="21" t="s">
        <v>11</v>
      </c>
      <c r="D14" s="20"/>
      <c r="E14" s="20" t="s">
        <v>12</v>
      </c>
      <c r="F14" s="22" t="s">
        <v>13</v>
      </c>
      <c r="G14" s="23">
        <v>0</v>
      </c>
      <c r="H14" s="19" t="s">
        <v>12</v>
      </c>
    </row>
    <row r="15" spans="1:9" x14ac:dyDescent="0.2">
      <c r="A15" s="20"/>
      <c r="B15" s="20"/>
      <c r="C15" s="24"/>
      <c r="D15" s="20"/>
      <c r="E15" s="20"/>
      <c r="F15" s="25"/>
      <c r="G15" s="25"/>
      <c r="H15" s="19" t="s">
        <v>12</v>
      </c>
    </row>
    <row r="16" spans="1:9" x14ac:dyDescent="0.2">
      <c r="A16" s="20"/>
      <c r="B16" s="20"/>
      <c r="C16" s="21" t="s">
        <v>16</v>
      </c>
      <c r="D16" s="20"/>
      <c r="E16" s="20"/>
      <c r="F16" s="20"/>
      <c r="G16" s="20"/>
      <c r="H16" s="19" t="s">
        <v>12</v>
      </c>
    </row>
    <row r="17" spans="1:8" x14ac:dyDescent="0.2">
      <c r="A17" s="20"/>
      <c r="B17" s="20"/>
      <c r="C17" s="21" t="s">
        <v>11</v>
      </c>
      <c r="D17" s="20"/>
      <c r="E17" s="20" t="s">
        <v>12</v>
      </c>
      <c r="F17" s="22" t="s">
        <v>13</v>
      </c>
      <c r="G17" s="23">
        <v>0</v>
      </c>
      <c r="H17" s="19" t="s">
        <v>12</v>
      </c>
    </row>
    <row r="18" spans="1:8" x14ac:dyDescent="0.2">
      <c r="A18" s="20"/>
      <c r="B18" s="20"/>
      <c r="C18" s="24"/>
      <c r="D18" s="20"/>
      <c r="E18" s="20"/>
      <c r="F18" s="25"/>
      <c r="G18" s="25"/>
      <c r="H18" s="19" t="s">
        <v>12</v>
      </c>
    </row>
    <row r="19" spans="1:8" x14ac:dyDescent="0.2">
      <c r="A19" s="20"/>
      <c r="B19" s="20"/>
      <c r="C19" s="21" t="s">
        <v>17</v>
      </c>
      <c r="D19" s="20"/>
      <c r="E19" s="20"/>
      <c r="F19" s="25"/>
      <c r="G19" s="25"/>
      <c r="H19" s="19" t="s">
        <v>12</v>
      </c>
    </row>
    <row r="20" spans="1:8" x14ac:dyDescent="0.2">
      <c r="A20" s="20"/>
      <c r="B20" s="20"/>
      <c r="C20" s="21" t="s">
        <v>11</v>
      </c>
      <c r="D20" s="20"/>
      <c r="E20" s="20" t="s">
        <v>12</v>
      </c>
      <c r="F20" s="22" t="s">
        <v>13</v>
      </c>
      <c r="G20" s="23">
        <v>0</v>
      </c>
      <c r="H20" s="19" t="s">
        <v>12</v>
      </c>
    </row>
    <row r="21" spans="1:8" x14ac:dyDescent="0.2">
      <c r="A21" s="20"/>
      <c r="B21" s="20"/>
      <c r="C21" s="24"/>
      <c r="D21" s="20"/>
      <c r="E21" s="20"/>
      <c r="F21" s="25"/>
      <c r="G21" s="25"/>
      <c r="H21" s="19" t="s">
        <v>12</v>
      </c>
    </row>
    <row r="22" spans="1:8" x14ac:dyDescent="0.2">
      <c r="A22" s="20"/>
      <c r="B22" s="20"/>
      <c r="C22" s="21" t="s">
        <v>18</v>
      </c>
      <c r="D22" s="20"/>
      <c r="E22" s="20"/>
      <c r="F22" s="25"/>
      <c r="G22" s="25"/>
      <c r="H22" s="19" t="s">
        <v>12</v>
      </c>
    </row>
    <row r="23" spans="1:8" x14ac:dyDescent="0.2">
      <c r="A23" s="20"/>
      <c r="B23" s="20"/>
      <c r="C23" s="21" t="s">
        <v>11</v>
      </c>
      <c r="D23" s="20"/>
      <c r="E23" s="20" t="s">
        <v>12</v>
      </c>
      <c r="F23" s="22" t="s">
        <v>13</v>
      </c>
      <c r="G23" s="23">
        <v>0</v>
      </c>
      <c r="H23" s="19" t="s">
        <v>12</v>
      </c>
    </row>
    <row r="24" spans="1:8" x14ac:dyDescent="0.2">
      <c r="A24" s="20"/>
      <c r="B24" s="20"/>
      <c r="C24" s="24"/>
      <c r="D24" s="20"/>
      <c r="E24" s="20"/>
      <c r="F24" s="25"/>
      <c r="G24" s="25"/>
      <c r="H24" s="19" t="s">
        <v>12</v>
      </c>
    </row>
    <row r="25" spans="1:8" x14ac:dyDescent="0.2">
      <c r="A25" s="20"/>
      <c r="B25" s="20"/>
      <c r="C25" s="21" t="s">
        <v>19</v>
      </c>
      <c r="D25" s="20"/>
      <c r="E25" s="20"/>
      <c r="F25" s="26">
        <f>F8</f>
        <v>0.01</v>
      </c>
      <c r="G25" s="23">
        <v>0</v>
      </c>
      <c r="H25" s="19" t="s">
        <v>12</v>
      </c>
    </row>
    <row r="26" spans="1:8" x14ac:dyDescent="0.2">
      <c r="A26" s="20"/>
      <c r="B26" s="20"/>
      <c r="C26" s="24"/>
      <c r="D26" s="20"/>
      <c r="E26" s="20"/>
      <c r="F26" s="25"/>
      <c r="G26" s="25"/>
      <c r="H26" s="19" t="s">
        <v>12</v>
      </c>
    </row>
    <row r="27" spans="1:8" x14ac:dyDescent="0.2">
      <c r="A27" s="20"/>
      <c r="B27" s="20"/>
      <c r="C27" s="21" t="s">
        <v>20</v>
      </c>
      <c r="D27" s="20"/>
      <c r="E27" s="20"/>
      <c r="F27" s="25"/>
      <c r="G27" s="25"/>
      <c r="H27" s="19" t="s">
        <v>12</v>
      </c>
    </row>
    <row r="28" spans="1:8" x14ac:dyDescent="0.2">
      <c r="A28" s="20"/>
      <c r="B28" s="20"/>
      <c r="C28" s="21" t="s">
        <v>10</v>
      </c>
      <c r="D28" s="20"/>
      <c r="E28" s="20"/>
      <c r="F28" s="25"/>
      <c r="G28" s="25"/>
      <c r="H28" s="19" t="s">
        <v>12</v>
      </c>
    </row>
    <row r="29" spans="1:8" x14ac:dyDescent="0.2">
      <c r="A29" s="27">
        <v>1</v>
      </c>
      <c r="B29" s="28" t="s">
        <v>267</v>
      </c>
      <c r="C29" s="28" t="s">
        <v>268</v>
      </c>
      <c r="D29" s="28" t="s">
        <v>23</v>
      </c>
      <c r="E29" s="29">
        <v>8000</v>
      </c>
      <c r="F29" s="30">
        <v>8077.9359999999997</v>
      </c>
      <c r="G29" s="31">
        <v>2.8117739999999999E-2</v>
      </c>
      <c r="H29" s="19">
        <v>6.55</v>
      </c>
    </row>
    <row r="30" spans="1:8" x14ac:dyDescent="0.2">
      <c r="A30" s="27">
        <v>2</v>
      </c>
      <c r="B30" s="28" t="s">
        <v>269</v>
      </c>
      <c r="C30" s="28" t="s">
        <v>270</v>
      </c>
      <c r="D30" s="28" t="s">
        <v>263</v>
      </c>
      <c r="E30" s="29">
        <v>7000</v>
      </c>
      <c r="F30" s="30">
        <v>7035.616</v>
      </c>
      <c r="G30" s="31">
        <v>2.448962E-2</v>
      </c>
      <c r="H30" s="19">
        <v>7.4249999999999998</v>
      </c>
    </row>
    <row r="31" spans="1:8" ht="25.5" x14ac:dyDescent="0.2">
      <c r="A31" s="27">
        <v>3</v>
      </c>
      <c r="B31" s="28" t="s">
        <v>477</v>
      </c>
      <c r="C31" s="28" t="s">
        <v>478</v>
      </c>
      <c r="D31" s="28" t="s">
        <v>32</v>
      </c>
      <c r="E31" s="29">
        <v>5000</v>
      </c>
      <c r="F31" s="30">
        <v>5046.2349999999997</v>
      </c>
      <c r="G31" s="31">
        <v>1.7564969999999999E-2</v>
      </c>
      <c r="H31" s="19">
        <v>6.68</v>
      </c>
    </row>
    <row r="32" spans="1:8" x14ac:dyDescent="0.2">
      <c r="A32" s="27">
        <v>4</v>
      </c>
      <c r="B32" s="28" t="s">
        <v>261</v>
      </c>
      <c r="C32" s="28" t="s">
        <v>262</v>
      </c>
      <c r="D32" s="28" t="s">
        <v>263</v>
      </c>
      <c r="E32" s="29">
        <v>3000</v>
      </c>
      <c r="F32" s="30">
        <v>3039.3780000000002</v>
      </c>
      <c r="G32" s="31">
        <v>1.057949E-2</v>
      </c>
      <c r="H32" s="19">
        <v>7.6425000000000001</v>
      </c>
    </row>
    <row r="33" spans="1:8" ht="25.5" x14ac:dyDescent="0.2">
      <c r="A33" s="27">
        <v>5</v>
      </c>
      <c r="B33" s="28" t="s">
        <v>55</v>
      </c>
      <c r="C33" s="28" t="s">
        <v>56</v>
      </c>
      <c r="D33" s="28" t="s">
        <v>23</v>
      </c>
      <c r="E33" s="29">
        <v>2500</v>
      </c>
      <c r="F33" s="30">
        <v>2525.0574999999999</v>
      </c>
      <c r="G33" s="31">
        <v>8.7892400000000002E-3</v>
      </c>
      <c r="H33" s="19">
        <v>6.6</v>
      </c>
    </row>
    <row r="34" spans="1:8" ht="25.5" x14ac:dyDescent="0.2">
      <c r="A34" s="27">
        <v>6</v>
      </c>
      <c r="B34" s="28" t="s">
        <v>479</v>
      </c>
      <c r="C34" s="28" t="s">
        <v>480</v>
      </c>
      <c r="D34" s="28" t="s">
        <v>23</v>
      </c>
      <c r="E34" s="29">
        <v>250</v>
      </c>
      <c r="F34" s="30">
        <v>2521.0475000000001</v>
      </c>
      <c r="G34" s="31">
        <v>8.7752799999999999E-3</v>
      </c>
      <c r="H34" s="19">
        <v>7.2050000000000001</v>
      </c>
    </row>
    <row r="35" spans="1:8" x14ac:dyDescent="0.2">
      <c r="A35" s="27">
        <v>7</v>
      </c>
      <c r="B35" s="28" t="s">
        <v>481</v>
      </c>
      <c r="C35" s="28" t="s">
        <v>482</v>
      </c>
      <c r="D35" s="28" t="s">
        <v>23</v>
      </c>
      <c r="E35" s="29">
        <v>250</v>
      </c>
      <c r="F35" s="30">
        <v>2503.3125</v>
      </c>
      <c r="G35" s="31">
        <v>8.7135500000000005E-3</v>
      </c>
      <c r="H35" s="19">
        <v>6.64</v>
      </c>
    </row>
    <row r="36" spans="1:8" ht="25.5" x14ac:dyDescent="0.2">
      <c r="A36" s="27">
        <v>8</v>
      </c>
      <c r="B36" s="28" t="s">
        <v>288</v>
      </c>
      <c r="C36" s="28" t="s">
        <v>289</v>
      </c>
      <c r="D36" s="28" t="s">
        <v>290</v>
      </c>
      <c r="E36" s="29">
        <v>200</v>
      </c>
      <c r="F36" s="30">
        <v>2008.748</v>
      </c>
      <c r="G36" s="31">
        <v>6.9920599999999996E-3</v>
      </c>
      <c r="H36" s="19">
        <v>7.07</v>
      </c>
    </row>
    <row r="37" spans="1:8" x14ac:dyDescent="0.2">
      <c r="A37" s="27">
        <v>9</v>
      </c>
      <c r="B37" s="28" t="s">
        <v>264</v>
      </c>
      <c r="C37" s="28" t="s">
        <v>265</v>
      </c>
      <c r="D37" s="28" t="s">
        <v>266</v>
      </c>
      <c r="E37" s="29">
        <v>1600</v>
      </c>
      <c r="F37" s="30">
        <v>1619.288</v>
      </c>
      <c r="G37" s="31">
        <v>5.6364300000000004E-3</v>
      </c>
      <c r="H37" s="19">
        <v>7.0750000000000002</v>
      </c>
    </row>
    <row r="38" spans="1:8" x14ac:dyDescent="0.2">
      <c r="A38" s="27">
        <v>10</v>
      </c>
      <c r="B38" s="28" t="s">
        <v>291</v>
      </c>
      <c r="C38" s="28" t="s">
        <v>292</v>
      </c>
      <c r="D38" s="28" t="s">
        <v>263</v>
      </c>
      <c r="E38" s="29">
        <v>1500</v>
      </c>
      <c r="F38" s="30">
        <v>1517.6714999999999</v>
      </c>
      <c r="G38" s="31">
        <v>5.2827200000000003E-3</v>
      </c>
      <c r="H38" s="19">
        <v>8.1</v>
      </c>
    </row>
    <row r="39" spans="1:8" ht="25.5" x14ac:dyDescent="0.2">
      <c r="A39" s="27">
        <v>11</v>
      </c>
      <c r="B39" s="28" t="s">
        <v>483</v>
      </c>
      <c r="C39" s="28" t="s">
        <v>484</v>
      </c>
      <c r="D39" s="28" t="s">
        <v>23</v>
      </c>
      <c r="E39" s="29">
        <v>150</v>
      </c>
      <c r="F39" s="30">
        <v>1510.386</v>
      </c>
      <c r="G39" s="31">
        <v>5.25736E-3</v>
      </c>
      <c r="H39" s="19">
        <v>7.13</v>
      </c>
    </row>
    <row r="40" spans="1:8" ht="25.5" x14ac:dyDescent="0.2">
      <c r="A40" s="27">
        <v>12</v>
      </c>
      <c r="B40" s="28" t="s">
        <v>485</v>
      </c>
      <c r="C40" s="28" t="s">
        <v>486</v>
      </c>
      <c r="D40" s="28" t="s">
        <v>290</v>
      </c>
      <c r="E40" s="29">
        <v>1300</v>
      </c>
      <c r="F40" s="30">
        <v>1298.9196999999999</v>
      </c>
      <c r="G40" s="31">
        <v>4.5212899999999999E-3</v>
      </c>
      <c r="H40" s="19">
        <v>7.42</v>
      </c>
    </row>
    <row r="41" spans="1:8" ht="25.5" x14ac:dyDescent="0.2">
      <c r="A41" s="27">
        <v>13</v>
      </c>
      <c r="B41" s="28" t="s">
        <v>71</v>
      </c>
      <c r="C41" s="28" t="s">
        <v>72</v>
      </c>
      <c r="D41" s="28" t="s">
        <v>23</v>
      </c>
      <c r="E41" s="29">
        <v>1000</v>
      </c>
      <c r="F41" s="30">
        <v>1008.952</v>
      </c>
      <c r="G41" s="31">
        <v>3.5119700000000001E-3</v>
      </c>
      <c r="H41" s="19">
        <v>6.6</v>
      </c>
    </row>
    <row r="42" spans="1:8" x14ac:dyDescent="0.2">
      <c r="A42" s="20"/>
      <c r="B42" s="20"/>
      <c r="C42" s="21" t="s">
        <v>11</v>
      </c>
      <c r="D42" s="20"/>
      <c r="E42" s="20" t="s">
        <v>12</v>
      </c>
      <c r="F42" s="26">
        <v>39712.547700000003</v>
      </c>
      <c r="G42" s="23">
        <v>0.13823172</v>
      </c>
      <c r="H42" s="19" t="s">
        <v>12</v>
      </c>
    </row>
    <row r="43" spans="1:8" x14ac:dyDescent="0.2">
      <c r="A43" s="20"/>
      <c r="B43" s="20"/>
      <c r="C43" s="24"/>
      <c r="D43" s="20"/>
      <c r="E43" s="20"/>
      <c r="F43" s="25"/>
      <c r="G43" s="25"/>
      <c r="H43" s="19" t="s">
        <v>12</v>
      </c>
    </row>
    <row r="44" spans="1:8" x14ac:dyDescent="0.2">
      <c r="A44" s="20"/>
      <c r="B44" s="20"/>
      <c r="C44" s="21" t="s">
        <v>77</v>
      </c>
      <c r="D44" s="20"/>
      <c r="E44" s="20"/>
      <c r="F44" s="20"/>
      <c r="G44" s="20"/>
      <c r="H44" s="19" t="s">
        <v>12</v>
      </c>
    </row>
    <row r="45" spans="1:8" x14ac:dyDescent="0.2">
      <c r="A45" s="20"/>
      <c r="B45" s="20"/>
      <c r="C45" s="21" t="s">
        <v>11</v>
      </c>
      <c r="D45" s="20"/>
      <c r="E45" s="20" t="s">
        <v>12</v>
      </c>
      <c r="F45" s="22" t="s">
        <v>13</v>
      </c>
      <c r="G45" s="23">
        <v>0</v>
      </c>
      <c r="H45" s="19" t="s">
        <v>12</v>
      </c>
    </row>
    <row r="46" spans="1:8" x14ac:dyDescent="0.2">
      <c r="A46" s="20"/>
      <c r="B46" s="20"/>
      <c r="C46" s="24"/>
      <c r="D46" s="20"/>
      <c r="E46" s="20"/>
      <c r="F46" s="25"/>
      <c r="G46" s="25"/>
      <c r="H46" s="19" t="s">
        <v>12</v>
      </c>
    </row>
    <row r="47" spans="1:8" x14ac:dyDescent="0.2">
      <c r="A47" s="20"/>
      <c r="B47" s="20"/>
      <c r="C47" s="21" t="s">
        <v>78</v>
      </c>
      <c r="D47" s="20"/>
      <c r="E47" s="20"/>
      <c r="F47" s="20"/>
      <c r="G47" s="20"/>
      <c r="H47" s="19" t="s">
        <v>12</v>
      </c>
    </row>
    <row r="48" spans="1:8" x14ac:dyDescent="0.2">
      <c r="A48" s="20"/>
      <c r="B48" s="20"/>
      <c r="C48" s="21" t="s">
        <v>11</v>
      </c>
      <c r="D48" s="20"/>
      <c r="E48" s="20" t="s">
        <v>12</v>
      </c>
      <c r="F48" s="22" t="s">
        <v>13</v>
      </c>
      <c r="G48" s="23">
        <v>0</v>
      </c>
      <c r="H48" s="19" t="s">
        <v>12</v>
      </c>
    </row>
    <row r="49" spans="1:8" x14ac:dyDescent="0.2">
      <c r="A49" s="20"/>
      <c r="B49" s="20"/>
      <c r="C49" s="24"/>
      <c r="D49" s="20"/>
      <c r="E49" s="20"/>
      <c r="F49" s="25"/>
      <c r="G49" s="25"/>
      <c r="H49" s="19" t="s">
        <v>12</v>
      </c>
    </row>
    <row r="50" spans="1:8" x14ac:dyDescent="0.2">
      <c r="A50" s="20"/>
      <c r="B50" s="20"/>
      <c r="C50" s="21" t="s">
        <v>100</v>
      </c>
      <c r="D50" s="20"/>
      <c r="E50" s="20"/>
      <c r="F50" s="25"/>
      <c r="G50" s="25"/>
      <c r="H50" s="19" t="s">
        <v>12</v>
      </c>
    </row>
    <row r="51" spans="1:8" x14ac:dyDescent="0.2">
      <c r="A51" s="20"/>
      <c r="B51" s="20"/>
      <c r="C51" s="21" t="s">
        <v>11</v>
      </c>
      <c r="D51" s="20"/>
      <c r="E51" s="20" t="s">
        <v>12</v>
      </c>
      <c r="F51" s="22" t="s">
        <v>13</v>
      </c>
      <c r="G51" s="23">
        <v>0</v>
      </c>
      <c r="H51" s="19" t="s">
        <v>12</v>
      </c>
    </row>
    <row r="52" spans="1:8" x14ac:dyDescent="0.2">
      <c r="A52" s="20"/>
      <c r="B52" s="20"/>
      <c r="C52" s="24"/>
      <c r="D52" s="20"/>
      <c r="E52" s="20"/>
      <c r="F52" s="25"/>
      <c r="G52" s="25"/>
      <c r="H52" s="19" t="s">
        <v>12</v>
      </c>
    </row>
    <row r="53" spans="1:8" x14ac:dyDescent="0.2">
      <c r="A53" s="20"/>
      <c r="B53" s="20"/>
      <c r="C53" s="21" t="s">
        <v>101</v>
      </c>
      <c r="D53" s="20"/>
      <c r="E53" s="20"/>
      <c r="F53" s="26">
        <v>39712.547700000003</v>
      </c>
      <c r="G53" s="23">
        <v>0.13823172</v>
      </c>
      <c r="H53" s="19" t="s">
        <v>12</v>
      </c>
    </row>
    <row r="54" spans="1:8" x14ac:dyDescent="0.2">
      <c r="A54" s="20"/>
      <c r="B54" s="20"/>
      <c r="C54" s="24"/>
      <c r="D54" s="20"/>
      <c r="E54" s="20"/>
      <c r="F54" s="25"/>
      <c r="G54" s="25"/>
      <c r="H54" s="19" t="s">
        <v>12</v>
      </c>
    </row>
    <row r="55" spans="1:8" x14ac:dyDescent="0.2">
      <c r="A55" s="20"/>
      <c r="B55" s="20"/>
      <c r="C55" s="21" t="s">
        <v>102</v>
      </c>
      <c r="D55" s="20"/>
      <c r="E55" s="20"/>
      <c r="F55" s="25"/>
      <c r="G55" s="25"/>
      <c r="H55" s="19" t="s">
        <v>12</v>
      </c>
    </row>
    <row r="56" spans="1:8" x14ac:dyDescent="0.2">
      <c r="A56" s="20"/>
      <c r="B56" s="20"/>
      <c r="C56" s="21" t="s">
        <v>103</v>
      </c>
      <c r="D56" s="20"/>
      <c r="E56" s="20"/>
      <c r="F56" s="25"/>
      <c r="G56" s="25"/>
      <c r="H56" s="19" t="s">
        <v>12</v>
      </c>
    </row>
    <row r="57" spans="1:8" x14ac:dyDescent="0.2">
      <c r="A57" s="27">
        <v>1</v>
      </c>
      <c r="B57" s="28" t="s">
        <v>295</v>
      </c>
      <c r="C57" s="28" t="s">
        <v>296</v>
      </c>
      <c r="D57" s="28" t="s">
        <v>297</v>
      </c>
      <c r="E57" s="29">
        <v>3000</v>
      </c>
      <c r="F57" s="30">
        <v>14560.844999999999</v>
      </c>
      <c r="G57" s="31">
        <v>5.0683489999999998E-2</v>
      </c>
      <c r="H57" s="19">
        <v>6.1498999999999997</v>
      </c>
    </row>
    <row r="58" spans="1:8" x14ac:dyDescent="0.2">
      <c r="A58" s="27">
        <v>2</v>
      </c>
      <c r="B58" s="28" t="s">
        <v>487</v>
      </c>
      <c r="C58" s="28" t="s">
        <v>488</v>
      </c>
      <c r="D58" s="28" t="s">
        <v>163</v>
      </c>
      <c r="E58" s="29">
        <v>2500</v>
      </c>
      <c r="F58" s="30">
        <v>12310.487499999999</v>
      </c>
      <c r="G58" s="31">
        <v>4.2850430000000002E-2</v>
      </c>
      <c r="H58" s="19">
        <v>5.915</v>
      </c>
    </row>
    <row r="59" spans="1:8" x14ac:dyDescent="0.2">
      <c r="A59" s="27">
        <v>3</v>
      </c>
      <c r="B59" s="28" t="s">
        <v>489</v>
      </c>
      <c r="C59" s="28" t="s">
        <v>490</v>
      </c>
      <c r="D59" s="28" t="s">
        <v>163</v>
      </c>
      <c r="E59" s="29">
        <v>1500</v>
      </c>
      <c r="F59" s="30">
        <v>7294.0725000000002</v>
      </c>
      <c r="G59" s="31">
        <v>2.538926E-2</v>
      </c>
      <c r="H59" s="19">
        <v>6.2453000000000003</v>
      </c>
    </row>
    <row r="60" spans="1:8" x14ac:dyDescent="0.2">
      <c r="A60" s="27">
        <v>4</v>
      </c>
      <c r="B60" s="28" t="s">
        <v>191</v>
      </c>
      <c r="C60" s="28" t="s">
        <v>192</v>
      </c>
      <c r="D60" s="28" t="s">
        <v>163</v>
      </c>
      <c r="E60" s="29">
        <v>1400</v>
      </c>
      <c r="F60" s="30">
        <v>6911.6040000000003</v>
      </c>
      <c r="G60" s="31">
        <v>2.405796E-2</v>
      </c>
      <c r="H60" s="19">
        <v>5.9852999999999996</v>
      </c>
    </row>
    <row r="61" spans="1:8" x14ac:dyDescent="0.2">
      <c r="A61" s="27">
        <v>5</v>
      </c>
      <c r="B61" s="28" t="s">
        <v>300</v>
      </c>
      <c r="C61" s="28" t="s">
        <v>301</v>
      </c>
      <c r="D61" s="28" t="s">
        <v>163</v>
      </c>
      <c r="E61" s="29">
        <v>1300</v>
      </c>
      <c r="F61" s="30">
        <v>6412.0550000000003</v>
      </c>
      <c r="G61" s="31">
        <v>2.231913E-2</v>
      </c>
      <c r="H61" s="19">
        <v>5.8898999999999999</v>
      </c>
    </row>
    <row r="62" spans="1:8" x14ac:dyDescent="0.2">
      <c r="A62" s="27">
        <v>6</v>
      </c>
      <c r="B62" s="28" t="s">
        <v>491</v>
      </c>
      <c r="C62" s="28" t="s">
        <v>492</v>
      </c>
      <c r="D62" s="28" t="s">
        <v>163</v>
      </c>
      <c r="E62" s="29">
        <v>1000</v>
      </c>
      <c r="F62" s="30">
        <v>4876.7700000000004</v>
      </c>
      <c r="G62" s="31">
        <v>1.69751E-2</v>
      </c>
      <c r="H62" s="19">
        <v>6.19</v>
      </c>
    </row>
    <row r="63" spans="1:8" x14ac:dyDescent="0.2">
      <c r="A63" s="27">
        <v>7</v>
      </c>
      <c r="B63" s="28" t="s">
        <v>493</v>
      </c>
      <c r="C63" s="28" t="s">
        <v>494</v>
      </c>
      <c r="D63" s="28" t="s">
        <v>163</v>
      </c>
      <c r="E63" s="29">
        <v>1000</v>
      </c>
      <c r="F63" s="30">
        <v>4875.9650000000001</v>
      </c>
      <c r="G63" s="31">
        <v>1.6972290000000001E-2</v>
      </c>
      <c r="H63" s="19">
        <v>6.19</v>
      </c>
    </row>
    <row r="64" spans="1:8" x14ac:dyDescent="0.2">
      <c r="A64" s="27">
        <v>8</v>
      </c>
      <c r="B64" s="28" t="s">
        <v>495</v>
      </c>
      <c r="C64" s="28" t="s">
        <v>496</v>
      </c>
      <c r="D64" s="28" t="s">
        <v>374</v>
      </c>
      <c r="E64" s="29">
        <v>1000</v>
      </c>
      <c r="F64" s="30">
        <v>4859.9750000000004</v>
      </c>
      <c r="G64" s="31">
        <v>1.691664E-2</v>
      </c>
      <c r="H64" s="19">
        <v>6.1501000000000001</v>
      </c>
    </row>
    <row r="65" spans="1:8" ht="25.5" x14ac:dyDescent="0.2">
      <c r="A65" s="27">
        <v>9</v>
      </c>
      <c r="B65" s="28" t="s">
        <v>497</v>
      </c>
      <c r="C65" s="28" t="s">
        <v>498</v>
      </c>
      <c r="D65" s="28" t="s">
        <v>163</v>
      </c>
      <c r="E65" s="29">
        <v>1000</v>
      </c>
      <c r="F65" s="30">
        <v>4857.41</v>
      </c>
      <c r="G65" s="31">
        <v>1.6907709999999999E-2</v>
      </c>
      <c r="H65" s="19">
        <v>6.2294</v>
      </c>
    </row>
    <row r="66" spans="1:8" x14ac:dyDescent="0.2">
      <c r="A66" s="27">
        <v>10</v>
      </c>
      <c r="B66" s="28" t="s">
        <v>197</v>
      </c>
      <c r="C66" s="28" t="s">
        <v>198</v>
      </c>
      <c r="D66" s="28" t="s">
        <v>163</v>
      </c>
      <c r="E66" s="29">
        <v>1000</v>
      </c>
      <c r="F66" s="30">
        <v>4849.9049999999997</v>
      </c>
      <c r="G66" s="31">
        <v>1.688158E-2</v>
      </c>
      <c r="H66" s="19">
        <v>6.5674999999999999</v>
      </c>
    </row>
    <row r="67" spans="1:8" x14ac:dyDescent="0.2">
      <c r="A67" s="27">
        <v>11</v>
      </c>
      <c r="B67" s="28" t="s">
        <v>499</v>
      </c>
      <c r="C67" s="28" t="s">
        <v>500</v>
      </c>
      <c r="D67" s="28" t="s">
        <v>163</v>
      </c>
      <c r="E67" s="29">
        <v>1000</v>
      </c>
      <c r="F67" s="30">
        <v>4848.62</v>
      </c>
      <c r="G67" s="31">
        <v>1.6877110000000001E-2</v>
      </c>
      <c r="H67" s="19">
        <v>6.16</v>
      </c>
    </row>
    <row r="68" spans="1:8" x14ac:dyDescent="0.2">
      <c r="A68" s="27">
        <v>12</v>
      </c>
      <c r="B68" s="28" t="s">
        <v>501</v>
      </c>
      <c r="C68" s="28" t="s">
        <v>502</v>
      </c>
      <c r="D68" s="28" t="s">
        <v>163</v>
      </c>
      <c r="E68" s="29">
        <v>1000</v>
      </c>
      <c r="F68" s="30">
        <v>4809.25</v>
      </c>
      <c r="G68" s="31">
        <v>1.6740069999999999E-2</v>
      </c>
      <c r="H68" s="19">
        <v>6.2401</v>
      </c>
    </row>
    <row r="69" spans="1:8" x14ac:dyDescent="0.2">
      <c r="A69" s="27">
        <v>13</v>
      </c>
      <c r="B69" s="28" t="s">
        <v>199</v>
      </c>
      <c r="C69" s="28" t="s">
        <v>200</v>
      </c>
      <c r="D69" s="28" t="s">
        <v>163</v>
      </c>
      <c r="E69" s="29">
        <v>1000</v>
      </c>
      <c r="F69" s="30">
        <v>4808.165</v>
      </c>
      <c r="G69" s="31">
        <v>1.6736299999999999E-2</v>
      </c>
      <c r="H69" s="19">
        <v>6.2500999999999998</v>
      </c>
    </row>
    <row r="70" spans="1:8" x14ac:dyDescent="0.2">
      <c r="A70" s="27">
        <v>14</v>
      </c>
      <c r="B70" s="28" t="s">
        <v>205</v>
      </c>
      <c r="C70" s="28" t="s">
        <v>206</v>
      </c>
      <c r="D70" s="28" t="s">
        <v>163</v>
      </c>
      <c r="E70" s="29">
        <v>1000</v>
      </c>
      <c r="F70" s="30">
        <v>4798.0450000000001</v>
      </c>
      <c r="G70" s="31">
        <v>1.6701069999999998E-2</v>
      </c>
      <c r="H70" s="19">
        <v>6.22</v>
      </c>
    </row>
    <row r="71" spans="1:8" x14ac:dyDescent="0.2">
      <c r="A71" s="27">
        <v>15</v>
      </c>
      <c r="B71" s="28" t="s">
        <v>503</v>
      </c>
      <c r="C71" s="28" t="s">
        <v>504</v>
      </c>
      <c r="D71" s="28" t="s">
        <v>163</v>
      </c>
      <c r="E71" s="29">
        <v>1000</v>
      </c>
      <c r="F71" s="30">
        <v>4796.3149999999996</v>
      </c>
      <c r="G71" s="31">
        <v>1.6695049999999999E-2</v>
      </c>
      <c r="H71" s="19">
        <v>6.6525999999999996</v>
      </c>
    </row>
    <row r="72" spans="1:8" x14ac:dyDescent="0.2">
      <c r="A72" s="27">
        <v>16</v>
      </c>
      <c r="B72" s="28" t="s">
        <v>175</v>
      </c>
      <c r="C72" s="28" t="s">
        <v>176</v>
      </c>
      <c r="D72" s="28" t="s">
        <v>163</v>
      </c>
      <c r="E72" s="29">
        <v>1000</v>
      </c>
      <c r="F72" s="30">
        <v>4775.1450000000004</v>
      </c>
      <c r="G72" s="31">
        <v>1.6621360000000002E-2</v>
      </c>
      <c r="H72" s="19">
        <v>6.25</v>
      </c>
    </row>
    <row r="73" spans="1:8" ht="25.5" x14ac:dyDescent="0.2">
      <c r="A73" s="27">
        <v>17</v>
      </c>
      <c r="B73" s="28" t="s">
        <v>227</v>
      </c>
      <c r="C73" s="28" t="s">
        <v>228</v>
      </c>
      <c r="D73" s="28" t="s">
        <v>163</v>
      </c>
      <c r="E73" s="29">
        <v>800</v>
      </c>
      <c r="F73" s="30">
        <v>3843.6039999999998</v>
      </c>
      <c r="G73" s="31">
        <v>1.3378839999999999E-2</v>
      </c>
      <c r="H73" s="19">
        <v>6.32</v>
      </c>
    </row>
    <row r="74" spans="1:8" ht="25.5" x14ac:dyDescent="0.2">
      <c r="A74" s="27">
        <v>18</v>
      </c>
      <c r="B74" s="28" t="s">
        <v>304</v>
      </c>
      <c r="C74" s="28" t="s">
        <v>305</v>
      </c>
      <c r="D74" s="28" t="s">
        <v>163</v>
      </c>
      <c r="E74" s="29">
        <v>800</v>
      </c>
      <c r="F74" s="30">
        <v>3821.8919999999998</v>
      </c>
      <c r="G74" s="31">
        <v>1.3303270000000001E-2</v>
      </c>
      <c r="H74" s="19">
        <v>6.3</v>
      </c>
    </row>
    <row r="75" spans="1:8" x14ac:dyDescent="0.2">
      <c r="A75" s="27">
        <v>19</v>
      </c>
      <c r="B75" s="28" t="s">
        <v>221</v>
      </c>
      <c r="C75" s="28" t="s">
        <v>222</v>
      </c>
      <c r="D75" s="28" t="s">
        <v>163</v>
      </c>
      <c r="E75" s="29">
        <v>700</v>
      </c>
      <c r="F75" s="30">
        <v>3368.1550000000002</v>
      </c>
      <c r="G75" s="31">
        <v>1.1723900000000001E-2</v>
      </c>
      <c r="H75" s="19">
        <v>6.4649999999999999</v>
      </c>
    </row>
    <row r="76" spans="1:8" x14ac:dyDescent="0.2">
      <c r="A76" s="27">
        <v>20</v>
      </c>
      <c r="B76" s="28" t="s">
        <v>223</v>
      </c>
      <c r="C76" s="28" t="s">
        <v>224</v>
      </c>
      <c r="D76" s="28" t="s">
        <v>163</v>
      </c>
      <c r="E76" s="29">
        <v>700</v>
      </c>
      <c r="F76" s="30">
        <v>3354.8935000000001</v>
      </c>
      <c r="G76" s="31">
        <v>1.1677740000000001E-2</v>
      </c>
      <c r="H76" s="19">
        <v>6.2401</v>
      </c>
    </row>
    <row r="77" spans="1:8" ht="25.5" x14ac:dyDescent="0.2">
      <c r="A77" s="27">
        <v>21</v>
      </c>
      <c r="B77" s="28" t="s">
        <v>225</v>
      </c>
      <c r="C77" s="28" t="s">
        <v>226</v>
      </c>
      <c r="D77" s="28" t="s">
        <v>163</v>
      </c>
      <c r="E77" s="29">
        <v>600</v>
      </c>
      <c r="F77" s="30">
        <v>2860.7550000000001</v>
      </c>
      <c r="G77" s="31">
        <v>9.9577399999999996E-3</v>
      </c>
      <c r="H77" s="19">
        <v>6.3</v>
      </c>
    </row>
    <row r="78" spans="1:8" x14ac:dyDescent="0.2">
      <c r="A78" s="27">
        <v>22</v>
      </c>
      <c r="B78" s="28" t="s">
        <v>298</v>
      </c>
      <c r="C78" s="28" t="s">
        <v>299</v>
      </c>
      <c r="D78" s="28" t="s">
        <v>163</v>
      </c>
      <c r="E78" s="29">
        <v>600</v>
      </c>
      <c r="F78" s="30">
        <v>2826.4290000000001</v>
      </c>
      <c r="G78" s="31">
        <v>9.8382499999999998E-3</v>
      </c>
      <c r="H78" s="19">
        <v>6.5350000000000001</v>
      </c>
    </row>
    <row r="79" spans="1:8" x14ac:dyDescent="0.2">
      <c r="A79" s="27">
        <v>23</v>
      </c>
      <c r="B79" s="28" t="s">
        <v>505</v>
      </c>
      <c r="C79" s="28" t="s">
        <v>506</v>
      </c>
      <c r="D79" s="28" t="s">
        <v>163</v>
      </c>
      <c r="E79" s="29">
        <v>500</v>
      </c>
      <c r="F79" s="30">
        <v>2432.5725000000002</v>
      </c>
      <c r="G79" s="31">
        <v>8.4673200000000004E-3</v>
      </c>
      <c r="H79" s="19">
        <v>6.2453000000000003</v>
      </c>
    </row>
    <row r="80" spans="1:8" x14ac:dyDescent="0.2">
      <c r="A80" s="27">
        <v>24</v>
      </c>
      <c r="B80" s="28" t="s">
        <v>507</v>
      </c>
      <c r="C80" s="28" t="s">
        <v>508</v>
      </c>
      <c r="D80" s="28" t="s">
        <v>163</v>
      </c>
      <c r="E80" s="29">
        <v>500</v>
      </c>
      <c r="F80" s="30">
        <v>2428.9924999999998</v>
      </c>
      <c r="G80" s="31">
        <v>8.4548599999999998E-3</v>
      </c>
      <c r="H80" s="19">
        <v>6.24</v>
      </c>
    </row>
    <row r="81" spans="1:8" x14ac:dyDescent="0.2">
      <c r="A81" s="27">
        <v>25</v>
      </c>
      <c r="B81" s="28" t="s">
        <v>509</v>
      </c>
      <c r="C81" s="28" t="s">
        <v>510</v>
      </c>
      <c r="D81" s="28" t="s">
        <v>374</v>
      </c>
      <c r="E81" s="29">
        <v>500</v>
      </c>
      <c r="F81" s="30">
        <v>2424.4274999999998</v>
      </c>
      <c r="G81" s="31">
        <v>8.4389700000000005E-3</v>
      </c>
      <c r="H81" s="19">
        <v>6.1501000000000001</v>
      </c>
    </row>
    <row r="82" spans="1:8" ht="25.5" x14ac:dyDescent="0.2">
      <c r="A82" s="27">
        <v>26</v>
      </c>
      <c r="B82" s="28" t="s">
        <v>511</v>
      </c>
      <c r="C82" s="28" t="s">
        <v>512</v>
      </c>
      <c r="D82" s="28" t="s">
        <v>163</v>
      </c>
      <c r="E82" s="29">
        <v>500</v>
      </c>
      <c r="F82" s="30">
        <v>2411.8825000000002</v>
      </c>
      <c r="G82" s="31">
        <v>8.3952999999999996E-3</v>
      </c>
      <c r="H82" s="19">
        <v>6.32</v>
      </c>
    </row>
    <row r="83" spans="1:8" ht="25.5" x14ac:dyDescent="0.2">
      <c r="A83" s="27">
        <v>27</v>
      </c>
      <c r="B83" s="28" t="s">
        <v>201</v>
      </c>
      <c r="C83" s="28" t="s">
        <v>202</v>
      </c>
      <c r="D83" s="28" t="s">
        <v>163</v>
      </c>
      <c r="E83" s="29">
        <v>500</v>
      </c>
      <c r="F83" s="30">
        <v>2403.0974999999999</v>
      </c>
      <c r="G83" s="31">
        <v>8.3647200000000008E-3</v>
      </c>
      <c r="H83" s="19">
        <v>6.2899000000000003</v>
      </c>
    </row>
    <row r="84" spans="1:8" x14ac:dyDescent="0.2">
      <c r="A84" s="27">
        <v>28</v>
      </c>
      <c r="B84" s="28" t="s">
        <v>211</v>
      </c>
      <c r="C84" s="28" t="s">
        <v>212</v>
      </c>
      <c r="D84" s="28" t="s">
        <v>163</v>
      </c>
      <c r="E84" s="29">
        <v>500</v>
      </c>
      <c r="F84" s="30">
        <v>2394.3625000000002</v>
      </c>
      <c r="G84" s="31">
        <v>8.3343099999999993E-3</v>
      </c>
      <c r="H84" s="19">
        <v>6.3902999999999999</v>
      </c>
    </row>
    <row r="85" spans="1:8" x14ac:dyDescent="0.2">
      <c r="A85" s="27">
        <v>29</v>
      </c>
      <c r="B85" s="28" t="s">
        <v>213</v>
      </c>
      <c r="C85" s="28" t="s">
        <v>214</v>
      </c>
      <c r="D85" s="28" t="s">
        <v>163</v>
      </c>
      <c r="E85" s="29">
        <v>500</v>
      </c>
      <c r="F85" s="30">
        <v>2390.0349999999999</v>
      </c>
      <c r="G85" s="31">
        <v>8.3192500000000003E-3</v>
      </c>
      <c r="H85" s="19">
        <v>6.22</v>
      </c>
    </row>
    <row r="86" spans="1:8" ht="25.5" x14ac:dyDescent="0.2">
      <c r="A86" s="27">
        <v>30</v>
      </c>
      <c r="B86" s="28" t="s">
        <v>513</v>
      </c>
      <c r="C86" s="28" t="s">
        <v>514</v>
      </c>
      <c r="D86" s="28" t="s">
        <v>163</v>
      </c>
      <c r="E86" s="29">
        <v>500</v>
      </c>
      <c r="F86" s="30">
        <v>2389.8625000000002</v>
      </c>
      <c r="G86" s="31">
        <v>8.3186500000000003E-3</v>
      </c>
      <c r="H86" s="19">
        <v>6.3</v>
      </c>
    </row>
    <row r="87" spans="1:8" ht="25.5" x14ac:dyDescent="0.2">
      <c r="A87" s="27">
        <v>31</v>
      </c>
      <c r="B87" s="28" t="s">
        <v>515</v>
      </c>
      <c r="C87" s="28" t="s">
        <v>516</v>
      </c>
      <c r="D87" s="28" t="s">
        <v>163</v>
      </c>
      <c r="E87" s="29">
        <v>500</v>
      </c>
      <c r="F87" s="30">
        <v>2389.1350000000002</v>
      </c>
      <c r="G87" s="31">
        <v>8.3161199999999998E-3</v>
      </c>
      <c r="H87" s="19">
        <v>6.32</v>
      </c>
    </row>
    <row r="88" spans="1:8" x14ac:dyDescent="0.2">
      <c r="A88" s="27">
        <v>32</v>
      </c>
      <c r="B88" s="28" t="s">
        <v>217</v>
      </c>
      <c r="C88" s="28" t="s">
        <v>218</v>
      </c>
      <c r="D88" s="28" t="s">
        <v>163</v>
      </c>
      <c r="E88" s="29">
        <v>500</v>
      </c>
      <c r="F88" s="30">
        <v>2361.3924999999999</v>
      </c>
      <c r="G88" s="31">
        <v>8.2195500000000008E-3</v>
      </c>
      <c r="H88" s="19">
        <v>6.3574999999999999</v>
      </c>
    </row>
    <row r="89" spans="1:8" x14ac:dyDescent="0.2">
      <c r="A89" s="27">
        <v>33</v>
      </c>
      <c r="B89" s="28" t="s">
        <v>302</v>
      </c>
      <c r="C89" s="28" t="s">
        <v>303</v>
      </c>
      <c r="D89" s="28" t="s">
        <v>163</v>
      </c>
      <c r="E89" s="29">
        <v>300</v>
      </c>
      <c r="F89" s="30">
        <v>1441.7070000000001</v>
      </c>
      <c r="G89" s="31">
        <v>5.0182999999999998E-3</v>
      </c>
      <c r="H89" s="19">
        <v>6.28</v>
      </c>
    </row>
    <row r="90" spans="1:8" ht="25.5" x14ac:dyDescent="0.2">
      <c r="A90" s="27">
        <v>34</v>
      </c>
      <c r="B90" s="28" t="s">
        <v>185</v>
      </c>
      <c r="C90" s="28" t="s">
        <v>186</v>
      </c>
      <c r="D90" s="28" t="s">
        <v>163</v>
      </c>
      <c r="E90" s="29">
        <v>100</v>
      </c>
      <c r="F90" s="30">
        <v>476.64400000000001</v>
      </c>
      <c r="G90" s="31">
        <v>1.6591100000000001E-3</v>
      </c>
      <c r="H90" s="19">
        <v>6.32</v>
      </c>
    </row>
    <row r="91" spans="1:8" x14ac:dyDescent="0.2">
      <c r="A91" s="20"/>
      <c r="B91" s="20"/>
      <c r="C91" s="21" t="s">
        <v>11</v>
      </c>
      <c r="D91" s="20"/>
      <c r="E91" s="20" t="s">
        <v>12</v>
      </c>
      <c r="F91" s="26">
        <v>146664.46849999999</v>
      </c>
      <c r="G91" s="23">
        <v>0.51051075000000001</v>
      </c>
      <c r="H91" s="19" t="s">
        <v>12</v>
      </c>
    </row>
    <row r="92" spans="1:8" x14ac:dyDescent="0.2">
      <c r="A92" s="20"/>
      <c r="B92" s="20"/>
      <c r="C92" s="24"/>
      <c r="D92" s="20"/>
      <c r="E92" s="20"/>
      <c r="F92" s="25"/>
      <c r="G92" s="25"/>
      <c r="H92" s="19" t="s">
        <v>12</v>
      </c>
    </row>
    <row r="93" spans="1:8" x14ac:dyDescent="0.2">
      <c r="A93" s="20"/>
      <c r="B93" s="20"/>
      <c r="C93" s="21" t="s">
        <v>104</v>
      </c>
      <c r="D93" s="20"/>
      <c r="E93" s="20"/>
      <c r="F93" s="25"/>
      <c r="G93" s="25"/>
      <c r="H93" s="19" t="s">
        <v>12</v>
      </c>
    </row>
    <row r="94" spans="1:8" x14ac:dyDescent="0.2">
      <c r="A94" s="27">
        <v>1</v>
      </c>
      <c r="B94" s="28" t="s">
        <v>439</v>
      </c>
      <c r="C94" s="28" t="s">
        <v>440</v>
      </c>
      <c r="D94" s="28" t="s">
        <v>163</v>
      </c>
      <c r="E94" s="29">
        <v>1000</v>
      </c>
      <c r="F94" s="30">
        <v>4998.4250000000002</v>
      </c>
      <c r="G94" s="31">
        <v>1.7398549999999999E-2</v>
      </c>
      <c r="H94" s="19">
        <v>5.7502000000000004</v>
      </c>
    </row>
    <row r="95" spans="1:8" x14ac:dyDescent="0.2">
      <c r="A95" s="27">
        <v>2</v>
      </c>
      <c r="B95" s="28" t="s">
        <v>368</v>
      </c>
      <c r="C95" s="28" t="s">
        <v>369</v>
      </c>
      <c r="D95" s="28" t="s">
        <v>163</v>
      </c>
      <c r="E95" s="29">
        <v>1000</v>
      </c>
      <c r="F95" s="30">
        <v>4994.6400000000003</v>
      </c>
      <c r="G95" s="31">
        <v>1.7385379999999999E-2</v>
      </c>
      <c r="H95" s="19">
        <v>5.5951000000000004</v>
      </c>
    </row>
    <row r="96" spans="1:8" x14ac:dyDescent="0.2">
      <c r="A96" s="27">
        <v>3</v>
      </c>
      <c r="B96" s="28" t="s">
        <v>517</v>
      </c>
      <c r="C96" s="28" t="s">
        <v>518</v>
      </c>
      <c r="D96" s="28" t="s">
        <v>163</v>
      </c>
      <c r="E96" s="29">
        <v>1000</v>
      </c>
      <c r="F96" s="30">
        <v>4930.2</v>
      </c>
      <c r="G96" s="31">
        <v>1.7161079999999999E-2</v>
      </c>
      <c r="H96" s="19">
        <v>5.9398999999999997</v>
      </c>
    </row>
    <row r="97" spans="1:8" x14ac:dyDescent="0.2">
      <c r="A97" s="27">
        <v>4</v>
      </c>
      <c r="B97" s="28" t="s">
        <v>519</v>
      </c>
      <c r="C97" s="28" t="s">
        <v>520</v>
      </c>
      <c r="D97" s="28" t="s">
        <v>163</v>
      </c>
      <c r="E97" s="29">
        <v>1000</v>
      </c>
      <c r="F97" s="30">
        <v>4690.1750000000002</v>
      </c>
      <c r="G97" s="31">
        <v>1.6325599999999999E-2</v>
      </c>
      <c r="H97" s="19">
        <v>6.7350000000000003</v>
      </c>
    </row>
    <row r="98" spans="1:8" ht="25.5" x14ac:dyDescent="0.2">
      <c r="A98" s="27">
        <v>5</v>
      </c>
      <c r="B98" s="28" t="s">
        <v>253</v>
      </c>
      <c r="C98" s="28" t="s">
        <v>254</v>
      </c>
      <c r="D98" s="28" t="s">
        <v>163</v>
      </c>
      <c r="E98" s="29">
        <v>800</v>
      </c>
      <c r="F98" s="30">
        <v>3940.4920000000002</v>
      </c>
      <c r="G98" s="31">
        <v>1.371609E-2</v>
      </c>
      <c r="H98" s="19">
        <v>6.4850000000000003</v>
      </c>
    </row>
    <row r="99" spans="1:8" x14ac:dyDescent="0.2">
      <c r="A99" s="27">
        <v>6</v>
      </c>
      <c r="B99" s="28" t="s">
        <v>247</v>
      </c>
      <c r="C99" s="28" t="s">
        <v>248</v>
      </c>
      <c r="D99" s="28" t="s">
        <v>163</v>
      </c>
      <c r="E99" s="29">
        <v>700</v>
      </c>
      <c r="F99" s="30">
        <v>3441.3890000000001</v>
      </c>
      <c r="G99" s="31">
        <v>1.1978809999999999E-2</v>
      </c>
      <c r="H99" s="19">
        <v>6.1550000000000002</v>
      </c>
    </row>
    <row r="100" spans="1:8" ht="25.5" x14ac:dyDescent="0.2">
      <c r="A100" s="27">
        <v>7</v>
      </c>
      <c r="B100" s="28" t="s">
        <v>249</v>
      </c>
      <c r="C100" s="28" t="s">
        <v>250</v>
      </c>
      <c r="D100" s="28" t="s">
        <v>163</v>
      </c>
      <c r="E100" s="29">
        <v>700</v>
      </c>
      <c r="F100" s="30">
        <v>3403.8235</v>
      </c>
      <c r="G100" s="31">
        <v>1.1848050000000001E-2</v>
      </c>
      <c r="H100" s="19">
        <v>6.83</v>
      </c>
    </row>
    <row r="101" spans="1:8" ht="25.5" x14ac:dyDescent="0.2">
      <c r="A101" s="27">
        <v>8</v>
      </c>
      <c r="B101" s="28" t="s">
        <v>251</v>
      </c>
      <c r="C101" s="28" t="s">
        <v>252</v>
      </c>
      <c r="D101" s="28" t="s">
        <v>163</v>
      </c>
      <c r="E101" s="29">
        <v>700</v>
      </c>
      <c r="F101" s="30">
        <v>3345.3</v>
      </c>
      <c r="G101" s="31">
        <v>1.164434E-2</v>
      </c>
      <c r="H101" s="19">
        <v>7.1825999999999999</v>
      </c>
    </row>
    <row r="102" spans="1:8" ht="25.5" x14ac:dyDescent="0.2">
      <c r="A102" s="27">
        <v>9</v>
      </c>
      <c r="B102" s="28" t="s">
        <v>255</v>
      </c>
      <c r="C102" s="28" t="s">
        <v>256</v>
      </c>
      <c r="D102" s="28" t="s">
        <v>163</v>
      </c>
      <c r="E102" s="29">
        <v>600</v>
      </c>
      <c r="F102" s="30">
        <v>2815.62</v>
      </c>
      <c r="G102" s="31">
        <v>9.8006299999999994E-3</v>
      </c>
      <c r="H102" s="19">
        <v>7.03</v>
      </c>
    </row>
    <row r="103" spans="1:8" x14ac:dyDescent="0.2">
      <c r="A103" s="27">
        <v>10</v>
      </c>
      <c r="B103" s="28" t="s">
        <v>239</v>
      </c>
      <c r="C103" s="28" t="s">
        <v>240</v>
      </c>
      <c r="D103" s="28" t="s">
        <v>163</v>
      </c>
      <c r="E103" s="29">
        <v>500</v>
      </c>
      <c r="F103" s="30">
        <v>2396.9974999999999</v>
      </c>
      <c r="G103" s="31">
        <v>8.3434900000000003E-3</v>
      </c>
      <c r="H103" s="19">
        <v>6.35</v>
      </c>
    </row>
    <row r="104" spans="1:8" ht="25.5" x14ac:dyDescent="0.2">
      <c r="A104" s="27">
        <v>11</v>
      </c>
      <c r="B104" s="28" t="s">
        <v>241</v>
      </c>
      <c r="C104" s="28" t="s">
        <v>242</v>
      </c>
      <c r="D104" s="28" t="s">
        <v>163</v>
      </c>
      <c r="E104" s="29">
        <v>500</v>
      </c>
      <c r="F104" s="30">
        <v>2380.9924999999998</v>
      </c>
      <c r="G104" s="31">
        <v>8.2877799999999998E-3</v>
      </c>
      <c r="H104" s="19">
        <v>7.1825999999999999</v>
      </c>
    </row>
    <row r="105" spans="1:8" ht="25.5" x14ac:dyDescent="0.2">
      <c r="A105" s="27">
        <v>12</v>
      </c>
      <c r="B105" s="28" t="s">
        <v>521</v>
      </c>
      <c r="C105" s="28" t="s">
        <v>522</v>
      </c>
      <c r="D105" s="28" t="s">
        <v>163</v>
      </c>
      <c r="E105" s="29">
        <v>500</v>
      </c>
      <c r="F105" s="30">
        <v>2343.8074999999999</v>
      </c>
      <c r="G105" s="31">
        <v>8.15834E-3</v>
      </c>
      <c r="H105" s="19">
        <v>7.03</v>
      </c>
    </row>
    <row r="106" spans="1:8" ht="25.5" x14ac:dyDescent="0.2">
      <c r="A106" s="27">
        <v>13</v>
      </c>
      <c r="B106" s="28" t="s">
        <v>523</v>
      </c>
      <c r="C106" s="28" t="s">
        <v>524</v>
      </c>
      <c r="D106" s="28" t="s">
        <v>163</v>
      </c>
      <c r="E106" s="29">
        <v>300</v>
      </c>
      <c r="F106" s="30">
        <v>1499.7584999999999</v>
      </c>
      <c r="G106" s="31">
        <v>5.2203700000000002E-3</v>
      </c>
      <c r="H106" s="19">
        <v>5.91</v>
      </c>
    </row>
    <row r="107" spans="1:8" ht="25.5" x14ac:dyDescent="0.2">
      <c r="A107" s="27">
        <v>14</v>
      </c>
      <c r="B107" s="28" t="s">
        <v>231</v>
      </c>
      <c r="C107" s="28" t="s">
        <v>232</v>
      </c>
      <c r="D107" s="28" t="s">
        <v>163</v>
      </c>
      <c r="E107" s="29">
        <v>300</v>
      </c>
      <c r="F107" s="30">
        <v>1448.655</v>
      </c>
      <c r="G107" s="31">
        <v>5.0424900000000002E-3</v>
      </c>
      <c r="H107" s="19">
        <v>6.8449999999999998</v>
      </c>
    </row>
    <row r="108" spans="1:8" x14ac:dyDescent="0.2">
      <c r="A108" s="27">
        <v>15</v>
      </c>
      <c r="B108" s="28" t="s">
        <v>229</v>
      </c>
      <c r="C108" s="28" t="s">
        <v>230</v>
      </c>
      <c r="D108" s="28" t="s">
        <v>163</v>
      </c>
      <c r="E108" s="29">
        <v>200</v>
      </c>
      <c r="F108" s="30">
        <v>954.09100000000001</v>
      </c>
      <c r="G108" s="31">
        <v>3.3210100000000001E-3</v>
      </c>
      <c r="H108" s="19">
        <v>6.7549999999999999</v>
      </c>
    </row>
    <row r="109" spans="1:8" x14ac:dyDescent="0.2">
      <c r="A109" s="20"/>
      <c r="B109" s="20"/>
      <c r="C109" s="21" t="s">
        <v>11</v>
      </c>
      <c r="D109" s="20"/>
      <c r="E109" s="20" t="s">
        <v>12</v>
      </c>
      <c r="F109" s="26">
        <v>47584.366499999996</v>
      </c>
      <c r="G109" s="23">
        <v>0.16563201</v>
      </c>
      <c r="H109" s="19" t="s">
        <v>12</v>
      </c>
    </row>
    <row r="110" spans="1:8" x14ac:dyDescent="0.2">
      <c r="A110" s="20"/>
      <c r="B110" s="20"/>
      <c r="C110" s="24"/>
      <c r="D110" s="20"/>
      <c r="E110" s="20"/>
      <c r="F110" s="25"/>
      <c r="G110" s="25"/>
      <c r="H110" s="19" t="s">
        <v>12</v>
      </c>
    </row>
    <row r="111" spans="1:8" x14ac:dyDescent="0.2">
      <c r="A111" s="20"/>
      <c r="B111" s="20"/>
      <c r="C111" s="21" t="s">
        <v>105</v>
      </c>
      <c r="D111" s="20"/>
      <c r="E111" s="20"/>
      <c r="F111" s="25"/>
      <c r="G111" s="25"/>
      <c r="H111" s="19" t="s">
        <v>12</v>
      </c>
    </row>
    <row r="112" spans="1:8" x14ac:dyDescent="0.2">
      <c r="A112" s="27">
        <v>1</v>
      </c>
      <c r="B112" s="28" t="s">
        <v>449</v>
      </c>
      <c r="C112" s="28" t="s">
        <v>450</v>
      </c>
      <c r="D112" s="28" t="s">
        <v>81</v>
      </c>
      <c r="E112" s="29">
        <v>10000000</v>
      </c>
      <c r="F112" s="30">
        <v>9933.07</v>
      </c>
      <c r="G112" s="31">
        <v>3.4575099999999998E-2</v>
      </c>
      <c r="H112" s="19">
        <v>5.3472</v>
      </c>
    </row>
    <row r="113" spans="1:17" x14ac:dyDescent="0.2">
      <c r="A113" s="27">
        <v>2</v>
      </c>
      <c r="B113" s="28" t="s">
        <v>459</v>
      </c>
      <c r="C113" s="28" t="s">
        <v>460</v>
      </c>
      <c r="D113" s="28" t="s">
        <v>81</v>
      </c>
      <c r="E113" s="29">
        <v>5000000</v>
      </c>
      <c r="F113" s="30">
        <v>4991.9750000000004</v>
      </c>
      <c r="G113" s="31">
        <v>1.7376099999999998E-2</v>
      </c>
      <c r="H113" s="19">
        <v>5.3357000000000001</v>
      </c>
    </row>
    <row r="114" spans="1:17" x14ac:dyDescent="0.2">
      <c r="A114" s="20"/>
      <c r="B114" s="20"/>
      <c r="C114" s="21" t="s">
        <v>11</v>
      </c>
      <c r="D114" s="20"/>
      <c r="E114" s="20" t="s">
        <v>12</v>
      </c>
      <c r="F114" s="26">
        <v>14925.045</v>
      </c>
      <c r="G114" s="23">
        <v>5.1951200000000003E-2</v>
      </c>
      <c r="H114" s="19" t="s">
        <v>12</v>
      </c>
    </row>
    <row r="115" spans="1:17" x14ac:dyDescent="0.2">
      <c r="A115" s="20"/>
      <c r="B115" s="20"/>
      <c r="C115" s="24"/>
      <c r="D115" s="20"/>
      <c r="E115" s="20"/>
      <c r="F115" s="25"/>
      <c r="G115" s="25"/>
      <c r="H115" s="19" t="s">
        <v>12</v>
      </c>
    </row>
    <row r="116" spans="1:17" x14ac:dyDescent="0.2">
      <c r="A116" s="20"/>
      <c r="B116" s="20"/>
      <c r="C116" s="21" t="s">
        <v>106</v>
      </c>
      <c r="D116" s="20"/>
      <c r="E116" s="20"/>
      <c r="F116" s="25"/>
      <c r="G116" s="25"/>
      <c r="H116" s="19" t="s">
        <v>12</v>
      </c>
    </row>
    <row r="117" spans="1:17" x14ac:dyDescent="0.2">
      <c r="A117" s="27">
        <v>1</v>
      </c>
      <c r="B117" s="28"/>
      <c r="C117" s="28" t="s">
        <v>259</v>
      </c>
      <c r="D117" s="28"/>
      <c r="E117" s="32"/>
      <c r="F117" s="30">
        <v>19999.7934375</v>
      </c>
      <c r="G117" s="31">
        <v>6.9615430000000006E-2</v>
      </c>
      <c r="H117" s="19">
        <v>5.3</v>
      </c>
    </row>
    <row r="118" spans="1:17" x14ac:dyDescent="0.2">
      <c r="A118" s="27">
        <v>2</v>
      </c>
      <c r="B118" s="28"/>
      <c r="C118" s="28" t="s">
        <v>107</v>
      </c>
      <c r="D118" s="28"/>
      <c r="E118" s="32"/>
      <c r="F118" s="30">
        <v>15543.182648960999</v>
      </c>
      <c r="G118" s="31">
        <v>5.4102820000000003E-2</v>
      </c>
      <c r="H118" s="19">
        <v>5.07</v>
      </c>
    </row>
    <row r="119" spans="1:17" x14ac:dyDescent="0.2">
      <c r="A119" s="20"/>
      <c r="B119" s="20"/>
      <c r="C119" s="21" t="s">
        <v>11</v>
      </c>
      <c r="D119" s="20"/>
      <c r="E119" s="20" t="s">
        <v>12</v>
      </c>
      <c r="F119" s="26">
        <v>35542.976086461</v>
      </c>
      <c r="G119" s="23">
        <v>0.12371825</v>
      </c>
      <c r="H119" s="19" t="s">
        <v>12</v>
      </c>
    </row>
    <row r="120" spans="1:17" x14ac:dyDescent="0.2">
      <c r="A120" s="20"/>
      <c r="B120" s="20"/>
      <c r="C120" s="24"/>
      <c r="D120" s="20"/>
      <c r="E120" s="20"/>
      <c r="F120" s="25"/>
      <c r="G120" s="25"/>
      <c r="H120" s="19" t="s">
        <v>12</v>
      </c>
    </row>
    <row r="121" spans="1:17" x14ac:dyDescent="0.2">
      <c r="A121" s="20"/>
      <c r="B121" s="20"/>
      <c r="C121" s="21" t="s">
        <v>108</v>
      </c>
      <c r="D121" s="20"/>
      <c r="E121" s="20"/>
      <c r="F121" s="26">
        <v>244716.85608646099</v>
      </c>
      <c r="G121" s="23">
        <v>0.85181220999999996</v>
      </c>
      <c r="H121" s="19" t="s">
        <v>12</v>
      </c>
    </row>
    <row r="122" spans="1:17" x14ac:dyDescent="0.2">
      <c r="A122" s="20"/>
      <c r="B122" s="20"/>
      <c r="C122" s="25"/>
      <c r="D122" s="20"/>
      <c r="E122" s="20"/>
      <c r="F122" s="20"/>
      <c r="G122" s="20"/>
      <c r="H122" s="19" t="s">
        <v>12</v>
      </c>
    </row>
    <row r="123" spans="1:17" x14ac:dyDescent="0.2">
      <c r="A123" s="20"/>
      <c r="B123" s="20"/>
      <c r="C123" s="21" t="s">
        <v>109</v>
      </c>
      <c r="D123" s="20"/>
      <c r="E123" s="20"/>
      <c r="F123" s="20"/>
      <c r="G123" s="20"/>
      <c r="H123" s="19" t="s">
        <v>12</v>
      </c>
    </row>
    <row r="124" spans="1:17" x14ac:dyDescent="0.2">
      <c r="A124" s="20"/>
      <c r="B124" s="20"/>
      <c r="C124" s="21" t="s">
        <v>110</v>
      </c>
      <c r="D124" s="20"/>
      <c r="E124" s="20"/>
      <c r="F124" s="20"/>
      <c r="G124" s="20"/>
      <c r="H124" s="19" t="s">
        <v>12</v>
      </c>
    </row>
    <row r="125" spans="1:17" x14ac:dyDescent="0.2">
      <c r="A125" s="20"/>
      <c r="B125" s="20"/>
      <c r="C125" s="21" t="s">
        <v>11</v>
      </c>
      <c r="D125" s="20"/>
      <c r="E125" s="20" t="s">
        <v>12</v>
      </c>
      <c r="F125" s="22" t="s">
        <v>13</v>
      </c>
      <c r="G125" s="23">
        <v>0</v>
      </c>
      <c r="H125" s="19" t="s">
        <v>12</v>
      </c>
    </row>
    <row r="126" spans="1:17" x14ac:dyDescent="0.2">
      <c r="A126" s="17"/>
      <c r="B126" s="17"/>
      <c r="C126" s="75"/>
      <c r="D126" s="17"/>
      <c r="E126" s="17"/>
      <c r="F126" s="42"/>
      <c r="G126" s="42"/>
      <c r="H126" s="19" t="s">
        <v>12</v>
      </c>
    </row>
    <row r="127" spans="1:17" x14ac:dyDescent="0.2">
      <c r="A127" s="17"/>
      <c r="B127" s="17"/>
      <c r="C127" s="18" t="s">
        <v>608</v>
      </c>
      <c r="D127" s="17"/>
      <c r="E127" s="17"/>
      <c r="F127" s="42"/>
      <c r="G127" s="42"/>
      <c r="H127" s="19" t="s">
        <v>12</v>
      </c>
      <c r="K127" s="55"/>
      <c r="L127" s="55"/>
      <c r="M127" s="55"/>
      <c r="N127" s="55"/>
      <c r="O127" s="76"/>
      <c r="P127" s="76"/>
      <c r="Q127" s="76"/>
    </row>
    <row r="128" spans="1:17" ht="25.5" x14ac:dyDescent="0.2">
      <c r="A128" s="69">
        <v>1</v>
      </c>
      <c r="B128" s="70" t="s">
        <v>111</v>
      </c>
      <c r="C128" s="70" t="s">
        <v>112</v>
      </c>
      <c r="D128" s="70"/>
      <c r="E128" s="77">
        <v>5151.0829999999996</v>
      </c>
      <c r="F128" s="72">
        <v>577.96107816100005</v>
      </c>
      <c r="G128" s="73">
        <v>2.01177E-3</v>
      </c>
      <c r="H128" s="19"/>
    </row>
    <row r="129" spans="1:10" x14ac:dyDescent="0.2">
      <c r="A129" s="17"/>
      <c r="B129" s="17"/>
      <c r="C129" s="18" t="s">
        <v>11</v>
      </c>
      <c r="D129" s="17"/>
      <c r="E129" s="17" t="s">
        <v>12</v>
      </c>
      <c r="F129" s="78">
        <f>SUM(F128)</f>
        <v>577.96107816100005</v>
      </c>
      <c r="G129" s="79">
        <f>SUM(G128)</f>
        <v>2.01177E-3</v>
      </c>
      <c r="H129" s="19" t="s">
        <v>12</v>
      </c>
    </row>
    <row r="130" spans="1:10" x14ac:dyDescent="0.2">
      <c r="A130" s="20"/>
      <c r="B130" s="20"/>
      <c r="C130" s="24"/>
      <c r="D130" s="20"/>
      <c r="E130" s="20"/>
      <c r="F130" s="25"/>
      <c r="G130" s="25"/>
      <c r="H130" s="19" t="s">
        <v>12</v>
      </c>
    </row>
    <row r="131" spans="1:10" x14ac:dyDescent="0.2">
      <c r="A131" s="20"/>
      <c r="B131" s="20"/>
      <c r="C131" s="21" t="s">
        <v>113</v>
      </c>
      <c r="D131" s="20"/>
      <c r="E131" s="20"/>
      <c r="F131" s="20"/>
      <c r="G131" s="20"/>
      <c r="H131" s="19" t="s">
        <v>12</v>
      </c>
    </row>
    <row r="132" spans="1:10" x14ac:dyDescent="0.2">
      <c r="A132" s="20"/>
      <c r="B132" s="20"/>
      <c r="C132" s="21" t="s">
        <v>114</v>
      </c>
      <c r="D132" s="20"/>
      <c r="E132" s="20"/>
      <c r="F132" s="20"/>
      <c r="G132" s="20"/>
      <c r="H132" s="19" t="s">
        <v>12</v>
      </c>
    </row>
    <row r="133" spans="1:10" x14ac:dyDescent="0.2">
      <c r="A133" s="20"/>
      <c r="B133" s="20"/>
      <c r="C133" s="21" t="s">
        <v>11</v>
      </c>
      <c r="D133" s="20"/>
      <c r="E133" s="20" t="s">
        <v>12</v>
      </c>
      <c r="F133" s="22" t="s">
        <v>13</v>
      </c>
      <c r="G133" s="23">
        <v>0</v>
      </c>
      <c r="H133" s="19" t="s">
        <v>12</v>
      </c>
    </row>
    <row r="134" spans="1:10" x14ac:dyDescent="0.2">
      <c r="A134" s="20"/>
      <c r="B134" s="20"/>
      <c r="C134" s="24"/>
      <c r="D134" s="20"/>
      <c r="E134" s="20"/>
      <c r="F134" s="25"/>
      <c r="G134" s="25"/>
      <c r="H134" s="19" t="s">
        <v>12</v>
      </c>
    </row>
    <row r="135" spans="1:10" x14ac:dyDescent="0.2">
      <c r="A135" s="20"/>
      <c r="B135" s="20"/>
      <c r="C135" s="21" t="s">
        <v>115</v>
      </c>
      <c r="D135" s="20"/>
      <c r="E135" s="20"/>
      <c r="F135" s="25"/>
      <c r="G135" s="25"/>
      <c r="H135" s="19" t="s">
        <v>12</v>
      </c>
    </row>
    <row r="136" spans="1:10" x14ac:dyDescent="0.2">
      <c r="A136" s="20"/>
      <c r="B136" s="20"/>
      <c r="C136" s="21" t="s">
        <v>11</v>
      </c>
      <c r="D136" s="20"/>
      <c r="E136" s="20" t="s">
        <v>12</v>
      </c>
      <c r="F136" s="22" t="s">
        <v>13</v>
      </c>
      <c r="G136" s="23">
        <v>0</v>
      </c>
      <c r="H136" s="19" t="s">
        <v>12</v>
      </c>
    </row>
    <row r="137" spans="1:10" x14ac:dyDescent="0.2">
      <c r="A137" s="17"/>
      <c r="B137" s="17"/>
      <c r="C137" s="75"/>
      <c r="D137" s="17"/>
      <c r="E137" s="17"/>
      <c r="F137" s="42"/>
      <c r="G137" s="42"/>
      <c r="H137" s="116" t="s">
        <v>12</v>
      </c>
      <c r="I137" s="117"/>
    </row>
    <row r="138" spans="1:10" x14ac:dyDescent="0.2">
      <c r="A138" s="118"/>
      <c r="B138" s="118"/>
      <c r="C138" s="119" t="s">
        <v>693</v>
      </c>
      <c r="D138" s="120"/>
      <c r="E138" s="121"/>
      <c r="F138" s="121"/>
      <c r="G138" s="120"/>
      <c r="H138" s="121"/>
      <c r="I138" s="117"/>
    </row>
    <row r="139" spans="1:10" ht="21.75" x14ac:dyDescent="0.2">
      <c r="A139" s="118"/>
      <c r="B139" s="118"/>
      <c r="C139" s="122" t="s">
        <v>694</v>
      </c>
      <c r="D139" s="120"/>
      <c r="E139" s="123">
        <v>2500000</v>
      </c>
      <c r="F139" s="116">
        <f>-795500/10^5</f>
        <v>-7.9550000000000001</v>
      </c>
      <c r="G139" s="124" t="s">
        <v>635</v>
      </c>
      <c r="H139" s="121"/>
      <c r="I139" s="117"/>
      <c r="J139" s="117"/>
    </row>
    <row r="140" spans="1:10" ht="21.75" x14ac:dyDescent="0.2">
      <c r="A140" s="118"/>
      <c r="B140" s="118"/>
      <c r="C140" s="122" t="s">
        <v>695</v>
      </c>
      <c r="D140" s="120"/>
      <c r="E140" s="123">
        <v>2500000</v>
      </c>
      <c r="F140" s="116">
        <f>-1012250/10^5</f>
        <v>-10.1225</v>
      </c>
      <c r="G140" s="124" t="s">
        <v>635</v>
      </c>
      <c r="H140" s="121"/>
      <c r="I140" s="117"/>
      <c r="J140" s="117"/>
    </row>
    <row r="141" spans="1:10" ht="21.75" x14ac:dyDescent="0.2">
      <c r="A141" s="118"/>
      <c r="B141" s="118"/>
      <c r="C141" s="122" t="s">
        <v>696</v>
      </c>
      <c r="D141" s="120"/>
      <c r="E141" s="123">
        <v>2500000</v>
      </c>
      <c r="F141" s="116">
        <f>-881000/10^5</f>
        <v>-8.81</v>
      </c>
      <c r="G141" s="124" t="s">
        <v>635</v>
      </c>
      <c r="H141" s="121"/>
      <c r="I141" s="117"/>
    </row>
    <row r="142" spans="1:10" ht="21.75" x14ac:dyDescent="0.2">
      <c r="A142" s="118"/>
      <c r="B142" s="118"/>
      <c r="C142" s="122" t="s">
        <v>697</v>
      </c>
      <c r="D142" s="120"/>
      <c r="E142" s="123">
        <v>2500000</v>
      </c>
      <c r="F142" s="116">
        <f>51250/10^5</f>
        <v>0.51249999999999996</v>
      </c>
      <c r="G142" s="124" t="s">
        <v>635</v>
      </c>
      <c r="H142" s="121"/>
      <c r="I142" s="117"/>
    </row>
    <row r="143" spans="1:10" x14ac:dyDescent="0.2">
      <c r="A143" s="20"/>
      <c r="B143" s="20"/>
      <c r="C143" s="24"/>
      <c r="D143" s="20"/>
      <c r="E143" s="20"/>
      <c r="F143" s="25"/>
      <c r="G143" s="25"/>
      <c r="H143" s="19" t="s">
        <v>12</v>
      </c>
    </row>
    <row r="144" spans="1:10" x14ac:dyDescent="0.2">
      <c r="A144" s="32"/>
      <c r="B144" s="28"/>
      <c r="C144" s="28" t="s">
        <v>116</v>
      </c>
      <c r="D144" s="28"/>
      <c r="E144" s="32"/>
      <c r="F144" s="30">
        <f>-7691.30490286-F25+2500+2500+2500+2500+0.0000118880462646484</f>
        <v>2308.6851090280461</v>
      </c>
      <c r="G144" s="31">
        <f>F144/F145</f>
        <v>8.0360877183592461E-3</v>
      </c>
      <c r="H144" s="19" t="s">
        <v>12</v>
      </c>
    </row>
    <row r="145" spans="1:9" x14ac:dyDescent="0.2">
      <c r="A145" s="24"/>
      <c r="B145" s="24"/>
      <c r="C145" s="21" t="s">
        <v>117</v>
      </c>
      <c r="D145" s="25"/>
      <c r="E145" s="25"/>
      <c r="F145" s="26">
        <f>F144+F142+F141+F140+F139+F129+F121+F53+F25</f>
        <v>287289.68497365003</v>
      </c>
      <c r="G145" s="33">
        <v>0.99999178767731167</v>
      </c>
      <c r="H145" s="19" t="s">
        <v>12</v>
      </c>
    </row>
    <row r="146" spans="1:9" x14ac:dyDescent="0.2">
      <c r="A146" s="34"/>
      <c r="B146" s="34"/>
      <c r="C146" s="34"/>
      <c r="D146" s="35"/>
      <c r="E146" s="35"/>
      <c r="F146" s="35"/>
      <c r="G146" s="35"/>
    </row>
    <row r="147" spans="1:9" x14ac:dyDescent="0.2">
      <c r="A147" s="36"/>
      <c r="B147" s="169" t="s">
        <v>609</v>
      </c>
      <c r="C147" s="169"/>
      <c r="D147" s="169"/>
      <c r="E147" s="169"/>
      <c r="F147" s="169"/>
      <c r="G147" s="169"/>
      <c r="H147" s="169"/>
    </row>
    <row r="148" spans="1:9" x14ac:dyDescent="0.2">
      <c r="A148" s="36"/>
      <c r="B148" s="169" t="s">
        <v>610</v>
      </c>
      <c r="C148" s="169"/>
      <c r="D148" s="169"/>
      <c r="E148" s="169"/>
      <c r="F148" s="169"/>
      <c r="G148" s="169"/>
      <c r="H148" s="169"/>
    </row>
    <row r="149" spans="1:9" x14ac:dyDescent="0.2">
      <c r="A149" s="36"/>
      <c r="B149" s="169" t="s">
        <v>611</v>
      </c>
      <c r="C149" s="169"/>
      <c r="D149" s="169"/>
      <c r="E149" s="169"/>
      <c r="F149" s="169"/>
      <c r="G149" s="169"/>
      <c r="H149" s="169"/>
    </row>
    <row r="150" spans="1:9" ht="52.5" customHeight="1" x14ac:dyDescent="0.2">
      <c r="A150" s="36"/>
      <c r="B150" s="216" t="s">
        <v>698</v>
      </c>
      <c r="C150" s="216"/>
      <c r="D150" s="216"/>
      <c r="E150" s="216"/>
      <c r="F150" s="216"/>
      <c r="G150" s="216"/>
      <c r="H150" s="216"/>
      <c r="I150" s="117"/>
    </row>
    <row r="151" spans="1:9" x14ac:dyDescent="0.2">
      <c r="A151" s="38"/>
      <c r="B151" s="38"/>
      <c r="C151" s="38"/>
      <c r="D151" s="39"/>
      <c r="E151" s="39"/>
      <c r="F151" s="39"/>
      <c r="G151" s="39"/>
    </row>
    <row r="152" spans="1:9" x14ac:dyDescent="0.2">
      <c r="A152" s="36"/>
      <c r="B152" s="170" t="s">
        <v>118</v>
      </c>
      <c r="C152" s="171"/>
      <c r="D152" s="172"/>
      <c r="E152" s="40"/>
      <c r="F152" s="41"/>
      <c r="G152" s="41"/>
    </row>
    <row r="153" spans="1:9" x14ac:dyDescent="0.2">
      <c r="A153" s="36"/>
      <c r="B153" s="161" t="s">
        <v>119</v>
      </c>
      <c r="C153" s="162"/>
      <c r="D153" s="18" t="s">
        <v>636</v>
      </c>
      <c r="E153" s="40"/>
      <c r="F153" s="41"/>
      <c r="G153" s="41"/>
    </row>
    <row r="154" spans="1:9" x14ac:dyDescent="0.2">
      <c r="A154" s="36"/>
      <c r="B154" s="161" t="s">
        <v>121</v>
      </c>
      <c r="C154" s="162"/>
      <c r="D154" s="18" t="s">
        <v>120</v>
      </c>
      <c r="E154" s="40"/>
      <c r="F154" s="41"/>
      <c r="G154" s="41"/>
    </row>
    <row r="155" spans="1:9" x14ac:dyDescent="0.2">
      <c r="A155" s="36"/>
      <c r="B155" s="161" t="s">
        <v>122</v>
      </c>
      <c r="C155" s="162"/>
      <c r="D155" s="42" t="s">
        <v>12</v>
      </c>
      <c r="E155" s="40"/>
      <c r="F155" s="41"/>
      <c r="G155" s="41"/>
    </row>
    <row r="156" spans="1:9" x14ac:dyDescent="0.2">
      <c r="A156" s="43"/>
      <c r="B156" s="44" t="s">
        <v>12</v>
      </c>
      <c r="C156" s="44" t="s">
        <v>612</v>
      </c>
      <c r="D156" s="44" t="s">
        <v>123</v>
      </c>
      <c r="E156" s="43"/>
      <c r="F156" s="43"/>
      <c r="G156" s="43"/>
    </row>
    <row r="157" spans="1:9" x14ac:dyDescent="0.2">
      <c r="A157" s="43"/>
      <c r="B157" s="45" t="s">
        <v>124</v>
      </c>
      <c r="C157" s="46">
        <v>45808</v>
      </c>
      <c r="D157" s="46">
        <v>45823</v>
      </c>
      <c r="E157" s="43"/>
      <c r="F157" s="43"/>
      <c r="G157" s="43"/>
    </row>
    <row r="158" spans="1:9" x14ac:dyDescent="0.2">
      <c r="A158" s="47"/>
      <c r="B158" s="28" t="s">
        <v>125</v>
      </c>
      <c r="C158" s="48">
        <v>2913.9971999999998</v>
      </c>
      <c r="D158" s="48">
        <v>2923.9425999999999</v>
      </c>
      <c r="E158" s="47"/>
      <c r="F158" s="49"/>
      <c r="G158" s="50"/>
    </row>
    <row r="159" spans="1:9" ht="25.5" x14ac:dyDescent="0.2">
      <c r="A159" s="47"/>
      <c r="B159" s="28" t="s">
        <v>737</v>
      </c>
      <c r="C159" s="48">
        <v>1070.2256</v>
      </c>
      <c r="D159" s="48">
        <v>1073.8777</v>
      </c>
      <c r="E159" s="47"/>
      <c r="F159" s="49"/>
      <c r="G159" s="50"/>
    </row>
    <row r="160" spans="1:9" ht="25.5" x14ac:dyDescent="0.2">
      <c r="A160" s="47"/>
      <c r="B160" s="28" t="s">
        <v>738</v>
      </c>
      <c r="C160" s="48">
        <v>1220.4299000000001</v>
      </c>
      <c r="D160" s="48">
        <v>1206.5953</v>
      </c>
      <c r="E160" s="47"/>
      <c r="F160" s="49"/>
      <c r="G160" s="50"/>
    </row>
    <row r="161" spans="1:10" x14ac:dyDescent="0.2">
      <c r="A161" s="47"/>
      <c r="B161" s="28" t="s">
        <v>126</v>
      </c>
      <c r="C161" s="48">
        <v>2674.4441000000002</v>
      </c>
      <c r="D161" s="48">
        <v>2682.1938</v>
      </c>
      <c r="E161" s="47"/>
      <c r="F161" s="49"/>
      <c r="G161" s="50"/>
    </row>
    <row r="162" spans="1:10" ht="25.5" x14ac:dyDescent="0.2">
      <c r="A162" s="47"/>
      <c r="B162" s="28" t="s">
        <v>741</v>
      </c>
      <c r="C162" s="48">
        <v>1066.0046</v>
      </c>
      <c r="D162" s="48">
        <v>1069.0935999999999</v>
      </c>
      <c r="E162" s="47"/>
      <c r="F162" s="49"/>
      <c r="G162" s="50"/>
    </row>
    <row r="163" spans="1:10" ht="25.5" x14ac:dyDescent="0.2">
      <c r="A163" s="47"/>
      <c r="B163" s="28" t="s">
        <v>713</v>
      </c>
      <c r="C163" s="48">
        <v>1167.9641999999999</v>
      </c>
      <c r="D163" s="48">
        <v>1154.0424</v>
      </c>
      <c r="E163" s="47"/>
      <c r="F163" s="49"/>
      <c r="G163" s="50"/>
    </row>
    <row r="164" spans="1:10" x14ac:dyDescent="0.2">
      <c r="A164" s="47"/>
      <c r="B164" s="47"/>
      <c r="C164" s="47"/>
      <c r="D164" s="47"/>
      <c r="E164" s="47"/>
      <c r="F164" s="47"/>
      <c r="G164" s="47"/>
    </row>
    <row r="165" spans="1:10" x14ac:dyDescent="0.2">
      <c r="A165" s="47"/>
      <c r="B165" s="164" t="s">
        <v>714</v>
      </c>
      <c r="C165" s="165"/>
      <c r="D165" s="21" t="s">
        <v>12</v>
      </c>
      <c r="E165" s="47"/>
      <c r="F165" s="47"/>
      <c r="G165" s="47"/>
    </row>
    <row r="166" spans="1:10" x14ac:dyDescent="0.2">
      <c r="A166" s="47"/>
      <c r="B166" s="80" t="s">
        <v>124</v>
      </c>
      <c r="C166" s="81" t="s">
        <v>127</v>
      </c>
      <c r="D166" s="81" t="s">
        <v>128</v>
      </c>
      <c r="E166" s="47"/>
      <c r="F166" s="47"/>
      <c r="G166" s="47"/>
    </row>
    <row r="167" spans="1:10" ht="25.5" x14ac:dyDescent="0.2">
      <c r="A167" s="47"/>
      <c r="B167" s="28" t="s">
        <v>738</v>
      </c>
      <c r="C167" s="82">
        <v>18.016999999999999</v>
      </c>
      <c r="D167" s="32" t="s">
        <v>129</v>
      </c>
      <c r="E167" s="47"/>
      <c r="F167" s="49"/>
      <c r="G167" s="50"/>
    </row>
    <row r="168" spans="1:10" ht="25.5" x14ac:dyDescent="0.2">
      <c r="A168" s="47"/>
      <c r="B168" s="28" t="s">
        <v>713</v>
      </c>
      <c r="C168" s="82">
        <v>17.302</v>
      </c>
      <c r="D168" s="32" t="s">
        <v>129</v>
      </c>
      <c r="E168" s="47"/>
      <c r="F168" s="49"/>
      <c r="G168" s="50"/>
    </row>
    <row r="169" spans="1:10" x14ac:dyDescent="0.2">
      <c r="A169" s="47"/>
      <c r="B169" s="83"/>
      <c r="C169" s="83"/>
      <c r="D169" s="84"/>
      <c r="E169" s="47"/>
      <c r="F169" s="49"/>
      <c r="G169" s="50"/>
    </row>
    <row r="170" spans="1:10" x14ac:dyDescent="0.2">
      <c r="A170" s="43"/>
      <c r="B170" s="161" t="s">
        <v>130</v>
      </c>
      <c r="C170" s="162"/>
      <c r="D170" s="18" t="s">
        <v>699</v>
      </c>
      <c r="E170" s="54"/>
      <c r="F170" s="43"/>
      <c r="G170" s="43"/>
      <c r="I170" s="117"/>
    </row>
    <row r="171" spans="1:10" x14ac:dyDescent="0.2">
      <c r="A171" s="43"/>
      <c r="B171" s="161" t="s">
        <v>131</v>
      </c>
      <c r="C171" s="162"/>
      <c r="D171" s="18" t="s">
        <v>120</v>
      </c>
      <c r="E171" s="54"/>
      <c r="F171" s="43"/>
      <c r="G171" s="43"/>
      <c r="I171" s="117"/>
    </row>
    <row r="172" spans="1:10" x14ac:dyDescent="0.2">
      <c r="A172" s="43"/>
      <c r="B172" s="161" t="s">
        <v>613</v>
      </c>
      <c r="C172" s="162"/>
      <c r="D172" s="18" t="s">
        <v>120</v>
      </c>
      <c r="E172" s="54"/>
      <c r="F172" s="43"/>
      <c r="G172" s="43"/>
      <c r="I172" s="117"/>
      <c r="J172" s="16"/>
    </row>
    <row r="173" spans="1:10" ht="12.75" customHeight="1" x14ac:dyDescent="0.2">
      <c r="A173" s="56"/>
      <c r="B173" s="56"/>
      <c r="C173" s="56"/>
      <c r="D173" s="56"/>
      <c r="E173" s="56"/>
      <c r="F173" s="56"/>
      <c r="G173" s="56"/>
      <c r="I173" s="117"/>
      <c r="J173" s="16"/>
    </row>
    <row r="174" spans="1:10" ht="13.5" x14ac:dyDescent="0.25">
      <c r="A174" s="56"/>
      <c r="B174" s="125" t="s">
        <v>746</v>
      </c>
      <c r="C174" s="56"/>
      <c r="D174" s="56"/>
      <c r="E174" s="56"/>
      <c r="F174" s="56"/>
      <c r="G174" s="56"/>
      <c r="H174" s="56"/>
      <c r="I174" s="117"/>
      <c r="J174" s="16"/>
    </row>
    <row r="175" spans="1:10" s="16" customFormat="1" ht="51" x14ac:dyDescent="0.2">
      <c r="A175" s="126"/>
      <c r="B175" s="127" t="s">
        <v>700</v>
      </c>
      <c r="C175" s="127" t="s">
        <v>701</v>
      </c>
      <c r="D175" s="128" t="s">
        <v>702</v>
      </c>
      <c r="E175" s="128" t="s">
        <v>703</v>
      </c>
      <c r="F175" s="127" t="s">
        <v>704</v>
      </c>
      <c r="G175" s="127" t="s">
        <v>705</v>
      </c>
      <c r="H175" s="127" t="s">
        <v>8</v>
      </c>
      <c r="I175" s="129"/>
    </row>
    <row r="176" spans="1:10" s="58" customFormat="1" x14ac:dyDescent="0.2">
      <c r="A176" s="130"/>
      <c r="B176" s="131" t="s">
        <v>706</v>
      </c>
      <c r="C176" s="131" t="s">
        <v>707</v>
      </c>
      <c r="D176" s="132" t="s">
        <v>708</v>
      </c>
      <c r="E176" s="133" t="s">
        <v>709</v>
      </c>
      <c r="F176" s="134">
        <v>2500</v>
      </c>
      <c r="G176" s="135">
        <v>46002</v>
      </c>
      <c r="H176" s="160">
        <f>F176/$F$145</f>
        <v>8.7020179656965343E-3</v>
      </c>
      <c r="I176" s="136"/>
      <c r="J176" s="16"/>
    </row>
    <row r="177" spans="1:16" s="58" customFormat="1" x14ac:dyDescent="0.2">
      <c r="A177" s="130"/>
      <c r="B177" s="131" t="s">
        <v>706</v>
      </c>
      <c r="C177" s="131" t="s">
        <v>710</v>
      </c>
      <c r="D177" s="132" t="s">
        <v>708</v>
      </c>
      <c r="E177" s="133" t="s">
        <v>709</v>
      </c>
      <c r="F177" s="134">
        <v>2500</v>
      </c>
      <c r="G177" s="135">
        <v>46087</v>
      </c>
      <c r="H177" s="160">
        <f>F177/$F$145</f>
        <v>8.7020179656965343E-3</v>
      </c>
      <c r="I177" s="136"/>
      <c r="J177" s="16"/>
    </row>
    <row r="178" spans="1:16" s="58" customFormat="1" x14ac:dyDescent="0.2">
      <c r="A178" s="130"/>
      <c r="B178" s="131" t="s">
        <v>706</v>
      </c>
      <c r="C178" s="131" t="s">
        <v>711</v>
      </c>
      <c r="D178" s="132" t="s">
        <v>708</v>
      </c>
      <c r="E178" s="133" t="s">
        <v>709</v>
      </c>
      <c r="F178" s="134">
        <v>2500</v>
      </c>
      <c r="G178" s="135">
        <v>46101</v>
      </c>
      <c r="H178" s="160">
        <f>F178/$F$145</f>
        <v>8.7020179656965343E-3</v>
      </c>
      <c r="I178" s="136"/>
      <c r="J178" s="16"/>
    </row>
    <row r="179" spans="1:16" s="58" customFormat="1" x14ac:dyDescent="0.2">
      <c r="A179" s="130"/>
      <c r="B179" s="131" t="s">
        <v>706</v>
      </c>
      <c r="C179" s="131" t="s">
        <v>711</v>
      </c>
      <c r="D179" s="132" t="s">
        <v>708</v>
      </c>
      <c r="E179" s="133" t="s">
        <v>709</v>
      </c>
      <c r="F179" s="134">
        <v>2500</v>
      </c>
      <c r="G179" s="135">
        <v>46168</v>
      </c>
      <c r="H179" s="160">
        <f>F179/$F$145</f>
        <v>8.7020179656965343E-3</v>
      </c>
      <c r="I179" s="136"/>
      <c r="J179" s="16"/>
    </row>
    <row r="180" spans="1:16" s="68" customFormat="1" x14ac:dyDescent="0.2">
      <c r="A180" s="56"/>
      <c r="B180" s="56"/>
      <c r="C180" s="56"/>
      <c r="D180" s="56"/>
      <c r="E180" s="56"/>
      <c r="F180" s="56"/>
      <c r="G180" s="56"/>
      <c r="H180"/>
      <c r="I180" s="137"/>
      <c r="J180" s="138"/>
      <c r="K180" s="138"/>
      <c r="L180" s="138"/>
      <c r="M180" s="138"/>
      <c r="N180" s="138"/>
      <c r="O180" s="138"/>
    </row>
    <row r="181" spans="1:16" x14ac:dyDescent="0.2">
      <c r="A181" s="57"/>
      <c r="B181" s="139" t="s">
        <v>745</v>
      </c>
      <c r="C181" s="139"/>
      <c r="D181" s="139"/>
      <c r="E181" s="139"/>
      <c r="F181" s="139"/>
      <c r="G181" s="139"/>
      <c r="H181" s="57"/>
      <c r="I181" s="117"/>
      <c r="J181" s="16"/>
    </row>
    <row r="182" spans="1:16" ht="13.5" customHeight="1" x14ac:dyDescent="0.2">
      <c r="B182" s="217" t="s">
        <v>638</v>
      </c>
      <c r="C182" s="217" t="s">
        <v>639</v>
      </c>
      <c r="D182" s="218" t="s">
        <v>649</v>
      </c>
      <c r="E182" s="219"/>
      <c r="F182" s="220"/>
      <c r="G182" s="221" t="s">
        <v>657</v>
      </c>
      <c r="H182" s="222"/>
      <c r="I182" s="223"/>
      <c r="J182" s="55"/>
      <c r="K182" s="55"/>
      <c r="L182" s="55"/>
      <c r="M182" s="55"/>
      <c r="N182" s="55"/>
      <c r="O182" s="55"/>
    </row>
    <row r="183" spans="1:16" ht="46.5" customHeight="1" x14ac:dyDescent="0.2">
      <c r="B183" s="191"/>
      <c r="C183" s="191"/>
      <c r="D183" s="224" t="s">
        <v>658</v>
      </c>
      <c r="E183" s="224" t="s">
        <v>659</v>
      </c>
      <c r="F183" s="224" t="s">
        <v>660</v>
      </c>
      <c r="G183" s="199" t="s">
        <v>675</v>
      </c>
      <c r="H183" s="200"/>
      <c r="I183" s="224" t="s">
        <v>662</v>
      </c>
      <c r="J183" s="55"/>
      <c r="K183" s="55"/>
      <c r="L183" s="55"/>
      <c r="M183" s="55"/>
      <c r="N183" s="55"/>
      <c r="O183" s="55"/>
    </row>
    <row r="184" spans="1:16" ht="21" customHeight="1" x14ac:dyDescent="0.2">
      <c r="B184" s="192"/>
      <c r="C184" s="192"/>
      <c r="D184" s="189"/>
      <c r="E184" s="189"/>
      <c r="F184" s="189"/>
      <c r="G184" s="140" t="s">
        <v>663</v>
      </c>
      <c r="H184" s="140" t="s">
        <v>664</v>
      </c>
      <c r="I184" s="189"/>
      <c r="J184" s="55"/>
      <c r="K184" s="55"/>
      <c r="L184" s="55"/>
      <c r="M184" s="55"/>
      <c r="N184" s="55"/>
      <c r="O184" s="55"/>
    </row>
    <row r="185" spans="1:16" ht="13.5" x14ac:dyDescent="0.25">
      <c r="B185" s="141" t="s">
        <v>665</v>
      </c>
      <c r="C185" s="142" t="s">
        <v>666</v>
      </c>
      <c r="D185" s="143">
        <v>488.84800000000001</v>
      </c>
      <c r="E185" s="12">
        <v>11.151999999999999</v>
      </c>
      <c r="F185" s="144">
        <f>D185+E185</f>
        <v>500</v>
      </c>
      <c r="G185" s="13">
        <v>21.175720568999996</v>
      </c>
      <c r="H185" s="13">
        <v>13.34</v>
      </c>
      <c r="I185" s="13">
        <f>G185+H185</f>
        <v>34.515720568999996</v>
      </c>
      <c r="J185" s="55"/>
      <c r="K185" s="55"/>
      <c r="L185" s="55"/>
      <c r="M185" s="55"/>
      <c r="N185" s="55"/>
      <c r="O185" s="55"/>
    </row>
    <row r="186" spans="1:16" ht="6.75" customHeight="1" x14ac:dyDescent="0.25">
      <c r="B186" s="145"/>
      <c r="C186" s="146"/>
      <c r="D186" s="147"/>
      <c r="E186" s="11"/>
      <c r="F186" s="148"/>
      <c r="G186" s="9"/>
      <c r="H186" s="9"/>
      <c r="I186" s="9"/>
      <c r="J186" s="55"/>
      <c r="K186" s="55"/>
      <c r="L186" s="55"/>
      <c r="M186" s="55"/>
      <c r="N186" s="55"/>
      <c r="O186" s="55"/>
    </row>
    <row r="187" spans="1:16" ht="51" customHeight="1" x14ac:dyDescent="0.2">
      <c r="B187" s="187" t="s">
        <v>667</v>
      </c>
      <c r="C187" s="187"/>
      <c r="D187" s="187"/>
      <c r="E187" s="187"/>
      <c r="F187" s="187"/>
      <c r="G187" s="187"/>
      <c r="H187" s="187"/>
      <c r="I187" s="187"/>
      <c r="J187" s="149"/>
      <c r="K187" s="55"/>
      <c r="L187" s="55"/>
      <c r="M187" s="55"/>
      <c r="N187" s="55"/>
      <c r="O187" s="55"/>
    </row>
    <row r="188" spans="1:16" ht="13.5" x14ac:dyDescent="0.25">
      <c r="B188" s="96" t="s">
        <v>668</v>
      </c>
      <c r="I188" s="55"/>
      <c r="J188" s="16"/>
      <c r="K188" s="55"/>
      <c r="L188" s="55"/>
      <c r="M188" s="55"/>
      <c r="N188" s="55"/>
      <c r="O188" s="55"/>
      <c r="P188" s="55"/>
    </row>
    <row r="189" spans="1:16" ht="7.5" customHeight="1" x14ac:dyDescent="0.2">
      <c r="B189" s="97"/>
      <c r="J189" s="16"/>
      <c r="K189" s="55"/>
      <c r="L189" s="55"/>
      <c r="M189" s="55"/>
      <c r="N189" s="55"/>
      <c r="O189" s="55"/>
    </row>
    <row r="190" spans="1:16" x14ac:dyDescent="0.2">
      <c r="B190" s="97" t="s">
        <v>672</v>
      </c>
      <c r="J190" s="16"/>
      <c r="K190" s="55"/>
      <c r="L190" s="55"/>
      <c r="M190" s="55"/>
      <c r="N190" s="55"/>
      <c r="O190" s="55"/>
    </row>
    <row r="191" spans="1:16" s="57" customFormat="1" x14ac:dyDescent="0.2">
      <c r="I191" s="117"/>
      <c r="J191" s="16"/>
      <c r="K191" s="55"/>
      <c r="L191" s="55"/>
      <c r="M191" s="55"/>
      <c r="N191" s="55"/>
      <c r="O191" s="58"/>
    </row>
    <row r="192" spans="1:16" s="57" customFormat="1" x14ac:dyDescent="0.2">
      <c r="B192" s="225" t="s">
        <v>614</v>
      </c>
      <c r="C192" s="226"/>
      <c r="D192" s="227"/>
      <c r="I192" s="117"/>
      <c r="J192" s="16"/>
      <c r="K192" s="55"/>
      <c r="L192" s="55"/>
      <c r="M192" s="55"/>
      <c r="N192" s="55"/>
      <c r="O192" s="58"/>
    </row>
    <row r="193" spans="1:17" s="57" customFormat="1" ht="25.5" x14ac:dyDescent="0.2">
      <c r="B193" s="228" t="s">
        <v>615</v>
      </c>
      <c r="C193" s="228"/>
      <c r="D193" s="150" t="s">
        <v>476</v>
      </c>
      <c r="I193" s="117"/>
      <c r="J193" s="16"/>
      <c r="K193" s="55"/>
      <c r="L193" s="55"/>
      <c r="M193" s="55"/>
      <c r="N193" s="55"/>
      <c r="O193" s="58"/>
    </row>
    <row r="194" spans="1:17" s="57" customFormat="1" x14ac:dyDescent="0.2">
      <c r="B194" s="229" t="s">
        <v>616</v>
      </c>
      <c r="C194" s="229"/>
      <c r="D194" s="151"/>
      <c r="I194" s="117"/>
      <c r="J194" s="16"/>
      <c r="K194" s="55"/>
      <c r="L194" s="55"/>
      <c r="M194" s="55"/>
      <c r="N194" s="55"/>
      <c r="O194" s="58"/>
    </row>
    <row r="195" spans="1:17" s="57" customFormat="1" x14ac:dyDescent="0.2">
      <c r="B195" s="229"/>
      <c r="C195" s="229"/>
      <c r="D195" s="152"/>
      <c r="I195" s="117"/>
      <c r="J195" s="16"/>
      <c r="K195" s="55"/>
      <c r="L195" s="55"/>
      <c r="M195" s="55"/>
      <c r="N195" s="55"/>
      <c r="O195" s="58"/>
    </row>
    <row r="196" spans="1:17" s="57" customFormat="1" x14ac:dyDescent="0.2">
      <c r="B196" s="229" t="s">
        <v>617</v>
      </c>
      <c r="C196" s="229"/>
      <c r="D196" s="62">
        <v>6.1852581584603117</v>
      </c>
      <c r="I196" s="117"/>
      <c r="J196" s="16"/>
      <c r="K196" s="55"/>
      <c r="L196" s="55"/>
      <c r="M196" s="55"/>
      <c r="N196" s="55"/>
      <c r="O196" s="58"/>
    </row>
    <row r="197" spans="1:17" s="57" customFormat="1" x14ac:dyDescent="0.2">
      <c r="B197" s="174"/>
      <c r="C197" s="174"/>
      <c r="D197" s="61"/>
      <c r="I197" s="117"/>
      <c r="J197" s="16"/>
      <c r="K197" s="55"/>
      <c r="L197" s="55"/>
      <c r="M197" s="55"/>
      <c r="N197" s="55"/>
      <c r="O197" s="58"/>
    </row>
    <row r="198" spans="1:17" s="57" customFormat="1" x14ac:dyDescent="0.2">
      <c r="B198" s="174" t="s">
        <v>618</v>
      </c>
      <c r="C198" s="174"/>
      <c r="D198" s="62">
        <v>0.48551116672476818</v>
      </c>
      <c r="I198" s="117"/>
      <c r="J198" s="16"/>
      <c r="K198" s="55"/>
      <c r="L198" s="55"/>
      <c r="M198" s="55"/>
      <c r="N198" s="55"/>
      <c r="O198" s="58"/>
    </row>
    <row r="199" spans="1:17" s="57" customFormat="1" x14ac:dyDescent="0.2">
      <c r="B199" s="174" t="s">
        <v>619</v>
      </c>
      <c r="C199" s="174"/>
      <c r="D199" s="62">
        <v>0.49286144552702277</v>
      </c>
      <c r="I199" s="117"/>
      <c r="J199" s="16"/>
      <c r="K199" s="55"/>
      <c r="L199" s="55"/>
      <c r="M199" s="55"/>
      <c r="N199" s="55"/>
      <c r="O199" s="58"/>
    </row>
    <row r="200" spans="1:17" s="57" customFormat="1" x14ac:dyDescent="0.2">
      <c r="B200" s="174"/>
      <c r="C200" s="174"/>
      <c r="D200" s="61"/>
      <c r="I200" s="117"/>
      <c r="J200" s="16"/>
      <c r="K200" s="55"/>
      <c r="L200" s="55"/>
      <c r="M200" s="55"/>
      <c r="N200" s="55"/>
      <c r="O200" s="58"/>
    </row>
    <row r="201" spans="1:17" s="57" customFormat="1" x14ac:dyDescent="0.2">
      <c r="B201" s="174" t="s">
        <v>620</v>
      </c>
      <c r="C201" s="174"/>
      <c r="D201" s="64" t="s">
        <v>744</v>
      </c>
      <c r="I201" s="117"/>
      <c r="J201" s="16"/>
      <c r="K201" s="55"/>
      <c r="L201" s="55"/>
      <c r="M201" s="55"/>
      <c r="N201" s="55"/>
      <c r="O201" s="58"/>
    </row>
    <row r="202" spans="1:17" s="57" customFormat="1" x14ac:dyDescent="0.2">
      <c r="B202" s="175" t="s">
        <v>621</v>
      </c>
      <c r="C202" s="177"/>
      <c r="D202" s="176"/>
      <c r="I202" s="117"/>
      <c r="J202" s="16"/>
      <c r="K202" s="55"/>
      <c r="L202" s="55"/>
      <c r="M202" s="55"/>
      <c r="N202" s="55"/>
      <c r="O202" s="58"/>
    </row>
    <row r="203" spans="1:17" s="57" customFormat="1" x14ac:dyDescent="0.2">
      <c r="B203" s="37"/>
      <c r="C203" s="37"/>
      <c r="D203" s="37"/>
      <c r="I203" s="117"/>
      <c r="J203" s="16"/>
      <c r="K203" s="55"/>
      <c r="L203" s="55"/>
      <c r="M203" s="55"/>
      <c r="N203" s="55"/>
      <c r="O203" s="58"/>
    </row>
    <row r="204" spans="1:17" s="57" customFormat="1" ht="25.5" x14ac:dyDescent="0.2">
      <c r="A204"/>
      <c r="B204" s="66" t="s">
        <v>622</v>
      </c>
      <c r="C204"/>
      <c r="D204"/>
      <c r="E204"/>
      <c r="F204"/>
      <c r="G204"/>
      <c r="H204"/>
      <c r="I204" s="117"/>
      <c r="J204" s="16"/>
      <c r="K204" s="55"/>
      <c r="L204" s="55"/>
      <c r="M204" s="55"/>
      <c r="N204" s="55"/>
      <c r="O204" s="58"/>
      <c r="P204"/>
      <c r="Q204"/>
    </row>
    <row r="205" spans="1:17" x14ac:dyDescent="0.2">
      <c r="I205" s="117"/>
    </row>
    <row r="206" spans="1:17" ht="153.75" customHeight="1" x14ac:dyDescent="0.2">
      <c r="I206" s="117"/>
    </row>
    <row r="207" spans="1:17" ht="25.5" customHeight="1" x14ac:dyDescent="0.2">
      <c r="I207" s="117"/>
    </row>
    <row r="208" spans="1:17" x14ac:dyDescent="0.2">
      <c r="B208" s="67" t="s">
        <v>623</v>
      </c>
      <c r="C208" s="68"/>
      <c r="D208" s="67"/>
      <c r="I208" s="117"/>
    </row>
    <row r="209" spans="2:10" x14ac:dyDescent="0.2">
      <c r="B209" s="67" t="s">
        <v>712</v>
      </c>
      <c r="D209" s="67"/>
      <c r="I209" s="117"/>
    </row>
    <row r="210" spans="2:10" x14ac:dyDescent="0.2">
      <c r="I210" s="117"/>
    </row>
    <row r="211" spans="2:10" x14ac:dyDescent="0.2">
      <c r="I211" s="117"/>
    </row>
    <row r="212" spans="2:10" ht="165" customHeight="1" x14ac:dyDescent="0.2">
      <c r="I212" s="117"/>
    </row>
    <row r="213" spans="2:10" x14ac:dyDescent="0.2">
      <c r="I213" s="117"/>
    </row>
    <row r="214" spans="2:10" x14ac:dyDescent="0.2">
      <c r="I214" s="117"/>
      <c r="J214" s="16"/>
    </row>
    <row r="215" spans="2:10" x14ac:dyDescent="0.2">
      <c r="I215" s="117"/>
    </row>
    <row r="216" spans="2:10" x14ac:dyDescent="0.2">
      <c r="I216" s="117"/>
    </row>
    <row r="217" spans="2:10" x14ac:dyDescent="0.2">
      <c r="I217" s="117"/>
    </row>
    <row r="218" spans="2:10" x14ac:dyDescent="0.2">
      <c r="I218" s="117"/>
    </row>
    <row r="219" spans="2:10" x14ac:dyDescent="0.2">
      <c r="I219" s="117"/>
    </row>
  </sheetData>
  <mergeCells count="36">
    <mergeCell ref="B201:C201"/>
    <mergeCell ref="B202:D202"/>
    <mergeCell ref="B196:C196"/>
    <mergeCell ref="B197:C197"/>
    <mergeCell ref="B198:C198"/>
    <mergeCell ref="B199:C199"/>
    <mergeCell ref="B200:C200"/>
    <mergeCell ref="B187:I187"/>
    <mergeCell ref="B192:D192"/>
    <mergeCell ref="B193:C193"/>
    <mergeCell ref="B194:C194"/>
    <mergeCell ref="B195:C195"/>
    <mergeCell ref="B182:B184"/>
    <mergeCell ref="C182:C184"/>
    <mergeCell ref="D182:F182"/>
    <mergeCell ref="G182:I182"/>
    <mergeCell ref="D183:D184"/>
    <mergeCell ref="E183:E184"/>
    <mergeCell ref="F183:F184"/>
    <mergeCell ref="G183:H183"/>
    <mergeCell ref="I183:I184"/>
    <mergeCell ref="A1:H1"/>
    <mergeCell ref="A2:H2"/>
    <mergeCell ref="A3:H3"/>
    <mergeCell ref="B147:H147"/>
    <mergeCell ref="B148:H148"/>
    <mergeCell ref="B172:C172"/>
    <mergeCell ref="B165:C165"/>
    <mergeCell ref="B171:C171"/>
    <mergeCell ref="B170:C170"/>
    <mergeCell ref="B149:H149"/>
    <mergeCell ref="B152:D152"/>
    <mergeCell ref="B153:C153"/>
    <mergeCell ref="B154:C154"/>
    <mergeCell ref="B155:C155"/>
    <mergeCell ref="B150:H150"/>
  </mergeCells>
  <hyperlinks>
    <hyperlink ref="I1" location="Index!B2" display="Index" xr:uid="{A315FAC7-0F76-4C43-BD10-E5CC872B48E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3BAD6-1C4F-440C-94EA-CE2EBAF62085}">
  <sheetPr>
    <outlinePr summaryBelow="0" summaryRight="0"/>
  </sheetPr>
  <dimension ref="A1:Q144"/>
  <sheetViews>
    <sheetView showGridLines="0" workbookViewId="0">
      <selection sqref="A1:H1"/>
    </sheetView>
  </sheetViews>
  <sheetFormatPr defaultRowHeight="12.75" x14ac:dyDescent="0.2"/>
  <cols>
    <col min="1" max="1" width="5.85546875" bestFit="1" customWidth="1"/>
    <col min="2" max="2" width="21.7109375" customWidth="1"/>
    <col min="3" max="3" width="40.7109375" customWidth="1"/>
    <col min="4" max="4" width="13.7109375" customWidth="1"/>
    <col min="5" max="5" width="8.7109375" bestFit="1" customWidth="1"/>
    <col min="6" max="6" width="10.140625" bestFit="1" customWidth="1"/>
    <col min="7" max="7" width="14" bestFit="1" customWidth="1"/>
    <col min="8" max="8" width="11" customWidth="1"/>
  </cols>
  <sheetData>
    <row r="1" spans="1:9" ht="15" x14ac:dyDescent="0.2">
      <c r="A1" s="173" t="s">
        <v>0</v>
      </c>
      <c r="B1" s="173"/>
      <c r="C1" s="173"/>
      <c r="D1" s="173"/>
      <c r="E1" s="173"/>
      <c r="F1" s="173"/>
      <c r="G1" s="173"/>
      <c r="H1" s="173"/>
      <c r="I1" s="1" t="s">
        <v>594</v>
      </c>
    </row>
    <row r="2" spans="1:9" ht="15" x14ac:dyDescent="0.2">
      <c r="A2" s="173" t="s">
        <v>525</v>
      </c>
      <c r="B2" s="173"/>
      <c r="C2" s="173"/>
      <c r="D2" s="173"/>
      <c r="E2" s="173"/>
      <c r="F2" s="173"/>
      <c r="G2" s="173"/>
      <c r="H2" s="173"/>
    </row>
    <row r="3" spans="1:9" ht="15" x14ac:dyDescent="0.2">
      <c r="A3" s="173" t="s">
        <v>750</v>
      </c>
      <c r="B3" s="173"/>
      <c r="C3" s="173"/>
      <c r="D3" s="173"/>
      <c r="E3" s="173"/>
      <c r="F3" s="173"/>
      <c r="G3" s="173"/>
      <c r="H3" s="173"/>
    </row>
    <row r="4" spans="1:9" s="16" customFormat="1" ht="30" x14ac:dyDescent="0.2">
      <c r="A4" s="14" t="s">
        <v>2</v>
      </c>
      <c r="B4" s="14" t="s">
        <v>3</v>
      </c>
      <c r="C4" s="14" t="s">
        <v>4</v>
      </c>
      <c r="D4" s="14" t="s">
        <v>5</v>
      </c>
      <c r="E4" s="14" t="s">
        <v>6</v>
      </c>
      <c r="F4" s="14" t="s">
        <v>7</v>
      </c>
      <c r="G4" s="14" t="s">
        <v>8</v>
      </c>
      <c r="H4" s="15" t="s">
        <v>593</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x14ac:dyDescent="0.2">
      <c r="A28" s="27">
        <v>1</v>
      </c>
      <c r="B28" s="28" t="s">
        <v>269</v>
      </c>
      <c r="C28" s="28" t="s">
        <v>270</v>
      </c>
      <c r="D28" s="28" t="s">
        <v>263</v>
      </c>
      <c r="E28" s="29">
        <v>200</v>
      </c>
      <c r="F28" s="30">
        <v>201.01759999999999</v>
      </c>
      <c r="G28" s="31">
        <v>4.6691160000000002E-2</v>
      </c>
      <c r="H28" s="19">
        <v>7.4249999999999998</v>
      </c>
    </row>
    <row r="29" spans="1:8" ht="25.5" x14ac:dyDescent="0.2">
      <c r="A29" s="27">
        <v>2</v>
      </c>
      <c r="B29" s="28" t="s">
        <v>485</v>
      </c>
      <c r="C29" s="28" t="s">
        <v>486</v>
      </c>
      <c r="D29" s="28" t="s">
        <v>290</v>
      </c>
      <c r="E29" s="29">
        <v>200</v>
      </c>
      <c r="F29" s="30">
        <v>199.8338</v>
      </c>
      <c r="G29" s="31">
        <v>4.6416190000000003E-2</v>
      </c>
      <c r="H29" s="19">
        <v>7.42</v>
      </c>
    </row>
    <row r="30" spans="1:8" ht="25.5" x14ac:dyDescent="0.2">
      <c r="A30" s="27">
        <v>3</v>
      </c>
      <c r="B30" s="28" t="s">
        <v>65</v>
      </c>
      <c r="C30" s="28" t="s">
        <v>66</v>
      </c>
      <c r="D30" s="28" t="s">
        <v>23</v>
      </c>
      <c r="E30" s="29">
        <v>200</v>
      </c>
      <c r="F30" s="30">
        <v>199.34180000000001</v>
      </c>
      <c r="G30" s="31">
        <v>4.6301910000000002E-2</v>
      </c>
      <c r="H30" s="19">
        <v>6.7350000000000003</v>
      </c>
    </row>
    <row r="31" spans="1:8" x14ac:dyDescent="0.2">
      <c r="A31" s="27">
        <v>4</v>
      </c>
      <c r="B31" s="28" t="s">
        <v>291</v>
      </c>
      <c r="C31" s="28" t="s">
        <v>292</v>
      </c>
      <c r="D31" s="28" t="s">
        <v>263</v>
      </c>
      <c r="E31" s="29">
        <v>150</v>
      </c>
      <c r="F31" s="30">
        <v>151.76714999999999</v>
      </c>
      <c r="G31" s="31">
        <v>3.5251560000000001E-2</v>
      </c>
      <c r="H31" s="19">
        <v>8.1</v>
      </c>
    </row>
    <row r="32" spans="1:8" x14ac:dyDescent="0.2">
      <c r="A32" s="27">
        <v>5</v>
      </c>
      <c r="B32" s="28" t="s">
        <v>264</v>
      </c>
      <c r="C32" s="28" t="s">
        <v>265</v>
      </c>
      <c r="D32" s="28" t="s">
        <v>266</v>
      </c>
      <c r="E32" s="29">
        <v>100</v>
      </c>
      <c r="F32" s="30">
        <v>101.2055</v>
      </c>
      <c r="G32" s="31">
        <v>2.3507400000000001E-2</v>
      </c>
      <c r="H32" s="19">
        <v>7.0750000000000002</v>
      </c>
    </row>
    <row r="33" spans="1:8" x14ac:dyDescent="0.2">
      <c r="A33" s="27">
        <v>6</v>
      </c>
      <c r="B33" s="28" t="s">
        <v>282</v>
      </c>
      <c r="C33" s="28" t="s">
        <v>283</v>
      </c>
      <c r="D33" s="28" t="s">
        <v>263</v>
      </c>
      <c r="E33" s="29">
        <v>100</v>
      </c>
      <c r="F33" s="30">
        <v>101.0681</v>
      </c>
      <c r="G33" s="31">
        <v>2.3475490000000002E-2</v>
      </c>
      <c r="H33" s="19">
        <v>7.3550000000000004</v>
      </c>
    </row>
    <row r="34" spans="1:8" x14ac:dyDescent="0.2">
      <c r="A34" s="27">
        <v>7</v>
      </c>
      <c r="B34" s="28" t="s">
        <v>284</v>
      </c>
      <c r="C34" s="28" t="s">
        <v>285</v>
      </c>
      <c r="D34" s="28" t="s">
        <v>32</v>
      </c>
      <c r="E34" s="29">
        <v>100</v>
      </c>
      <c r="F34" s="30">
        <v>100.95820000000001</v>
      </c>
      <c r="G34" s="31">
        <v>2.3449959999999999E-2</v>
      </c>
      <c r="H34" s="19">
        <v>7.4</v>
      </c>
    </row>
    <row r="35" spans="1:8" ht="25.5" x14ac:dyDescent="0.2">
      <c r="A35" s="27">
        <v>8</v>
      </c>
      <c r="B35" s="28" t="s">
        <v>63</v>
      </c>
      <c r="C35" s="28" t="s">
        <v>64</v>
      </c>
      <c r="D35" s="28" t="s">
        <v>23</v>
      </c>
      <c r="E35" s="29">
        <v>100</v>
      </c>
      <c r="F35" s="30">
        <v>100.13160000000001</v>
      </c>
      <c r="G35" s="31">
        <v>2.3257969999999999E-2</v>
      </c>
      <c r="H35" s="19">
        <v>7.35</v>
      </c>
    </row>
    <row r="36" spans="1:8" x14ac:dyDescent="0.2">
      <c r="A36" s="20"/>
      <c r="B36" s="20"/>
      <c r="C36" s="21" t="s">
        <v>11</v>
      </c>
      <c r="D36" s="20"/>
      <c r="E36" s="20" t="s">
        <v>12</v>
      </c>
      <c r="F36" s="26">
        <v>1155.32375</v>
      </c>
      <c r="G36" s="23">
        <v>0.26835164</v>
      </c>
      <c r="H36" s="19" t="s">
        <v>12</v>
      </c>
    </row>
    <row r="37" spans="1:8" x14ac:dyDescent="0.2">
      <c r="A37" s="20"/>
      <c r="B37" s="20"/>
      <c r="C37" s="24"/>
      <c r="D37" s="20"/>
      <c r="E37" s="20"/>
      <c r="F37" s="25"/>
      <c r="G37" s="25"/>
      <c r="H37" s="19" t="s">
        <v>12</v>
      </c>
    </row>
    <row r="38" spans="1:8" x14ac:dyDescent="0.2">
      <c r="A38" s="20"/>
      <c r="B38" s="20"/>
      <c r="C38" s="21" t="s">
        <v>77</v>
      </c>
      <c r="D38" s="20"/>
      <c r="E38" s="20"/>
      <c r="F38" s="20"/>
      <c r="G38" s="20"/>
      <c r="H38" s="19" t="s">
        <v>12</v>
      </c>
    </row>
    <row r="39" spans="1:8" x14ac:dyDescent="0.2">
      <c r="A39" s="20"/>
      <c r="B39" s="20"/>
      <c r="C39" s="21" t="s">
        <v>11</v>
      </c>
      <c r="D39" s="20"/>
      <c r="E39" s="20" t="s">
        <v>12</v>
      </c>
      <c r="F39" s="22" t="s">
        <v>13</v>
      </c>
      <c r="G39" s="23">
        <v>0</v>
      </c>
      <c r="H39" s="19" t="s">
        <v>12</v>
      </c>
    </row>
    <row r="40" spans="1:8" x14ac:dyDescent="0.2">
      <c r="A40" s="20"/>
      <c r="B40" s="20"/>
      <c r="C40" s="24"/>
      <c r="D40" s="20"/>
      <c r="E40" s="20"/>
      <c r="F40" s="25"/>
      <c r="G40" s="25"/>
      <c r="H40" s="19" t="s">
        <v>12</v>
      </c>
    </row>
    <row r="41" spans="1:8" x14ac:dyDescent="0.2">
      <c r="A41" s="20"/>
      <c r="B41" s="20"/>
      <c r="C41" s="21" t="s">
        <v>78</v>
      </c>
      <c r="D41" s="20"/>
      <c r="E41" s="20"/>
      <c r="F41" s="20"/>
      <c r="G41" s="20"/>
      <c r="H41" s="19" t="s">
        <v>12</v>
      </c>
    </row>
    <row r="42" spans="1:8" x14ac:dyDescent="0.2">
      <c r="A42" s="27">
        <v>1</v>
      </c>
      <c r="B42" s="28" t="s">
        <v>98</v>
      </c>
      <c r="C42" s="28" t="s">
        <v>99</v>
      </c>
      <c r="D42" s="28" t="s">
        <v>81</v>
      </c>
      <c r="E42" s="29">
        <v>1500000</v>
      </c>
      <c r="F42" s="30">
        <v>1569.8820000000001</v>
      </c>
      <c r="G42" s="31">
        <v>0.36464273000000003</v>
      </c>
      <c r="H42" s="19">
        <v>6.5004</v>
      </c>
    </row>
    <row r="43" spans="1:8" x14ac:dyDescent="0.2">
      <c r="A43" s="27">
        <v>2</v>
      </c>
      <c r="B43" s="28" t="s">
        <v>92</v>
      </c>
      <c r="C43" s="28" t="s">
        <v>93</v>
      </c>
      <c r="D43" s="28" t="s">
        <v>81</v>
      </c>
      <c r="E43" s="29">
        <v>500000</v>
      </c>
      <c r="F43" s="30">
        <v>522.32650000000001</v>
      </c>
      <c r="G43" s="31">
        <v>0.12132285</v>
      </c>
      <c r="H43" s="19">
        <v>5.9659000000000004</v>
      </c>
    </row>
    <row r="44" spans="1:8" x14ac:dyDescent="0.2">
      <c r="A44" s="27">
        <v>3</v>
      </c>
      <c r="B44" s="28" t="s">
        <v>526</v>
      </c>
      <c r="C44" s="28" t="s">
        <v>527</v>
      </c>
      <c r="D44" s="28" t="s">
        <v>81</v>
      </c>
      <c r="E44" s="29">
        <v>500000</v>
      </c>
      <c r="F44" s="30">
        <v>500.714</v>
      </c>
      <c r="G44" s="31">
        <v>0.11630283</v>
      </c>
      <c r="H44" s="19">
        <v>5.7084999999999999</v>
      </c>
    </row>
    <row r="45" spans="1:8" ht="25.5" x14ac:dyDescent="0.2">
      <c r="A45" s="27">
        <v>4</v>
      </c>
      <c r="B45" s="28" t="s">
        <v>474</v>
      </c>
      <c r="C45" s="28" t="s">
        <v>475</v>
      </c>
      <c r="D45" s="28" t="s">
        <v>81</v>
      </c>
      <c r="E45" s="29">
        <v>230000</v>
      </c>
      <c r="F45" s="30">
        <v>241.65180000000001</v>
      </c>
      <c r="G45" s="31">
        <v>5.6129419999999999E-2</v>
      </c>
      <c r="H45" s="19">
        <v>6.7759999999999998</v>
      </c>
    </row>
    <row r="46" spans="1:8" x14ac:dyDescent="0.2">
      <c r="A46" s="27">
        <v>5</v>
      </c>
      <c r="B46" s="28" t="s">
        <v>159</v>
      </c>
      <c r="C46" s="28" t="s">
        <v>160</v>
      </c>
      <c r="D46" s="28" t="s">
        <v>81</v>
      </c>
      <c r="E46" s="29">
        <v>100000</v>
      </c>
      <c r="F46" s="30">
        <v>103.583</v>
      </c>
      <c r="G46" s="31">
        <v>2.405964E-2</v>
      </c>
      <c r="H46" s="19">
        <v>6.1</v>
      </c>
    </row>
    <row r="47" spans="1:8" x14ac:dyDescent="0.2">
      <c r="A47" s="20"/>
      <c r="B47" s="20"/>
      <c r="C47" s="21" t="s">
        <v>11</v>
      </c>
      <c r="D47" s="20"/>
      <c r="E47" s="20" t="s">
        <v>12</v>
      </c>
      <c r="F47" s="26">
        <v>2938.1572999999999</v>
      </c>
      <c r="G47" s="23">
        <v>0.68245747000000001</v>
      </c>
      <c r="H47" s="19" t="s">
        <v>12</v>
      </c>
    </row>
    <row r="48" spans="1:8" x14ac:dyDescent="0.2">
      <c r="A48" s="20"/>
      <c r="B48" s="20"/>
      <c r="C48" s="24"/>
      <c r="D48" s="20"/>
      <c r="E48" s="20"/>
      <c r="F48" s="25"/>
      <c r="G48" s="25"/>
      <c r="H48" s="19" t="s">
        <v>12</v>
      </c>
    </row>
    <row r="49" spans="1:8" x14ac:dyDescent="0.2">
      <c r="A49" s="20"/>
      <c r="B49" s="20"/>
      <c r="C49" s="21" t="s">
        <v>100</v>
      </c>
      <c r="D49" s="20"/>
      <c r="E49" s="20"/>
      <c r="F49" s="25"/>
      <c r="G49" s="25"/>
      <c r="H49" s="19" t="s">
        <v>12</v>
      </c>
    </row>
    <row r="50" spans="1:8" x14ac:dyDescent="0.2">
      <c r="A50" s="20"/>
      <c r="B50" s="20"/>
      <c r="C50" s="21" t="s">
        <v>11</v>
      </c>
      <c r="D50" s="20"/>
      <c r="E50" s="20" t="s">
        <v>12</v>
      </c>
      <c r="F50" s="22" t="s">
        <v>13</v>
      </c>
      <c r="G50" s="23">
        <v>0</v>
      </c>
      <c r="H50" s="19" t="s">
        <v>12</v>
      </c>
    </row>
    <row r="51" spans="1:8" x14ac:dyDescent="0.2">
      <c r="A51" s="20"/>
      <c r="B51" s="20"/>
      <c r="C51" s="24"/>
      <c r="D51" s="20"/>
      <c r="E51" s="20"/>
      <c r="F51" s="25"/>
      <c r="G51" s="25"/>
      <c r="H51" s="19" t="s">
        <v>12</v>
      </c>
    </row>
    <row r="52" spans="1:8" x14ac:dyDescent="0.2">
      <c r="A52" s="20"/>
      <c r="B52" s="20"/>
      <c r="C52" s="21" t="s">
        <v>101</v>
      </c>
      <c r="D52" s="20"/>
      <c r="E52" s="20"/>
      <c r="F52" s="26">
        <v>4093.4810499999999</v>
      </c>
      <c r="G52" s="23">
        <v>0.95080911000000001</v>
      </c>
      <c r="H52" s="19" t="s">
        <v>12</v>
      </c>
    </row>
    <row r="53" spans="1:8" x14ac:dyDescent="0.2">
      <c r="A53" s="20"/>
      <c r="B53" s="20"/>
      <c r="C53" s="24"/>
      <c r="D53" s="20"/>
      <c r="E53" s="20"/>
      <c r="F53" s="25"/>
      <c r="G53" s="25"/>
      <c r="H53" s="19" t="s">
        <v>12</v>
      </c>
    </row>
    <row r="54" spans="1:8" x14ac:dyDescent="0.2">
      <c r="A54" s="20"/>
      <c r="B54" s="20"/>
      <c r="C54" s="21" t="s">
        <v>102</v>
      </c>
      <c r="D54" s="20"/>
      <c r="E54" s="20"/>
      <c r="F54" s="25"/>
      <c r="G54" s="25"/>
      <c r="H54" s="19" t="s">
        <v>12</v>
      </c>
    </row>
    <row r="55" spans="1:8" x14ac:dyDescent="0.2">
      <c r="A55" s="20"/>
      <c r="B55" s="20"/>
      <c r="C55" s="21" t="s">
        <v>103</v>
      </c>
      <c r="D55" s="20"/>
      <c r="E55" s="20"/>
      <c r="F55" s="25"/>
      <c r="G55" s="25"/>
      <c r="H55" s="19" t="s">
        <v>12</v>
      </c>
    </row>
    <row r="56" spans="1:8" x14ac:dyDescent="0.2">
      <c r="A56" s="20"/>
      <c r="B56" s="20"/>
      <c r="C56" s="21" t="s">
        <v>11</v>
      </c>
      <c r="D56" s="20"/>
      <c r="E56" s="20" t="s">
        <v>12</v>
      </c>
      <c r="F56" s="22" t="s">
        <v>13</v>
      </c>
      <c r="G56" s="23">
        <v>0</v>
      </c>
      <c r="H56" s="19" t="s">
        <v>12</v>
      </c>
    </row>
    <row r="57" spans="1:8" x14ac:dyDescent="0.2">
      <c r="A57" s="20"/>
      <c r="B57" s="20"/>
      <c r="C57" s="24"/>
      <c r="D57" s="20"/>
      <c r="E57" s="20"/>
      <c r="F57" s="25"/>
      <c r="G57" s="25"/>
      <c r="H57" s="19" t="s">
        <v>12</v>
      </c>
    </row>
    <row r="58" spans="1:8" x14ac:dyDescent="0.2">
      <c r="A58" s="20"/>
      <c r="B58" s="20"/>
      <c r="C58" s="21" t="s">
        <v>104</v>
      </c>
      <c r="D58" s="20"/>
      <c r="E58" s="20"/>
      <c r="F58" s="25"/>
      <c r="G58" s="25"/>
      <c r="H58" s="19" t="s">
        <v>12</v>
      </c>
    </row>
    <row r="59" spans="1:8" x14ac:dyDescent="0.2">
      <c r="A59" s="20"/>
      <c r="B59" s="20"/>
      <c r="C59" s="21" t="s">
        <v>11</v>
      </c>
      <c r="D59" s="20"/>
      <c r="E59" s="20" t="s">
        <v>12</v>
      </c>
      <c r="F59" s="22" t="s">
        <v>13</v>
      </c>
      <c r="G59" s="23">
        <v>0</v>
      </c>
      <c r="H59" s="19" t="s">
        <v>12</v>
      </c>
    </row>
    <row r="60" spans="1:8" x14ac:dyDescent="0.2">
      <c r="A60" s="20"/>
      <c r="B60" s="20"/>
      <c r="C60" s="24"/>
      <c r="D60" s="20"/>
      <c r="E60" s="20"/>
      <c r="F60" s="25"/>
      <c r="G60" s="25"/>
      <c r="H60" s="19" t="s">
        <v>12</v>
      </c>
    </row>
    <row r="61" spans="1:8" x14ac:dyDescent="0.2">
      <c r="A61" s="20"/>
      <c r="B61" s="20"/>
      <c r="C61" s="21" t="s">
        <v>105</v>
      </c>
      <c r="D61" s="20"/>
      <c r="E61" s="20"/>
      <c r="F61" s="25"/>
      <c r="G61" s="25"/>
      <c r="H61" s="19" t="s">
        <v>12</v>
      </c>
    </row>
    <row r="62" spans="1:8" x14ac:dyDescent="0.2">
      <c r="A62" s="20"/>
      <c r="B62" s="20"/>
      <c r="C62" s="21" t="s">
        <v>11</v>
      </c>
      <c r="D62" s="20"/>
      <c r="E62" s="20" t="s">
        <v>12</v>
      </c>
      <c r="F62" s="22" t="s">
        <v>13</v>
      </c>
      <c r="G62" s="23">
        <v>0</v>
      </c>
      <c r="H62" s="19" t="s">
        <v>12</v>
      </c>
    </row>
    <row r="63" spans="1:8" x14ac:dyDescent="0.2">
      <c r="A63" s="20"/>
      <c r="B63" s="20"/>
      <c r="C63" s="24"/>
      <c r="D63" s="20"/>
      <c r="E63" s="20"/>
      <c r="F63" s="25"/>
      <c r="G63" s="25"/>
      <c r="H63" s="19" t="s">
        <v>12</v>
      </c>
    </row>
    <row r="64" spans="1:8" x14ac:dyDescent="0.2">
      <c r="A64" s="20"/>
      <c r="B64" s="20"/>
      <c r="C64" s="21" t="s">
        <v>106</v>
      </c>
      <c r="D64" s="20"/>
      <c r="E64" s="20"/>
      <c r="F64" s="25"/>
      <c r="G64" s="25"/>
      <c r="H64" s="19" t="s">
        <v>12</v>
      </c>
    </row>
    <row r="65" spans="1:17" x14ac:dyDescent="0.2">
      <c r="A65" s="27">
        <v>1</v>
      </c>
      <c r="B65" s="28"/>
      <c r="C65" s="28" t="s">
        <v>107</v>
      </c>
      <c r="D65" s="28"/>
      <c r="E65" s="32"/>
      <c r="F65" s="30">
        <v>136.43892399999999</v>
      </c>
      <c r="G65" s="31">
        <v>3.1691209999999997E-2</v>
      </c>
      <c r="H65" s="19">
        <v>5.07</v>
      </c>
    </row>
    <row r="66" spans="1:17" x14ac:dyDescent="0.2">
      <c r="A66" s="20"/>
      <c r="B66" s="20"/>
      <c r="C66" s="21" t="s">
        <v>11</v>
      </c>
      <c r="D66" s="20"/>
      <c r="E66" s="20" t="s">
        <v>12</v>
      </c>
      <c r="F66" s="26">
        <v>136.43892399999999</v>
      </c>
      <c r="G66" s="23">
        <v>3.1691209999999997E-2</v>
      </c>
      <c r="H66" s="19" t="s">
        <v>12</v>
      </c>
    </row>
    <row r="67" spans="1:17" x14ac:dyDescent="0.2">
      <c r="A67" s="20"/>
      <c r="B67" s="20"/>
      <c r="C67" s="24"/>
      <c r="D67" s="20"/>
      <c r="E67" s="20"/>
      <c r="F67" s="25"/>
      <c r="G67" s="25"/>
      <c r="H67" s="19" t="s">
        <v>12</v>
      </c>
    </row>
    <row r="68" spans="1:17" x14ac:dyDescent="0.2">
      <c r="A68" s="20"/>
      <c r="B68" s="20"/>
      <c r="C68" s="21" t="s">
        <v>108</v>
      </c>
      <c r="D68" s="20"/>
      <c r="E68" s="20"/>
      <c r="F68" s="26">
        <v>136.43892399999999</v>
      </c>
      <c r="G68" s="23">
        <v>3.1691209999999997E-2</v>
      </c>
      <c r="H68" s="19" t="s">
        <v>12</v>
      </c>
    </row>
    <row r="69" spans="1:17" x14ac:dyDescent="0.2">
      <c r="A69" s="20"/>
      <c r="B69" s="20"/>
      <c r="C69" s="25"/>
      <c r="D69" s="20"/>
      <c r="E69" s="20"/>
      <c r="F69" s="20"/>
      <c r="G69" s="20"/>
      <c r="H69" s="19" t="s">
        <v>12</v>
      </c>
    </row>
    <row r="70" spans="1:17" x14ac:dyDescent="0.2">
      <c r="A70" s="20"/>
      <c r="B70" s="20"/>
      <c r="C70" s="21" t="s">
        <v>109</v>
      </c>
      <c r="D70" s="20"/>
      <c r="E70" s="20"/>
      <c r="F70" s="20"/>
      <c r="G70" s="20"/>
      <c r="H70" s="19" t="s">
        <v>12</v>
      </c>
    </row>
    <row r="71" spans="1:17" x14ac:dyDescent="0.2">
      <c r="A71" s="20"/>
      <c r="B71" s="20"/>
      <c r="C71" s="21" t="s">
        <v>110</v>
      </c>
      <c r="D71" s="20"/>
      <c r="E71" s="20"/>
      <c r="F71" s="20"/>
      <c r="G71" s="20"/>
      <c r="H71" s="19" t="s">
        <v>12</v>
      </c>
    </row>
    <row r="72" spans="1:17" x14ac:dyDescent="0.2">
      <c r="A72" s="20"/>
      <c r="B72" s="20"/>
      <c r="C72" s="21" t="s">
        <v>11</v>
      </c>
      <c r="D72" s="20"/>
      <c r="E72" s="20" t="s">
        <v>12</v>
      </c>
      <c r="F72" s="22" t="s">
        <v>13</v>
      </c>
      <c r="G72" s="23">
        <v>0</v>
      </c>
      <c r="H72" s="19" t="s">
        <v>12</v>
      </c>
    </row>
    <row r="73" spans="1:17" x14ac:dyDescent="0.2">
      <c r="A73" s="17"/>
      <c r="B73" s="17"/>
      <c r="C73" s="75"/>
      <c r="D73" s="17"/>
      <c r="E73" s="17"/>
      <c r="F73" s="42"/>
      <c r="G73" s="42"/>
      <c r="H73" s="19" t="s">
        <v>12</v>
      </c>
    </row>
    <row r="74" spans="1:17" x14ac:dyDescent="0.2">
      <c r="A74" s="17"/>
      <c r="B74" s="17"/>
      <c r="C74" s="18" t="s">
        <v>608</v>
      </c>
      <c r="D74" s="17"/>
      <c r="E74" s="17"/>
      <c r="F74" s="42"/>
      <c r="G74" s="42"/>
      <c r="H74" s="19" t="s">
        <v>12</v>
      </c>
      <c r="K74" s="55"/>
      <c r="L74" s="55"/>
      <c r="M74" s="55"/>
      <c r="N74" s="55"/>
      <c r="O74" s="76"/>
      <c r="P74" s="76"/>
      <c r="Q74" s="76"/>
    </row>
    <row r="75" spans="1:17" ht="25.5" x14ac:dyDescent="0.2">
      <c r="A75" s="69">
        <v>1</v>
      </c>
      <c r="B75" s="70" t="s">
        <v>111</v>
      </c>
      <c r="C75" s="70" t="s">
        <v>112</v>
      </c>
      <c r="D75" s="70"/>
      <c r="E75" s="77">
        <v>112.994</v>
      </c>
      <c r="F75" s="72">
        <v>12.678136629999999</v>
      </c>
      <c r="G75" s="73">
        <v>2.9448E-3</v>
      </c>
      <c r="H75" s="19">
        <v>9.9999999999999995E-7</v>
      </c>
    </row>
    <row r="76" spans="1:17" x14ac:dyDescent="0.2">
      <c r="A76" s="17"/>
      <c r="B76" s="17"/>
      <c r="C76" s="18" t="s">
        <v>11</v>
      </c>
      <c r="D76" s="17"/>
      <c r="E76" s="17" t="s">
        <v>12</v>
      </c>
      <c r="F76" s="78">
        <f>SUM(F75)</f>
        <v>12.678136629999999</v>
      </c>
      <c r="G76" s="79">
        <f>SUM(G75)</f>
        <v>2.9448E-3</v>
      </c>
      <c r="H76" s="19" t="s">
        <v>12</v>
      </c>
    </row>
    <row r="77" spans="1:17" x14ac:dyDescent="0.2">
      <c r="A77" s="20"/>
      <c r="B77" s="20"/>
      <c r="C77" s="24"/>
      <c r="D77" s="20"/>
      <c r="E77" s="20"/>
      <c r="F77" s="25"/>
      <c r="G77" s="25"/>
      <c r="H77" s="19" t="s">
        <v>12</v>
      </c>
    </row>
    <row r="78" spans="1:17" x14ac:dyDescent="0.2">
      <c r="A78" s="20"/>
      <c r="B78" s="20"/>
      <c r="C78" s="21" t="s">
        <v>113</v>
      </c>
      <c r="D78" s="20"/>
      <c r="E78" s="20"/>
      <c r="F78" s="20"/>
      <c r="G78" s="20"/>
      <c r="H78" s="19" t="s">
        <v>12</v>
      </c>
    </row>
    <row r="79" spans="1:17" x14ac:dyDescent="0.2">
      <c r="A79" s="20"/>
      <c r="B79" s="20"/>
      <c r="C79" s="21" t="s">
        <v>114</v>
      </c>
      <c r="D79" s="20"/>
      <c r="E79" s="20"/>
      <c r="F79" s="20"/>
      <c r="G79" s="20"/>
      <c r="H79" s="19" t="s">
        <v>12</v>
      </c>
    </row>
    <row r="80" spans="1:17" x14ac:dyDescent="0.2">
      <c r="A80" s="20"/>
      <c r="B80" s="20"/>
      <c r="C80" s="21" t="s">
        <v>11</v>
      </c>
      <c r="D80" s="20"/>
      <c r="E80" s="20" t="s">
        <v>12</v>
      </c>
      <c r="F80" s="22" t="s">
        <v>13</v>
      </c>
      <c r="G80" s="23">
        <v>0</v>
      </c>
      <c r="H80" s="19" t="s">
        <v>12</v>
      </c>
    </row>
    <row r="81" spans="1:8" x14ac:dyDescent="0.2">
      <c r="A81" s="20"/>
      <c r="B81" s="20"/>
      <c r="C81" s="24"/>
      <c r="D81" s="20"/>
      <c r="E81" s="20"/>
      <c r="F81" s="25"/>
      <c r="G81" s="25"/>
      <c r="H81" s="19" t="s">
        <v>12</v>
      </c>
    </row>
    <row r="82" spans="1:8" x14ac:dyDescent="0.2">
      <c r="A82" s="20"/>
      <c r="B82" s="20"/>
      <c r="C82" s="21" t="s">
        <v>115</v>
      </c>
      <c r="D82" s="20"/>
      <c r="E82" s="20"/>
      <c r="F82" s="25"/>
      <c r="G82" s="25"/>
      <c r="H82" s="19" t="s">
        <v>12</v>
      </c>
    </row>
    <row r="83" spans="1:8" x14ac:dyDescent="0.2">
      <c r="A83" s="20"/>
      <c r="B83" s="20"/>
      <c r="C83" s="21" t="s">
        <v>11</v>
      </c>
      <c r="D83" s="20"/>
      <c r="E83" s="20" t="s">
        <v>12</v>
      </c>
      <c r="F83" s="22" t="s">
        <v>13</v>
      </c>
      <c r="G83" s="23">
        <v>0</v>
      </c>
      <c r="H83" s="19" t="s">
        <v>12</v>
      </c>
    </row>
    <row r="84" spans="1:8" x14ac:dyDescent="0.2">
      <c r="A84" s="20"/>
      <c r="B84" s="28"/>
      <c r="C84" s="28"/>
      <c r="D84" s="21"/>
      <c r="E84" s="20"/>
      <c r="F84" s="28"/>
      <c r="G84" s="32"/>
      <c r="H84" s="19" t="s">
        <v>12</v>
      </c>
    </row>
    <row r="85" spans="1:8" x14ac:dyDescent="0.2">
      <c r="A85" s="32"/>
      <c r="B85" s="28"/>
      <c r="C85" s="28" t="s">
        <v>116</v>
      </c>
      <c r="D85" s="28"/>
      <c r="E85" s="32"/>
      <c r="F85" s="30">
        <f>62.66250063+0.000599710000157356</f>
        <v>62.663100340000156</v>
      </c>
      <c r="G85" s="31">
        <v>1.4554869999999999E-2</v>
      </c>
      <c r="H85" s="19" t="s">
        <v>12</v>
      </c>
    </row>
    <row r="86" spans="1:8" x14ac:dyDescent="0.2">
      <c r="A86" s="24"/>
      <c r="B86" s="24"/>
      <c r="C86" s="21" t="s">
        <v>117</v>
      </c>
      <c r="D86" s="25"/>
      <c r="E86" s="25"/>
      <c r="F86" s="26">
        <f>4305.26061126+0.000599710000157356</f>
        <v>4305.2612109699994</v>
      </c>
      <c r="G86" s="33">
        <v>0.99999998999999995</v>
      </c>
      <c r="H86" s="19" t="s">
        <v>12</v>
      </c>
    </row>
    <row r="87" spans="1:8" x14ac:dyDescent="0.2">
      <c r="A87" s="34"/>
      <c r="B87" s="34"/>
      <c r="C87" s="34"/>
      <c r="D87" s="35"/>
      <c r="E87" s="35"/>
      <c r="F87" s="35"/>
      <c r="G87" s="35"/>
    </row>
    <row r="88" spans="1:8" x14ac:dyDescent="0.2">
      <c r="A88" s="36"/>
      <c r="B88" s="169" t="s">
        <v>609</v>
      </c>
      <c r="C88" s="169"/>
      <c r="D88" s="169"/>
      <c r="E88" s="169"/>
      <c r="F88" s="169"/>
      <c r="G88" s="169"/>
      <c r="H88" s="169"/>
    </row>
    <row r="89" spans="1:8" x14ac:dyDescent="0.2">
      <c r="A89" s="36"/>
      <c r="B89" s="169" t="s">
        <v>610</v>
      </c>
      <c r="C89" s="169"/>
      <c r="D89" s="169"/>
      <c r="E89" s="169"/>
      <c r="F89" s="169"/>
      <c r="G89" s="169"/>
      <c r="H89" s="169"/>
    </row>
    <row r="90" spans="1:8" x14ac:dyDescent="0.2">
      <c r="A90" s="36"/>
      <c r="B90" s="169" t="s">
        <v>611</v>
      </c>
      <c r="C90" s="169"/>
      <c r="D90" s="169"/>
      <c r="E90" s="169"/>
      <c r="F90" s="169"/>
      <c r="G90" s="169"/>
      <c r="H90" s="169"/>
    </row>
    <row r="91" spans="1:8" x14ac:dyDescent="0.2">
      <c r="A91" s="38"/>
      <c r="B91" s="38"/>
      <c r="C91" s="38"/>
      <c r="D91" s="39"/>
      <c r="E91" s="39"/>
      <c r="F91" s="39"/>
      <c r="G91" s="39"/>
    </row>
    <row r="92" spans="1:8" x14ac:dyDescent="0.2">
      <c r="A92" s="36"/>
      <c r="B92" s="170" t="s">
        <v>118</v>
      </c>
      <c r="C92" s="171"/>
      <c r="D92" s="172"/>
      <c r="E92" s="40"/>
      <c r="F92" s="41"/>
      <c r="G92" s="41"/>
    </row>
    <row r="93" spans="1:8" ht="25.5" x14ac:dyDescent="0.2">
      <c r="A93" s="36"/>
      <c r="B93" s="161" t="s">
        <v>119</v>
      </c>
      <c r="C93" s="162"/>
      <c r="D93" s="18" t="s">
        <v>636</v>
      </c>
      <c r="E93" s="40"/>
      <c r="F93" s="41"/>
      <c r="G93" s="41"/>
    </row>
    <row r="94" spans="1:8" x14ac:dyDescent="0.2">
      <c r="A94" s="36"/>
      <c r="B94" s="161" t="s">
        <v>121</v>
      </c>
      <c r="C94" s="162"/>
      <c r="D94" s="18" t="s">
        <v>120</v>
      </c>
      <c r="E94" s="40"/>
      <c r="F94" s="41"/>
      <c r="G94" s="41"/>
    </row>
    <row r="95" spans="1:8" x14ac:dyDescent="0.2">
      <c r="A95" s="36"/>
      <c r="B95" s="161" t="s">
        <v>122</v>
      </c>
      <c r="C95" s="162"/>
      <c r="D95" s="42" t="s">
        <v>12</v>
      </c>
      <c r="E95" s="40"/>
      <c r="F95" s="41"/>
      <c r="G95" s="41"/>
    </row>
    <row r="96" spans="1:8" x14ac:dyDescent="0.2">
      <c r="A96" s="43"/>
      <c r="B96" s="44" t="s">
        <v>12</v>
      </c>
      <c r="C96" s="44" t="s">
        <v>612</v>
      </c>
      <c r="D96" s="44" t="s">
        <v>123</v>
      </c>
      <c r="E96" s="43"/>
      <c r="F96" s="43"/>
      <c r="G96" s="43"/>
    </row>
    <row r="97" spans="1:14" x14ac:dyDescent="0.2">
      <c r="A97" s="43"/>
      <c r="B97" s="45" t="s">
        <v>124</v>
      </c>
      <c r="C97" s="46">
        <v>45808</v>
      </c>
      <c r="D97" s="46">
        <v>45823</v>
      </c>
      <c r="E97" s="43"/>
      <c r="F97" s="43"/>
      <c r="G97" s="43"/>
    </row>
    <row r="98" spans="1:14" x14ac:dyDescent="0.2">
      <c r="A98" s="47"/>
      <c r="B98" s="28" t="s">
        <v>125</v>
      </c>
      <c r="C98" s="48">
        <v>77.3048</v>
      </c>
      <c r="D98" s="48">
        <v>77.190600000000003</v>
      </c>
      <c r="E98" s="47"/>
      <c r="F98" s="49"/>
      <c r="G98" s="50"/>
    </row>
    <row r="99" spans="1:14" ht="25.5" x14ac:dyDescent="0.2">
      <c r="A99" s="47"/>
      <c r="B99" s="28" t="s">
        <v>738</v>
      </c>
      <c r="C99" s="48">
        <v>27.591899999999999</v>
      </c>
      <c r="D99" s="48">
        <v>27.150099999999998</v>
      </c>
      <c r="E99" s="47"/>
      <c r="F99" s="49"/>
      <c r="G99" s="50"/>
    </row>
    <row r="100" spans="1:14" ht="25.5" x14ac:dyDescent="0.2">
      <c r="A100" s="47"/>
      <c r="B100" s="28" t="s">
        <v>740</v>
      </c>
      <c r="C100" s="48">
        <v>15.619199999999999</v>
      </c>
      <c r="D100" s="48">
        <v>15.5962</v>
      </c>
      <c r="E100" s="47"/>
      <c r="F100" s="49"/>
      <c r="G100" s="50"/>
    </row>
    <row r="101" spans="1:14" x14ac:dyDescent="0.2">
      <c r="A101" s="47"/>
      <c r="B101" s="28" t="s">
        <v>126</v>
      </c>
      <c r="C101" s="48">
        <v>69.273899999999998</v>
      </c>
      <c r="D101" s="48">
        <v>69.150599999999997</v>
      </c>
      <c r="E101" s="47"/>
      <c r="F101" s="49"/>
      <c r="G101" s="50"/>
    </row>
    <row r="102" spans="1:14" x14ac:dyDescent="0.2">
      <c r="A102" s="47"/>
      <c r="B102" s="28" t="s">
        <v>171</v>
      </c>
      <c r="C102" s="48">
        <v>23.660799999999998</v>
      </c>
      <c r="D102" s="48">
        <v>23.6187</v>
      </c>
      <c r="E102" s="47"/>
      <c r="F102" s="49"/>
      <c r="G102" s="50"/>
    </row>
    <row r="103" spans="1:14" ht="25.5" x14ac:dyDescent="0.2">
      <c r="A103" s="47"/>
      <c r="B103" s="70" t="s">
        <v>713</v>
      </c>
      <c r="C103" s="48">
        <v>13.573499999999999</v>
      </c>
      <c r="D103" s="48">
        <v>13.3513</v>
      </c>
      <c r="E103" s="47"/>
      <c r="F103" s="49"/>
      <c r="G103" s="50"/>
    </row>
    <row r="104" spans="1:14" ht="25.5" x14ac:dyDescent="0.2">
      <c r="A104" s="47"/>
      <c r="B104" s="28" t="s">
        <v>742</v>
      </c>
      <c r="C104" s="48">
        <v>13.6137</v>
      </c>
      <c r="D104" s="48">
        <v>13.589499999999999</v>
      </c>
      <c r="E104" s="47"/>
      <c r="F104" s="49"/>
      <c r="G104" s="50"/>
    </row>
    <row r="105" spans="1:14" ht="25.5" x14ac:dyDescent="0.2">
      <c r="A105" s="47"/>
      <c r="B105" s="28" t="s">
        <v>743</v>
      </c>
      <c r="C105" s="48">
        <v>13.7639</v>
      </c>
      <c r="D105" s="48">
        <v>13.7394</v>
      </c>
      <c r="E105" s="47"/>
      <c r="F105" s="49"/>
      <c r="G105" s="50"/>
    </row>
    <row r="106" spans="1:14" x14ac:dyDescent="0.2">
      <c r="A106" s="47"/>
      <c r="B106" s="47"/>
      <c r="C106" s="47"/>
      <c r="D106" s="47"/>
      <c r="E106" s="47"/>
      <c r="F106" s="47"/>
      <c r="G106" s="47"/>
    </row>
    <row r="107" spans="1:14" x14ac:dyDescent="0.2">
      <c r="A107" s="47"/>
      <c r="B107" s="164" t="s">
        <v>714</v>
      </c>
      <c r="C107" s="165"/>
      <c r="D107" s="21" t="s">
        <v>12</v>
      </c>
      <c r="E107" s="47"/>
      <c r="F107" s="47"/>
      <c r="G107" s="47"/>
    </row>
    <row r="108" spans="1:14" x14ac:dyDescent="0.2">
      <c r="A108" s="47"/>
      <c r="B108" s="80" t="s">
        <v>124</v>
      </c>
      <c r="C108" s="81" t="s">
        <v>127</v>
      </c>
      <c r="D108" s="81" t="s">
        <v>128</v>
      </c>
      <c r="E108" s="47"/>
      <c r="F108" s="47"/>
      <c r="G108" s="47"/>
    </row>
    <row r="109" spans="1:14" ht="25.5" x14ac:dyDescent="0.2">
      <c r="A109" s="47"/>
      <c r="B109" s="28" t="s">
        <v>738</v>
      </c>
      <c r="C109" s="82">
        <v>0.40100000000000002</v>
      </c>
      <c r="D109" s="32" t="s">
        <v>129</v>
      </c>
      <c r="E109" s="47"/>
      <c r="F109" s="49"/>
      <c r="G109" s="50"/>
    </row>
    <row r="110" spans="1:14" ht="25.5" x14ac:dyDescent="0.2">
      <c r="A110" s="47"/>
      <c r="B110" s="70" t="s">
        <v>713</v>
      </c>
      <c r="C110" s="82">
        <v>0.19800000000000001</v>
      </c>
      <c r="D110" s="82">
        <v>0.19800000000000001</v>
      </c>
      <c r="E110" s="47"/>
      <c r="F110" s="49"/>
      <c r="G110" s="50"/>
    </row>
    <row r="111" spans="1:14" x14ac:dyDescent="0.2">
      <c r="A111" s="43"/>
      <c r="B111" s="56"/>
      <c r="C111" s="56"/>
      <c r="D111" s="56"/>
      <c r="E111" s="43"/>
      <c r="F111" s="43"/>
      <c r="G111" s="43"/>
    </row>
    <row r="112" spans="1:14" s="57" customFormat="1" ht="15" x14ac:dyDescent="0.25">
      <c r="A112" s="98"/>
      <c r="B112" s="161" t="s">
        <v>625</v>
      </c>
      <c r="C112" s="162"/>
      <c r="D112" s="18" t="s">
        <v>120</v>
      </c>
      <c r="E112" s="98"/>
      <c r="F112" s="37"/>
      <c r="G112" s="98"/>
      <c r="I112" s="99"/>
      <c r="J112" s="100"/>
      <c r="K112" s="100"/>
      <c r="L112" s="100"/>
      <c r="M112" s="100"/>
      <c r="N112"/>
    </row>
    <row r="113" spans="1:14" ht="26.25" customHeight="1" x14ac:dyDescent="0.25">
      <c r="A113" s="43"/>
      <c r="B113" s="161" t="s">
        <v>626</v>
      </c>
      <c r="C113" s="162"/>
      <c r="D113" s="18" t="s">
        <v>120</v>
      </c>
      <c r="E113" s="54"/>
      <c r="F113" s="43"/>
      <c r="G113" s="43"/>
      <c r="I113" s="101"/>
    </row>
    <row r="114" spans="1:14" ht="27.75" customHeight="1" x14ac:dyDescent="0.25">
      <c r="A114" s="43"/>
      <c r="B114" s="161" t="s">
        <v>627</v>
      </c>
      <c r="C114" s="162"/>
      <c r="D114" s="18" t="s">
        <v>120</v>
      </c>
      <c r="E114" s="54"/>
      <c r="F114" s="43"/>
      <c r="G114" s="43"/>
      <c r="I114" s="102"/>
    </row>
    <row r="115" spans="1:14" x14ac:dyDescent="0.2">
      <c r="A115" s="43"/>
      <c r="B115" s="161" t="s">
        <v>628</v>
      </c>
      <c r="C115" s="162"/>
      <c r="D115" s="18" t="s">
        <v>120</v>
      </c>
      <c r="E115" s="54"/>
      <c r="F115" s="43"/>
      <c r="G115" s="43"/>
    </row>
    <row r="116" spans="1:14" x14ac:dyDescent="0.2">
      <c r="A116" s="56"/>
      <c r="B116" s="56"/>
      <c r="C116" s="56"/>
      <c r="D116" s="56"/>
      <c r="E116" s="56"/>
      <c r="F116" s="56"/>
      <c r="G116" s="56"/>
    </row>
    <row r="117" spans="1:14" s="57" customFormat="1" ht="15" x14ac:dyDescent="0.25">
      <c r="B117" s="230" t="s">
        <v>745</v>
      </c>
      <c r="C117" s="231"/>
      <c r="D117" s="231"/>
      <c r="E117" s="231"/>
      <c r="F117" s="231"/>
      <c r="G117" s="232"/>
      <c r="I117"/>
      <c r="J117" s="100"/>
      <c r="K117" s="100"/>
      <c r="L117" s="100"/>
      <c r="M117" s="100"/>
      <c r="N117"/>
    </row>
    <row r="118" spans="1:14" s="57" customFormat="1" ht="45" customHeight="1" x14ac:dyDescent="0.25">
      <c r="B118" s="103" t="s">
        <v>638</v>
      </c>
      <c r="C118" s="103" t="s">
        <v>639</v>
      </c>
      <c r="D118" s="233" t="s">
        <v>640</v>
      </c>
      <c r="E118" s="234"/>
      <c r="F118" s="235" t="s">
        <v>641</v>
      </c>
      <c r="G118" s="235"/>
      <c r="H118" s="104"/>
      <c r="I118"/>
      <c r="J118" s="100"/>
      <c r="K118" s="100"/>
      <c r="L118" s="100"/>
      <c r="M118" s="100"/>
      <c r="N118"/>
    </row>
    <row r="119" spans="1:14" s="57" customFormat="1" ht="25.5" x14ac:dyDescent="0.25">
      <c r="B119" s="105" t="s">
        <v>715</v>
      </c>
      <c r="C119" s="106" t="s">
        <v>716</v>
      </c>
      <c r="D119" s="236">
        <v>0</v>
      </c>
      <c r="E119" s="237"/>
      <c r="F119" s="236">
        <v>0</v>
      </c>
      <c r="G119" s="237"/>
      <c r="H119" s="107"/>
      <c r="I119"/>
      <c r="J119" s="100"/>
      <c r="K119" s="100"/>
      <c r="L119" s="100"/>
      <c r="M119" s="100"/>
      <c r="N119"/>
    </row>
    <row r="120" spans="1:14" s="57" customFormat="1" ht="15" x14ac:dyDescent="0.25">
      <c r="B120" s="238" t="s">
        <v>717</v>
      </c>
      <c r="C120" s="239"/>
      <c r="D120" s="239"/>
      <c r="E120" s="239"/>
      <c r="F120" s="239"/>
      <c r="G120" s="240"/>
      <c r="H120" s="107"/>
      <c r="I120"/>
      <c r="J120" s="102"/>
      <c r="K120" s="102"/>
      <c r="L120" s="102"/>
      <c r="M120" s="100"/>
      <c r="N120"/>
    </row>
    <row r="121" spans="1:14" s="57" customFormat="1" ht="15" x14ac:dyDescent="0.25">
      <c r="B121" s="235" t="s">
        <v>638</v>
      </c>
      <c r="C121" s="235" t="s">
        <v>639</v>
      </c>
      <c r="D121" s="238" t="s">
        <v>682</v>
      </c>
      <c r="E121" s="239"/>
      <c r="F121" s="240"/>
      <c r="G121" s="105"/>
      <c r="H121" s="107"/>
      <c r="I121"/>
      <c r="J121" s="102"/>
      <c r="K121" s="102"/>
      <c r="L121" s="102"/>
      <c r="M121" s="100"/>
      <c r="N121"/>
    </row>
    <row r="122" spans="1:14" s="57" customFormat="1" ht="76.5" x14ac:dyDescent="0.25">
      <c r="B122" s="235"/>
      <c r="C122" s="235"/>
      <c r="D122" s="108" t="s">
        <v>686</v>
      </c>
      <c r="E122" s="108" t="s">
        <v>718</v>
      </c>
      <c r="F122" s="108" t="s">
        <v>719</v>
      </c>
      <c r="G122" s="108" t="s">
        <v>747</v>
      </c>
      <c r="H122" s="109"/>
      <c r="I122"/>
      <c r="J122" s="102"/>
      <c r="K122" s="102"/>
      <c r="L122" s="102"/>
      <c r="M122" s="100"/>
      <c r="N122"/>
    </row>
    <row r="123" spans="1:14" s="57" customFormat="1" ht="25.5" x14ac:dyDescent="0.2">
      <c r="B123" s="110" t="s">
        <v>715</v>
      </c>
      <c r="C123" s="106" t="s">
        <v>716</v>
      </c>
      <c r="D123" s="111">
        <v>200</v>
      </c>
      <c r="E123" s="111">
        <v>6.8852450999999997</v>
      </c>
      <c r="F123" s="111">
        <v>206.88524509999999</v>
      </c>
      <c r="G123" s="112">
        <f>F123/F86</f>
        <v>4.8054051766440342E-2</v>
      </c>
      <c r="H123" s="113"/>
      <c r="I123"/>
      <c r="J123"/>
      <c r="K123"/>
      <c r="L123"/>
      <c r="M123"/>
      <c r="N123"/>
    </row>
    <row r="124" spans="1:14" s="57" customFormat="1" ht="33" customHeight="1" x14ac:dyDescent="0.2">
      <c r="B124" s="241" t="s">
        <v>720</v>
      </c>
      <c r="C124" s="242"/>
      <c r="D124" s="242"/>
      <c r="E124" s="242"/>
      <c r="F124" s="242"/>
      <c r="G124" s="243"/>
      <c r="H124" s="114"/>
      <c r="I124"/>
      <c r="J124"/>
      <c r="K124"/>
      <c r="L124"/>
      <c r="M124"/>
      <c r="N124"/>
    </row>
    <row r="125" spans="1:14" s="57" customFormat="1" x14ac:dyDescent="0.2">
      <c r="H125" s="114"/>
      <c r="I125"/>
      <c r="J125"/>
      <c r="K125"/>
      <c r="L125"/>
      <c r="M125"/>
      <c r="N125"/>
    </row>
    <row r="126" spans="1:14" s="57" customFormat="1" x14ac:dyDescent="0.2">
      <c r="B126" s="166" t="s">
        <v>614</v>
      </c>
      <c r="C126" s="167"/>
      <c r="D126" s="168"/>
      <c r="I126"/>
      <c r="J126"/>
      <c r="K126"/>
      <c r="L126"/>
      <c r="M126"/>
      <c r="N126"/>
    </row>
    <row r="127" spans="1:14" s="57" customFormat="1" ht="38.25" x14ac:dyDescent="0.2">
      <c r="B127" s="163" t="s">
        <v>615</v>
      </c>
      <c r="C127" s="163"/>
      <c r="D127" s="59" t="s">
        <v>525</v>
      </c>
      <c r="I127"/>
      <c r="J127"/>
      <c r="K127"/>
      <c r="L127"/>
      <c r="M127"/>
      <c r="N127"/>
    </row>
    <row r="128" spans="1:14" s="57" customFormat="1" x14ac:dyDescent="0.2">
      <c r="B128" s="174" t="s">
        <v>616</v>
      </c>
      <c r="C128" s="174"/>
      <c r="D128" s="60"/>
      <c r="I128"/>
      <c r="J128"/>
      <c r="K128"/>
      <c r="L128"/>
      <c r="M128"/>
      <c r="N128"/>
    </row>
    <row r="129" spans="2:16" s="57" customFormat="1" x14ac:dyDescent="0.2">
      <c r="B129" s="174"/>
      <c r="C129" s="174"/>
      <c r="D129" s="61"/>
      <c r="I129"/>
      <c r="J129"/>
      <c r="K129"/>
      <c r="L129"/>
      <c r="M129"/>
      <c r="N129"/>
    </row>
    <row r="130" spans="2:16" s="57" customFormat="1" x14ac:dyDescent="0.2">
      <c r="B130" s="174" t="s">
        <v>617</v>
      </c>
      <c r="C130" s="174"/>
      <c r="D130" s="62">
        <v>6.5386777935105762</v>
      </c>
      <c r="I130"/>
      <c r="J130"/>
      <c r="K130"/>
      <c r="L130"/>
      <c r="M130"/>
      <c r="N130"/>
    </row>
    <row r="131" spans="2:16" s="57" customFormat="1" x14ac:dyDescent="0.2">
      <c r="B131" s="174"/>
      <c r="C131" s="174"/>
      <c r="D131" s="61"/>
      <c r="I131"/>
      <c r="J131"/>
      <c r="K131"/>
      <c r="L131"/>
      <c r="M131"/>
      <c r="N131"/>
    </row>
    <row r="132" spans="2:16" s="57" customFormat="1" x14ac:dyDescent="0.2">
      <c r="B132" s="174" t="s">
        <v>618</v>
      </c>
      <c r="C132" s="174"/>
      <c r="D132" s="62">
        <v>3.9449187986619805</v>
      </c>
      <c r="I132"/>
      <c r="J132"/>
      <c r="K132"/>
      <c r="L132"/>
      <c r="M132"/>
      <c r="N132"/>
    </row>
    <row r="133" spans="2:16" s="57" customFormat="1" x14ac:dyDescent="0.2">
      <c r="B133" s="174" t="s">
        <v>619</v>
      </c>
      <c r="C133" s="174"/>
      <c r="D133" s="62">
        <v>4.9588391898398028</v>
      </c>
      <c r="I133"/>
      <c r="J133"/>
      <c r="K133"/>
      <c r="L133"/>
      <c r="M133"/>
      <c r="N133"/>
    </row>
    <row r="134" spans="2:16" s="57" customFormat="1" x14ac:dyDescent="0.2">
      <c r="B134" s="174"/>
      <c r="C134" s="174"/>
      <c r="D134" s="61"/>
      <c r="I134"/>
      <c r="J134"/>
      <c r="K134"/>
      <c r="L134"/>
      <c r="M134"/>
      <c r="N134"/>
    </row>
    <row r="135" spans="2:16" s="57" customFormat="1" x14ac:dyDescent="0.2">
      <c r="B135" s="174" t="s">
        <v>620</v>
      </c>
      <c r="C135" s="174"/>
      <c r="D135" s="64" t="s">
        <v>744</v>
      </c>
      <c r="I135"/>
      <c r="J135" s="55"/>
      <c r="K135" s="55"/>
      <c r="L135" s="55"/>
      <c r="M135" s="55"/>
      <c r="N135" s="58"/>
    </row>
    <row r="136" spans="2:16" s="57" customFormat="1" x14ac:dyDescent="0.2">
      <c r="B136" s="175" t="s">
        <v>621</v>
      </c>
      <c r="C136" s="177"/>
      <c r="D136" s="176"/>
      <c r="I136"/>
      <c r="J136"/>
      <c r="K136"/>
      <c r="L136"/>
      <c r="M136"/>
      <c r="N136"/>
      <c r="O136"/>
      <c r="P136"/>
    </row>
    <row r="138" spans="2:16" x14ac:dyDescent="0.2">
      <c r="B138" s="66" t="s">
        <v>622</v>
      </c>
    </row>
    <row r="139" spans="2:16" ht="153.75" customHeight="1" x14ac:dyDescent="0.2"/>
    <row r="142" spans="2:16" x14ac:dyDescent="0.2">
      <c r="B142" s="67" t="s">
        <v>623</v>
      </c>
      <c r="C142" s="68"/>
      <c r="D142" s="67"/>
    </row>
    <row r="143" spans="2:16" x14ac:dyDescent="0.2">
      <c r="B143" s="67" t="s">
        <v>721</v>
      </c>
      <c r="D143" s="67"/>
    </row>
    <row r="144" spans="2:16" ht="165" customHeight="1" x14ac:dyDescent="0.2"/>
  </sheetData>
  <mergeCells count="36">
    <mergeCell ref="B135:C135"/>
    <mergeCell ref="B136:D136"/>
    <mergeCell ref="B130:C130"/>
    <mergeCell ref="B131:C131"/>
    <mergeCell ref="B132:C132"/>
    <mergeCell ref="B133:C133"/>
    <mergeCell ref="B134:C134"/>
    <mergeCell ref="B124:G124"/>
    <mergeCell ref="B126:D126"/>
    <mergeCell ref="B127:C127"/>
    <mergeCell ref="B128:C128"/>
    <mergeCell ref="B129:C129"/>
    <mergeCell ref="D119:E119"/>
    <mergeCell ref="F119:G119"/>
    <mergeCell ref="B120:G120"/>
    <mergeCell ref="B121:B122"/>
    <mergeCell ref="C121:C122"/>
    <mergeCell ref="D121:F121"/>
    <mergeCell ref="B90:H90"/>
    <mergeCell ref="B92:D92"/>
    <mergeCell ref="B93:C93"/>
    <mergeCell ref="B94:C94"/>
    <mergeCell ref="B107:C107"/>
    <mergeCell ref="A1:H1"/>
    <mergeCell ref="A2:H2"/>
    <mergeCell ref="A3:H3"/>
    <mergeCell ref="B88:H88"/>
    <mergeCell ref="B89:H89"/>
    <mergeCell ref="B114:C114"/>
    <mergeCell ref="B115:C115"/>
    <mergeCell ref="B95:C95"/>
    <mergeCell ref="B117:G117"/>
    <mergeCell ref="D118:E118"/>
    <mergeCell ref="F118:G118"/>
    <mergeCell ref="B112:C112"/>
    <mergeCell ref="B113:C113"/>
  </mergeCells>
  <hyperlinks>
    <hyperlink ref="I1" location="Index!B2" display="Index" xr:uid="{B4820E29-CCC6-4B1E-B33B-DC6AA58D459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9A6A-D06A-4859-B62B-FDF9312FAD00}">
  <sheetPr>
    <outlinePr summaryBelow="0" summaryRight="0"/>
  </sheetPr>
  <dimension ref="A1:R172"/>
  <sheetViews>
    <sheetView showGridLines="0" workbookViewId="0">
      <selection sqref="A1:H1"/>
    </sheetView>
  </sheetViews>
  <sheetFormatPr defaultRowHeight="12.75" x14ac:dyDescent="0.2"/>
  <cols>
    <col min="1" max="1" width="5.85546875" bestFit="1" customWidth="1"/>
    <col min="2" max="2" width="20.28515625" bestFit="1" customWidth="1"/>
    <col min="3" max="3" width="40" customWidth="1"/>
    <col min="4" max="4" width="18.28515625" customWidth="1"/>
    <col min="5" max="5" width="8.7109375" bestFit="1" customWidth="1"/>
    <col min="6" max="6" width="10.140625" bestFit="1" customWidth="1"/>
    <col min="7" max="7" width="14" bestFit="1" customWidth="1"/>
    <col min="8" max="8" width="11" customWidth="1"/>
  </cols>
  <sheetData>
    <row r="1" spans="1:10" ht="15" x14ac:dyDescent="0.2">
      <c r="A1" s="173" t="s">
        <v>0</v>
      </c>
      <c r="B1" s="173"/>
      <c r="C1" s="173"/>
      <c r="D1" s="173"/>
      <c r="E1" s="173"/>
      <c r="F1" s="173"/>
      <c r="G1" s="173"/>
      <c r="H1" s="173"/>
      <c r="I1" s="1" t="s">
        <v>594</v>
      </c>
    </row>
    <row r="2" spans="1:10" ht="15" x14ac:dyDescent="0.2">
      <c r="A2" s="173" t="s">
        <v>528</v>
      </c>
      <c r="B2" s="173"/>
      <c r="C2" s="173"/>
      <c r="D2" s="173"/>
      <c r="E2" s="173"/>
      <c r="F2" s="173"/>
      <c r="G2" s="173"/>
      <c r="H2" s="173"/>
    </row>
    <row r="3" spans="1:10" ht="15" x14ac:dyDescent="0.2">
      <c r="A3" s="173" t="s">
        <v>750</v>
      </c>
      <c r="B3" s="173"/>
      <c r="C3" s="173"/>
      <c r="D3" s="173"/>
      <c r="E3" s="173"/>
      <c r="F3" s="173"/>
      <c r="G3" s="173"/>
      <c r="H3" s="173"/>
    </row>
    <row r="4" spans="1:10" s="16" customFormat="1" ht="30" x14ac:dyDescent="0.2">
      <c r="A4" s="14" t="s">
        <v>2</v>
      </c>
      <c r="B4" s="14" t="s">
        <v>3</v>
      </c>
      <c r="C4" s="14" t="s">
        <v>4</v>
      </c>
      <c r="D4" s="14" t="s">
        <v>5</v>
      </c>
      <c r="E4" s="14" t="s">
        <v>6</v>
      </c>
      <c r="F4" s="14" t="s">
        <v>7</v>
      </c>
      <c r="G4" s="14" t="s">
        <v>8</v>
      </c>
      <c r="H4" s="15" t="s">
        <v>593</v>
      </c>
    </row>
    <row r="5" spans="1:10" x14ac:dyDescent="0.2">
      <c r="A5" s="17"/>
      <c r="B5" s="17"/>
      <c r="C5" s="18" t="s">
        <v>9</v>
      </c>
      <c r="D5" s="17"/>
      <c r="E5" s="17"/>
      <c r="F5" s="17"/>
      <c r="G5" s="17"/>
      <c r="H5" s="19" t="s">
        <v>12</v>
      </c>
    </row>
    <row r="6" spans="1:10" x14ac:dyDescent="0.2">
      <c r="A6" s="20"/>
      <c r="B6" s="20"/>
      <c r="C6" s="21" t="s">
        <v>10</v>
      </c>
      <c r="D6" s="20"/>
      <c r="E6" s="20"/>
      <c r="F6" s="20"/>
      <c r="G6" s="20"/>
      <c r="H6" s="19" t="s">
        <v>12</v>
      </c>
    </row>
    <row r="7" spans="1:10" x14ac:dyDescent="0.2">
      <c r="A7" s="27">
        <v>1</v>
      </c>
      <c r="B7" s="28" t="s">
        <v>529</v>
      </c>
      <c r="C7" s="28" t="s">
        <v>530</v>
      </c>
      <c r="D7" s="28" t="s">
        <v>531</v>
      </c>
      <c r="E7" s="29">
        <v>4250</v>
      </c>
      <c r="F7" s="30">
        <v>81.498000000000005</v>
      </c>
      <c r="G7" s="31">
        <v>3.014998E-2</v>
      </c>
      <c r="H7" s="19" t="s">
        <v>12</v>
      </c>
    </row>
    <row r="8" spans="1:10" x14ac:dyDescent="0.2">
      <c r="A8" s="27">
        <v>2</v>
      </c>
      <c r="B8" s="28" t="s">
        <v>532</v>
      </c>
      <c r="C8" s="28" t="s">
        <v>533</v>
      </c>
      <c r="D8" s="28" t="s">
        <v>531</v>
      </c>
      <c r="E8" s="29">
        <v>4200</v>
      </c>
      <c r="F8" s="30">
        <v>59.476199999999999</v>
      </c>
      <c r="G8" s="31">
        <v>2.200307E-2</v>
      </c>
      <c r="H8" s="19" t="s">
        <v>12</v>
      </c>
    </row>
    <row r="9" spans="1:10" x14ac:dyDescent="0.2">
      <c r="A9" s="27">
        <v>3</v>
      </c>
      <c r="B9" s="28" t="s">
        <v>534</v>
      </c>
      <c r="C9" s="28" t="s">
        <v>535</v>
      </c>
      <c r="D9" s="28" t="s">
        <v>536</v>
      </c>
      <c r="E9" s="29">
        <v>3400</v>
      </c>
      <c r="F9" s="30">
        <v>48.5486</v>
      </c>
      <c r="G9" s="31">
        <v>1.7960429999999999E-2</v>
      </c>
      <c r="H9" s="19" t="s">
        <v>12</v>
      </c>
    </row>
    <row r="10" spans="1:10" x14ac:dyDescent="0.2">
      <c r="A10" s="27">
        <v>4</v>
      </c>
      <c r="B10" s="28" t="s">
        <v>537</v>
      </c>
      <c r="C10" s="28" t="s">
        <v>538</v>
      </c>
      <c r="D10" s="28" t="s">
        <v>539</v>
      </c>
      <c r="E10" s="29">
        <v>2500</v>
      </c>
      <c r="F10" s="30">
        <v>46.01</v>
      </c>
      <c r="G10" s="31">
        <v>1.7021290000000001E-2</v>
      </c>
      <c r="H10" s="19" t="s">
        <v>12</v>
      </c>
    </row>
    <row r="11" spans="1:10" x14ac:dyDescent="0.2">
      <c r="A11" s="27">
        <v>5</v>
      </c>
      <c r="B11" s="28" t="s">
        <v>540</v>
      </c>
      <c r="C11" s="28" t="s">
        <v>541</v>
      </c>
      <c r="D11" s="28" t="s">
        <v>542</v>
      </c>
      <c r="E11" s="29">
        <v>1848</v>
      </c>
      <c r="F11" s="30">
        <v>31.329143999999999</v>
      </c>
      <c r="G11" s="31">
        <v>1.1590140000000001E-2</v>
      </c>
      <c r="H11" s="19" t="s">
        <v>12</v>
      </c>
    </row>
    <row r="12" spans="1:10" x14ac:dyDescent="0.2">
      <c r="A12" s="27">
        <v>6</v>
      </c>
      <c r="B12" s="28" t="s">
        <v>543</v>
      </c>
      <c r="C12" s="28" t="s">
        <v>544</v>
      </c>
      <c r="D12" s="28" t="s">
        <v>542</v>
      </c>
      <c r="E12" s="29">
        <v>1750</v>
      </c>
      <c r="F12" s="30">
        <v>28.035</v>
      </c>
      <c r="G12" s="31">
        <v>1.0371480000000001E-2</v>
      </c>
      <c r="H12" s="19" t="s">
        <v>12</v>
      </c>
    </row>
    <row r="13" spans="1:10" ht="25.5" x14ac:dyDescent="0.2">
      <c r="A13" s="69">
        <v>7</v>
      </c>
      <c r="B13" s="70" t="s">
        <v>722</v>
      </c>
      <c r="C13" s="70" t="s">
        <v>723</v>
      </c>
      <c r="D13" s="70" t="s">
        <v>724</v>
      </c>
      <c r="E13" s="71">
        <v>30000</v>
      </c>
      <c r="F13" s="72">
        <f>2606400/10^5</f>
        <v>26.064</v>
      </c>
      <c r="G13" s="73">
        <f>F13/F99</f>
        <v>9.6423119387825662E-3</v>
      </c>
      <c r="H13" s="19" t="s">
        <v>12</v>
      </c>
      <c r="J13" s="74"/>
    </row>
    <row r="14" spans="1:10" x14ac:dyDescent="0.2">
      <c r="A14" s="27">
        <v>7</v>
      </c>
      <c r="B14" s="28" t="s">
        <v>545</v>
      </c>
      <c r="C14" s="28" t="s">
        <v>546</v>
      </c>
      <c r="D14" s="28" t="s">
        <v>531</v>
      </c>
      <c r="E14" s="29">
        <v>2000</v>
      </c>
      <c r="F14" s="30">
        <v>24.116</v>
      </c>
      <c r="G14" s="31">
        <v>8.9216499999999997E-3</v>
      </c>
      <c r="H14" s="19" t="s">
        <v>12</v>
      </c>
    </row>
    <row r="15" spans="1:10" x14ac:dyDescent="0.2">
      <c r="A15" s="27">
        <v>8</v>
      </c>
      <c r="B15" s="28" t="s">
        <v>547</v>
      </c>
      <c r="C15" s="28" t="s">
        <v>548</v>
      </c>
      <c r="D15" s="28" t="s">
        <v>531</v>
      </c>
      <c r="E15" s="29">
        <v>2600</v>
      </c>
      <c r="F15" s="30">
        <v>20.601099999999999</v>
      </c>
      <c r="G15" s="31">
        <v>7.6213299999999999E-3</v>
      </c>
      <c r="H15" s="19" t="s">
        <v>12</v>
      </c>
    </row>
    <row r="16" spans="1:10" x14ac:dyDescent="0.2">
      <c r="A16" s="27">
        <v>9</v>
      </c>
      <c r="B16" s="28" t="s">
        <v>549</v>
      </c>
      <c r="C16" s="28" t="s">
        <v>550</v>
      </c>
      <c r="D16" s="28" t="s">
        <v>551</v>
      </c>
      <c r="E16" s="29">
        <v>4000</v>
      </c>
      <c r="F16" s="30">
        <v>16.556000000000001</v>
      </c>
      <c r="G16" s="31">
        <v>6.1248500000000003E-3</v>
      </c>
      <c r="H16" s="19" t="s">
        <v>12</v>
      </c>
    </row>
    <row r="17" spans="1:8" x14ac:dyDescent="0.2">
      <c r="A17" s="27">
        <v>10</v>
      </c>
      <c r="B17" s="28" t="s">
        <v>552</v>
      </c>
      <c r="C17" s="28" t="s">
        <v>553</v>
      </c>
      <c r="D17" s="28" t="s">
        <v>536</v>
      </c>
      <c r="E17" s="29">
        <v>5000</v>
      </c>
      <c r="F17" s="30">
        <v>15.615</v>
      </c>
      <c r="G17" s="31">
        <v>5.7767299999999999E-3</v>
      </c>
      <c r="H17" s="19" t="s">
        <v>12</v>
      </c>
    </row>
    <row r="18" spans="1:8" x14ac:dyDescent="0.2">
      <c r="A18" s="27">
        <v>11</v>
      </c>
      <c r="B18" s="28" t="s">
        <v>554</v>
      </c>
      <c r="C18" s="28" t="s">
        <v>555</v>
      </c>
      <c r="D18" s="28" t="s">
        <v>556</v>
      </c>
      <c r="E18" s="29">
        <v>400</v>
      </c>
      <c r="F18" s="30">
        <v>14.349600000000001</v>
      </c>
      <c r="G18" s="31">
        <v>5.3086000000000001E-3</v>
      </c>
      <c r="H18" s="19" t="s">
        <v>12</v>
      </c>
    </row>
    <row r="19" spans="1:8" x14ac:dyDescent="0.2">
      <c r="A19" s="27">
        <v>12</v>
      </c>
      <c r="B19" s="28" t="s">
        <v>557</v>
      </c>
      <c r="C19" s="28" t="s">
        <v>558</v>
      </c>
      <c r="D19" s="28" t="s">
        <v>531</v>
      </c>
      <c r="E19" s="29">
        <v>675</v>
      </c>
      <c r="F19" s="30">
        <v>14.22495</v>
      </c>
      <c r="G19" s="31">
        <v>5.2624899999999999E-3</v>
      </c>
      <c r="H19" s="19" t="s">
        <v>12</v>
      </c>
    </row>
    <row r="20" spans="1:8" ht="25.5" x14ac:dyDescent="0.2">
      <c r="A20" s="27">
        <v>13</v>
      </c>
      <c r="B20" s="28" t="s">
        <v>559</v>
      </c>
      <c r="C20" s="28" t="s">
        <v>560</v>
      </c>
      <c r="D20" s="28" t="s">
        <v>561</v>
      </c>
      <c r="E20" s="29">
        <v>125</v>
      </c>
      <c r="F20" s="30">
        <v>14.03</v>
      </c>
      <c r="G20" s="31">
        <v>5.1903599999999998E-3</v>
      </c>
      <c r="H20" s="19" t="s">
        <v>12</v>
      </c>
    </row>
    <row r="21" spans="1:8" ht="25.5" x14ac:dyDescent="0.2">
      <c r="A21" s="27">
        <v>14</v>
      </c>
      <c r="B21" s="28" t="s">
        <v>562</v>
      </c>
      <c r="C21" s="28" t="s">
        <v>563</v>
      </c>
      <c r="D21" s="28" t="s">
        <v>564</v>
      </c>
      <c r="E21" s="29">
        <v>2000</v>
      </c>
      <c r="F21" s="30">
        <v>13.824</v>
      </c>
      <c r="G21" s="31">
        <v>5.1141499999999996E-3</v>
      </c>
      <c r="H21" s="19" t="s">
        <v>12</v>
      </c>
    </row>
    <row r="22" spans="1:8" x14ac:dyDescent="0.2">
      <c r="A22" s="27">
        <v>15</v>
      </c>
      <c r="B22" s="28" t="s">
        <v>565</v>
      </c>
      <c r="C22" s="28" t="s">
        <v>566</v>
      </c>
      <c r="D22" s="28" t="s">
        <v>567</v>
      </c>
      <c r="E22" s="29">
        <v>2000</v>
      </c>
      <c r="F22" s="30">
        <v>13.629</v>
      </c>
      <c r="G22" s="31">
        <v>5.0420200000000004E-3</v>
      </c>
      <c r="H22" s="19" t="s">
        <v>12</v>
      </c>
    </row>
    <row r="23" spans="1:8" x14ac:dyDescent="0.2">
      <c r="A23" s="27">
        <v>16</v>
      </c>
      <c r="B23" s="28" t="s">
        <v>568</v>
      </c>
      <c r="C23" s="28" t="s">
        <v>569</v>
      </c>
      <c r="D23" s="28" t="s">
        <v>570</v>
      </c>
      <c r="E23" s="29">
        <v>160</v>
      </c>
      <c r="F23" s="30">
        <v>13.541600000000001</v>
      </c>
      <c r="G23" s="31">
        <v>5.0096799999999999E-3</v>
      </c>
      <c r="H23" s="19" t="s">
        <v>12</v>
      </c>
    </row>
    <row r="24" spans="1:8" x14ac:dyDescent="0.2">
      <c r="A24" s="27">
        <v>17</v>
      </c>
      <c r="B24" s="28" t="s">
        <v>571</v>
      </c>
      <c r="C24" s="28" t="s">
        <v>572</v>
      </c>
      <c r="D24" s="28" t="s">
        <v>573</v>
      </c>
      <c r="E24" s="29">
        <v>900</v>
      </c>
      <c r="F24" s="30">
        <v>13.0779</v>
      </c>
      <c r="G24" s="31">
        <v>4.8381400000000003E-3</v>
      </c>
      <c r="H24" s="19" t="s">
        <v>12</v>
      </c>
    </row>
    <row r="25" spans="1:8" ht="25.5" x14ac:dyDescent="0.2">
      <c r="A25" s="27">
        <v>18</v>
      </c>
      <c r="B25" s="28" t="s">
        <v>574</v>
      </c>
      <c r="C25" s="28" t="s">
        <v>575</v>
      </c>
      <c r="D25" s="28" t="s">
        <v>576</v>
      </c>
      <c r="E25" s="29">
        <v>320</v>
      </c>
      <c r="F25" s="30">
        <v>12.71232</v>
      </c>
      <c r="G25" s="31">
        <v>4.7028900000000004E-3</v>
      </c>
      <c r="H25" s="19" t="s">
        <v>12</v>
      </c>
    </row>
    <row r="26" spans="1:8" x14ac:dyDescent="0.2">
      <c r="A26" s="27">
        <v>19</v>
      </c>
      <c r="B26" s="28" t="s">
        <v>577</v>
      </c>
      <c r="C26" s="28" t="s">
        <v>578</v>
      </c>
      <c r="D26" s="28" t="s">
        <v>579</v>
      </c>
      <c r="E26" s="29">
        <v>2000</v>
      </c>
      <c r="F26" s="30">
        <v>12.59</v>
      </c>
      <c r="G26" s="31">
        <v>4.6576400000000002E-3</v>
      </c>
      <c r="H26" s="19" t="s">
        <v>12</v>
      </c>
    </row>
    <row r="27" spans="1:8" x14ac:dyDescent="0.2">
      <c r="A27" s="27">
        <v>20</v>
      </c>
      <c r="B27" s="28" t="s">
        <v>580</v>
      </c>
      <c r="C27" s="28" t="s">
        <v>581</v>
      </c>
      <c r="D27" s="28" t="s">
        <v>570</v>
      </c>
      <c r="E27" s="29">
        <v>100</v>
      </c>
      <c r="F27" s="30">
        <v>12.407999999999999</v>
      </c>
      <c r="G27" s="31">
        <v>4.5903100000000002E-3</v>
      </c>
      <c r="H27" s="19" t="s">
        <v>12</v>
      </c>
    </row>
    <row r="28" spans="1:8" ht="25.5" x14ac:dyDescent="0.2">
      <c r="A28" s="27">
        <v>21</v>
      </c>
      <c r="B28" s="28" t="s">
        <v>582</v>
      </c>
      <c r="C28" s="28" t="s">
        <v>583</v>
      </c>
      <c r="D28" s="28" t="s">
        <v>584</v>
      </c>
      <c r="E28" s="29">
        <v>250</v>
      </c>
      <c r="F28" s="30">
        <v>12.11875</v>
      </c>
      <c r="G28" s="31">
        <v>4.4833E-3</v>
      </c>
      <c r="H28" s="19" t="s">
        <v>12</v>
      </c>
    </row>
    <row r="29" spans="1:8" ht="25.5" x14ac:dyDescent="0.2">
      <c r="A29" s="27">
        <v>22</v>
      </c>
      <c r="B29" s="28" t="s">
        <v>585</v>
      </c>
      <c r="C29" s="28" t="s">
        <v>586</v>
      </c>
      <c r="D29" s="28" t="s">
        <v>561</v>
      </c>
      <c r="E29" s="29">
        <v>450</v>
      </c>
      <c r="F29" s="30">
        <v>11.9871</v>
      </c>
      <c r="G29" s="31">
        <v>4.4346000000000003E-3</v>
      </c>
      <c r="H29" s="19" t="s">
        <v>12</v>
      </c>
    </row>
    <row r="30" spans="1:8" x14ac:dyDescent="0.2">
      <c r="A30" s="20"/>
      <c r="B30" s="20"/>
      <c r="C30" s="21" t="s">
        <v>11</v>
      </c>
      <c r="D30" s="20"/>
      <c r="E30" s="20" t="s">
        <v>12</v>
      </c>
      <c r="F30" s="26">
        <f>SUM(F7:F29)</f>
        <v>556.342264</v>
      </c>
      <c r="G30" s="23">
        <f>SUM(G7:G29)</f>
        <v>0.20581744193878257</v>
      </c>
      <c r="H30" s="19" t="s">
        <v>12</v>
      </c>
    </row>
    <row r="31" spans="1:8" x14ac:dyDescent="0.2">
      <c r="A31" s="20"/>
      <c r="B31" s="20"/>
      <c r="C31" s="24"/>
      <c r="D31" s="20"/>
      <c r="E31" s="20"/>
      <c r="F31" s="25"/>
      <c r="G31" s="25"/>
      <c r="H31" s="19" t="s">
        <v>12</v>
      </c>
    </row>
    <row r="32" spans="1:8" x14ac:dyDescent="0.2">
      <c r="A32" s="20"/>
      <c r="B32" s="20"/>
      <c r="C32" s="21" t="s">
        <v>14</v>
      </c>
      <c r="D32" s="20"/>
      <c r="E32" s="20"/>
      <c r="F32" s="20"/>
      <c r="G32" s="20"/>
      <c r="H32" s="19" t="s">
        <v>12</v>
      </c>
    </row>
    <row r="33" spans="1:8" x14ac:dyDescent="0.2">
      <c r="A33" s="20"/>
      <c r="B33" s="20"/>
      <c r="C33" s="21" t="s">
        <v>11</v>
      </c>
      <c r="D33" s="20"/>
      <c r="E33" s="20" t="s">
        <v>12</v>
      </c>
      <c r="F33" s="22" t="s">
        <v>13</v>
      </c>
      <c r="G33" s="23">
        <v>0</v>
      </c>
      <c r="H33" s="19" t="s">
        <v>12</v>
      </c>
    </row>
    <row r="34" spans="1:8" x14ac:dyDescent="0.2">
      <c r="A34" s="20"/>
      <c r="B34" s="20"/>
      <c r="C34" s="24"/>
      <c r="D34" s="20"/>
      <c r="E34" s="20"/>
      <c r="F34" s="25"/>
      <c r="G34" s="25"/>
      <c r="H34" s="19" t="s">
        <v>12</v>
      </c>
    </row>
    <row r="35" spans="1:8" x14ac:dyDescent="0.2">
      <c r="A35" s="20"/>
      <c r="B35" s="20"/>
      <c r="C35" s="21" t="s">
        <v>15</v>
      </c>
      <c r="D35" s="20"/>
      <c r="E35" s="20"/>
      <c r="F35" s="20"/>
      <c r="G35" s="20"/>
      <c r="H35" s="19" t="s">
        <v>12</v>
      </c>
    </row>
    <row r="36" spans="1:8" x14ac:dyDescent="0.2">
      <c r="A36" s="20"/>
      <c r="B36" s="20"/>
      <c r="C36" s="21" t="s">
        <v>11</v>
      </c>
      <c r="D36" s="20"/>
      <c r="E36" s="20" t="s">
        <v>12</v>
      </c>
      <c r="F36" s="22" t="s">
        <v>13</v>
      </c>
      <c r="G36" s="23">
        <v>0</v>
      </c>
      <c r="H36" s="19" t="s">
        <v>12</v>
      </c>
    </row>
    <row r="37" spans="1:8" x14ac:dyDescent="0.2">
      <c r="A37" s="20"/>
      <c r="B37" s="20"/>
      <c r="C37" s="24"/>
      <c r="D37" s="20"/>
      <c r="E37" s="20"/>
      <c r="F37" s="25"/>
      <c r="G37" s="25"/>
      <c r="H37" s="19" t="s">
        <v>12</v>
      </c>
    </row>
    <row r="38" spans="1:8" x14ac:dyDescent="0.2">
      <c r="A38" s="20"/>
      <c r="B38" s="20"/>
      <c r="C38" s="21" t="s">
        <v>16</v>
      </c>
      <c r="D38" s="20"/>
      <c r="E38" s="20"/>
      <c r="F38" s="20"/>
      <c r="G38" s="20"/>
      <c r="H38" s="19" t="s">
        <v>12</v>
      </c>
    </row>
    <row r="39" spans="1:8" x14ac:dyDescent="0.2">
      <c r="A39" s="27">
        <v>1</v>
      </c>
      <c r="B39" s="28" t="s">
        <v>587</v>
      </c>
      <c r="C39" s="28" t="s">
        <v>725</v>
      </c>
      <c r="D39" s="28" t="s">
        <v>539</v>
      </c>
      <c r="E39" s="29">
        <v>218</v>
      </c>
      <c r="F39" s="30">
        <v>2.999898</v>
      </c>
      <c r="G39" s="31">
        <v>1.1098099999999999E-3</v>
      </c>
      <c r="H39" s="19" t="s">
        <v>12</v>
      </c>
    </row>
    <row r="40" spans="1:8" x14ac:dyDescent="0.2">
      <c r="A40" s="20"/>
      <c r="B40" s="20"/>
      <c r="C40" s="21" t="s">
        <v>11</v>
      </c>
      <c r="D40" s="20"/>
      <c r="E40" s="20" t="s">
        <v>12</v>
      </c>
      <c r="F40" s="26">
        <v>2.999898</v>
      </c>
      <c r="G40" s="23">
        <v>1.1098099999999999E-3</v>
      </c>
      <c r="H40" s="19" t="s">
        <v>12</v>
      </c>
    </row>
    <row r="41" spans="1:8" x14ac:dyDescent="0.2">
      <c r="A41" s="20"/>
      <c r="B41" s="20"/>
      <c r="C41" s="24"/>
      <c r="D41" s="20"/>
      <c r="E41" s="20"/>
      <c r="F41" s="25"/>
      <c r="G41" s="25"/>
      <c r="H41" s="19" t="s">
        <v>12</v>
      </c>
    </row>
    <row r="42" spans="1:8" x14ac:dyDescent="0.2">
      <c r="A42" s="20"/>
      <c r="B42" s="20"/>
      <c r="C42" s="21" t="s">
        <v>17</v>
      </c>
      <c r="D42" s="20"/>
      <c r="E42" s="20"/>
      <c r="F42" s="25"/>
      <c r="G42" s="25"/>
      <c r="H42" s="19" t="s">
        <v>12</v>
      </c>
    </row>
    <row r="43" spans="1:8" x14ac:dyDescent="0.2">
      <c r="A43" s="20"/>
      <c r="B43" s="20"/>
      <c r="C43" s="21" t="s">
        <v>11</v>
      </c>
      <c r="D43" s="20"/>
      <c r="E43" s="20" t="s">
        <v>12</v>
      </c>
      <c r="F43" s="22" t="s">
        <v>13</v>
      </c>
      <c r="G43" s="23">
        <v>0</v>
      </c>
      <c r="H43" s="19" t="s">
        <v>12</v>
      </c>
    </row>
    <row r="44" spans="1:8" x14ac:dyDescent="0.2">
      <c r="A44" s="20"/>
      <c r="B44" s="20"/>
      <c r="C44" s="24"/>
      <c r="D44" s="20"/>
      <c r="E44" s="20"/>
      <c r="F44" s="25"/>
      <c r="G44" s="25"/>
      <c r="H44" s="19" t="s">
        <v>12</v>
      </c>
    </row>
    <row r="45" spans="1:8" x14ac:dyDescent="0.2">
      <c r="A45" s="20"/>
      <c r="B45" s="20"/>
      <c r="C45" s="21" t="s">
        <v>18</v>
      </c>
      <c r="D45" s="20"/>
      <c r="E45" s="20"/>
      <c r="F45" s="25"/>
      <c r="G45" s="25"/>
      <c r="H45" s="19" t="s">
        <v>12</v>
      </c>
    </row>
    <row r="46" spans="1:8" x14ac:dyDescent="0.2">
      <c r="A46" s="20"/>
      <c r="B46" s="20"/>
      <c r="C46" s="21" t="s">
        <v>11</v>
      </c>
      <c r="D46" s="20"/>
      <c r="E46" s="20" t="s">
        <v>12</v>
      </c>
      <c r="F46" s="22" t="s">
        <v>13</v>
      </c>
      <c r="G46" s="23">
        <v>0</v>
      </c>
      <c r="H46" s="19" t="s">
        <v>12</v>
      </c>
    </row>
    <row r="47" spans="1:8" x14ac:dyDescent="0.2">
      <c r="A47" s="20"/>
      <c r="B47" s="20"/>
      <c r="C47" s="24"/>
      <c r="D47" s="20"/>
      <c r="E47" s="20"/>
      <c r="F47" s="25"/>
      <c r="G47" s="25"/>
      <c r="H47" s="19" t="s">
        <v>12</v>
      </c>
    </row>
    <row r="48" spans="1:8" x14ac:dyDescent="0.2">
      <c r="A48" s="20"/>
      <c r="B48" s="20"/>
      <c r="C48" s="21" t="s">
        <v>19</v>
      </c>
      <c r="D48" s="20"/>
      <c r="E48" s="20"/>
      <c r="F48" s="26">
        <f>F40+F30</f>
        <v>559.34216200000003</v>
      </c>
      <c r="G48" s="23">
        <f>G40+G30</f>
        <v>0.20692725193878256</v>
      </c>
      <c r="H48" s="19" t="s">
        <v>12</v>
      </c>
    </row>
    <row r="49" spans="1:8" x14ac:dyDescent="0.2">
      <c r="A49" s="20"/>
      <c r="B49" s="20"/>
      <c r="C49" s="24"/>
      <c r="D49" s="20"/>
      <c r="E49" s="20"/>
      <c r="F49" s="25"/>
      <c r="G49" s="25"/>
      <c r="H49" s="19" t="s">
        <v>12</v>
      </c>
    </row>
    <row r="50" spans="1:8" x14ac:dyDescent="0.2">
      <c r="A50" s="20"/>
      <c r="B50" s="20"/>
      <c r="C50" s="21" t="s">
        <v>20</v>
      </c>
      <c r="D50" s="20"/>
      <c r="E50" s="20"/>
      <c r="F50" s="25"/>
      <c r="G50" s="25"/>
      <c r="H50" s="19" t="s">
        <v>12</v>
      </c>
    </row>
    <row r="51" spans="1:8" x14ac:dyDescent="0.2">
      <c r="A51" s="20"/>
      <c r="B51" s="20"/>
      <c r="C51" s="21" t="s">
        <v>10</v>
      </c>
      <c r="D51" s="20"/>
      <c r="E51" s="20"/>
      <c r="F51" s="25"/>
      <c r="G51" s="25"/>
      <c r="H51" s="19" t="s">
        <v>12</v>
      </c>
    </row>
    <row r="52" spans="1:8" x14ac:dyDescent="0.2">
      <c r="A52" s="20"/>
      <c r="B52" s="20"/>
      <c r="C52" s="21" t="s">
        <v>11</v>
      </c>
      <c r="D52" s="20"/>
      <c r="E52" s="20" t="s">
        <v>12</v>
      </c>
      <c r="F52" s="22" t="s">
        <v>13</v>
      </c>
      <c r="G52" s="23">
        <v>0</v>
      </c>
      <c r="H52" s="19" t="s">
        <v>12</v>
      </c>
    </row>
    <row r="53" spans="1:8" x14ac:dyDescent="0.2">
      <c r="A53" s="20"/>
      <c r="B53" s="20"/>
      <c r="C53" s="24"/>
      <c r="D53" s="20"/>
      <c r="E53" s="20"/>
      <c r="F53" s="25"/>
      <c r="G53" s="25"/>
      <c r="H53" s="19" t="s">
        <v>12</v>
      </c>
    </row>
    <row r="54" spans="1:8" x14ac:dyDescent="0.2">
      <c r="A54" s="20"/>
      <c r="B54" s="20"/>
      <c r="C54" s="21" t="s">
        <v>77</v>
      </c>
      <c r="D54" s="20"/>
      <c r="E54" s="20"/>
      <c r="F54" s="20"/>
      <c r="G54" s="20"/>
      <c r="H54" s="19" t="s">
        <v>12</v>
      </c>
    </row>
    <row r="55" spans="1:8" x14ac:dyDescent="0.2">
      <c r="A55" s="20"/>
      <c r="B55" s="20"/>
      <c r="C55" s="21" t="s">
        <v>11</v>
      </c>
      <c r="D55" s="20"/>
      <c r="E55" s="20" t="s">
        <v>12</v>
      </c>
      <c r="F55" s="22" t="s">
        <v>13</v>
      </c>
      <c r="G55" s="23">
        <v>0</v>
      </c>
      <c r="H55" s="19" t="s">
        <v>12</v>
      </c>
    </row>
    <row r="56" spans="1:8" x14ac:dyDescent="0.2">
      <c r="A56" s="20"/>
      <c r="B56" s="20"/>
      <c r="C56" s="24"/>
      <c r="D56" s="20"/>
      <c r="E56" s="20"/>
      <c r="F56" s="25"/>
      <c r="G56" s="25"/>
      <c r="H56" s="19" t="s">
        <v>12</v>
      </c>
    </row>
    <row r="57" spans="1:8" x14ac:dyDescent="0.2">
      <c r="A57" s="20"/>
      <c r="B57" s="20"/>
      <c r="C57" s="21" t="s">
        <v>78</v>
      </c>
      <c r="D57" s="20"/>
      <c r="E57" s="20"/>
      <c r="F57" s="20"/>
      <c r="G57" s="20"/>
      <c r="H57" s="19" t="s">
        <v>12</v>
      </c>
    </row>
    <row r="58" spans="1:8" ht="25.5" x14ac:dyDescent="0.2">
      <c r="A58" s="27">
        <v>1</v>
      </c>
      <c r="B58" s="28" t="s">
        <v>90</v>
      </c>
      <c r="C58" s="28" t="s">
        <v>91</v>
      </c>
      <c r="D58" s="28" t="s">
        <v>81</v>
      </c>
      <c r="E58" s="29">
        <v>1000000</v>
      </c>
      <c r="F58" s="30">
        <v>1007.64</v>
      </c>
      <c r="G58" s="31">
        <v>0.37277390999999999</v>
      </c>
      <c r="H58" s="19">
        <v>7.1505000000000001</v>
      </c>
    </row>
    <row r="59" spans="1:8" ht="25.5" x14ac:dyDescent="0.2">
      <c r="A59" s="27">
        <v>2</v>
      </c>
      <c r="B59" s="28" t="s">
        <v>98</v>
      </c>
      <c r="C59" s="28" t="s">
        <v>99</v>
      </c>
      <c r="D59" s="28" t="s">
        <v>81</v>
      </c>
      <c r="E59" s="29">
        <v>100000</v>
      </c>
      <c r="F59" s="30">
        <v>104.6588</v>
      </c>
      <c r="G59" s="31">
        <v>3.8718259999999997E-2</v>
      </c>
      <c r="H59" s="19">
        <v>6.5004</v>
      </c>
    </row>
    <row r="60" spans="1:8" x14ac:dyDescent="0.2">
      <c r="A60" s="20"/>
      <c r="B60" s="20"/>
      <c r="C60" s="21" t="s">
        <v>11</v>
      </c>
      <c r="D60" s="20"/>
      <c r="E60" s="20" t="s">
        <v>12</v>
      </c>
      <c r="F60" s="26">
        <v>1112.2988</v>
      </c>
      <c r="G60" s="23">
        <v>0.41149216999999999</v>
      </c>
      <c r="H60" s="19" t="s">
        <v>12</v>
      </c>
    </row>
    <row r="61" spans="1:8" x14ac:dyDescent="0.2">
      <c r="A61" s="20"/>
      <c r="B61" s="20"/>
      <c r="C61" s="24"/>
      <c r="D61" s="20"/>
      <c r="E61" s="20"/>
      <c r="F61" s="25"/>
      <c r="G61" s="25"/>
      <c r="H61" s="19" t="s">
        <v>12</v>
      </c>
    </row>
    <row r="62" spans="1:8" x14ac:dyDescent="0.2">
      <c r="A62" s="20"/>
      <c r="B62" s="20"/>
      <c r="C62" s="21" t="s">
        <v>100</v>
      </c>
      <c r="D62" s="20"/>
      <c r="E62" s="20"/>
      <c r="F62" s="25"/>
      <c r="G62" s="25"/>
      <c r="H62" s="19" t="s">
        <v>12</v>
      </c>
    </row>
    <row r="63" spans="1:8" x14ac:dyDescent="0.2">
      <c r="A63" s="20"/>
      <c r="B63" s="20"/>
      <c r="C63" s="21" t="s">
        <v>11</v>
      </c>
      <c r="D63" s="20"/>
      <c r="E63" s="20" t="s">
        <v>12</v>
      </c>
      <c r="F63" s="22" t="s">
        <v>13</v>
      </c>
      <c r="G63" s="23">
        <v>0</v>
      </c>
      <c r="H63" s="19" t="s">
        <v>12</v>
      </c>
    </row>
    <row r="64" spans="1:8" x14ac:dyDescent="0.2">
      <c r="A64" s="20"/>
      <c r="B64" s="20"/>
      <c r="C64" s="24"/>
      <c r="D64" s="20"/>
      <c r="E64" s="20"/>
      <c r="F64" s="25"/>
      <c r="G64" s="25"/>
      <c r="H64" s="19" t="s">
        <v>12</v>
      </c>
    </row>
    <row r="65" spans="1:8" x14ac:dyDescent="0.2">
      <c r="A65" s="20"/>
      <c r="B65" s="20"/>
      <c r="C65" s="21" t="s">
        <v>101</v>
      </c>
      <c r="D65" s="20"/>
      <c r="E65" s="20"/>
      <c r="F65" s="26">
        <v>1112.2988</v>
      </c>
      <c r="G65" s="23">
        <v>0.41149216999999999</v>
      </c>
      <c r="H65" s="19" t="s">
        <v>12</v>
      </c>
    </row>
    <row r="66" spans="1:8" x14ac:dyDescent="0.2">
      <c r="A66" s="20"/>
      <c r="B66" s="20"/>
      <c r="C66" s="24"/>
      <c r="D66" s="20"/>
      <c r="E66" s="20"/>
      <c r="F66" s="25"/>
      <c r="G66" s="25"/>
      <c r="H66" s="19" t="s">
        <v>12</v>
      </c>
    </row>
    <row r="67" spans="1:8" x14ac:dyDescent="0.2">
      <c r="A67" s="20"/>
      <c r="B67" s="20"/>
      <c r="C67" s="21" t="s">
        <v>102</v>
      </c>
      <c r="D67" s="20"/>
      <c r="E67" s="20"/>
      <c r="F67" s="25"/>
      <c r="G67" s="25"/>
      <c r="H67" s="19" t="s">
        <v>12</v>
      </c>
    </row>
    <row r="68" spans="1:8" x14ac:dyDescent="0.2">
      <c r="A68" s="20"/>
      <c r="B68" s="20"/>
      <c r="C68" s="21" t="s">
        <v>103</v>
      </c>
      <c r="D68" s="20"/>
      <c r="E68" s="20"/>
      <c r="F68" s="25"/>
      <c r="G68" s="25"/>
      <c r="H68" s="19" t="s">
        <v>12</v>
      </c>
    </row>
    <row r="69" spans="1:8" x14ac:dyDescent="0.2">
      <c r="A69" s="20"/>
      <c r="B69" s="20"/>
      <c r="C69" s="21" t="s">
        <v>11</v>
      </c>
      <c r="D69" s="20"/>
      <c r="E69" s="20" t="s">
        <v>12</v>
      </c>
      <c r="F69" s="22" t="s">
        <v>13</v>
      </c>
      <c r="G69" s="23">
        <v>0</v>
      </c>
      <c r="H69" s="19" t="s">
        <v>12</v>
      </c>
    </row>
    <row r="70" spans="1:8" x14ac:dyDescent="0.2">
      <c r="A70" s="20"/>
      <c r="B70" s="20"/>
      <c r="C70" s="24"/>
      <c r="D70" s="20"/>
      <c r="E70" s="20"/>
      <c r="F70" s="25"/>
      <c r="G70" s="25"/>
      <c r="H70" s="19" t="s">
        <v>12</v>
      </c>
    </row>
    <row r="71" spans="1:8" x14ac:dyDescent="0.2">
      <c r="A71" s="20"/>
      <c r="B71" s="20"/>
      <c r="C71" s="21" t="s">
        <v>104</v>
      </c>
      <c r="D71" s="20"/>
      <c r="E71" s="20"/>
      <c r="F71" s="25"/>
      <c r="G71" s="25"/>
      <c r="H71" s="19" t="s">
        <v>12</v>
      </c>
    </row>
    <row r="72" spans="1:8" x14ac:dyDescent="0.2">
      <c r="A72" s="20"/>
      <c r="B72" s="20"/>
      <c r="C72" s="21" t="s">
        <v>11</v>
      </c>
      <c r="D72" s="20"/>
      <c r="E72" s="20" t="s">
        <v>12</v>
      </c>
      <c r="F72" s="22" t="s">
        <v>13</v>
      </c>
      <c r="G72" s="23">
        <v>0</v>
      </c>
      <c r="H72" s="19" t="s">
        <v>12</v>
      </c>
    </row>
    <row r="73" spans="1:8" x14ac:dyDescent="0.2">
      <c r="A73" s="20"/>
      <c r="B73" s="20"/>
      <c r="C73" s="24"/>
      <c r="D73" s="20"/>
      <c r="E73" s="20"/>
      <c r="F73" s="25"/>
      <c r="G73" s="25"/>
      <c r="H73" s="19" t="s">
        <v>12</v>
      </c>
    </row>
    <row r="74" spans="1:8" x14ac:dyDescent="0.2">
      <c r="A74" s="20"/>
      <c r="B74" s="20"/>
      <c r="C74" s="21" t="s">
        <v>105</v>
      </c>
      <c r="D74" s="20"/>
      <c r="E74" s="20"/>
      <c r="F74" s="25"/>
      <c r="G74" s="25"/>
      <c r="H74" s="19" t="s">
        <v>12</v>
      </c>
    </row>
    <row r="75" spans="1:8" x14ac:dyDescent="0.2">
      <c r="A75" s="20"/>
      <c r="B75" s="20"/>
      <c r="C75" s="21" t="s">
        <v>11</v>
      </c>
      <c r="D75" s="20"/>
      <c r="E75" s="20" t="s">
        <v>12</v>
      </c>
      <c r="F75" s="22" t="s">
        <v>13</v>
      </c>
      <c r="G75" s="23">
        <v>0</v>
      </c>
      <c r="H75" s="19" t="s">
        <v>12</v>
      </c>
    </row>
    <row r="76" spans="1:8" x14ac:dyDescent="0.2">
      <c r="A76" s="20"/>
      <c r="B76" s="20"/>
      <c r="C76" s="24"/>
      <c r="D76" s="20"/>
      <c r="E76" s="20"/>
      <c r="F76" s="25"/>
      <c r="G76" s="25"/>
      <c r="H76" s="19" t="s">
        <v>12</v>
      </c>
    </row>
    <row r="77" spans="1:8" x14ac:dyDescent="0.2">
      <c r="A77" s="20"/>
      <c r="B77" s="20"/>
      <c r="C77" s="21" t="s">
        <v>106</v>
      </c>
      <c r="D77" s="20"/>
      <c r="E77" s="20"/>
      <c r="F77" s="25"/>
      <c r="G77" s="25"/>
      <c r="H77" s="19" t="s">
        <v>12</v>
      </c>
    </row>
    <row r="78" spans="1:8" x14ac:dyDescent="0.2">
      <c r="A78" s="27">
        <v>1</v>
      </c>
      <c r="B78" s="28"/>
      <c r="C78" s="28" t="s">
        <v>107</v>
      </c>
      <c r="D78" s="28"/>
      <c r="E78" s="32"/>
      <c r="F78" s="30">
        <v>974.67454100500004</v>
      </c>
      <c r="G78" s="31">
        <v>0.36057842000000001</v>
      </c>
      <c r="H78" s="19">
        <v>5.07</v>
      </c>
    </row>
    <row r="79" spans="1:8" x14ac:dyDescent="0.2">
      <c r="A79" s="20"/>
      <c r="B79" s="20"/>
      <c r="C79" s="21" t="s">
        <v>11</v>
      </c>
      <c r="D79" s="20"/>
      <c r="E79" s="20" t="s">
        <v>12</v>
      </c>
      <c r="F79" s="26">
        <v>974.67454100500004</v>
      </c>
      <c r="G79" s="23">
        <v>0.36057842000000001</v>
      </c>
      <c r="H79" s="19" t="s">
        <v>12</v>
      </c>
    </row>
    <row r="80" spans="1:8" x14ac:dyDescent="0.2">
      <c r="A80" s="20"/>
      <c r="B80" s="20"/>
      <c r="C80" s="24"/>
      <c r="D80" s="20"/>
      <c r="E80" s="20"/>
      <c r="F80" s="25"/>
      <c r="G80" s="25"/>
      <c r="H80" s="19" t="s">
        <v>12</v>
      </c>
    </row>
    <row r="81" spans="1:17" x14ac:dyDescent="0.2">
      <c r="A81" s="20"/>
      <c r="B81" s="20"/>
      <c r="C81" s="21" t="s">
        <v>108</v>
      </c>
      <c r="D81" s="20"/>
      <c r="E81" s="20"/>
      <c r="F81" s="26">
        <v>974.67454100500004</v>
      </c>
      <c r="G81" s="23">
        <v>0.36057842000000001</v>
      </c>
      <c r="H81" s="19" t="s">
        <v>12</v>
      </c>
    </row>
    <row r="82" spans="1:17" x14ac:dyDescent="0.2">
      <c r="A82" s="20"/>
      <c r="B82" s="20"/>
      <c r="C82" s="25"/>
      <c r="D82" s="20"/>
      <c r="E82" s="20"/>
      <c r="F82" s="20"/>
      <c r="G82" s="20"/>
      <c r="H82" s="19" t="s">
        <v>12</v>
      </c>
    </row>
    <row r="83" spans="1:17" x14ac:dyDescent="0.2">
      <c r="A83" s="20"/>
      <c r="B83" s="20"/>
      <c r="C83" s="21" t="s">
        <v>109</v>
      </c>
      <c r="D83" s="20"/>
      <c r="E83" s="20"/>
      <c r="F83" s="20"/>
      <c r="G83" s="20"/>
      <c r="H83" s="19" t="s">
        <v>12</v>
      </c>
    </row>
    <row r="84" spans="1:17" x14ac:dyDescent="0.2">
      <c r="A84" s="20"/>
      <c r="B84" s="20"/>
      <c r="C84" s="21" t="s">
        <v>110</v>
      </c>
      <c r="D84" s="20"/>
      <c r="E84" s="20"/>
      <c r="F84" s="20"/>
      <c r="G84" s="20"/>
      <c r="H84" s="19" t="s">
        <v>12</v>
      </c>
    </row>
    <row r="85" spans="1:17" x14ac:dyDescent="0.2">
      <c r="A85" s="20"/>
      <c r="B85" s="20"/>
      <c r="C85" s="21" t="s">
        <v>11</v>
      </c>
      <c r="D85" s="20"/>
      <c r="E85" s="20" t="s">
        <v>12</v>
      </c>
      <c r="F85" s="22" t="s">
        <v>13</v>
      </c>
      <c r="G85" s="23">
        <v>0</v>
      </c>
      <c r="H85" s="19" t="s">
        <v>12</v>
      </c>
    </row>
    <row r="86" spans="1:17" x14ac:dyDescent="0.2">
      <c r="A86" s="17"/>
      <c r="B86" s="17"/>
      <c r="C86" s="75"/>
      <c r="D86" s="17"/>
      <c r="E86" s="17"/>
      <c r="F86" s="42"/>
      <c r="G86" s="42"/>
      <c r="H86" s="19" t="s">
        <v>12</v>
      </c>
    </row>
    <row r="87" spans="1:17" x14ac:dyDescent="0.2">
      <c r="A87" s="17"/>
      <c r="B87" s="17"/>
      <c r="C87" s="18" t="s">
        <v>608</v>
      </c>
      <c r="D87" s="17"/>
      <c r="E87" s="17"/>
      <c r="F87" s="42"/>
      <c r="G87" s="42"/>
      <c r="H87" s="19" t="s">
        <v>12</v>
      </c>
      <c r="K87" s="55"/>
      <c r="L87" s="55"/>
      <c r="M87" s="55"/>
      <c r="N87" s="55"/>
      <c r="O87" s="76"/>
      <c r="P87" s="76"/>
      <c r="Q87" s="76"/>
    </row>
    <row r="88" spans="1:17" ht="25.5" x14ac:dyDescent="0.2">
      <c r="A88" s="69">
        <v>1</v>
      </c>
      <c r="B88" s="70" t="s">
        <v>111</v>
      </c>
      <c r="C88" s="70" t="s">
        <v>112</v>
      </c>
      <c r="D88" s="70"/>
      <c r="E88" s="77">
        <v>76.796000000000006</v>
      </c>
      <c r="F88" s="72">
        <v>8.6166538100000007</v>
      </c>
      <c r="G88" s="73">
        <v>3.1877099999999998E-3</v>
      </c>
      <c r="H88" s="19">
        <v>9.9999999999999995E-7</v>
      </c>
    </row>
    <row r="89" spans="1:17" x14ac:dyDescent="0.2">
      <c r="A89" s="17"/>
      <c r="B89" s="17"/>
      <c r="C89" s="18" t="s">
        <v>11</v>
      </c>
      <c r="D89" s="17"/>
      <c r="E89" s="17" t="s">
        <v>12</v>
      </c>
      <c r="F89" s="78">
        <f>SUM(F88)</f>
        <v>8.6166538100000007</v>
      </c>
      <c r="G89" s="79">
        <f>SUM(G88)</f>
        <v>3.1877099999999998E-3</v>
      </c>
      <c r="H89" s="19" t="s">
        <v>12</v>
      </c>
    </row>
    <row r="90" spans="1:17" x14ac:dyDescent="0.2">
      <c r="A90" s="20"/>
      <c r="B90" s="20"/>
      <c r="C90" s="24"/>
      <c r="D90" s="20"/>
      <c r="E90" s="20"/>
      <c r="F90" s="25"/>
      <c r="G90" s="25"/>
      <c r="H90" s="19" t="s">
        <v>12</v>
      </c>
    </row>
    <row r="91" spans="1:17" x14ac:dyDescent="0.2">
      <c r="A91" s="20"/>
      <c r="B91" s="20"/>
      <c r="C91" s="21" t="s">
        <v>113</v>
      </c>
      <c r="D91" s="20"/>
      <c r="E91" s="20"/>
      <c r="F91" s="20"/>
      <c r="G91" s="20"/>
      <c r="H91" s="19" t="s">
        <v>12</v>
      </c>
    </row>
    <row r="92" spans="1:17" x14ac:dyDescent="0.2">
      <c r="A92" s="20"/>
      <c r="B92" s="20"/>
      <c r="C92" s="21" t="s">
        <v>114</v>
      </c>
      <c r="D92" s="20"/>
      <c r="E92" s="20"/>
      <c r="F92" s="20"/>
      <c r="G92" s="20"/>
      <c r="H92" s="19" t="s">
        <v>12</v>
      </c>
    </row>
    <row r="93" spans="1:17" x14ac:dyDescent="0.2">
      <c r="A93" s="20"/>
      <c r="B93" s="20"/>
      <c r="C93" s="21" t="s">
        <v>11</v>
      </c>
      <c r="D93" s="20"/>
      <c r="E93" s="20" t="s">
        <v>12</v>
      </c>
      <c r="F93" s="22" t="s">
        <v>13</v>
      </c>
      <c r="G93" s="23">
        <v>0</v>
      </c>
      <c r="H93" s="19" t="s">
        <v>12</v>
      </c>
    </row>
    <row r="94" spans="1:17" x14ac:dyDescent="0.2">
      <c r="A94" s="20"/>
      <c r="B94" s="20"/>
      <c r="C94" s="24"/>
      <c r="D94" s="20"/>
      <c r="E94" s="20"/>
      <c r="F94" s="25"/>
      <c r="G94" s="25"/>
      <c r="H94" s="19" t="s">
        <v>12</v>
      </c>
    </row>
    <row r="95" spans="1:17" x14ac:dyDescent="0.2">
      <c r="A95" s="20"/>
      <c r="B95" s="20"/>
      <c r="C95" s="21" t="s">
        <v>115</v>
      </c>
      <c r="D95" s="20"/>
      <c r="E95" s="20"/>
      <c r="F95" s="25"/>
      <c r="G95" s="25"/>
      <c r="H95" s="19" t="s">
        <v>12</v>
      </c>
    </row>
    <row r="96" spans="1:17" x14ac:dyDescent="0.2">
      <c r="A96" s="20"/>
      <c r="B96" s="20"/>
      <c r="C96" s="21" t="s">
        <v>11</v>
      </c>
      <c r="D96" s="20"/>
      <c r="E96" s="20" t="s">
        <v>12</v>
      </c>
      <c r="F96" s="22" t="s">
        <v>13</v>
      </c>
      <c r="G96" s="23">
        <v>0</v>
      </c>
      <c r="H96" s="19" t="s">
        <v>12</v>
      </c>
    </row>
    <row r="97" spans="1:8" x14ac:dyDescent="0.2">
      <c r="A97" s="20"/>
      <c r="B97" s="20"/>
      <c r="C97" s="24"/>
      <c r="D97" s="20"/>
      <c r="E97" s="20"/>
      <c r="F97" s="25"/>
      <c r="G97" s="25"/>
      <c r="H97" s="19" t="s">
        <v>12</v>
      </c>
    </row>
    <row r="98" spans="1:8" x14ac:dyDescent="0.2">
      <c r="A98" s="32"/>
      <c r="B98" s="28"/>
      <c r="C98" s="28" t="s">
        <v>116</v>
      </c>
      <c r="D98" s="28"/>
      <c r="E98" s="32"/>
      <c r="F98" s="30">
        <v>48.154008150000003</v>
      </c>
      <c r="G98" s="31">
        <f>F98/F99</f>
        <v>1.7814455482081722E-2</v>
      </c>
      <c r="H98" s="19" t="s">
        <v>12</v>
      </c>
    </row>
    <row r="99" spans="1:8" x14ac:dyDescent="0.2">
      <c r="A99" s="24"/>
      <c r="B99" s="24"/>
      <c r="C99" s="21" t="s">
        <v>117</v>
      </c>
      <c r="D99" s="25"/>
      <c r="E99" s="25"/>
      <c r="F99" s="26">
        <f>F98+F89+F81+F65+F48</f>
        <v>2703.0861649650001</v>
      </c>
      <c r="G99" s="33">
        <f>G98+G89+G81+G65+G48</f>
        <v>1.0000000074208644</v>
      </c>
      <c r="H99" s="19" t="s">
        <v>12</v>
      </c>
    </row>
    <row r="100" spans="1:8" x14ac:dyDescent="0.2">
      <c r="A100" s="34"/>
      <c r="B100" s="34"/>
      <c r="C100" s="34"/>
      <c r="D100" s="35"/>
      <c r="E100" s="35"/>
      <c r="F100" s="35"/>
      <c r="G100" s="35"/>
    </row>
    <row r="101" spans="1:8" x14ac:dyDescent="0.2">
      <c r="A101" s="36"/>
      <c r="B101" s="169" t="s">
        <v>609</v>
      </c>
      <c r="C101" s="169"/>
      <c r="D101" s="169"/>
      <c r="E101" s="169"/>
      <c r="F101" s="169"/>
      <c r="G101" s="169"/>
      <c r="H101" s="169"/>
    </row>
    <row r="102" spans="1:8" x14ac:dyDescent="0.2">
      <c r="A102" s="36"/>
      <c r="B102" s="169" t="s">
        <v>610</v>
      </c>
      <c r="C102" s="169"/>
      <c r="D102" s="169"/>
      <c r="E102" s="169"/>
      <c r="F102" s="169"/>
      <c r="G102" s="169"/>
      <c r="H102" s="169"/>
    </row>
    <row r="103" spans="1:8" x14ac:dyDescent="0.2">
      <c r="A103" s="36"/>
      <c r="B103" s="169" t="s">
        <v>611</v>
      </c>
      <c r="C103" s="169"/>
      <c r="D103" s="169"/>
      <c r="E103" s="169"/>
      <c r="F103" s="169"/>
      <c r="G103" s="169"/>
      <c r="H103" s="169"/>
    </row>
    <row r="104" spans="1:8" x14ac:dyDescent="0.2">
      <c r="A104" s="38"/>
      <c r="B104" s="38"/>
      <c r="C104" s="38"/>
      <c r="D104" s="39"/>
      <c r="E104" s="39"/>
      <c r="F104" s="39"/>
      <c r="G104" s="39"/>
    </row>
    <row r="105" spans="1:8" x14ac:dyDescent="0.2">
      <c r="A105" s="36"/>
      <c r="B105" s="170" t="s">
        <v>118</v>
      </c>
      <c r="C105" s="171"/>
      <c r="D105" s="172"/>
      <c r="E105" s="40"/>
      <c r="F105" s="41"/>
      <c r="G105" s="41"/>
    </row>
    <row r="106" spans="1:8" x14ac:dyDescent="0.2">
      <c r="A106" s="36"/>
      <c r="B106" s="161" t="s">
        <v>119</v>
      </c>
      <c r="C106" s="162"/>
      <c r="D106" s="18" t="s">
        <v>699</v>
      </c>
      <c r="E106" s="40"/>
      <c r="F106" s="41"/>
      <c r="G106" s="41"/>
    </row>
    <row r="107" spans="1:8" x14ac:dyDescent="0.2">
      <c r="A107" s="36"/>
      <c r="B107" s="161" t="s">
        <v>121</v>
      </c>
      <c r="C107" s="162"/>
      <c r="D107" s="18" t="s">
        <v>120</v>
      </c>
      <c r="E107" s="40"/>
      <c r="F107" s="41"/>
      <c r="G107" s="41"/>
    </row>
    <row r="108" spans="1:8" x14ac:dyDescent="0.2">
      <c r="A108" s="36"/>
      <c r="B108" s="161" t="s">
        <v>122</v>
      </c>
      <c r="C108" s="162"/>
      <c r="D108" s="42" t="s">
        <v>12</v>
      </c>
      <c r="E108" s="40"/>
      <c r="F108" s="41"/>
      <c r="G108" s="41"/>
    </row>
    <row r="109" spans="1:8" x14ac:dyDescent="0.2">
      <c r="A109" s="43"/>
      <c r="B109" s="44" t="s">
        <v>12</v>
      </c>
      <c r="C109" s="44" t="s">
        <v>612</v>
      </c>
      <c r="D109" s="44" t="s">
        <v>123</v>
      </c>
      <c r="E109" s="43"/>
      <c r="F109" s="43"/>
      <c r="G109" s="43"/>
    </row>
    <row r="110" spans="1:8" x14ac:dyDescent="0.2">
      <c r="A110" s="43"/>
      <c r="B110" s="45" t="s">
        <v>124</v>
      </c>
      <c r="C110" s="46">
        <v>45808</v>
      </c>
      <c r="D110" s="46">
        <v>45823</v>
      </c>
      <c r="E110" s="43"/>
      <c r="F110" s="43"/>
      <c r="G110" s="43"/>
    </row>
    <row r="111" spans="1:8" x14ac:dyDescent="0.2">
      <c r="A111" s="47"/>
      <c r="B111" s="28" t="s">
        <v>125</v>
      </c>
      <c r="C111" s="48">
        <v>32.747199999999999</v>
      </c>
      <c r="D111" s="48">
        <v>32.466799999999999</v>
      </c>
      <c r="E111" s="47"/>
      <c r="F111" s="49"/>
      <c r="G111" s="50"/>
    </row>
    <row r="112" spans="1:8" ht="25.5" x14ac:dyDescent="0.2">
      <c r="A112" s="47"/>
      <c r="B112" s="28" t="s">
        <v>737</v>
      </c>
      <c r="C112" s="48">
        <v>13.7188</v>
      </c>
      <c r="D112" s="48">
        <v>13.6014</v>
      </c>
      <c r="E112" s="47"/>
      <c r="F112" s="49"/>
      <c r="G112" s="50"/>
    </row>
    <row r="113" spans="1:10" ht="25.5" x14ac:dyDescent="0.2">
      <c r="A113" s="47"/>
      <c r="B113" s="28" t="s">
        <v>738</v>
      </c>
      <c r="C113" s="48">
        <v>21.556100000000001</v>
      </c>
      <c r="D113" s="48">
        <v>21.0124</v>
      </c>
      <c r="E113" s="47"/>
      <c r="F113" s="49"/>
      <c r="G113" s="50"/>
    </row>
    <row r="114" spans="1:10" ht="25.5" x14ac:dyDescent="0.2">
      <c r="A114" s="47"/>
      <c r="B114" s="28" t="s">
        <v>739</v>
      </c>
      <c r="C114" s="48">
        <v>21.4604</v>
      </c>
      <c r="D114" s="48">
        <v>21.276599999999998</v>
      </c>
      <c r="E114" s="47"/>
      <c r="F114" s="49"/>
      <c r="G114" s="50"/>
    </row>
    <row r="115" spans="1:10" x14ac:dyDescent="0.2">
      <c r="A115" s="47"/>
      <c r="B115" s="28" t="s">
        <v>126</v>
      </c>
      <c r="C115" s="48">
        <v>29.735800000000001</v>
      </c>
      <c r="D115" s="48">
        <v>29.469200000000001</v>
      </c>
      <c r="E115" s="47"/>
      <c r="F115" s="49"/>
      <c r="G115" s="50"/>
    </row>
    <row r="116" spans="1:10" ht="25.5" x14ac:dyDescent="0.2">
      <c r="A116" s="47"/>
      <c r="B116" s="28" t="s">
        <v>741</v>
      </c>
      <c r="C116" s="48">
        <v>13.5642</v>
      </c>
      <c r="D116" s="48">
        <v>13.442600000000001</v>
      </c>
      <c r="E116" s="47"/>
      <c r="F116" s="49"/>
      <c r="G116" s="50"/>
    </row>
    <row r="117" spans="1:10" ht="25.5" x14ac:dyDescent="0.2">
      <c r="A117" s="47"/>
      <c r="B117" s="28" t="s">
        <v>713</v>
      </c>
      <c r="C117" s="48">
        <v>19.459199999999999</v>
      </c>
      <c r="D117" s="48">
        <v>18.960599999999999</v>
      </c>
      <c r="E117" s="47"/>
      <c r="F117" s="49"/>
      <c r="G117" s="50"/>
    </row>
    <row r="118" spans="1:10" ht="25.5" x14ac:dyDescent="0.2">
      <c r="A118" s="47"/>
      <c r="B118" s="28" t="s">
        <v>742</v>
      </c>
      <c r="C118" s="48">
        <v>19.290600000000001</v>
      </c>
      <c r="D118" s="48">
        <v>19.117699999999999</v>
      </c>
      <c r="E118" s="47"/>
      <c r="F118" s="49"/>
      <c r="G118" s="50"/>
    </row>
    <row r="119" spans="1:10" x14ac:dyDescent="0.2">
      <c r="A119" s="47"/>
      <c r="B119" s="47"/>
      <c r="C119" s="47"/>
      <c r="D119" s="47"/>
      <c r="E119" s="47"/>
      <c r="F119" s="47"/>
      <c r="G119" s="47"/>
    </row>
    <row r="120" spans="1:10" x14ac:dyDescent="0.2">
      <c r="A120" s="47"/>
      <c r="B120" s="164" t="s">
        <v>714</v>
      </c>
      <c r="C120" s="165"/>
      <c r="D120" s="21" t="s">
        <v>12</v>
      </c>
      <c r="E120" s="47"/>
      <c r="F120" s="47"/>
      <c r="G120" s="47"/>
    </row>
    <row r="121" spans="1:10" x14ac:dyDescent="0.2">
      <c r="A121" s="47"/>
      <c r="B121" s="80" t="s">
        <v>124</v>
      </c>
      <c r="C121" s="81" t="s">
        <v>127</v>
      </c>
      <c r="D121" s="81" t="s">
        <v>128</v>
      </c>
      <c r="E121" s="47"/>
      <c r="F121" s="47"/>
      <c r="G121" s="47"/>
    </row>
    <row r="122" spans="1:10" ht="25.5" x14ac:dyDescent="0.2">
      <c r="A122" s="47"/>
      <c r="B122" s="28" t="s">
        <v>738</v>
      </c>
      <c r="C122" s="82">
        <v>0.36</v>
      </c>
      <c r="D122" s="32" t="s">
        <v>129</v>
      </c>
      <c r="E122" s="47"/>
      <c r="F122" s="49"/>
      <c r="G122" s="50"/>
    </row>
    <row r="123" spans="1:10" ht="25.5" x14ac:dyDescent="0.2">
      <c r="A123" s="47"/>
      <c r="B123" s="28" t="s">
        <v>713</v>
      </c>
      <c r="C123" s="82">
        <v>0.32500000000000001</v>
      </c>
      <c r="D123" s="32" t="s">
        <v>129</v>
      </c>
      <c r="E123" s="47"/>
      <c r="F123" s="49"/>
      <c r="G123" s="50"/>
    </row>
    <row r="124" spans="1:10" x14ac:dyDescent="0.2">
      <c r="A124" s="47"/>
      <c r="B124" s="83"/>
      <c r="C124" s="83"/>
      <c r="D124" s="84"/>
      <c r="E124" s="47"/>
      <c r="F124" s="49"/>
      <c r="G124" s="50"/>
    </row>
    <row r="125" spans="1:10" x14ac:dyDescent="0.2">
      <c r="A125" s="43"/>
      <c r="B125" s="161" t="s">
        <v>130</v>
      </c>
      <c r="C125" s="162"/>
      <c r="D125" s="18" t="s">
        <v>120</v>
      </c>
      <c r="E125" s="54"/>
      <c r="F125" s="43"/>
      <c r="G125" s="43"/>
      <c r="J125" s="16"/>
    </row>
    <row r="126" spans="1:10" x14ac:dyDescent="0.2">
      <c r="A126" s="43"/>
      <c r="B126" s="161" t="s">
        <v>131</v>
      </c>
      <c r="C126" s="162"/>
      <c r="D126" s="18" t="s">
        <v>120</v>
      </c>
      <c r="E126" s="54"/>
      <c r="F126" s="43"/>
      <c r="G126" s="43"/>
      <c r="J126" s="16"/>
    </row>
    <row r="127" spans="1:10" x14ac:dyDescent="0.2">
      <c r="A127" s="43"/>
      <c r="B127" s="161" t="s">
        <v>613</v>
      </c>
      <c r="C127" s="162"/>
      <c r="D127" s="18" t="s">
        <v>120</v>
      </c>
      <c r="E127" s="54"/>
      <c r="F127" s="43"/>
      <c r="G127" s="43"/>
      <c r="J127" s="16"/>
    </row>
    <row r="128" spans="1:10" x14ac:dyDescent="0.2">
      <c r="A128" s="56"/>
      <c r="B128" s="56"/>
      <c r="C128" s="56"/>
      <c r="D128" s="56"/>
      <c r="E128" s="56"/>
      <c r="F128" s="56"/>
      <c r="G128" s="56"/>
      <c r="J128" s="16"/>
    </row>
    <row r="129" spans="2:18" s="57" customFormat="1" x14ac:dyDescent="0.2">
      <c r="B129" s="166" t="s">
        <v>614</v>
      </c>
      <c r="C129" s="167"/>
      <c r="D129" s="168"/>
      <c r="I129"/>
      <c r="J129" s="16"/>
      <c r="K129" s="55"/>
      <c r="L129" s="55"/>
      <c r="M129" s="55"/>
      <c r="N129" s="55"/>
      <c r="O129"/>
      <c r="R129"/>
    </row>
    <row r="130" spans="2:18" s="57" customFormat="1" ht="38.25" x14ac:dyDescent="0.2">
      <c r="B130" s="163" t="s">
        <v>615</v>
      </c>
      <c r="C130" s="163"/>
      <c r="D130" s="59" t="s">
        <v>528</v>
      </c>
      <c r="I130"/>
      <c r="J130" s="16"/>
      <c r="K130" s="55"/>
      <c r="L130" s="55"/>
      <c r="M130" s="55"/>
      <c r="N130" s="55"/>
      <c r="O130"/>
      <c r="R130"/>
    </row>
    <row r="131" spans="2:18" s="57" customFormat="1" x14ac:dyDescent="0.2">
      <c r="B131" s="174" t="s">
        <v>616</v>
      </c>
      <c r="C131" s="174"/>
      <c r="D131" s="60"/>
      <c r="I131"/>
      <c r="J131" s="16"/>
      <c r="K131" s="55"/>
      <c r="L131" s="55"/>
      <c r="M131" s="55"/>
      <c r="N131" s="55"/>
      <c r="O131"/>
      <c r="R131"/>
    </row>
    <row r="132" spans="2:18" s="57" customFormat="1" x14ac:dyDescent="0.2">
      <c r="B132" s="174"/>
      <c r="C132" s="174"/>
      <c r="D132" s="61"/>
      <c r="I132"/>
      <c r="J132" s="16"/>
      <c r="K132" s="55"/>
      <c r="L132" s="55"/>
      <c r="M132" s="55"/>
      <c r="N132" s="55"/>
      <c r="O132"/>
    </row>
    <row r="133" spans="2:18" s="57" customFormat="1" x14ac:dyDescent="0.2">
      <c r="B133" s="174" t="s">
        <v>617</v>
      </c>
      <c r="C133" s="174"/>
      <c r="D133" s="62">
        <v>6.1855413998774509</v>
      </c>
      <c r="I133"/>
      <c r="J133" s="16"/>
      <c r="K133" s="55"/>
      <c r="L133" s="55"/>
      <c r="M133" s="55"/>
      <c r="N133" s="55"/>
      <c r="O133"/>
    </row>
    <row r="134" spans="2:18" s="57" customFormat="1" x14ac:dyDescent="0.2">
      <c r="B134" s="174"/>
      <c r="C134" s="174"/>
      <c r="D134" s="61"/>
      <c r="I134"/>
      <c r="J134" s="16"/>
      <c r="K134" s="55"/>
      <c r="L134" s="55"/>
      <c r="M134" s="55"/>
      <c r="N134" s="55"/>
      <c r="O134"/>
    </row>
    <row r="135" spans="2:18" s="57" customFormat="1" x14ac:dyDescent="0.2">
      <c r="B135" s="174" t="s">
        <v>726</v>
      </c>
      <c r="C135" s="174"/>
      <c r="D135" s="62">
        <v>6.3460265449239932</v>
      </c>
      <c r="I135"/>
      <c r="J135" s="16"/>
      <c r="K135" s="55"/>
      <c r="L135" s="55"/>
      <c r="M135" s="55"/>
      <c r="N135" s="55"/>
      <c r="O135"/>
    </row>
    <row r="136" spans="2:18" s="57" customFormat="1" x14ac:dyDescent="0.2">
      <c r="B136" s="174" t="s">
        <v>727</v>
      </c>
      <c r="C136" s="174"/>
      <c r="D136" s="62">
        <v>14.551835293054284</v>
      </c>
      <c r="I136"/>
      <c r="J136" s="16"/>
      <c r="K136" s="55"/>
      <c r="L136" s="55"/>
      <c r="M136" s="55"/>
      <c r="N136" s="55"/>
      <c r="O136"/>
    </row>
    <row r="137" spans="2:18" s="57" customFormat="1" x14ac:dyDescent="0.2">
      <c r="B137" s="174"/>
      <c r="C137" s="174"/>
      <c r="D137" s="61"/>
      <c r="I137"/>
      <c r="J137" s="16"/>
      <c r="K137" s="55"/>
      <c r="L137" s="55"/>
      <c r="M137" s="55"/>
      <c r="N137" s="55"/>
      <c r="O137"/>
    </row>
    <row r="138" spans="2:18" s="57" customFormat="1" x14ac:dyDescent="0.2">
      <c r="B138" s="174" t="s">
        <v>620</v>
      </c>
      <c r="C138" s="174"/>
      <c r="D138" s="85" t="s">
        <v>744</v>
      </c>
      <c r="I138"/>
      <c r="J138" s="16"/>
      <c r="K138" s="55"/>
      <c r="L138" s="55"/>
      <c r="M138" s="55"/>
      <c r="N138" s="55"/>
      <c r="O138"/>
    </row>
    <row r="139" spans="2:18" s="57" customFormat="1" x14ac:dyDescent="0.2">
      <c r="B139" s="175" t="s">
        <v>621</v>
      </c>
      <c r="C139" s="177"/>
      <c r="D139" s="176"/>
      <c r="I139"/>
      <c r="J139" s="16"/>
      <c r="K139" s="55"/>
      <c r="L139" s="55"/>
      <c r="M139" s="55"/>
      <c r="N139" s="55"/>
      <c r="O139"/>
    </row>
    <row r="140" spans="2:18" x14ac:dyDescent="0.2">
      <c r="J140" s="16"/>
    </row>
    <row r="141" spans="2:18" ht="13.5" x14ac:dyDescent="0.2">
      <c r="B141" s="244" t="s">
        <v>748</v>
      </c>
      <c r="C141" s="244"/>
      <c r="D141" s="244"/>
      <c r="E141" s="244"/>
      <c r="F141" s="244"/>
      <c r="G141" s="244"/>
      <c r="H141" s="244"/>
      <c r="I141" s="55"/>
      <c r="J141" s="16"/>
      <c r="K141" s="55"/>
      <c r="L141" s="55"/>
      <c r="M141" s="55"/>
      <c r="N141" s="55"/>
      <c r="O141" s="55"/>
      <c r="P141" s="55"/>
    </row>
    <row r="142" spans="2:18" s="58" customFormat="1" ht="26.25" customHeight="1" x14ac:dyDescent="0.2">
      <c r="B142" s="86" t="s">
        <v>638</v>
      </c>
      <c r="C142" s="86" t="s">
        <v>639</v>
      </c>
      <c r="D142" s="202" t="s">
        <v>728</v>
      </c>
      <c r="E142" s="202"/>
      <c r="F142" s="202"/>
      <c r="G142" s="201" t="s">
        <v>641</v>
      </c>
      <c r="H142" s="201"/>
      <c r="J142" s="16"/>
      <c r="K142" s="88"/>
      <c r="L142" s="88"/>
      <c r="M142" s="88"/>
      <c r="N142" s="88"/>
      <c r="O142" s="88"/>
      <c r="P142" s="88"/>
    </row>
    <row r="143" spans="2:18" ht="27" x14ac:dyDescent="0.25">
      <c r="B143" s="89" t="s">
        <v>679</v>
      </c>
      <c r="C143" s="90" t="s">
        <v>729</v>
      </c>
      <c r="D143" s="185">
        <v>0</v>
      </c>
      <c r="E143" s="185"/>
      <c r="F143" s="185"/>
      <c r="G143" s="185">
        <v>0</v>
      </c>
      <c r="H143" s="185"/>
      <c r="J143" s="16"/>
      <c r="K143" s="55"/>
      <c r="L143" s="55"/>
      <c r="M143" s="55"/>
      <c r="N143" s="55"/>
      <c r="O143" s="55"/>
      <c r="P143" s="55"/>
    </row>
    <row r="144" spans="2:18" ht="13.5" x14ac:dyDescent="0.25">
      <c r="B144" s="91"/>
      <c r="C144" s="91"/>
      <c r="D144" s="186"/>
      <c r="E144" s="186"/>
      <c r="F144" s="186"/>
      <c r="G144" s="186"/>
      <c r="H144" s="186"/>
      <c r="J144" s="16"/>
      <c r="K144" s="55"/>
      <c r="L144" s="55"/>
      <c r="M144" s="55"/>
      <c r="N144" s="55"/>
      <c r="O144" s="55"/>
      <c r="P144" s="55"/>
    </row>
    <row r="145" spans="2:16" ht="13.5" x14ac:dyDescent="0.25">
      <c r="B145" s="184" t="s">
        <v>648</v>
      </c>
      <c r="C145" s="184"/>
      <c r="D145" s="184"/>
      <c r="E145" s="184"/>
      <c r="F145" s="184"/>
      <c r="G145" s="184"/>
      <c r="H145" s="184"/>
      <c r="J145" s="16"/>
      <c r="K145" s="55"/>
      <c r="L145" s="55"/>
      <c r="M145" s="55"/>
      <c r="N145" s="55"/>
      <c r="O145" s="55"/>
      <c r="P145" s="55"/>
    </row>
    <row r="146" spans="2:16" ht="13.5" customHeight="1" x14ac:dyDescent="0.2">
      <c r="B146" s="201" t="s">
        <v>638</v>
      </c>
      <c r="C146" s="201" t="s">
        <v>639</v>
      </c>
      <c r="D146" s="201" t="s">
        <v>682</v>
      </c>
      <c r="E146" s="201"/>
      <c r="F146" s="201"/>
      <c r="G146" s="201"/>
      <c r="H146" s="202" t="s">
        <v>730</v>
      </c>
      <c r="I146" s="202" t="s">
        <v>731</v>
      </c>
      <c r="J146" s="202" t="s">
        <v>685</v>
      </c>
      <c r="K146" s="55"/>
      <c r="L146" s="55"/>
      <c r="M146" s="55"/>
      <c r="N146" s="55"/>
      <c r="O146" s="55"/>
      <c r="P146" s="55"/>
    </row>
    <row r="147" spans="2:16" ht="121.5" x14ac:dyDescent="0.2">
      <c r="B147" s="201"/>
      <c r="C147" s="201"/>
      <c r="D147" s="87" t="s">
        <v>686</v>
      </c>
      <c r="E147" s="87" t="s">
        <v>687</v>
      </c>
      <c r="F147" s="87" t="s">
        <v>688</v>
      </c>
      <c r="G147" s="87" t="s">
        <v>719</v>
      </c>
      <c r="H147" s="202"/>
      <c r="I147" s="202"/>
      <c r="J147" s="202"/>
      <c r="K147" s="55"/>
      <c r="L147" s="55"/>
      <c r="M147" s="55"/>
      <c r="N147" s="55"/>
      <c r="O147" s="55"/>
    </row>
    <row r="148" spans="2:16" ht="27" x14ac:dyDescent="0.25">
      <c r="B148" s="91" t="s">
        <v>679</v>
      </c>
      <c r="C148" s="90" t="s">
        <v>732</v>
      </c>
      <c r="D148" s="93">
        <v>500</v>
      </c>
      <c r="E148" s="93">
        <v>9.9405737999999992</v>
      </c>
      <c r="F148" s="94">
        <v>16.00737140547945</v>
      </c>
      <c r="G148" s="93">
        <v>525.94794520547941</v>
      </c>
      <c r="H148" s="8">
        <v>233.40679</v>
      </c>
      <c r="I148" s="8">
        <v>4.01</v>
      </c>
      <c r="J148" s="95">
        <f>H148+I148</f>
        <v>237.41678999999999</v>
      </c>
      <c r="K148" s="55"/>
      <c r="L148" s="55"/>
      <c r="M148" s="55"/>
      <c r="N148" s="55"/>
      <c r="O148" s="55"/>
      <c r="P148" s="55"/>
    </row>
    <row r="149" spans="2:16" x14ac:dyDescent="0.2">
      <c r="J149" s="16"/>
      <c r="P149" s="55"/>
    </row>
    <row r="150" spans="2:16" x14ac:dyDescent="0.2">
      <c r="J150" s="16"/>
      <c r="K150" s="55"/>
      <c r="L150" s="55"/>
      <c r="M150" s="55"/>
      <c r="N150" s="55"/>
      <c r="O150" s="55"/>
      <c r="P150" s="55"/>
    </row>
    <row r="151" spans="2:16" ht="13.5" x14ac:dyDescent="0.25">
      <c r="B151" s="96" t="s">
        <v>668</v>
      </c>
      <c r="J151" s="16"/>
      <c r="K151" s="55"/>
      <c r="L151" s="55"/>
      <c r="M151" s="55"/>
      <c r="N151" s="55"/>
      <c r="O151" s="55"/>
      <c r="P151" s="55"/>
    </row>
    <row r="152" spans="2:16" x14ac:dyDescent="0.2">
      <c r="B152" s="55"/>
      <c r="C152" s="55"/>
      <c r="D152" s="55"/>
      <c r="E152" s="55"/>
      <c r="F152" s="55"/>
      <c r="G152" s="55"/>
      <c r="H152" s="55"/>
      <c r="J152" s="16"/>
      <c r="K152" s="55"/>
      <c r="L152" s="55"/>
      <c r="M152" s="55"/>
      <c r="N152" s="55"/>
      <c r="O152" s="55"/>
      <c r="P152" s="55"/>
    </row>
    <row r="153" spans="2:16" x14ac:dyDescent="0.2">
      <c r="B153" s="97" t="s">
        <v>669</v>
      </c>
      <c r="C153" s="55"/>
      <c r="D153" s="55"/>
      <c r="E153" s="55"/>
      <c r="F153" s="55"/>
      <c r="G153" s="55"/>
      <c r="H153" s="55"/>
      <c r="J153" s="16"/>
      <c r="K153" s="55"/>
      <c r="L153" s="55"/>
      <c r="M153" s="55"/>
      <c r="N153" s="55"/>
      <c r="O153" s="55"/>
      <c r="P153" s="55"/>
    </row>
    <row r="154" spans="2:16" x14ac:dyDescent="0.2">
      <c r="B154" s="55"/>
      <c r="C154" s="55"/>
      <c r="D154" s="55"/>
      <c r="E154" s="55"/>
      <c r="F154" s="55"/>
      <c r="G154" s="55"/>
      <c r="H154" s="55"/>
      <c r="J154" s="16"/>
      <c r="K154" s="55"/>
      <c r="L154" s="55"/>
      <c r="M154" s="55"/>
      <c r="N154" s="55"/>
      <c r="O154" s="55"/>
      <c r="P154" s="55"/>
    </row>
    <row r="155" spans="2:16" x14ac:dyDescent="0.2">
      <c r="B155" s="97" t="s">
        <v>670</v>
      </c>
      <c r="C155" s="55"/>
      <c r="D155" s="55"/>
      <c r="E155" s="55"/>
      <c r="F155" s="55"/>
      <c r="G155" s="55"/>
      <c r="H155" s="55"/>
      <c r="J155" s="16"/>
      <c r="K155" s="55"/>
      <c r="L155" s="55"/>
      <c r="M155" s="55"/>
      <c r="N155" s="55"/>
      <c r="O155" s="55"/>
      <c r="P155" s="55"/>
    </row>
    <row r="156" spans="2:16" x14ac:dyDescent="0.2">
      <c r="J156" s="16"/>
      <c r="K156" s="55"/>
      <c r="L156" s="55"/>
      <c r="M156" s="55"/>
      <c r="N156" s="55"/>
      <c r="O156" s="55"/>
    </row>
    <row r="157" spans="2:16" x14ac:dyDescent="0.2">
      <c r="B157" s="97" t="s">
        <v>671</v>
      </c>
      <c r="J157" s="16"/>
      <c r="K157" s="55"/>
      <c r="L157" s="55"/>
      <c r="M157" s="55"/>
      <c r="N157" s="55"/>
      <c r="O157" s="55"/>
    </row>
    <row r="158" spans="2:16" x14ac:dyDescent="0.2">
      <c r="J158" s="16"/>
    </row>
    <row r="159" spans="2:16" ht="25.5" x14ac:dyDescent="0.2">
      <c r="B159" s="66" t="s">
        <v>622</v>
      </c>
    </row>
    <row r="161" spans="2:10" ht="153.75" customHeight="1" x14ac:dyDescent="0.2"/>
    <row r="164" spans="2:10" x14ac:dyDescent="0.2">
      <c r="B164" s="67" t="s">
        <v>623</v>
      </c>
      <c r="C164" s="68"/>
      <c r="D164" s="67"/>
    </row>
    <row r="165" spans="2:10" x14ac:dyDescent="0.2">
      <c r="B165" s="67" t="s">
        <v>733</v>
      </c>
      <c r="D165" s="67"/>
    </row>
    <row r="166" spans="2:10" ht="165" customHeight="1" x14ac:dyDescent="0.2"/>
    <row r="168" spans="2:10" x14ac:dyDescent="0.2">
      <c r="J168" s="16"/>
    </row>
    <row r="169" spans="2:10" x14ac:dyDescent="0.2">
      <c r="J169" s="16"/>
    </row>
    <row r="170" spans="2:10" x14ac:dyDescent="0.2">
      <c r="J170" s="16"/>
    </row>
    <row r="171" spans="2:10" x14ac:dyDescent="0.2">
      <c r="J171" s="16"/>
    </row>
    <row r="172" spans="2:10" x14ac:dyDescent="0.2">
      <c r="J172" s="16"/>
    </row>
  </sheetData>
  <mergeCells count="39">
    <mergeCell ref="I146:I147"/>
    <mergeCell ref="J146:J147"/>
    <mergeCell ref="B145:H145"/>
    <mergeCell ref="B146:B147"/>
    <mergeCell ref="C146:C147"/>
    <mergeCell ref="D146:G146"/>
    <mergeCell ref="H146:H147"/>
    <mergeCell ref="D142:F142"/>
    <mergeCell ref="G142:H142"/>
    <mergeCell ref="D143:F143"/>
    <mergeCell ref="G143:H143"/>
    <mergeCell ref="D144:F144"/>
    <mergeCell ref="G144:H144"/>
    <mergeCell ref="B136:C136"/>
    <mergeCell ref="B137:C137"/>
    <mergeCell ref="B138:C138"/>
    <mergeCell ref="B139:D139"/>
    <mergeCell ref="B141:H141"/>
    <mergeCell ref="B131:C131"/>
    <mergeCell ref="B132:C132"/>
    <mergeCell ref="B133:C133"/>
    <mergeCell ref="B134:C134"/>
    <mergeCell ref="B135:C135"/>
    <mergeCell ref="A1:H1"/>
    <mergeCell ref="A2:H2"/>
    <mergeCell ref="A3:H3"/>
    <mergeCell ref="B101:H101"/>
    <mergeCell ref="B102:H102"/>
    <mergeCell ref="B103:H103"/>
    <mergeCell ref="B105:D105"/>
    <mergeCell ref="B106:C106"/>
    <mergeCell ref="B107:C107"/>
    <mergeCell ref="B108:C108"/>
    <mergeCell ref="B127:C127"/>
    <mergeCell ref="B130:C130"/>
    <mergeCell ref="B120:C120"/>
    <mergeCell ref="B126:C126"/>
    <mergeCell ref="B125:C125"/>
    <mergeCell ref="B129:D129"/>
  </mergeCells>
  <hyperlinks>
    <hyperlink ref="I1" location="Index!B2" display="Index" xr:uid="{A2DA8C21-E4B7-4AC1-B766-9DBAF2E1E52B}"/>
    <hyperlink ref="B153" r:id="rId1" xr:uid="{C5FDE110-0008-4E36-A361-2386BBBC26A2}"/>
    <hyperlink ref="B155" r:id="rId2" xr:uid="{C4158430-742E-4003-A853-E6B9C63D1FC3}"/>
    <hyperlink ref="B157" r:id="rId3" xr:uid="{C9C3E1A5-A63B-49C1-BFBE-EA82A8D3F54F}"/>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1831D-2C00-4A51-9FB3-C999A2A403A8}">
  <sheetPr>
    <outlinePr summaryBelow="0" summaryRight="0"/>
  </sheetPr>
  <dimension ref="A1:U116"/>
  <sheetViews>
    <sheetView showGridLines="0" workbookViewId="0">
      <selection activeCell="A2" sqref="A2:H2"/>
    </sheetView>
  </sheetViews>
  <sheetFormatPr defaultRowHeight="12.75" x14ac:dyDescent="0.2"/>
  <cols>
    <col min="1" max="1" width="5.85546875" bestFit="1" customWidth="1"/>
    <col min="2" max="2" width="21.5703125" customWidth="1"/>
    <col min="3" max="3" width="40.28515625" customWidth="1"/>
    <col min="4" max="4" width="14.140625" customWidth="1"/>
    <col min="5" max="5" width="8.7109375" bestFit="1" customWidth="1"/>
    <col min="6" max="6" width="10.140625" bestFit="1" customWidth="1"/>
    <col min="7" max="7" width="14" bestFit="1" customWidth="1"/>
    <col min="8" max="8" width="11" customWidth="1"/>
  </cols>
  <sheetData>
    <row r="1" spans="1:9" ht="15" x14ac:dyDescent="0.2">
      <c r="A1" s="173" t="s">
        <v>0</v>
      </c>
      <c r="B1" s="173"/>
      <c r="C1" s="173"/>
      <c r="D1" s="173"/>
      <c r="E1" s="173"/>
      <c r="F1" s="173"/>
      <c r="G1" s="173"/>
      <c r="H1" s="173"/>
      <c r="I1" s="1" t="s">
        <v>594</v>
      </c>
    </row>
    <row r="2" spans="1:9" ht="15" x14ac:dyDescent="0.2">
      <c r="A2" s="173" t="s">
        <v>588</v>
      </c>
      <c r="B2" s="173"/>
      <c r="C2" s="173"/>
      <c r="D2" s="173"/>
      <c r="E2" s="173"/>
      <c r="F2" s="173"/>
      <c r="G2" s="173"/>
      <c r="H2" s="173"/>
    </row>
    <row r="3" spans="1:9" ht="15" x14ac:dyDescent="0.2">
      <c r="A3" s="173" t="s">
        <v>750</v>
      </c>
      <c r="B3" s="173"/>
      <c r="C3" s="173"/>
      <c r="D3" s="173"/>
      <c r="E3" s="173"/>
      <c r="F3" s="173"/>
      <c r="G3" s="173"/>
      <c r="H3" s="173"/>
    </row>
    <row r="4" spans="1:9" s="16" customFormat="1" ht="30" x14ac:dyDescent="0.2">
      <c r="A4" s="14" t="s">
        <v>2</v>
      </c>
      <c r="B4" s="14" t="s">
        <v>3</v>
      </c>
      <c r="C4" s="14" t="s">
        <v>4</v>
      </c>
      <c r="D4" s="14" t="s">
        <v>5</v>
      </c>
      <c r="E4" s="14" t="s">
        <v>6</v>
      </c>
      <c r="F4" s="14" t="s">
        <v>7</v>
      </c>
      <c r="G4" s="14" t="s">
        <v>8</v>
      </c>
      <c r="H4" s="15" t="s">
        <v>749</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x14ac:dyDescent="0.2">
      <c r="A28" s="20"/>
      <c r="B28" s="20"/>
      <c r="C28" s="21" t="s">
        <v>11</v>
      </c>
      <c r="D28" s="20"/>
      <c r="E28" s="20" t="s">
        <v>12</v>
      </c>
      <c r="F28" s="22" t="s">
        <v>13</v>
      </c>
      <c r="G28" s="23">
        <v>0</v>
      </c>
      <c r="H28" s="19" t="s">
        <v>12</v>
      </c>
    </row>
    <row r="29" spans="1:8" x14ac:dyDescent="0.2">
      <c r="A29" s="20"/>
      <c r="B29" s="20"/>
      <c r="C29" s="24"/>
      <c r="D29" s="20"/>
      <c r="E29" s="20"/>
      <c r="F29" s="25"/>
      <c r="G29" s="25"/>
      <c r="H29" s="19" t="s">
        <v>12</v>
      </c>
    </row>
    <row r="30" spans="1:8" x14ac:dyDescent="0.2">
      <c r="A30" s="20"/>
      <c r="B30" s="20"/>
      <c r="C30" s="21" t="s">
        <v>77</v>
      </c>
      <c r="D30" s="20"/>
      <c r="E30" s="20"/>
      <c r="F30" s="20"/>
      <c r="G30" s="20"/>
      <c r="H30" s="19" t="s">
        <v>12</v>
      </c>
    </row>
    <row r="31" spans="1:8" x14ac:dyDescent="0.2">
      <c r="A31" s="20"/>
      <c r="B31" s="20"/>
      <c r="C31" s="21" t="s">
        <v>11</v>
      </c>
      <c r="D31" s="20"/>
      <c r="E31" s="20" t="s">
        <v>12</v>
      </c>
      <c r="F31" s="22" t="s">
        <v>13</v>
      </c>
      <c r="G31" s="23">
        <v>0</v>
      </c>
      <c r="H31" s="19" t="s">
        <v>12</v>
      </c>
    </row>
    <row r="32" spans="1:8" x14ac:dyDescent="0.2">
      <c r="A32" s="20"/>
      <c r="B32" s="20"/>
      <c r="C32" s="24"/>
      <c r="D32" s="20"/>
      <c r="E32" s="20"/>
      <c r="F32" s="25"/>
      <c r="G32" s="25"/>
      <c r="H32" s="19" t="s">
        <v>12</v>
      </c>
    </row>
    <row r="33" spans="1:8" x14ac:dyDescent="0.2">
      <c r="A33" s="20"/>
      <c r="B33" s="20"/>
      <c r="C33" s="21" t="s">
        <v>78</v>
      </c>
      <c r="D33" s="20"/>
      <c r="E33" s="20"/>
      <c r="F33" s="20"/>
      <c r="G33" s="20"/>
      <c r="H33" s="19" t="s">
        <v>12</v>
      </c>
    </row>
    <row r="34" spans="1:8" x14ac:dyDescent="0.2">
      <c r="A34" s="20"/>
      <c r="B34" s="20"/>
      <c r="C34" s="21" t="s">
        <v>11</v>
      </c>
      <c r="D34" s="20"/>
      <c r="E34" s="20" t="s">
        <v>12</v>
      </c>
      <c r="F34" s="22" t="s">
        <v>13</v>
      </c>
      <c r="G34" s="23">
        <v>0</v>
      </c>
      <c r="H34" s="19" t="s">
        <v>12</v>
      </c>
    </row>
    <row r="35" spans="1:8" x14ac:dyDescent="0.2">
      <c r="A35" s="20"/>
      <c r="B35" s="20"/>
      <c r="C35" s="24"/>
      <c r="D35" s="20"/>
      <c r="E35" s="20"/>
      <c r="F35" s="25"/>
      <c r="G35" s="25"/>
      <c r="H35" s="19" t="s">
        <v>12</v>
      </c>
    </row>
    <row r="36" spans="1:8" x14ac:dyDescent="0.2">
      <c r="A36" s="20"/>
      <c r="B36" s="20"/>
      <c r="C36" s="21" t="s">
        <v>100</v>
      </c>
      <c r="D36" s="20"/>
      <c r="E36" s="20"/>
      <c r="F36" s="25"/>
      <c r="G36" s="25"/>
      <c r="H36" s="19" t="s">
        <v>12</v>
      </c>
    </row>
    <row r="37" spans="1:8" x14ac:dyDescent="0.2">
      <c r="A37" s="20"/>
      <c r="B37" s="20"/>
      <c r="C37" s="21" t="s">
        <v>11</v>
      </c>
      <c r="D37" s="20"/>
      <c r="E37" s="20" t="s">
        <v>12</v>
      </c>
      <c r="F37" s="22" t="s">
        <v>13</v>
      </c>
      <c r="G37" s="23">
        <v>0</v>
      </c>
      <c r="H37" s="19" t="s">
        <v>12</v>
      </c>
    </row>
    <row r="38" spans="1:8" x14ac:dyDescent="0.2">
      <c r="A38" s="20"/>
      <c r="B38" s="20"/>
      <c r="C38" s="24"/>
      <c r="D38" s="20"/>
      <c r="E38" s="20"/>
      <c r="F38" s="25"/>
      <c r="G38" s="25"/>
      <c r="H38" s="19" t="s">
        <v>12</v>
      </c>
    </row>
    <row r="39" spans="1:8" x14ac:dyDescent="0.2">
      <c r="A39" s="20"/>
      <c r="B39" s="20"/>
      <c r="C39" s="21" t="s">
        <v>101</v>
      </c>
      <c r="D39" s="20"/>
      <c r="E39" s="20"/>
      <c r="F39" s="26">
        <v>0</v>
      </c>
      <c r="G39" s="23">
        <v>0</v>
      </c>
      <c r="H39" s="19" t="s">
        <v>12</v>
      </c>
    </row>
    <row r="40" spans="1:8" x14ac:dyDescent="0.2">
      <c r="A40" s="20"/>
      <c r="B40" s="20"/>
      <c r="C40" s="24"/>
      <c r="D40" s="20"/>
      <c r="E40" s="20"/>
      <c r="F40" s="25"/>
      <c r="G40" s="25"/>
      <c r="H40" s="19" t="s">
        <v>12</v>
      </c>
    </row>
    <row r="41" spans="1:8" x14ac:dyDescent="0.2">
      <c r="A41" s="20"/>
      <c r="B41" s="20"/>
      <c r="C41" s="21" t="s">
        <v>102</v>
      </c>
      <c r="D41" s="20"/>
      <c r="E41" s="20"/>
      <c r="F41" s="25"/>
      <c r="G41" s="25"/>
      <c r="H41" s="19" t="s">
        <v>12</v>
      </c>
    </row>
    <row r="42" spans="1:8" x14ac:dyDescent="0.2">
      <c r="A42" s="20"/>
      <c r="B42" s="20"/>
      <c r="C42" s="21" t="s">
        <v>103</v>
      </c>
      <c r="D42" s="20"/>
      <c r="E42" s="20"/>
      <c r="F42" s="25"/>
      <c r="G42" s="25"/>
      <c r="H42" s="19" t="s">
        <v>12</v>
      </c>
    </row>
    <row r="43" spans="1:8" x14ac:dyDescent="0.2">
      <c r="A43" s="20"/>
      <c r="B43" s="20"/>
      <c r="C43" s="21" t="s">
        <v>11</v>
      </c>
      <c r="D43" s="20"/>
      <c r="E43" s="20" t="s">
        <v>12</v>
      </c>
      <c r="F43" s="22" t="s">
        <v>13</v>
      </c>
      <c r="G43" s="23">
        <v>0</v>
      </c>
      <c r="H43" s="19" t="s">
        <v>12</v>
      </c>
    </row>
    <row r="44" spans="1:8" x14ac:dyDescent="0.2">
      <c r="A44" s="20"/>
      <c r="B44" s="20"/>
      <c r="C44" s="24"/>
      <c r="D44" s="20"/>
      <c r="E44" s="20"/>
      <c r="F44" s="25"/>
      <c r="G44" s="25"/>
      <c r="H44" s="19" t="s">
        <v>12</v>
      </c>
    </row>
    <row r="45" spans="1:8" x14ac:dyDescent="0.2">
      <c r="A45" s="20"/>
      <c r="B45" s="20"/>
      <c r="C45" s="21" t="s">
        <v>104</v>
      </c>
      <c r="D45" s="20"/>
      <c r="E45" s="20"/>
      <c r="F45" s="25"/>
      <c r="G45" s="25"/>
      <c r="H45" s="19" t="s">
        <v>12</v>
      </c>
    </row>
    <row r="46" spans="1:8" x14ac:dyDescent="0.2">
      <c r="A46" s="20"/>
      <c r="B46" s="20"/>
      <c r="C46" s="21" t="s">
        <v>11</v>
      </c>
      <c r="D46" s="20"/>
      <c r="E46" s="20" t="s">
        <v>12</v>
      </c>
      <c r="F46" s="22" t="s">
        <v>13</v>
      </c>
      <c r="G46" s="23">
        <v>0</v>
      </c>
      <c r="H46" s="19" t="s">
        <v>12</v>
      </c>
    </row>
    <row r="47" spans="1:8" x14ac:dyDescent="0.2">
      <c r="A47" s="20"/>
      <c r="B47" s="20"/>
      <c r="C47" s="24"/>
      <c r="D47" s="20"/>
      <c r="E47" s="20"/>
      <c r="F47" s="25"/>
      <c r="G47" s="25"/>
      <c r="H47" s="19" t="s">
        <v>12</v>
      </c>
    </row>
    <row r="48" spans="1:8" x14ac:dyDescent="0.2">
      <c r="A48" s="20"/>
      <c r="B48" s="20"/>
      <c r="C48" s="21" t="s">
        <v>105</v>
      </c>
      <c r="D48" s="20"/>
      <c r="E48" s="20"/>
      <c r="F48" s="25"/>
      <c r="G48" s="25"/>
      <c r="H48" s="19" t="s">
        <v>12</v>
      </c>
    </row>
    <row r="49" spans="1:8" x14ac:dyDescent="0.2">
      <c r="A49" s="27">
        <v>1</v>
      </c>
      <c r="B49" s="28" t="s">
        <v>589</v>
      </c>
      <c r="C49" s="28" t="s">
        <v>590</v>
      </c>
      <c r="D49" s="28" t="s">
        <v>81</v>
      </c>
      <c r="E49" s="29">
        <v>1500000</v>
      </c>
      <c r="F49" s="30">
        <v>1499.337</v>
      </c>
      <c r="G49" s="31">
        <v>1.9713100000000001E-2</v>
      </c>
      <c r="H49" s="19">
        <v>5.3800999999999997</v>
      </c>
    </row>
    <row r="50" spans="1:8" x14ac:dyDescent="0.2">
      <c r="A50" s="27">
        <v>2</v>
      </c>
      <c r="B50" s="28" t="s">
        <v>591</v>
      </c>
      <c r="C50" s="28" t="s">
        <v>592</v>
      </c>
      <c r="D50" s="28" t="s">
        <v>81</v>
      </c>
      <c r="E50" s="29">
        <v>500000</v>
      </c>
      <c r="F50" s="30">
        <v>498.767</v>
      </c>
      <c r="G50" s="31">
        <v>6.5577300000000003E-3</v>
      </c>
      <c r="H50" s="19">
        <v>5.3087999999999997</v>
      </c>
    </row>
    <row r="51" spans="1:8" x14ac:dyDescent="0.2">
      <c r="A51" s="20"/>
      <c r="B51" s="20"/>
      <c r="C51" s="21" t="s">
        <v>11</v>
      </c>
      <c r="D51" s="20"/>
      <c r="E51" s="20" t="s">
        <v>12</v>
      </c>
      <c r="F51" s="26">
        <v>1998.104</v>
      </c>
      <c r="G51" s="23">
        <v>2.6270829999999998E-2</v>
      </c>
      <c r="H51" s="19" t="s">
        <v>12</v>
      </c>
    </row>
    <row r="52" spans="1:8" x14ac:dyDescent="0.2">
      <c r="A52" s="20"/>
      <c r="B52" s="20"/>
      <c r="C52" s="24"/>
      <c r="D52" s="20"/>
      <c r="E52" s="20"/>
      <c r="F52" s="25"/>
      <c r="G52" s="25"/>
      <c r="H52" s="19" t="s">
        <v>12</v>
      </c>
    </row>
    <row r="53" spans="1:8" x14ac:dyDescent="0.2">
      <c r="A53" s="20"/>
      <c r="B53" s="20"/>
      <c r="C53" s="21" t="s">
        <v>106</v>
      </c>
      <c r="D53" s="20"/>
      <c r="E53" s="20"/>
      <c r="F53" s="25"/>
      <c r="G53" s="25"/>
      <c r="H53" s="19" t="s">
        <v>12</v>
      </c>
    </row>
    <row r="54" spans="1:8" x14ac:dyDescent="0.2">
      <c r="A54" s="27">
        <v>1</v>
      </c>
      <c r="B54" s="28"/>
      <c r="C54" s="28" t="s">
        <v>259</v>
      </c>
      <c r="D54" s="28"/>
      <c r="E54" s="32"/>
      <c r="F54" s="30">
        <v>70917.995563799996</v>
      </c>
      <c r="G54" s="31">
        <v>0.93242133999999999</v>
      </c>
      <c r="H54" s="19">
        <v>5.29</v>
      </c>
    </row>
    <row r="55" spans="1:8" x14ac:dyDescent="0.2">
      <c r="A55" s="27">
        <v>2</v>
      </c>
      <c r="B55" s="28"/>
      <c r="C55" s="28" t="s">
        <v>107</v>
      </c>
      <c r="D55" s="28"/>
      <c r="E55" s="32"/>
      <c r="F55" s="30">
        <v>2966.2432479939998</v>
      </c>
      <c r="G55" s="31">
        <v>3.8999810000000003E-2</v>
      </c>
      <c r="H55" s="19">
        <v>5.07</v>
      </c>
    </row>
    <row r="56" spans="1:8" x14ac:dyDescent="0.2">
      <c r="A56" s="20"/>
      <c r="B56" s="20"/>
      <c r="C56" s="21" t="s">
        <v>11</v>
      </c>
      <c r="D56" s="20"/>
      <c r="E56" s="20" t="s">
        <v>12</v>
      </c>
      <c r="F56" s="26">
        <v>73884.238811793999</v>
      </c>
      <c r="G56" s="23">
        <v>0.97142114999999996</v>
      </c>
      <c r="H56" s="19" t="s">
        <v>12</v>
      </c>
    </row>
    <row r="57" spans="1:8" x14ac:dyDescent="0.2">
      <c r="A57" s="20"/>
      <c r="B57" s="20"/>
      <c r="C57" s="24"/>
      <c r="D57" s="20"/>
      <c r="E57" s="20"/>
      <c r="F57" s="25"/>
      <c r="G57" s="25"/>
      <c r="H57" s="19" t="s">
        <v>12</v>
      </c>
    </row>
    <row r="58" spans="1:8" x14ac:dyDescent="0.2">
      <c r="A58" s="20"/>
      <c r="B58" s="20"/>
      <c r="C58" s="21" t="s">
        <v>108</v>
      </c>
      <c r="D58" s="20"/>
      <c r="E58" s="20"/>
      <c r="F58" s="26">
        <v>75882.342811794006</v>
      </c>
      <c r="G58" s="23">
        <v>0.99769198000000003</v>
      </c>
      <c r="H58" s="19" t="s">
        <v>12</v>
      </c>
    </row>
    <row r="59" spans="1:8" x14ac:dyDescent="0.2">
      <c r="A59" s="20"/>
      <c r="B59" s="20"/>
      <c r="C59" s="25"/>
      <c r="D59" s="20"/>
      <c r="E59" s="20"/>
      <c r="F59" s="20"/>
      <c r="G59" s="20"/>
      <c r="H59" s="19" t="s">
        <v>12</v>
      </c>
    </row>
    <row r="60" spans="1:8" x14ac:dyDescent="0.2">
      <c r="A60" s="20"/>
      <c r="B60" s="20"/>
      <c r="C60" s="21" t="s">
        <v>109</v>
      </c>
      <c r="D60" s="20"/>
      <c r="E60" s="20"/>
      <c r="F60" s="20"/>
      <c r="G60" s="20"/>
      <c r="H60" s="19" t="s">
        <v>12</v>
      </c>
    </row>
    <row r="61" spans="1:8" x14ac:dyDescent="0.2">
      <c r="A61" s="20"/>
      <c r="B61" s="20"/>
      <c r="C61" s="21" t="s">
        <v>110</v>
      </c>
      <c r="D61" s="20"/>
      <c r="E61" s="20"/>
      <c r="F61" s="20"/>
      <c r="G61" s="20"/>
      <c r="H61" s="19" t="s">
        <v>12</v>
      </c>
    </row>
    <row r="62" spans="1:8" x14ac:dyDescent="0.2">
      <c r="A62" s="20"/>
      <c r="B62" s="20"/>
      <c r="C62" s="21" t="s">
        <v>11</v>
      </c>
      <c r="D62" s="20"/>
      <c r="E62" s="20" t="s">
        <v>12</v>
      </c>
      <c r="F62" s="22" t="s">
        <v>13</v>
      </c>
      <c r="G62" s="23">
        <v>0</v>
      </c>
      <c r="H62" s="19" t="s">
        <v>12</v>
      </c>
    </row>
    <row r="63" spans="1:8" x14ac:dyDescent="0.2">
      <c r="A63" s="20"/>
      <c r="B63" s="20"/>
      <c r="C63" s="24"/>
      <c r="D63" s="20"/>
      <c r="E63" s="20"/>
      <c r="F63" s="25"/>
      <c r="G63" s="25"/>
      <c r="H63" s="19" t="s">
        <v>12</v>
      </c>
    </row>
    <row r="64" spans="1:8" x14ac:dyDescent="0.2">
      <c r="A64" s="20"/>
      <c r="B64" s="20"/>
      <c r="C64" s="21" t="s">
        <v>113</v>
      </c>
      <c r="D64" s="20"/>
      <c r="E64" s="20"/>
      <c r="F64" s="20"/>
      <c r="G64" s="20"/>
      <c r="H64" s="19" t="s">
        <v>12</v>
      </c>
    </row>
    <row r="65" spans="1:8" x14ac:dyDescent="0.2">
      <c r="A65" s="20"/>
      <c r="B65" s="20"/>
      <c r="C65" s="21" t="s">
        <v>114</v>
      </c>
      <c r="D65" s="20"/>
      <c r="E65" s="20"/>
      <c r="F65" s="20"/>
      <c r="G65" s="20"/>
      <c r="H65" s="19" t="s">
        <v>12</v>
      </c>
    </row>
    <row r="66" spans="1:8" x14ac:dyDescent="0.2">
      <c r="A66" s="20"/>
      <c r="B66" s="20"/>
      <c r="C66" s="21" t="s">
        <v>11</v>
      </c>
      <c r="D66" s="20"/>
      <c r="E66" s="20" t="s">
        <v>12</v>
      </c>
      <c r="F66" s="22" t="s">
        <v>13</v>
      </c>
      <c r="G66" s="23">
        <v>0</v>
      </c>
      <c r="H66" s="19" t="s">
        <v>12</v>
      </c>
    </row>
    <row r="67" spans="1:8" x14ac:dyDescent="0.2">
      <c r="A67" s="20"/>
      <c r="B67" s="20"/>
      <c r="C67" s="24"/>
      <c r="D67" s="20"/>
      <c r="E67" s="20"/>
      <c r="F67" s="25"/>
      <c r="G67" s="25"/>
      <c r="H67" s="19" t="s">
        <v>12</v>
      </c>
    </row>
    <row r="68" spans="1:8" x14ac:dyDescent="0.2">
      <c r="A68" s="20"/>
      <c r="B68" s="20"/>
      <c r="C68" s="21" t="s">
        <v>115</v>
      </c>
      <c r="D68" s="20"/>
      <c r="E68" s="20"/>
      <c r="F68" s="25"/>
      <c r="G68" s="25"/>
      <c r="H68" s="19" t="s">
        <v>12</v>
      </c>
    </row>
    <row r="69" spans="1:8" x14ac:dyDescent="0.2">
      <c r="A69" s="20"/>
      <c r="B69" s="20"/>
      <c r="C69" s="21" t="s">
        <v>11</v>
      </c>
      <c r="D69" s="20"/>
      <c r="E69" s="20" t="s">
        <v>12</v>
      </c>
      <c r="F69" s="22" t="s">
        <v>13</v>
      </c>
      <c r="G69" s="23">
        <v>0</v>
      </c>
      <c r="H69" s="19" t="s">
        <v>12</v>
      </c>
    </row>
    <row r="70" spans="1:8" x14ac:dyDescent="0.2">
      <c r="A70" s="20"/>
      <c r="B70" s="20"/>
      <c r="C70" s="24"/>
      <c r="D70" s="20"/>
      <c r="E70" s="20"/>
      <c r="F70" s="25"/>
      <c r="G70" s="25"/>
      <c r="H70" s="19" t="s">
        <v>12</v>
      </c>
    </row>
    <row r="71" spans="1:8" x14ac:dyDescent="0.2">
      <c r="A71" s="32"/>
      <c r="B71" s="28"/>
      <c r="C71" s="28" t="s">
        <v>116</v>
      </c>
      <c r="D71" s="28"/>
      <c r="E71" s="32"/>
      <c r="F71" s="30">
        <f>175.54279886-0.000315683994293213</f>
        <v>175.5424831760057</v>
      </c>
      <c r="G71" s="31">
        <v>2.30802E-3</v>
      </c>
      <c r="H71" s="19" t="s">
        <v>12</v>
      </c>
    </row>
    <row r="72" spans="1:8" x14ac:dyDescent="0.2">
      <c r="A72" s="24"/>
      <c r="B72" s="24"/>
      <c r="C72" s="21" t="s">
        <v>117</v>
      </c>
      <c r="D72" s="25"/>
      <c r="E72" s="25"/>
      <c r="F72" s="26">
        <f>76057.885610654-0.000315683994293213</f>
        <v>76057.885294970009</v>
      </c>
      <c r="G72" s="33">
        <v>1</v>
      </c>
      <c r="H72" s="19" t="s">
        <v>12</v>
      </c>
    </row>
    <row r="73" spans="1:8" x14ac:dyDescent="0.2">
      <c r="A73" s="34"/>
      <c r="B73" s="34"/>
      <c r="C73" s="34"/>
      <c r="D73" s="35"/>
      <c r="E73" s="35"/>
      <c r="F73" s="35"/>
      <c r="G73" s="35"/>
    </row>
    <row r="74" spans="1:8" x14ac:dyDescent="0.2">
      <c r="A74" s="36"/>
      <c r="B74" s="169" t="s">
        <v>609</v>
      </c>
      <c r="C74" s="169"/>
      <c r="D74" s="169"/>
      <c r="E74" s="169"/>
      <c r="F74" s="169"/>
      <c r="G74" s="169"/>
      <c r="H74" s="169"/>
    </row>
    <row r="75" spans="1:8" x14ac:dyDescent="0.2">
      <c r="A75" s="36"/>
      <c r="B75" s="169" t="s">
        <v>610</v>
      </c>
      <c r="C75" s="169"/>
      <c r="D75" s="169"/>
      <c r="E75" s="169"/>
      <c r="F75" s="169"/>
      <c r="G75" s="169"/>
      <c r="H75" s="169"/>
    </row>
    <row r="76" spans="1:8" x14ac:dyDescent="0.2">
      <c r="A76" s="36"/>
      <c r="B76" s="169" t="s">
        <v>611</v>
      </c>
      <c r="C76" s="169"/>
      <c r="D76" s="169"/>
      <c r="E76" s="169"/>
      <c r="F76" s="169"/>
      <c r="G76" s="169"/>
      <c r="H76" s="169"/>
    </row>
    <row r="77" spans="1:8" x14ac:dyDescent="0.2">
      <c r="A77" s="38"/>
      <c r="B77" s="38"/>
      <c r="C77" s="38"/>
      <c r="D77" s="39"/>
      <c r="E77" s="39"/>
      <c r="F77" s="39"/>
      <c r="G77" s="39"/>
    </row>
    <row r="78" spans="1:8" x14ac:dyDescent="0.2">
      <c r="A78" s="36"/>
      <c r="B78" s="170" t="s">
        <v>118</v>
      </c>
      <c r="C78" s="171"/>
      <c r="D78" s="172"/>
      <c r="E78" s="40"/>
      <c r="F78" s="41"/>
      <c r="G78" s="41"/>
    </row>
    <row r="79" spans="1:8" x14ac:dyDescent="0.2">
      <c r="A79" s="36"/>
      <c r="B79" s="161" t="s">
        <v>119</v>
      </c>
      <c r="C79" s="162"/>
      <c r="D79" s="18" t="s">
        <v>120</v>
      </c>
      <c r="E79" s="40"/>
      <c r="F79" s="41"/>
      <c r="G79" s="41"/>
    </row>
    <row r="80" spans="1:8" x14ac:dyDescent="0.2">
      <c r="A80" s="36"/>
      <c r="B80" s="161" t="s">
        <v>121</v>
      </c>
      <c r="C80" s="162"/>
      <c r="D80" s="18" t="s">
        <v>120</v>
      </c>
      <c r="E80" s="40"/>
      <c r="F80" s="41"/>
      <c r="G80" s="41"/>
    </row>
    <row r="81" spans="1:21" x14ac:dyDescent="0.2">
      <c r="A81" s="36"/>
      <c r="B81" s="161" t="s">
        <v>122</v>
      </c>
      <c r="C81" s="162"/>
      <c r="D81" s="42" t="s">
        <v>12</v>
      </c>
      <c r="E81" s="40"/>
      <c r="F81" s="41"/>
      <c r="G81" s="41"/>
    </row>
    <row r="82" spans="1:21" x14ac:dyDescent="0.2">
      <c r="A82" s="43"/>
      <c r="B82" s="44" t="s">
        <v>12</v>
      </c>
      <c r="C82" s="44" t="s">
        <v>612</v>
      </c>
      <c r="D82" s="44" t="s">
        <v>123</v>
      </c>
      <c r="E82" s="43"/>
      <c r="F82" s="43"/>
      <c r="G82" s="43"/>
    </row>
    <row r="83" spans="1:21" x14ac:dyDescent="0.2">
      <c r="A83" s="43"/>
      <c r="B83" s="45" t="s">
        <v>124</v>
      </c>
      <c r="C83" s="46">
        <v>45808</v>
      </c>
      <c r="D83" s="46">
        <v>45823</v>
      </c>
      <c r="E83" s="43"/>
      <c r="F83" s="43"/>
      <c r="G83" s="43"/>
    </row>
    <row r="84" spans="1:21" x14ac:dyDescent="0.2">
      <c r="A84" s="47"/>
      <c r="B84" s="28" t="s">
        <v>125</v>
      </c>
      <c r="C84" s="48">
        <v>1369.8572999999999</v>
      </c>
      <c r="D84" s="48">
        <v>1372.8844999999999</v>
      </c>
      <c r="E84" s="47"/>
      <c r="F84" s="49"/>
      <c r="G84" s="50"/>
    </row>
    <row r="85" spans="1:21" ht="25.5" x14ac:dyDescent="0.2">
      <c r="A85" s="47"/>
      <c r="B85" s="28" t="s">
        <v>737</v>
      </c>
      <c r="C85" s="48">
        <v>1044.3556000000001</v>
      </c>
      <c r="D85" s="48">
        <v>1046.6632999999999</v>
      </c>
      <c r="E85" s="47"/>
      <c r="F85" s="49"/>
      <c r="G85" s="50"/>
    </row>
    <row r="86" spans="1:21" x14ac:dyDescent="0.2">
      <c r="A86" s="47"/>
      <c r="B86" s="28" t="s">
        <v>126</v>
      </c>
      <c r="C86" s="48">
        <v>1361.5623000000001</v>
      </c>
      <c r="D86" s="48">
        <v>1364.5145</v>
      </c>
      <c r="E86" s="47"/>
      <c r="F86" s="49"/>
      <c r="G86" s="50"/>
    </row>
    <row r="87" spans="1:21" ht="25.5" x14ac:dyDescent="0.2">
      <c r="A87" s="47"/>
      <c r="B87" s="28" t="s">
        <v>741</v>
      </c>
      <c r="C87" s="48">
        <v>1040.5020999999999</v>
      </c>
      <c r="D87" s="48">
        <v>1042.7582</v>
      </c>
      <c r="E87" s="47"/>
      <c r="F87" s="49"/>
      <c r="G87" s="50"/>
    </row>
    <row r="88" spans="1:21" x14ac:dyDescent="0.2">
      <c r="A88" s="47"/>
      <c r="B88" s="47"/>
      <c r="C88" s="47"/>
      <c r="D88" s="47"/>
      <c r="E88" s="47"/>
      <c r="F88" s="47"/>
      <c r="G88" s="47"/>
    </row>
    <row r="89" spans="1:21" x14ac:dyDescent="0.2">
      <c r="A89" s="47"/>
      <c r="B89" s="245" t="s">
        <v>714</v>
      </c>
      <c r="C89" s="245"/>
      <c r="D89" s="51" t="s">
        <v>120</v>
      </c>
      <c r="E89" s="47"/>
      <c r="F89" s="47"/>
      <c r="G89" s="47"/>
    </row>
    <row r="90" spans="1:21" x14ac:dyDescent="0.2">
      <c r="A90" s="47"/>
      <c r="B90" s="49"/>
      <c r="C90" s="49"/>
      <c r="D90" s="52"/>
      <c r="E90" s="47"/>
      <c r="F90" s="47"/>
      <c r="G90" s="47"/>
    </row>
    <row r="91" spans="1:21" ht="28.5" customHeight="1" x14ac:dyDescent="0.2">
      <c r="A91" s="43"/>
      <c r="B91" s="246" t="s">
        <v>130</v>
      </c>
      <c r="C91" s="246"/>
      <c r="D91" s="51" t="s">
        <v>120</v>
      </c>
      <c r="E91" s="43"/>
      <c r="F91" s="43"/>
      <c r="G91" s="43"/>
    </row>
    <row r="92" spans="1:21" ht="30.75" customHeight="1" x14ac:dyDescent="0.2">
      <c r="A92" s="43"/>
      <c r="B92" s="247" t="s">
        <v>131</v>
      </c>
      <c r="C92" s="248"/>
      <c r="D92" s="53" t="s">
        <v>120</v>
      </c>
      <c r="E92" s="54"/>
      <c r="F92" s="43"/>
      <c r="G92" s="43"/>
    </row>
    <row r="93" spans="1:21" x14ac:dyDescent="0.2">
      <c r="A93" s="43"/>
      <c r="B93" s="161" t="s">
        <v>613</v>
      </c>
      <c r="C93" s="162"/>
      <c r="D93" s="18" t="s">
        <v>120</v>
      </c>
      <c r="E93" s="54"/>
      <c r="F93" s="43"/>
      <c r="G93" s="43"/>
      <c r="I93" s="55"/>
    </row>
    <row r="94" spans="1:21" x14ac:dyDescent="0.2">
      <c r="A94" s="56"/>
      <c r="B94" s="56"/>
      <c r="C94" s="56"/>
      <c r="D94" s="56"/>
      <c r="E94" s="56"/>
      <c r="F94" s="56"/>
      <c r="G94" s="56"/>
      <c r="I94" s="55"/>
    </row>
    <row r="95" spans="1:21" s="57" customFormat="1" x14ac:dyDescent="0.2">
      <c r="B95" s="166" t="s">
        <v>614</v>
      </c>
      <c r="C95" s="167"/>
      <c r="D95" s="168"/>
      <c r="I95" s="55"/>
      <c r="J95"/>
      <c r="K95" s="55"/>
      <c r="L95" s="55"/>
      <c r="M95" s="55"/>
      <c r="N95" s="58"/>
      <c r="Q95"/>
      <c r="R95"/>
      <c r="S95"/>
      <c r="T95"/>
      <c r="U95"/>
    </row>
    <row r="96" spans="1:21" s="57" customFormat="1" ht="25.5" x14ac:dyDescent="0.2">
      <c r="B96" s="163" t="s">
        <v>615</v>
      </c>
      <c r="C96" s="163"/>
      <c r="D96" s="59" t="s">
        <v>588</v>
      </c>
      <c r="I96" s="55"/>
      <c r="J96"/>
      <c r="K96" s="55"/>
      <c r="L96" s="55"/>
      <c r="M96" s="55"/>
      <c r="N96" s="58"/>
      <c r="Q96"/>
      <c r="R96"/>
      <c r="S96"/>
      <c r="T96"/>
      <c r="U96"/>
    </row>
    <row r="97" spans="2:14" s="57" customFormat="1" x14ac:dyDescent="0.2">
      <c r="B97" s="174" t="s">
        <v>616</v>
      </c>
      <c r="C97" s="174"/>
      <c r="D97" s="60"/>
      <c r="I97" s="55"/>
      <c r="J97"/>
      <c r="K97" s="55"/>
      <c r="L97" s="55"/>
      <c r="M97" s="55"/>
      <c r="N97" s="58"/>
    </row>
    <row r="98" spans="2:14" s="57" customFormat="1" x14ac:dyDescent="0.2">
      <c r="B98" s="174"/>
      <c r="C98" s="174"/>
      <c r="D98" s="61"/>
      <c r="I98"/>
      <c r="J98"/>
      <c r="K98" s="55"/>
      <c r="L98" s="55"/>
      <c r="M98" s="55"/>
      <c r="N98" s="58"/>
    </row>
    <row r="99" spans="2:14" s="57" customFormat="1" x14ac:dyDescent="0.2">
      <c r="B99" s="174" t="s">
        <v>617</v>
      </c>
      <c r="C99" s="174"/>
      <c r="D99" s="62">
        <v>5.1555766927991016</v>
      </c>
      <c r="I99"/>
      <c r="J99"/>
      <c r="K99" s="55"/>
      <c r="L99" s="55"/>
      <c r="M99" s="55"/>
      <c r="N99" s="58"/>
    </row>
    <row r="100" spans="2:14" s="57" customFormat="1" x14ac:dyDescent="0.2">
      <c r="B100" s="174"/>
      <c r="C100" s="174"/>
      <c r="D100" s="61"/>
      <c r="I100"/>
      <c r="J100"/>
      <c r="K100" s="55"/>
      <c r="L100" s="55"/>
      <c r="M100" s="55"/>
      <c r="N100" s="58"/>
    </row>
    <row r="101" spans="2:14" s="57" customFormat="1" x14ac:dyDescent="0.2">
      <c r="B101" s="174" t="s">
        <v>734</v>
      </c>
      <c r="C101" s="174"/>
      <c r="D101" s="63">
        <v>1</v>
      </c>
      <c r="I101"/>
      <c r="J101"/>
      <c r="K101" s="55"/>
      <c r="L101" s="55"/>
      <c r="M101" s="55"/>
      <c r="N101" s="58"/>
    </row>
    <row r="102" spans="2:14" s="57" customFormat="1" x14ac:dyDescent="0.2">
      <c r="B102" s="174" t="s">
        <v>735</v>
      </c>
      <c r="C102" s="174"/>
      <c r="D102" s="63">
        <v>1</v>
      </c>
      <c r="I102"/>
      <c r="J102"/>
      <c r="K102" s="55"/>
      <c r="L102" s="55"/>
      <c r="M102" s="55"/>
      <c r="N102" s="58"/>
    </row>
    <row r="103" spans="2:14" s="57" customFormat="1" x14ac:dyDescent="0.2">
      <c r="B103" s="174"/>
      <c r="C103" s="174"/>
      <c r="D103" s="61"/>
      <c r="I103"/>
      <c r="J103"/>
      <c r="K103" s="55"/>
      <c r="L103" s="55"/>
      <c r="M103" s="55"/>
      <c r="N103" s="58"/>
    </row>
    <row r="104" spans="2:14" s="57" customFormat="1" x14ac:dyDescent="0.2">
      <c r="B104" s="174" t="s">
        <v>620</v>
      </c>
      <c r="C104" s="174"/>
      <c r="D104" s="64" t="s">
        <v>744</v>
      </c>
      <c r="I104"/>
      <c r="J104"/>
      <c r="K104" s="55"/>
      <c r="L104" s="55"/>
      <c r="M104" s="55"/>
      <c r="N104" s="58"/>
    </row>
    <row r="105" spans="2:14" s="57" customFormat="1" x14ac:dyDescent="0.2">
      <c r="B105" s="175" t="s">
        <v>621</v>
      </c>
      <c r="C105" s="177"/>
      <c r="D105" s="176"/>
      <c r="I105"/>
      <c r="J105"/>
      <c r="K105" s="55"/>
      <c r="L105" s="55"/>
      <c r="M105" s="55"/>
      <c r="N105" s="58"/>
    </row>
    <row r="106" spans="2:14" x14ac:dyDescent="0.2">
      <c r="H106" s="65"/>
    </row>
    <row r="107" spans="2:14" x14ac:dyDescent="0.2">
      <c r="B107" s="66" t="s">
        <v>622</v>
      </c>
    </row>
    <row r="108" spans="2:14" ht="7.5" customHeight="1" x14ac:dyDescent="0.2"/>
    <row r="109" spans="2:14" ht="153.75" customHeight="1" x14ac:dyDescent="0.2"/>
    <row r="112" spans="2:14" x14ac:dyDescent="0.2">
      <c r="B112" s="67" t="s">
        <v>623</v>
      </c>
      <c r="C112" s="68"/>
      <c r="D112" s="67"/>
    </row>
    <row r="113" spans="2:10" x14ac:dyDescent="0.2">
      <c r="B113" s="67" t="s">
        <v>736</v>
      </c>
      <c r="D113" s="67"/>
    </row>
    <row r="114" spans="2:10" ht="165" customHeight="1" x14ac:dyDescent="0.2"/>
    <row r="116" spans="2:10" x14ac:dyDescent="0.2">
      <c r="J116" s="16"/>
    </row>
  </sheetData>
  <mergeCells count="25">
    <mergeCell ref="B89:C89"/>
    <mergeCell ref="B105:D105"/>
    <mergeCell ref="B100:C100"/>
    <mergeCell ref="B101:C101"/>
    <mergeCell ref="B102:C102"/>
    <mergeCell ref="B103:C103"/>
    <mergeCell ref="B104:C104"/>
    <mergeCell ref="B96:C96"/>
    <mergeCell ref="B97:C97"/>
    <mergeCell ref="B98:C98"/>
    <mergeCell ref="B99:C99"/>
    <mergeCell ref="B91:C91"/>
    <mergeCell ref="B92:C92"/>
    <mergeCell ref="B93:C93"/>
    <mergeCell ref="B95:D95"/>
    <mergeCell ref="A1:H1"/>
    <mergeCell ref="A2:H2"/>
    <mergeCell ref="A3:H3"/>
    <mergeCell ref="B74:H74"/>
    <mergeCell ref="B75:H75"/>
    <mergeCell ref="B76:H76"/>
    <mergeCell ref="B78:D78"/>
    <mergeCell ref="B79:C79"/>
    <mergeCell ref="B80:C80"/>
    <mergeCell ref="B81:C81"/>
  </mergeCells>
  <hyperlinks>
    <hyperlink ref="I1" location="Index!B2" display="Index" xr:uid="{E73F010E-4082-4BC2-9A0F-385BC3815BEC}"/>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2025-06-16T10:25:36Z</dcterms:created>
  <dcterms:modified xsi:type="dcterms:W3CDTF">2025-06-17T13:20:55Z</dcterms:modified>
</cp:coreProperties>
</file>