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3FD518D1-29BF-4680-AFC1-2CCA9896D8E7}" xr6:coauthVersionLast="47" xr6:coauthVersionMax="47" xr10:uidLastSave="{00000000-0000-0000-0000-000000000000}"/>
  <bookViews>
    <workbookView xWindow="-120" yWindow="-120" windowWidth="29040" windowHeight="15840" tabRatio="707" xr2:uid="{ED1ED08A-04BA-4AAA-9228-1F2BC2E3B462}"/>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72" i="10"/>
  <c r="F82" i="8"/>
  <c r="F81" i="8"/>
  <c r="F143" i="7"/>
  <c r="F100" i="6"/>
  <c r="F99" i="6"/>
  <c r="F143" i="5"/>
  <c r="F142" i="5"/>
  <c r="F108" i="4"/>
  <c r="F107" i="4"/>
  <c r="F96" i="2"/>
  <c r="F95" i="2"/>
  <c r="F144" i="7" l="1"/>
  <c r="H172" i="7" s="1"/>
  <c r="F141" i="7"/>
  <c r="J149" i="9"/>
  <c r="G103" i="9"/>
  <c r="F103" i="9"/>
  <c r="F52" i="9"/>
  <c r="F35" i="9"/>
  <c r="F13" i="9"/>
  <c r="H13" i="9"/>
  <c r="G117" i="8"/>
  <c r="H142" i="7"/>
  <c r="H139" i="7"/>
  <c r="I158" i="6"/>
  <c r="J158" i="6" s="1"/>
  <c r="I157" i="6"/>
  <c r="J157" i="6" s="1"/>
  <c r="I156" i="6"/>
  <c r="J156" i="6" s="1"/>
  <c r="G156" i="6"/>
  <c r="I155" i="6"/>
  <c r="J155" i="6" s="1"/>
  <c r="I162" i="4"/>
  <c r="J162" i="4" s="1"/>
  <c r="I161" i="4"/>
  <c r="J161" i="4" s="1"/>
  <c r="I160" i="4"/>
  <c r="J160" i="4" s="1"/>
  <c r="G93" i="9"/>
  <c r="F93" i="9"/>
  <c r="G72" i="8"/>
  <c r="F72" i="8"/>
  <c r="G131" i="7"/>
  <c r="F131" i="7"/>
  <c r="G90" i="6"/>
  <c r="F90" i="6"/>
  <c r="G133" i="5"/>
  <c r="F133" i="5"/>
  <c r="G98" i="4"/>
  <c r="F98" i="4"/>
  <c r="G99" i="3"/>
  <c r="F99" i="3"/>
  <c r="G85" i="2"/>
  <c r="F85" i="2"/>
  <c r="G93" i="1"/>
  <c r="F93" i="1"/>
  <c r="G143" i="7" l="1"/>
  <c r="G144" i="7" s="1"/>
  <c r="G13" i="9"/>
  <c r="G35" i="9" s="1"/>
  <c r="G52" i="9" s="1"/>
</calcChain>
</file>

<file path=xl/sharedStrings.xml><?xml version="1.0" encoding="utf-8"?>
<sst xmlns="http://schemas.openxmlformats.org/spreadsheetml/2006/main" count="3219" uniqueCount="704">
  <si>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</si>
  <si>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</si>
  <si>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</si>
  <si>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</si>
  <si>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</si>
  <si>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</si>
  <si>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</si>
  <si>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</si>
  <si>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</si>
  <si>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</si>
  <si>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</si>
  <si>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</si>
  <si>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</si>
  <si>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</si>
  <si>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</si>
  <si>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</si>
  <si>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</si>
  <si>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</si>
  <si>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</si>
  <si>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</si>
  <si>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</si>
  <si>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</si>
  <si>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</si>
  <si>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</si>
  <si>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</si>
  <si>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</si>
  <si>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</si>
  <si>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</si>
  <si>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</si>
  <si>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</si>
  <si>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</si>
  <si>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</si>
  <si>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</si>
  <si>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</si>
  <si>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</si>
  <si>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</si>
  <si>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</si>
  <si>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</si>
  <si>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</si>
  <si>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INE020B08EL2</t>
  </si>
  <si>
    <t>REC LTD - 7.44% - 30/04/2026**</t>
  </si>
  <si>
    <t>INE020B08EK4</t>
  </si>
  <si>
    <t>REC LTD - 7.46% - 30/06/2028**</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</si>
  <si>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</si>
  <si>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</si>
  <si>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</si>
  <si>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</si>
  <si>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</si>
  <si>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</si>
  <si>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</si>
  <si>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</si>
  <si>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</si>
  <si>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</si>
  <si>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</si>
  <si>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</si>
  <si>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</si>
  <si>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</si>
  <si>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</si>
  <si>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</si>
  <si>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</si>
  <si>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</si>
  <si>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</si>
  <si>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</si>
  <si>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</si>
  <si>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</si>
  <si>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</si>
  <si>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</si>
  <si>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</si>
  <si>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</si>
  <si>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</si>
  <si>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</si>
  <si>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</si>
  <si>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</si>
  <si>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</si>
  <si>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</si>
  <si>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</si>
  <si>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</si>
  <si>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</si>
  <si>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</si>
  <si>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</si>
  <si>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</si>
  <si>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</si>
  <si>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</si>
  <si>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</si>
  <si>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</si>
  <si>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</si>
  <si>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</si>
  <si>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</si>
  <si>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</si>
  <si>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</si>
  <si>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</si>
  <si>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</si>
  <si>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</si>
  <si>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</si>
  <si>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</si>
  <si>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</si>
  <si>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</si>
  <si>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</si>
  <si>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</si>
  <si>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</si>
  <si>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</si>
  <si>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</si>
  <si>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</si>
  <si>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</si>
  <si>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</si>
  <si>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</si>
  <si>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</si>
  <si>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</si>
  <si>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</si>
  <si>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</si>
  <si>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</si>
  <si>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</si>
  <si>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</si>
  <si>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</si>
  <si>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</si>
  <si>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</si>
  <si>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INE040A08955</t>
  </si>
  <si>
    <t>HDFC Bank Ltd - 7.7% - 16/05/2028**</t>
  </si>
  <si>
    <t>INE020B08EA5</t>
  </si>
  <si>
    <t>REC LTD - 7.55% - 31/03/2028**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</si>
  <si>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</si>
  <si>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</si>
  <si>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</si>
  <si>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</si>
  <si>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</si>
  <si>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</si>
  <si>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</si>
  <si>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</si>
  <si>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</si>
  <si>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</si>
  <si>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</si>
  <si>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</si>
  <si>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</si>
  <si>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</si>
  <si>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</si>
  <si>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</si>
  <si>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</si>
  <si>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</si>
  <si>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</si>
  <si>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INE261F16843</t>
  </si>
  <si>
    <t>National Bank for Agriculture &amp; Rural Development - 12/03/2025**</t>
  </si>
  <si>
    <t>CRISIL A1+</t>
  </si>
  <si>
    <t>INE090AD6147</t>
  </si>
  <si>
    <t>ICICI Bank Ltd - 17/03/2025**</t>
  </si>
  <si>
    <t>ICRA A1+</t>
  </si>
  <si>
    <t>INE028A16GR2</t>
  </si>
  <si>
    <t>Bank of Baroda - 15/05/2025</t>
  </si>
  <si>
    <t>IND A1+</t>
  </si>
  <si>
    <t>INE949L16CY1</t>
  </si>
  <si>
    <t>AU Small Finance Bank Ltd - 28/10/2025**</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</si>
  <si>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</si>
  <si>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</si>
  <si>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</si>
  <si>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</si>
  <si>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</si>
  <si>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</si>
  <si>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</si>
  <si>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</si>
  <si>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</si>
  <si>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</si>
  <si>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INE092T16XM4</t>
  </si>
  <si>
    <t>IDFC First Bank Ltd - 28/05/2025**</t>
  </si>
  <si>
    <t>INE476A16YB0</t>
  </si>
  <si>
    <t>Canara Bank - 20/03/2025**</t>
  </si>
  <si>
    <t>INE040A16GC9</t>
  </si>
  <si>
    <t>HDFC Bank Ltd - 24/03/2025**</t>
  </si>
  <si>
    <t>INE562A16MZ1</t>
  </si>
  <si>
    <t>Indian Bank - 23/05/2025**</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</si>
  <si>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</si>
  <si>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</si>
  <si>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</si>
  <si>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</si>
  <si>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</si>
  <si>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</si>
  <si>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</si>
  <si>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</si>
  <si>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</si>
  <si>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</si>
  <si>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INE092T16WB9</t>
  </si>
  <si>
    <t>IDFC First Bank Ltd - 21/02/2025**</t>
  </si>
  <si>
    <t>INE095A16V79</t>
  </si>
  <si>
    <t>IndusInd Bank Ltd - 24/02/2025**</t>
  </si>
  <si>
    <t>INE171A16LP4</t>
  </si>
  <si>
    <t>The Federal Bank Ltd - 04/02/2025**</t>
  </si>
  <si>
    <t>INE028A16GP6</t>
  </si>
  <si>
    <t>Bank of Baroda - 05/05/2025**</t>
  </si>
  <si>
    <t>INE238AD6967</t>
  </si>
  <si>
    <t>Axis Bank Ltd - 19/05/2025**</t>
  </si>
  <si>
    <t>INE040A16FA5</t>
  </si>
  <si>
    <t>HDFC Bank Ltd - 24/06/2025</t>
  </si>
  <si>
    <t>INE338I14IN8</t>
  </si>
  <si>
    <t>Motilal Oswal Financial Services Ltd - 29/01/2025**</t>
  </si>
  <si>
    <t>INE121A14WW7</t>
  </si>
  <si>
    <t>Cholamandalam Investment and Finance Co Ltd - 10/02/2025**</t>
  </si>
  <si>
    <t>INE403D14544</t>
  </si>
  <si>
    <t>Bharti Telecom Ltd - 17/10/2025**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</si>
  <si>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</si>
  <si>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</si>
  <si>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</si>
  <si>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</si>
  <si>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</si>
  <si>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</si>
  <si>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</si>
  <si>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</si>
  <si>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</si>
  <si>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</si>
  <si>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</si>
  <si>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</si>
  <si>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</si>
  <si>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</si>
  <si>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</si>
  <si>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</si>
  <si>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</si>
  <si>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</si>
  <si>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</si>
  <si>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</si>
  <si>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</si>
  <si>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</si>
  <si>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</si>
  <si>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</si>
  <si>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</si>
  <si>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</si>
  <si>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</si>
  <si>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</si>
  <si>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</si>
  <si>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</si>
  <si>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INE020B08ED9</t>
  </si>
  <si>
    <t>REC LTD - 7.56% - 30/06/2026</t>
  </si>
  <si>
    <t>INE115A07OY6</t>
  </si>
  <si>
    <t>LIC Housing Finance Ltd - 5.776% - 11/09/2025**</t>
  </si>
  <si>
    <t>INE403D08181</t>
  </si>
  <si>
    <t>Bharti Telecom Ltd - 8.9% - 04/12/2025**</t>
  </si>
  <si>
    <t>INE020B08EM0</t>
  </si>
  <si>
    <t>REC LTD - 7.64% - 30/06/2026**</t>
  </si>
  <si>
    <t>INE572E07183</t>
  </si>
  <si>
    <t>PNB Housing Finance Ltd - 8.15% - 29/07/2027**</t>
  </si>
  <si>
    <t>INE414G07HI7</t>
  </si>
  <si>
    <t>Muthoot Finance Ltd - 8.3% - 06/01/2026**</t>
  </si>
  <si>
    <t>INE261F08DP6</t>
  </si>
  <si>
    <t>National Bank for Agriculture &amp; Rural Development - 7.35% - 08/07/2025**</t>
  </si>
  <si>
    <t>INE523H07CB9</t>
  </si>
  <si>
    <t>JM Financial Products Ltd - 8.92% - 16/11/2026**</t>
  </si>
  <si>
    <t>CRISIL AA</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</si>
  <si>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</si>
  <si>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</si>
  <si>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</si>
  <si>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</si>
  <si>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</si>
  <si>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</si>
  <si>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</si>
  <si>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</si>
  <si>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</si>
  <si>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IN0020220037</t>
  </si>
  <si>
    <t>7.38% Central Government Securities 20/06/2027</t>
  </si>
  <si>
    <t>IN0020240050</t>
  </si>
  <si>
    <t>7.04% Central Government Securities 03/06/2029</t>
  </si>
  <si>
    <t>INE949L16CX3</t>
  </si>
  <si>
    <t>AU Small Finance Bank Ltd - 01/10/2025**</t>
  </si>
  <si>
    <t>INE261F16785</t>
  </si>
  <si>
    <t>National Bank for Agriculture &amp; Rural Development - 07/02/2025**</t>
  </si>
  <si>
    <t>INE237A168Y2</t>
  </si>
  <si>
    <t>Kotak Mahindra Bank Ltd - 04/12/2025**</t>
  </si>
  <si>
    <t>INE466L14DI2</t>
  </si>
  <si>
    <t>360 ONE WAM Ltd (Prev IIFL Wealth Management Ltd) - 14/03/2025**</t>
  </si>
  <si>
    <t>Sundaram Liquid Fund</t>
  </si>
  <si>
    <t>INE115A07PD7</t>
  </si>
  <si>
    <t>LIC Housing Finance Ltd - 6.4% - 24/01/2025**</t>
  </si>
  <si>
    <t>INE040A08682</t>
  </si>
  <si>
    <t>HDFC Bank Ltd - 8.4% - 23/01/2025**</t>
  </si>
  <si>
    <t>INE261F08DI1</t>
  </si>
  <si>
    <t>National Bank for Agriculture &amp; Rural Development - 5.23% - 31/01/2025</t>
  </si>
  <si>
    <t>INE040A16EU6</t>
  </si>
  <si>
    <t>HDFC Bank Ltd - 12/03/2025**</t>
  </si>
  <si>
    <t>INE160A16QO9</t>
  </si>
  <si>
    <t>Punjab National Bank - 13/03/2025**</t>
  </si>
  <si>
    <t>INE238AD6694</t>
  </si>
  <si>
    <t>Axis Bank Ltd - 21/02/2025**</t>
  </si>
  <si>
    <t>INE562A16MT4</t>
  </si>
  <si>
    <t>Indian Bank - 10/03/2025**</t>
  </si>
  <si>
    <t>INE476A16YZ9</t>
  </si>
  <si>
    <t>Canara Bank - 28/02/2025</t>
  </si>
  <si>
    <t>INE028A16EX5</t>
  </si>
  <si>
    <t>Bank of Baroda - 20/02/2025**</t>
  </si>
  <si>
    <t>INE040A16ER2</t>
  </si>
  <si>
    <t>HDFC Bank Ltd - 06/03/2025**</t>
  </si>
  <si>
    <t>INE692A16HP7</t>
  </si>
  <si>
    <t>Union Bank of India - 18/03/2025**</t>
  </si>
  <si>
    <t>INE476A16YV8</t>
  </si>
  <si>
    <t>Canara Bank - 03/02/2025**</t>
  </si>
  <si>
    <t>INE040A16EM3</t>
  </si>
  <si>
    <t>HDFC Bank Ltd - 03/02/2025</t>
  </si>
  <si>
    <t>INE008A16X32</t>
  </si>
  <si>
    <t>IDBI Bank Ltd - 04/02/2025**</t>
  </si>
  <si>
    <t>INE028A16EU1</t>
  </si>
  <si>
    <t>Bank of Baroda - 07/02/2025**</t>
  </si>
  <si>
    <t>INE692A16GY1</t>
  </si>
  <si>
    <t>Union Bank of India - 25/02/2025**</t>
  </si>
  <si>
    <t>INE084A16CR4</t>
  </si>
  <si>
    <t>Bank of India - 27/02/2025**</t>
  </si>
  <si>
    <t>INE084A16CN3</t>
  </si>
  <si>
    <t>Bank of India - 03/03/2025**</t>
  </si>
  <si>
    <t>INE457A16MO8</t>
  </si>
  <si>
    <t>Bank of Maharashtra - 13/03/2025**</t>
  </si>
  <si>
    <t>INE692A16HF8</t>
  </si>
  <si>
    <t>Union Bank of India - 26/03/2025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</si>
  <si>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</si>
  <si>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</si>
  <si>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</si>
  <si>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</si>
  <si>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</si>
  <si>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</si>
  <si>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</si>
  <si>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</si>
  <si>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INE028A16GT8</t>
  </si>
  <si>
    <t>Bank of Baroda - 04/02/2025**</t>
  </si>
  <si>
    <t>INE562A16NL9</t>
  </si>
  <si>
    <t>Indian Bank - 05/02/2025</t>
  </si>
  <si>
    <t>INE160A16QI1</t>
  </si>
  <si>
    <t>Punjab National Bank - 11/02/2025**</t>
  </si>
  <si>
    <t>INE160A16PK9</t>
  </si>
  <si>
    <t>Punjab National Bank - 20/02/2025</t>
  </si>
  <si>
    <t>INE238AD6827</t>
  </si>
  <si>
    <t>Axis Bank Ltd - 28/02/2025**</t>
  </si>
  <si>
    <t>INE476A16ZC5</t>
  </si>
  <si>
    <t>Canara Bank - 07/03/2025**</t>
  </si>
  <si>
    <t>INE261F16835</t>
  </si>
  <si>
    <t>National Bank for Agriculture &amp; Rural Development - 07/03/2025**</t>
  </si>
  <si>
    <t>INE160A16OP1</t>
  </si>
  <si>
    <t>Punjab National Bank - 11/03/2025</t>
  </si>
  <si>
    <t>INE261F16769</t>
  </si>
  <si>
    <t>National Bank for Agriculture &amp; Rural Development - 17/01/2025</t>
  </si>
  <si>
    <t>INE692A16GX3</t>
  </si>
  <si>
    <t>Union Bank of India - 21/02/2025**</t>
  </si>
  <si>
    <t>INE556F14KR8</t>
  </si>
  <si>
    <t>Small Industries Development Bank of India - 12/03/2025</t>
  </si>
  <si>
    <t>INE763G14WD3</t>
  </si>
  <si>
    <t>ICICI Securities Ltd - 11/02/2025**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</si>
  <si>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</si>
  <si>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</si>
  <si>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</si>
  <si>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</si>
  <si>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</si>
  <si>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</si>
  <si>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</si>
  <si>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</si>
  <si>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</si>
  <si>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</si>
  <si>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</si>
  <si>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</si>
  <si>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INE0DZE14172</t>
  </si>
  <si>
    <t>Kisetsu Saison Finance - 20/03/2025**</t>
  </si>
  <si>
    <t>INE121A14WX5</t>
  </si>
  <si>
    <t>Cholamandalam Investment and Finance Co Ltd - 29/01/2025**</t>
  </si>
  <si>
    <t>INE700G14MJ3</t>
  </si>
  <si>
    <t>HDFC Securities Ltd - 27/02/2025**</t>
  </si>
  <si>
    <t>INE071G14GH5</t>
  </si>
  <si>
    <t>ICICI Home Finance Company Ltd - 13/03/2025**</t>
  </si>
  <si>
    <t>INE233A14X49</t>
  </si>
  <si>
    <t>Godrej Industries Ltd - 20/03/2025**</t>
  </si>
  <si>
    <t>INE212K14AL2</t>
  </si>
  <si>
    <t>SBI Cap securities Ltd - 20/03/2025**</t>
  </si>
  <si>
    <t>INE763G14WK8</t>
  </si>
  <si>
    <t>ICICI Securities Ltd - 21/03/2025**</t>
  </si>
  <si>
    <t>INE824H14QY9</t>
  </si>
  <si>
    <t>Julius Baer Capital (India) Private Ltd - 20/03/2025**</t>
  </si>
  <si>
    <t>INE514E14RY1</t>
  </si>
  <si>
    <t>Export Import Bank of India - 24/01/2025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</si>
  <si>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</si>
  <si>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</si>
  <si>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</si>
  <si>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</si>
  <si>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</si>
  <si>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</si>
  <si>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</si>
  <si>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</si>
  <si>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</si>
  <si>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</si>
  <si>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</si>
  <si>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</si>
  <si>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</si>
  <si>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</si>
  <si>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</si>
  <si>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</si>
  <si>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</si>
  <si>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</si>
  <si>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INE865C14MW6</t>
  </si>
  <si>
    <t>Aditya Birla Money Ltd - 20/03/2025**</t>
  </si>
  <si>
    <t>INE261F14ML4</t>
  </si>
  <si>
    <t>National Bank for Agriculture &amp; Rural Development - 21/02/2025**</t>
  </si>
  <si>
    <t>INE692Q14BH8</t>
  </si>
  <si>
    <t>TOYOTA FINANCIAL SERVICES - 27/01/2025**</t>
  </si>
  <si>
    <t>INE865C14MJ3</t>
  </si>
  <si>
    <t>Aditya Birla Money Ltd - 05/02/2025**</t>
  </si>
  <si>
    <t>INE027214738</t>
  </si>
  <si>
    <t>BOBCARD Ltd - 27/02/2025**</t>
  </si>
  <si>
    <t>IN002024X318</t>
  </si>
  <si>
    <t>91 Days - T Bill - 06/02/2025</t>
  </si>
  <si>
    <t>IN002024Y217</t>
  </si>
  <si>
    <t>182 Days - T Bill - 20/02/2025</t>
  </si>
  <si>
    <t>IN002024X300</t>
  </si>
  <si>
    <t>91 Days - T Bill - 30/01/2025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</si>
  <si>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</si>
  <si>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</si>
  <si>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</si>
  <si>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</si>
  <si>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</si>
  <si>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</si>
  <si>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</si>
  <si>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</si>
  <si>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</si>
  <si>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</si>
  <si>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</si>
  <si>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</si>
  <si>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</si>
  <si>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</si>
  <si>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</si>
  <si>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</si>
  <si>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</si>
  <si>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</si>
  <si>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</si>
  <si>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</si>
  <si>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</si>
  <si>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</si>
  <si>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</si>
  <si>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</si>
  <si>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</si>
  <si>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</si>
  <si>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</si>
  <si>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</si>
  <si>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</si>
  <si>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</si>
  <si>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</si>
  <si>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</si>
  <si>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INE238AD6843</t>
  </si>
  <si>
    <t>Axis Bank Ltd - 05/06/2025**</t>
  </si>
  <si>
    <t>INE692A16IC3</t>
  </si>
  <si>
    <t>Union Bank of India - 04/12/2025**</t>
  </si>
  <si>
    <t>INE237A160W3</t>
  </si>
  <si>
    <t>Kotak Mahindra Bank Ltd - 05/02/2025**</t>
  </si>
  <si>
    <t>INE160A16OL0</t>
  </si>
  <si>
    <t>Punjab National Bank - 07/02/2025</t>
  </si>
  <si>
    <t>INE556F16AQ6</t>
  </si>
  <si>
    <t>Small Industries Development Bank of India - 07/02/2025</t>
  </si>
  <si>
    <t>INE476A16XV0</t>
  </si>
  <si>
    <t>Canara Bank - 11/03/2025**</t>
  </si>
  <si>
    <t>INE084A16CT0</t>
  </si>
  <si>
    <t>Bank of India - 28/05/2025**</t>
  </si>
  <si>
    <t>INE095A16X10</t>
  </si>
  <si>
    <t>IndusInd Bank Ltd - 19/08/2025**</t>
  </si>
  <si>
    <t>INE238AD6884</t>
  </si>
  <si>
    <t>Axis Bank Ltd - 22/08/2025**</t>
  </si>
  <si>
    <t>INE556F16AY0</t>
  </si>
  <si>
    <t>Small Industries Development Bank of India - 13/01/2026**</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</si>
  <si>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</si>
  <si>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</si>
  <si>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</si>
  <si>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</si>
  <si>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</si>
  <si>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</si>
  <si>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</si>
  <si>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</si>
  <si>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</si>
  <si>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</si>
  <si>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</si>
  <si>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</si>
  <si>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</si>
  <si>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</si>
  <si>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</si>
  <si>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</si>
  <si>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</si>
  <si>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</si>
  <si>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</si>
  <si>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</si>
  <si>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</si>
  <si>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</si>
  <si>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</si>
  <si>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</si>
  <si>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</si>
  <si>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</si>
  <si>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</si>
  <si>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</si>
  <si>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</si>
  <si>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</si>
  <si>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</si>
  <si>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</si>
  <si>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</si>
  <si>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</si>
  <si>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</si>
  <si>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</si>
  <si>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INE009A01021</t>
  </si>
  <si>
    <t>Infosys Ltd</t>
  </si>
  <si>
    <t>It - Software</t>
  </si>
  <si>
    <t>INE860A01027</t>
  </si>
  <si>
    <t>HCL Technologies Ltd</t>
  </si>
  <si>
    <t>INE018A01030</t>
  </si>
  <si>
    <t>Larsen &amp; Toubro Ltd</t>
  </si>
  <si>
    <t>Construction</t>
  </si>
  <si>
    <t>INE238A01034</t>
  </si>
  <si>
    <t>Axis Bank Ltd</t>
  </si>
  <si>
    <t>INE062A01020</t>
  </si>
  <si>
    <t>State Bank of India</t>
  </si>
  <si>
    <t>INE044A01036</t>
  </si>
  <si>
    <t>Sun Pharmaceutical Industries Ltd</t>
  </si>
  <si>
    <t>Pharmaceuticals &amp; Biotechnology</t>
  </si>
  <si>
    <t>INE154A01025</t>
  </si>
  <si>
    <t>ITC Ltd</t>
  </si>
  <si>
    <t>Diversified Fmcg</t>
  </si>
  <si>
    <t>INE200M01039</t>
  </si>
  <si>
    <t>Varun Beverages Ltd</t>
  </si>
  <si>
    <t>Beverages</t>
  </si>
  <si>
    <t>INE797F01020</t>
  </si>
  <si>
    <t>Jubilant Foodworks Ltd</t>
  </si>
  <si>
    <t>Leisure Services</t>
  </si>
  <si>
    <t>INE917I01010</t>
  </si>
  <si>
    <t>Bajaj Auto Ltd</t>
  </si>
  <si>
    <t>Automobiles</t>
  </si>
  <si>
    <t>INE029A01011</t>
  </si>
  <si>
    <t>Bharat Petroleum Corporation Ltd</t>
  </si>
  <si>
    <t>INE196A01026</t>
  </si>
  <si>
    <t>Marico Ltd</t>
  </si>
  <si>
    <t>Agricultural Food &amp; Other Products</t>
  </si>
  <si>
    <t>INE481G01011</t>
  </si>
  <si>
    <t>Ultratech Cement Ltd</t>
  </si>
  <si>
    <t>Cement &amp; Cement Products</t>
  </si>
  <si>
    <t>INE540L01014</t>
  </si>
  <si>
    <t>Alkem Laboratories Ltd</t>
  </si>
  <si>
    <t>INE854D01024</t>
  </si>
  <si>
    <t>United Spirits Ltd</t>
  </si>
  <si>
    <t>INE726G01019</t>
  </si>
  <si>
    <t>ICICI Prudential Life Insurance Company Ltd</t>
  </si>
  <si>
    <t>Insurance</t>
  </si>
  <si>
    <t>INE585B01010</t>
  </si>
  <si>
    <t>Maruti Suzuki India Ltd</t>
  </si>
  <si>
    <t>INE603J01030</t>
  </si>
  <si>
    <t>PI Industries Ltd</t>
  </si>
  <si>
    <t>Fertilizers &amp; Agrochemicals</t>
  </si>
  <si>
    <t>INE047A01021</t>
  </si>
  <si>
    <t>Grasim Industries Ltd</t>
  </si>
  <si>
    <t>INE438A01022</t>
  </si>
  <si>
    <t>Apollo Tyres Ltd</t>
  </si>
  <si>
    <t>Auto Components</t>
  </si>
  <si>
    <t>INE028A01039</t>
  </si>
  <si>
    <t>Bank of Baroda</t>
  </si>
  <si>
    <t>INE379A01010</t>
  </si>
  <si>
    <t>ITC Hotels Ltd</t>
  </si>
  <si>
    <t>IN9397D01014</t>
  </si>
  <si>
    <t>Sundaram Overnight Fund</t>
  </si>
  <si>
    <t>IN002024Y175</t>
  </si>
  <si>
    <t>182 Days - T Bill - 23/01/2025</t>
  </si>
  <si>
    <t>IN002023Z448</t>
  </si>
  <si>
    <t>364 Days -T Bill- 16/01/2025</t>
  </si>
  <si>
    <t>IN002024Y191</t>
  </si>
  <si>
    <t>182 Days - T Bill - 06/02/2025</t>
  </si>
  <si>
    <t>S. No.</t>
  </si>
  <si>
    <t>ACRONYM</t>
  </si>
  <si>
    <t>SCHEME NAME</t>
  </si>
  <si>
    <t>SFRLTP</t>
  </si>
  <si>
    <t>SFRSTP</t>
  </si>
  <si>
    <t>SMMF</t>
  </si>
  <si>
    <t>SPLDF</t>
  </si>
  <si>
    <t>SPMON</t>
  </si>
  <si>
    <t>SPSDF</t>
  </si>
  <si>
    <t>SPUSDF</t>
  </si>
  <si>
    <t>SUNBDS</t>
  </si>
  <si>
    <t>SUNMIA</t>
  </si>
  <si>
    <t>SUNONF</t>
  </si>
  <si>
    <t>Index</t>
  </si>
  <si>
    <t>YTM (%)*</t>
  </si>
  <si>
    <t>Fortnightly Portfolio Statement as on 15 January 2025</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</si>
  <si>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</si>
  <si>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</si>
  <si>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</si>
  <si>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</si>
  <si>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</si>
  <si>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</si>
  <si>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</si>
  <si>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</si>
  <si>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</si>
  <si>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</si>
  <si>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</si>
  <si>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</si>
  <si>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</si>
  <si>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</si>
  <si>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</si>
  <si>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</si>
  <si>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</si>
  <si>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</si>
  <si>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</si>
  <si>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</si>
  <si>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</si>
  <si>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</si>
  <si>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</si>
  <si>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</si>
  <si>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</si>
  <si>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YTM (%)</t>
  </si>
  <si>
    <t>++ Aggregate Investments by Other schemes of Sundaram Mutual Fund - Rs.11,167.20 Lakhs</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</si>
  <si>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</si>
  <si>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</si>
  <si>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</si>
  <si>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</si>
  <si>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</si>
  <si>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</si>
  <si>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</si>
  <si>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</si>
  <si>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</si>
  <si>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</si>
  <si>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</si>
  <si>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</si>
  <si>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</si>
  <si>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</si>
  <si>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</si>
  <si>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</si>
  <si>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</si>
  <si>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</si>
  <si>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</si>
  <si>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</si>
  <si>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</si>
  <si>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</si>
  <si>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</si>
  <si>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</si>
  <si>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</si>
  <si>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</si>
  <si>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</si>
  <si>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</si>
  <si>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</si>
  <si>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</si>
  <si>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</si>
  <si>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</si>
  <si>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</si>
  <si>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</si>
  <si>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Rs.5,220.28 Lakhs</t>
  </si>
  <si>
    <t>Net receivable/ Market value  (Rs. Lakh)</t>
  </si>
  <si>
    <t>% to NAV</t>
  </si>
  <si>
    <t xml:space="preserve">                      NIFTY Liquid Index A-I</t>
  </si>
  <si>
    <t xml:space="preserve">                       NIFTY Liquid Index</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</si>
  <si>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</si>
  <si>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</si>
  <si>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</si>
  <si>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</si>
  <si>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</si>
  <si>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</si>
  <si>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</si>
  <si>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</si>
  <si>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</si>
  <si>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</si>
  <si>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</si>
  <si>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</si>
  <si>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</si>
  <si>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</si>
  <si>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</si>
  <si>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</si>
  <si>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</si>
  <si>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</si>
  <si>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</si>
  <si>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</si>
  <si>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</si>
  <si>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</si>
  <si>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</si>
  <si>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</si>
  <si>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</si>
  <si>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</si>
  <si>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</si>
  <si>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</si>
  <si>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</si>
  <si>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</si>
  <si>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</si>
  <si>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</si>
  <si>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</si>
  <si>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</si>
  <si>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</si>
  <si>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</si>
  <si>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</si>
  <si>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</si>
  <si>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</si>
  <si>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</si>
  <si>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</si>
  <si>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</si>
  <si>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</si>
  <si>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</si>
  <si>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</si>
  <si>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</si>
  <si>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</si>
  <si>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</si>
  <si>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</si>
  <si>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</si>
  <si>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</si>
  <si>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</si>
  <si>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</si>
  <si>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</si>
  <si>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</si>
  <si>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15-Jan-2025</t>
  </si>
  <si>
    <t>i) Exposure to securities classified as below investment grade or default as on 15-Jan-2025:-</t>
  </si>
  <si>
    <t>h)  Hedging Positions through Swaps as on 15-Jan-2025:-</t>
  </si>
  <si>
    <t>% to AUM as on  15-Jan-2025</t>
  </si>
  <si>
    <t>h) Exposure to securities classified as below investment grade or default as on 15-Jan-2025:-</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</si>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</sst>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409]d\-mmm\-yy;@"/>
  </numFmts>
  <fonts count="38"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1">
    <xf numFmtId="0" fontId="0" fillId="0" borderId="0">
      <alignment wrapText="1"/>
    </xf>
    <xf numFmtId="164" fontId="5" fillId="0" borderId="0" applyFont="0" applyFill="0" applyBorder="0" applyAlignment="0" applyProtection="0"/>
    <xf numFmtId="0" fontId="1" fillId="0" borderId="0"/>
    <xf numFmtId="0" fontId="1" fillId="0" borderId="0"/>
    <xf numFmtId="0" fontId="11" fillId="0" borderId="0" applyNumberFormat="0" applyFill="0" applyBorder="0" applyAlignment="0" applyProtection="0">
      <alignment wrapText="1"/>
    </xf>
    <xf numFmtId="0" fontId="19" fillId="0" borderId="0">
      <alignment wrapText="1"/>
    </xf>
    <xf numFmtId="164" fontId="19" fillId="0" borderId="0" applyFont="0" applyFill="0" applyBorder="0" applyAlignment="0" applyProtection="0"/>
    <xf numFmtId="9" fontId="27" fillId="0" borderId="0" applyFont="0" applyFill="0" applyBorder="0" applyAlignment="0" applyProtection="0"/>
    <xf numFmtId="9" fontId="19" fillId="0" borderId="0" applyFont="0" applyFill="0" applyBorder="0" applyAlignment="0" applyProtection="0"/>
    <xf numFmtId="0" fontId="1" fillId="0" borderId="0"/>
    <xf numFmtId="0" fontId="1" fillId="0" borderId="0"/>
  </cellStyleXfs>
  <cellXfs count="201">
    <xf numFmtId="0" fontId="0" fillId="0" borderId="0" xfId="0">
      <alignment wrapText="1"/>
    </xf>
    <xf numFmtId="0" fontId="8" fillId="0" borderId="7" xfId="2" applyFont="1" applyBorder="1" applyAlignment="1">
      <alignment horizontal="center"/>
    </xf>
    <xf numFmtId="0" fontId="9" fillId="0" borderId="7" xfId="2" applyFont="1" applyBorder="1" applyAlignment="1">
      <alignment horizontal="center" vertical="center"/>
    </xf>
    <xf numFmtId="0" fontId="10" fillId="0" borderId="0" xfId="3" applyFont="1"/>
    <xf numFmtId="0" fontId="10" fillId="0" borderId="7" xfId="2" applyFont="1" applyBorder="1" applyAlignment="1">
      <alignment horizontal="center"/>
    </xf>
    <xf numFmtId="0" fontId="12" fillId="0" borderId="7" xfId="4" applyFont="1" applyBorder="1" applyAlignment="1">
      <alignment vertical="center"/>
    </xf>
    <xf numFmtId="0" fontId="13" fillId="0" borderId="7" xfId="2" applyFont="1" applyBorder="1" applyAlignment="1">
      <alignment vertical="top"/>
    </xf>
    <xf numFmtId="0" fontId="15" fillId="0" borderId="0" xfId="4" applyFont="1" applyFill="1" applyBorder="1" applyAlignment="1">
      <alignment horizontal="center" vertical="center" wrapText="1"/>
    </xf>
    <xf numFmtId="164" fontId="20" fillId="0" borderId="7" xfId="6" applyFont="1" applyFill="1" applyBorder="1" applyAlignment="1">
      <alignment vertical="center"/>
    </xf>
    <xf numFmtId="164" fontId="24" fillId="0" borderId="7" xfId="6" applyFont="1" applyFill="1" applyBorder="1" applyAlignment="1">
      <alignment vertical="center"/>
    </xf>
    <xf numFmtId="4" fontId="26" fillId="0" borderId="7" xfId="7" applyNumberFormat="1" applyFont="1" applyFill="1" applyBorder="1"/>
    <xf numFmtId="10" fontId="24" fillId="0" borderId="7" xfId="8" applyNumberFormat="1" applyFont="1" applyFill="1" applyBorder="1" applyAlignment="1">
      <alignment vertical="center"/>
    </xf>
    <xf numFmtId="4" fontId="26" fillId="0" borderId="0" xfId="7" applyNumberFormat="1" applyFont="1" applyFill="1" applyBorder="1"/>
    <xf numFmtId="0" fontId="14" fillId="0" borderId="4" xfId="0" applyFont="1" applyBorder="1" applyAlignment="1">
      <alignment horizontal="center" vertical="center" wrapText="1" readingOrder="1"/>
    </xf>
    <xf numFmtId="164" fontId="14"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6" fontId="16" fillId="0" borderId="7"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0" fontId="16" fillId="0" borderId="4" xfId="0" applyFont="1" applyBorder="1" applyAlignment="1">
      <alignment horizontal="right" vertical="top" wrapText="1" readingOrder="1"/>
    </xf>
    <xf numFmtId="0" fontId="17"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0" fontId="18" fillId="0" borderId="4" xfId="0" applyFont="1" applyBorder="1" applyAlignment="1">
      <alignment horizontal="left" vertical="center" wrapText="1" readingOrder="1"/>
    </xf>
    <xf numFmtId="166" fontId="16" fillId="0" borderId="4" xfId="0" applyNumberFormat="1" applyFont="1" applyBorder="1" applyAlignment="1">
      <alignment horizontal="right" vertical="center" wrapText="1" readingOrder="1"/>
    </xf>
    <xf numFmtId="0" fontId="19" fillId="0" borderId="0" xfId="5">
      <alignment wrapText="1"/>
    </xf>
    <xf numFmtId="0" fontId="20" fillId="0" borderId="0" xfId="0" applyFont="1">
      <alignment wrapText="1"/>
    </xf>
    <xf numFmtId="167" fontId="16" fillId="0" borderId="4" xfId="0" applyNumberFormat="1" applyFont="1" applyBorder="1" applyAlignment="1">
      <alignment horizontal="right" vertical="center" wrapText="1" readingOrder="1"/>
    </xf>
    <xf numFmtId="0" fontId="16" fillId="0" borderId="4" xfId="0" applyFont="1" applyBorder="1" applyAlignment="1">
      <alignment horizontal="left" vertical="center" wrapText="1" readingOrder="1"/>
    </xf>
    <xf numFmtId="169" fontId="16" fillId="0" borderId="4" xfId="0" applyNumberFormat="1" applyFont="1" applyBorder="1" applyAlignment="1">
      <alignment horizontal="right" vertical="center" wrapText="1" readingOrder="1"/>
    </xf>
    <xf numFmtId="165" fontId="16" fillId="0" borderId="4" xfId="0" applyNumberFormat="1" applyFont="1" applyBorder="1" applyAlignment="1">
      <alignment horizontal="right" vertical="center" wrapText="1" readingOrder="1"/>
    </xf>
    <xf numFmtId="166" fontId="18" fillId="0" borderId="4" xfId="0" applyNumberFormat="1" applyFont="1" applyBorder="1" applyAlignment="1">
      <alignment horizontal="right" vertical="center" wrapText="1" readingOrder="1"/>
    </xf>
    <xf numFmtId="165" fontId="18" fillId="0" borderId="4" xfId="0" applyNumberFormat="1"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6"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4" fillId="0" borderId="6" xfId="0" applyFont="1" applyBorder="1" applyAlignment="1">
      <alignment horizontal="right" vertical="center" wrapText="1" readingOrder="1"/>
    </xf>
    <xf numFmtId="0" fontId="16" fillId="0" borderId="0" xfId="0" applyFont="1" applyAlignment="1">
      <alignment horizontal="right" vertical="top" wrapText="1" readingOrder="1"/>
    </xf>
    <xf numFmtId="0" fontId="18" fillId="0" borderId="4" xfId="0" applyFont="1" applyBorder="1" applyAlignment="1">
      <alignment horizontal="right" vertical="top" wrapText="1" readingOrder="1"/>
    </xf>
    <xf numFmtId="164" fontId="16" fillId="0" borderId="0" xfId="1" applyFont="1" applyFill="1" applyBorder="1" applyAlignment="1">
      <alignment horizontal="right" vertical="top" wrapText="1" readingOrder="1"/>
    </xf>
    <xf numFmtId="0" fontId="18" fillId="0" borderId="4" xfId="0" applyFont="1" applyBorder="1" applyAlignment="1">
      <alignment horizontal="left" vertical="top" wrapText="1" readingOrder="1"/>
    </xf>
    <xf numFmtId="173" fontId="18"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0" fillId="0" borderId="0" xfId="0" applyAlignment="1">
      <alignment horizontal="center" vertical="top" readingOrder="1"/>
    </xf>
    <xf numFmtId="0" fontId="16" fillId="0" borderId="6" xfId="0" applyFont="1" applyBorder="1" applyAlignment="1">
      <alignment horizontal="right" vertical="top" wrapText="1" readingOrder="1"/>
    </xf>
    <xf numFmtId="0" fontId="20" fillId="0" borderId="0" xfId="0" applyFont="1" applyAlignment="1">
      <alignment vertical="center" wrapText="1"/>
    </xf>
    <xf numFmtId="0" fontId="21" fillId="0" borderId="7" xfId="0" applyFont="1" applyBorder="1" applyAlignment="1">
      <alignment horizontal="center" vertical="center" wrapText="1"/>
    </xf>
    <xf numFmtId="0" fontId="20" fillId="0" borderId="7" xfId="0" applyFont="1" applyBorder="1" applyAlignment="1">
      <alignment vertical="center" wrapText="1"/>
    </xf>
    <xf numFmtId="0" fontId="20" fillId="0" borderId="7" xfId="0" applyFont="1" applyBorder="1" applyAlignment="1">
      <alignment horizontal="justify" vertical="center" wrapText="1"/>
    </xf>
    <xf numFmtId="172" fontId="18" fillId="0" borderId="4" xfId="0" applyNumberFormat="1" applyFont="1" applyBorder="1" applyAlignment="1">
      <alignment horizontal="left" vertical="center" wrapText="1" readingOrder="1"/>
    </xf>
    <xf numFmtId="174" fontId="18"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2" fillId="0" borderId="0" xfId="0" applyFont="1">
      <alignment wrapText="1"/>
    </xf>
    <xf numFmtId="0" fontId="22" fillId="0" borderId="0" xfId="0" applyFont="1" applyAlignment="1"/>
    <xf numFmtId="0" fontId="0" fillId="0" borderId="0" xfId="0" applyAlignment="1"/>
    <xf numFmtId="0" fontId="16" fillId="0" borderId="0" xfId="0" applyFont="1" applyAlignment="1">
      <alignment horizontal="right" vertical="center" wrapText="1" readingOrder="1"/>
    </xf>
    <xf numFmtId="0" fontId="18" fillId="0" borderId="0" xfId="0" applyFont="1" applyAlignment="1">
      <alignment horizontal="left" vertical="center" wrapText="1" readingOrder="1"/>
    </xf>
    <xf numFmtId="0" fontId="21" fillId="0" borderId="0" xfId="0" applyFont="1" applyAlignment="1">
      <alignment vertical="center" readingOrder="1"/>
    </xf>
    <xf numFmtId="0" fontId="21" fillId="0" borderId="0" xfId="0" applyFont="1" applyAlignment="1">
      <alignment horizontal="left" vertical="center" readingOrder="1"/>
    </xf>
    <xf numFmtId="0" fontId="23" fillId="0" borderId="0" xfId="0" applyFont="1" applyAlignment="1">
      <alignment vertical="center" wrapText="1"/>
    </xf>
    <xf numFmtId="0" fontId="23" fillId="0" borderId="7" xfId="0" applyFont="1" applyBorder="1" applyAlignment="1">
      <alignment horizontal="center" vertical="center" wrapText="1"/>
    </xf>
    <xf numFmtId="0" fontId="20" fillId="0" borderId="0" xfId="0" applyFont="1" applyAlignment="1">
      <alignment vertical="center"/>
    </xf>
    <xf numFmtId="0" fontId="20" fillId="0" borderId="7" xfId="0" applyFont="1" applyBorder="1" applyAlignment="1">
      <alignment vertical="center"/>
    </xf>
    <xf numFmtId="4" fontId="20" fillId="0" borderId="7" xfId="0" applyNumberFormat="1" applyFont="1" applyBorder="1" applyAlignment="1">
      <alignment vertical="center"/>
    </xf>
    <xf numFmtId="0" fontId="20" fillId="0" borderId="0" xfId="0" applyFont="1" applyAlignment="1">
      <alignment horizontal="center" vertical="center" readingOrder="1"/>
    </xf>
    <xf numFmtId="0" fontId="25" fillId="0" borderId="7" xfId="2" applyFont="1" applyBorder="1" applyAlignment="1">
      <alignment horizontal="center"/>
    </xf>
    <xf numFmtId="0" fontId="26" fillId="0" borderId="7" xfId="2" applyFont="1" applyBorder="1"/>
    <xf numFmtId="0" fontId="26" fillId="0" borderId="7" xfId="2" applyFont="1" applyBorder="1" applyAlignment="1">
      <alignment wrapText="1"/>
    </xf>
    <xf numFmtId="0" fontId="25" fillId="0" borderId="7" xfId="2" applyFont="1" applyBorder="1" applyAlignment="1">
      <alignment horizontal="center" vertical="center"/>
    </xf>
    <xf numFmtId="0" fontId="25" fillId="0" borderId="7" xfId="2" applyFont="1" applyBorder="1" applyAlignment="1">
      <alignment horizontal="center" vertical="center" wrapText="1"/>
    </xf>
    <xf numFmtId="4" fontId="26" fillId="0" borderId="7" xfId="2" applyNumberFormat="1" applyFont="1" applyBorder="1"/>
    <xf numFmtId="164" fontId="26" fillId="0" borderId="7" xfId="6" applyFont="1" applyFill="1" applyBorder="1"/>
    <xf numFmtId="43" fontId="26" fillId="0" borderId="7" xfId="2" applyNumberFormat="1" applyFont="1" applyBorder="1"/>
    <xf numFmtId="0" fontId="28" fillId="0" borderId="0" xfId="0" applyFont="1" applyAlignment="1"/>
    <xf numFmtId="0" fontId="11" fillId="0" borderId="0" xfId="4" applyFill="1" applyAlignment="1"/>
    <xf numFmtId="2" fontId="20" fillId="0" borderId="7" xfId="0" applyNumberFormat="1" applyFont="1" applyBorder="1" applyAlignment="1">
      <alignment vertical="center"/>
    </xf>
    <xf numFmtId="0" fontId="17" fillId="0" borderId="0" xfId="2" applyFont="1" applyAlignment="1">
      <alignment horizontal="left" vertical="center" wrapText="1" readingOrder="1"/>
    </xf>
    <xf numFmtId="0" fontId="10" fillId="0" borderId="0" xfId="2" applyFont="1" applyAlignment="1">
      <alignment vertical="center" wrapText="1"/>
    </xf>
    <xf numFmtId="0" fontId="28" fillId="0" borderId="0" xfId="0" applyFont="1" applyAlignment="1">
      <alignment horizontal="left" vertical="top" readingOrder="1"/>
    </xf>
    <xf numFmtId="0" fontId="26" fillId="0" borderId="0" xfId="2" applyFont="1"/>
    <xf numFmtId="0" fontId="26" fillId="0" borderId="0" xfId="2" applyFont="1" applyAlignment="1">
      <alignment wrapText="1"/>
    </xf>
    <xf numFmtId="4" fontId="26" fillId="0" borderId="0" xfId="2" applyNumberFormat="1" applyFont="1"/>
    <xf numFmtId="164" fontId="26" fillId="0" borderId="0" xfId="6" applyFont="1" applyFill="1" applyBorder="1"/>
    <xf numFmtId="43" fontId="26" fillId="0" borderId="0" xfId="2" applyNumberFormat="1" applyFont="1"/>
    <xf numFmtId="0" fontId="17" fillId="0" borderId="7" xfId="0" applyFont="1" applyBorder="1" applyAlignment="1">
      <alignment horizontal="left" vertical="center" wrapText="1" readingOrder="1"/>
    </xf>
    <xf numFmtId="0" fontId="29" fillId="0" borderId="7" xfId="0" applyFont="1" applyBorder="1">
      <alignment wrapText="1"/>
    </xf>
    <xf numFmtId="0" fontId="17" fillId="0" borderId="7" xfId="0" applyFont="1" applyBorder="1" applyAlignment="1">
      <alignment horizontal="right" vertical="center" wrapText="1" readingOrder="1"/>
    </xf>
    <xf numFmtId="0" fontId="0" fillId="0" borderId="7" xfId="0" applyBorder="1">
      <alignment wrapText="1"/>
    </xf>
    <xf numFmtId="0" fontId="30" fillId="0" borderId="7" xfId="0" applyFont="1" applyBorder="1">
      <alignment wrapText="1"/>
    </xf>
    <xf numFmtId="168" fontId="16" fillId="0" borderId="7" xfId="0" applyNumberFormat="1" applyFont="1" applyBorder="1" applyAlignment="1">
      <alignment horizontal="right" vertical="center" wrapText="1" readingOrder="1"/>
    </xf>
    <xf numFmtId="165" fontId="16" fillId="0" borderId="7" xfId="0" applyNumberFormat="1" applyFont="1" applyBorder="1" applyAlignment="1">
      <alignment horizontal="right" vertical="center" wrapText="1" readingOrder="1"/>
    </xf>
    <xf numFmtId="0" fontId="28" fillId="0" borderId="0" xfId="9" applyFont="1"/>
    <xf numFmtId="0" fontId="0" fillId="0" borderId="0" xfId="0" applyAlignment="1">
      <alignment horizontal="center" vertical="center"/>
    </xf>
    <xf numFmtId="0" fontId="31" fillId="0" borderId="14" xfId="0" applyFont="1" applyBorder="1" applyAlignment="1">
      <alignment horizontal="center" vertical="center" wrapText="1"/>
    </xf>
    <xf numFmtId="0" fontId="32" fillId="0" borderId="14" xfId="0" applyFont="1" applyBorder="1" applyAlignment="1">
      <alignment horizontal="center" vertical="center" wrapText="1"/>
    </xf>
    <xf numFmtId="0" fontId="0" fillId="0" borderId="0" xfId="0" applyAlignment="1">
      <alignment vertical="center"/>
    </xf>
    <xf numFmtId="0" fontId="33" fillId="0" borderId="14" xfId="0" applyFont="1" applyBorder="1" applyAlignment="1">
      <alignment vertical="center"/>
    </xf>
    <xf numFmtId="0" fontId="34" fillId="0" borderId="14" xfId="0" applyFont="1" applyBorder="1" applyAlignment="1">
      <alignment vertical="center" wrapText="1"/>
    </xf>
    <xf numFmtId="0" fontId="34" fillId="0" borderId="14" xfId="0" applyFont="1" applyBorder="1" applyAlignment="1">
      <alignment vertical="center"/>
    </xf>
    <xf numFmtId="164" fontId="33" fillId="0" borderId="14" xfId="6" applyFont="1" applyFill="1" applyBorder="1" applyAlignment="1">
      <alignment vertical="center"/>
    </xf>
    <xf numFmtId="175" fontId="33" fillId="0" borderId="14" xfId="0" applyNumberFormat="1" applyFont="1" applyBorder="1" applyAlignment="1">
      <alignment vertical="center"/>
    </xf>
    <xf numFmtId="0" fontId="35" fillId="0" borderId="0" xfId="0" applyFont="1" applyAlignment="1"/>
    <xf numFmtId="0" fontId="23" fillId="0" borderId="7" xfId="0" applyFont="1" applyBorder="1" applyAlignment="1">
      <alignment vertical="center" wrapText="1"/>
    </xf>
    <xf numFmtId="0" fontId="2" fillId="0" borderId="4" xfId="0" quotePrefix="1" applyFont="1" applyBorder="1" applyAlignment="1">
      <alignment horizontal="right" vertical="center" wrapText="1" readingOrder="1"/>
    </xf>
    <xf numFmtId="0" fontId="6" fillId="0" borderId="0" xfId="10" applyFont="1" applyAlignment="1">
      <alignment horizontal="center" vertical="center"/>
    </xf>
    <xf numFmtId="0" fontId="1" fillId="0" borderId="0" xfId="10" applyAlignment="1">
      <alignment wrapText="1"/>
    </xf>
    <xf numFmtId="4" fontId="7" fillId="0" borderId="0" xfId="10" applyNumberFormat="1" applyFont="1"/>
    <xf numFmtId="0" fontId="36" fillId="0" borderId="0" xfId="10" applyFont="1" applyAlignment="1">
      <alignment wrapText="1"/>
    </xf>
    <xf numFmtId="0" fontId="23" fillId="0" borderId="7" xfId="10" applyFont="1" applyBorder="1" applyAlignment="1">
      <alignment horizontal="center" vertical="center"/>
    </xf>
    <xf numFmtId="0" fontId="23" fillId="0" borderId="0" xfId="10" applyFont="1" applyAlignment="1">
      <alignment horizontal="center" vertical="center"/>
    </xf>
    <xf numFmtId="0" fontId="24" fillId="0" borderId="7" xfId="10" applyFont="1" applyBorder="1" applyAlignment="1">
      <alignment vertical="center"/>
    </xf>
    <xf numFmtId="0" fontId="24" fillId="0" borderId="7" xfId="10" applyFont="1" applyBorder="1" applyAlignment="1">
      <alignment vertical="center" wrapText="1"/>
    </xf>
    <xf numFmtId="0" fontId="24" fillId="0" borderId="0" xfId="10" applyFont="1" applyAlignment="1">
      <alignment horizontal="center" vertical="center"/>
    </xf>
    <xf numFmtId="0" fontId="23" fillId="0" borderId="7" xfId="10" applyFont="1" applyBorder="1" applyAlignment="1">
      <alignment horizontal="center" vertical="center" wrapText="1"/>
    </xf>
    <xf numFmtId="0" fontId="37" fillId="0" borderId="0" xfId="10" applyFont="1" applyAlignment="1">
      <alignment horizontal="center" vertical="center"/>
    </xf>
    <xf numFmtId="0" fontId="24" fillId="0" borderId="7" xfId="10" applyFont="1" applyBorder="1" applyAlignment="1">
      <alignment horizontal="left" vertical="center"/>
    </xf>
    <xf numFmtId="4" fontId="24" fillId="0" borderId="7" xfId="10" applyNumberFormat="1" applyFont="1" applyBorder="1" applyAlignment="1">
      <alignment horizontal="right" vertical="center"/>
    </xf>
    <xf numFmtId="10" fontId="24" fillId="0" borderId="7" xfId="7" applyNumberFormat="1" applyFont="1" applyFill="1" applyBorder="1" applyAlignment="1">
      <alignment vertical="center"/>
    </xf>
    <xf numFmtId="164" fontId="36" fillId="0" borderId="0" xfId="6" applyFont="1" applyFill="1" applyAlignment="1">
      <alignment vertical="center"/>
    </xf>
    <xf numFmtId="164" fontId="24" fillId="0" borderId="0" xfId="6" applyFont="1" applyFill="1" applyAlignment="1">
      <alignment horizontal="center" vertical="center"/>
    </xf>
    <xf numFmtId="168" fontId="16" fillId="0" borderId="4" xfId="0" applyNumberFormat="1" applyFont="1" applyBorder="1" applyAlignment="1">
      <alignment horizontal="right" vertical="center" wrapText="1" readingOrder="1"/>
    </xf>
    <xf numFmtId="0" fontId="22" fillId="0" borderId="0" xfId="0" applyFont="1" applyAlignment="1">
      <alignment horizontal="center" vertical="center" wrapText="1"/>
    </xf>
    <xf numFmtId="14" fontId="20" fillId="0" borderId="7" xfId="0" quotePrefix="1" applyNumberFormat="1" applyFont="1" applyBorder="1" applyAlignment="1">
      <alignment horizontal="justify" vertical="center" wrapText="1"/>
    </xf>
    <xf numFmtId="0" fontId="19" fillId="0" borderId="0" xfId="5" applyAlignment="1">
      <alignment vertical="center" wrapText="1"/>
    </xf>
    <xf numFmtId="0" fontId="26" fillId="0" borderId="7" xfId="2" applyFont="1" applyBorder="1" applyAlignment="1">
      <alignment vertical="center"/>
    </xf>
    <xf numFmtId="2" fontId="26" fillId="0" borderId="7" xfId="2" applyNumberFormat="1" applyFont="1" applyBorder="1"/>
    <xf numFmtId="4" fontId="19" fillId="0" borderId="7" xfId="5" applyNumberFormat="1" applyBorder="1">
      <alignment wrapText="1"/>
    </xf>
    <xf numFmtId="174" fontId="18" fillId="0" borderId="4" xfId="0" applyNumberFormat="1" applyFont="1" applyBorder="1" applyAlignment="1">
      <alignment horizontal="left" vertical="center" wrapText="1" readingOrder="1"/>
    </xf>
    <xf numFmtId="164" fontId="0" fillId="0" borderId="0" xfId="6" applyFont="1" applyFill="1" applyAlignment="1">
      <alignment wrapText="1"/>
    </xf>
    <xf numFmtId="0" fontId="16" fillId="0" borderId="8" xfId="0" applyFont="1" applyBorder="1" applyAlignment="1">
      <alignment horizontal="left" vertical="center" wrapText="1" readingOrder="1"/>
    </xf>
    <xf numFmtId="0" fontId="16" fillId="0" borderId="10" xfId="0" applyFont="1" applyBorder="1" applyAlignment="1">
      <alignment horizontal="left" vertical="center" wrapText="1" readingOrder="1"/>
    </xf>
    <xf numFmtId="0" fontId="16" fillId="0" borderId="7" xfId="0" applyFont="1" applyBorder="1" applyAlignment="1">
      <alignment horizontal="left" vertical="center" wrapText="1" readingOrder="1"/>
    </xf>
    <xf numFmtId="0" fontId="16" fillId="0" borderId="9" xfId="0" applyFont="1" applyBorder="1" applyAlignment="1">
      <alignment horizontal="left" vertical="center" wrapText="1" readingOrder="1"/>
    </xf>
    <xf numFmtId="0" fontId="14" fillId="0" borderId="7" xfId="0" applyFont="1" applyBorder="1" applyAlignment="1">
      <alignment horizontal="center" vertical="center" wrapText="1" readingOrder="1"/>
    </xf>
    <xf numFmtId="0" fontId="16" fillId="0" borderId="0" xfId="0" applyFont="1" applyAlignment="1">
      <alignment horizontal="left" vertical="center" wrapText="1" readingOrder="1"/>
    </xf>
    <xf numFmtId="0" fontId="18" fillId="0" borderId="7"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6" fillId="0" borderId="1" xfId="0" applyFont="1" applyBorder="1" applyAlignment="1">
      <alignment horizontal="left" vertical="center" wrapText="1" readingOrder="1"/>
    </xf>
    <xf numFmtId="0" fontId="16" fillId="0" borderId="3" xfId="0" applyFont="1" applyBorder="1" applyAlignment="1">
      <alignment horizontal="left" vertical="center" wrapText="1" readingOrder="1"/>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16" fillId="0" borderId="11" xfId="0" applyFont="1" applyBorder="1" applyAlignment="1">
      <alignment horizontal="left" vertical="center" wrapText="1" readingOrder="1"/>
    </xf>
    <xf numFmtId="0" fontId="18" fillId="0" borderId="8" xfId="0" applyFont="1" applyBorder="1" applyAlignment="1">
      <alignment horizontal="center" vertical="center" wrapText="1" readingOrder="1"/>
    </xf>
    <xf numFmtId="0" fontId="18" fillId="0" borderId="10" xfId="0" applyFont="1" applyBorder="1" applyAlignment="1">
      <alignment horizontal="center" vertical="center" wrapText="1" readingOrder="1"/>
    </xf>
    <xf numFmtId="0" fontId="16" fillId="0" borderId="0" xfId="0" quotePrefix="1" applyFont="1" applyAlignment="1">
      <alignment horizontal="left" vertical="center" wrapText="1" readingOrder="1"/>
    </xf>
    <xf numFmtId="0" fontId="25" fillId="0" borderId="12" xfId="2" applyFont="1" applyBorder="1" applyAlignment="1">
      <alignment horizontal="center" vertical="center" wrapText="1"/>
    </xf>
    <xf numFmtId="0" fontId="25" fillId="0" borderId="13" xfId="2" applyFont="1" applyBorder="1" applyAlignment="1">
      <alignment horizontal="center" vertical="center" wrapText="1"/>
    </xf>
    <xf numFmtId="0" fontId="25" fillId="0" borderId="7" xfId="2" applyFont="1" applyBorder="1" applyAlignment="1">
      <alignment horizontal="center" vertical="center"/>
    </xf>
    <xf numFmtId="0" fontId="25" fillId="0" borderId="7" xfId="2" applyFont="1" applyBorder="1" applyAlignment="1">
      <alignment horizontal="center" vertical="center" wrapText="1"/>
    </xf>
    <xf numFmtId="164" fontId="26" fillId="0" borderId="7" xfId="6" applyFont="1" applyFill="1" applyBorder="1" applyAlignment="1">
      <alignment horizontal="center"/>
    </xf>
    <xf numFmtId="0" fontId="26" fillId="0" borderId="7" xfId="2" applyFont="1" applyBorder="1" applyAlignment="1">
      <alignment horizontal="center"/>
    </xf>
    <xf numFmtId="0" fontId="25" fillId="0" borderId="7" xfId="2" applyFont="1" applyBorder="1" applyAlignment="1">
      <alignment horizontal="center"/>
    </xf>
    <xf numFmtId="0" fontId="25" fillId="0" borderId="7" xfId="2" applyFont="1" applyBorder="1" applyAlignment="1">
      <alignment horizontal="center" wrapText="1"/>
    </xf>
    <xf numFmtId="0" fontId="26" fillId="0" borderId="0" xfId="2" applyFont="1" applyAlignment="1">
      <alignment horizontal="left" vertical="center" wrapText="1"/>
    </xf>
    <xf numFmtId="164" fontId="26" fillId="0" borderId="8" xfId="6" applyFont="1" applyFill="1" applyBorder="1" applyAlignment="1">
      <alignment horizontal="center"/>
    </xf>
    <xf numFmtId="164" fontId="26" fillId="0" borderId="9" xfId="6" applyFont="1" applyFill="1" applyBorder="1" applyAlignment="1">
      <alignment horizontal="center"/>
    </xf>
    <xf numFmtId="164" fontId="26" fillId="0" borderId="10" xfId="6" applyFont="1" applyFill="1" applyBorder="1" applyAlignment="1">
      <alignment horizontal="center"/>
    </xf>
    <xf numFmtId="0" fontId="25" fillId="0" borderId="8" xfId="2" applyFont="1" applyBorder="1" applyAlignment="1">
      <alignment horizontal="center" wrapText="1"/>
    </xf>
    <xf numFmtId="0" fontId="25" fillId="0" borderId="9" xfId="2" applyFont="1" applyBorder="1" applyAlignment="1">
      <alignment horizontal="center" wrapText="1"/>
    </xf>
    <xf numFmtId="0" fontId="25" fillId="0" borderId="10" xfId="2" applyFont="1" applyBorder="1" applyAlignment="1">
      <alignment horizontal="center" wrapText="1"/>
    </xf>
    <xf numFmtId="0" fontId="25" fillId="0" borderId="8" xfId="2" applyFont="1" applyBorder="1" applyAlignment="1">
      <alignment horizontal="center"/>
    </xf>
    <xf numFmtId="0" fontId="25" fillId="0" borderId="10" xfId="2" applyFont="1" applyBorder="1" applyAlignment="1">
      <alignment horizontal="center"/>
    </xf>
    <xf numFmtId="0" fontId="28" fillId="0" borderId="0" xfId="0" applyFont="1" applyAlignment="1">
      <alignment horizontal="left" vertical="top" readingOrder="1"/>
    </xf>
    <xf numFmtId="0" fontId="16" fillId="0" borderId="0" xfId="0" applyFont="1" applyAlignment="1">
      <alignment horizontal="justify" vertical="top" wrapText="1" readingOrder="1"/>
    </xf>
    <xf numFmtId="0" fontId="23" fillId="0" borderId="8" xfId="10" applyFont="1" applyBorder="1" applyAlignment="1">
      <alignment horizontal="center" vertical="center"/>
    </xf>
    <xf numFmtId="0" fontId="23" fillId="0" borderId="9" xfId="10" applyFont="1" applyBorder="1" applyAlignment="1">
      <alignment horizontal="center" vertical="center"/>
    </xf>
    <xf numFmtId="0" fontId="23" fillId="0" borderId="10" xfId="10" applyFont="1" applyBorder="1" applyAlignment="1">
      <alignment horizontal="center" vertical="center"/>
    </xf>
    <xf numFmtId="0" fontId="23" fillId="0" borderId="7" xfId="10" applyFont="1" applyBorder="1" applyAlignment="1">
      <alignment horizontal="center" vertical="center"/>
    </xf>
    <xf numFmtId="0" fontId="24" fillId="0" borderId="8" xfId="10" applyFont="1" applyBorder="1" applyAlignment="1">
      <alignment horizontal="left" vertical="center" wrapText="1"/>
    </xf>
    <xf numFmtId="0" fontId="24" fillId="0" borderId="9" xfId="10" applyFont="1" applyBorder="1" applyAlignment="1">
      <alignment horizontal="left" vertical="center" wrapText="1"/>
    </xf>
    <xf numFmtId="0" fontId="24" fillId="0" borderId="10" xfId="10" applyFont="1" applyBorder="1" applyAlignment="1">
      <alignment horizontal="left" vertical="center" wrapText="1"/>
    </xf>
    <xf numFmtId="0" fontId="21" fillId="0" borderId="8" xfId="0" applyFont="1" applyBorder="1" applyAlignment="1">
      <alignment horizontal="left" vertical="center" readingOrder="1"/>
    </xf>
    <xf numFmtId="0" fontId="21" fillId="0" borderId="9" xfId="0" applyFont="1" applyBorder="1" applyAlignment="1">
      <alignment horizontal="left" vertical="center" readingOrder="1"/>
    </xf>
    <xf numFmtId="0" fontId="21" fillId="0" borderId="10" xfId="0" applyFont="1" applyBorder="1" applyAlignment="1">
      <alignment horizontal="left" vertical="center" readingOrder="1"/>
    </xf>
    <xf numFmtId="0" fontId="23" fillId="0" borderId="8" xfId="10" applyFont="1" applyBorder="1" applyAlignment="1">
      <alignment horizontal="center" vertical="center" wrapText="1"/>
    </xf>
    <xf numFmtId="0" fontId="23" fillId="0" borderId="10" xfId="10" applyFont="1" applyBorder="1" applyAlignment="1">
      <alignment horizontal="center" vertical="center" wrapText="1"/>
    </xf>
    <xf numFmtId="164" fontId="24" fillId="0" borderId="8" xfId="6" applyFont="1" applyFill="1" applyBorder="1" applyAlignment="1">
      <alignment horizontal="center" vertical="center"/>
    </xf>
    <xf numFmtId="164" fontId="24" fillId="0" borderId="10" xfId="6" applyFont="1" applyFill="1" applyBorder="1" applyAlignment="1">
      <alignment horizontal="center" vertical="center"/>
    </xf>
    <xf numFmtId="0" fontId="28" fillId="0" borderId="7" xfId="0" applyFont="1" applyBorder="1" applyAlignment="1">
      <alignment horizontal="left" vertical="top" readingOrder="1"/>
    </xf>
  </cellXfs>
  <cellStyles count="11">
    <cellStyle name="Comma" xfId="1" builtinId="3"/>
    <cellStyle name="Comma 2" xfId="6" xr:uid="{C68AAFC3-CC5D-418E-9FC5-C3CA08DAA8C8}"/>
    <cellStyle name="Hyperlink 2" xfId="4" xr:uid="{2DAEBD99-DA17-4FE1-9211-67823CCAAC01}"/>
    <cellStyle name="Normal" xfId="0" builtinId="0"/>
    <cellStyle name="Normal 2 2 2" xfId="2" xr:uid="{9F7F8743-5291-4809-88A9-E1CD9E016B23}"/>
    <cellStyle name="Normal 2 2 3" xfId="10" xr:uid="{E0A8DDFC-292C-4B71-BA12-4C796A2ED79C}"/>
    <cellStyle name="Normal 2 3" xfId="3" xr:uid="{6E5608C7-6A49-4C08-A485-2E749C8BFD41}"/>
    <cellStyle name="Normal 3" xfId="5" xr:uid="{E3A9CE4B-5F4D-4DB8-AE68-6E3F868372BC}"/>
    <cellStyle name="Normal 4" xfId="9" xr:uid="{ACD8F911-AAF2-4ACD-AD4A-DE7090D2ECF4}"/>
    <cellStyle name="Percent 2" xfId="7" xr:uid="{638DC8CD-61B8-4FAC-B846-87EAA8B2FF6A}"/>
    <cellStyle name="Percent 3" xfId="8" xr:uid="{B751D62F-C45D-4CA6-B2D4-E9888CBFD2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145</xdr:row>
      <xdr:rowOff>0</xdr:rowOff>
    </xdr:from>
    <xdr:to>
      <xdr:col>2</xdr:col>
      <xdr:colOff>1770822</xdr:colOff>
      <xdr:row>146</xdr:row>
      <xdr:rowOff>27375</xdr:rowOff>
    </xdr:to>
    <xdr:pic>
      <xdr:nvPicPr>
        <xdr:cNvPr id="5" name="Picture 4">
          <a:extLst>
            <a:ext uri="{FF2B5EF4-FFF2-40B4-BE49-F238E27FC236}">
              <a16:creationId xmlns:a16="http://schemas.microsoft.com/office/drawing/2014/main" id="{D7515791-49F2-446F-812A-BC4D879872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309181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150</xdr:row>
      <xdr:rowOff>85726</xdr:rowOff>
    </xdr:from>
    <xdr:to>
      <xdr:col>2</xdr:col>
      <xdr:colOff>2034089</xdr:colOff>
      <xdr:row>150</xdr:row>
      <xdr:rowOff>2065726</xdr:rowOff>
    </xdr:to>
    <xdr:pic>
      <xdr:nvPicPr>
        <xdr:cNvPr id="6" name="Picture 5">
          <a:extLst>
            <a:ext uri="{FF2B5EF4-FFF2-40B4-BE49-F238E27FC236}">
              <a16:creationId xmlns:a16="http://schemas.microsoft.com/office/drawing/2014/main" id="{EE1268AA-61BF-4661-A3FD-2C21772109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042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371475</xdr:colOff>
      <xdr:row>150</xdr:row>
      <xdr:rowOff>76201</xdr:rowOff>
    </xdr:from>
    <xdr:to>
      <xdr:col>8</xdr:col>
      <xdr:colOff>100514</xdr:colOff>
      <xdr:row>150</xdr:row>
      <xdr:rowOff>2056201</xdr:rowOff>
    </xdr:to>
    <xdr:pic>
      <xdr:nvPicPr>
        <xdr:cNvPr id="7" name="Picture 6">
          <a:extLst>
            <a:ext uri="{FF2B5EF4-FFF2-40B4-BE49-F238E27FC236}">
              <a16:creationId xmlns:a16="http://schemas.microsoft.com/office/drawing/2014/main" id="{712F8315-F54C-4089-A223-EBDBB3C204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359467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1675573</xdr:colOff>
      <xdr:row>136</xdr:row>
      <xdr:rowOff>27375</xdr:rowOff>
    </xdr:to>
    <xdr:pic>
      <xdr:nvPicPr>
        <xdr:cNvPr id="5" name="Picture 4">
          <a:extLst>
            <a:ext uri="{FF2B5EF4-FFF2-40B4-BE49-F238E27FC236}">
              <a16:creationId xmlns:a16="http://schemas.microsoft.com/office/drawing/2014/main" id="{0338DA43-6F2B-4CBE-8E41-05C45E4DB0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0224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1957889</xdr:colOff>
      <xdr:row>140</xdr:row>
      <xdr:rowOff>1980000</xdr:rowOff>
    </xdr:to>
    <xdr:pic>
      <xdr:nvPicPr>
        <xdr:cNvPr id="6" name="Picture 5">
          <a:extLst>
            <a:ext uri="{FF2B5EF4-FFF2-40B4-BE49-F238E27FC236}">
              <a16:creationId xmlns:a16="http://schemas.microsoft.com/office/drawing/2014/main" id="{738C819D-04F3-4C73-8DF3-84A62A1D4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622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1076325</xdr:colOff>
      <xdr:row>140</xdr:row>
      <xdr:rowOff>0</xdr:rowOff>
    </xdr:from>
    <xdr:to>
      <xdr:col>9</xdr:col>
      <xdr:colOff>329114</xdr:colOff>
      <xdr:row>140</xdr:row>
      <xdr:rowOff>1980000</xdr:rowOff>
    </xdr:to>
    <xdr:pic>
      <xdr:nvPicPr>
        <xdr:cNvPr id="7" name="Picture 6">
          <a:extLst>
            <a:ext uri="{FF2B5EF4-FFF2-40B4-BE49-F238E27FC236}">
              <a16:creationId xmlns:a16="http://schemas.microsoft.com/office/drawing/2014/main" id="{E7A175CC-A8C7-4BB5-8FA9-9A4D9A3461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62550" y="29622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2034089</xdr:colOff>
      <xdr:row>153</xdr:row>
      <xdr:rowOff>1980000</xdr:rowOff>
    </xdr:to>
    <xdr:pic>
      <xdr:nvPicPr>
        <xdr:cNvPr id="5" name="Picture 4">
          <a:extLst>
            <a:ext uri="{FF2B5EF4-FFF2-40B4-BE49-F238E27FC236}">
              <a16:creationId xmlns:a16="http://schemas.microsoft.com/office/drawing/2014/main" id="{D12D33C3-C643-4C7F-A1F2-67CCDAEE02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975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476250</xdr:colOff>
      <xdr:row>153</xdr:row>
      <xdr:rowOff>0</xdr:rowOff>
    </xdr:from>
    <xdr:to>
      <xdr:col>9</xdr:col>
      <xdr:colOff>43364</xdr:colOff>
      <xdr:row>153</xdr:row>
      <xdr:rowOff>1980000</xdr:rowOff>
    </xdr:to>
    <xdr:pic>
      <xdr:nvPicPr>
        <xdr:cNvPr id="6" name="Picture 5">
          <a:extLst>
            <a:ext uri="{FF2B5EF4-FFF2-40B4-BE49-F238E27FC236}">
              <a16:creationId xmlns:a16="http://schemas.microsoft.com/office/drawing/2014/main" id="{FD4DFFEA-52CE-46AA-9774-06ADE9AA60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30975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2</xdr:col>
      <xdr:colOff>1751773</xdr:colOff>
      <xdr:row>149</xdr:row>
      <xdr:rowOff>27375</xdr:rowOff>
    </xdr:to>
    <xdr:pic>
      <xdr:nvPicPr>
        <xdr:cNvPr id="7" name="Picture 6">
          <a:extLst>
            <a:ext uri="{FF2B5EF4-FFF2-40B4-BE49-F238E27FC236}">
              <a16:creationId xmlns:a16="http://schemas.microsoft.com/office/drawing/2014/main" id="{9B76716F-5B0A-4000-BBE9-BD90C95F93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83749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1751773</xdr:colOff>
      <xdr:row>175</xdr:row>
      <xdr:rowOff>27375</xdr:rowOff>
    </xdr:to>
    <xdr:pic>
      <xdr:nvPicPr>
        <xdr:cNvPr id="5" name="Picture 4">
          <a:extLst>
            <a:ext uri="{FF2B5EF4-FFF2-40B4-BE49-F238E27FC236}">
              <a16:creationId xmlns:a16="http://schemas.microsoft.com/office/drawing/2014/main" id="{98C88BCE-259D-436F-BCC7-04996C33D1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109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2</xdr:col>
      <xdr:colOff>2034089</xdr:colOff>
      <xdr:row>179</xdr:row>
      <xdr:rowOff>1980000</xdr:rowOff>
    </xdr:to>
    <xdr:pic>
      <xdr:nvPicPr>
        <xdr:cNvPr id="6" name="Picture 5">
          <a:extLst>
            <a:ext uri="{FF2B5EF4-FFF2-40B4-BE49-F238E27FC236}">
              <a16:creationId xmlns:a16="http://schemas.microsoft.com/office/drawing/2014/main" id="{91762874-904C-4025-9C8D-7C529E31C8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709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333375</xdr:colOff>
      <xdr:row>179</xdr:row>
      <xdr:rowOff>0</xdr:rowOff>
    </xdr:from>
    <xdr:to>
      <xdr:col>7</xdr:col>
      <xdr:colOff>510089</xdr:colOff>
      <xdr:row>179</xdr:row>
      <xdr:rowOff>1980000</xdr:rowOff>
    </xdr:to>
    <xdr:pic>
      <xdr:nvPicPr>
        <xdr:cNvPr id="7" name="Picture 6">
          <a:extLst>
            <a:ext uri="{FF2B5EF4-FFF2-40B4-BE49-F238E27FC236}">
              <a16:creationId xmlns:a16="http://schemas.microsoft.com/office/drawing/2014/main" id="{A66422E9-E047-4949-A5A7-2D2EFF88B2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0709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2034089</xdr:colOff>
      <xdr:row>191</xdr:row>
      <xdr:rowOff>27375</xdr:rowOff>
    </xdr:to>
    <xdr:pic>
      <xdr:nvPicPr>
        <xdr:cNvPr id="5" name="Picture 4">
          <a:extLst>
            <a:ext uri="{FF2B5EF4-FFF2-40B4-BE49-F238E27FC236}">
              <a16:creationId xmlns:a16="http://schemas.microsoft.com/office/drawing/2014/main" id="{8B525DD4-0AE4-41D1-AC4F-C4364C353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585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195</xdr:row>
      <xdr:rowOff>0</xdr:rowOff>
    </xdr:from>
    <xdr:to>
      <xdr:col>2</xdr:col>
      <xdr:colOff>2034089</xdr:colOff>
      <xdr:row>195</xdr:row>
      <xdr:rowOff>1980000</xdr:rowOff>
    </xdr:to>
    <xdr:pic>
      <xdr:nvPicPr>
        <xdr:cNvPr id="6" name="Picture 5">
          <a:extLst>
            <a:ext uri="{FF2B5EF4-FFF2-40B4-BE49-F238E27FC236}">
              <a16:creationId xmlns:a16="http://schemas.microsoft.com/office/drawing/2014/main" id="{3C71EAEB-4324-46FC-AC5A-1CBE952006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1859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323850</xdr:colOff>
      <xdr:row>195</xdr:row>
      <xdr:rowOff>0</xdr:rowOff>
    </xdr:from>
    <xdr:to>
      <xdr:col>8</xdr:col>
      <xdr:colOff>329114</xdr:colOff>
      <xdr:row>195</xdr:row>
      <xdr:rowOff>1980000</xdr:rowOff>
    </xdr:to>
    <xdr:pic>
      <xdr:nvPicPr>
        <xdr:cNvPr id="7" name="Picture 6">
          <a:extLst>
            <a:ext uri="{FF2B5EF4-FFF2-40B4-BE49-F238E27FC236}">
              <a16:creationId xmlns:a16="http://schemas.microsoft.com/office/drawing/2014/main" id="{DA1E82CE-7F93-4D40-ADBB-6142AA4A500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01859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1751773</xdr:colOff>
      <xdr:row>172</xdr:row>
      <xdr:rowOff>27375</xdr:rowOff>
    </xdr:to>
    <xdr:pic>
      <xdr:nvPicPr>
        <xdr:cNvPr id="5" name="Picture 4">
          <a:extLst>
            <a:ext uri="{FF2B5EF4-FFF2-40B4-BE49-F238E27FC236}">
              <a16:creationId xmlns:a16="http://schemas.microsoft.com/office/drawing/2014/main" id="{18B19842-5C67-4CF2-AC32-8D566BFBDC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2524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2609850</xdr:colOff>
      <xdr:row>176</xdr:row>
      <xdr:rowOff>0</xdr:rowOff>
    </xdr:from>
    <xdr:to>
      <xdr:col>7</xdr:col>
      <xdr:colOff>386264</xdr:colOff>
      <xdr:row>176</xdr:row>
      <xdr:rowOff>1980000</xdr:rowOff>
    </xdr:to>
    <xdr:pic>
      <xdr:nvPicPr>
        <xdr:cNvPr id="6" name="Picture 5">
          <a:extLst>
            <a:ext uri="{FF2B5EF4-FFF2-40B4-BE49-F238E27FC236}">
              <a16:creationId xmlns:a16="http://schemas.microsoft.com/office/drawing/2014/main" id="{D69ADE9F-4D13-46B4-B7CA-9D282D7C55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08527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2034089</xdr:colOff>
      <xdr:row>176</xdr:row>
      <xdr:rowOff>1980000</xdr:rowOff>
    </xdr:to>
    <xdr:pic>
      <xdr:nvPicPr>
        <xdr:cNvPr id="7" name="Picture 6">
          <a:extLst>
            <a:ext uri="{FF2B5EF4-FFF2-40B4-BE49-F238E27FC236}">
              <a16:creationId xmlns:a16="http://schemas.microsoft.com/office/drawing/2014/main" id="{7ACBC208-954F-4715-B668-CB4314C515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8527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2034089</xdr:colOff>
      <xdr:row>193</xdr:row>
      <xdr:rowOff>27375</xdr:rowOff>
    </xdr:to>
    <xdr:pic>
      <xdr:nvPicPr>
        <xdr:cNvPr id="5" name="Picture 4">
          <a:extLst>
            <a:ext uri="{FF2B5EF4-FFF2-40B4-BE49-F238E27FC236}">
              <a16:creationId xmlns:a16="http://schemas.microsoft.com/office/drawing/2014/main" id="{55D8D6C0-9273-4558-A7E1-2B982814E6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1097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2</xdr:col>
      <xdr:colOff>2034089</xdr:colOff>
      <xdr:row>198</xdr:row>
      <xdr:rowOff>1980000</xdr:rowOff>
    </xdr:to>
    <xdr:pic>
      <xdr:nvPicPr>
        <xdr:cNvPr id="6" name="Picture 5">
          <a:extLst>
            <a:ext uri="{FF2B5EF4-FFF2-40B4-BE49-F238E27FC236}">
              <a16:creationId xmlns:a16="http://schemas.microsoft.com/office/drawing/2014/main" id="{8A0B6A70-25AB-4A49-8B55-DD275FD2D6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3033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333375</xdr:colOff>
      <xdr:row>198</xdr:row>
      <xdr:rowOff>0</xdr:rowOff>
    </xdr:from>
    <xdr:to>
      <xdr:col>7</xdr:col>
      <xdr:colOff>519614</xdr:colOff>
      <xdr:row>198</xdr:row>
      <xdr:rowOff>1980000</xdr:rowOff>
    </xdr:to>
    <xdr:pic>
      <xdr:nvPicPr>
        <xdr:cNvPr id="7" name="Picture 6">
          <a:extLst>
            <a:ext uri="{FF2B5EF4-FFF2-40B4-BE49-F238E27FC236}">
              <a16:creationId xmlns:a16="http://schemas.microsoft.com/office/drawing/2014/main" id="{14557A79-7040-46DF-97DB-CABF58428A7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3033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1789873</xdr:colOff>
      <xdr:row>133</xdr:row>
      <xdr:rowOff>27375</xdr:rowOff>
    </xdr:to>
    <xdr:pic>
      <xdr:nvPicPr>
        <xdr:cNvPr id="5" name="Picture 4">
          <a:extLst>
            <a:ext uri="{FF2B5EF4-FFF2-40B4-BE49-F238E27FC236}">
              <a16:creationId xmlns:a16="http://schemas.microsoft.com/office/drawing/2014/main" id="{D548E86A-C714-47F0-9066-55D0216AB0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0035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2081715</xdr:colOff>
      <xdr:row>137</xdr:row>
      <xdr:rowOff>2018101</xdr:rowOff>
    </xdr:to>
    <xdr:pic>
      <xdr:nvPicPr>
        <xdr:cNvPr id="6" name="Picture 5">
          <a:extLst>
            <a:ext uri="{FF2B5EF4-FFF2-40B4-BE49-F238E27FC236}">
              <a16:creationId xmlns:a16="http://schemas.microsoft.com/office/drawing/2014/main" id="{26A50F73-2A59-48EF-B9C5-513E6D0BA6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306419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571500</xdr:colOff>
      <xdr:row>137</xdr:row>
      <xdr:rowOff>19050</xdr:rowOff>
    </xdr:from>
    <xdr:to>
      <xdr:col>9</xdr:col>
      <xdr:colOff>119564</xdr:colOff>
      <xdr:row>137</xdr:row>
      <xdr:rowOff>1999050</xdr:rowOff>
    </xdr:to>
    <xdr:pic>
      <xdr:nvPicPr>
        <xdr:cNvPr id="7" name="Picture 6">
          <a:extLst>
            <a:ext uri="{FF2B5EF4-FFF2-40B4-BE49-F238E27FC236}">
              <a16:creationId xmlns:a16="http://schemas.microsoft.com/office/drawing/2014/main" id="{36255EE1-1EAE-4A0E-81C1-2C222ABD96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306228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166</xdr:row>
      <xdr:rowOff>1</xdr:rowOff>
    </xdr:from>
    <xdr:to>
      <xdr:col>2</xdr:col>
      <xdr:colOff>1994905</xdr:colOff>
      <xdr:row>166</xdr:row>
      <xdr:rowOff>1980001</xdr:rowOff>
    </xdr:to>
    <xdr:pic>
      <xdr:nvPicPr>
        <xdr:cNvPr id="4" name="Picture 3">
          <a:extLst>
            <a:ext uri="{FF2B5EF4-FFF2-40B4-BE49-F238E27FC236}">
              <a16:creationId xmlns:a16="http://schemas.microsoft.com/office/drawing/2014/main" id="{55BB62EB-2A2E-4994-9BB8-6DBD8EA037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013776"/>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161</xdr:row>
      <xdr:rowOff>0</xdr:rowOff>
    </xdr:from>
    <xdr:to>
      <xdr:col>2</xdr:col>
      <xdr:colOff>2095501</xdr:colOff>
      <xdr:row>162</xdr:row>
      <xdr:rowOff>28576</xdr:rowOff>
    </xdr:to>
    <xdr:pic>
      <xdr:nvPicPr>
        <xdr:cNvPr id="5" name="Picture 4">
          <a:extLst>
            <a:ext uri="{FF2B5EF4-FFF2-40B4-BE49-F238E27FC236}">
              <a16:creationId xmlns:a16="http://schemas.microsoft.com/office/drawing/2014/main" id="{3A1A97D4-DC48-40E8-BE5A-B715D48525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1413450"/>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2015039</xdr:colOff>
      <xdr:row>110</xdr:row>
      <xdr:rowOff>27375</xdr:rowOff>
    </xdr:to>
    <xdr:pic>
      <xdr:nvPicPr>
        <xdr:cNvPr id="5" name="Picture 4">
          <a:extLst>
            <a:ext uri="{FF2B5EF4-FFF2-40B4-BE49-F238E27FC236}">
              <a16:creationId xmlns:a16="http://schemas.microsoft.com/office/drawing/2014/main" id="{4DDC7B58-5045-4E55-9B13-A2863D6330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250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xdr:row>
      <xdr:rowOff>0</xdr:rowOff>
    </xdr:from>
    <xdr:to>
      <xdr:col>2</xdr:col>
      <xdr:colOff>2015039</xdr:colOff>
      <xdr:row>114</xdr:row>
      <xdr:rowOff>1980000</xdr:rowOff>
    </xdr:to>
    <xdr:pic>
      <xdr:nvPicPr>
        <xdr:cNvPr id="6" name="Picture 5">
          <a:extLst>
            <a:ext uri="{FF2B5EF4-FFF2-40B4-BE49-F238E27FC236}">
              <a16:creationId xmlns:a16="http://schemas.microsoft.com/office/drawing/2014/main" id="{DB38D36A-99D3-49F8-9806-196E5C8583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18503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504825</xdr:colOff>
      <xdr:row>114</xdr:row>
      <xdr:rowOff>0</xdr:rowOff>
    </xdr:from>
    <xdr:to>
      <xdr:col>9</xdr:col>
      <xdr:colOff>138614</xdr:colOff>
      <xdr:row>114</xdr:row>
      <xdr:rowOff>1980000</xdr:rowOff>
    </xdr:to>
    <xdr:pic>
      <xdr:nvPicPr>
        <xdr:cNvPr id="7" name="Picture 6">
          <a:extLst>
            <a:ext uri="{FF2B5EF4-FFF2-40B4-BE49-F238E27FC236}">
              <a16:creationId xmlns:a16="http://schemas.microsoft.com/office/drawing/2014/main" id="{68045135-A403-4D1E-84C9-C8F84A0C2A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71975" y="218503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B425-88A7-4165-B47D-75852FEB9972}">
  <dimension ref="A1:C11"/>
  <sheetViews>
    <sheetView tabSelected="1" workbookViewId="0">
      <selection activeCell="C15" sqref="C15"/>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553</v>
      </c>
      <c r="B1" s="2" t="s">
        <v>554</v>
      </c>
      <c r="C1" s="2" t="s">
        <v>555</v>
      </c>
    </row>
    <row r="2" spans="1:3" x14ac:dyDescent="0.25">
      <c r="A2" s="4">
        <v>1</v>
      </c>
      <c r="B2" s="5" t="s">
        <v>556</v>
      </c>
      <c r="C2" s="6" t="s">
        <v>1</v>
      </c>
    </row>
    <row r="3" spans="1:3" x14ac:dyDescent="0.25">
      <c r="A3" s="4">
        <v>2</v>
      </c>
      <c r="B3" s="5" t="s">
        <v>557</v>
      </c>
      <c r="C3" s="6" t="s">
        <v>115</v>
      </c>
    </row>
    <row r="4" spans="1:3" x14ac:dyDescent="0.25">
      <c r="A4" s="4">
        <v>3</v>
      </c>
      <c r="B4" s="5" t="s">
        <v>558</v>
      </c>
      <c r="C4" s="6" t="s">
        <v>138</v>
      </c>
    </row>
    <row r="5" spans="1:3" x14ac:dyDescent="0.25">
      <c r="A5" s="4">
        <v>4</v>
      </c>
      <c r="B5" s="5" t="s">
        <v>559</v>
      </c>
      <c r="C5" s="6" t="s">
        <v>214</v>
      </c>
    </row>
    <row r="6" spans="1:3" x14ac:dyDescent="0.25">
      <c r="A6" s="4">
        <v>5</v>
      </c>
      <c r="B6" s="5" t="s">
        <v>560</v>
      </c>
      <c r="C6" s="6" t="s">
        <v>264</v>
      </c>
    </row>
    <row r="7" spans="1:3" x14ac:dyDescent="0.25">
      <c r="A7" s="4">
        <v>6</v>
      </c>
      <c r="B7" s="5" t="s">
        <v>561</v>
      </c>
      <c r="C7" s="6" t="s">
        <v>402</v>
      </c>
    </row>
    <row r="8" spans="1:3" x14ac:dyDescent="0.25">
      <c r="A8" s="4">
        <v>7</v>
      </c>
      <c r="B8" s="5" t="s">
        <v>562</v>
      </c>
      <c r="C8" s="6" t="s">
        <v>418</v>
      </c>
    </row>
    <row r="9" spans="1:3" x14ac:dyDescent="0.25">
      <c r="A9" s="4">
        <v>8</v>
      </c>
      <c r="B9" s="5" t="s">
        <v>563</v>
      </c>
      <c r="C9" s="6" t="s">
        <v>473</v>
      </c>
    </row>
    <row r="10" spans="1:3" x14ac:dyDescent="0.25">
      <c r="A10" s="4">
        <v>9</v>
      </c>
      <c r="B10" s="5" t="s">
        <v>564</v>
      </c>
      <c r="C10" s="6" t="s">
        <v>477</v>
      </c>
    </row>
    <row r="11" spans="1:3" x14ac:dyDescent="0.25">
      <c r="A11" s="4">
        <v>10</v>
      </c>
      <c r="B11" s="5" t="s">
        <v>565</v>
      </c>
      <c r="C11" s="6" t="s">
        <v>546</v>
      </c>
    </row>
  </sheetData>
  <hyperlinks>
    <hyperlink ref="B3" location="SFRSTP!A1" display="SFRSTP" xr:uid="{BB500692-74EA-48EE-BA86-23A2EB8D6C2D}"/>
    <hyperlink ref="B4" location="SMMF!A1" display="SMMF" xr:uid="{6564AFD0-6103-413D-ABD9-8D8BB5BED6C4}"/>
    <hyperlink ref="B5" location="SPLDF!A1" display="SPLDF" xr:uid="{46469931-90DD-485E-BCD0-B7B055F2AB61}"/>
    <hyperlink ref="B6" location="SPMON!A1" display="SPMON" xr:uid="{9ACD63E4-96E1-4CF7-A89F-135C9CAB255C}"/>
    <hyperlink ref="B7" location="SPSDF!A1" display="SPSDF" xr:uid="{0F14C15B-223F-4E06-913C-FA6DE41F067B}"/>
    <hyperlink ref="B8" location="SPUSDF!A1" display="SPUSDF" xr:uid="{2B04AD50-5A1F-4325-AD23-BCB6EC084DFE}"/>
    <hyperlink ref="B9" location="SUNBDS!A1" display="SUNBDS" xr:uid="{4CE497B8-4248-4075-A171-A8B9CFE29C46}"/>
    <hyperlink ref="B10" location="SUNMIA!A1" display="SUNMIA" xr:uid="{CCB6B3F6-CD9A-493B-98EF-3A66CD964E74}"/>
    <hyperlink ref="B11" location="SUNONF!A1" display="SUNONF" xr:uid="{E904DAFF-33D4-43EF-97D2-4B16F25CB91D}"/>
    <hyperlink ref="B2" location="SFRLTP!A1" display="SFRLTP" xr:uid="{3424058F-16DB-4A2C-8946-7E2ED0A279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10D0-3D5D-4C2E-B4C7-2A955C502B47}">
  <sheetPr>
    <outlinePr summaryBelow="0" summaryRight="0"/>
  </sheetPr>
  <dimension ref="A1:Q188"/>
  <sheetViews>
    <sheetView showGridLines="0" workbookViewId="0">
      <selection activeCell="C6" sqref="C6"/>
    </sheetView>
  </sheetViews>
  <sheetFormatPr defaultRowHeight="12.75" x14ac:dyDescent="0.2"/>
  <cols>
    <col min="1" max="1" width="5.85546875" bestFit="1" customWidth="1"/>
    <col min="2" max="2" width="20.28515625" bestFit="1" customWidth="1"/>
    <col min="3" max="3" width="34" bestFit="1" customWidth="1"/>
    <col min="4" max="4" width="13.85546875" customWidth="1"/>
    <col min="5" max="5" width="9.42578125" bestFit="1" customWidth="1"/>
    <col min="6" max="6" width="10.140625" bestFit="1" customWidth="1"/>
    <col min="7" max="7" width="14" bestFit="1" customWidth="1"/>
    <col min="8" max="8" width="7.42578125"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1</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567</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ht="25.5" x14ac:dyDescent="0.2">
      <c r="A28" s="24">
        <v>1</v>
      </c>
      <c r="B28" s="25" t="s">
        <v>21</v>
      </c>
      <c r="C28" s="25" t="s">
        <v>22</v>
      </c>
      <c r="D28" s="25" t="s">
        <v>23</v>
      </c>
      <c r="E28" s="26">
        <v>5000</v>
      </c>
      <c r="F28" s="27">
        <v>5053.42</v>
      </c>
      <c r="G28" s="28">
        <v>7.106113E-2</v>
      </c>
      <c r="H28" s="18">
        <v>7.49</v>
      </c>
    </row>
    <row r="29" spans="1:8" ht="25.5" x14ac:dyDescent="0.2">
      <c r="A29" s="24">
        <v>2</v>
      </c>
      <c r="B29" s="25" t="s">
        <v>24</v>
      </c>
      <c r="C29" s="25" t="s">
        <v>25</v>
      </c>
      <c r="D29" s="25" t="s">
        <v>23</v>
      </c>
      <c r="E29" s="26">
        <v>4000</v>
      </c>
      <c r="F29" s="27">
        <v>3995.8760000000002</v>
      </c>
      <c r="G29" s="28">
        <v>5.6189959999999997E-2</v>
      </c>
      <c r="H29" s="18">
        <v>7.4050000000000002</v>
      </c>
    </row>
    <row r="30" spans="1:8" ht="25.5" x14ac:dyDescent="0.2">
      <c r="A30" s="24">
        <v>3</v>
      </c>
      <c r="B30" s="25" t="s">
        <v>26</v>
      </c>
      <c r="C30" s="25" t="s">
        <v>27</v>
      </c>
      <c r="D30" s="25" t="s">
        <v>23</v>
      </c>
      <c r="E30" s="26">
        <v>4000</v>
      </c>
      <c r="F30" s="27">
        <v>3979.4679999999998</v>
      </c>
      <c r="G30" s="28">
        <v>5.5959229999999999E-2</v>
      </c>
      <c r="H30" s="18">
        <v>7.57</v>
      </c>
    </row>
    <row r="31" spans="1:8" ht="25.5" x14ac:dyDescent="0.2">
      <c r="A31" s="24">
        <v>4</v>
      </c>
      <c r="B31" s="25" t="s">
        <v>28</v>
      </c>
      <c r="C31" s="25" t="s">
        <v>29</v>
      </c>
      <c r="D31" s="25" t="s">
        <v>23</v>
      </c>
      <c r="E31" s="26">
        <v>300</v>
      </c>
      <c r="F31" s="27">
        <v>2995.1129999999998</v>
      </c>
      <c r="G31" s="28">
        <v>4.211724E-2</v>
      </c>
      <c r="H31" s="18">
        <v>7.7350000000000003</v>
      </c>
    </row>
    <row r="32" spans="1:8" ht="25.5" x14ac:dyDescent="0.2">
      <c r="A32" s="24">
        <v>5</v>
      </c>
      <c r="B32" s="25" t="s">
        <v>30</v>
      </c>
      <c r="C32" s="25" t="s">
        <v>31</v>
      </c>
      <c r="D32" s="25" t="s">
        <v>23</v>
      </c>
      <c r="E32" s="26">
        <v>2500</v>
      </c>
      <c r="F32" s="27">
        <v>2529.6325000000002</v>
      </c>
      <c r="G32" s="28">
        <v>3.5571659999999998E-2</v>
      </c>
      <c r="H32" s="18">
        <v>7.18</v>
      </c>
    </row>
    <row r="33" spans="1:8" ht="25.5" x14ac:dyDescent="0.2">
      <c r="A33" s="24">
        <v>6</v>
      </c>
      <c r="B33" s="25" t="s">
        <v>32</v>
      </c>
      <c r="C33" s="25" t="s">
        <v>33</v>
      </c>
      <c r="D33" s="25" t="s">
        <v>34</v>
      </c>
      <c r="E33" s="26">
        <v>2500</v>
      </c>
      <c r="F33" s="27">
        <v>2512.7150000000001</v>
      </c>
      <c r="G33" s="28">
        <v>3.533377E-2</v>
      </c>
      <c r="H33" s="18">
        <v>7.5049999999999999</v>
      </c>
    </row>
    <row r="34" spans="1:8" ht="25.5" x14ac:dyDescent="0.2">
      <c r="A34" s="24">
        <v>7</v>
      </c>
      <c r="B34" s="25" t="s">
        <v>35</v>
      </c>
      <c r="C34" s="25" t="s">
        <v>36</v>
      </c>
      <c r="D34" s="25" t="s">
        <v>23</v>
      </c>
      <c r="E34" s="26">
        <v>2500</v>
      </c>
      <c r="F34" s="27">
        <v>2508.9450000000002</v>
      </c>
      <c r="G34" s="28">
        <v>3.528075E-2</v>
      </c>
      <c r="H34" s="18">
        <v>7.58</v>
      </c>
    </row>
    <row r="35" spans="1:8" ht="25.5" x14ac:dyDescent="0.2">
      <c r="A35" s="24">
        <v>8</v>
      </c>
      <c r="B35" s="25" t="s">
        <v>37</v>
      </c>
      <c r="C35" s="25" t="s">
        <v>38</v>
      </c>
      <c r="D35" s="25" t="s">
        <v>23</v>
      </c>
      <c r="E35" s="26">
        <v>2500</v>
      </c>
      <c r="F35" s="27">
        <v>2507.4375</v>
      </c>
      <c r="G35" s="28">
        <v>3.5259560000000002E-2</v>
      </c>
      <c r="H35" s="18">
        <v>7.52</v>
      </c>
    </row>
    <row r="36" spans="1:8" x14ac:dyDescent="0.2">
      <c r="A36" s="24">
        <v>9</v>
      </c>
      <c r="B36" s="25" t="s">
        <v>39</v>
      </c>
      <c r="C36" s="25" t="s">
        <v>40</v>
      </c>
      <c r="D36" s="25" t="s">
        <v>23</v>
      </c>
      <c r="E36" s="26">
        <v>2500</v>
      </c>
      <c r="F36" s="27">
        <v>2492.3825000000002</v>
      </c>
      <c r="G36" s="28">
        <v>3.5047849999999998E-2</v>
      </c>
      <c r="H36" s="18">
        <v>7.67</v>
      </c>
    </row>
    <row r="37" spans="1:8" x14ac:dyDescent="0.2">
      <c r="A37" s="24">
        <v>10</v>
      </c>
      <c r="B37" s="25" t="s">
        <v>41</v>
      </c>
      <c r="C37" s="25" t="s">
        <v>42</v>
      </c>
      <c r="D37" s="25" t="s">
        <v>23</v>
      </c>
      <c r="E37" s="26">
        <v>2500</v>
      </c>
      <c r="F37" s="27">
        <v>2491.6950000000002</v>
      </c>
      <c r="G37" s="28">
        <v>3.5038180000000002E-2</v>
      </c>
      <c r="H37" s="18">
        <v>7.55</v>
      </c>
    </row>
    <row r="38" spans="1:8" ht="25.5" x14ac:dyDescent="0.2">
      <c r="A38" s="24">
        <v>11</v>
      </c>
      <c r="B38" s="25" t="s">
        <v>43</v>
      </c>
      <c r="C38" s="25" t="s">
        <v>44</v>
      </c>
      <c r="D38" s="25" t="s">
        <v>23</v>
      </c>
      <c r="E38" s="26">
        <v>2500</v>
      </c>
      <c r="F38" s="27">
        <v>2486.2125000000001</v>
      </c>
      <c r="G38" s="28">
        <v>3.496109E-2</v>
      </c>
      <c r="H38" s="18">
        <v>7.585</v>
      </c>
    </row>
    <row r="39" spans="1:8" ht="25.5" x14ac:dyDescent="0.2">
      <c r="A39" s="24">
        <v>12</v>
      </c>
      <c r="B39" s="25" t="s">
        <v>45</v>
      </c>
      <c r="C39" s="25" t="s">
        <v>46</v>
      </c>
      <c r="D39" s="25" t="s">
        <v>23</v>
      </c>
      <c r="E39" s="26">
        <v>2000</v>
      </c>
      <c r="F39" s="27">
        <v>2009.836</v>
      </c>
      <c r="G39" s="28">
        <v>2.8262289999999999E-2</v>
      </c>
      <c r="H39" s="18">
        <v>7.46</v>
      </c>
    </row>
    <row r="40" spans="1:8" x14ac:dyDescent="0.2">
      <c r="A40" s="24">
        <v>13</v>
      </c>
      <c r="B40" s="25" t="s">
        <v>47</v>
      </c>
      <c r="C40" s="25" t="s">
        <v>48</v>
      </c>
      <c r="D40" s="25" t="s">
        <v>23</v>
      </c>
      <c r="E40" s="26">
        <v>2000</v>
      </c>
      <c r="F40" s="27">
        <v>2006.884</v>
      </c>
      <c r="G40" s="28">
        <v>2.8220780000000001E-2</v>
      </c>
      <c r="H40" s="18">
        <v>7.6887999999999996</v>
      </c>
    </row>
    <row r="41" spans="1:8" ht="25.5" x14ac:dyDescent="0.2">
      <c r="A41" s="24">
        <v>14</v>
      </c>
      <c r="B41" s="25" t="s">
        <v>49</v>
      </c>
      <c r="C41" s="25" t="s">
        <v>50</v>
      </c>
      <c r="D41" s="25" t="s">
        <v>34</v>
      </c>
      <c r="E41" s="26">
        <v>200</v>
      </c>
      <c r="F41" s="27">
        <v>2003.1420000000001</v>
      </c>
      <c r="G41" s="28">
        <v>2.8168160000000001E-2</v>
      </c>
      <c r="H41" s="18">
        <v>7.3643000000000001</v>
      </c>
    </row>
    <row r="42" spans="1:8" ht="25.5" x14ac:dyDescent="0.2">
      <c r="A42" s="24">
        <v>15</v>
      </c>
      <c r="B42" s="25" t="s">
        <v>51</v>
      </c>
      <c r="C42" s="25" t="s">
        <v>52</v>
      </c>
      <c r="D42" s="25" t="s">
        <v>23</v>
      </c>
      <c r="E42" s="26">
        <v>2000</v>
      </c>
      <c r="F42" s="27">
        <v>1994.27</v>
      </c>
      <c r="G42" s="28">
        <v>2.80434E-2</v>
      </c>
      <c r="H42" s="18">
        <v>7.57</v>
      </c>
    </row>
    <row r="43" spans="1:8" ht="25.5" x14ac:dyDescent="0.2">
      <c r="A43" s="24">
        <v>16</v>
      </c>
      <c r="B43" s="25" t="s">
        <v>53</v>
      </c>
      <c r="C43" s="25" t="s">
        <v>54</v>
      </c>
      <c r="D43" s="25" t="s">
        <v>23</v>
      </c>
      <c r="E43" s="26">
        <v>1500</v>
      </c>
      <c r="F43" s="27">
        <v>1525.7265</v>
      </c>
      <c r="G43" s="28">
        <v>2.1454750000000002E-2</v>
      </c>
      <c r="H43" s="18">
        <v>7.5049999999999999</v>
      </c>
    </row>
    <row r="44" spans="1:8" x14ac:dyDescent="0.2">
      <c r="A44" s="24">
        <v>17</v>
      </c>
      <c r="B44" s="25" t="s">
        <v>55</v>
      </c>
      <c r="C44" s="25" t="s">
        <v>56</v>
      </c>
      <c r="D44" s="25" t="s">
        <v>23</v>
      </c>
      <c r="E44" s="26">
        <v>1500</v>
      </c>
      <c r="F44" s="27">
        <v>1500.258</v>
      </c>
      <c r="G44" s="28">
        <v>2.1096609999999998E-2</v>
      </c>
      <c r="H44" s="18">
        <v>7.72</v>
      </c>
    </row>
    <row r="45" spans="1:8" ht="25.5" x14ac:dyDescent="0.2">
      <c r="A45" s="24">
        <v>18</v>
      </c>
      <c r="B45" s="25" t="s">
        <v>57</v>
      </c>
      <c r="C45" s="25" t="s">
        <v>58</v>
      </c>
      <c r="D45" s="25" t="s">
        <v>23</v>
      </c>
      <c r="E45" s="26">
        <v>1500</v>
      </c>
      <c r="F45" s="27">
        <v>1496.1614999999999</v>
      </c>
      <c r="G45" s="28">
        <v>2.1038999999999999E-2</v>
      </c>
      <c r="H45" s="18">
        <v>7.7129000000000003</v>
      </c>
    </row>
    <row r="46" spans="1:8" ht="25.5" x14ac:dyDescent="0.2">
      <c r="A46" s="24">
        <v>19</v>
      </c>
      <c r="B46" s="25" t="s">
        <v>59</v>
      </c>
      <c r="C46" s="25" t="s">
        <v>60</v>
      </c>
      <c r="D46" s="25" t="s">
        <v>23</v>
      </c>
      <c r="E46" s="26">
        <v>100</v>
      </c>
      <c r="F46" s="27">
        <v>1006.444</v>
      </c>
      <c r="G46" s="28">
        <v>1.41526E-2</v>
      </c>
      <c r="H46" s="18">
        <v>7.7</v>
      </c>
    </row>
    <row r="47" spans="1:8" ht="25.5" x14ac:dyDescent="0.2">
      <c r="A47" s="24">
        <v>20</v>
      </c>
      <c r="B47" s="25" t="s">
        <v>61</v>
      </c>
      <c r="C47" s="25" t="s">
        <v>62</v>
      </c>
      <c r="D47" s="25" t="s">
        <v>23</v>
      </c>
      <c r="E47" s="26">
        <v>1000</v>
      </c>
      <c r="F47" s="27">
        <v>999.21600000000001</v>
      </c>
      <c r="G47" s="28">
        <v>1.4050959999999999E-2</v>
      </c>
      <c r="H47" s="18">
        <v>8.2249999999999996</v>
      </c>
    </row>
    <row r="48" spans="1:8" ht="25.5" x14ac:dyDescent="0.2">
      <c r="A48" s="24">
        <v>21</v>
      </c>
      <c r="B48" s="25" t="s">
        <v>63</v>
      </c>
      <c r="C48" s="25" t="s">
        <v>64</v>
      </c>
      <c r="D48" s="25" t="s">
        <v>23</v>
      </c>
      <c r="E48" s="26">
        <v>1000</v>
      </c>
      <c r="F48" s="27">
        <v>995.37900000000002</v>
      </c>
      <c r="G48" s="28">
        <v>1.3997010000000001E-2</v>
      </c>
      <c r="H48" s="18">
        <v>7.7</v>
      </c>
    </row>
    <row r="49" spans="1:8" x14ac:dyDescent="0.2">
      <c r="A49" s="24">
        <v>22</v>
      </c>
      <c r="B49" s="25" t="s">
        <v>65</v>
      </c>
      <c r="C49" s="25" t="s">
        <v>66</v>
      </c>
      <c r="D49" s="25" t="s">
        <v>23</v>
      </c>
      <c r="E49" s="26">
        <v>500</v>
      </c>
      <c r="F49" s="27">
        <v>503.161</v>
      </c>
      <c r="G49" s="28">
        <v>7.0754399999999997E-3</v>
      </c>
      <c r="H49" s="18">
        <v>7.7675000000000001</v>
      </c>
    </row>
    <row r="50" spans="1:8" ht="25.5" x14ac:dyDescent="0.2">
      <c r="A50" s="24">
        <v>23</v>
      </c>
      <c r="B50" s="25" t="s">
        <v>67</v>
      </c>
      <c r="C50" s="25" t="s">
        <v>68</v>
      </c>
      <c r="D50" s="25" t="s">
        <v>23</v>
      </c>
      <c r="E50" s="26">
        <v>500</v>
      </c>
      <c r="F50" s="27">
        <v>501.35199999999998</v>
      </c>
      <c r="G50" s="28">
        <v>7.0500099999999998E-3</v>
      </c>
      <c r="H50" s="18">
        <v>7.5650000000000004</v>
      </c>
    </row>
    <row r="51" spans="1:8" ht="25.5" x14ac:dyDescent="0.2">
      <c r="A51" s="24">
        <v>24</v>
      </c>
      <c r="B51" s="25" t="s">
        <v>69</v>
      </c>
      <c r="C51" s="25" t="s">
        <v>70</v>
      </c>
      <c r="D51" s="25" t="s">
        <v>34</v>
      </c>
      <c r="E51" s="26">
        <v>50</v>
      </c>
      <c r="F51" s="27">
        <v>497.404</v>
      </c>
      <c r="G51" s="28">
        <v>6.9944899999999999E-3</v>
      </c>
      <c r="H51" s="18">
        <v>7.53</v>
      </c>
    </row>
    <row r="52" spans="1:8" x14ac:dyDescent="0.2">
      <c r="A52" s="16"/>
      <c r="B52" s="16"/>
      <c r="C52" s="17" t="s">
        <v>11</v>
      </c>
      <c r="D52" s="16"/>
      <c r="E52" s="16" t="s">
        <v>12</v>
      </c>
      <c r="F52" s="23">
        <v>50592.131000000001</v>
      </c>
      <c r="G52" s="20">
        <v>0.71142592000000004</v>
      </c>
      <c r="H52" s="18" t="s">
        <v>12</v>
      </c>
    </row>
    <row r="53" spans="1:8" x14ac:dyDescent="0.2">
      <c r="A53" s="16"/>
      <c r="B53" s="16"/>
      <c r="C53" s="21"/>
      <c r="D53" s="16"/>
      <c r="E53" s="16"/>
      <c r="F53" s="22"/>
      <c r="G53" s="22"/>
      <c r="H53" s="18" t="s">
        <v>12</v>
      </c>
    </row>
    <row r="54" spans="1:8" x14ac:dyDescent="0.2">
      <c r="A54" s="16"/>
      <c r="B54" s="16"/>
      <c r="C54" s="17" t="s">
        <v>71</v>
      </c>
      <c r="D54" s="16"/>
      <c r="E54" s="16"/>
      <c r="F54" s="16"/>
      <c r="G54" s="16"/>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72</v>
      </c>
      <c r="D57" s="16"/>
      <c r="E57" s="16"/>
      <c r="F57" s="16"/>
      <c r="G57" s="16"/>
      <c r="H57" s="18" t="s">
        <v>12</v>
      </c>
    </row>
    <row r="58" spans="1:8" ht="25.5" x14ac:dyDescent="0.2">
      <c r="A58" s="24">
        <v>1</v>
      </c>
      <c r="B58" s="25" t="s">
        <v>73</v>
      </c>
      <c r="C58" s="25" t="s">
        <v>74</v>
      </c>
      <c r="D58" s="25" t="s">
        <v>75</v>
      </c>
      <c r="E58" s="26">
        <v>7400000</v>
      </c>
      <c r="F58" s="27">
        <v>7524.7196000000004</v>
      </c>
      <c r="G58" s="28">
        <v>0.10581251</v>
      </c>
      <c r="H58" s="18">
        <v>6.9657</v>
      </c>
    </row>
    <row r="59" spans="1:8" ht="25.5" x14ac:dyDescent="0.2">
      <c r="A59" s="24">
        <v>2</v>
      </c>
      <c r="B59" s="25" t="s">
        <v>76</v>
      </c>
      <c r="C59" s="25" t="s">
        <v>77</v>
      </c>
      <c r="D59" s="25" t="s">
        <v>75</v>
      </c>
      <c r="E59" s="26">
        <v>2000000</v>
      </c>
      <c r="F59" s="27">
        <v>2048.0419999999999</v>
      </c>
      <c r="G59" s="28">
        <v>2.8799539999999998E-2</v>
      </c>
      <c r="H59" s="18">
        <v>6.9265999999999996</v>
      </c>
    </row>
    <row r="60" spans="1:8" ht="25.5" x14ac:dyDescent="0.2">
      <c r="A60" s="24">
        <v>3</v>
      </c>
      <c r="B60" s="25" t="s">
        <v>78</v>
      </c>
      <c r="C60" s="25" t="s">
        <v>79</v>
      </c>
      <c r="D60" s="25" t="s">
        <v>75</v>
      </c>
      <c r="E60" s="26">
        <v>1500000</v>
      </c>
      <c r="F60" s="27">
        <v>1538.4</v>
      </c>
      <c r="G60" s="28">
        <v>2.163296E-2</v>
      </c>
      <c r="H60" s="18">
        <v>7.2144000000000004</v>
      </c>
    </row>
    <row r="61" spans="1:8" ht="25.5" x14ac:dyDescent="0.2">
      <c r="A61" s="24">
        <v>4</v>
      </c>
      <c r="B61" s="25" t="s">
        <v>80</v>
      </c>
      <c r="C61" s="25" t="s">
        <v>81</v>
      </c>
      <c r="D61" s="25" t="s">
        <v>75</v>
      </c>
      <c r="E61" s="26">
        <v>1500000</v>
      </c>
      <c r="F61" s="27">
        <v>1495.3064999999999</v>
      </c>
      <c r="G61" s="28">
        <v>2.1026980000000001E-2</v>
      </c>
      <c r="H61" s="18">
        <v>7.1745999999999999</v>
      </c>
    </row>
    <row r="62" spans="1:8" ht="25.5" x14ac:dyDescent="0.2">
      <c r="A62" s="24">
        <v>5</v>
      </c>
      <c r="B62" s="25" t="s">
        <v>82</v>
      </c>
      <c r="C62" s="25" t="s">
        <v>83</v>
      </c>
      <c r="D62" s="25" t="s">
        <v>75</v>
      </c>
      <c r="E62" s="26">
        <v>1000000</v>
      </c>
      <c r="F62" s="27">
        <v>1019.698</v>
      </c>
      <c r="G62" s="28">
        <v>1.4338979999999999E-2</v>
      </c>
      <c r="H62" s="18">
        <v>6.8789999999999996</v>
      </c>
    </row>
    <row r="63" spans="1:8" ht="25.5" x14ac:dyDescent="0.2">
      <c r="A63" s="24">
        <v>6</v>
      </c>
      <c r="B63" s="25" t="s">
        <v>84</v>
      </c>
      <c r="C63" s="25" t="s">
        <v>85</v>
      </c>
      <c r="D63" s="25" t="s">
        <v>75</v>
      </c>
      <c r="E63" s="26">
        <v>500000</v>
      </c>
      <c r="F63" s="27">
        <v>509.96550000000002</v>
      </c>
      <c r="G63" s="28">
        <v>7.1711300000000004E-3</v>
      </c>
      <c r="H63" s="18">
        <v>7.0593000000000004</v>
      </c>
    </row>
    <row r="64" spans="1:8" x14ac:dyDescent="0.2">
      <c r="A64" s="16"/>
      <c r="B64" s="16"/>
      <c r="C64" s="17" t="s">
        <v>11</v>
      </c>
      <c r="D64" s="16"/>
      <c r="E64" s="16" t="s">
        <v>12</v>
      </c>
      <c r="F64" s="23">
        <v>14136.131600000001</v>
      </c>
      <c r="G64" s="20">
        <v>0.19878209999999999</v>
      </c>
      <c r="H64" s="18" t="s">
        <v>12</v>
      </c>
    </row>
    <row r="65" spans="1:8" x14ac:dyDescent="0.2">
      <c r="A65" s="16"/>
      <c r="B65" s="16"/>
      <c r="C65" s="21"/>
      <c r="D65" s="16"/>
      <c r="E65" s="16"/>
      <c r="F65" s="22"/>
      <c r="G65" s="22"/>
      <c r="H65" s="18" t="s">
        <v>12</v>
      </c>
    </row>
    <row r="66" spans="1:8" x14ac:dyDescent="0.2">
      <c r="A66" s="16"/>
      <c r="B66" s="16"/>
      <c r="C66" s="17" t="s">
        <v>86</v>
      </c>
      <c r="D66" s="16"/>
      <c r="E66" s="16"/>
      <c r="F66" s="22"/>
      <c r="G66" s="22"/>
      <c r="H66" s="18" t="s">
        <v>12</v>
      </c>
    </row>
    <row r="67" spans="1:8" x14ac:dyDescent="0.2">
      <c r="A67" s="16"/>
      <c r="B67" s="16"/>
      <c r="C67" s="17" t="s">
        <v>11</v>
      </c>
      <c r="D67" s="16"/>
      <c r="E67" s="16" t="s">
        <v>12</v>
      </c>
      <c r="F67" s="19" t="s">
        <v>13</v>
      </c>
      <c r="G67" s="20">
        <v>0</v>
      </c>
      <c r="H67" s="18" t="s">
        <v>12</v>
      </c>
    </row>
    <row r="68" spans="1:8" x14ac:dyDescent="0.2">
      <c r="A68" s="16"/>
      <c r="B68" s="16"/>
      <c r="C68" s="21"/>
      <c r="D68" s="16"/>
      <c r="E68" s="16"/>
      <c r="F68" s="22"/>
      <c r="G68" s="22"/>
      <c r="H68" s="18" t="s">
        <v>12</v>
      </c>
    </row>
    <row r="69" spans="1:8" x14ac:dyDescent="0.2">
      <c r="A69" s="16"/>
      <c r="B69" s="16"/>
      <c r="C69" s="17" t="s">
        <v>87</v>
      </c>
      <c r="D69" s="16"/>
      <c r="E69" s="16"/>
      <c r="F69" s="23">
        <v>64728.262600000002</v>
      </c>
      <c r="G69" s="20">
        <v>0.91020802000000001</v>
      </c>
      <c r="H69" s="18" t="s">
        <v>12</v>
      </c>
    </row>
    <row r="70" spans="1:8" x14ac:dyDescent="0.2">
      <c r="A70" s="16"/>
      <c r="B70" s="16"/>
      <c r="C70" s="21"/>
      <c r="D70" s="16"/>
      <c r="E70" s="16"/>
      <c r="F70" s="22"/>
      <c r="G70" s="22"/>
      <c r="H70" s="18" t="s">
        <v>12</v>
      </c>
    </row>
    <row r="71" spans="1:8" x14ac:dyDescent="0.2">
      <c r="A71" s="16"/>
      <c r="B71" s="16"/>
      <c r="C71" s="17" t="s">
        <v>88</v>
      </c>
      <c r="D71" s="16"/>
      <c r="E71" s="16"/>
      <c r="F71" s="22"/>
      <c r="G71" s="22"/>
      <c r="H71" s="18" t="s">
        <v>12</v>
      </c>
    </row>
    <row r="72" spans="1:8" x14ac:dyDescent="0.2">
      <c r="A72" s="16"/>
      <c r="B72" s="16"/>
      <c r="C72" s="17" t="s">
        <v>89</v>
      </c>
      <c r="D72" s="16"/>
      <c r="E72" s="16"/>
      <c r="F72" s="22"/>
      <c r="G72" s="22"/>
      <c r="H72" s="18" t="s">
        <v>12</v>
      </c>
    </row>
    <row r="73" spans="1:8" x14ac:dyDescent="0.2">
      <c r="A73" s="16"/>
      <c r="B73" s="16"/>
      <c r="C73" s="17" t="s">
        <v>11</v>
      </c>
      <c r="D73" s="16"/>
      <c r="E73" s="16" t="s">
        <v>12</v>
      </c>
      <c r="F73" s="19" t="s">
        <v>13</v>
      </c>
      <c r="G73" s="20">
        <v>0</v>
      </c>
      <c r="H73" s="18" t="s">
        <v>12</v>
      </c>
    </row>
    <row r="74" spans="1:8" x14ac:dyDescent="0.2">
      <c r="A74" s="16"/>
      <c r="B74" s="16"/>
      <c r="C74" s="21"/>
      <c r="D74" s="16"/>
      <c r="E74" s="16"/>
      <c r="F74" s="22"/>
      <c r="G74" s="22"/>
      <c r="H74" s="18" t="s">
        <v>12</v>
      </c>
    </row>
    <row r="75" spans="1:8" x14ac:dyDescent="0.2">
      <c r="A75" s="16"/>
      <c r="B75" s="16"/>
      <c r="C75" s="17" t="s">
        <v>90</v>
      </c>
      <c r="D75" s="16"/>
      <c r="E75" s="16"/>
      <c r="F75" s="22"/>
      <c r="G75" s="22"/>
      <c r="H75" s="18" t="s">
        <v>12</v>
      </c>
    </row>
    <row r="76" spans="1:8" x14ac:dyDescent="0.2">
      <c r="A76" s="16"/>
      <c r="B76" s="16"/>
      <c r="C76" s="17" t="s">
        <v>11</v>
      </c>
      <c r="D76" s="16"/>
      <c r="E76" s="16" t="s">
        <v>12</v>
      </c>
      <c r="F76" s="19" t="s">
        <v>13</v>
      </c>
      <c r="G76" s="20">
        <v>0</v>
      </c>
      <c r="H76" s="18" t="s">
        <v>12</v>
      </c>
    </row>
    <row r="77" spans="1:8" x14ac:dyDescent="0.2">
      <c r="A77" s="16"/>
      <c r="B77" s="16"/>
      <c r="C77" s="21"/>
      <c r="D77" s="16"/>
      <c r="E77" s="16"/>
      <c r="F77" s="22"/>
      <c r="G77" s="22"/>
      <c r="H77" s="18" t="s">
        <v>12</v>
      </c>
    </row>
    <row r="78" spans="1:8" x14ac:dyDescent="0.2">
      <c r="A78" s="16"/>
      <c r="B78" s="16"/>
      <c r="C78" s="17" t="s">
        <v>91</v>
      </c>
      <c r="D78" s="16"/>
      <c r="E78" s="16"/>
      <c r="F78" s="22"/>
      <c r="G78" s="22"/>
      <c r="H78" s="18" t="s">
        <v>12</v>
      </c>
    </row>
    <row r="79" spans="1:8" x14ac:dyDescent="0.2">
      <c r="A79" s="16"/>
      <c r="B79" s="16"/>
      <c r="C79" s="17" t="s">
        <v>11</v>
      </c>
      <c r="D79" s="16"/>
      <c r="E79" s="16" t="s">
        <v>12</v>
      </c>
      <c r="F79" s="19" t="s">
        <v>13</v>
      </c>
      <c r="G79" s="20">
        <v>0</v>
      </c>
      <c r="H79" s="18" t="s">
        <v>12</v>
      </c>
    </row>
    <row r="80" spans="1:8" x14ac:dyDescent="0.2">
      <c r="A80" s="16"/>
      <c r="B80" s="16"/>
      <c r="C80" s="21"/>
      <c r="D80" s="16"/>
      <c r="E80" s="16"/>
      <c r="F80" s="22"/>
      <c r="G80" s="22"/>
      <c r="H80" s="18" t="s">
        <v>12</v>
      </c>
    </row>
    <row r="81" spans="1:17" x14ac:dyDescent="0.2">
      <c r="A81" s="16"/>
      <c r="B81" s="16"/>
      <c r="C81" s="17" t="s">
        <v>92</v>
      </c>
      <c r="D81" s="16"/>
      <c r="E81" s="16"/>
      <c r="F81" s="22"/>
      <c r="G81" s="22"/>
      <c r="H81" s="18" t="s">
        <v>12</v>
      </c>
    </row>
    <row r="82" spans="1:17" x14ac:dyDescent="0.2">
      <c r="A82" s="24">
        <v>1</v>
      </c>
      <c r="B82" s="25"/>
      <c r="C82" s="25" t="s">
        <v>93</v>
      </c>
      <c r="D82" s="25"/>
      <c r="E82" s="29"/>
      <c r="F82" s="27">
        <v>3933.188766017</v>
      </c>
      <c r="G82" s="28">
        <v>5.5308450000000002E-2</v>
      </c>
      <c r="H82" s="18">
        <v>6.25</v>
      </c>
    </row>
    <row r="83" spans="1:17" x14ac:dyDescent="0.2">
      <c r="A83" s="16"/>
      <c r="B83" s="16"/>
      <c r="C83" s="17" t="s">
        <v>11</v>
      </c>
      <c r="D83" s="16"/>
      <c r="E83" s="16" t="s">
        <v>12</v>
      </c>
      <c r="F83" s="23">
        <v>3933.188766017</v>
      </c>
      <c r="G83" s="20">
        <v>5.5308450000000002E-2</v>
      </c>
      <c r="H83" s="18" t="s">
        <v>12</v>
      </c>
    </row>
    <row r="84" spans="1:17" x14ac:dyDescent="0.2">
      <c r="A84" s="16"/>
      <c r="B84" s="16"/>
      <c r="C84" s="21"/>
      <c r="D84" s="16"/>
      <c r="E84" s="16"/>
      <c r="F84" s="22"/>
      <c r="G84" s="22"/>
      <c r="H84" s="18" t="s">
        <v>12</v>
      </c>
    </row>
    <row r="85" spans="1:17" x14ac:dyDescent="0.2">
      <c r="A85" s="16"/>
      <c r="B85" s="16"/>
      <c r="C85" s="17" t="s">
        <v>94</v>
      </c>
      <c r="D85" s="16"/>
      <c r="E85" s="16"/>
      <c r="F85" s="23">
        <v>3933.188766017</v>
      </c>
      <c r="G85" s="20">
        <v>5.5308450000000002E-2</v>
      </c>
      <c r="H85" s="18" t="s">
        <v>12</v>
      </c>
    </row>
    <row r="86" spans="1:17" x14ac:dyDescent="0.2">
      <c r="A86" s="16"/>
      <c r="B86" s="16"/>
      <c r="C86" s="22"/>
      <c r="D86" s="16"/>
      <c r="E86" s="16"/>
      <c r="F86" s="16"/>
      <c r="G86" s="16"/>
      <c r="H86" s="18" t="s">
        <v>12</v>
      </c>
    </row>
    <row r="87" spans="1:17" x14ac:dyDescent="0.2">
      <c r="A87" s="16"/>
      <c r="B87" s="16"/>
      <c r="C87" s="17" t="s">
        <v>95</v>
      </c>
      <c r="D87" s="16"/>
      <c r="E87" s="16"/>
      <c r="F87" s="16"/>
      <c r="G87" s="16"/>
      <c r="H87" s="18" t="s">
        <v>12</v>
      </c>
    </row>
    <row r="88" spans="1:17" x14ac:dyDescent="0.2">
      <c r="A88" s="16"/>
      <c r="B88" s="16"/>
      <c r="C88" s="17" t="s">
        <v>96</v>
      </c>
      <c r="D88" s="16"/>
      <c r="E88" s="16"/>
      <c r="F88" s="16"/>
      <c r="G88" s="16"/>
      <c r="H88" s="18" t="s">
        <v>12</v>
      </c>
    </row>
    <row r="89" spans="1:17" x14ac:dyDescent="0.2">
      <c r="A89" s="16"/>
      <c r="B89" s="16"/>
      <c r="C89" s="17" t="s">
        <v>11</v>
      </c>
      <c r="D89" s="16"/>
      <c r="E89" s="16" t="s">
        <v>12</v>
      </c>
      <c r="F89" s="19" t="s">
        <v>13</v>
      </c>
      <c r="G89" s="20">
        <v>0</v>
      </c>
      <c r="H89" s="18" t="s">
        <v>12</v>
      </c>
    </row>
    <row r="90" spans="1:17" x14ac:dyDescent="0.2">
      <c r="A90" s="30"/>
      <c r="B90" s="30"/>
      <c r="C90" s="31"/>
      <c r="D90" s="30"/>
      <c r="E90" s="30"/>
      <c r="F90" s="32"/>
      <c r="G90" s="32"/>
      <c r="H90" s="18" t="s">
        <v>12</v>
      </c>
    </row>
    <row r="91" spans="1:17" ht="25.5" x14ac:dyDescent="0.2">
      <c r="A91" s="30"/>
      <c r="B91" s="30"/>
      <c r="C91" s="33" t="s">
        <v>569</v>
      </c>
      <c r="D91" s="30"/>
      <c r="E91" s="30"/>
      <c r="F91" s="32"/>
      <c r="G91" s="32"/>
      <c r="H91" s="34"/>
      <c r="K91" s="35"/>
      <c r="L91" s="35"/>
      <c r="M91" s="35"/>
      <c r="N91" s="35"/>
      <c r="O91" s="36"/>
      <c r="P91" s="36"/>
      <c r="Q91" s="36"/>
    </row>
    <row r="92" spans="1:17" ht="25.5" x14ac:dyDescent="0.2">
      <c r="A92" s="37">
        <v>1</v>
      </c>
      <c r="B92" s="38" t="s">
        <v>97</v>
      </c>
      <c r="C92" s="38" t="s">
        <v>98</v>
      </c>
      <c r="D92" s="38"/>
      <c r="E92" s="39">
        <v>2586.3710000000001</v>
      </c>
      <c r="F92" s="34">
        <v>281.23200690700003</v>
      </c>
      <c r="G92" s="40">
        <v>3.9546800000000003E-3</v>
      </c>
      <c r="H92" s="18"/>
    </row>
    <row r="93" spans="1:17" x14ac:dyDescent="0.2">
      <c r="A93" s="30"/>
      <c r="B93" s="30"/>
      <c r="C93" s="33" t="s">
        <v>11</v>
      </c>
      <c r="D93" s="30"/>
      <c r="E93" s="30" t="s">
        <v>12</v>
      </c>
      <c r="F93" s="41">
        <f>SUM(F92)</f>
        <v>281.23200690700003</v>
      </c>
      <c r="G93" s="42">
        <f>SUM(G92)</f>
        <v>3.9546800000000003E-3</v>
      </c>
      <c r="H93" s="18" t="s">
        <v>12</v>
      </c>
    </row>
    <row r="94" spans="1:17" x14ac:dyDescent="0.2">
      <c r="A94" s="16"/>
      <c r="B94" s="16"/>
      <c r="C94" s="21"/>
      <c r="D94" s="16"/>
      <c r="E94" s="16"/>
      <c r="F94" s="22"/>
      <c r="G94" s="22"/>
      <c r="H94" s="18" t="s">
        <v>12</v>
      </c>
    </row>
    <row r="95" spans="1:17" x14ac:dyDescent="0.2">
      <c r="A95" s="16"/>
      <c r="B95" s="16"/>
      <c r="C95" s="17" t="s">
        <v>99</v>
      </c>
      <c r="D95" s="16"/>
      <c r="E95" s="16"/>
      <c r="F95" s="16"/>
      <c r="G95" s="16"/>
      <c r="H95" s="18" t="s">
        <v>12</v>
      </c>
    </row>
    <row r="96" spans="1:17" x14ac:dyDescent="0.2">
      <c r="A96" s="16"/>
      <c r="B96" s="16"/>
      <c r="C96" s="17" t="s">
        <v>100</v>
      </c>
      <c r="D96" s="16"/>
      <c r="E96" s="16"/>
      <c r="F96" s="16"/>
      <c r="G96" s="16"/>
      <c r="H96" s="18" t="s">
        <v>12</v>
      </c>
    </row>
    <row r="97" spans="1:8" x14ac:dyDescent="0.2">
      <c r="A97" s="16"/>
      <c r="B97" s="16"/>
      <c r="C97" s="17" t="s">
        <v>11</v>
      </c>
      <c r="D97" s="16"/>
      <c r="E97" s="16" t="s">
        <v>12</v>
      </c>
      <c r="F97" s="19" t="s">
        <v>13</v>
      </c>
      <c r="G97" s="20">
        <v>0</v>
      </c>
      <c r="H97" s="18" t="s">
        <v>12</v>
      </c>
    </row>
    <row r="98" spans="1:8" x14ac:dyDescent="0.2">
      <c r="A98" s="16"/>
      <c r="B98" s="16"/>
      <c r="C98" s="21"/>
      <c r="D98" s="16"/>
      <c r="E98" s="16"/>
      <c r="F98" s="22"/>
      <c r="G98" s="22"/>
      <c r="H98" s="18" t="s">
        <v>12</v>
      </c>
    </row>
    <row r="99" spans="1:8" ht="25.5" x14ac:dyDescent="0.2">
      <c r="A99" s="16"/>
      <c r="B99" s="16"/>
      <c r="C99" s="17" t="s">
        <v>101</v>
      </c>
      <c r="D99" s="16"/>
      <c r="E99" s="16"/>
      <c r="F99" s="22"/>
      <c r="G99" s="22"/>
      <c r="H99" s="18" t="s">
        <v>12</v>
      </c>
    </row>
    <row r="100" spans="1:8" x14ac:dyDescent="0.2">
      <c r="A100" s="16"/>
      <c r="B100" s="16"/>
      <c r="C100" s="17" t="s">
        <v>11</v>
      </c>
      <c r="D100" s="16"/>
      <c r="E100" s="16" t="s">
        <v>12</v>
      </c>
      <c r="F100" s="19" t="s">
        <v>13</v>
      </c>
      <c r="G100" s="20">
        <v>0</v>
      </c>
      <c r="H100" s="18" t="s">
        <v>12</v>
      </c>
    </row>
    <row r="101" spans="1:8" x14ac:dyDescent="0.2">
      <c r="A101" s="16"/>
      <c r="B101" s="25"/>
      <c r="C101" s="25"/>
      <c r="D101" s="17"/>
      <c r="E101" s="16"/>
      <c r="F101" s="25"/>
      <c r="G101" s="29"/>
      <c r="H101" s="18" t="s">
        <v>12</v>
      </c>
    </row>
    <row r="102" spans="1:8" x14ac:dyDescent="0.2">
      <c r="A102" s="29"/>
      <c r="B102" s="25"/>
      <c r="C102" s="25" t="s">
        <v>102</v>
      </c>
      <c r="D102" s="25"/>
      <c r="E102" s="29"/>
      <c r="F102" s="27">
        <v>2171.01988527</v>
      </c>
      <c r="G102" s="28">
        <v>3.052885E-2</v>
      </c>
      <c r="H102" s="18" t="s">
        <v>12</v>
      </c>
    </row>
    <row r="103" spans="1:8" x14ac:dyDescent="0.2">
      <c r="A103" s="21"/>
      <c r="B103" s="21"/>
      <c r="C103" s="17" t="s">
        <v>103</v>
      </c>
      <c r="D103" s="22"/>
      <c r="E103" s="22"/>
      <c r="F103" s="23">
        <v>71113.703258194</v>
      </c>
      <c r="G103" s="43">
        <v>1</v>
      </c>
      <c r="H103" s="18" t="s">
        <v>12</v>
      </c>
    </row>
    <row r="104" spans="1:8" x14ac:dyDescent="0.2">
      <c r="A104" s="44"/>
      <c r="B104" s="44"/>
      <c r="C104" s="44"/>
      <c r="D104" s="45"/>
      <c r="E104" s="45"/>
      <c r="F104" s="45"/>
      <c r="G104" s="45"/>
    </row>
    <row r="105" spans="1:8" x14ac:dyDescent="0.2">
      <c r="A105" s="46"/>
      <c r="B105" s="151" t="s">
        <v>570</v>
      </c>
      <c r="C105" s="151"/>
      <c r="D105" s="151"/>
      <c r="E105" s="151"/>
      <c r="F105" s="151"/>
      <c r="G105" s="151"/>
      <c r="H105" s="151"/>
    </row>
    <row r="106" spans="1:8" x14ac:dyDescent="0.2">
      <c r="A106" s="46"/>
      <c r="B106" s="151" t="s">
        <v>571</v>
      </c>
      <c r="C106" s="151"/>
      <c r="D106" s="151"/>
      <c r="E106" s="151"/>
      <c r="F106" s="151"/>
      <c r="G106" s="151"/>
      <c r="H106" s="151"/>
    </row>
    <row r="107" spans="1:8" x14ac:dyDescent="0.2">
      <c r="A107" s="46"/>
      <c r="B107" s="151" t="s">
        <v>572</v>
      </c>
      <c r="C107" s="151"/>
      <c r="D107" s="151"/>
      <c r="E107" s="151"/>
      <c r="F107" s="151"/>
      <c r="G107" s="151"/>
      <c r="H107" s="151"/>
    </row>
    <row r="108" spans="1:8" x14ac:dyDescent="0.2">
      <c r="A108" s="48"/>
      <c r="B108" s="48"/>
      <c r="C108" s="48"/>
      <c r="D108" s="49"/>
      <c r="E108" s="49"/>
      <c r="F108" s="49"/>
      <c r="G108" s="49"/>
    </row>
    <row r="109" spans="1:8" x14ac:dyDescent="0.2">
      <c r="A109" s="48"/>
      <c r="B109" s="153" t="s">
        <v>104</v>
      </c>
      <c r="C109" s="154"/>
      <c r="D109" s="155"/>
      <c r="E109" s="50"/>
      <c r="F109" s="49"/>
      <c r="G109" s="49"/>
    </row>
    <row r="110" spans="1:8" x14ac:dyDescent="0.2">
      <c r="A110" s="48"/>
      <c r="B110" s="156" t="s">
        <v>105</v>
      </c>
      <c r="C110" s="157"/>
      <c r="D110" s="17" t="s">
        <v>106</v>
      </c>
      <c r="E110" s="50"/>
      <c r="F110" s="49"/>
      <c r="G110" s="49"/>
    </row>
    <row r="111" spans="1:8" x14ac:dyDescent="0.2">
      <c r="A111" s="48"/>
      <c r="B111" s="156" t="s">
        <v>107</v>
      </c>
      <c r="C111" s="157"/>
      <c r="D111" s="17" t="s">
        <v>106</v>
      </c>
      <c r="E111" s="50"/>
      <c r="F111" s="49"/>
      <c r="G111" s="49"/>
    </row>
    <row r="112" spans="1:8" x14ac:dyDescent="0.2">
      <c r="A112" s="48"/>
      <c r="B112" s="156" t="s">
        <v>108</v>
      </c>
      <c r="C112" s="157"/>
      <c r="D112" s="22" t="s">
        <v>12</v>
      </c>
      <c r="E112" s="50"/>
      <c r="F112" s="49"/>
      <c r="G112" s="49"/>
    </row>
    <row r="113" spans="1:8" x14ac:dyDescent="0.2">
      <c r="A113" s="51"/>
      <c r="B113" s="52" t="s">
        <v>12</v>
      </c>
      <c r="C113" s="52" t="s">
        <v>573</v>
      </c>
      <c r="D113" s="52" t="s">
        <v>109</v>
      </c>
      <c r="E113" s="51"/>
      <c r="F113" s="51"/>
      <c r="G113" s="51"/>
      <c r="H113" s="53"/>
    </row>
    <row r="114" spans="1:8" x14ac:dyDescent="0.2">
      <c r="A114" s="51"/>
      <c r="B114" s="54" t="s">
        <v>110</v>
      </c>
      <c r="C114" s="55">
        <v>45657</v>
      </c>
      <c r="D114" s="55">
        <v>45672</v>
      </c>
      <c r="E114" s="51"/>
      <c r="F114" s="51"/>
      <c r="G114" s="51"/>
    </row>
    <row r="115" spans="1:8" x14ac:dyDescent="0.2">
      <c r="A115" s="56"/>
      <c r="B115" s="25" t="s">
        <v>111</v>
      </c>
      <c r="C115" s="57">
        <v>39.662599999999998</v>
      </c>
      <c r="D115" s="57">
        <v>39.690100000000001</v>
      </c>
      <c r="E115" s="56"/>
      <c r="F115" s="58"/>
      <c r="G115" s="59"/>
    </row>
    <row r="116" spans="1:8" ht="25.5" x14ac:dyDescent="0.2">
      <c r="A116" s="56"/>
      <c r="B116" s="25" t="s">
        <v>695</v>
      </c>
      <c r="C116" s="57">
        <v>17.548500000000001</v>
      </c>
      <c r="D116" s="57">
        <v>17.560700000000001</v>
      </c>
      <c r="E116" s="56"/>
      <c r="F116" s="58"/>
      <c r="G116" s="59"/>
    </row>
    <row r="117" spans="1:8" ht="25.5" x14ac:dyDescent="0.2">
      <c r="A117" s="56"/>
      <c r="B117" s="25" t="s">
        <v>696</v>
      </c>
      <c r="C117" s="57">
        <v>19.392299999999999</v>
      </c>
      <c r="D117" s="57">
        <v>19.4057</v>
      </c>
      <c r="E117" s="56"/>
      <c r="F117" s="58"/>
      <c r="G117" s="59"/>
    </row>
    <row r="118" spans="1:8" ht="25.5" x14ac:dyDescent="0.2">
      <c r="A118" s="56"/>
      <c r="B118" s="25" t="s">
        <v>697</v>
      </c>
      <c r="C118" s="57">
        <v>17.5322</v>
      </c>
      <c r="D118" s="57">
        <v>17.5443</v>
      </c>
      <c r="E118" s="56"/>
      <c r="F118" s="58"/>
      <c r="G118" s="59"/>
    </row>
    <row r="119" spans="1:8" ht="25.5" x14ac:dyDescent="0.2">
      <c r="A119" s="56"/>
      <c r="B119" s="25" t="s">
        <v>698</v>
      </c>
      <c r="C119" s="57">
        <v>17.646999999999998</v>
      </c>
      <c r="D119" s="57">
        <v>17.659199999999998</v>
      </c>
      <c r="E119" s="56"/>
      <c r="F119" s="58"/>
      <c r="G119" s="59"/>
    </row>
    <row r="120" spans="1:8" x14ac:dyDescent="0.2">
      <c r="A120" s="56"/>
      <c r="B120" s="25" t="s">
        <v>112</v>
      </c>
      <c r="C120" s="57">
        <v>38.3994</v>
      </c>
      <c r="D120" s="57">
        <v>38.422400000000003</v>
      </c>
      <c r="E120" s="56"/>
      <c r="F120" s="58"/>
      <c r="G120" s="59"/>
    </row>
    <row r="121" spans="1:8" ht="25.5" x14ac:dyDescent="0.2">
      <c r="A121" s="56"/>
      <c r="B121" s="25" t="s">
        <v>699</v>
      </c>
      <c r="C121" s="57">
        <v>16.580500000000001</v>
      </c>
      <c r="D121" s="57">
        <v>16.590499999999999</v>
      </c>
      <c r="E121" s="56"/>
      <c r="F121" s="58"/>
      <c r="G121" s="59"/>
    </row>
    <row r="122" spans="1:8" ht="25.5" x14ac:dyDescent="0.2">
      <c r="A122" s="56"/>
      <c r="B122" s="25" t="s">
        <v>665</v>
      </c>
      <c r="C122" s="57">
        <v>18.811900000000001</v>
      </c>
      <c r="D122" s="57">
        <v>18.8231</v>
      </c>
      <c r="E122" s="56"/>
      <c r="F122" s="58"/>
      <c r="G122" s="59"/>
    </row>
    <row r="123" spans="1:8" ht="25.5" x14ac:dyDescent="0.2">
      <c r="A123" s="56"/>
      <c r="B123" s="25" t="s">
        <v>700</v>
      </c>
      <c r="C123" s="57">
        <v>17.413900000000002</v>
      </c>
      <c r="D123" s="57">
        <v>17.424299999999999</v>
      </c>
      <c r="E123" s="56"/>
      <c r="F123" s="58"/>
      <c r="G123" s="59"/>
    </row>
    <row r="124" spans="1:8" ht="25.5" x14ac:dyDescent="0.2">
      <c r="A124" s="56"/>
      <c r="B124" s="25" t="s">
        <v>701</v>
      </c>
      <c r="C124" s="57">
        <v>17.1204</v>
      </c>
      <c r="D124" s="57">
        <v>17.130600000000001</v>
      </c>
      <c r="E124" s="56"/>
      <c r="F124" s="58"/>
      <c r="G124" s="59"/>
    </row>
    <row r="125" spans="1:8" x14ac:dyDescent="0.2">
      <c r="A125" s="56"/>
      <c r="B125" s="56"/>
      <c r="C125" s="56"/>
      <c r="D125" s="56"/>
      <c r="E125" s="56"/>
      <c r="F125" s="56"/>
      <c r="G125" s="56"/>
    </row>
    <row r="126" spans="1:8" x14ac:dyDescent="0.2">
      <c r="A126" s="56"/>
      <c r="B126" s="156" t="s">
        <v>702</v>
      </c>
      <c r="C126" s="157"/>
      <c r="D126" s="33" t="s">
        <v>106</v>
      </c>
      <c r="E126" s="56"/>
      <c r="F126" s="56"/>
      <c r="G126" s="56"/>
    </row>
    <row r="127" spans="1:8" x14ac:dyDescent="0.2">
      <c r="A127" s="56"/>
      <c r="B127" s="60"/>
      <c r="C127" s="60"/>
      <c r="D127" s="60"/>
      <c r="E127" s="56"/>
      <c r="F127" s="56"/>
      <c r="G127" s="56"/>
    </row>
    <row r="128" spans="1:8" ht="25.5" customHeight="1" x14ac:dyDescent="0.2">
      <c r="A128" s="51"/>
      <c r="B128" s="158" t="s">
        <v>113</v>
      </c>
      <c r="C128" s="159"/>
      <c r="D128" s="33" t="s">
        <v>106</v>
      </c>
      <c r="E128" s="61"/>
      <c r="F128" s="51"/>
      <c r="G128" s="51"/>
    </row>
    <row r="129" spans="1:14" ht="26.25" customHeight="1" x14ac:dyDescent="0.2">
      <c r="A129" s="51"/>
      <c r="B129" s="158" t="s">
        <v>114</v>
      </c>
      <c r="C129" s="159"/>
      <c r="D129" s="33" t="s">
        <v>106</v>
      </c>
      <c r="E129" s="61"/>
      <c r="F129" s="51"/>
      <c r="G129" s="51"/>
    </row>
    <row r="130" spans="1:14" x14ac:dyDescent="0.2">
      <c r="A130" s="51"/>
      <c r="B130" s="158" t="s">
        <v>574</v>
      </c>
      <c r="C130" s="159"/>
      <c r="D130" s="33" t="s">
        <v>106</v>
      </c>
      <c r="E130" s="61"/>
      <c r="F130" s="51"/>
      <c r="G130" s="51"/>
    </row>
    <row r="131" spans="1:14" x14ac:dyDescent="0.2">
      <c r="A131" s="60"/>
      <c r="B131" s="60"/>
      <c r="C131" s="60"/>
      <c r="D131" s="60"/>
      <c r="E131" s="60"/>
      <c r="F131" s="60"/>
      <c r="G131" s="60"/>
    </row>
    <row r="132" spans="1:14" s="62" customFormat="1" x14ac:dyDescent="0.2">
      <c r="B132" s="160" t="s">
        <v>575</v>
      </c>
      <c r="C132" s="161"/>
      <c r="D132" s="162"/>
      <c r="I132"/>
      <c r="J132" s="35"/>
      <c r="K132" s="35"/>
      <c r="L132" s="35"/>
      <c r="M132" s="35"/>
      <c r="N132" s="35"/>
    </row>
    <row r="133" spans="1:14" s="62" customFormat="1" ht="38.25" x14ac:dyDescent="0.2">
      <c r="B133" s="152" t="s">
        <v>576</v>
      </c>
      <c r="C133" s="152"/>
      <c r="D133" s="63" t="s">
        <v>1</v>
      </c>
      <c r="I133"/>
      <c r="J133" s="35"/>
      <c r="K133" s="35"/>
      <c r="L133" s="35"/>
      <c r="M133" s="35"/>
      <c r="N133" s="35"/>
    </row>
    <row r="134" spans="1:14" s="62" customFormat="1" x14ac:dyDescent="0.2">
      <c r="B134" s="148" t="s">
        <v>577</v>
      </c>
      <c r="C134" s="148"/>
      <c r="D134" s="64"/>
      <c r="I134"/>
      <c r="J134" s="35"/>
      <c r="K134" s="35"/>
      <c r="L134" s="35"/>
      <c r="M134" s="35"/>
      <c r="N134" s="35"/>
    </row>
    <row r="135" spans="1:14" s="62" customFormat="1" x14ac:dyDescent="0.2">
      <c r="B135" s="146"/>
      <c r="C135" s="147"/>
      <c r="D135" s="65"/>
      <c r="I135"/>
      <c r="J135" s="35"/>
      <c r="K135" s="35"/>
      <c r="L135" s="35"/>
      <c r="M135" s="35"/>
      <c r="N135" s="35"/>
    </row>
    <row r="136" spans="1:14" s="62" customFormat="1" x14ac:dyDescent="0.2">
      <c r="B136" s="148" t="s">
        <v>578</v>
      </c>
      <c r="C136" s="148"/>
      <c r="D136" s="66">
        <v>7.3784767858887985</v>
      </c>
      <c r="I136"/>
      <c r="J136" s="35"/>
      <c r="K136" s="35"/>
      <c r="L136" s="35"/>
      <c r="M136" s="35"/>
      <c r="N136" s="35"/>
    </row>
    <row r="137" spans="1:14" s="62" customFormat="1" x14ac:dyDescent="0.2">
      <c r="B137" s="146"/>
      <c r="C137" s="147"/>
      <c r="D137" s="65"/>
      <c r="I137"/>
      <c r="J137" s="35"/>
      <c r="K137" s="35"/>
      <c r="L137" s="35"/>
      <c r="M137" s="35"/>
      <c r="N137" s="35"/>
    </row>
    <row r="138" spans="1:14" s="62" customFormat="1" x14ac:dyDescent="0.2">
      <c r="B138" s="148" t="s">
        <v>579</v>
      </c>
      <c r="C138" s="148"/>
      <c r="D138" s="66">
        <v>3.7955192283017958</v>
      </c>
      <c r="I138"/>
      <c r="J138" s="35"/>
      <c r="K138" s="35"/>
      <c r="L138" s="35"/>
      <c r="M138" s="35"/>
      <c r="N138" s="35"/>
    </row>
    <row r="139" spans="1:14" s="62" customFormat="1" x14ac:dyDescent="0.2">
      <c r="B139" s="148" t="s">
        <v>580</v>
      </c>
      <c r="C139" s="148"/>
      <c r="D139" s="66">
        <v>5.1873768108186598</v>
      </c>
      <c r="I139"/>
      <c r="J139" s="35"/>
      <c r="K139" s="35"/>
      <c r="L139" s="35"/>
      <c r="M139" s="35"/>
      <c r="N139" s="35"/>
    </row>
    <row r="140" spans="1:14" s="62" customFormat="1" x14ac:dyDescent="0.2">
      <c r="B140" s="146"/>
      <c r="C140" s="147"/>
      <c r="D140" s="65"/>
      <c r="I140"/>
      <c r="J140" s="35"/>
      <c r="K140" s="35"/>
      <c r="L140" s="35"/>
      <c r="M140" s="35"/>
      <c r="N140" s="35"/>
    </row>
    <row r="141" spans="1:14" s="62" customFormat="1" x14ac:dyDescent="0.2">
      <c r="B141" s="148" t="s">
        <v>581</v>
      </c>
      <c r="C141" s="148"/>
      <c r="D141" s="67" t="s">
        <v>690</v>
      </c>
      <c r="I141"/>
      <c r="J141" s="35"/>
      <c r="K141" s="35"/>
      <c r="L141" s="35"/>
      <c r="M141" s="35"/>
      <c r="N141" s="68"/>
    </row>
    <row r="142" spans="1:14" s="62" customFormat="1" x14ac:dyDescent="0.2">
      <c r="B142" s="146" t="s">
        <v>582</v>
      </c>
      <c r="C142" s="149"/>
      <c r="D142" s="147"/>
      <c r="I142"/>
      <c r="J142" s="35"/>
      <c r="K142" s="35"/>
      <c r="L142" s="35"/>
      <c r="M142" s="35"/>
      <c r="N142" s="35"/>
    </row>
    <row r="144" spans="1:14" ht="25.5" x14ac:dyDescent="0.2">
      <c r="B144" s="69" t="s">
        <v>583</v>
      </c>
    </row>
    <row r="146" spans="2:4" ht="153.75" customHeight="1" x14ac:dyDescent="0.2"/>
    <row r="149" spans="2:4" x14ac:dyDescent="0.2">
      <c r="B149" s="70" t="s">
        <v>584</v>
      </c>
      <c r="C149" s="71"/>
      <c r="D149" s="70" t="s">
        <v>585</v>
      </c>
    </row>
    <row r="150" spans="2:4" x14ac:dyDescent="0.2">
      <c r="B150" s="70" t="s">
        <v>586</v>
      </c>
      <c r="D150" s="70" t="s">
        <v>587</v>
      </c>
    </row>
    <row r="151" spans="2:4" ht="165" customHeigh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sheetData>
  <mergeCells count="25">
    <mergeCell ref="B107:H107"/>
    <mergeCell ref="B133:C133"/>
    <mergeCell ref="B134:C134"/>
    <mergeCell ref="B109:D109"/>
    <mergeCell ref="B110:C110"/>
    <mergeCell ref="B111:C111"/>
    <mergeCell ref="B112:C112"/>
    <mergeCell ref="B126:C126"/>
    <mergeCell ref="B130:C130"/>
    <mergeCell ref="B128:C128"/>
    <mergeCell ref="B129:C129"/>
    <mergeCell ref="B132:D132"/>
    <mergeCell ref="A1:H1"/>
    <mergeCell ref="A2:H2"/>
    <mergeCell ref="A3:H3"/>
    <mergeCell ref="B105:H105"/>
    <mergeCell ref="B106:H106"/>
    <mergeCell ref="B140:C140"/>
    <mergeCell ref="B141:C141"/>
    <mergeCell ref="B142:D142"/>
    <mergeCell ref="B135:C135"/>
    <mergeCell ref="B136:C136"/>
    <mergeCell ref="B137:C137"/>
    <mergeCell ref="B138:C138"/>
    <mergeCell ref="B139:C139"/>
  </mergeCells>
  <hyperlinks>
    <hyperlink ref="I1" location="Index!B2" display="Index" xr:uid="{C92C6BFD-F808-48B6-ACBF-33BE371D3E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03AB-72A7-48A2-A648-1D9500058B04}">
  <sheetPr>
    <outlinePr summaryBelow="0" summaryRight="0"/>
  </sheetPr>
  <dimension ref="A1:R178"/>
  <sheetViews>
    <sheetView showGridLines="0" workbookViewId="0">
      <selection sqref="A1:XFD1048576"/>
    </sheetView>
  </sheetViews>
  <sheetFormatPr defaultRowHeight="12.75" x14ac:dyDescent="0.2"/>
  <cols>
    <col min="1" max="1" width="5.85546875" bestFit="1" customWidth="1"/>
    <col min="2" max="2" width="21.42578125" customWidth="1"/>
    <col min="3" max="3" width="34" bestFit="1" customWidth="1"/>
    <col min="4" max="4" width="17.28515625" customWidth="1"/>
    <col min="5" max="5" width="9.42578125" bestFit="1" customWidth="1"/>
    <col min="6" max="6" width="10.140625" bestFit="1" customWidth="1"/>
    <col min="7" max="7" width="14" bestFit="1" customWidth="1"/>
    <col min="8" max="8" width="5.42578125" bestFit="1"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115</v>
      </c>
      <c r="B2" s="150"/>
      <c r="C2" s="150"/>
      <c r="D2" s="150"/>
      <c r="E2" s="150"/>
      <c r="F2" s="150"/>
      <c r="G2" s="150"/>
      <c r="H2" s="150"/>
    </row>
    <row r="3" spans="1:9" ht="15" customHeight="1"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567</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ht="25.5" x14ac:dyDescent="0.2">
      <c r="A28" s="24">
        <v>1</v>
      </c>
      <c r="B28" s="25" t="s">
        <v>49</v>
      </c>
      <c r="C28" s="25" t="s">
        <v>50</v>
      </c>
      <c r="D28" s="25" t="s">
        <v>34</v>
      </c>
      <c r="E28" s="26">
        <v>300</v>
      </c>
      <c r="F28" s="27">
        <v>3004.7130000000002</v>
      </c>
      <c r="G28" s="28">
        <v>8.9666369999999995E-2</v>
      </c>
      <c r="H28" s="18">
        <v>7.3643000000000001</v>
      </c>
    </row>
    <row r="29" spans="1:8" x14ac:dyDescent="0.2">
      <c r="A29" s="24">
        <v>2</v>
      </c>
      <c r="B29" s="25" t="s">
        <v>116</v>
      </c>
      <c r="C29" s="25" t="s">
        <v>117</v>
      </c>
      <c r="D29" s="25" t="s">
        <v>23</v>
      </c>
      <c r="E29" s="26">
        <v>2500</v>
      </c>
      <c r="F29" s="27">
        <v>2499.63</v>
      </c>
      <c r="G29" s="28">
        <v>7.4593729999999997E-2</v>
      </c>
      <c r="H29" s="18">
        <v>7.6829999999999998</v>
      </c>
    </row>
    <row r="30" spans="1:8" x14ac:dyDescent="0.2">
      <c r="A30" s="24">
        <v>3</v>
      </c>
      <c r="B30" s="25" t="s">
        <v>118</v>
      </c>
      <c r="C30" s="25" t="s">
        <v>119</v>
      </c>
      <c r="D30" s="25" t="s">
        <v>34</v>
      </c>
      <c r="E30" s="26">
        <v>250</v>
      </c>
      <c r="F30" s="27">
        <v>2498.8825000000002</v>
      </c>
      <c r="G30" s="28">
        <v>7.4571419999999999E-2</v>
      </c>
      <c r="H30" s="18">
        <v>7.55</v>
      </c>
    </row>
    <row r="31" spans="1:8" ht="25.5" x14ac:dyDescent="0.2">
      <c r="A31" s="24">
        <v>4</v>
      </c>
      <c r="B31" s="25" t="s">
        <v>120</v>
      </c>
      <c r="C31" s="25" t="s">
        <v>121</v>
      </c>
      <c r="D31" s="25" t="s">
        <v>23</v>
      </c>
      <c r="E31" s="26">
        <v>2000</v>
      </c>
      <c r="F31" s="27">
        <v>2007.42</v>
      </c>
      <c r="G31" s="28">
        <v>5.990525E-2</v>
      </c>
      <c r="H31" s="18">
        <v>7.4038000000000004</v>
      </c>
    </row>
    <row r="32" spans="1:8" ht="25.5" x14ac:dyDescent="0.2">
      <c r="A32" s="24">
        <v>5</v>
      </c>
      <c r="B32" s="25" t="s">
        <v>122</v>
      </c>
      <c r="C32" s="25" t="s">
        <v>123</v>
      </c>
      <c r="D32" s="25" t="s">
        <v>34</v>
      </c>
      <c r="E32" s="26">
        <v>200</v>
      </c>
      <c r="F32" s="27">
        <v>1994.866</v>
      </c>
      <c r="G32" s="28">
        <v>5.9530609999999998E-2</v>
      </c>
      <c r="H32" s="18">
        <v>7.8150000000000004</v>
      </c>
    </row>
    <row r="33" spans="1:8" ht="25.5" x14ac:dyDescent="0.2">
      <c r="A33" s="24">
        <v>6</v>
      </c>
      <c r="B33" s="25" t="s">
        <v>124</v>
      </c>
      <c r="C33" s="25" t="s">
        <v>125</v>
      </c>
      <c r="D33" s="25" t="s">
        <v>34</v>
      </c>
      <c r="E33" s="26">
        <v>200</v>
      </c>
      <c r="F33" s="27">
        <v>1952.116</v>
      </c>
      <c r="G33" s="28">
        <v>5.825487E-2</v>
      </c>
      <c r="H33" s="18">
        <v>7.69</v>
      </c>
    </row>
    <row r="34" spans="1:8" ht="25.5" x14ac:dyDescent="0.2">
      <c r="A34" s="24">
        <v>7</v>
      </c>
      <c r="B34" s="25" t="s">
        <v>37</v>
      </c>
      <c r="C34" s="25" t="s">
        <v>38</v>
      </c>
      <c r="D34" s="25" t="s">
        <v>23</v>
      </c>
      <c r="E34" s="26">
        <v>1500</v>
      </c>
      <c r="F34" s="27">
        <v>1504.4625000000001</v>
      </c>
      <c r="G34" s="28">
        <v>4.4896030000000003E-2</v>
      </c>
      <c r="H34" s="18">
        <v>7.52</v>
      </c>
    </row>
    <row r="35" spans="1:8" ht="25.5" x14ac:dyDescent="0.2">
      <c r="A35" s="24">
        <v>8</v>
      </c>
      <c r="B35" s="25" t="s">
        <v>126</v>
      </c>
      <c r="C35" s="25" t="s">
        <v>127</v>
      </c>
      <c r="D35" s="25" t="s">
        <v>34</v>
      </c>
      <c r="E35" s="26">
        <v>150</v>
      </c>
      <c r="F35" s="27">
        <v>1493.9414999999999</v>
      </c>
      <c r="G35" s="28">
        <v>4.4582070000000001E-2</v>
      </c>
      <c r="H35" s="18">
        <v>7.8091999999999997</v>
      </c>
    </row>
    <row r="36" spans="1:8" ht="25.5" x14ac:dyDescent="0.2">
      <c r="A36" s="24">
        <v>9</v>
      </c>
      <c r="B36" s="25" t="s">
        <v>43</v>
      </c>
      <c r="C36" s="25" t="s">
        <v>44</v>
      </c>
      <c r="D36" s="25" t="s">
        <v>23</v>
      </c>
      <c r="E36" s="26">
        <v>1500</v>
      </c>
      <c r="F36" s="27">
        <v>1491.7275</v>
      </c>
      <c r="G36" s="28">
        <v>4.4516E-2</v>
      </c>
      <c r="H36" s="18">
        <v>7.585</v>
      </c>
    </row>
    <row r="37" spans="1:8" ht="25.5" x14ac:dyDescent="0.2">
      <c r="A37" s="24">
        <v>10</v>
      </c>
      <c r="B37" s="25" t="s">
        <v>128</v>
      </c>
      <c r="C37" s="25" t="s">
        <v>129</v>
      </c>
      <c r="D37" s="25" t="s">
        <v>23</v>
      </c>
      <c r="E37" s="26">
        <v>1000</v>
      </c>
      <c r="F37" s="27">
        <v>1011.011</v>
      </c>
      <c r="G37" s="28">
        <v>3.0170499999999999E-2</v>
      </c>
      <c r="H37" s="18">
        <v>7.18</v>
      </c>
    </row>
    <row r="38" spans="1:8" ht="25.5" x14ac:dyDescent="0.2">
      <c r="A38" s="24">
        <v>11</v>
      </c>
      <c r="B38" s="25" t="s">
        <v>24</v>
      </c>
      <c r="C38" s="25" t="s">
        <v>25</v>
      </c>
      <c r="D38" s="25" t="s">
        <v>23</v>
      </c>
      <c r="E38" s="26">
        <v>1000</v>
      </c>
      <c r="F38" s="27">
        <v>998.96900000000005</v>
      </c>
      <c r="G38" s="28">
        <v>2.981114E-2</v>
      </c>
      <c r="H38" s="18">
        <v>7.4050000000000002</v>
      </c>
    </row>
    <row r="39" spans="1:8" ht="38.25" x14ac:dyDescent="0.2">
      <c r="A39" s="24">
        <v>12</v>
      </c>
      <c r="B39" s="25" t="s">
        <v>130</v>
      </c>
      <c r="C39" s="25" t="s">
        <v>131</v>
      </c>
      <c r="D39" s="25" t="s">
        <v>23</v>
      </c>
      <c r="E39" s="26">
        <v>500</v>
      </c>
      <c r="F39" s="27">
        <v>506.19549999999998</v>
      </c>
      <c r="G39" s="28">
        <v>1.5105840000000001E-2</v>
      </c>
      <c r="H39" s="18">
        <v>7.2350000000000003</v>
      </c>
    </row>
    <row r="40" spans="1:8" ht="25.5" x14ac:dyDescent="0.2">
      <c r="A40" s="24">
        <v>13</v>
      </c>
      <c r="B40" s="25" t="s">
        <v>30</v>
      </c>
      <c r="C40" s="25" t="s">
        <v>31</v>
      </c>
      <c r="D40" s="25" t="s">
        <v>23</v>
      </c>
      <c r="E40" s="26">
        <v>500</v>
      </c>
      <c r="F40" s="27">
        <v>505.92649999999998</v>
      </c>
      <c r="G40" s="28">
        <v>1.509781E-2</v>
      </c>
      <c r="H40" s="18">
        <v>7.18</v>
      </c>
    </row>
    <row r="41" spans="1:8" ht="25.5" x14ac:dyDescent="0.2">
      <c r="A41" s="24">
        <v>14</v>
      </c>
      <c r="B41" s="25" t="s">
        <v>45</v>
      </c>
      <c r="C41" s="25" t="s">
        <v>46</v>
      </c>
      <c r="D41" s="25" t="s">
        <v>23</v>
      </c>
      <c r="E41" s="26">
        <v>500</v>
      </c>
      <c r="F41" s="27">
        <v>502.459</v>
      </c>
      <c r="G41" s="28">
        <v>1.499434E-2</v>
      </c>
      <c r="H41" s="18">
        <v>7.46</v>
      </c>
    </row>
    <row r="42" spans="1:8" ht="25.5" x14ac:dyDescent="0.2">
      <c r="A42" s="24">
        <v>15</v>
      </c>
      <c r="B42" s="25" t="s">
        <v>132</v>
      </c>
      <c r="C42" s="25" t="s">
        <v>133</v>
      </c>
      <c r="D42" s="25" t="s">
        <v>23</v>
      </c>
      <c r="E42" s="26">
        <v>500</v>
      </c>
      <c r="F42" s="27">
        <v>500.74200000000002</v>
      </c>
      <c r="G42" s="28">
        <v>1.4943100000000001E-2</v>
      </c>
      <c r="H42" s="18">
        <v>7.5738000000000003</v>
      </c>
    </row>
    <row r="43" spans="1:8" x14ac:dyDescent="0.2">
      <c r="A43" s="24">
        <v>16</v>
      </c>
      <c r="B43" s="25" t="s">
        <v>55</v>
      </c>
      <c r="C43" s="25" t="s">
        <v>56</v>
      </c>
      <c r="D43" s="25" t="s">
        <v>23</v>
      </c>
      <c r="E43" s="26">
        <v>500</v>
      </c>
      <c r="F43" s="27">
        <v>500.08600000000001</v>
      </c>
      <c r="G43" s="28">
        <v>1.4923519999999999E-2</v>
      </c>
      <c r="H43" s="18">
        <v>7.72</v>
      </c>
    </row>
    <row r="44" spans="1:8" ht="25.5" x14ac:dyDescent="0.2">
      <c r="A44" s="24">
        <v>17</v>
      </c>
      <c r="B44" s="25" t="s">
        <v>51</v>
      </c>
      <c r="C44" s="25" t="s">
        <v>52</v>
      </c>
      <c r="D44" s="25" t="s">
        <v>23</v>
      </c>
      <c r="E44" s="26">
        <v>500</v>
      </c>
      <c r="F44" s="27">
        <v>498.5675</v>
      </c>
      <c r="G44" s="28">
        <v>1.4878209999999999E-2</v>
      </c>
      <c r="H44" s="18">
        <v>7.57</v>
      </c>
    </row>
    <row r="45" spans="1:8" x14ac:dyDescent="0.2">
      <c r="A45" s="16"/>
      <c r="B45" s="16"/>
      <c r="C45" s="17" t="s">
        <v>11</v>
      </c>
      <c r="D45" s="16"/>
      <c r="E45" s="16" t="s">
        <v>12</v>
      </c>
      <c r="F45" s="23">
        <v>23471.715499999998</v>
      </c>
      <c r="G45" s="20">
        <v>0.70044081000000002</v>
      </c>
      <c r="H45" s="18" t="s">
        <v>12</v>
      </c>
    </row>
    <row r="46" spans="1:8" x14ac:dyDescent="0.2">
      <c r="A46" s="16"/>
      <c r="B46" s="16"/>
      <c r="C46" s="21"/>
      <c r="D46" s="16"/>
      <c r="E46" s="16"/>
      <c r="F46" s="22"/>
      <c r="G46" s="22"/>
      <c r="H46" s="18" t="s">
        <v>12</v>
      </c>
    </row>
    <row r="47" spans="1:8" x14ac:dyDescent="0.2">
      <c r="A47" s="16"/>
      <c r="B47" s="16"/>
      <c r="C47" s="17" t="s">
        <v>71</v>
      </c>
      <c r="D47" s="16"/>
      <c r="E47" s="16"/>
      <c r="F47" s="16"/>
      <c r="G47" s="16"/>
      <c r="H47" s="18" t="s">
        <v>12</v>
      </c>
    </row>
    <row r="48" spans="1:8" x14ac:dyDescent="0.2">
      <c r="A48" s="16"/>
      <c r="B48" s="16"/>
      <c r="C48" s="17" t="s">
        <v>11</v>
      </c>
      <c r="D48" s="16"/>
      <c r="E48" s="16" t="s">
        <v>12</v>
      </c>
      <c r="F48" s="19" t="s">
        <v>13</v>
      </c>
      <c r="G48" s="20">
        <v>0</v>
      </c>
      <c r="H48" s="18" t="s">
        <v>12</v>
      </c>
    </row>
    <row r="49" spans="1:8" x14ac:dyDescent="0.2">
      <c r="A49" s="16"/>
      <c r="B49" s="16"/>
      <c r="C49" s="21"/>
      <c r="D49" s="16"/>
      <c r="E49" s="16"/>
      <c r="F49" s="22"/>
      <c r="G49" s="22"/>
      <c r="H49" s="18" t="s">
        <v>12</v>
      </c>
    </row>
    <row r="50" spans="1:8" x14ac:dyDescent="0.2">
      <c r="A50" s="16"/>
      <c r="B50" s="16"/>
      <c r="C50" s="17" t="s">
        <v>72</v>
      </c>
      <c r="D50" s="16"/>
      <c r="E50" s="16"/>
      <c r="F50" s="16"/>
      <c r="G50" s="16"/>
      <c r="H50" s="18" t="s">
        <v>12</v>
      </c>
    </row>
    <row r="51" spans="1:8" ht="25.5" x14ac:dyDescent="0.2">
      <c r="A51" s="24">
        <v>1</v>
      </c>
      <c r="B51" s="25" t="s">
        <v>73</v>
      </c>
      <c r="C51" s="25" t="s">
        <v>74</v>
      </c>
      <c r="D51" s="25" t="s">
        <v>75</v>
      </c>
      <c r="E51" s="26">
        <v>3000000</v>
      </c>
      <c r="F51" s="27">
        <v>3050.5619999999999</v>
      </c>
      <c r="G51" s="28">
        <v>9.1034589999999999E-2</v>
      </c>
      <c r="H51" s="18">
        <v>6.9657</v>
      </c>
    </row>
    <row r="52" spans="1:8" ht="25.5" x14ac:dyDescent="0.2">
      <c r="A52" s="24">
        <v>2</v>
      </c>
      <c r="B52" s="25" t="s">
        <v>76</v>
      </c>
      <c r="C52" s="25" t="s">
        <v>77</v>
      </c>
      <c r="D52" s="25" t="s">
        <v>75</v>
      </c>
      <c r="E52" s="26">
        <v>1000000</v>
      </c>
      <c r="F52" s="27">
        <v>1024.021</v>
      </c>
      <c r="G52" s="28">
        <v>3.0558740000000001E-2</v>
      </c>
      <c r="H52" s="18">
        <v>6.9265999999999996</v>
      </c>
    </row>
    <row r="53" spans="1:8" ht="25.5" x14ac:dyDescent="0.2">
      <c r="A53" s="24">
        <v>3</v>
      </c>
      <c r="B53" s="25" t="s">
        <v>80</v>
      </c>
      <c r="C53" s="25" t="s">
        <v>81</v>
      </c>
      <c r="D53" s="25" t="s">
        <v>75</v>
      </c>
      <c r="E53" s="26">
        <v>1000000</v>
      </c>
      <c r="F53" s="27">
        <v>996.87099999999998</v>
      </c>
      <c r="G53" s="28">
        <v>2.9748529999999999E-2</v>
      </c>
      <c r="H53" s="18">
        <v>7.1745999999999999</v>
      </c>
    </row>
    <row r="54" spans="1:8" ht="25.5" x14ac:dyDescent="0.2">
      <c r="A54" s="24">
        <v>4</v>
      </c>
      <c r="B54" s="25" t="s">
        <v>134</v>
      </c>
      <c r="C54" s="25" t="s">
        <v>135</v>
      </c>
      <c r="D54" s="25" t="s">
        <v>75</v>
      </c>
      <c r="E54" s="26">
        <v>500000</v>
      </c>
      <c r="F54" s="27">
        <v>512.98450000000003</v>
      </c>
      <c r="G54" s="28">
        <v>1.530844E-2</v>
      </c>
      <c r="H54" s="18">
        <v>7.0587999999999997</v>
      </c>
    </row>
    <row r="55" spans="1:8" ht="25.5" x14ac:dyDescent="0.2">
      <c r="A55" s="24">
        <v>5</v>
      </c>
      <c r="B55" s="25" t="s">
        <v>78</v>
      </c>
      <c r="C55" s="25" t="s">
        <v>79</v>
      </c>
      <c r="D55" s="25" t="s">
        <v>75</v>
      </c>
      <c r="E55" s="26">
        <v>500000</v>
      </c>
      <c r="F55" s="27">
        <v>512.79999999999995</v>
      </c>
      <c r="G55" s="28">
        <v>1.5302929999999999E-2</v>
      </c>
      <c r="H55" s="18">
        <v>7.2144000000000004</v>
      </c>
    </row>
    <row r="56" spans="1:8" x14ac:dyDescent="0.2">
      <c r="A56" s="16"/>
      <c r="B56" s="16"/>
      <c r="C56" s="17" t="s">
        <v>11</v>
      </c>
      <c r="D56" s="16"/>
      <c r="E56" s="16" t="s">
        <v>12</v>
      </c>
      <c r="F56" s="23">
        <v>6097.2385000000004</v>
      </c>
      <c r="G56" s="20">
        <v>0.18195322999999999</v>
      </c>
      <c r="H56" s="18" t="s">
        <v>12</v>
      </c>
    </row>
    <row r="57" spans="1:8" x14ac:dyDescent="0.2">
      <c r="A57" s="16"/>
      <c r="B57" s="16"/>
      <c r="C57" s="21"/>
      <c r="D57" s="16"/>
      <c r="E57" s="16"/>
      <c r="F57" s="22"/>
      <c r="G57" s="22"/>
      <c r="H57" s="18" t="s">
        <v>12</v>
      </c>
    </row>
    <row r="58" spans="1:8" x14ac:dyDescent="0.2">
      <c r="A58" s="16"/>
      <c r="B58" s="16"/>
      <c r="C58" s="17" t="s">
        <v>86</v>
      </c>
      <c r="D58" s="16"/>
      <c r="E58" s="16"/>
      <c r="F58" s="22"/>
      <c r="G58" s="22"/>
      <c r="H58" s="18" t="s">
        <v>12</v>
      </c>
    </row>
    <row r="59" spans="1:8" x14ac:dyDescent="0.2">
      <c r="A59" s="16"/>
      <c r="B59" s="16"/>
      <c r="C59" s="17" t="s">
        <v>11</v>
      </c>
      <c r="D59" s="16"/>
      <c r="E59" s="16" t="s">
        <v>12</v>
      </c>
      <c r="F59" s="19" t="s">
        <v>13</v>
      </c>
      <c r="G59" s="20">
        <v>0</v>
      </c>
      <c r="H59" s="18" t="s">
        <v>12</v>
      </c>
    </row>
    <row r="60" spans="1:8" x14ac:dyDescent="0.2">
      <c r="A60" s="16"/>
      <c r="B60" s="16"/>
      <c r="C60" s="21"/>
      <c r="D60" s="16"/>
      <c r="E60" s="16"/>
      <c r="F60" s="22"/>
      <c r="G60" s="22"/>
      <c r="H60" s="18" t="s">
        <v>12</v>
      </c>
    </row>
    <row r="61" spans="1:8" x14ac:dyDescent="0.2">
      <c r="A61" s="16"/>
      <c r="B61" s="16"/>
      <c r="C61" s="17" t="s">
        <v>87</v>
      </c>
      <c r="D61" s="16"/>
      <c r="E61" s="16"/>
      <c r="F61" s="23">
        <v>29568.954000000002</v>
      </c>
      <c r="G61" s="20">
        <v>0.88239403999999999</v>
      </c>
      <c r="H61" s="18" t="s">
        <v>12</v>
      </c>
    </row>
    <row r="62" spans="1:8" x14ac:dyDescent="0.2">
      <c r="A62" s="16"/>
      <c r="B62" s="16"/>
      <c r="C62" s="21"/>
      <c r="D62" s="16"/>
      <c r="E62" s="16"/>
      <c r="F62" s="22"/>
      <c r="G62" s="22"/>
      <c r="H62" s="18" t="s">
        <v>12</v>
      </c>
    </row>
    <row r="63" spans="1:8" x14ac:dyDescent="0.2">
      <c r="A63" s="16"/>
      <c r="B63" s="16"/>
      <c r="C63" s="17" t="s">
        <v>88</v>
      </c>
      <c r="D63" s="16"/>
      <c r="E63" s="16"/>
      <c r="F63" s="22"/>
      <c r="G63" s="22"/>
      <c r="H63" s="18" t="s">
        <v>12</v>
      </c>
    </row>
    <row r="64" spans="1:8" x14ac:dyDescent="0.2">
      <c r="A64" s="16"/>
      <c r="B64" s="16"/>
      <c r="C64" s="17" t="s">
        <v>89</v>
      </c>
      <c r="D64" s="16"/>
      <c r="E64" s="16"/>
      <c r="F64" s="22"/>
      <c r="G64" s="22"/>
      <c r="H64" s="18" t="s">
        <v>12</v>
      </c>
    </row>
    <row r="65" spans="1:8" x14ac:dyDescent="0.2">
      <c r="A65" s="16"/>
      <c r="B65" s="16"/>
      <c r="C65" s="17" t="s">
        <v>11</v>
      </c>
      <c r="D65" s="16"/>
      <c r="E65" s="16" t="s">
        <v>12</v>
      </c>
      <c r="F65" s="19" t="s">
        <v>13</v>
      </c>
      <c r="G65" s="20">
        <v>0</v>
      </c>
      <c r="H65" s="18" t="s">
        <v>12</v>
      </c>
    </row>
    <row r="66" spans="1:8" x14ac:dyDescent="0.2">
      <c r="A66" s="16"/>
      <c r="B66" s="16"/>
      <c r="C66" s="21"/>
      <c r="D66" s="16"/>
      <c r="E66" s="16"/>
      <c r="F66" s="22"/>
      <c r="G66" s="22"/>
      <c r="H66" s="18" t="s">
        <v>12</v>
      </c>
    </row>
    <row r="67" spans="1:8" x14ac:dyDescent="0.2">
      <c r="A67" s="16"/>
      <c r="B67" s="16"/>
      <c r="C67" s="17" t="s">
        <v>90</v>
      </c>
      <c r="D67" s="16"/>
      <c r="E67" s="16"/>
      <c r="F67" s="22"/>
      <c r="G67" s="22"/>
      <c r="H67" s="18" t="s">
        <v>12</v>
      </c>
    </row>
    <row r="68" spans="1:8" x14ac:dyDescent="0.2">
      <c r="A68" s="16"/>
      <c r="B68" s="16"/>
      <c r="C68" s="17" t="s">
        <v>11</v>
      </c>
      <c r="D68" s="16"/>
      <c r="E68" s="16" t="s">
        <v>12</v>
      </c>
      <c r="F68" s="19" t="s">
        <v>13</v>
      </c>
      <c r="G68" s="20">
        <v>0</v>
      </c>
      <c r="H68" s="18" t="s">
        <v>12</v>
      </c>
    </row>
    <row r="69" spans="1:8" x14ac:dyDescent="0.2">
      <c r="A69" s="16"/>
      <c r="B69" s="16"/>
      <c r="C69" s="21"/>
      <c r="D69" s="16"/>
      <c r="E69" s="16"/>
      <c r="F69" s="22"/>
      <c r="G69" s="22"/>
      <c r="H69" s="18" t="s">
        <v>12</v>
      </c>
    </row>
    <row r="70" spans="1:8" x14ac:dyDescent="0.2">
      <c r="A70" s="16"/>
      <c r="B70" s="16"/>
      <c r="C70" s="17" t="s">
        <v>91</v>
      </c>
      <c r="D70" s="16"/>
      <c r="E70" s="16"/>
      <c r="F70" s="22"/>
      <c r="G70" s="22"/>
      <c r="H70" s="18" t="s">
        <v>12</v>
      </c>
    </row>
    <row r="71" spans="1:8" x14ac:dyDescent="0.2">
      <c r="A71" s="16"/>
      <c r="B71" s="16"/>
      <c r="C71" s="17" t="s">
        <v>11</v>
      </c>
      <c r="D71" s="16"/>
      <c r="E71" s="16" t="s">
        <v>12</v>
      </c>
      <c r="F71" s="19" t="s">
        <v>13</v>
      </c>
      <c r="G71" s="20">
        <v>0</v>
      </c>
      <c r="H71" s="18" t="s">
        <v>12</v>
      </c>
    </row>
    <row r="72" spans="1:8" x14ac:dyDescent="0.2">
      <c r="A72" s="16"/>
      <c r="B72" s="16"/>
      <c r="C72" s="21"/>
      <c r="D72" s="16"/>
      <c r="E72" s="16"/>
      <c r="F72" s="22"/>
      <c r="G72" s="22"/>
      <c r="H72" s="18" t="s">
        <v>12</v>
      </c>
    </row>
    <row r="73" spans="1:8" x14ac:dyDescent="0.2">
      <c r="A73" s="16"/>
      <c r="B73" s="16"/>
      <c r="C73" s="17" t="s">
        <v>92</v>
      </c>
      <c r="D73" s="16"/>
      <c r="E73" s="16"/>
      <c r="F73" s="22"/>
      <c r="G73" s="22"/>
      <c r="H73" s="18" t="s">
        <v>12</v>
      </c>
    </row>
    <row r="74" spans="1:8" x14ac:dyDescent="0.2">
      <c r="A74" s="24">
        <v>1</v>
      </c>
      <c r="B74" s="25"/>
      <c r="C74" s="25" t="s">
        <v>93</v>
      </c>
      <c r="D74" s="25"/>
      <c r="E74" s="29"/>
      <c r="F74" s="27">
        <v>2759.364199007</v>
      </c>
      <c r="G74" s="28">
        <v>8.2344700000000007E-2</v>
      </c>
      <c r="H74" s="18">
        <v>6.25</v>
      </c>
    </row>
    <row r="75" spans="1:8" x14ac:dyDescent="0.2">
      <c r="A75" s="16"/>
      <c r="B75" s="16"/>
      <c r="C75" s="17" t="s">
        <v>11</v>
      </c>
      <c r="D75" s="16"/>
      <c r="E75" s="16" t="s">
        <v>12</v>
      </c>
      <c r="F75" s="23">
        <v>2759.364199007</v>
      </c>
      <c r="G75" s="20">
        <v>8.2344700000000007E-2</v>
      </c>
      <c r="H75" s="18" t="s">
        <v>12</v>
      </c>
    </row>
    <row r="76" spans="1:8" x14ac:dyDescent="0.2">
      <c r="A76" s="16"/>
      <c r="B76" s="16"/>
      <c r="C76" s="21"/>
      <c r="D76" s="16"/>
      <c r="E76" s="16"/>
      <c r="F76" s="22"/>
      <c r="G76" s="22"/>
      <c r="H76" s="18" t="s">
        <v>12</v>
      </c>
    </row>
    <row r="77" spans="1:8" x14ac:dyDescent="0.2">
      <c r="A77" s="16"/>
      <c r="B77" s="16"/>
      <c r="C77" s="17" t="s">
        <v>94</v>
      </c>
      <c r="D77" s="16"/>
      <c r="E77" s="16"/>
      <c r="F77" s="23">
        <v>2759.364199007</v>
      </c>
      <c r="G77" s="20">
        <v>8.2344700000000007E-2</v>
      </c>
      <c r="H77" s="18" t="s">
        <v>12</v>
      </c>
    </row>
    <row r="78" spans="1:8" x14ac:dyDescent="0.2">
      <c r="A78" s="16"/>
      <c r="B78" s="16"/>
      <c r="C78" s="22"/>
      <c r="D78" s="16"/>
      <c r="E78" s="16"/>
      <c r="F78" s="16"/>
      <c r="G78" s="16"/>
      <c r="H78" s="18" t="s">
        <v>12</v>
      </c>
    </row>
    <row r="79" spans="1:8" x14ac:dyDescent="0.2">
      <c r="A79" s="16"/>
      <c r="B79" s="16"/>
      <c r="C79" s="17" t="s">
        <v>95</v>
      </c>
      <c r="D79" s="16"/>
      <c r="E79" s="16"/>
      <c r="F79" s="16"/>
      <c r="G79" s="16"/>
      <c r="H79" s="18" t="s">
        <v>12</v>
      </c>
    </row>
    <row r="80" spans="1:8" x14ac:dyDescent="0.2">
      <c r="A80" s="16"/>
      <c r="B80" s="16"/>
      <c r="C80" s="17" t="s">
        <v>96</v>
      </c>
      <c r="D80" s="16"/>
      <c r="E80" s="16"/>
      <c r="F80" s="16"/>
      <c r="G80" s="16"/>
      <c r="H80" s="18" t="s">
        <v>12</v>
      </c>
    </row>
    <row r="81" spans="1:17" x14ac:dyDescent="0.2">
      <c r="A81" s="16"/>
      <c r="B81" s="16"/>
      <c r="C81" s="17" t="s">
        <v>11</v>
      </c>
      <c r="D81" s="16"/>
      <c r="E81" s="16" t="s">
        <v>12</v>
      </c>
      <c r="F81" s="19" t="s">
        <v>13</v>
      </c>
      <c r="G81" s="20">
        <v>0</v>
      </c>
      <c r="H81" s="18" t="s">
        <v>12</v>
      </c>
    </row>
    <row r="82" spans="1:17" x14ac:dyDescent="0.2">
      <c r="A82" s="30"/>
      <c r="B82" s="30"/>
      <c r="C82" s="31"/>
      <c r="D82" s="30"/>
      <c r="E82" s="30"/>
      <c r="F82" s="32"/>
      <c r="G82" s="32"/>
      <c r="H82" s="18" t="s">
        <v>12</v>
      </c>
    </row>
    <row r="83" spans="1:17" ht="25.5" x14ac:dyDescent="0.2">
      <c r="A83" s="30"/>
      <c r="B83" s="30"/>
      <c r="C83" s="33" t="s">
        <v>569</v>
      </c>
      <c r="D83" s="30"/>
      <c r="E83" s="30"/>
      <c r="F83" s="32"/>
      <c r="G83" s="32"/>
      <c r="H83" s="34"/>
      <c r="K83" s="35"/>
      <c r="L83" s="35"/>
      <c r="M83" s="35"/>
      <c r="N83" s="35"/>
      <c r="O83" s="36"/>
      <c r="P83" s="36"/>
      <c r="Q83" s="36"/>
    </row>
    <row r="84" spans="1:17" ht="25.5" x14ac:dyDescent="0.2">
      <c r="A84" s="37">
        <v>1</v>
      </c>
      <c r="B84" s="38" t="s">
        <v>97</v>
      </c>
      <c r="C84" s="38" t="s">
        <v>98</v>
      </c>
      <c r="D84" s="38"/>
      <c r="E84" s="39">
        <v>1138.2429999999999</v>
      </c>
      <c r="F84" s="34">
        <v>123.768153617</v>
      </c>
      <c r="G84" s="40">
        <v>3.6934799999999999E-3</v>
      </c>
      <c r="H84" s="18"/>
    </row>
    <row r="85" spans="1:17" x14ac:dyDescent="0.2">
      <c r="A85" s="30"/>
      <c r="B85" s="30"/>
      <c r="C85" s="33" t="s">
        <v>11</v>
      </c>
      <c r="D85" s="30"/>
      <c r="E85" s="30" t="s">
        <v>12</v>
      </c>
      <c r="F85" s="41">
        <f>SUM(F84)</f>
        <v>123.768153617</v>
      </c>
      <c r="G85" s="42">
        <f>SUM(G84)</f>
        <v>3.6934799999999999E-3</v>
      </c>
      <c r="H85" s="18" t="s">
        <v>12</v>
      </c>
    </row>
    <row r="86" spans="1:17" x14ac:dyDescent="0.2">
      <c r="A86" s="16"/>
      <c r="B86" s="16"/>
      <c r="C86" s="21"/>
      <c r="D86" s="16"/>
      <c r="E86" s="16"/>
      <c r="F86" s="22"/>
      <c r="G86" s="22"/>
      <c r="H86" s="18" t="s">
        <v>12</v>
      </c>
    </row>
    <row r="87" spans="1:17" x14ac:dyDescent="0.2">
      <c r="A87" s="16"/>
      <c r="B87" s="16"/>
      <c r="C87" s="17" t="s">
        <v>99</v>
      </c>
      <c r="D87" s="16"/>
      <c r="E87" s="16"/>
      <c r="F87" s="16"/>
      <c r="G87" s="16"/>
      <c r="H87" s="18" t="s">
        <v>12</v>
      </c>
    </row>
    <row r="88" spans="1:17" x14ac:dyDescent="0.2">
      <c r="A88" s="16"/>
      <c r="B88" s="16"/>
      <c r="C88" s="17" t="s">
        <v>100</v>
      </c>
      <c r="D88" s="16"/>
      <c r="E88" s="16"/>
      <c r="F88" s="16"/>
      <c r="G88" s="16"/>
      <c r="H88" s="18" t="s">
        <v>12</v>
      </c>
    </row>
    <row r="89" spans="1:17" x14ac:dyDescent="0.2">
      <c r="A89" s="16"/>
      <c r="B89" s="16"/>
      <c r="C89" s="17" t="s">
        <v>11</v>
      </c>
      <c r="D89" s="16"/>
      <c r="E89" s="16" t="s">
        <v>12</v>
      </c>
      <c r="F89" s="19" t="s">
        <v>13</v>
      </c>
      <c r="G89" s="20">
        <v>0</v>
      </c>
      <c r="H89" s="18" t="s">
        <v>12</v>
      </c>
    </row>
    <row r="90" spans="1:17" x14ac:dyDescent="0.2">
      <c r="A90" s="16"/>
      <c r="B90" s="16"/>
      <c r="C90" s="21"/>
      <c r="D90" s="16"/>
      <c r="E90" s="16"/>
      <c r="F90" s="22"/>
      <c r="G90" s="22"/>
      <c r="H90" s="18" t="s">
        <v>12</v>
      </c>
    </row>
    <row r="91" spans="1:17" ht="25.5" x14ac:dyDescent="0.2">
      <c r="A91" s="16"/>
      <c r="B91" s="16"/>
      <c r="C91" s="17" t="s">
        <v>101</v>
      </c>
      <c r="D91" s="16"/>
      <c r="E91" s="16"/>
      <c r="F91" s="22"/>
      <c r="G91" s="22"/>
      <c r="H91" s="18" t="s">
        <v>12</v>
      </c>
    </row>
    <row r="92" spans="1:17" x14ac:dyDescent="0.2">
      <c r="A92" s="16"/>
      <c r="B92" s="16"/>
      <c r="C92" s="17" t="s">
        <v>11</v>
      </c>
      <c r="D92" s="16"/>
      <c r="E92" s="16" t="s">
        <v>12</v>
      </c>
      <c r="F92" s="19" t="s">
        <v>13</v>
      </c>
      <c r="G92" s="20">
        <v>0</v>
      </c>
      <c r="H92" s="18" t="s">
        <v>12</v>
      </c>
    </row>
    <row r="93" spans="1:17" x14ac:dyDescent="0.2">
      <c r="A93" s="16"/>
      <c r="B93" s="16"/>
      <c r="C93" s="21"/>
      <c r="D93" s="16"/>
      <c r="E93" s="16"/>
      <c r="F93" s="22"/>
      <c r="G93" s="22"/>
      <c r="H93" s="18" t="s">
        <v>12</v>
      </c>
    </row>
    <row r="94" spans="1:17" x14ac:dyDescent="0.2">
      <c r="A94" s="16"/>
      <c r="B94" s="25"/>
      <c r="C94" s="25"/>
      <c r="D94" s="17"/>
      <c r="E94" s="16"/>
      <c r="F94" s="25"/>
      <c r="G94" s="29"/>
      <c r="H94" s="18" t="s">
        <v>12</v>
      </c>
    </row>
    <row r="95" spans="1:17" x14ac:dyDescent="0.2">
      <c r="A95" s="29"/>
      <c r="B95" s="25"/>
      <c r="C95" s="25" t="s">
        <v>102</v>
      </c>
      <c r="D95" s="25"/>
      <c r="E95" s="29"/>
      <c r="F95" s="27">
        <f>1057.83409971-0.000273814001083374</f>
        <v>1057.8338258959989</v>
      </c>
      <c r="G95" s="28">
        <v>3.1567789999999998E-2</v>
      </c>
      <c r="H95" s="18" t="s">
        <v>12</v>
      </c>
    </row>
    <row r="96" spans="1:17" x14ac:dyDescent="0.2">
      <c r="A96" s="21"/>
      <c r="B96" s="21"/>
      <c r="C96" s="17" t="s">
        <v>103</v>
      </c>
      <c r="D96" s="22"/>
      <c r="E96" s="22"/>
      <c r="F96" s="23">
        <f>33509.920452334-0.000273814001083374</f>
        <v>33509.920178519998</v>
      </c>
      <c r="G96" s="43">
        <v>1.0000000099999999</v>
      </c>
      <c r="H96" s="18" t="s">
        <v>12</v>
      </c>
    </row>
    <row r="97" spans="1:8" x14ac:dyDescent="0.2">
      <c r="A97" s="44"/>
      <c r="B97" s="44"/>
      <c r="C97" s="44"/>
      <c r="D97" s="45"/>
      <c r="E97" s="45"/>
      <c r="F97" s="45"/>
      <c r="G97" s="45"/>
    </row>
    <row r="98" spans="1:8" x14ac:dyDescent="0.2">
      <c r="A98" s="46"/>
      <c r="B98" s="151" t="s">
        <v>570</v>
      </c>
      <c r="C98" s="151"/>
      <c r="D98" s="151"/>
      <c r="E98" s="151"/>
      <c r="F98" s="151"/>
      <c r="G98" s="151"/>
      <c r="H98" s="151"/>
    </row>
    <row r="99" spans="1:8" x14ac:dyDescent="0.2">
      <c r="A99" s="46"/>
      <c r="B99" s="151" t="s">
        <v>571</v>
      </c>
      <c r="C99" s="151"/>
      <c r="D99" s="151"/>
      <c r="E99" s="151"/>
      <c r="F99" s="151"/>
      <c r="G99" s="151"/>
      <c r="H99" s="151"/>
    </row>
    <row r="100" spans="1:8" x14ac:dyDescent="0.2">
      <c r="A100" s="46"/>
      <c r="B100" s="151" t="s">
        <v>572</v>
      </c>
      <c r="C100" s="151"/>
      <c r="D100" s="151"/>
      <c r="E100" s="151"/>
      <c r="F100" s="151"/>
      <c r="G100" s="151"/>
      <c r="H100" s="151"/>
    </row>
    <row r="101" spans="1:8" x14ac:dyDescent="0.2">
      <c r="A101" s="48"/>
      <c r="B101" s="48"/>
      <c r="C101" s="48"/>
      <c r="D101" s="49"/>
      <c r="E101" s="49"/>
      <c r="F101" s="49"/>
      <c r="G101" s="49"/>
    </row>
    <row r="102" spans="1:8" x14ac:dyDescent="0.2">
      <c r="A102" s="48"/>
      <c r="B102" s="153" t="s">
        <v>104</v>
      </c>
      <c r="C102" s="154"/>
      <c r="D102" s="155"/>
      <c r="E102" s="50"/>
      <c r="F102" s="49"/>
      <c r="G102" s="49"/>
    </row>
    <row r="103" spans="1:8" x14ac:dyDescent="0.2">
      <c r="A103" s="48"/>
      <c r="B103" s="156" t="s">
        <v>105</v>
      </c>
      <c r="C103" s="157"/>
      <c r="D103" s="17" t="s">
        <v>106</v>
      </c>
      <c r="E103" s="50"/>
      <c r="F103" s="49"/>
      <c r="G103" s="49"/>
    </row>
    <row r="104" spans="1:8" x14ac:dyDescent="0.2">
      <c r="A104" s="48"/>
      <c r="B104" s="156" t="s">
        <v>107</v>
      </c>
      <c r="C104" s="157"/>
      <c r="D104" s="17" t="s">
        <v>106</v>
      </c>
      <c r="E104" s="50"/>
      <c r="F104" s="49"/>
      <c r="G104" s="49"/>
    </row>
    <row r="105" spans="1:8" x14ac:dyDescent="0.2">
      <c r="A105" s="48"/>
      <c r="B105" s="156" t="s">
        <v>108</v>
      </c>
      <c r="C105" s="157"/>
      <c r="D105" s="22" t="s">
        <v>12</v>
      </c>
      <c r="E105" s="50"/>
      <c r="F105" s="49"/>
      <c r="G105" s="49"/>
    </row>
    <row r="106" spans="1:8" x14ac:dyDescent="0.2">
      <c r="A106" s="51"/>
      <c r="B106" s="52" t="s">
        <v>12</v>
      </c>
      <c r="C106" s="52" t="s">
        <v>573</v>
      </c>
      <c r="D106" s="52" t="s">
        <v>109</v>
      </c>
      <c r="E106" s="51"/>
      <c r="F106" s="51"/>
      <c r="G106" s="51"/>
      <c r="H106" s="53"/>
    </row>
    <row r="107" spans="1:8" x14ac:dyDescent="0.2">
      <c r="A107" s="51"/>
      <c r="B107" s="54" t="s">
        <v>110</v>
      </c>
      <c r="C107" s="55">
        <v>45657</v>
      </c>
      <c r="D107" s="55">
        <v>45672</v>
      </c>
      <c r="E107" s="51"/>
      <c r="F107" s="51"/>
      <c r="G107" s="51"/>
    </row>
    <row r="108" spans="1:8" x14ac:dyDescent="0.2">
      <c r="A108" s="56"/>
      <c r="B108" s="25" t="s">
        <v>111</v>
      </c>
      <c r="C108" s="57">
        <v>41.733600000000003</v>
      </c>
      <c r="D108" s="57">
        <v>41.771799999999999</v>
      </c>
      <c r="E108" s="56"/>
      <c r="F108" s="58"/>
      <c r="G108" s="59"/>
    </row>
    <row r="109" spans="1:8" x14ac:dyDescent="0.2">
      <c r="A109" s="56"/>
      <c r="B109" s="25" t="s">
        <v>136</v>
      </c>
      <c r="C109" s="57">
        <v>20.878</v>
      </c>
      <c r="D109" s="57">
        <v>20.897099999999998</v>
      </c>
      <c r="E109" s="56"/>
      <c r="F109" s="58"/>
      <c r="G109" s="59"/>
    </row>
    <row r="110" spans="1:8" ht="25.5" x14ac:dyDescent="0.2">
      <c r="A110" s="56"/>
      <c r="B110" s="25" t="s">
        <v>695</v>
      </c>
      <c r="C110" s="57">
        <v>11.5281</v>
      </c>
      <c r="D110" s="57">
        <v>11.538600000000001</v>
      </c>
      <c r="E110" s="56"/>
      <c r="F110" s="58"/>
      <c r="G110" s="59"/>
    </row>
    <row r="111" spans="1:8" x14ac:dyDescent="0.2">
      <c r="A111" s="56"/>
      <c r="B111" s="25" t="s">
        <v>112</v>
      </c>
      <c r="C111" s="57">
        <v>41.178699999999999</v>
      </c>
      <c r="D111" s="57">
        <v>41.214199999999998</v>
      </c>
      <c r="E111" s="56"/>
      <c r="F111" s="58"/>
      <c r="G111" s="59"/>
    </row>
    <row r="112" spans="1:8" x14ac:dyDescent="0.2">
      <c r="A112" s="56"/>
      <c r="B112" s="25" t="s">
        <v>137</v>
      </c>
      <c r="C112" s="57">
        <v>20.7653</v>
      </c>
      <c r="D112" s="57">
        <v>20.783100000000001</v>
      </c>
      <c r="E112" s="56"/>
      <c r="F112" s="58"/>
      <c r="G112" s="59"/>
    </row>
    <row r="113" spans="1:15" ht="25.5" x14ac:dyDescent="0.2">
      <c r="A113" s="56"/>
      <c r="B113" s="25" t="s">
        <v>699</v>
      </c>
      <c r="C113" s="57">
        <v>11.5806</v>
      </c>
      <c r="D113" s="57">
        <v>11.5905</v>
      </c>
      <c r="E113" s="56"/>
      <c r="F113" s="58"/>
      <c r="G113" s="59"/>
    </row>
    <row r="114" spans="1:15" x14ac:dyDescent="0.2">
      <c r="A114" s="56"/>
      <c r="B114" s="56"/>
      <c r="C114" s="56"/>
      <c r="D114" s="56"/>
      <c r="E114" s="56"/>
      <c r="F114" s="56"/>
      <c r="G114" s="56"/>
    </row>
    <row r="115" spans="1:15" x14ac:dyDescent="0.2">
      <c r="A115" s="56"/>
      <c r="B115" s="156" t="s">
        <v>702</v>
      </c>
      <c r="C115" s="157"/>
      <c r="D115" s="33" t="s">
        <v>106</v>
      </c>
      <c r="E115" s="56"/>
      <c r="F115" s="56"/>
      <c r="G115" s="56"/>
    </row>
    <row r="116" spans="1:15" x14ac:dyDescent="0.2">
      <c r="A116" s="56"/>
      <c r="B116" s="60"/>
      <c r="C116" s="60"/>
      <c r="D116" s="60"/>
      <c r="E116" s="56"/>
      <c r="F116" s="56"/>
      <c r="G116" s="56"/>
    </row>
    <row r="117" spans="1:15" s="62" customFormat="1" x14ac:dyDescent="0.2">
      <c r="A117" s="72"/>
      <c r="B117" s="158" t="s">
        <v>588</v>
      </c>
      <c r="C117" s="159"/>
      <c r="D117" s="33" t="s">
        <v>106</v>
      </c>
      <c r="E117" s="72"/>
      <c r="F117" s="47"/>
      <c r="G117" s="72"/>
      <c r="I117"/>
      <c r="J117"/>
      <c r="K117" s="35"/>
      <c r="L117" s="35"/>
      <c r="M117" s="35"/>
      <c r="N117" s="35"/>
      <c r="O117" s="68"/>
    </row>
    <row r="118" spans="1:15" x14ac:dyDescent="0.2">
      <c r="A118" s="51"/>
      <c r="B118" s="158" t="s">
        <v>589</v>
      </c>
      <c r="C118" s="159"/>
      <c r="D118" s="33" t="s">
        <v>106</v>
      </c>
      <c r="E118" s="61"/>
      <c r="F118" s="51"/>
      <c r="G118" s="51"/>
    </row>
    <row r="119" spans="1:15" x14ac:dyDescent="0.2">
      <c r="A119" s="51"/>
      <c r="B119" s="158" t="s">
        <v>590</v>
      </c>
      <c r="C119" s="159"/>
      <c r="D119" s="33" t="s">
        <v>106</v>
      </c>
      <c r="E119" s="61"/>
      <c r="F119" s="51"/>
      <c r="G119" s="51"/>
    </row>
    <row r="120" spans="1:15" x14ac:dyDescent="0.2">
      <c r="A120" s="51"/>
      <c r="B120" s="158" t="s">
        <v>591</v>
      </c>
      <c r="C120" s="159"/>
      <c r="D120" s="33" t="s">
        <v>106</v>
      </c>
      <c r="E120" s="61"/>
      <c r="F120" s="51"/>
      <c r="G120" s="51"/>
    </row>
    <row r="121" spans="1:15" x14ac:dyDescent="0.2">
      <c r="A121" s="60"/>
      <c r="B121" s="60"/>
      <c r="C121" s="60"/>
      <c r="D121" s="60"/>
      <c r="E121" s="60"/>
      <c r="F121" s="60"/>
      <c r="G121" s="60"/>
    </row>
    <row r="122" spans="1:15" s="62" customFormat="1" x14ac:dyDescent="0.2">
      <c r="B122" s="160" t="s">
        <v>575</v>
      </c>
      <c r="C122" s="161"/>
      <c r="D122" s="162"/>
      <c r="I122"/>
      <c r="J122" s="15"/>
      <c r="K122" s="35"/>
      <c r="L122" s="35"/>
      <c r="M122" s="35"/>
      <c r="N122" s="35"/>
      <c r="O122" s="68"/>
    </row>
    <row r="123" spans="1:15" s="62" customFormat="1" ht="25.5" x14ac:dyDescent="0.2">
      <c r="B123" s="152" t="s">
        <v>576</v>
      </c>
      <c r="C123" s="152"/>
      <c r="D123" s="63" t="s">
        <v>115</v>
      </c>
      <c r="I123"/>
      <c r="J123" s="15"/>
      <c r="K123" s="35"/>
      <c r="L123" s="35"/>
      <c r="M123" s="35"/>
      <c r="N123" s="35"/>
      <c r="O123" s="68"/>
    </row>
    <row r="124" spans="1:15" s="62" customFormat="1" x14ac:dyDescent="0.2">
      <c r="B124" s="148" t="s">
        <v>577</v>
      </c>
      <c r="C124" s="148"/>
      <c r="D124" s="64"/>
      <c r="I124"/>
      <c r="J124" s="15"/>
      <c r="K124" s="35"/>
      <c r="L124" s="35"/>
      <c r="M124" s="35"/>
      <c r="N124" s="35"/>
      <c r="O124" s="68"/>
    </row>
    <row r="125" spans="1:15" s="62" customFormat="1" x14ac:dyDescent="0.2">
      <c r="B125" s="148"/>
      <c r="C125" s="148"/>
      <c r="D125" s="65"/>
      <c r="I125"/>
      <c r="J125"/>
      <c r="K125" s="35"/>
      <c r="L125" s="35"/>
      <c r="M125" s="35"/>
      <c r="N125" s="35"/>
      <c r="O125" s="68"/>
    </row>
    <row r="126" spans="1:15" s="62" customFormat="1" x14ac:dyDescent="0.2">
      <c r="B126" s="148" t="s">
        <v>578</v>
      </c>
      <c r="C126" s="148"/>
      <c r="D126" s="66">
        <v>7.3475209994407233</v>
      </c>
      <c r="I126"/>
      <c r="J126"/>
      <c r="K126" s="35"/>
      <c r="L126" s="35"/>
      <c r="M126" s="35"/>
      <c r="N126" s="35"/>
      <c r="O126" s="68"/>
    </row>
    <row r="127" spans="1:15" s="62" customFormat="1" x14ac:dyDescent="0.2">
      <c r="B127" s="148"/>
      <c r="C127" s="148"/>
      <c r="D127" s="65"/>
      <c r="I127"/>
      <c r="J127" s="15"/>
      <c r="K127" s="35"/>
      <c r="L127" s="35"/>
      <c r="M127" s="35"/>
      <c r="N127" s="35"/>
      <c r="O127" s="68"/>
    </row>
    <row r="128" spans="1:15" s="62" customFormat="1" x14ac:dyDescent="0.2">
      <c r="B128" s="148" t="s">
        <v>579</v>
      </c>
      <c r="C128" s="148"/>
      <c r="D128" s="66">
        <v>3.2196400337531483</v>
      </c>
      <c r="I128"/>
      <c r="J128" s="15"/>
      <c r="K128" s="35"/>
      <c r="L128" s="35"/>
      <c r="M128" s="35"/>
      <c r="N128" s="35"/>
      <c r="O128" s="68"/>
    </row>
    <row r="129" spans="2:18" s="62" customFormat="1" x14ac:dyDescent="0.2">
      <c r="B129" s="148" t="s">
        <v>580</v>
      </c>
      <c r="C129" s="148"/>
      <c r="D129" s="66">
        <v>4.2033163104375264</v>
      </c>
      <c r="I129"/>
      <c r="J129" s="15"/>
      <c r="K129" s="35"/>
      <c r="L129" s="35"/>
      <c r="M129" s="35"/>
      <c r="N129" s="35"/>
      <c r="O129" s="68"/>
    </row>
    <row r="130" spans="2:18" s="62" customFormat="1" x14ac:dyDescent="0.2">
      <c r="B130" s="148"/>
      <c r="C130" s="148"/>
      <c r="D130" s="65"/>
      <c r="I130"/>
      <c r="J130" s="15"/>
      <c r="K130" s="35"/>
      <c r="L130" s="35"/>
      <c r="M130" s="35"/>
      <c r="N130" s="35"/>
      <c r="O130" s="68"/>
      <c r="R130"/>
    </row>
    <row r="131" spans="2:18" s="62" customFormat="1" x14ac:dyDescent="0.2">
      <c r="B131" s="148" t="s">
        <v>581</v>
      </c>
      <c r="C131" s="148"/>
      <c r="D131" s="67" t="s">
        <v>690</v>
      </c>
      <c r="I131"/>
      <c r="J131" s="15"/>
      <c r="K131" s="35"/>
      <c r="L131" s="35"/>
      <c r="M131" s="35"/>
      <c r="N131" s="35"/>
      <c r="O131" s="68"/>
    </row>
    <row r="132" spans="2:18" s="62" customFormat="1" x14ac:dyDescent="0.2">
      <c r="B132" s="146" t="s">
        <v>582</v>
      </c>
      <c r="C132" s="149"/>
      <c r="D132" s="147"/>
      <c r="I132"/>
      <c r="J132" s="15"/>
      <c r="K132" s="35"/>
      <c r="L132" s="35"/>
      <c r="M132" s="35"/>
      <c r="N132" s="35"/>
      <c r="O132" s="68"/>
      <c r="R132"/>
    </row>
    <row r="133" spans="2:18" x14ac:dyDescent="0.2">
      <c r="J133" s="15"/>
    </row>
    <row r="134" spans="2:18" x14ac:dyDescent="0.2">
      <c r="B134" s="69" t="s">
        <v>583</v>
      </c>
    </row>
    <row r="136" spans="2:18" ht="153.75" customHeight="1" x14ac:dyDescent="0.2"/>
    <row r="139" spans="2:18" x14ac:dyDescent="0.2">
      <c r="B139" s="70" t="s">
        <v>584</v>
      </c>
      <c r="C139" s="71"/>
      <c r="D139" s="70" t="s">
        <v>585</v>
      </c>
    </row>
    <row r="140" spans="2:18" x14ac:dyDescent="0.2">
      <c r="B140" s="70" t="s">
        <v>592</v>
      </c>
      <c r="D140" s="70" t="s">
        <v>593</v>
      </c>
    </row>
    <row r="141" spans="2:18" ht="165" customHeight="1" x14ac:dyDescent="0.2"/>
    <row r="142" spans="2:18" x14ac:dyDescent="0.2">
      <c r="J142" s="15"/>
    </row>
    <row r="143" spans="2:18" x14ac:dyDescent="0.2">
      <c r="J143" s="15"/>
    </row>
    <row r="144" spans="2:18" x14ac:dyDescent="0.2">
      <c r="J144" s="15"/>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sheetData>
  <mergeCells count="26">
    <mergeCell ref="B120:C120"/>
    <mergeCell ref="B123:C123"/>
    <mergeCell ref="B124:C124"/>
    <mergeCell ref="B122:D122"/>
    <mergeCell ref="B119:C119"/>
    <mergeCell ref="A1:H1"/>
    <mergeCell ref="A2:H2"/>
    <mergeCell ref="A3:H3"/>
    <mergeCell ref="B98:H98"/>
    <mergeCell ref="B99:H99"/>
    <mergeCell ref="B100:H100"/>
    <mergeCell ref="B117:C117"/>
    <mergeCell ref="B118:C118"/>
    <mergeCell ref="B102:D102"/>
    <mergeCell ref="B103:C103"/>
    <mergeCell ref="B104:C104"/>
    <mergeCell ref="B105:C105"/>
    <mergeCell ref="B115:C115"/>
    <mergeCell ref="B130:C130"/>
    <mergeCell ref="B131:C131"/>
    <mergeCell ref="B132:D132"/>
    <mergeCell ref="B125:C125"/>
    <mergeCell ref="B126:C126"/>
    <mergeCell ref="B127:C127"/>
    <mergeCell ref="B128:C128"/>
    <mergeCell ref="B129:C129"/>
  </mergeCells>
  <hyperlinks>
    <hyperlink ref="I1" location="Index!B2" display="Index" xr:uid="{0C7E9BD8-57A7-426A-86F7-41C6FA5C0C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15D4-30FA-427B-91D8-1A012655FF78}">
  <sheetPr>
    <outlinePr summaryBelow="0" summaryRight="0"/>
  </sheetPr>
  <dimension ref="A1:Q154"/>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3.85546875" bestFit="1" customWidth="1"/>
    <col min="4" max="4" width="10.7109375" bestFit="1" customWidth="1"/>
    <col min="5" max="5" width="9.42578125" bestFit="1" customWidth="1"/>
    <col min="6" max="6" width="10.140625" bestFit="1" customWidth="1"/>
    <col min="7" max="7" width="14" bestFit="1" customWidth="1"/>
    <col min="8" max="8" width="7.28515625"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138</v>
      </c>
      <c r="B2" s="150"/>
      <c r="C2" s="150"/>
      <c r="D2" s="150"/>
      <c r="E2" s="150"/>
      <c r="F2" s="150"/>
      <c r="G2" s="150"/>
      <c r="H2" s="150"/>
    </row>
    <row r="3" spans="1:9" ht="15" customHeight="1"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594</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71</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72</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86</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87</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88</v>
      </c>
      <c r="D41" s="16"/>
      <c r="E41" s="16"/>
      <c r="F41" s="22"/>
      <c r="G41" s="22"/>
      <c r="H41" s="18" t="s">
        <v>12</v>
      </c>
    </row>
    <row r="42" spans="1:8" x14ac:dyDescent="0.2">
      <c r="A42" s="16"/>
      <c r="B42" s="16"/>
      <c r="C42" s="17" t="s">
        <v>89</v>
      </c>
      <c r="D42" s="16"/>
      <c r="E42" s="16"/>
      <c r="F42" s="22"/>
      <c r="G42" s="22"/>
      <c r="H42" s="18" t="s">
        <v>12</v>
      </c>
    </row>
    <row r="43" spans="1:8" ht="25.5" x14ac:dyDescent="0.2">
      <c r="A43" s="24">
        <v>1</v>
      </c>
      <c r="B43" s="25" t="s">
        <v>139</v>
      </c>
      <c r="C43" s="25" t="s">
        <v>140</v>
      </c>
      <c r="D43" s="25" t="s">
        <v>141</v>
      </c>
      <c r="E43" s="26">
        <v>500</v>
      </c>
      <c r="F43" s="27">
        <v>2472.9825000000001</v>
      </c>
      <c r="G43" s="28">
        <v>4.160759E-2</v>
      </c>
      <c r="H43" s="18">
        <v>7.25</v>
      </c>
    </row>
    <row r="44" spans="1:8" x14ac:dyDescent="0.2">
      <c r="A44" s="24">
        <v>2</v>
      </c>
      <c r="B44" s="25" t="s">
        <v>142</v>
      </c>
      <c r="C44" s="25" t="s">
        <v>143</v>
      </c>
      <c r="D44" s="25" t="s">
        <v>144</v>
      </c>
      <c r="E44" s="26">
        <v>500</v>
      </c>
      <c r="F44" s="27">
        <v>2470.6774999999998</v>
      </c>
      <c r="G44" s="28">
        <v>4.1568800000000003E-2</v>
      </c>
      <c r="H44" s="18">
        <v>7.22</v>
      </c>
    </row>
    <row r="45" spans="1:8" x14ac:dyDescent="0.2">
      <c r="A45" s="24">
        <v>3</v>
      </c>
      <c r="B45" s="25" t="s">
        <v>145</v>
      </c>
      <c r="C45" s="25" t="s">
        <v>146</v>
      </c>
      <c r="D45" s="25" t="s">
        <v>147</v>
      </c>
      <c r="E45" s="26">
        <v>500</v>
      </c>
      <c r="F45" s="27">
        <v>2440.1725000000001</v>
      </c>
      <c r="G45" s="28">
        <v>4.1055559999999998E-2</v>
      </c>
      <c r="H45" s="18">
        <v>7.5201000000000002</v>
      </c>
    </row>
    <row r="46" spans="1:8" ht="25.5" x14ac:dyDescent="0.2">
      <c r="A46" s="24">
        <v>4</v>
      </c>
      <c r="B46" s="25" t="s">
        <v>148</v>
      </c>
      <c r="C46" s="25" t="s">
        <v>149</v>
      </c>
      <c r="D46" s="25" t="s">
        <v>141</v>
      </c>
      <c r="E46" s="26">
        <v>500</v>
      </c>
      <c r="F46" s="27">
        <v>2350.7725</v>
      </c>
      <c r="G46" s="28">
        <v>3.9551419999999997E-2</v>
      </c>
      <c r="H46" s="18">
        <v>8.1300000000000008</v>
      </c>
    </row>
    <row r="47" spans="1:8" x14ac:dyDescent="0.2">
      <c r="A47" s="24">
        <v>5</v>
      </c>
      <c r="B47" s="25" t="s">
        <v>150</v>
      </c>
      <c r="C47" s="25" t="s">
        <v>151</v>
      </c>
      <c r="D47" s="25" t="s">
        <v>141</v>
      </c>
      <c r="E47" s="26">
        <v>500</v>
      </c>
      <c r="F47" s="27">
        <v>2344.1125000000002</v>
      </c>
      <c r="G47" s="28">
        <v>3.9439370000000001E-2</v>
      </c>
      <c r="H47" s="18">
        <v>7.7549999999999999</v>
      </c>
    </row>
    <row r="48" spans="1:8" x14ac:dyDescent="0.2">
      <c r="A48" s="24">
        <v>6</v>
      </c>
      <c r="B48" s="25" t="s">
        <v>152</v>
      </c>
      <c r="C48" s="25" t="s">
        <v>153</v>
      </c>
      <c r="D48" s="25" t="s">
        <v>141</v>
      </c>
      <c r="E48" s="26">
        <v>500</v>
      </c>
      <c r="F48" s="27">
        <v>2343.1875</v>
      </c>
      <c r="G48" s="28">
        <v>3.9423800000000002E-2</v>
      </c>
      <c r="H48" s="18">
        <v>7.73</v>
      </c>
    </row>
    <row r="49" spans="1:8" x14ac:dyDescent="0.2">
      <c r="A49" s="24">
        <v>7</v>
      </c>
      <c r="B49" s="25" t="s">
        <v>154</v>
      </c>
      <c r="C49" s="25" t="s">
        <v>155</v>
      </c>
      <c r="D49" s="25" t="s">
        <v>141</v>
      </c>
      <c r="E49" s="26">
        <v>500</v>
      </c>
      <c r="F49" s="27">
        <v>2340.9825000000001</v>
      </c>
      <c r="G49" s="28">
        <v>3.9386699999999997E-2</v>
      </c>
      <c r="H49" s="18">
        <v>7.7</v>
      </c>
    </row>
    <row r="50" spans="1:8" ht="25.5" x14ac:dyDescent="0.2">
      <c r="A50" s="24">
        <v>8</v>
      </c>
      <c r="B50" s="25" t="s">
        <v>156</v>
      </c>
      <c r="C50" s="25" t="s">
        <v>157</v>
      </c>
      <c r="D50" s="25" t="s">
        <v>141</v>
      </c>
      <c r="E50" s="26">
        <v>500</v>
      </c>
      <c r="F50" s="27">
        <v>2340.5675000000001</v>
      </c>
      <c r="G50" s="28">
        <v>3.937972E-2</v>
      </c>
      <c r="H50" s="18">
        <v>7.6974999999999998</v>
      </c>
    </row>
    <row r="51" spans="1:8" x14ac:dyDescent="0.2">
      <c r="A51" s="24">
        <v>9</v>
      </c>
      <c r="B51" s="25" t="s">
        <v>158</v>
      </c>
      <c r="C51" s="25" t="s">
        <v>159</v>
      </c>
      <c r="D51" s="25" t="s">
        <v>141</v>
      </c>
      <c r="E51" s="26">
        <v>500</v>
      </c>
      <c r="F51" s="27">
        <v>2338.6774999999998</v>
      </c>
      <c r="G51" s="28">
        <v>3.9347920000000002E-2</v>
      </c>
      <c r="H51" s="18">
        <v>7.7950999999999997</v>
      </c>
    </row>
    <row r="52" spans="1:8" x14ac:dyDescent="0.2">
      <c r="A52" s="24">
        <v>10</v>
      </c>
      <c r="B52" s="25" t="s">
        <v>160</v>
      </c>
      <c r="C52" s="25" t="s">
        <v>161</v>
      </c>
      <c r="D52" s="25" t="s">
        <v>141</v>
      </c>
      <c r="E52" s="26">
        <v>400</v>
      </c>
      <c r="F52" s="27">
        <v>1946.2260000000001</v>
      </c>
      <c r="G52" s="28">
        <v>3.274498E-2</v>
      </c>
      <c r="H52" s="18">
        <v>7.6401000000000003</v>
      </c>
    </row>
    <row r="53" spans="1:8" x14ac:dyDescent="0.2">
      <c r="A53" s="24">
        <v>11</v>
      </c>
      <c r="B53" s="25" t="s">
        <v>162</v>
      </c>
      <c r="C53" s="25" t="s">
        <v>163</v>
      </c>
      <c r="D53" s="25" t="s">
        <v>141</v>
      </c>
      <c r="E53" s="26">
        <v>300</v>
      </c>
      <c r="F53" s="27">
        <v>1481.4870000000001</v>
      </c>
      <c r="G53" s="28">
        <v>2.492581E-2</v>
      </c>
      <c r="H53" s="18">
        <v>7.24</v>
      </c>
    </row>
    <row r="54" spans="1:8" x14ac:dyDescent="0.2">
      <c r="A54" s="24">
        <v>12</v>
      </c>
      <c r="B54" s="25" t="s">
        <v>164</v>
      </c>
      <c r="C54" s="25" t="s">
        <v>165</v>
      </c>
      <c r="D54" s="25" t="s">
        <v>141</v>
      </c>
      <c r="E54" s="26">
        <v>300</v>
      </c>
      <c r="F54" s="27">
        <v>1480.29</v>
      </c>
      <c r="G54" s="28">
        <v>2.4905670000000001E-2</v>
      </c>
      <c r="H54" s="18">
        <v>7.2538999999999998</v>
      </c>
    </row>
    <row r="55" spans="1:8" x14ac:dyDescent="0.2">
      <c r="A55" s="24">
        <v>13</v>
      </c>
      <c r="B55" s="25" t="s">
        <v>166</v>
      </c>
      <c r="C55" s="25" t="s">
        <v>167</v>
      </c>
      <c r="D55" s="25" t="s">
        <v>141</v>
      </c>
      <c r="E55" s="26">
        <v>300</v>
      </c>
      <c r="F55" s="27">
        <v>1461.5055</v>
      </c>
      <c r="G55" s="28">
        <v>2.4589630000000001E-2</v>
      </c>
      <c r="H55" s="18">
        <v>7.57</v>
      </c>
    </row>
    <row r="56" spans="1:8" x14ac:dyDescent="0.2">
      <c r="A56" s="24">
        <v>14</v>
      </c>
      <c r="B56" s="25" t="s">
        <v>168</v>
      </c>
      <c r="C56" s="25" t="s">
        <v>169</v>
      </c>
      <c r="D56" s="25" t="s">
        <v>141</v>
      </c>
      <c r="E56" s="26">
        <v>200</v>
      </c>
      <c r="F56" s="27">
        <v>990.12599999999998</v>
      </c>
      <c r="G56" s="28">
        <v>1.665873E-2</v>
      </c>
      <c r="H56" s="18">
        <v>7.2801</v>
      </c>
    </row>
    <row r="57" spans="1:8" x14ac:dyDescent="0.2">
      <c r="A57" s="24">
        <v>15</v>
      </c>
      <c r="B57" s="25" t="s">
        <v>170</v>
      </c>
      <c r="C57" s="25" t="s">
        <v>171</v>
      </c>
      <c r="D57" s="25" t="s">
        <v>141</v>
      </c>
      <c r="E57" s="26">
        <v>200</v>
      </c>
      <c r="F57" s="27">
        <v>986.27700000000004</v>
      </c>
      <c r="G57" s="28">
        <v>1.659397E-2</v>
      </c>
      <c r="H57" s="18">
        <v>7.2552000000000003</v>
      </c>
    </row>
    <row r="58" spans="1:8" x14ac:dyDescent="0.2">
      <c r="A58" s="24">
        <v>16</v>
      </c>
      <c r="B58" s="25" t="s">
        <v>172</v>
      </c>
      <c r="C58" s="25" t="s">
        <v>173</v>
      </c>
      <c r="D58" s="25" t="s">
        <v>141</v>
      </c>
      <c r="E58" s="26">
        <v>200</v>
      </c>
      <c r="F58" s="27">
        <v>938.09500000000003</v>
      </c>
      <c r="G58" s="28">
        <v>1.578332E-2</v>
      </c>
      <c r="H58" s="18">
        <v>7.7950999999999997</v>
      </c>
    </row>
    <row r="59" spans="1:8" x14ac:dyDescent="0.2">
      <c r="A59" s="24">
        <v>17</v>
      </c>
      <c r="B59" s="25" t="s">
        <v>174</v>
      </c>
      <c r="C59" s="25" t="s">
        <v>175</v>
      </c>
      <c r="D59" s="25" t="s">
        <v>141</v>
      </c>
      <c r="E59" s="26">
        <v>200</v>
      </c>
      <c r="F59" s="27">
        <v>935.15200000000004</v>
      </c>
      <c r="G59" s="28">
        <v>1.5733799999999999E-2</v>
      </c>
      <c r="H59" s="18">
        <v>7.67</v>
      </c>
    </row>
    <row r="60" spans="1:8" x14ac:dyDescent="0.2">
      <c r="A60" s="24">
        <v>18</v>
      </c>
      <c r="B60" s="25" t="s">
        <v>176</v>
      </c>
      <c r="C60" s="25" t="s">
        <v>177</v>
      </c>
      <c r="D60" s="25" t="s">
        <v>144</v>
      </c>
      <c r="E60" s="26">
        <v>160</v>
      </c>
      <c r="F60" s="27">
        <v>769.47839999999997</v>
      </c>
      <c r="G60" s="28">
        <v>1.294637E-2</v>
      </c>
      <c r="H60" s="18">
        <v>7.62</v>
      </c>
    </row>
    <row r="61" spans="1:8" x14ac:dyDescent="0.2">
      <c r="A61" s="24">
        <v>19</v>
      </c>
      <c r="B61" s="25" t="s">
        <v>178</v>
      </c>
      <c r="C61" s="25" t="s">
        <v>179</v>
      </c>
      <c r="D61" s="25" t="s">
        <v>141</v>
      </c>
      <c r="E61" s="26">
        <v>140</v>
      </c>
      <c r="F61" s="27">
        <v>694.97190000000001</v>
      </c>
      <c r="G61" s="28">
        <v>1.169281E-2</v>
      </c>
      <c r="H61" s="18">
        <v>7.3350999999999997</v>
      </c>
    </row>
    <row r="62" spans="1:8" x14ac:dyDescent="0.2">
      <c r="A62" s="24">
        <v>20</v>
      </c>
      <c r="B62" s="25" t="s">
        <v>180</v>
      </c>
      <c r="C62" s="25" t="s">
        <v>181</v>
      </c>
      <c r="D62" s="25" t="s">
        <v>141</v>
      </c>
      <c r="E62" s="26">
        <v>140</v>
      </c>
      <c r="F62" s="27">
        <v>694.58199999999999</v>
      </c>
      <c r="G62" s="28">
        <v>1.168625E-2</v>
      </c>
      <c r="H62" s="18">
        <v>7.3</v>
      </c>
    </row>
    <row r="63" spans="1:8" x14ac:dyDescent="0.2">
      <c r="A63" s="24">
        <v>21</v>
      </c>
      <c r="B63" s="25" t="s">
        <v>182</v>
      </c>
      <c r="C63" s="25" t="s">
        <v>183</v>
      </c>
      <c r="D63" s="25" t="s">
        <v>141</v>
      </c>
      <c r="E63" s="26">
        <v>100</v>
      </c>
      <c r="F63" s="27">
        <v>498.11200000000002</v>
      </c>
      <c r="G63" s="28">
        <v>8.3806699999999998E-3</v>
      </c>
      <c r="H63" s="18">
        <v>7.2826000000000004</v>
      </c>
    </row>
    <row r="64" spans="1:8" x14ac:dyDescent="0.2">
      <c r="A64" s="24">
        <v>22</v>
      </c>
      <c r="B64" s="25" t="s">
        <v>184</v>
      </c>
      <c r="C64" s="25" t="s">
        <v>185</v>
      </c>
      <c r="D64" s="25" t="s">
        <v>147</v>
      </c>
      <c r="E64" s="26">
        <v>100</v>
      </c>
      <c r="F64" s="27">
        <v>489.01799999999997</v>
      </c>
      <c r="G64" s="28">
        <v>8.2276599999999995E-3</v>
      </c>
      <c r="H64" s="18">
        <v>7.5201000000000002</v>
      </c>
    </row>
    <row r="65" spans="1:8" x14ac:dyDescent="0.2">
      <c r="A65" s="24">
        <v>23</v>
      </c>
      <c r="B65" s="25" t="s">
        <v>186</v>
      </c>
      <c r="C65" s="25" t="s">
        <v>187</v>
      </c>
      <c r="D65" s="25" t="s">
        <v>141</v>
      </c>
      <c r="E65" s="26">
        <v>100</v>
      </c>
      <c r="F65" s="27">
        <v>487.57850000000002</v>
      </c>
      <c r="G65" s="28">
        <v>8.2034399999999993E-3</v>
      </c>
      <c r="H65" s="18">
        <v>7.56</v>
      </c>
    </row>
    <row r="66" spans="1:8" x14ac:dyDescent="0.2">
      <c r="A66" s="24">
        <v>24</v>
      </c>
      <c r="B66" s="25" t="s">
        <v>188</v>
      </c>
      <c r="C66" s="25" t="s">
        <v>189</v>
      </c>
      <c r="D66" s="25" t="s">
        <v>141</v>
      </c>
      <c r="E66" s="26">
        <v>100</v>
      </c>
      <c r="F66" s="27">
        <v>484.01799999999997</v>
      </c>
      <c r="G66" s="28">
        <v>8.1435399999999995E-3</v>
      </c>
      <c r="H66" s="18">
        <v>7.5799000000000003</v>
      </c>
    </row>
    <row r="67" spans="1:8" x14ac:dyDescent="0.2">
      <c r="A67" s="16"/>
      <c r="B67" s="16"/>
      <c r="C67" s="17" t="s">
        <v>11</v>
      </c>
      <c r="D67" s="16"/>
      <c r="E67" s="16" t="s">
        <v>12</v>
      </c>
      <c r="F67" s="23">
        <v>35779.049800000001</v>
      </c>
      <c r="G67" s="20">
        <v>0.60197752999999998</v>
      </c>
      <c r="H67" s="18" t="s">
        <v>12</v>
      </c>
    </row>
    <row r="68" spans="1:8" x14ac:dyDescent="0.2">
      <c r="A68" s="16"/>
      <c r="B68" s="16"/>
      <c r="C68" s="21"/>
      <c r="D68" s="16"/>
      <c r="E68" s="16"/>
      <c r="F68" s="22"/>
      <c r="G68" s="22"/>
      <c r="H68" s="18" t="s">
        <v>12</v>
      </c>
    </row>
    <row r="69" spans="1:8" x14ac:dyDescent="0.2">
      <c r="A69" s="16"/>
      <c r="B69" s="16"/>
      <c r="C69" s="17" t="s">
        <v>90</v>
      </c>
      <c r="D69" s="16"/>
      <c r="E69" s="16"/>
      <c r="F69" s="22"/>
      <c r="G69" s="22"/>
      <c r="H69" s="18" t="s">
        <v>12</v>
      </c>
    </row>
    <row r="70" spans="1:8" ht="25.5" x14ac:dyDescent="0.2">
      <c r="A70" s="24">
        <v>1</v>
      </c>
      <c r="B70" s="25" t="s">
        <v>190</v>
      </c>
      <c r="C70" s="25" t="s">
        <v>191</v>
      </c>
      <c r="D70" s="25" t="s">
        <v>141</v>
      </c>
      <c r="E70" s="26">
        <v>500</v>
      </c>
      <c r="F70" s="27">
        <v>2493.02</v>
      </c>
      <c r="G70" s="28">
        <v>4.1944710000000003E-2</v>
      </c>
      <c r="H70" s="18">
        <v>7.86</v>
      </c>
    </row>
    <row r="71" spans="1:8" ht="25.5" x14ac:dyDescent="0.2">
      <c r="A71" s="24">
        <v>2</v>
      </c>
      <c r="B71" s="25" t="s">
        <v>192</v>
      </c>
      <c r="C71" s="25" t="s">
        <v>193</v>
      </c>
      <c r="D71" s="25" t="s">
        <v>141</v>
      </c>
      <c r="E71" s="26">
        <v>500</v>
      </c>
      <c r="F71" s="27">
        <v>2487.1374999999998</v>
      </c>
      <c r="G71" s="28">
        <v>4.1845739999999999E-2</v>
      </c>
      <c r="H71" s="18">
        <v>7.5500999999999996</v>
      </c>
    </row>
    <row r="72" spans="1:8" x14ac:dyDescent="0.2">
      <c r="A72" s="24">
        <v>3</v>
      </c>
      <c r="B72" s="25" t="s">
        <v>194</v>
      </c>
      <c r="C72" s="25" t="s">
        <v>195</v>
      </c>
      <c r="D72" s="25" t="s">
        <v>141</v>
      </c>
      <c r="E72" s="26">
        <v>500</v>
      </c>
      <c r="F72" s="27">
        <v>2354.0349999999999</v>
      </c>
      <c r="G72" s="28">
        <v>3.9606309999999999E-2</v>
      </c>
      <c r="H72" s="18">
        <v>8.2600999999999996</v>
      </c>
    </row>
    <row r="73" spans="1:8" ht="25.5" x14ac:dyDescent="0.2">
      <c r="A73" s="24">
        <v>4</v>
      </c>
      <c r="B73" s="25" t="s">
        <v>196</v>
      </c>
      <c r="C73" s="25" t="s">
        <v>197</v>
      </c>
      <c r="D73" s="25" t="s">
        <v>141</v>
      </c>
      <c r="E73" s="26">
        <v>300</v>
      </c>
      <c r="F73" s="27">
        <v>1450.251</v>
      </c>
      <c r="G73" s="28">
        <v>2.4400270000000002E-2</v>
      </c>
      <c r="H73" s="18">
        <v>8.2375000000000007</v>
      </c>
    </row>
    <row r="74" spans="1:8" x14ac:dyDescent="0.2">
      <c r="A74" s="24">
        <v>5</v>
      </c>
      <c r="B74" s="25" t="s">
        <v>198</v>
      </c>
      <c r="C74" s="25" t="s">
        <v>199</v>
      </c>
      <c r="D74" s="25" t="s">
        <v>141</v>
      </c>
      <c r="E74" s="26">
        <v>300</v>
      </c>
      <c r="F74" s="27">
        <v>1422.6510000000001</v>
      </c>
      <c r="G74" s="28">
        <v>2.39359E-2</v>
      </c>
      <c r="H74" s="18">
        <v>7.875</v>
      </c>
    </row>
    <row r="75" spans="1:8" x14ac:dyDescent="0.2">
      <c r="A75" s="24">
        <v>6</v>
      </c>
      <c r="B75" s="25" t="s">
        <v>200</v>
      </c>
      <c r="C75" s="25" t="s">
        <v>201</v>
      </c>
      <c r="D75" s="25" t="s">
        <v>141</v>
      </c>
      <c r="E75" s="26">
        <v>200</v>
      </c>
      <c r="F75" s="27">
        <v>992.46299999999997</v>
      </c>
      <c r="G75" s="28">
        <v>1.6698049999999999E-2</v>
      </c>
      <c r="H75" s="18">
        <v>7.6999000000000004</v>
      </c>
    </row>
    <row r="76" spans="1:8" x14ac:dyDescent="0.2">
      <c r="A76" s="24">
        <v>7</v>
      </c>
      <c r="B76" s="25" t="s">
        <v>202</v>
      </c>
      <c r="C76" s="25" t="s">
        <v>203</v>
      </c>
      <c r="D76" s="25" t="s">
        <v>141</v>
      </c>
      <c r="E76" s="26">
        <v>200</v>
      </c>
      <c r="F76" s="27">
        <v>987.37900000000002</v>
      </c>
      <c r="G76" s="28">
        <v>1.661251E-2</v>
      </c>
      <c r="H76" s="18">
        <v>7.29</v>
      </c>
    </row>
    <row r="77" spans="1:8" ht="25.5" x14ac:dyDescent="0.2">
      <c r="A77" s="24">
        <v>8</v>
      </c>
      <c r="B77" s="25" t="s">
        <v>204</v>
      </c>
      <c r="C77" s="25" t="s">
        <v>205</v>
      </c>
      <c r="D77" s="25" t="s">
        <v>141</v>
      </c>
      <c r="E77" s="26">
        <v>200</v>
      </c>
      <c r="F77" s="27">
        <v>986.86699999999996</v>
      </c>
      <c r="G77" s="28">
        <v>1.6603900000000001E-2</v>
      </c>
      <c r="H77" s="18">
        <v>7.2500999999999998</v>
      </c>
    </row>
    <row r="78" spans="1:8" ht="25.5" x14ac:dyDescent="0.2">
      <c r="A78" s="24">
        <v>9</v>
      </c>
      <c r="B78" s="25" t="s">
        <v>206</v>
      </c>
      <c r="C78" s="25" t="s">
        <v>207</v>
      </c>
      <c r="D78" s="25" t="s">
        <v>141</v>
      </c>
      <c r="E78" s="26">
        <v>200</v>
      </c>
      <c r="F78" s="27">
        <v>973.26700000000005</v>
      </c>
      <c r="G78" s="28">
        <v>1.637508E-2</v>
      </c>
      <c r="H78" s="18">
        <v>7.5951000000000004</v>
      </c>
    </row>
    <row r="79" spans="1:8" x14ac:dyDescent="0.2">
      <c r="A79" s="16"/>
      <c r="B79" s="16"/>
      <c r="C79" s="17" t="s">
        <v>11</v>
      </c>
      <c r="D79" s="16"/>
      <c r="E79" s="16" t="s">
        <v>12</v>
      </c>
      <c r="F79" s="23">
        <v>14147.0705</v>
      </c>
      <c r="G79" s="20">
        <v>0.23802247000000001</v>
      </c>
      <c r="H79" s="18" t="s">
        <v>12</v>
      </c>
    </row>
    <row r="80" spans="1:8" x14ac:dyDescent="0.2">
      <c r="A80" s="16"/>
      <c r="B80" s="16"/>
      <c r="C80" s="21"/>
      <c r="D80" s="16"/>
      <c r="E80" s="16"/>
      <c r="F80" s="22"/>
      <c r="G80" s="22"/>
      <c r="H80" s="18" t="s">
        <v>12</v>
      </c>
    </row>
    <row r="81" spans="1:8" x14ac:dyDescent="0.2">
      <c r="A81" s="16"/>
      <c r="B81" s="16"/>
      <c r="C81" s="17" t="s">
        <v>91</v>
      </c>
      <c r="D81" s="16"/>
      <c r="E81" s="16"/>
      <c r="F81" s="22"/>
      <c r="G81" s="22"/>
      <c r="H81" s="18" t="s">
        <v>12</v>
      </c>
    </row>
    <row r="82" spans="1:8" x14ac:dyDescent="0.2">
      <c r="A82" s="24">
        <v>1</v>
      </c>
      <c r="B82" s="25" t="s">
        <v>208</v>
      </c>
      <c r="C82" s="25" t="s">
        <v>209</v>
      </c>
      <c r="D82" s="25" t="s">
        <v>75</v>
      </c>
      <c r="E82" s="26">
        <v>2500000</v>
      </c>
      <c r="F82" s="27">
        <v>2453.2125000000001</v>
      </c>
      <c r="G82" s="28">
        <v>4.1274959999999999E-2</v>
      </c>
      <c r="H82" s="18">
        <v>6.63</v>
      </c>
    </row>
    <row r="83" spans="1:8" x14ac:dyDescent="0.2">
      <c r="A83" s="24">
        <v>2</v>
      </c>
      <c r="B83" s="25" t="s">
        <v>210</v>
      </c>
      <c r="C83" s="25" t="s">
        <v>211</v>
      </c>
      <c r="D83" s="25" t="s">
        <v>75</v>
      </c>
      <c r="E83" s="26">
        <v>1500000</v>
      </c>
      <c r="F83" s="27">
        <v>1464.6179999999999</v>
      </c>
      <c r="G83" s="28">
        <v>2.4641989999999999E-2</v>
      </c>
      <c r="H83" s="18">
        <v>6.63</v>
      </c>
    </row>
    <row r="84" spans="1:8" x14ac:dyDescent="0.2">
      <c r="A84" s="24">
        <v>3</v>
      </c>
      <c r="B84" s="25" t="s">
        <v>212</v>
      </c>
      <c r="C84" s="25" t="s">
        <v>213</v>
      </c>
      <c r="D84" s="25" t="s">
        <v>75</v>
      </c>
      <c r="E84" s="26">
        <v>1000000</v>
      </c>
      <c r="F84" s="27">
        <v>978.779</v>
      </c>
      <c r="G84" s="28">
        <v>1.6467820000000001E-2</v>
      </c>
      <c r="H84" s="18">
        <v>6.65</v>
      </c>
    </row>
    <row r="85" spans="1:8" x14ac:dyDescent="0.2">
      <c r="A85" s="16"/>
      <c r="B85" s="16"/>
      <c r="C85" s="17" t="s">
        <v>11</v>
      </c>
      <c r="D85" s="16"/>
      <c r="E85" s="16" t="s">
        <v>12</v>
      </c>
      <c r="F85" s="23">
        <v>4896.6094999999996</v>
      </c>
      <c r="G85" s="20">
        <v>8.2384769999999996E-2</v>
      </c>
      <c r="H85" s="18" t="s">
        <v>12</v>
      </c>
    </row>
    <row r="86" spans="1:8" x14ac:dyDescent="0.2">
      <c r="A86" s="16"/>
      <c r="B86" s="16"/>
      <c r="C86" s="21"/>
      <c r="D86" s="16"/>
      <c r="E86" s="16"/>
      <c r="F86" s="22"/>
      <c r="G86" s="22"/>
      <c r="H86" s="18" t="s">
        <v>12</v>
      </c>
    </row>
    <row r="87" spans="1:8" x14ac:dyDescent="0.2">
      <c r="A87" s="16"/>
      <c r="B87" s="16"/>
      <c r="C87" s="17" t="s">
        <v>92</v>
      </c>
      <c r="D87" s="16"/>
      <c r="E87" s="16"/>
      <c r="F87" s="22"/>
      <c r="G87" s="22"/>
      <c r="H87" s="18" t="s">
        <v>12</v>
      </c>
    </row>
    <row r="88" spans="1:8" x14ac:dyDescent="0.2">
      <c r="A88" s="24">
        <v>1</v>
      </c>
      <c r="B88" s="25"/>
      <c r="C88" s="25" t="s">
        <v>93</v>
      </c>
      <c r="D88" s="25"/>
      <c r="E88" s="29"/>
      <c r="F88" s="27">
        <v>4558.0388499979999</v>
      </c>
      <c r="G88" s="28">
        <v>7.6688370000000006E-2</v>
      </c>
      <c r="H88" s="18">
        <v>6.25</v>
      </c>
    </row>
    <row r="89" spans="1:8" x14ac:dyDescent="0.2">
      <c r="A89" s="16"/>
      <c r="B89" s="16"/>
      <c r="C89" s="17" t="s">
        <v>11</v>
      </c>
      <c r="D89" s="16"/>
      <c r="E89" s="16" t="s">
        <v>12</v>
      </c>
      <c r="F89" s="23">
        <v>4558.0388499979999</v>
      </c>
      <c r="G89" s="20">
        <v>7.6688370000000006E-2</v>
      </c>
      <c r="H89" s="18" t="s">
        <v>12</v>
      </c>
    </row>
    <row r="90" spans="1:8" x14ac:dyDescent="0.2">
      <c r="A90" s="16"/>
      <c r="B90" s="16"/>
      <c r="C90" s="21"/>
      <c r="D90" s="16"/>
      <c r="E90" s="16"/>
      <c r="F90" s="22"/>
      <c r="G90" s="22"/>
      <c r="H90" s="18" t="s">
        <v>12</v>
      </c>
    </row>
    <row r="91" spans="1:8" x14ac:dyDescent="0.2">
      <c r="A91" s="16"/>
      <c r="B91" s="16"/>
      <c r="C91" s="17" t="s">
        <v>94</v>
      </c>
      <c r="D91" s="16"/>
      <c r="E91" s="16"/>
      <c r="F91" s="23">
        <v>59380.768649997997</v>
      </c>
      <c r="G91" s="20">
        <v>0.99907314000000003</v>
      </c>
      <c r="H91" s="18" t="s">
        <v>12</v>
      </c>
    </row>
    <row r="92" spans="1:8" x14ac:dyDescent="0.2">
      <c r="A92" s="16"/>
      <c r="B92" s="16"/>
      <c r="C92" s="22"/>
      <c r="D92" s="16"/>
      <c r="E92" s="16"/>
      <c r="F92" s="16"/>
      <c r="G92" s="16"/>
      <c r="H92" s="18" t="s">
        <v>12</v>
      </c>
    </row>
    <row r="93" spans="1:8" x14ac:dyDescent="0.2">
      <c r="A93" s="16"/>
      <c r="B93" s="16"/>
      <c r="C93" s="17" t="s">
        <v>95</v>
      </c>
      <c r="D93" s="16"/>
      <c r="E93" s="16"/>
      <c r="F93" s="16"/>
      <c r="G93" s="16"/>
      <c r="H93" s="18" t="s">
        <v>12</v>
      </c>
    </row>
    <row r="94" spans="1:8" x14ac:dyDescent="0.2">
      <c r="A94" s="16"/>
      <c r="B94" s="16"/>
      <c r="C94" s="17" t="s">
        <v>96</v>
      </c>
      <c r="D94" s="16"/>
      <c r="E94" s="16"/>
      <c r="F94" s="16"/>
      <c r="G94" s="16"/>
      <c r="H94" s="18" t="s">
        <v>12</v>
      </c>
    </row>
    <row r="95" spans="1:8" x14ac:dyDescent="0.2">
      <c r="A95" s="16"/>
      <c r="B95" s="16"/>
      <c r="C95" s="17" t="s">
        <v>11</v>
      </c>
      <c r="D95" s="16"/>
      <c r="E95" s="16" t="s">
        <v>12</v>
      </c>
      <c r="F95" s="19" t="s">
        <v>13</v>
      </c>
      <c r="G95" s="20">
        <v>0</v>
      </c>
      <c r="H95" s="18" t="s">
        <v>12</v>
      </c>
    </row>
    <row r="96" spans="1:8" x14ac:dyDescent="0.2">
      <c r="A96" s="30"/>
      <c r="B96" s="30"/>
      <c r="C96" s="31"/>
      <c r="D96" s="30"/>
      <c r="E96" s="30"/>
      <c r="F96" s="32"/>
      <c r="G96" s="32"/>
      <c r="H96" s="18" t="s">
        <v>12</v>
      </c>
    </row>
    <row r="97" spans="1:17" ht="25.5" x14ac:dyDescent="0.2">
      <c r="A97" s="30"/>
      <c r="B97" s="30"/>
      <c r="C97" s="33" t="s">
        <v>569</v>
      </c>
      <c r="D97" s="30"/>
      <c r="E97" s="30"/>
      <c r="F97" s="32"/>
      <c r="G97" s="32"/>
      <c r="H97" s="34"/>
      <c r="K97" s="35"/>
      <c r="L97" s="35"/>
      <c r="M97" s="35"/>
      <c r="N97" s="35"/>
      <c r="O97" s="36"/>
      <c r="P97" s="36"/>
      <c r="Q97" s="36"/>
    </row>
    <row r="98" spans="1:17" ht="25.5" x14ac:dyDescent="0.2">
      <c r="A98" s="37">
        <v>1</v>
      </c>
      <c r="B98" s="38" t="s">
        <v>97</v>
      </c>
      <c r="C98" s="38" t="s">
        <v>98</v>
      </c>
      <c r="D98" s="38"/>
      <c r="E98" s="39">
        <v>1363.741</v>
      </c>
      <c r="F98" s="34">
        <v>148.28793639099999</v>
      </c>
      <c r="G98" s="40">
        <v>2.4949199999999999E-3</v>
      </c>
      <c r="H98" s="18"/>
    </row>
    <row r="99" spans="1:17" x14ac:dyDescent="0.2">
      <c r="A99" s="30"/>
      <c r="B99" s="30"/>
      <c r="C99" s="33" t="s">
        <v>11</v>
      </c>
      <c r="D99" s="30"/>
      <c r="E99" s="30" t="s">
        <v>12</v>
      </c>
      <c r="F99" s="41">
        <f>SUM(F98)</f>
        <v>148.28793639099999</v>
      </c>
      <c r="G99" s="42">
        <f>SUM(G98)</f>
        <v>2.4949199999999999E-3</v>
      </c>
      <c r="H99" s="18" t="s">
        <v>12</v>
      </c>
    </row>
    <row r="100" spans="1:17" x14ac:dyDescent="0.2">
      <c r="A100" s="16"/>
      <c r="B100" s="16"/>
      <c r="C100" s="21"/>
      <c r="D100" s="16"/>
      <c r="E100" s="16"/>
      <c r="F100" s="22"/>
      <c r="G100" s="22"/>
      <c r="H100" s="18" t="s">
        <v>12</v>
      </c>
    </row>
    <row r="101" spans="1:17" x14ac:dyDescent="0.2">
      <c r="A101" s="16"/>
      <c r="B101" s="16"/>
      <c r="C101" s="17" t="s">
        <v>99</v>
      </c>
      <c r="D101" s="16"/>
      <c r="E101" s="16"/>
      <c r="F101" s="16"/>
      <c r="G101" s="16"/>
      <c r="H101" s="18" t="s">
        <v>12</v>
      </c>
    </row>
    <row r="102" spans="1:17" x14ac:dyDescent="0.2">
      <c r="A102" s="16"/>
      <c r="B102" s="16"/>
      <c r="C102" s="17" t="s">
        <v>100</v>
      </c>
      <c r="D102" s="16"/>
      <c r="E102" s="16"/>
      <c r="F102" s="16"/>
      <c r="G102" s="16"/>
      <c r="H102" s="18" t="s">
        <v>12</v>
      </c>
    </row>
    <row r="103" spans="1:17" x14ac:dyDescent="0.2">
      <c r="A103" s="16"/>
      <c r="B103" s="16"/>
      <c r="C103" s="17" t="s">
        <v>11</v>
      </c>
      <c r="D103" s="16"/>
      <c r="E103" s="16" t="s">
        <v>12</v>
      </c>
      <c r="F103" s="19" t="s">
        <v>13</v>
      </c>
      <c r="G103" s="20">
        <v>0</v>
      </c>
      <c r="H103" s="18" t="s">
        <v>12</v>
      </c>
    </row>
    <row r="104" spans="1:17" x14ac:dyDescent="0.2">
      <c r="A104" s="16"/>
      <c r="B104" s="16"/>
      <c r="C104" s="21"/>
      <c r="D104" s="16"/>
      <c r="E104" s="16"/>
      <c r="F104" s="22"/>
      <c r="G104" s="22"/>
      <c r="H104" s="18" t="s">
        <v>12</v>
      </c>
    </row>
    <row r="105" spans="1:17" ht="25.5" x14ac:dyDescent="0.2">
      <c r="A105" s="16"/>
      <c r="B105" s="16"/>
      <c r="C105" s="17" t="s">
        <v>101</v>
      </c>
      <c r="D105" s="16"/>
      <c r="E105" s="16"/>
      <c r="F105" s="22"/>
      <c r="G105" s="22"/>
      <c r="H105" s="18" t="s">
        <v>12</v>
      </c>
    </row>
    <row r="106" spans="1:17" x14ac:dyDescent="0.2">
      <c r="A106" s="16"/>
      <c r="B106" s="16"/>
      <c r="C106" s="17" t="s">
        <v>11</v>
      </c>
      <c r="D106" s="16"/>
      <c r="E106" s="16" t="s">
        <v>12</v>
      </c>
      <c r="F106" s="19" t="s">
        <v>13</v>
      </c>
      <c r="G106" s="20">
        <v>0</v>
      </c>
      <c r="H106" s="18" t="s">
        <v>12</v>
      </c>
    </row>
    <row r="107" spans="1:17" x14ac:dyDescent="0.2">
      <c r="A107" s="16"/>
      <c r="B107" s="25"/>
      <c r="C107" s="25"/>
      <c r="D107" s="17"/>
      <c r="E107" s="16"/>
      <c r="F107" s="25"/>
      <c r="G107" s="29"/>
      <c r="H107" s="18" t="s">
        <v>12</v>
      </c>
    </row>
    <row r="108" spans="1:17" x14ac:dyDescent="0.2">
      <c r="A108" s="29"/>
      <c r="B108" s="25"/>
      <c r="C108" s="25" t="s">
        <v>102</v>
      </c>
      <c r="D108" s="25"/>
      <c r="E108" s="29"/>
      <c r="F108" s="27">
        <v>-93.198605130000004</v>
      </c>
      <c r="G108" s="28">
        <v>-1.5680500000000001E-3</v>
      </c>
      <c r="H108" s="18" t="s">
        <v>12</v>
      </c>
    </row>
    <row r="109" spans="1:17" x14ac:dyDescent="0.2">
      <c r="A109" s="21"/>
      <c r="B109" s="21"/>
      <c r="C109" s="17" t="s">
        <v>103</v>
      </c>
      <c r="D109" s="22"/>
      <c r="E109" s="22"/>
      <c r="F109" s="23">
        <v>59435.857981259003</v>
      </c>
      <c r="G109" s="43">
        <v>1.0000000099999999</v>
      </c>
      <c r="H109" s="18" t="s">
        <v>12</v>
      </c>
    </row>
    <row r="110" spans="1:17" x14ac:dyDescent="0.2">
      <c r="A110" s="44"/>
      <c r="B110" s="44"/>
      <c r="C110" s="44"/>
      <c r="D110" s="45"/>
      <c r="E110" s="45"/>
      <c r="F110" s="45"/>
      <c r="G110" s="45"/>
    </row>
    <row r="111" spans="1:17" x14ac:dyDescent="0.2">
      <c r="A111" s="46"/>
      <c r="B111" s="151" t="s">
        <v>570</v>
      </c>
      <c r="C111" s="151"/>
      <c r="D111" s="151"/>
      <c r="E111" s="151"/>
      <c r="F111" s="151"/>
      <c r="G111" s="151"/>
      <c r="H111" s="151"/>
    </row>
    <row r="112" spans="1:17" x14ac:dyDescent="0.2">
      <c r="A112" s="46"/>
      <c r="B112" s="151" t="s">
        <v>571</v>
      </c>
      <c r="C112" s="151"/>
      <c r="D112" s="151"/>
      <c r="E112" s="151"/>
      <c r="F112" s="151"/>
      <c r="G112" s="151"/>
      <c r="H112" s="151"/>
    </row>
    <row r="113" spans="1:8" x14ac:dyDescent="0.2">
      <c r="A113" s="46"/>
      <c r="B113" s="151" t="s">
        <v>572</v>
      </c>
      <c r="C113" s="151"/>
      <c r="D113" s="151"/>
      <c r="E113" s="151"/>
      <c r="F113" s="151"/>
      <c r="G113" s="151"/>
      <c r="H113" s="151"/>
    </row>
    <row r="114" spans="1:8" x14ac:dyDescent="0.2">
      <c r="A114" s="46"/>
      <c r="B114" s="166" t="s">
        <v>595</v>
      </c>
      <c r="C114" s="151"/>
      <c r="D114" s="151"/>
      <c r="E114" s="151"/>
      <c r="F114" s="151"/>
      <c r="G114" s="151"/>
      <c r="H114" s="151"/>
    </row>
    <row r="115" spans="1:8" x14ac:dyDescent="0.2">
      <c r="A115" s="48"/>
      <c r="B115" s="48"/>
      <c r="C115" s="48"/>
      <c r="D115" s="49"/>
      <c r="E115" s="49"/>
      <c r="F115" s="49"/>
      <c r="G115" s="49"/>
    </row>
    <row r="116" spans="1:8" x14ac:dyDescent="0.2">
      <c r="A116" s="48"/>
      <c r="B116" s="153" t="s">
        <v>104</v>
      </c>
      <c r="C116" s="154"/>
      <c r="D116" s="155"/>
      <c r="E116" s="50"/>
      <c r="F116" s="49"/>
      <c r="G116" s="49"/>
    </row>
    <row r="117" spans="1:8" x14ac:dyDescent="0.2">
      <c r="A117" s="48"/>
      <c r="B117" s="156" t="s">
        <v>105</v>
      </c>
      <c r="C117" s="157"/>
      <c r="D117" s="17" t="s">
        <v>106</v>
      </c>
      <c r="E117" s="50"/>
      <c r="F117" s="49"/>
      <c r="G117" s="49"/>
    </row>
    <row r="118" spans="1:8" x14ac:dyDescent="0.2">
      <c r="A118" s="48"/>
      <c r="B118" s="156" t="s">
        <v>107</v>
      </c>
      <c r="C118" s="157"/>
      <c r="D118" s="17" t="s">
        <v>106</v>
      </c>
      <c r="E118" s="50"/>
      <c r="F118" s="49"/>
      <c r="G118" s="49"/>
    </row>
    <row r="119" spans="1:8" x14ac:dyDescent="0.2">
      <c r="A119" s="48"/>
      <c r="B119" s="156" t="s">
        <v>108</v>
      </c>
      <c r="C119" s="157"/>
      <c r="D119" s="22" t="s">
        <v>12</v>
      </c>
      <c r="E119" s="50"/>
      <c r="F119" s="49"/>
      <c r="G119" s="49"/>
    </row>
    <row r="120" spans="1:8" x14ac:dyDescent="0.2">
      <c r="A120" s="51"/>
      <c r="B120" s="52" t="s">
        <v>12</v>
      </c>
      <c r="C120" s="52" t="s">
        <v>573</v>
      </c>
      <c r="D120" s="52" t="s">
        <v>109</v>
      </c>
      <c r="E120" s="51"/>
      <c r="F120" s="51"/>
      <c r="G120" s="51"/>
      <c r="H120" s="53"/>
    </row>
    <row r="121" spans="1:8" x14ac:dyDescent="0.2">
      <c r="A121" s="51"/>
      <c r="B121" s="54" t="s">
        <v>110</v>
      </c>
      <c r="C121" s="55">
        <v>45657</v>
      </c>
      <c r="D121" s="55">
        <v>45672</v>
      </c>
      <c r="E121" s="51"/>
      <c r="F121" s="51"/>
      <c r="G121" s="51"/>
    </row>
    <row r="122" spans="1:8" x14ac:dyDescent="0.2">
      <c r="A122" s="56"/>
      <c r="B122" s="25" t="s">
        <v>111</v>
      </c>
      <c r="C122" s="57">
        <v>14.5024</v>
      </c>
      <c r="D122" s="57">
        <v>14.5418</v>
      </c>
      <c r="E122" s="56"/>
      <c r="F122" s="58"/>
      <c r="G122" s="59"/>
    </row>
    <row r="123" spans="1:8" ht="25.5" x14ac:dyDescent="0.2">
      <c r="A123" s="56"/>
      <c r="B123" s="25" t="s">
        <v>695</v>
      </c>
      <c r="C123" s="57">
        <v>11.181900000000001</v>
      </c>
      <c r="D123" s="57">
        <v>11.212300000000001</v>
      </c>
      <c r="E123" s="56"/>
      <c r="F123" s="58"/>
      <c r="G123" s="59"/>
    </row>
    <row r="124" spans="1:8" ht="25.5" x14ac:dyDescent="0.2">
      <c r="A124" s="56"/>
      <c r="B124" s="25" t="s">
        <v>696</v>
      </c>
      <c r="C124" s="57">
        <v>12.479699999999999</v>
      </c>
      <c r="D124" s="57">
        <v>12.513500000000001</v>
      </c>
      <c r="E124" s="56"/>
      <c r="F124" s="58"/>
      <c r="G124" s="59"/>
    </row>
    <row r="125" spans="1:8" x14ac:dyDescent="0.2">
      <c r="A125" s="56"/>
      <c r="B125" s="25" t="s">
        <v>112</v>
      </c>
      <c r="C125" s="57">
        <v>14.4192</v>
      </c>
      <c r="D125" s="57">
        <v>14.457700000000001</v>
      </c>
      <c r="E125" s="56"/>
      <c r="F125" s="58"/>
      <c r="G125" s="59"/>
    </row>
    <row r="126" spans="1:8" ht="25.5" x14ac:dyDescent="0.2">
      <c r="A126" s="56"/>
      <c r="B126" s="25" t="s">
        <v>699</v>
      </c>
      <c r="C126" s="57">
        <v>11.1608</v>
      </c>
      <c r="D126" s="57">
        <v>11.1906</v>
      </c>
      <c r="E126" s="56"/>
      <c r="F126" s="58"/>
      <c r="G126" s="59"/>
    </row>
    <row r="127" spans="1:8" ht="25.5" x14ac:dyDescent="0.2">
      <c r="A127" s="56"/>
      <c r="B127" s="25" t="s">
        <v>665</v>
      </c>
      <c r="C127" s="57">
        <v>12.4062</v>
      </c>
      <c r="D127" s="57">
        <v>12.439399999999999</v>
      </c>
      <c r="E127" s="56"/>
      <c r="F127" s="58"/>
      <c r="G127" s="59"/>
    </row>
    <row r="128" spans="1:8" x14ac:dyDescent="0.2">
      <c r="A128" s="56"/>
      <c r="B128" s="56"/>
      <c r="C128" s="56"/>
      <c r="D128" s="56"/>
      <c r="E128" s="56"/>
      <c r="F128" s="56"/>
      <c r="G128" s="56"/>
    </row>
    <row r="129" spans="1:14" x14ac:dyDescent="0.2">
      <c r="A129" s="56"/>
      <c r="B129" s="156" t="s">
        <v>702</v>
      </c>
      <c r="C129" s="157"/>
      <c r="D129" s="33" t="s">
        <v>106</v>
      </c>
      <c r="E129" s="56"/>
      <c r="F129" s="56"/>
      <c r="G129" s="56"/>
    </row>
    <row r="130" spans="1:14" x14ac:dyDescent="0.2">
      <c r="A130" s="56"/>
      <c r="B130" s="60"/>
      <c r="C130" s="60"/>
      <c r="D130" s="60"/>
      <c r="E130" s="56"/>
      <c r="F130" s="56"/>
      <c r="G130" s="56"/>
    </row>
    <row r="131" spans="1:14" ht="29.25" customHeight="1" x14ac:dyDescent="0.2">
      <c r="A131" s="51"/>
      <c r="B131" s="158" t="s">
        <v>113</v>
      </c>
      <c r="C131" s="159"/>
      <c r="D131" s="33" t="s">
        <v>106</v>
      </c>
      <c r="E131" s="61"/>
      <c r="F131" s="51"/>
      <c r="G131" s="51"/>
    </row>
    <row r="132" spans="1:14" ht="25.5" customHeight="1" x14ac:dyDescent="0.2">
      <c r="A132" s="51"/>
      <c r="B132" s="158" t="s">
        <v>114</v>
      </c>
      <c r="C132" s="159"/>
      <c r="D132" s="33" t="s">
        <v>106</v>
      </c>
      <c r="E132" s="61"/>
      <c r="F132" s="51"/>
      <c r="G132" s="51"/>
    </row>
    <row r="133" spans="1:14" ht="26.25" customHeight="1" x14ac:dyDescent="0.2">
      <c r="A133" s="51"/>
      <c r="B133" s="158" t="s">
        <v>574</v>
      </c>
      <c r="C133" s="159"/>
      <c r="D133" s="33" t="s">
        <v>106</v>
      </c>
      <c r="E133" s="61"/>
      <c r="F133" s="51"/>
      <c r="G133" s="51"/>
    </row>
    <row r="134" spans="1:14" x14ac:dyDescent="0.2">
      <c r="A134" s="60"/>
      <c r="B134" s="60"/>
      <c r="C134" s="60"/>
      <c r="D134" s="60"/>
      <c r="E134" s="60"/>
      <c r="F134" s="60"/>
      <c r="G134" s="60"/>
    </row>
    <row r="135" spans="1:14" s="62" customFormat="1" x14ac:dyDescent="0.2">
      <c r="B135" s="160" t="s">
        <v>575</v>
      </c>
      <c r="C135" s="161"/>
      <c r="D135" s="162"/>
      <c r="I135"/>
      <c r="J135" s="35"/>
      <c r="K135" s="35"/>
      <c r="L135" s="35"/>
      <c r="M135" s="35"/>
      <c r="N135" s="68"/>
    </row>
    <row r="136" spans="1:14" s="62" customFormat="1" ht="51" x14ac:dyDescent="0.2">
      <c r="B136" s="164" t="s">
        <v>576</v>
      </c>
      <c r="C136" s="165"/>
      <c r="D136" s="63" t="s">
        <v>138</v>
      </c>
      <c r="I136"/>
      <c r="J136" s="35"/>
      <c r="K136" s="35"/>
      <c r="L136" s="35"/>
      <c r="M136" s="35"/>
      <c r="N136" s="68"/>
    </row>
    <row r="137" spans="1:14" s="62" customFormat="1" x14ac:dyDescent="0.2">
      <c r="B137" s="146" t="s">
        <v>577</v>
      </c>
      <c r="C137" s="147"/>
      <c r="D137" s="64"/>
      <c r="I137"/>
      <c r="J137" s="35"/>
      <c r="K137" s="35"/>
      <c r="L137" s="35"/>
      <c r="M137" s="35"/>
      <c r="N137" s="68"/>
    </row>
    <row r="138" spans="1:14" s="62" customFormat="1" x14ac:dyDescent="0.2">
      <c r="B138" s="146"/>
      <c r="C138" s="147"/>
      <c r="D138" s="65"/>
      <c r="I138"/>
      <c r="J138" s="35"/>
      <c r="K138" s="35"/>
      <c r="L138" s="35"/>
      <c r="M138" s="35"/>
      <c r="N138" s="68"/>
    </row>
    <row r="139" spans="1:14" s="62" customFormat="1" x14ac:dyDescent="0.2">
      <c r="B139" s="146" t="s">
        <v>578</v>
      </c>
      <c r="C139" s="163"/>
      <c r="D139" s="66">
        <v>7.4531093420007153</v>
      </c>
      <c r="I139"/>
      <c r="J139" s="35"/>
      <c r="K139" s="35"/>
      <c r="L139" s="35"/>
      <c r="M139" s="35"/>
      <c r="N139" s="68"/>
    </row>
    <row r="140" spans="1:14" s="62" customFormat="1" x14ac:dyDescent="0.2">
      <c r="B140" s="146"/>
      <c r="C140" s="147"/>
      <c r="D140" s="65"/>
      <c r="I140"/>
      <c r="J140" s="35"/>
      <c r="K140" s="35"/>
      <c r="L140" s="35"/>
      <c r="M140" s="35"/>
      <c r="N140" s="68"/>
    </row>
    <row r="141" spans="1:14" s="62" customFormat="1" x14ac:dyDescent="0.2">
      <c r="B141" s="146" t="s">
        <v>579</v>
      </c>
      <c r="C141" s="163"/>
      <c r="D141" s="66">
        <v>0.41426988008446436</v>
      </c>
      <c r="I141"/>
      <c r="J141" s="35"/>
      <c r="K141" s="35"/>
      <c r="L141" s="35"/>
      <c r="M141" s="35"/>
      <c r="N141" s="68"/>
    </row>
    <row r="142" spans="1:14" s="62" customFormat="1" x14ac:dyDescent="0.2">
      <c r="B142" s="146" t="s">
        <v>580</v>
      </c>
      <c r="C142" s="163"/>
      <c r="D142" s="66">
        <v>0.41361968036013463</v>
      </c>
      <c r="I142"/>
      <c r="J142" s="35"/>
      <c r="K142" s="35"/>
      <c r="L142" s="35"/>
      <c r="M142" s="35"/>
      <c r="N142" s="68"/>
    </row>
    <row r="143" spans="1:14" s="62" customFormat="1" x14ac:dyDescent="0.2">
      <c r="B143" s="146"/>
      <c r="C143" s="147"/>
      <c r="D143" s="65"/>
      <c r="I143"/>
      <c r="J143" s="35"/>
      <c r="K143" s="35"/>
      <c r="L143" s="35"/>
      <c r="M143" s="35"/>
      <c r="N143" s="68"/>
    </row>
    <row r="144" spans="1:14" s="62" customFormat="1" x14ac:dyDescent="0.2">
      <c r="B144" s="148" t="s">
        <v>581</v>
      </c>
      <c r="C144" s="148"/>
      <c r="D144" s="67" t="s">
        <v>690</v>
      </c>
      <c r="I144"/>
      <c r="J144" s="35"/>
      <c r="K144" s="35"/>
      <c r="L144" s="35"/>
      <c r="M144" s="35"/>
      <c r="N144" s="68"/>
    </row>
    <row r="145" spans="2:16" s="62" customFormat="1" x14ac:dyDescent="0.2">
      <c r="B145" s="146" t="s">
        <v>582</v>
      </c>
      <c r="C145" s="149"/>
      <c r="D145" s="147"/>
      <c r="I145"/>
      <c r="J145" s="35"/>
      <c r="K145" s="35"/>
      <c r="L145" s="35"/>
      <c r="M145" s="35"/>
      <c r="N145" s="68"/>
      <c r="O145"/>
      <c r="P145"/>
    </row>
    <row r="147" spans="2:16" ht="25.5" x14ac:dyDescent="0.2">
      <c r="B147" s="69" t="s">
        <v>583</v>
      </c>
    </row>
    <row r="149" spans="2:16" ht="153.75" customHeight="1" x14ac:dyDescent="0.2"/>
    <row r="152" spans="2:16" x14ac:dyDescent="0.2">
      <c r="B152" s="70" t="s">
        <v>584</v>
      </c>
      <c r="C152" s="71"/>
      <c r="D152" s="70" t="s">
        <v>585</v>
      </c>
    </row>
    <row r="153" spans="2:16" x14ac:dyDescent="0.2">
      <c r="B153" s="70" t="s">
        <v>596</v>
      </c>
      <c r="D153" s="70" t="s">
        <v>597</v>
      </c>
    </row>
    <row r="154" spans="2:16" ht="165" customHeight="1" x14ac:dyDescent="0.2"/>
  </sheetData>
  <mergeCells count="26">
    <mergeCell ref="B113:H113"/>
    <mergeCell ref="B136:C136"/>
    <mergeCell ref="B137:C137"/>
    <mergeCell ref="B116:D116"/>
    <mergeCell ref="B117:C117"/>
    <mergeCell ref="B118:C118"/>
    <mergeCell ref="B119:C119"/>
    <mergeCell ref="B129:C129"/>
    <mergeCell ref="B133:C133"/>
    <mergeCell ref="B114:H114"/>
    <mergeCell ref="B131:C131"/>
    <mergeCell ref="B132:C132"/>
    <mergeCell ref="B135:D135"/>
    <mergeCell ref="A1:H1"/>
    <mergeCell ref="A2:H2"/>
    <mergeCell ref="A3:H3"/>
    <mergeCell ref="B111:H111"/>
    <mergeCell ref="B112:H112"/>
    <mergeCell ref="B138:C138"/>
    <mergeCell ref="B144:C144"/>
    <mergeCell ref="B145:D145"/>
    <mergeCell ref="B139:C139"/>
    <mergeCell ref="B140:C140"/>
    <mergeCell ref="B141:C141"/>
    <mergeCell ref="B142:C142"/>
    <mergeCell ref="B143:C143"/>
  </mergeCells>
  <hyperlinks>
    <hyperlink ref="I1" location="Index!B2" display="Index" xr:uid="{25E2F936-8088-4690-8D10-44A613036CB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C0C7-6DE5-4FDD-94E8-B80931BDC500}">
  <sheetPr>
    <outlinePr summaryBelow="0" summaryRight="0"/>
  </sheetPr>
  <dimension ref="A1:T182"/>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4.140625" bestFit="1" customWidth="1"/>
    <col min="4" max="4" width="11.7109375" customWidth="1"/>
    <col min="5" max="5" width="9.42578125" bestFit="1" customWidth="1"/>
    <col min="6" max="6" width="13" customWidth="1"/>
    <col min="7" max="7" width="14" bestFit="1" customWidth="1"/>
    <col min="8" max="8" width="9.7109375" customWidth="1"/>
    <col min="9" max="9" width="10" customWidth="1"/>
    <col min="10" max="10" width="11.7109375" customWidth="1"/>
  </cols>
  <sheetData>
    <row r="1" spans="1:9" ht="15" x14ac:dyDescent="0.2">
      <c r="A1" s="150" t="s">
        <v>0</v>
      </c>
      <c r="B1" s="150"/>
      <c r="C1" s="150"/>
      <c r="D1" s="150"/>
      <c r="E1" s="150"/>
      <c r="F1" s="150"/>
      <c r="G1" s="150"/>
      <c r="H1" s="150"/>
      <c r="I1" s="7" t="s">
        <v>566</v>
      </c>
    </row>
    <row r="2" spans="1:9" ht="15" x14ac:dyDescent="0.2">
      <c r="A2" s="150" t="s">
        <v>214</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567</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ht="25.5" x14ac:dyDescent="0.2">
      <c r="A28" s="24">
        <v>1</v>
      </c>
      <c r="B28" s="25" t="s">
        <v>215</v>
      </c>
      <c r="C28" s="25" t="s">
        <v>216</v>
      </c>
      <c r="D28" s="25" t="s">
        <v>23</v>
      </c>
      <c r="E28" s="26">
        <v>250</v>
      </c>
      <c r="F28" s="27">
        <v>2493.3850000000002</v>
      </c>
      <c r="G28" s="28">
        <v>6.0615139999999998E-2</v>
      </c>
      <c r="H28" s="18">
        <v>7.6</v>
      </c>
    </row>
    <row r="29" spans="1:8" ht="25.5" x14ac:dyDescent="0.2">
      <c r="A29" s="24">
        <v>2</v>
      </c>
      <c r="B29" s="25" t="s">
        <v>217</v>
      </c>
      <c r="C29" s="25" t="s">
        <v>218</v>
      </c>
      <c r="D29" s="25" t="s">
        <v>219</v>
      </c>
      <c r="E29" s="26">
        <v>2000</v>
      </c>
      <c r="F29" s="27">
        <v>1999.86</v>
      </c>
      <c r="G29" s="28">
        <v>4.8617359999999998E-2</v>
      </c>
      <c r="H29" s="18">
        <v>7.6224999999999996</v>
      </c>
    </row>
    <row r="30" spans="1:8" ht="25.5" x14ac:dyDescent="0.2">
      <c r="A30" s="24">
        <v>3</v>
      </c>
      <c r="B30" s="25" t="s">
        <v>220</v>
      </c>
      <c r="C30" s="25" t="s">
        <v>221</v>
      </c>
      <c r="D30" s="25" t="s">
        <v>222</v>
      </c>
      <c r="E30" s="26">
        <v>1500</v>
      </c>
      <c r="F30" s="27">
        <v>1508.4945</v>
      </c>
      <c r="G30" s="28">
        <v>3.6672080000000003E-2</v>
      </c>
      <c r="H30" s="18">
        <v>8.01</v>
      </c>
    </row>
    <row r="31" spans="1:8" x14ac:dyDescent="0.2">
      <c r="A31" s="24">
        <v>4</v>
      </c>
      <c r="B31" s="25" t="s">
        <v>223</v>
      </c>
      <c r="C31" s="25" t="s">
        <v>224</v>
      </c>
      <c r="D31" s="25" t="s">
        <v>225</v>
      </c>
      <c r="E31" s="26">
        <v>1500</v>
      </c>
      <c r="F31" s="27">
        <v>1503.498</v>
      </c>
      <c r="G31" s="28">
        <v>3.6550609999999997E-2</v>
      </c>
      <c r="H31" s="18">
        <v>8.9350000000000005</v>
      </c>
    </row>
    <row r="32" spans="1:8" x14ac:dyDescent="0.2">
      <c r="A32" s="24">
        <v>5</v>
      </c>
      <c r="B32" s="25" t="s">
        <v>226</v>
      </c>
      <c r="C32" s="25" t="s">
        <v>227</v>
      </c>
      <c r="D32" s="25" t="s">
        <v>23</v>
      </c>
      <c r="E32" s="26">
        <v>1500</v>
      </c>
      <c r="F32" s="27">
        <v>1496.7719999999999</v>
      </c>
      <c r="G32" s="28">
        <v>3.6387099999999999E-2</v>
      </c>
      <c r="H32" s="18">
        <v>7.67</v>
      </c>
    </row>
    <row r="33" spans="1:8" ht="25.5" x14ac:dyDescent="0.2">
      <c r="A33" s="24">
        <v>6</v>
      </c>
      <c r="B33" s="25" t="s">
        <v>228</v>
      </c>
      <c r="C33" s="25" t="s">
        <v>229</v>
      </c>
      <c r="D33" s="25" t="s">
        <v>23</v>
      </c>
      <c r="E33" s="26">
        <v>140</v>
      </c>
      <c r="F33" s="27">
        <v>1380.6184000000001</v>
      </c>
      <c r="G33" s="28">
        <v>3.356336E-2</v>
      </c>
      <c r="H33" s="18">
        <v>7.85</v>
      </c>
    </row>
    <row r="34" spans="1:8" x14ac:dyDescent="0.2">
      <c r="A34" s="24">
        <v>7</v>
      </c>
      <c r="B34" s="25" t="s">
        <v>230</v>
      </c>
      <c r="C34" s="25" t="s">
        <v>231</v>
      </c>
      <c r="D34" s="25" t="s">
        <v>225</v>
      </c>
      <c r="E34" s="26">
        <v>1200</v>
      </c>
      <c r="F34" s="27">
        <v>1204.9608000000001</v>
      </c>
      <c r="G34" s="28">
        <v>2.9293059999999999E-2</v>
      </c>
      <c r="H34" s="18">
        <v>8.31</v>
      </c>
    </row>
    <row r="35" spans="1:8" ht="25.5" x14ac:dyDescent="0.2">
      <c r="A35" s="24">
        <v>8</v>
      </c>
      <c r="B35" s="25" t="s">
        <v>67</v>
      </c>
      <c r="C35" s="25" t="s">
        <v>68</v>
      </c>
      <c r="D35" s="25" t="s">
        <v>23</v>
      </c>
      <c r="E35" s="26">
        <v>1000</v>
      </c>
      <c r="F35" s="27">
        <v>1002.704</v>
      </c>
      <c r="G35" s="28">
        <v>2.4376120000000001E-2</v>
      </c>
      <c r="H35" s="18">
        <v>7.5650000000000004</v>
      </c>
    </row>
    <row r="36" spans="1:8" x14ac:dyDescent="0.2">
      <c r="A36" s="24">
        <v>9</v>
      </c>
      <c r="B36" s="25" t="s">
        <v>232</v>
      </c>
      <c r="C36" s="25" t="s">
        <v>233</v>
      </c>
      <c r="D36" s="25" t="s">
        <v>23</v>
      </c>
      <c r="E36" s="26">
        <v>1000</v>
      </c>
      <c r="F36" s="27">
        <v>998.90200000000004</v>
      </c>
      <c r="G36" s="28">
        <v>2.428369E-2</v>
      </c>
      <c r="H36" s="18">
        <v>7.67</v>
      </c>
    </row>
    <row r="37" spans="1:8" ht="25.5" x14ac:dyDescent="0.2">
      <c r="A37" s="24">
        <v>10</v>
      </c>
      <c r="B37" s="25" t="s">
        <v>234</v>
      </c>
      <c r="C37" s="25" t="s">
        <v>235</v>
      </c>
      <c r="D37" s="25" t="s">
        <v>222</v>
      </c>
      <c r="E37" s="26">
        <v>1000</v>
      </c>
      <c r="F37" s="27">
        <v>998.39800000000002</v>
      </c>
      <c r="G37" s="28">
        <v>2.4271439999999998E-2</v>
      </c>
      <c r="H37" s="18">
        <v>8.2184000000000008</v>
      </c>
    </row>
    <row r="38" spans="1:8" ht="25.5" x14ac:dyDescent="0.2">
      <c r="A38" s="24">
        <v>11</v>
      </c>
      <c r="B38" s="25" t="s">
        <v>236</v>
      </c>
      <c r="C38" s="25" t="s">
        <v>237</v>
      </c>
      <c r="D38" s="25" t="s">
        <v>225</v>
      </c>
      <c r="E38" s="26">
        <v>100</v>
      </c>
      <c r="F38" s="27">
        <v>997.13199999999995</v>
      </c>
      <c r="G38" s="28">
        <v>2.4240660000000001E-2</v>
      </c>
      <c r="H38" s="18">
        <v>8.6</v>
      </c>
    </row>
    <row r="39" spans="1:8" ht="25.5" x14ac:dyDescent="0.2">
      <c r="A39" s="24">
        <v>12</v>
      </c>
      <c r="B39" s="25" t="s">
        <v>238</v>
      </c>
      <c r="C39" s="25" t="s">
        <v>239</v>
      </c>
      <c r="D39" s="25" t="s">
        <v>23</v>
      </c>
      <c r="E39" s="26">
        <v>100</v>
      </c>
      <c r="F39" s="27">
        <v>996.85599999999999</v>
      </c>
      <c r="G39" s="28">
        <v>2.4233950000000001E-2</v>
      </c>
      <c r="H39" s="18">
        <v>7.7249999999999996</v>
      </c>
    </row>
    <row r="40" spans="1:8" ht="25.5" x14ac:dyDescent="0.2">
      <c r="A40" s="24">
        <v>13</v>
      </c>
      <c r="B40" s="25" t="s">
        <v>63</v>
      </c>
      <c r="C40" s="25" t="s">
        <v>64</v>
      </c>
      <c r="D40" s="25" t="s">
        <v>23</v>
      </c>
      <c r="E40" s="26">
        <v>1000</v>
      </c>
      <c r="F40" s="27">
        <v>995.37900000000002</v>
      </c>
      <c r="G40" s="28">
        <v>2.4198040000000001E-2</v>
      </c>
      <c r="H40" s="18">
        <v>7.7</v>
      </c>
    </row>
    <row r="41" spans="1:8" ht="25.5" x14ac:dyDescent="0.2">
      <c r="A41" s="24">
        <v>14</v>
      </c>
      <c r="B41" s="25" t="s">
        <v>240</v>
      </c>
      <c r="C41" s="25" t="s">
        <v>241</v>
      </c>
      <c r="D41" s="25" t="s">
        <v>242</v>
      </c>
      <c r="E41" s="26">
        <v>1000</v>
      </c>
      <c r="F41" s="27">
        <v>994.87800000000004</v>
      </c>
      <c r="G41" s="28">
        <v>2.4185870000000002E-2</v>
      </c>
      <c r="H41" s="18">
        <v>9.5975000000000001</v>
      </c>
    </row>
    <row r="42" spans="1:8" ht="25.5" x14ac:dyDescent="0.2">
      <c r="A42" s="24">
        <v>15</v>
      </c>
      <c r="B42" s="25" t="s">
        <v>43</v>
      </c>
      <c r="C42" s="25" t="s">
        <v>44</v>
      </c>
      <c r="D42" s="25" t="s">
        <v>23</v>
      </c>
      <c r="E42" s="26">
        <v>1000</v>
      </c>
      <c r="F42" s="27">
        <v>994.48500000000001</v>
      </c>
      <c r="G42" s="28">
        <v>2.4176309999999999E-2</v>
      </c>
      <c r="H42" s="18">
        <v>7.585</v>
      </c>
    </row>
    <row r="43" spans="1:8" ht="25.5" x14ac:dyDescent="0.2">
      <c r="A43" s="24">
        <v>16</v>
      </c>
      <c r="B43" s="25" t="s">
        <v>243</v>
      </c>
      <c r="C43" s="25" t="s">
        <v>244</v>
      </c>
      <c r="D43" s="25" t="s">
        <v>225</v>
      </c>
      <c r="E43" s="26">
        <v>900</v>
      </c>
      <c r="F43" s="27">
        <v>901.14210000000003</v>
      </c>
      <c r="G43" s="28">
        <v>2.190711E-2</v>
      </c>
      <c r="H43" s="18">
        <v>8.2200000000000006</v>
      </c>
    </row>
    <row r="44" spans="1:8" ht="25.5" x14ac:dyDescent="0.2">
      <c r="A44" s="24">
        <v>17</v>
      </c>
      <c r="B44" s="25" t="s">
        <v>245</v>
      </c>
      <c r="C44" s="25" t="s">
        <v>246</v>
      </c>
      <c r="D44" s="25" t="s">
        <v>225</v>
      </c>
      <c r="E44" s="26">
        <v>500</v>
      </c>
      <c r="F44" s="27">
        <v>501.82749999999999</v>
      </c>
      <c r="G44" s="28">
        <v>1.219962E-2</v>
      </c>
      <c r="H44" s="18">
        <v>8.76</v>
      </c>
    </row>
    <row r="45" spans="1:8" x14ac:dyDescent="0.2">
      <c r="A45" s="24">
        <v>18</v>
      </c>
      <c r="B45" s="25" t="s">
        <v>247</v>
      </c>
      <c r="C45" s="25" t="s">
        <v>248</v>
      </c>
      <c r="D45" s="25" t="s">
        <v>34</v>
      </c>
      <c r="E45" s="26">
        <v>500</v>
      </c>
      <c r="F45" s="27">
        <v>500.255</v>
      </c>
      <c r="G45" s="28">
        <v>1.2161389999999999E-2</v>
      </c>
      <c r="H45" s="18">
        <v>7.51</v>
      </c>
    </row>
    <row r="46" spans="1:8" ht="25.5" x14ac:dyDescent="0.2">
      <c r="A46" s="24">
        <v>19</v>
      </c>
      <c r="B46" s="25" t="s">
        <v>249</v>
      </c>
      <c r="C46" s="25" t="s">
        <v>250</v>
      </c>
      <c r="D46" s="25" t="s">
        <v>251</v>
      </c>
      <c r="E46" s="26">
        <v>50</v>
      </c>
      <c r="F46" s="27">
        <v>500.22800000000001</v>
      </c>
      <c r="G46" s="28">
        <v>1.216073E-2</v>
      </c>
      <c r="H46" s="18">
        <v>8.2850000000000001</v>
      </c>
    </row>
    <row r="47" spans="1:8" x14ac:dyDescent="0.2">
      <c r="A47" s="24">
        <v>20</v>
      </c>
      <c r="B47" s="25" t="s">
        <v>55</v>
      </c>
      <c r="C47" s="25" t="s">
        <v>56</v>
      </c>
      <c r="D47" s="25" t="s">
        <v>23</v>
      </c>
      <c r="E47" s="26">
        <v>500</v>
      </c>
      <c r="F47" s="27">
        <v>500.08600000000001</v>
      </c>
      <c r="G47" s="28">
        <v>1.2157279999999999E-2</v>
      </c>
      <c r="H47" s="18">
        <v>7.72</v>
      </c>
    </row>
    <row r="48" spans="1:8" ht="25.5" x14ac:dyDescent="0.2">
      <c r="A48" s="24">
        <v>21</v>
      </c>
      <c r="B48" s="25" t="s">
        <v>61</v>
      </c>
      <c r="C48" s="25" t="s">
        <v>62</v>
      </c>
      <c r="D48" s="25" t="s">
        <v>23</v>
      </c>
      <c r="E48" s="26">
        <v>500</v>
      </c>
      <c r="F48" s="27">
        <v>499.608</v>
      </c>
      <c r="G48" s="28">
        <v>1.2145660000000001E-2</v>
      </c>
      <c r="H48" s="18">
        <v>8.2249999999999996</v>
      </c>
    </row>
    <row r="49" spans="1:8" x14ac:dyDescent="0.2">
      <c r="A49" s="16"/>
      <c r="B49" s="16"/>
      <c r="C49" s="17" t="s">
        <v>11</v>
      </c>
      <c r="D49" s="16"/>
      <c r="E49" s="16" t="s">
        <v>12</v>
      </c>
      <c r="F49" s="23">
        <v>22969.469300000001</v>
      </c>
      <c r="G49" s="20">
        <v>0.55839658000000003</v>
      </c>
      <c r="H49" s="18" t="s">
        <v>12</v>
      </c>
    </row>
    <row r="50" spans="1:8" x14ac:dyDescent="0.2">
      <c r="A50" s="16"/>
      <c r="B50" s="16"/>
      <c r="C50" s="21"/>
      <c r="D50" s="16"/>
      <c r="E50" s="16"/>
      <c r="F50" s="22"/>
      <c r="G50" s="22"/>
      <c r="H50" s="18" t="s">
        <v>12</v>
      </c>
    </row>
    <row r="51" spans="1:8" x14ac:dyDescent="0.2">
      <c r="A51" s="16"/>
      <c r="B51" s="16"/>
      <c r="C51" s="17" t="s">
        <v>71</v>
      </c>
      <c r="D51" s="16"/>
      <c r="E51" s="16"/>
      <c r="F51" s="16"/>
      <c r="G51" s="16"/>
      <c r="H51" s="18" t="s">
        <v>12</v>
      </c>
    </row>
    <row r="52" spans="1:8" x14ac:dyDescent="0.2">
      <c r="A52" s="16"/>
      <c r="B52" s="16"/>
      <c r="C52" s="17" t="s">
        <v>11</v>
      </c>
      <c r="D52" s="16"/>
      <c r="E52" s="16" t="s">
        <v>12</v>
      </c>
      <c r="F52" s="19" t="s">
        <v>13</v>
      </c>
      <c r="G52" s="20">
        <v>0</v>
      </c>
      <c r="H52" s="18" t="s">
        <v>12</v>
      </c>
    </row>
    <row r="53" spans="1:8" x14ac:dyDescent="0.2">
      <c r="A53" s="16"/>
      <c r="B53" s="16"/>
      <c r="C53" s="21"/>
      <c r="D53" s="16"/>
      <c r="E53" s="16"/>
      <c r="F53" s="22"/>
      <c r="G53" s="22"/>
      <c r="H53" s="18" t="s">
        <v>12</v>
      </c>
    </row>
    <row r="54" spans="1:8" x14ac:dyDescent="0.2">
      <c r="A54" s="16"/>
      <c r="B54" s="16"/>
      <c r="C54" s="17" t="s">
        <v>72</v>
      </c>
      <c r="D54" s="16"/>
      <c r="E54" s="16"/>
      <c r="F54" s="16"/>
      <c r="G54" s="16"/>
      <c r="H54" s="18" t="s">
        <v>12</v>
      </c>
    </row>
    <row r="55" spans="1:8" ht="25.5" x14ac:dyDescent="0.2">
      <c r="A55" s="24">
        <v>1</v>
      </c>
      <c r="B55" s="25" t="s">
        <v>252</v>
      </c>
      <c r="C55" s="25" t="s">
        <v>253</v>
      </c>
      <c r="D55" s="25" t="s">
        <v>75</v>
      </c>
      <c r="E55" s="26">
        <v>1000000</v>
      </c>
      <c r="F55" s="27">
        <v>1014.35</v>
      </c>
      <c r="G55" s="28">
        <v>2.4659239999999999E-2</v>
      </c>
      <c r="H55" s="18">
        <v>6.8391999999999999</v>
      </c>
    </row>
    <row r="56" spans="1:8" ht="25.5" x14ac:dyDescent="0.2">
      <c r="A56" s="24">
        <v>2</v>
      </c>
      <c r="B56" s="25" t="s">
        <v>254</v>
      </c>
      <c r="C56" s="25" t="s">
        <v>255</v>
      </c>
      <c r="D56" s="25" t="s">
        <v>75</v>
      </c>
      <c r="E56" s="26">
        <v>400000</v>
      </c>
      <c r="F56" s="27">
        <v>403.9932</v>
      </c>
      <c r="G56" s="28">
        <v>9.8212300000000002E-3</v>
      </c>
      <c r="H56" s="18">
        <v>6.8845999999999998</v>
      </c>
    </row>
    <row r="57" spans="1:8" ht="25.5" x14ac:dyDescent="0.2">
      <c r="A57" s="24">
        <v>3</v>
      </c>
      <c r="B57" s="25" t="s">
        <v>76</v>
      </c>
      <c r="C57" s="25" t="s">
        <v>77</v>
      </c>
      <c r="D57" s="25" t="s">
        <v>75</v>
      </c>
      <c r="E57" s="26">
        <v>200000</v>
      </c>
      <c r="F57" s="27">
        <v>204.80420000000001</v>
      </c>
      <c r="G57" s="28">
        <v>4.9788699999999998E-3</v>
      </c>
      <c r="H57" s="18">
        <v>6.9265999999999996</v>
      </c>
    </row>
    <row r="58" spans="1:8" x14ac:dyDescent="0.2">
      <c r="A58" s="16"/>
      <c r="B58" s="16"/>
      <c r="C58" s="17" t="s">
        <v>11</v>
      </c>
      <c r="D58" s="16"/>
      <c r="E58" s="16" t="s">
        <v>12</v>
      </c>
      <c r="F58" s="23">
        <v>1623.1474000000001</v>
      </c>
      <c r="G58" s="20">
        <v>3.9459340000000002E-2</v>
      </c>
      <c r="H58" s="18" t="s">
        <v>12</v>
      </c>
    </row>
    <row r="59" spans="1:8" x14ac:dyDescent="0.2">
      <c r="A59" s="16"/>
      <c r="B59" s="16"/>
      <c r="C59" s="21"/>
      <c r="D59" s="16"/>
      <c r="E59" s="16"/>
      <c r="F59" s="22"/>
      <c r="G59" s="22"/>
      <c r="H59" s="18" t="s">
        <v>12</v>
      </c>
    </row>
    <row r="60" spans="1:8" x14ac:dyDescent="0.2">
      <c r="A60" s="16"/>
      <c r="B60" s="16"/>
      <c r="C60" s="17" t="s">
        <v>86</v>
      </c>
      <c r="D60" s="16"/>
      <c r="E60" s="16"/>
      <c r="F60" s="22"/>
      <c r="G60" s="22"/>
      <c r="H60" s="18" t="s">
        <v>12</v>
      </c>
    </row>
    <row r="61" spans="1:8" x14ac:dyDescent="0.2">
      <c r="A61" s="16"/>
      <c r="B61" s="16"/>
      <c r="C61" s="17" t="s">
        <v>11</v>
      </c>
      <c r="D61" s="16"/>
      <c r="E61" s="16" t="s">
        <v>12</v>
      </c>
      <c r="F61" s="19" t="s">
        <v>13</v>
      </c>
      <c r="G61" s="20">
        <v>0</v>
      </c>
      <c r="H61" s="18" t="s">
        <v>12</v>
      </c>
    </row>
    <row r="62" spans="1:8" x14ac:dyDescent="0.2">
      <c r="A62" s="16"/>
      <c r="B62" s="16"/>
      <c r="C62" s="21"/>
      <c r="D62" s="16"/>
      <c r="E62" s="16"/>
      <c r="F62" s="22"/>
      <c r="G62" s="22"/>
      <c r="H62" s="18" t="s">
        <v>12</v>
      </c>
    </row>
    <row r="63" spans="1:8" x14ac:dyDescent="0.2">
      <c r="A63" s="16"/>
      <c r="B63" s="16"/>
      <c r="C63" s="17" t="s">
        <v>87</v>
      </c>
      <c r="D63" s="16"/>
      <c r="E63" s="16"/>
      <c r="F63" s="23">
        <v>24592.616699999999</v>
      </c>
      <c r="G63" s="20">
        <v>0.59785591999999999</v>
      </c>
      <c r="H63" s="18" t="s">
        <v>12</v>
      </c>
    </row>
    <row r="64" spans="1:8" x14ac:dyDescent="0.2">
      <c r="A64" s="16"/>
      <c r="B64" s="16"/>
      <c r="C64" s="21"/>
      <c r="D64" s="16"/>
      <c r="E64" s="16"/>
      <c r="F64" s="22"/>
      <c r="G64" s="22"/>
      <c r="H64" s="18" t="s">
        <v>12</v>
      </c>
    </row>
    <row r="65" spans="1:8" x14ac:dyDescent="0.2">
      <c r="A65" s="16"/>
      <c r="B65" s="16"/>
      <c r="C65" s="17" t="s">
        <v>88</v>
      </c>
      <c r="D65" s="16"/>
      <c r="E65" s="16"/>
      <c r="F65" s="22"/>
      <c r="G65" s="22"/>
      <c r="H65" s="18" t="s">
        <v>12</v>
      </c>
    </row>
    <row r="66" spans="1:8" x14ac:dyDescent="0.2">
      <c r="A66" s="16"/>
      <c r="B66" s="16"/>
      <c r="C66" s="17" t="s">
        <v>89</v>
      </c>
      <c r="D66" s="16"/>
      <c r="E66" s="16"/>
      <c r="F66" s="22"/>
      <c r="G66" s="22"/>
      <c r="H66" s="18" t="s">
        <v>12</v>
      </c>
    </row>
    <row r="67" spans="1:8" ht="25.5" x14ac:dyDescent="0.2">
      <c r="A67" s="24">
        <v>1</v>
      </c>
      <c r="B67" s="25" t="s">
        <v>256</v>
      </c>
      <c r="C67" s="25" t="s">
        <v>257</v>
      </c>
      <c r="D67" s="25" t="s">
        <v>141</v>
      </c>
      <c r="E67" s="26">
        <v>500</v>
      </c>
      <c r="F67" s="27">
        <v>2364.1424999999999</v>
      </c>
      <c r="G67" s="28">
        <v>5.7473209999999997E-2</v>
      </c>
      <c r="H67" s="18">
        <v>8.1300000000000008</v>
      </c>
    </row>
    <row r="68" spans="1:8" x14ac:dyDescent="0.2">
      <c r="A68" s="24">
        <v>2</v>
      </c>
      <c r="B68" s="25" t="s">
        <v>172</v>
      </c>
      <c r="C68" s="25" t="s">
        <v>173</v>
      </c>
      <c r="D68" s="25" t="s">
        <v>141</v>
      </c>
      <c r="E68" s="26">
        <v>300</v>
      </c>
      <c r="F68" s="27">
        <v>1407.1424999999999</v>
      </c>
      <c r="G68" s="28">
        <v>3.4208170000000003E-2</v>
      </c>
      <c r="H68" s="18">
        <v>7.7950999999999997</v>
      </c>
    </row>
    <row r="69" spans="1:8" ht="25.5" x14ac:dyDescent="0.2">
      <c r="A69" s="24">
        <v>3</v>
      </c>
      <c r="B69" s="25" t="s">
        <v>258</v>
      </c>
      <c r="C69" s="25" t="s">
        <v>259</v>
      </c>
      <c r="D69" s="25" t="s">
        <v>141</v>
      </c>
      <c r="E69" s="26">
        <v>200</v>
      </c>
      <c r="F69" s="27">
        <v>995.673</v>
      </c>
      <c r="G69" s="28">
        <v>2.4205190000000001E-2</v>
      </c>
      <c r="H69" s="18">
        <v>7.21</v>
      </c>
    </row>
    <row r="70" spans="1:8" x14ac:dyDescent="0.2">
      <c r="A70" s="24">
        <v>4</v>
      </c>
      <c r="B70" s="25" t="s">
        <v>178</v>
      </c>
      <c r="C70" s="25" t="s">
        <v>179</v>
      </c>
      <c r="D70" s="25" t="s">
        <v>141</v>
      </c>
      <c r="E70" s="26">
        <v>200</v>
      </c>
      <c r="F70" s="27">
        <v>992.81700000000001</v>
      </c>
      <c r="G70" s="28">
        <v>2.4135759999999999E-2</v>
      </c>
      <c r="H70" s="18">
        <v>7.3350999999999997</v>
      </c>
    </row>
    <row r="71" spans="1:8" x14ac:dyDescent="0.2">
      <c r="A71" s="24">
        <v>5</v>
      </c>
      <c r="B71" s="25" t="s">
        <v>180</v>
      </c>
      <c r="C71" s="25" t="s">
        <v>181</v>
      </c>
      <c r="D71" s="25" t="s">
        <v>141</v>
      </c>
      <c r="E71" s="26">
        <v>200</v>
      </c>
      <c r="F71" s="27">
        <v>992.26</v>
      </c>
      <c r="G71" s="28">
        <v>2.412222E-2</v>
      </c>
      <c r="H71" s="18">
        <v>7.3</v>
      </c>
    </row>
    <row r="72" spans="1:8" x14ac:dyDescent="0.2">
      <c r="A72" s="24">
        <v>6</v>
      </c>
      <c r="B72" s="25" t="s">
        <v>162</v>
      </c>
      <c r="C72" s="25" t="s">
        <v>163</v>
      </c>
      <c r="D72" s="25" t="s">
        <v>141</v>
      </c>
      <c r="E72" s="26">
        <v>200</v>
      </c>
      <c r="F72" s="27">
        <v>987.65800000000002</v>
      </c>
      <c r="G72" s="28">
        <v>2.4010340000000002E-2</v>
      </c>
      <c r="H72" s="18">
        <v>7.24</v>
      </c>
    </row>
    <row r="73" spans="1:8" x14ac:dyDescent="0.2">
      <c r="A73" s="24">
        <v>7</v>
      </c>
      <c r="B73" s="25" t="s">
        <v>166</v>
      </c>
      <c r="C73" s="25" t="s">
        <v>167</v>
      </c>
      <c r="D73" s="25" t="s">
        <v>141</v>
      </c>
      <c r="E73" s="26">
        <v>200</v>
      </c>
      <c r="F73" s="27">
        <v>974.33699999999999</v>
      </c>
      <c r="G73" s="28">
        <v>2.3686510000000001E-2</v>
      </c>
      <c r="H73" s="18">
        <v>7.57</v>
      </c>
    </row>
    <row r="74" spans="1:8" x14ac:dyDescent="0.2">
      <c r="A74" s="24">
        <v>8</v>
      </c>
      <c r="B74" s="25" t="s">
        <v>260</v>
      </c>
      <c r="C74" s="25" t="s">
        <v>261</v>
      </c>
      <c r="D74" s="25" t="s">
        <v>141</v>
      </c>
      <c r="E74" s="26">
        <v>200</v>
      </c>
      <c r="F74" s="27">
        <v>936.93399999999997</v>
      </c>
      <c r="G74" s="28">
        <v>2.2777220000000001E-2</v>
      </c>
      <c r="H74" s="18">
        <v>7.63</v>
      </c>
    </row>
    <row r="75" spans="1:8" x14ac:dyDescent="0.2">
      <c r="A75" s="16"/>
      <c r="B75" s="16"/>
      <c r="C75" s="17" t="s">
        <v>11</v>
      </c>
      <c r="D75" s="16"/>
      <c r="E75" s="16" t="s">
        <v>12</v>
      </c>
      <c r="F75" s="23">
        <v>9650.9639999999999</v>
      </c>
      <c r="G75" s="20">
        <v>0.23461862</v>
      </c>
      <c r="H75" s="18" t="s">
        <v>12</v>
      </c>
    </row>
    <row r="76" spans="1:8" x14ac:dyDescent="0.2">
      <c r="A76" s="16"/>
      <c r="B76" s="16"/>
      <c r="C76" s="21"/>
      <c r="D76" s="16"/>
      <c r="E76" s="16"/>
      <c r="F76" s="22"/>
      <c r="G76" s="22"/>
      <c r="H76" s="18" t="s">
        <v>12</v>
      </c>
    </row>
    <row r="77" spans="1:8" x14ac:dyDescent="0.2">
      <c r="A77" s="16"/>
      <c r="B77" s="16"/>
      <c r="C77" s="17" t="s">
        <v>90</v>
      </c>
      <c r="D77" s="16"/>
      <c r="E77" s="16"/>
      <c r="F77" s="22"/>
      <c r="G77" s="22"/>
      <c r="H77" s="18" t="s">
        <v>12</v>
      </c>
    </row>
    <row r="78" spans="1:8" ht="25.5" x14ac:dyDescent="0.2">
      <c r="A78" s="24">
        <v>1</v>
      </c>
      <c r="B78" s="25" t="s">
        <v>262</v>
      </c>
      <c r="C78" s="25" t="s">
        <v>263</v>
      </c>
      <c r="D78" s="25" t="s">
        <v>141</v>
      </c>
      <c r="E78" s="26">
        <v>300</v>
      </c>
      <c r="F78" s="27">
        <v>1481.6175000000001</v>
      </c>
      <c r="G78" s="28">
        <v>3.6018689999999999E-2</v>
      </c>
      <c r="H78" s="18">
        <v>7.9450000000000003</v>
      </c>
    </row>
    <row r="79" spans="1:8" ht="25.5" x14ac:dyDescent="0.2">
      <c r="A79" s="24">
        <v>2</v>
      </c>
      <c r="B79" s="25" t="s">
        <v>196</v>
      </c>
      <c r="C79" s="25" t="s">
        <v>197</v>
      </c>
      <c r="D79" s="25" t="s">
        <v>141</v>
      </c>
      <c r="E79" s="26">
        <v>200</v>
      </c>
      <c r="F79" s="27">
        <v>966.83399999999995</v>
      </c>
      <c r="G79" s="28">
        <v>2.35041E-2</v>
      </c>
      <c r="H79" s="18">
        <v>8.2375000000000007</v>
      </c>
    </row>
    <row r="80" spans="1:8" x14ac:dyDescent="0.2">
      <c r="A80" s="16"/>
      <c r="B80" s="16"/>
      <c r="C80" s="17" t="s">
        <v>11</v>
      </c>
      <c r="D80" s="16"/>
      <c r="E80" s="16" t="s">
        <v>12</v>
      </c>
      <c r="F80" s="23">
        <v>2448.4515000000001</v>
      </c>
      <c r="G80" s="20">
        <v>5.9522789999999999E-2</v>
      </c>
      <c r="H80" s="18" t="s">
        <v>12</v>
      </c>
    </row>
    <row r="81" spans="1:17" x14ac:dyDescent="0.2">
      <c r="A81" s="16"/>
      <c r="B81" s="16"/>
      <c r="C81" s="21"/>
      <c r="D81" s="16"/>
      <c r="E81" s="16"/>
      <c r="F81" s="22"/>
      <c r="G81" s="22"/>
      <c r="H81" s="18" t="s">
        <v>12</v>
      </c>
    </row>
    <row r="82" spans="1:17" x14ac:dyDescent="0.2">
      <c r="A82" s="16"/>
      <c r="B82" s="16"/>
      <c r="C82" s="17" t="s">
        <v>91</v>
      </c>
      <c r="D82" s="16"/>
      <c r="E82" s="16"/>
      <c r="F82" s="22"/>
      <c r="G82" s="22"/>
      <c r="H82" s="18" t="s">
        <v>12</v>
      </c>
    </row>
    <row r="83" spans="1:17" x14ac:dyDescent="0.2">
      <c r="A83" s="24">
        <v>1</v>
      </c>
      <c r="B83" s="25" t="s">
        <v>210</v>
      </c>
      <c r="C83" s="25" t="s">
        <v>211</v>
      </c>
      <c r="D83" s="25" t="s">
        <v>75</v>
      </c>
      <c r="E83" s="26">
        <v>500000</v>
      </c>
      <c r="F83" s="27">
        <v>488.20600000000002</v>
      </c>
      <c r="G83" s="28">
        <v>1.1868480000000001E-2</v>
      </c>
      <c r="H83" s="18">
        <v>6.63</v>
      </c>
    </row>
    <row r="84" spans="1:17" x14ac:dyDescent="0.2">
      <c r="A84" s="16"/>
      <c r="B84" s="16"/>
      <c r="C84" s="17" t="s">
        <v>11</v>
      </c>
      <c r="D84" s="16"/>
      <c r="E84" s="16" t="s">
        <v>12</v>
      </c>
      <c r="F84" s="23">
        <v>488.20600000000002</v>
      </c>
      <c r="G84" s="20">
        <v>1.1868480000000001E-2</v>
      </c>
      <c r="H84" s="18" t="s">
        <v>12</v>
      </c>
    </row>
    <row r="85" spans="1:17" x14ac:dyDescent="0.2">
      <c r="A85" s="16"/>
      <c r="B85" s="16"/>
      <c r="C85" s="21"/>
      <c r="D85" s="16"/>
      <c r="E85" s="16"/>
      <c r="F85" s="22"/>
      <c r="G85" s="22"/>
      <c r="H85" s="18" t="s">
        <v>12</v>
      </c>
    </row>
    <row r="86" spans="1:17" x14ac:dyDescent="0.2">
      <c r="A86" s="16"/>
      <c r="B86" s="16"/>
      <c r="C86" s="17" t="s">
        <v>92</v>
      </c>
      <c r="D86" s="16"/>
      <c r="E86" s="16"/>
      <c r="F86" s="22"/>
      <c r="G86" s="22"/>
      <c r="H86" s="18" t="s">
        <v>12</v>
      </c>
    </row>
    <row r="87" spans="1:17" x14ac:dyDescent="0.2">
      <c r="A87" s="24">
        <v>1</v>
      </c>
      <c r="B87" s="25"/>
      <c r="C87" s="25" t="s">
        <v>93</v>
      </c>
      <c r="D87" s="25"/>
      <c r="E87" s="29"/>
      <c r="F87" s="27">
        <v>3159.8470629980002</v>
      </c>
      <c r="G87" s="28">
        <v>7.6817090000000005E-2</v>
      </c>
      <c r="H87" s="18">
        <v>6.25</v>
      </c>
    </row>
    <row r="88" spans="1:17" x14ac:dyDescent="0.2">
      <c r="A88" s="16"/>
      <c r="B88" s="16"/>
      <c r="C88" s="17" t="s">
        <v>11</v>
      </c>
      <c r="D88" s="16"/>
      <c r="E88" s="16" t="s">
        <v>12</v>
      </c>
      <c r="F88" s="23">
        <v>3159.8470629980002</v>
      </c>
      <c r="G88" s="20">
        <v>7.6817090000000005E-2</v>
      </c>
      <c r="H88" s="18" t="s">
        <v>12</v>
      </c>
    </row>
    <row r="89" spans="1:17" x14ac:dyDescent="0.2">
      <c r="A89" s="16"/>
      <c r="B89" s="16"/>
      <c r="C89" s="21"/>
      <c r="D89" s="16"/>
      <c r="E89" s="16"/>
      <c r="F89" s="22"/>
      <c r="G89" s="22"/>
      <c r="H89" s="18" t="s">
        <v>12</v>
      </c>
    </row>
    <row r="90" spans="1:17" x14ac:dyDescent="0.2">
      <c r="A90" s="16"/>
      <c r="B90" s="16"/>
      <c r="C90" s="17" t="s">
        <v>94</v>
      </c>
      <c r="D90" s="16"/>
      <c r="E90" s="16"/>
      <c r="F90" s="23">
        <v>15747.468562997999</v>
      </c>
      <c r="G90" s="20">
        <v>0.38282697999999998</v>
      </c>
      <c r="H90" s="18" t="s">
        <v>12</v>
      </c>
    </row>
    <row r="91" spans="1:17" x14ac:dyDescent="0.2">
      <c r="A91" s="16"/>
      <c r="B91" s="16"/>
      <c r="C91" s="22"/>
      <c r="D91" s="16"/>
      <c r="E91" s="16"/>
      <c r="F91" s="16"/>
      <c r="G91" s="16"/>
      <c r="H91" s="18" t="s">
        <v>12</v>
      </c>
    </row>
    <row r="92" spans="1:17" x14ac:dyDescent="0.2">
      <c r="A92" s="16"/>
      <c r="B92" s="16"/>
      <c r="C92" s="17" t="s">
        <v>95</v>
      </c>
      <c r="D92" s="16"/>
      <c r="E92" s="16"/>
      <c r="F92" s="16"/>
      <c r="G92" s="16"/>
      <c r="H92" s="18" t="s">
        <v>12</v>
      </c>
    </row>
    <row r="93" spans="1:17" x14ac:dyDescent="0.2">
      <c r="A93" s="16"/>
      <c r="B93" s="16"/>
      <c r="C93" s="17" t="s">
        <v>96</v>
      </c>
      <c r="D93" s="16"/>
      <c r="E93" s="16"/>
      <c r="F93" s="16"/>
      <c r="G93" s="16"/>
      <c r="H93" s="18" t="s">
        <v>12</v>
      </c>
    </row>
    <row r="94" spans="1:17" x14ac:dyDescent="0.2">
      <c r="A94" s="16"/>
      <c r="B94" s="16"/>
      <c r="C94" s="17" t="s">
        <v>11</v>
      </c>
      <c r="D94" s="16"/>
      <c r="E94" s="16" t="s">
        <v>12</v>
      </c>
      <c r="F94" s="19" t="s">
        <v>13</v>
      </c>
      <c r="G94" s="20">
        <v>0</v>
      </c>
      <c r="H94" s="18" t="s">
        <v>12</v>
      </c>
    </row>
    <row r="95" spans="1:17" x14ac:dyDescent="0.2">
      <c r="A95" s="30"/>
      <c r="B95" s="30"/>
      <c r="C95" s="31"/>
      <c r="D95" s="30"/>
      <c r="E95" s="30"/>
      <c r="F95" s="32"/>
      <c r="G95" s="32"/>
      <c r="H95" s="18" t="s">
        <v>12</v>
      </c>
    </row>
    <row r="96" spans="1:17" ht="25.5" x14ac:dyDescent="0.2">
      <c r="A96" s="30"/>
      <c r="B96" s="30"/>
      <c r="C96" s="33" t="s">
        <v>569</v>
      </c>
      <c r="D96" s="30"/>
      <c r="E96" s="30"/>
      <c r="F96" s="32"/>
      <c r="G96" s="32"/>
      <c r="H96" s="34"/>
      <c r="K96" s="35"/>
      <c r="L96" s="35"/>
      <c r="M96" s="35"/>
      <c r="N96" s="35"/>
      <c r="O96" s="36"/>
      <c r="P96" s="36"/>
      <c r="Q96" s="36"/>
    </row>
    <row r="97" spans="1:8" ht="25.5" x14ac:dyDescent="0.2">
      <c r="A97" s="37">
        <v>1</v>
      </c>
      <c r="B97" s="38" t="s">
        <v>97</v>
      </c>
      <c r="C97" s="38" t="s">
        <v>98</v>
      </c>
      <c r="D97" s="38"/>
      <c r="E97" s="39">
        <v>1043.4449999999999</v>
      </c>
      <c r="F97" s="34">
        <v>113.46018473300001</v>
      </c>
      <c r="G97" s="40">
        <v>2.7582599999999998E-3</v>
      </c>
      <c r="H97" s="18"/>
    </row>
    <row r="98" spans="1:8" x14ac:dyDescent="0.2">
      <c r="A98" s="30"/>
      <c r="B98" s="30"/>
      <c r="C98" s="33" t="s">
        <v>11</v>
      </c>
      <c r="D98" s="30"/>
      <c r="E98" s="30" t="s">
        <v>12</v>
      </c>
      <c r="F98" s="41">
        <f>SUM(F97)</f>
        <v>113.46018473300001</v>
      </c>
      <c r="G98" s="42">
        <f>SUM(G97)</f>
        <v>2.7582599999999998E-3</v>
      </c>
      <c r="H98" s="18" t="s">
        <v>12</v>
      </c>
    </row>
    <row r="99" spans="1:8" x14ac:dyDescent="0.2">
      <c r="A99" s="16"/>
      <c r="B99" s="16"/>
      <c r="C99" s="21"/>
      <c r="D99" s="16"/>
      <c r="E99" s="16"/>
      <c r="F99" s="22"/>
      <c r="G99" s="22"/>
      <c r="H99" s="18" t="s">
        <v>12</v>
      </c>
    </row>
    <row r="100" spans="1:8" x14ac:dyDescent="0.2">
      <c r="A100" s="16"/>
      <c r="B100" s="16"/>
      <c r="C100" s="17" t="s">
        <v>99</v>
      </c>
      <c r="D100" s="16"/>
      <c r="E100" s="16"/>
      <c r="F100" s="16"/>
      <c r="G100" s="16"/>
      <c r="H100" s="18" t="s">
        <v>12</v>
      </c>
    </row>
    <row r="101" spans="1:8" x14ac:dyDescent="0.2">
      <c r="A101" s="16"/>
      <c r="B101" s="16"/>
      <c r="C101" s="17" t="s">
        <v>100</v>
      </c>
      <c r="D101" s="16"/>
      <c r="E101" s="16"/>
      <c r="F101" s="16"/>
      <c r="G101" s="16"/>
      <c r="H101" s="18" t="s">
        <v>12</v>
      </c>
    </row>
    <row r="102" spans="1:8" x14ac:dyDescent="0.2">
      <c r="A102" s="16"/>
      <c r="B102" s="16"/>
      <c r="C102" s="17" t="s">
        <v>11</v>
      </c>
      <c r="D102" s="16"/>
      <c r="E102" s="16" t="s">
        <v>12</v>
      </c>
      <c r="F102" s="19" t="s">
        <v>13</v>
      </c>
      <c r="G102" s="20">
        <v>0</v>
      </c>
      <c r="H102" s="18" t="s">
        <v>12</v>
      </c>
    </row>
    <row r="103" spans="1:8" x14ac:dyDescent="0.2">
      <c r="A103" s="16"/>
      <c r="B103" s="16"/>
      <c r="C103" s="21"/>
      <c r="D103" s="16"/>
      <c r="E103" s="16"/>
      <c r="F103" s="22"/>
      <c r="G103" s="22"/>
      <c r="H103" s="18" t="s">
        <v>12</v>
      </c>
    </row>
    <row r="104" spans="1:8" ht="25.5" x14ac:dyDescent="0.2">
      <c r="A104" s="16"/>
      <c r="B104" s="16"/>
      <c r="C104" s="17" t="s">
        <v>101</v>
      </c>
      <c r="D104" s="16"/>
      <c r="E104" s="16"/>
      <c r="F104" s="22"/>
      <c r="G104" s="22"/>
      <c r="H104" s="18" t="s">
        <v>12</v>
      </c>
    </row>
    <row r="105" spans="1:8" x14ac:dyDescent="0.2">
      <c r="A105" s="16"/>
      <c r="B105" s="16"/>
      <c r="C105" s="17" t="s">
        <v>11</v>
      </c>
      <c r="D105" s="16"/>
      <c r="E105" s="16" t="s">
        <v>12</v>
      </c>
      <c r="F105" s="19" t="s">
        <v>13</v>
      </c>
      <c r="G105" s="20">
        <v>0</v>
      </c>
      <c r="H105" s="18" t="s">
        <v>12</v>
      </c>
    </row>
    <row r="106" spans="1:8" x14ac:dyDescent="0.2">
      <c r="A106" s="16"/>
      <c r="B106" s="25"/>
      <c r="C106" s="25"/>
      <c r="D106" s="17"/>
      <c r="E106" s="16"/>
      <c r="F106" s="25"/>
      <c r="G106" s="29"/>
      <c r="H106" s="18" t="s">
        <v>12</v>
      </c>
    </row>
    <row r="107" spans="1:8" x14ac:dyDescent="0.2">
      <c r="A107" s="29"/>
      <c r="B107" s="25"/>
      <c r="C107" s="25" t="s">
        <v>102</v>
      </c>
      <c r="D107" s="25"/>
      <c r="E107" s="29"/>
      <c r="F107" s="27">
        <f>681.14279735+0.0000246190023422241</f>
        <v>681.1428219690024</v>
      </c>
      <c r="G107" s="28">
        <v>1.6558839999999998E-2</v>
      </c>
      <c r="H107" s="18" t="s">
        <v>12</v>
      </c>
    </row>
    <row r="108" spans="1:8" x14ac:dyDescent="0.2">
      <c r="A108" s="21"/>
      <c r="B108" s="21"/>
      <c r="C108" s="17" t="s">
        <v>103</v>
      </c>
      <c r="D108" s="22"/>
      <c r="E108" s="22"/>
      <c r="F108" s="23">
        <f>41134.688245081+0.0000246190023422241</f>
        <v>41134.688269700004</v>
      </c>
      <c r="G108" s="43">
        <v>1</v>
      </c>
      <c r="H108" s="18" t="s">
        <v>12</v>
      </c>
    </row>
    <row r="109" spans="1:8" x14ac:dyDescent="0.2">
      <c r="A109" s="44"/>
      <c r="B109" s="44"/>
      <c r="C109" s="44"/>
      <c r="D109" s="45"/>
      <c r="E109" s="45"/>
      <c r="F109" s="45"/>
      <c r="G109" s="45"/>
    </row>
    <row r="110" spans="1:8" x14ac:dyDescent="0.2">
      <c r="A110" s="46"/>
      <c r="B110" s="151" t="s">
        <v>570</v>
      </c>
      <c r="C110" s="151"/>
      <c r="D110" s="151"/>
      <c r="E110" s="151"/>
      <c r="F110" s="151"/>
      <c r="G110" s="151"/>
      <c r="H110" s="151"/>
    </row>
    <row r="111" spans="1:8" x14ac:dyDescent="0.2">
      <c r="A111" s="46"/>
      <c r="B111" s="151" t="s">
        <v>571</v>
      </c>
      <c r="C111" s="151"/>
      <c r="D111" s="151"/>
      <c r="E111" s="151"/>
      <c r="F111" s="151"/>
      <c r="G111" s="151"/>
      <c r="H111" s="151"/>
    </row>
    <row r="112" spans="1:8" x14ac:dyDescent="0.2">
      <c r="A112" s="46"/>
      <c r="B112" s="151" t="s">
        <v>572</v>
      </c>
      <c r="C112" s="151"/>
      <c r="D112" s="151"/>
      <c r="E112" s="151"/>
      <c r="F112" s="151"/>
      <c r="G112" s="151"/>
      <c r="H112" s="151"/>
    </row>
    <row r="113" spans="1:8" x14ac:dyDescent="0.2">
      <c r="A113" s="48"/>
      <c r="B113" s="48"/>
      <c r="C113" s="48"/>
      <c r="D113" s="49"/>
      <c r="E113" s="49"/>
      <c r="F113" s="49"/>
      <c r="G113" s="49"/>
    </row>
    <row r="114" spans="1:8" x14ac:dyDescent="0.2">
      <c r="A114" s="48"/>
      <c r="B114" s="153" t="s">
        <v>104</v>
      </c>
      <c r="C114" s="154"/>
      <c r="D114" s="155"/>
      <c r="E114" s="50"/>
      <c r="F114" s="49"/>
      <c r="G114" s="49"/>
    </row>
    <row r="115" spans="1:8" ht="25.5" x14ac:dyDescent="0.2">
      <c r="A115" s="48"/>
      <c r="B115" s="156" t="s">
        <v>105</v>
      </c>
      <c r="C115" s="157"/>
      <c r="D115" s="33" t="s">
        <v>598</v>
      </c>
      <c r="E115" s="50"/>
      <c r="F115" s="49"/>
      <c r="G115" s="49"/>
    </row>
    <row r="116" spans="1:8" x14ac:dyDescent="0.2">
      <c r="A116" s="48"/>
      <c r="B116" s="156" t="s">
        <v>107</v>
      </c>
      <c r="C116" s="157"/>
      <c r="D116" s="17" t="s">
        <v>106</v>
      </c>
      <c r="E116" s="50"/>
      <c r="F116" s="49"/>
      <c r="G116" s="49"/>
    </row>
    <row r="117" spans="1:8" x14ac:dyDescent="0.2">
      <c r="A117" s="48"/>
      <c r="B117" s="156" t="s">
        <v>108</v>
      </c>
      <c r="C117" s="157"/>
      <c r="D117" s="22" t="s">
        <v>12</v>
      </c>
      <c r="E117" s="50"/>
      <c r="F117" s="49"/>
      <c r="G117" s="49"/>
    </row>
    <row r="118" spans="1:8" x14ac:dyDescent="0.2">
      <c r="A118" s="51"/>
      <c r="B118" s="52" t="s">
        <v>12</v>
      </c>
      <c r="C118" s="52" t="s">
        <v>573</v>
      </c>
      <c r="D118" s="52" t="s">
        <v>109</v>
      </c>
      <c r="E118" s="51"/>
      <c r="F118" s="51"/>
      <c r="G118" s="51"/>
      <c r="H118" s="53"/>
    </row>
    <row r="119" spans="1:8" x14ac:dyDescent="0.2">
      <c r="A119" s="51"/>
      <c r="B119" s="54" t="s">
        <v>110</v>
      </c>
      <c r="C119" s="55">
        <v>45657</v>
      </c>
      <c r="D119" s="55">
        <v>45672</v>
      </c>
      <c r="E119" s="51"/>
      <c r="F119" s="51"/>
      <c r="G119" s="51"/>
    </row>
    <row r="120" spans="1:8" x14ac:dyDescent="0.2">
      <c r="A120" s="56"/>
      <c r="B120" s="25" t="s">
        <v>111</v>
      </c>
      <c r="C120" s="57">
        <v>3560.3676</v>
      </c>
      <c r="D120" s="57">
        <v>3569.0940000000001</v>
      </c>
      <c r="E120" s="56"/>
      <c r="F120" s="58"/>
      <c r="G120" s="59"/>
    </row>
    <row r="121" spans="1:8" ht="25.5" x14ac:dyDescent="0.2">
      <c r="A121" s="56"/>
      <c r="B121" s="25" t="s">
        <v>695</v>
      </c>
      <c r="C121" s="57">
        <v>1097.6541</v>
      </c>
      <c r="D121" s="57">
        <v>1100.3444</v>
      </c>
      <c r="E121" s="56"/>
      <c r="F121" s="58"/>
      <c r="G121" s="59"/>
    </row>
    <row r="122" spans="1:8" ht="25.5" x14ac:dyDescent="0.2">
      <c r="A122" s="56"/>
      <c r="B122" s="25" t="s">
        <v>696</v>
      </c>
      <c r="C122" s="57">
        <v>1231.4166</v>
      </c>
      <c r="D122" s="57">
        <v>1234.4347</v>
      </c>
      <c r="E122" s="56"/>
      <c r="F122" s="58"/>
      <c r="G122" s="59"/>
    </row>
    <row r="123" spans="1:8" x14ac:dyDescent="0.2">
      <c r="A123" s="56"/>
      <c r="B123" s="25" t="s">
        <v>112</v>
      </c>
      <c r="C123" s="57">
        <v>3333.4560000000001</v>
      </c>
      <c r="D123" s="57">
        <v>3340.6120000000001</v>
      </c>
      <c r="E123" s="56"/>
      <c r="F123" s="58"/>
      <c r="G123" s="59"/>
    </row>
    <row r="124" spans="1:8" x14ac:dyDescent="0.2">
      <c r="A124" s="56"/>
      <c r="B124" s="25" t="s">
        <v>137</v>
      </c>
      <c r="C124" s="57">
        <v>1290.9556</v>
      </c>
      <c r="D124" s="57">
        <v>1293.7262000000001</v>
      </c>
      <c r="E124" s="56"/>
      <c r="F124" s="58"/>
      <c r="G124" s="59"/>
    </row>
    <row r="125" spans="1:8" ht="25.5" x14ac:dyDescent="0.2">
      <c r="A125" s="56"/>
      <c r="B125" s="25" t="s">
        <v>699</v>
      </c>
      <c r="C125" s="57">
        <v>1087.6216999999999</v>
      </c>
      <c r="D125" s="57">
        <v>1089.9558</v>
      </c>
      <c r="E125" s="56"/>
      <c r="F125" s="58"/>
      <c r="G125" s="59"/>
    </row>
    <row r="126" spans="1:8" ht="25.5" x14ac:dyDescent="0.2">
      <c r="A126" s="56"/>
      <c r="B126" s="25" t="s">
        <v>665</v>
      </c>
      <c r="C126" s="57">
        <v>1192.0992000000001</v>
      </c>
      <c r="D126" s="57">
        <v>1194.6576</v>
      </c>
      <c r="E126" s="56"/>
      <c r="F126" s="58"/>
      <c r="G126" s="59"/>
    </row>
    <row r="127" spans="1:8" x14ac:dyDescent="0.2">
      <c r="A127" s="56"/>
      <c r="B127" s="56"/>
      <c r="C127" s="56"/>
      <c r="D127" s="56"/>
      <c r="E127" s="56"/>
      <c r="F127" s="56"/>
      <c r="G127" s="56"/>
    </row>
    <row r="128" spans="1:8" x14ac:dyDescent="0.2">
      <c r="A128" s="56"/>
      <c r="B128" s="156" t="s">
        <v>702</v>
      </c>
      <c r="C128" s="157"/>
      <c r="D128" s="33" t="s">
        <v>106</v>
      </c>
      <c r="E128" s="56"/>
      <c r="F128" s="56"/>
      <c r="G128" s="56"/>
    </row>
    <row r="129" spans="1:17" x14ac:dyDescent="0.2">
      <c r="A129" s="56"/>
      <c r="B129" s="60"/>
      <c r="C129" s="60"/>
      <c r="D129" s="60"/>
      <c r="E129" s="56"/>
      <c r="F129" s="56"/>
      <c r="G129" s="56"/>
    </row>
    <row r="130" spans="1:17" s="62" customFormat="1" x14ac:dyDescent="0.2">
      <c r="A130" s="72"/>
      <c r="B130" s="158" t="s">
        <v>588</v>
      </c>
      <c r="C130" s="159"/>
      <c r="D130" s="33" t="s">
        <v>106</v>
      </c>
      <c r="G130" s="72"/>
      <c r="I130"/>
      <c r="J130" s="15"/>
      <c r="K130" s="35"/>
      <c r="L130" s="35"/>
      <c r="M130" s="35"/>
      <c r="N130" s="35"/>
      <c r="O130" s="68"/>
    </row>
    <row r="131" spans="1:17" ht="25.5" customHeight="1" x14ac:dyDescent="0.2">
      <c r="A131" s="51"/>
      <c r="B131" s="158" t="s">
        <v>589</v>
      </c>
      <c r="C131" s="159"/>
      <c r="D131" s="33" t="s">
        <v>106</v>
      </c>
      <c r="E131" s="61"/>
      <c r="F131" s="51"/>
      <c r="G131" s="51"/>
      <c r="J131" s="15"/>
    </row>
    <row r="132" spans="1:17" ht="26.25" customHeight="1" x14ac:dyDescent="0.2">
      <c r="A132" s="51"/>
      <c r="B132" s="158" t="s">
        <v>590</v>
      </c>
      <c r="C132" s="159"/>
      <c r="D132" s="33" t="s">
        <v>106</v>
      </c>
      <c r="E132" s="61"/>
      <c r="F132" s="51"/>
      <c r="G132" s="51"/>
      <c r="J132" s="15"/>
    </row>
    <row r="133" spans="1:17" x14ac:dyDescent="0.2">
      <c r="A133" s="51"/>
      <c r="B133" s="158" t="s">
        <v>591</v>
      </c>
      <c r="C133" s="159"/>
      <c r="D133" s="33" t="s">
        <v>106</v>
      </c>
      <c r="E133" s="61"/>
      <c r="F133" s="51"/>
      <c r="G133" s="51"/>
      <c r="J133" s="15"/>
    </row>
    <row r="134" spans="1:17" x14ac:dyDescent="0.2">
      <c r="A134" s="51"/>
      <c r="B134" s="47"/>
      <c r="C134" s="47"/>
      <c r="D134" s="73"/>
      <c r="E134" s="51"/>
      <c r="F134" s="51"/>
      <c r="G134" s="51"/>
      <c r="J134" s="15"/>
    </row>
    <row r="135" spans="1:17" s="62" customFormat="1" x14ac:dyDescent="0.2">
      <c r="B135" s="160" t="s">
        <v>575</v>
      </c>
      <c r="C135" s="161"/>
      <c r="D135" s="162"/>
      <c r="I135"/>
      <c r="J135" s="15"/>
      <c r="K135" s="35"/>
      <c r="L135" s="35"/>
      <c r="M135" s="35"/>
      <c r="N135" s="35"/>
      <c r="O135" s="68"/>
    </row>
    <row r="136" spans="1:17" s="62" customFormat="1" ht="38.25" x14ac:dyDescent="0.2">
      <c r="B136" s="152" t="s">
        <v>576</v>
      </c>
      <c r="C136" s="152"/>
      <c r="D136" s="63" t="s">
        <v>214</v>
      </c>
      <c r="I136"/>
      <c r="J136" s="15"/>
      <c r="K136" s="35"/>
      <c r="L136" s="35"/>
      <c r="M136" s="35"/>
      <c r="N136" s="35"/>
      <c r="O136" s="68"/>
    </row>
    <row r="137" spans="1:17" s="62" customFormat="1" x14ac:dyDescent="0.2">
      <c r="B137" s="148" t="s">
        <v>577</v>
      </c>
      <c r="C137" s="148"/>
      <c r="D137" s="64"/>
      <c r="I137"/>
      <c r="J137" s="15"/>
      <c r="K137" s="35"/>
      <c r="L137" s="35"/>
      <c r="M137" s="35"/>
      <c r="N137" s="35"/>
      <c r="O137" s="68"/>
    </row>
    <row r="138" spans="1:17" s="62" customFormat="1" x14ac:dyDescent="0.2">
      <c r="B138" s="148"/>
      <c r="C138" s="148"/>
      <c r="D138" s="65"/>
      <c r="I138"/>
      <c r="J138" s="15"/>
      <c r="K138" s="35"/>
      <c r="L138" s="35"/>
      <c r="M138" s="35"/>
      <c r="N138" s="35"/>
      <c r="O138" s="68"/>
    </row>
    <row r="139" spans="1:17" s="62" customFormat="1" x14ac:dyDescent="0.2">
      <c r="B139" s="148" t="s">
        <v>578</v>
      </c>
      <c r="C139" s="148"/>
      <c r="D139" s="66">
        <v>7.7429997797422061</v>
      </c>
      <c r="I139"/>
      <c r="J139" s="15"/>
      <c r="K139" s="35"/>
      <c r="L139" s="35"/>
      <c r="M139" s="35"/>
      <c r="N139" s="35"/>
      <c r="O139" s="68"/>
    </row>
    <row r="140" spans="1:17" s="62" customFormat="1" x14ac:dyDescent="0.2">
      <c r="B140" s="148"/>
      <c r="C140" s="148"/>
      <c r="D140" s="65"/>
      <c r="I140"/>
      <c r="J140" s="15"/>
      <c r="K140" s="35"/>
      <c r="L140" s="35"/>
      <c r="M140" s="35"/>
      <c r="N140" s="35"/>
      <c r="O140" s="68"/>
      <c r="P140"/>
      <c r="Q140"/>
    </row>
    <row r="141" spans="1:17" s="62" customFormat="1" x14ac:dyDescent="0.2">
      <c r="B141" s="148" t="s">
        <v>579</v>
      </c>
      <c r="C141" s="148"/>
      <c r="D141" s="66">
        <v>0.89365261685214148</v>
      </c>
      <c r="I141"/>
      <c r="J141" s="15"/>
      <c r="K141" s="35"/>
      <c r="L141" s="35"/>
      <c r="M141" s="35"/>
      <c r="N141" s="35"/>
      <c r="O141" s="68"/>
      <c r="P141"/>
      <c r="Q141"/>
    </row>
    <row r="142" spans="1:17" s="62" customFormat="1" x14ac:dyDescent="0.2">
      <c r="B142" s="148" t="s">
        <v>599</v>
      </c>
      <c r="C142" s="148"/>
      <c r="D142" s="66">
        <v>1.0638457832698012</v>
      </c>
      <c r="I142"/>
      <c r="J142" s="15"/>
      <c r="K142" s="35"/>
      <c r="L142" s="35"/>
      <c r="M142" s="35"/>
      <c r="N142" s="35"/>
      <c r="O142"/>
      <c r="P142"/>
      <c r="Q142"/>
    </row>
    <row r="143" spans="1:17" s="62" customFormat="1" x14ac:dyDescent="0.2">
      <c r="B143" s="148"/>
      <c r="C143" s="148"/>
      <c r="D143" s="65"/>
      <c r="I143"/>
      <c r="J143" s="15"/>
      <c r="K143" s="35"/>
      <c r="L143" s="35"/>
      <c r="M143" s="35"/>
      <c r="N143" s="35"/>
      <c r="O143"/>
      <c r="P143"/>
      <c r="Q143"/>
    </row>
    <row r="144" spans="1:17" s="62" customFormat="1" x14ac:dyDescent="0.2">
      <c r="B144" s="148" t="s">
        <v>581</v>
      </c>
      <c r="C144" s="148"/>
      <c r="D144" s="67" t="s">
        <v>690</v>
      </c>
      <c r="I144"/>
      <c r="J144" s="15"/>
      <c r="K144" s="35"/>
      <c r="L144" s="35"/>
      <c r="M144" s="35"/>
      <c r="N144" s="35"/>
      <c r="O144" s="68"/>
    </row>
    <row r="145" spans="1:20" s="62" customFormat="1" x14ac:dyDescent="0.2">
      <c r="B145" s="146" t="s">
        <v>582</v>
      </c>
      <c r="C145" s="149"/>
      <c r="D145" s="147"/>
      <c r="I145"/>
      <c r="J145" s="15"/>
      <c r="K145" s="35"/>
      <c r="L145" s="35"/>
      <c r="M145" s="35"/>
      <c r="N145" s="35"/>
      <c r="O145"/>
      <c r="P145"/>
      <c r="Q145"/>
      <c r="R145"/>
      <c r="S145"/>
      <c r="T145"/>
    </row>
    <row r="146" spans="1:20" x14ac:dyDescent="0.2">
      <c r="A146" s="60"/>
      <c r="B146" s="60"/>
      <c r="C146" s="60"/>
      <c r="D146" s="60"/>
      <c r="E146" s="60"/>
      <c r="F146" s="60"/>
      <c r="G146" s="60"/>
      <c r="J146" s="15"/>
    </row>
    <row r="147" spans="1:20" s="62" customFormat="1" x14ac:dyDescent="0.2">
      <c r="B147" s="74" t="s">
        <v>691</v>
      </c>
      <c r="C147" s="74"/>
      <c r="D147" s="74"/>
      <c r="E147" s="74"/>
      <c r="F147" s="74"/>
      <c r="G147" s="74"/>
      <c r="H147" s="74"/>
      <c r="I147"/>
      <c r="J147" s="15"/>
      <c r="K147" s="35"/>
      <c r="L147" s="35"/>
      <c r="M147" s="35"/>
      <c r="N147" s="35"/>
      <c r="O147" s="68"/>
    </row>
    <row r="148" spans="1:20" s="62" customFormat="1" x14ac:dyDescent="0.2">
      <c r="B148" s="75"/>
      <c r="C148" s="75"/>
      <c r="D148" s="75"/>
      <c r="E148" s="75"/>
      <c r="F148" s="75"/>
      <c r="G148" s="75"/>
      <c r="H148" s="75"/>
      <c r="I148"/>
      <c r="J148" s="15"/>
      <c r="K148" s="35"/>
      <c r="L148" s="35"/>
      <c r="M148" s="35"/>
      <c r="N148" s="35"/>
      <c r="O148" s="68"/>
    </row>
    <row r="149" spans="1:20" s="62" customFormat="1" ht="63.75" x14ac:dyDescent="0.2">
      <c r="A149" s="76"/>
      <c r="B149" s="77" t="s">
        <v>600</v>
      </c>
      <c r="C149" s="77" t="s">
        <v>601</v>
      </c>
      <c r="D149" s="77" t="s">
        <v>602</v>
      </c>
      <c r="E149" s="77" t="s">
        <v>603</v>
      </c>
      <c r="F149" s="77" t="s">
        <v>604</v>
      </c>
      <c r="G149" s="75"/>
      <c r="H149" s="75"/>
      <c r="I149"/>
      <c r="J149" s="15"/>
      <c r="K149" s="35"/>
      <c r="L149" s="35"/>
      <c r="M149" s="35"/>
      <c r="N149" s="35"/>
      <c r="O149" s="68"/>
    </row>
    <row r="150" spans="1:20" s="62" customFormat="1" x14ac:dyDescent="0.2">
      <c r="A150" s="78"/>
      <c r="B150" s="79" t="s">
        <v>605</v>
      </c>
      <c r="C150" s="79" t="s">
        <v>606</v>
      </c>
      <c r="D150" s="8">
        <v>0</v>
      </c>
      <c r="E150" s="9">
        <v>0</v>
      </c>
      <c r="F150" s="80">
        <v>300</v>
      </c>
      <c r="G150" s="75"/>
      <c r="H150" s="75"/>
      <c r="I150"/>
      <c r="J150" s="15"/>
      <c r="K150" s="35"/>
      <c r="L150" s="35"/>
      <c r="M150" s="35"/>
      <c r="N150" s="35"/>
      <c r="O150" s="68"/>
    </row>
    <row r="151" spans="1:20" s="62" customFormat="1" x14ac:dyDescent="0.2">
      <c r="A151" s="81"/>
      <c r="B151" s="81"/>
      <c r="C151" s="81"/>
      <c r="D151" s="81"/>
      <c r="E151" s="81"/>
      <c r="F151" s="81"/>
      <c r="G151" s="81"/>
      <c r="I151"/>
      <c r="J151" s="15"/>
      <c r="K151" s="35"/>
      <c r="L151" s="35"/>
      <c r="M151" s="35"/>
      <c r="N151" s="35"/>
      <c r="O151" s="68"/>
    </row>
    <row r="152" spans="1:20" ht="13.5" x14ac:dyDescent="0.25">
      <c r="B152" s="82" t="s">
        <v>607</v>
      </c>
      <c r="C152" s="82" t="s">
        <v>608</v>
      </c>
      <c r="D152" s="174" t="s">
        <v>602</v>
      </c>
      <c r="E152" s="174"/>
      <c r="F152" s="174"/>
      <c r="G152" s="173" t="s">
        <v>603</v>
      </c>
      <c r="H152" s="173"/>
      <c r="J152" s="15"/>
      <c r="K152" s="35"/>
      <c r="L152" s="35"/>
      <c r="M152" s="35"/>
      <c r="N152" s="35"/>
      <c r="P152" s="35"/>
    </row>
    <row r="153" spans="1:20" ht="27" x14ac:dyDescent="0.25">
      <c r="B153" s="83" t="s">
        <v>609</v>
      </c>
      <c r="C153" s="84" t="s">
        <v>610</v>
      </c>
      <c r="D153" s="171">
        <v>0</v>
      </c>
      <c r="E153" s="171"/>
      <c r="F153" s="171"/>
      <c r="G153" s="171">
        <v>0</v>
      </c>
      <c r="H153" s="171"/>
      <c r="J153" s="15"/>
      <c r="K153" s="35"/>
      <c r="L153" s="35"/>
      <c r="M153" s="35"/>
      <c r="N153" s="35"/>
      <c r="P153" s="35"/>
    </row>
    <row r="154" spans="1:20" ht="27" x14ac:dyDescent="0.25">
      <c r="B154" s="83" t="s">
        <v>611</v>
      </c>
      <c r="C154" s="84" t="s">
        <v>612</v>
      </c>
      <c r="D154" s="171">
        <v>0</v>
      </c>
      <c r="E154" s="171"/>
      <c r="F154" s="171"/>
      <c r="G154" s="171">
        <v>0</v>
      </c>
      <c r="H154" s="171"/>
      <c r="J154" s="15"/>
      <c r="K154" s="35"/>
      <c r="L154" s="35"/>
      <c r="M154" s="35"/>
      <c r="N154" s="35"/>
      <c r="P154" s="35"/>
    </row>
    <row r="155" spans="1:20" ht="27" x14ac:dyDescent="0.25">
      <c r="B155" s="83" t="s">
        <v>613</v>
      </c>
      <c r="C155" s="84" t="s">
        <v>614</v>
      </c>
      <c r="D155" s="171">
        <v>0</v>
      </c>
      <c r="E155" s="171"/>
      <c r="F155" s="171"/>
      <c r="G155" s="171">
        <v>0</v>
      </c>
      <c r="H155" s="171"/>
      <c r="J155" s="15"/>
      <c r="K155" s="35"/>
      <c r="L155" s="35"/>
      <c r="M155" s="35"/>
      <c r="N155" s="35"/>
      <c r="P155" s="35"/>
    </row>
    <row r="156" spans="1:20" ht="13.5" x14ac:dyDescent="0.25">
      <c r="B156" s="83"/>
      <c r="C156" s="83"/>
      <c r="D156" s="172"/>
      <c r="E156" s="172"/>
      <c r="F156" s="172"/>
      <c r="G156" s="172"/>
      <c r="H156" s="172"/>
      <c r="J156" s="15"/>
      <c r="K156" s="35"/>
      <c r="L156" s="35"/>
      <c r="M156" s="35"/>
      <c r="N156" s="35"/>
      <c r="P156" s="35"/>
    </row>
    <row r="157" spans="1:20" ht="13.5" x14ac:dyDescent="0.25">
      <c r="B157" s="173" t="s">
        <v>615</v>
      </c>
      <c r="C157" s="173"/>
      <c r="D157" s="173"/>
      <c r="E157" s="173"/>
      <c r="F157" s="173"/>
      <c r="G157" s="173"/>
      <c r="H157" s="173"/>
      <c r="J157" s="15"/>
      <c r="K157" s="35"/>
      <c r="L157" s="35"/>
      <c r="M157" s="35"/>
      <c r="N157" s="35"/>
      <c r="P157" s="35"/>
    </row>
    <row r="158" spans="1:20" ht="13.5" customHeight="1" x14ac:dyDescent="0.2">
      <c r="B158" s="169" t="s">
        <v>607</v>
      </c>
      <c r="C158" s="169" t="s">
        <v>608</v>
      </c>
      <c r="D158" s="169" t="s">
        <v>616</v>
      </c>
      <c r="E158" s="169"/>
      <c r="F158" s="169"/>
      <c r="G158" s="169"/>
      <c r="H158" s="170" t="s">
        <v>617</v>
      </c>
      <c r="I158" s="170" t="s">
        <v>618</v>
      </c>
      <c r="J158" s="167" t="s">
        <v>619</v>
      </c>
      <c r="K158" s="35"/>
      <c r="L158" s="35"/>
      <c r="M158" s="35"/>
      <c r="N158" s="35"/>
      <c r="O158" s="35"/>
      <c r="P158" s="35"/>
    </row>
    <row r="159" spans="1:20" ht="94.5" customHeight="1" x14ac:dyDescent="0.2">
      <c r="B159" s="169"/>
      <c r="C159" s="169"/>
      <c r="D159" s="86" t="s">
        <v>620</v>
      </c>
      <c r="E159" s="86" t="s">
        <v>621</v>
      </c>
      <c r="F159" s="86" t="s">
        <v>622</v>
      </c>
      <c r="G159" s="86" t="s">
        <v>623</v>
      </c>
      <c r="H159" s="170"/>
      <c r="I159" s="170"/>
      <c r="J159" s="168"/>
      <c r="K159" s="35"/>
      <c r="L159" s="35"/>
      <c r="M159" s="35"/>
      <c r="N159" s="35"/>
      <c r="O159" s="35"/>
      <c r="P159" s="35"/>
    </row>
    <row r="160" spans="1:20" ht="27" x14ac:dyDescent="0.25">
      <c r="B160" s="83" t="s">
        <v>609</v>
      </c>
      <c r="C160" s="84" t="s">
        <v>610</v>
      </c>
      <c r="D160" s="87">
        <v>1500</v>
      </c>
      <c r="E160" s="87">
        <v>99.850684900000005</v>
      </c>
      <c r="F160" s="88">
        <v>36.275342200000004</v>
      </c>
      <c r="G160" s="89">
        <v>1636.1260271000001</v>
      </c>
      <c r="H160" s="10">
        <v>726.67232000000001</v>
      </c>
      <c r="I160" s="10">
        <f>1250521/10^5</f>
        <v>12.50521</v>
      </c>
      <c r="J160" s="10">
        <f>H160+I160</f>
        <v>739.17753000000005</v>
      </c>
      <c r="K160" s="35"/>
      <c r="L160" s="35"/>
      <c r="M160" s="35"/>
      <c r="N160" s="35"/>
      <c r="O160" s="35"/>
      <c r="P160" s="35"/>
    </row>
    <row r="161" spans="2:16" ht="27" x14ac:dyDescent="0.25">
      <c r="B161" s="83" t="s">
        <v>611</v>
      </c>
      <c r="C161" s="84" t="s">
        <v>612</v>
      </c>
      <c r="D161" s="87">
        <v>2517.2199999999998</v>
      </c>
      <c r="E161" s="87">
        <v>183.25361600000002</v>
      </c>
      <c r="F161" s="88">
        <v>45.813405699999997</v>
      </c>
      <c r="G161" s="89">
        <v>2746.2870217</v>
      </c>
      <c r="H161" s="10">
        <v>1225.53333</v>
      </c>
      <c r="I161" s="10">
        <f>2109013/10^5</f>
        <v>21.090129999999998</v>
      </c>
      <c r="J161" s="10">
        <f>H161+I161</f>
        <v>1246.62346</v>
      </c>
      <c r="K161" s="35"/>
      <c r="L161" s="35"/>
      <c r="M161" s="35"/>
      <c r="N161" s="35"/>
      <c r="O161" s="35"/>
      <c r="P161" s="35"/>
    </row>
    <row r="162" spans="2:16" ht="27" x14ac:dyDescent="0.25">
      <c r="B162" s="83" t="s">
        <v>613</v>
      </c>
      <c r="C162" s="84" t="s">
        <v>614</v>
      </c>
      <c r="D162" s="87">
        <v>4882.25</v>
      </c>
      <c r="E162" s="87">
        <v>323.21163799999999</v>
      </c>
      <c r="F162" s="88">
        <v>117.42144879999999</v>
      </c>
      <c r="G162" s="89">
        <v>5322.8830868000005</v>
      </c>
      <c r="H162" s="10">
        <v>2364.0489899999998</v>
      </c>
      <c r="I162" s="10">
        <f>4068280/10^5</f>
        <v>40.6828</v>
      </c>
      <c r="J162" s="10">
        <f>H162+I162</f>
        <v>2404.7317899999998</v>
      </c>
      <c r="K162" s="35"/>
      <c r="L162" s="35"/>
      <c r="M162" s="35"/>
      <c r="N162" s="35"/>
      <c r="O162" s="35"/>
      <c r="P162" s="35"/>
    </row>
    <row r="163" spans="2:16" x14ac:dyDescent="0.2">
      <c r="I163" s="35"/>
      <c r="J163" s="15"/>
      <c r="K163" s="35"/>
      <c r="L163" s="35"/>
      <c r="M163" s="35"/>
      <c r="N163" s="35"/>
      <c r="O163" s="35"/>
      <c r="P163" s="35"/>
    </row>
    <row r="164" spans="2:16" x14ac:dyDescent="0.2">
      <c r="I164" s="35"/>
      <c r="J164" s="15"/>
      <c r="K164" s="35"/>
      <c r="L164" s="35"/>
      <c r="M164" s="35"/>
      <c r="N164" s="35"/>
      <c r="O164" s="35"/>
      <c r="P164" s="35"/>
    </row>
    <row r="165" spans="2:16" ht="13.5" x14ac:dyDescent="0.25">
      <c r="B165" s="90" t="s">
        <v>624</v>
      </c>
      <c r="I165" s="35"/>
      <c r="J165" s="15"/>
      <c r="K165" s="35"/>
      <c r="L165" s="35"/>
      <c r="M165" s="35"/>
      <c r="N165" s="35"/>
      <c r="O165" s="35"/>
      <c r="P165" s="35"/>
    </row>
    <row r="166" spans="2:16" x14ac:dyDescent="0.2">
      <c r="B166" s="35"/>
      <c r="C166" s="35"/>
      <c r="D166" s="35"/>
      <c r="E166" s="35"/>
      <c r="F166" s="35"/>
      <c r="G166" s="35"/>
      <c r="H166" s="35"/>
      <c r="I166" s="35"/>
      <c r="J166" s="15"/>
      <c r="K166" s="35"/>
      <c r="L166" s="35"/>
      <c r="M166" s="35"/>
      <c r="N166" s="35"/>
      <c r="O166" s="35"/>
      <c r="P166" s="35"/>
    </row>
    <row r="167" spans="2:16" x14ac:dyDescent="0.2">
      <c r="B167" s="91" t="s">
        <v>625</v>
      </c>
      <c r="C167" s="35"/>
      <c r="D167" s="35"/>
      <c r="E167" s="35"/>
      <c r="F167" s="35"/>
      <c r="G167" s="35"/>
      <c r="H167" s="35"/>
      <c r="I167" s="35"/>
      <c r="J167" s="15"/>
      <c r="K167" s="35"/>
      <c r="L167" s="35"/>
      <c r="M167" s="35"/>
      <c r="N167" s="35"/>
      <c r="O167" s="35"/>
      <c r="P167" s="35"/>
    </row>
    <row r="168" spans="2:16" x14ac:dyDescent="0.2">
      <c r="B168" s="35"/>
      <c r="C168" s="35"/>
      <c r="D168" s="35"/>
      <c r="E168" s="35"/>
      <c r="F168" s="35"/>
      <c r="G168" s="35"/>
      <c r="H168" s="35"/>
      <c r="I168" s="35"/>
      <c r="J168" s="15"/>
      <c r="K168" s="35"/>
      <c r="L168" s="35"/>
      <c r="M168" s="35"/>
      <c r="N168" s="35"/>
      <c r="O168" s="35"/>
      <c r="P168" s="35"/>
    </row>
    <row r="169" spans="2:16" x14ac:dyDescent="0.2">
      <c r="B169" s="91" t="s">
        <v>626</v>
      </c>
      <c r="C169" s="35"/>
      <c r="D169" s="35"/>
      <c r="E169" s="35"/>
      <c r="F169" s="35"/>
      <c r="G169" s="35"/>
      <c r="H169" s="35"/>
      <c r="I169" s="35"/>
      <c r="J169" s="15"/>
      <c r="K169" s="35"/>
      <c r="L169" s="35"/>
      <c r="M169" s="35"/>
      <c r="N169" s="35"/>
      <c r="O169" s="35"/>
      <c r="P169" s="35"/>
    </row>
    <row r="170" spans="2:16" x14ac:dyDescent="0.2">
      <c r="J170" s="15"/>
    </row>
    <row r="171" spans="2:16" x14ac:dyDescent="0.2">
      <c r="B171" s="91" t="s">
        <v>627</v>
      </c>
      <c r="J171" s="15"/>
      <c r="K171" s="35"/>
      <c r="L171" s="35"/>
      <c r="M171" s="35"/>
      <c r="N171" s="35"/>
      <c r="O171" s="35"/>
    </row>
    <row r="172" spans="2:16" x14ac:dyDescent="0.2">
      <c r="J172" s="15"/>
    </row>
    <row r="173" spans="2:16" ht="25.5" x14ac:dyDescent="0.2">
      <c r="B173" s="69" t="s">
        <v>583</v>
      </c>
    </row>
    <row r="175" spans="2:16" ht="153.75" customHeight="1" x14ac:dyDescent="0.2"/>
    <row r="178" spans="2:10" x14ac:dyDescent="0.2">
      <c r="B178" s="70" t="s">
        <v>584</v>
      </c>
      <c r="C178" s="71"/>
      <c r="D178" s="70" t="s">
        <v>585</v>
      </c>
    </row>
    <row r="179" spans="2:10" x14ac:dyDescent="0.2">
      <c r="B179" s="70" t="s">
        <v>628</v>
      </c>
      <c r="D179" s="70" t="s">
        <v>629</v>
      </c>
    </row>
    <row r="180" spans="2:10" ht="165" customHeight="1" x14ac:dyDescent="0.2"/>
    <row r="182" spans="2:10" x14ac:dyDescent="0.2">
      <c r="J182" s="15"/>
    </row>
  </sheetData>
  <mergeCells count="43">
    <mergeCell ref="B112:H112"/>
    <mergeCell ref="B133:C133"/>
    <mergeCell ref="B136:C136"/>
    <mergeCell ref="B114:D114"/>
    <mergeCell ref="B115:C115"/>
    <mergeCell ref="B116:C116"/>
    <mergeCell ref="B117:C117"/>
    <mergeCell ref="B128:C128"/>
    <mergeCell ref="B132:C132"/>
    <mergeCell ref="B130:C130"/>
    <mergeCell ref="B131:C131"/>
    <mergeCell ref="B135:D135"/>
    <mergeCell ref="A1:H1"/>
    <mergeCell ref="A2:H2"/>
    <mergeCell ref="A3:H3"/>
    <mergeCell ref="B110:H110"/>
    <mergeCell ref="B111:H111"/>
    <mergeCell ref="B137:C137"/>
    <mergeCell ref="B138:C138"/>
    <mergeCell ref="B139:C139"/>
    <mergeCell ref="B140:C140"/>
    <mergeCell ref="B141:C141"/>
    <mergeCell ref="B142:C142"/>
    <mergeCell ref="B143:C143"/>
    <mergeCell ref="B144:C144"/>
    <mergeCell ref="B145:D145"/>
    <mergeCell ref="D152:F152"/>
    <mergeCell ref="G152:H152"/>
    <mergeCell ref="D153:F153"/>
    <mergeCell ref="G153:H153"/>
    <mergeCell ref="D154:F154"/>
    <mergeCell ref="G154:H154"/>
    <mergeCell ref="D155:F155"/>
    <mergeCell ref="G155:H155"/>
    <mergeCell ref="D156:F156"/>
    <mergeCell ref="G156:H156"/>
    <mergeCell ref="B157:H157"/>
    <mergeCell ref="J158:J159"/>
    <mergeCell ref="B158:B159"/>
    <mergeCell ref="C158:C159"/>
    <mergeCell ref="D158:G158"/>
    <mergeCell ref="H158:H159"/>
    <mergeCell ref="I158:I159"/>
  </mergeCells>
  <hyperlinks>
    <hyperlink ref="I1" location="Index!B2" display="Index" xr:uid="{E9DBE86C-70B1-4D3C-AD0F-7AB866A71F8E}"/>
    <hyperlink ref="B167" r:id="rId1" xr:uid="{EA759B9B-1DCA-4BC4-AE5F-47E82AA53FEC}"/>
    <hyperlink ref="B169" r:id="rId2" xr:uid="{7F549BC2-362E-476A-94AB-A355A3F05442}"/>
    <hyperlink ref="B171" r:id="rId3" xr:uid="{6FE97366-4AD1-444A-9FB3-6125B019818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3C0C-2DD4-4B3F-AD58-BD46131BF293}">
  <sheetPr>
    <outlinePr summaryBelow="0" summaryRight="0"/>
  </sheetPr>
  <dimension ref="A1:R198"/>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4.28515625" customWidth="1"/>
    <col min="4" max="4" width="10.7109375" bestFit="1" customWidth="1"/>
    <col min="5" max="5" width="10.42578125" bestFit="1" customWidth="1"/>
    <col min="6" max="6" width="10.140625" bestFit="1" customWidth="1"/>
    <col min="7" max="7" width="14" bestFit="1" customWidth="1"/>
    <col min="8" max="8" width="5.42578125" bestFit="1"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264</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594</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ht="25.5" x14ac:dyDescent="0.2">
      <c r="A28" s="24">
        <v>1</v>
      </c>
      <c r="B28" s="25" t="s">
        <v>265</v>
      </c>
      <c r="C28" s="25" t="s">
        <v>266</v>
      </c>
      <c r="D28" s="25" t="s">
        <v>23</v>
      </c>
      <c r="E28" s="26">
        <v>750</v>
      </c>
      <c r="F28" s="27">
        <v>7497.5174999999999</v>
      </c>
      <c r="G28" s="28">
        <v>1.084773E-2</v>
      </c>
      <c r="H28" s="18">
        <v>7.45</v>
      </c>
    </row>
    <row r="29" spans="1:8" x14ac:dyDescent="0.2">
      <c r="A29" s="24">
        <v>2</v>
      </c>
      <c r="B29" s="25" t="s">
        <v>267</v>
      </c>
      <c r="C29" s="25" t="s">
        <v>268</v>
      </c>
      <c r="D29" s="25" t="s">
        <v>23</v>
      </c>
      <c r="E29" s="26">
        <v>1000</v>
      </c>
      <c r="F29" s="27">
        <v>5000.1549999999997</v>
      </c>
      <c r="G29" s="28">
        <v>7.23444E-3</v>
      </c>
      <c r="H29" s="18">
        <v>7.61</v>
      </c>
    </row>
    <row r="30" spans="1:8" ht="25.5" x14ac:dyDescent="0.2">
      <c r="A30" s="24">
        <v>3</v>
      </c>
      <c r="B30" s="25" t="s">
        <v>269</v>
      </c>
      <c r="C30" s="25" t="s">
        <v>270</v>
      </c>
      <c r="D30" s="25" t="s">
        <v>34</v>
      </c>
      <c r="E30" s="26">
        <v>500</v>
      </c>
      <c r="F30" s="27">
        <v>4995.0249999999996</v>
      </c>
      <c r="G30" s="28">
        <v>7.2270199999999998E-3</v>
      </c>
      <c r="H30" s="18">
        <v>7.3</v>
      </c>
    </row>
    <row r="31" spans="1:8" x14ac:dyDescent="0.2">
      <c r="A31" s="16"/>
      <c r="B31" s="16"/>
      <c r="C31" s="17" t="s">
        <v>11</v>
      </c>
      <c r="D31" s="16"/>
      <c r="E31" s="16" t="s">
        <v>12</v>
      </c>
      <c r="F31" s="23">
        <v>17492.697499999998</v>
      </c>
      <c r="G31" s="20">
        <v>2.5309189999999999E-2</v>
      </c>
      <c r="H31" s="18" t="s">
        <v>12</v>
      </c>
    </row>
    <row r="32" spans="1:8" x14ac:dyDescent="0.2">
      <c r="A32" s="16"/>
      <c r="B32" s="16"/>
      <c r="C32" s="21"/>
      <c r="D32" s="16"/>
      <c r="E32" s="16"/>
      <c r="F32" s="22"/>
      <c r="G32" s="22"/>
      <c r="H32" s="18" t="s">
        <v>12</v>
      </c>
    </row>
    <row r="33" spans="1:8" x14ac:dyDescent="0.2">
      <c r="A33" s="16"/>
      <c r="B33" s="16"/>
      <c r="C33" s="17" t="s">
        <v>71</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72</v>
      </c>
      <c r="D36" s="16"/>
      <c r="E36" s="16"/>
      <c r="F36" s="16"/>
      <c r="G36" s="16"/>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86</v>
      </c>
      <c r="D39" s="16"/>
      <c r="E39" s="16"/>
      <c r="F39" s="22"/>
      <c r="G39" s="22"/>
      <c r="H39" s="18" t="s">
        <v>12</v>
      </c>
    </row>
    <row r="40" spans="1:8" x14ac:dyDescent="0.2">
      <c r="A40" s="16"/>
      <c r="B40" s="16"/>
      <c r="C40" s="17" t="s">
        <v>11</v>
      </c>
      <c r="D40" s="16"/>
      <c r="E40" s="16" t="s">
        <v>12</v>
      </c>
      <c r="F40" s="19" t="s">
        <v>13</v>
      </c>
      <c r="G40" s="20">
        <v>0</v>
      </c>
      <c r="H40" s="18" t="s">
        <v>12</v>
      </c>
    </row>
    <row r="41" spans="1:8" x14ac:dyDescent="0.2">
      <c r="A41" s="16"/>
      <c r="B41" s="16"/>
      <c r="C41" s="21"/>
      <c r="D41" s="16"/>
      <c r="E41" s="16"/>
      <c r="F41" s="22"/>
      <c r="G41" s="22"/>
      <c r="H41" s="18" t="s">
        <v>12</v>
      </c>
    </row>
    <row r="42" spans="1:8" x14ac:dyDescent="0.2">
      <c r="A42" s="16"/>
      <c r="B42" s="16"/>
      <c r="C42" s="17" t="s">
        <v>87</v>
      </c>
      <c r="D42" s="16"/>
      <c r="E42" s="16"/>
      <c r="F42" s="23">
        <v>17492.697499999998</v>
      </c>
      <c r="G42" s="20">
        <v>2.5309189999999999E-2</v>
      </c>
      <c r="H42" s="18" t="s">
        <v>12</v>
      </c>
    </row>
    <row r="43" spans="1:8" x14ac:dyDescent="0.2">
      <c r="A43" s="16"/>
      <c r="B43" s="16"/>
      <c r="C43" s="21"/>
      <c r="D43" s="16"/>
      <c r="E43" s="16"/>
      <c r="F43" s="22"/>
      <c r="G43" s="22"/>
      <c r="H43" s="18" t="s">
        <v>12</v>
      </c>
    </row>
    <row r="44" spans="1:8" x14ac:dyDescent="0.2">
      <c r="A44" s="16"/>
      <c r="B44" s="16"/>
      <c r="C44" s="17" t="s">
        <v>88</v>
      </c>
      <c r="D44" s="16"/>
      <c r="E44" s="16"/>
      <c r="F44" s="22"/>
      <c r="G44" s="22"/>
      <c r="H44" s="18" t="s">
        <v>12</v>
      </c>
    </row>
    <row r="45" spans="1:8" x14ac:dyDescent="0.2">
      <c r="A45" s="16"/>
      <c r="B45" s="16"/>
      <c r="C45" s="17" t="s">
        <v>89</v>
      </c>
      <c r="D45" s="16"/>
      <c r="E45" s="16"/>
      <c r="F45" s="22"/>
      <c r="G45" s="22"/>
      <c r="H45" s="18" t="s">
        <v>12</v>
      </c>
    </row>
    <row r="46" spans="1:8" x14ac:dyDescent="0.2">
      <c r="A46" s="24">
        <v>1</v>
      </c>
      <c r="B46" s="25" t="s">
        <v>271</v>
      </c>
      <c r="C46" s="25" t="s">
        <v>272</v>
      </c>
      <c r="D46" s="25" t="s">
        <v>141</v>
      </c>
      <c r="E46" s="26">
        <v>4500</v>
      </c>
      <c r="F46" s="27">
        <v>22256.73</v>
      </c>
      <c r="G46" s="28">
        <v>3.220199E-2</v>
      </c>
      <c r="H46" s="18">
        <v>7.2538999999999998</v>
      </c>
    </row>
    <row r="47" spans="1:8" x14ac:dyDescent="0.2">
      <c r="A47" s="24">
        <v>2</v>
      </c>
      <c r="B47" s="25" t="s">
        <v>170</v>
      </c>
      <c r="C47" s="25" t="s">
        <v>171</v>
      </c>
      <c r="D47" s="25" t="s">
        <v>141</v>
      </c>
      <c r="E47" s="26">
        <v>4000</v>
      </c>
      <c r="F47" s="27">
        <v>19725.54</v>
      </c>
      <c r="G47" s="28">
        <v>2.8539749999999999E-2</v>
      </c>
      <c r="H47" s="18">
        <v>7.2552000000000003</v>
      </c>
    </row>
    <row r="48" spans="1:8" x14ac:dyDescent="0.2">
      <c r="A48" s="24">
        <v>3</v>
      </c>
      <c r="B48" s="25" t="s">
        <v>273</v>
      </c>
      <c r="C48" s="25" t="s">
        <v>274</v>
      </c>
      <c r="D48" s="25" t="s">
        <v>141</v>
      </c>
      <c r="E48" s="26">
        <v>3500</v>
      </c>
      <c r="F48" s="27">
        <v>17307.36</v>
      </c>
      <c r="G48" s="28">
        <v>2.5041029999999999E-2</v>
      </c>
      <c r="H48" s="18">
        <v>7.2552000000000003</v>
      </c>
    </row>
    <row r="49" spans="1:8" x14ac:dyDescent="0.2">
      <c r="A49" s="24">
        <v>4</v>
      </c>
      <c r="B49" s="25" t="s">
        <v>275</v>
      </c>
      <c r="C49" s="25" t="s">
        <v>276</v>
      </c>
      <c r="D49" s="25" t="s">
        <v>141</v>
      </c>
      <c r="E49" s="26">
        <v>3000</v>
      </c>
      <c r="F49" s="27">
        <v>14893.365</v>
      </c>
      <c r="G49" s="28">
        <v>2.1548359999999999E-2</v>
      </c>
      <c r="H49" s="18">
        <v>7.2598000000000003</v>
      </c>
    </row>
    <row r="50" spans="1:8" x14ac:dyDescent="0.2">
      <c r="A50" s="24">
        <v>5</v>
      </c>
      <c r="B50" s="25" t="s">
        <v>277</v>
      </c>
      <c r="C50" s="25" t="s">
        <v>278</v>
      </c>
      <c r="D50" s="25" t="s">
        <v>141</v>
      </c>
      <c r="E50" s="26">
        <v>3000</v>
      </c>
      <c r="F50" s="27">
        <v>14843.73</v>
      </c>
      <c r="G50" s="28">
        <v>2.1476539999999999E-2</v>
      </c>
      <c r="H50" s="18">
        <v>7.2502000000000004</v>
      </c>
    </row>
    <row r="51" spans="1:8" x14ac:dyDescent="0.2">
      <c r="A51" s="24">
        <v>6</v>
      </c>
      <c r="B51" s="25" t="s">
        <v>279</v>
      </c>
      <c r="C51" s="25" t="s">
        <v>280</v>
      </c>
      <c r="D51" s="25" t="s">
        <v>141</v>
      </c>
      <c r="E51" s="26">
        <v>2800</v>
      </c>
      <c r="F51" s="27">
        <v>13881.602000000001</v>
      </c>
      <c r="G51" s="28">
        <v>2.008449E-2</v>
      </c>
      <c r="H51" s="18">
        <v>7.2398999999999996</v>
      </c>
    </row>
    <row r="52" spans="1:8" x14ac:dyDescent="0.2">
      <c r="A52" s="24">
        <v>7</v>
      </c>
      <c r="B52" s="25" t="s">
        <v>281</v>
      </c>
      <c r="C52" s="25" t="s">
        <v>282</v>
      </c>
      <c r="D52" s="25" t="s">
        <v>147</v>
      </c>
      <c r="E52" s="26">
        <v>2500</v>
      </c>
      <c r="F52" s="27">
        <v>12413.8125</v>
      </c>
      <c r="G52" s="28">
        <v>1.7960830000000001E-2</v>
      </c>
      <c r="H52" s="18">
        <v>7.24</v>
      </c>
    </row>
    <row r="53" spans="1:8" x14ac:dyDescent="0.2">
      <c r="A53" s="24">
        <v>8</v>
      </c>
      <c r="B53" s="25" t="s">
        <v>283</v>
      </c>
      <c r="C53" s="25" t="s">
        <v>284</v>
      </c>
      <c r="D53" s="25" t="s">
        <v>141</v>
      </c>
      <c r="E53" s="26">
        <v>2500</v>
      </c>
      <c r="F53" s="27">
        <v>12379.35</v>
      </c>
      <c r="G53" s="28">
        <v>1.7910969999999998E-2</v>
      </c>
      <c r="H53" s="18">
        <v>7.26</v>
      </c>
    </row>
    <row r="54" spans="1:8" x14ac:dyDescent="0.2">
      <c r="A54" s="24">
        <v>9</v>
      </c>
      <c r="B54" s="25" t="s">
        <v>285</v>
      </c>
      <c r="C54" s="25" t="s">
        <v>286</v>
      </c>
      <c r="D54" s="25" t="s">
        <v>144</v>
      </c>
      <c r="E54" s="26">
        <v>2500</v>
      </c>
      <c r="F54" s="27">
        <v>12350.762500000001</v>
      </c>
      <c r="G54" s="28">
        <v>1.7869610000000001E-2</v>
      </c>
      <c r="H54" s="18">
        <v>7.23</v>
      </c>
    </row>
    <row r="55" spans="1:8" x14ac:dyDescent="0.2">
      <c r="A55" s="24">
        <v>10</v>
      </c>
      <c r="B55" s="25" t="s">
        <v>287</v>
      </c>
      <c r="C55" s="25" t="s">
        <v>288</v>
      </c>
      <c r="D55" s="25" t="s">
        <v>141</v>
      </c>
      <c r="E55" s="26">
        <v>2000</v>
      </c>
      <c r="F55" s="27">
        <v>9964.6200000000008</v>
      </c>
      <c r="G55" s="28">
        <v>1.441724E-2</v>
      </c>
      <c r="H55" s="18">
        <v>7.2</v>
      </c>
    </row>
    <row r="56" spans="1:8" x14ac:dyDescent="0.2">
      <c r="A56" s="24">
        <v>11</v>
      </c>
      <c r="B56" s="25" t="s">
        <v>289</v>
      </c>
      <c r="C56" s="25" t="s">
        <v>290</v>
      </c>
      <c r="D56" s="25" t="s">
        <v>141</v>
      </c>
      <c r="E56" s="26">
        <v>2000</v>
      </c>
      <c r="F56" s="27">
        <v>9964.5</v>
      </c>
      <c r="G56" s="28">
        <v>1.4417060000000001E-2</v>
      </c>
      <c r="H56" s="18">
        <v>7.2249999999999996</v>
      </c>
    </row>
    <row r="57" spans="1:8" x14ac:dyDescent="0.2">
      <c r="A57" s="24">
        <v>12</v>
      </c>
      <c r="B57" s="25" t="s">
        <v>291</v>
      </c>
      <c r="C57" s="25" t="s">
        <v>292</v>
      </c>
      <c r="D57" s="25" t="s">
        <v>141</v>
      </c>
      <c r="E57" s="26">
        <v>2000</v>
      </c>
      <c r="F57" s="27">
        <v>9962.08</v>
      </c>
      <c r="G57" s="28">
        <v>1.4413560000000001E-2</v>
      </c>
      <c r="H57" s="18">
        <v>7.3125</v>
      </c>
    </row>
    <row r="58" spans="1:8" x14ac:dyDescent="0.2">
      <c r="A58" s="24">
        <v>13</v>
      </c>
      <c r="B58" s="25" t="s">
        <v>293</v>
      </c>
      <c r="C58" s="25" t="s">
        <v>294</v>
      </c>
      <c r="D58" s="25" t="s">
        <v>147</v>
      </c>
      <c r="E58" s="26">
        <v>2000</v>
      </c>
      <c r="F58" s="27">
        <v>9956.7000000000007</v>
      </c>
      <c r="G58" s="28">
        <v>1.440578E-2</v>
      </c>
      <c r="H58" s="18">
        <v>7.2149999999999999</v>
      </c>
    </row>
    <row r="59" spans="1:8" x14ac:dyDescent="0.2">
      <c r="A59" s="24">
        <v>14</v>
      </c>
      <c r="B59" s="25" t="s">
        <v>295</v>
      </c>
      <c r="C59" s="25" t="s">
        <v>296</v>
      </c>
      <c r="D59" s="25" t="s">
        <v>144</v>
      </c>
      <c r="E59" s="26">
        <v>2000</v>
      </c>
      <c r="F59" s="27">
        <v>9921.39</v>
      </c>
      <c r="G59" s="28">
        <v>1.435469E-2</v>
      </c>
      <c r="H59" s="18">
        <v>7.23</v>
      </c>
    </row>
    <row r="60" spans="1:8" x14ac:dyDescent="0.2">
      <c r="A60" s="24">
        <v>15</v>
      </c>
      <c r="B60" s="25" t="s">
        <v>297</v>
      </c>
      <c r="C60" s="25" t="s">
        <v>298</v>
      </c>
      <c r="D60" s="25" t="s">
        <v>141</v>
      </c>
      <c r="E60" s="26">
        <v>2000</v>
      </c>
      <c r="F60" s="27">
        <v>9917.27</v>
      </c>
      <c r="G60" s="28">
        <v>1.4348730000000001E-2</v>
      </c>
      <c r="H60" s="18">
        <v>7.2500999999999998</v>
      </c>
    </row>
    <row r="61" spans="1:8" x14ac:dyDescent="0.2">
      <c r="A61" s="24">
        <v>16</v>
      </c>
      <c r="B61" s="25" t="s">
        <v>299</v>
      </c>
      <c r="C61" s="25" t="s">
        <v>300</v>
      </c>
      <c r="D61" s="25" t="s">
        <v>141</v>
      </c>
      <c r="E61" s="26">
        <v>2000</v>
      </c>
      <c r="F61" s="27">
        <v>9909.4599999999991</v>
      </c>
      <c r="G61" s="28">
        <v>1.433743E-2</v>
      </c>
      <c r="H61" s="18">
        <v>7.2500999999999998</v>
      </c>
    </row>
    <row r="62" spans="1:8" x14ac:dyDescent="0.2">
      <c r="A62" s="24">
        <v>17</v>
      </c>
      <c r="B62" s="25" t="s">
        <v>301</v>
      </c>
      <c r="C62" s="25" t="s">
        <v>302</v>
      </c>
      <c r="D62" s="25" t="s">
        <v>141</v>
      </c>
      <c r="E62" s="26">
        <v>2000</v>
      </c>
      <c r="F62" s="27">
        <v>9889.39</v>
      </c>
      <c r="G62" s="28">
        <v>1.4308390000000001E-2</v>
      </c>
      <c r="H62" s="18">
        <v>7.2900999999999998</v>
      </c>
    </row>
    <row r="63" spans="1:8" x14ac:dyDescent="0.2">
      <c r="A63" s="24">
        <v>18</v>
      </c>
      <c r="B63" s="25" t="s">
        <v>303</v>
      </c>
      <c r="C63" s="25" t="s">
        <v>304</v>
      </c>
      <c r="D63" s="25" t="s">
        <v>144</v>
      </c>
      <c r="E63" s="26">
        <v>2000</v>
      </c>
      <c r="F63" s="27">
        <v>9865.17</v>
      </c>
      <c r="G63" s="28">
        <v>1.4273350000000001E-2</v>
      </c>
      <c r="H63" s="18">
        <v>7.2298999999999998</v>
      </c>
    </row>
    <row r="64" spans="1:8" x14ac:dyDescent="0.2">
      <c r="A64" s="24">
        <v>19</v>
      </c>
      <c r="B64" s="25" t="s">
        <v>305</v>
      </c>
      <c r="C64" s="25" t="s">
        <v>306</v>
      </c>
      <c r="D64" s="25" t="s">
        <v>141</v>
      </c>
      <c r="E64" s="26">
        <v>1500</v>
      </c>
      <c r="F64" s="27">
        <v>7408.3874999999998</v>
      </c>
      <c r="G64" s="28">
        <v>1.0718770000000001E-2</v>
      </c>
      <c r="H64" s="18">
        <v>7.2801</v>
      </c>
    </row>
    <row r="65" spans="1:8" x14ac:dyDescent="0.2">
      <c r="A65" s="24">
        <v>20</v>
      </c>
      <c r="B65" s="25" t="s">
        <v>307</v>
      </c>
      <c r="C65" s="25" t="s">
        <v>308</v>
      </c>
      <c r="D65" s="25" t="s">
        <v>141</v>
      </c>
      <c r="E65" s="26">
        <v>1500</v>
      </c>
      <c r="F65" s="27">
        <v>7407.24</v>
      </c>
      <c r="G65" s="28">
        <v>1.071711E-2</v>
      </c>
      <c r="H65" s="18">
        <v>7.2552000000000003</v>
      </c>
    </row>
    <row r="66" spans="1:8" x14ac:dyDescent="0.2">
      <c r="A66" s="24">
        <v>21</v>
      </c>
      <c r="B66" s="25" t="s">
        <v>309</v>
      </c>
      <c r="C66" s="25" t="s">
        <v>310</v>
      </c>
      <c r="D66" s="25" t="s">
        <v>141</v>
      </c>
      <c r="E66" s="26">
        <v>1500</v>
      </c>
      <c r="F66" s="27">
        <v>7401.9</v>
      </c>
      <c r="G66" s="28">
        <v>1.0709379999999999E-2</v>
      </c>
      <c r="H66" s="18">
        <v>7.22</v>
      </c>
    </row>
    <row r="67" spans="1:8" ht="25.5" x14ac:dyDescent="0.2">
      <c r="A67" s="24">
        <v>22</v>
      </c>
      <c r="B67" s="25" t="s">
        <v>311</v>
      </c>
      <c r="C67" s="25" t="s">
        <v>312</v>
      </c>
      <c r="D67" s="25" t="s">
        <v>141</v>
      </c>
      <c r="E67" s="26">
        <v>1500</v>
      </c>
      <c r="F67" s="27">
        <v>7398.6</v>
      </c>
      <c r="G67" s="28">
        <v>1.070461E-2</v>
      </c>
      <c r="H67" s="18">
        <v>7.25</v>
      </c>
    </row>
    <row r="68" spans="1:8" x14ac:dyDescent="0.2">
      <c r="A68" s="24">
        <v>23</v>
      </c>
      <c r="B68" s="25" t="s">
        <v>313</v>
      </c>
      <c r="C68" s="25" t="s">
        <v>314</v>
      </c>
      <c r="D68" s="25" t="s">
        <v>147</v>
      </c>
      <c r="E68" s="26">
        <v>1000</v>
      </c>
      <c r="F68" s="27">
        <v>4981.29</v>
      </c>
      <c r="G68" s="28">
        <v>7.2071399999999999E-3</v>
      </c>
      <c r="H68" s="18">
        <v>7.2149999999999999</v>
      </c>
    </row>
    <row r="69" spans="1:8" x14ac:dyDescent="0.2">
      <c r="A69" s="24">
        <v>24</v>
      </c>
      <c r="B69" s="25" t="s">
        <v>315</v>
      </c>
      <c r="C69" s="25" t="s">
        <v>316</v>
      </c>
      <c r="D69" s="25" t="s">
        <v>141</v>
      </c>
      <c r="E69" s="26">
        <v>1000</v>
      </c>
      <c r="F69" s="27">
        <v>4980.2950000000001</v>
      </c>
      <c r="G69" s="28">
        <v>7.2056999999999998E-3</v>
      </c>
      <c r="H69" s="18">
        <v>7.2203999999999997</v>
      </c>
    </row>
    <row r="70" spans="1:8" x14ac:dyDescent="0.2">
      <c r="A70" s="24">
        <v>25</v>
      </c>
      <c r="B70" s="25" t="s">
        <v>317</v>
      </c>
      <c r="C70" s="25" t="s">
        <v>318</v>
      </c>
      <c r="D70" s="25" t="s">
        <v>141</v>
      </c>
      <c r="E70" s="26">
        <v>1000</v>
      </c>
      <c r="F70" s="27">
        <v>4974.45</v>
      </c>
      <c r="G70" s="28">
        <v>7.1972499999999997E-3</v>
      </c>
      <c r="H70" s="18">
        <v>7.2099000000000002</v>
      </c>
    </row>
    <row r="71" spans="1:8" x14ac:dyDescent="0.2">
      <c r="A71" s="24">
        <v>26</v>
      </c>
      <c r="B71" s="25" t="s">
        <v>319</v>
      </c>
      <c r="C71" s="25" t="s">
        <v>320</v>
      </c>
      <c r="D71" s="25" t="s">
        <v>141</v>
      </c>
      <c r="E71" s="26">
        <v>1000</v>
      </c>
      <c r="F71" s="27">
        <v>4965.3850000000002</v>
      </c>
      <c r="G71" s="28">
        <v>7.1841300000000004E-3</v>
      </c>
      <c r="H71" s="18">
        <v>7.2695999999999996</v>
      </c>
    </row>
    <row r="72" spans="1:8" x14ac:dyDescent="0.2">
      <c r="A72" s="24">
        <v>27</v>
      </c>
      <c r="B72" s="25" t="s">
        <v>321</v>
      </c>
      <c r="C72" s="25" t="s">
        <v>322</v>
      </c>
      <c r="D72" s="25" t="s">
        <v>141</v>
      </c>
      <c r="E72" s="26">
        <v>1000</v>
      </c>
      <c r="F72" s="27">
        <v>4957.6000000000004</v>
      </c>
      <c r="G72" s="28">
        <v>7.1728699999999996E-3</v>
      </c>
      <c r="H72" s="18">
        <v>7.2598000000000003</v>
      </c>
    </row>
    <row r="73" spans="1:8" x14ac:dyDescent="0.2">
      <c r="A73" s="24">
        <v>28</v>
      </c>
      <c r="B73" s="25" t="s">
        <v>323</v>
      </c>
      <c r="C73" s="25" t="s">
        <v>324</v>
      </c>
      <c r="D73" s="25" t="s">
        <v>141</v>
      </c>
      <c r="E73" s="26">
        <v>1000</v>
      </c>
      <c r="F73" s="27">
        <v>4950.8999999999996</v>
      </c>
      <c r="G73" s="28">
        <v>7.16317E-3</v>
      </c>
      <c r="H73" s="18">
        <v>7.24</v>
      </c>
    </row>
    <row r="74" spans="1:8" ht="25.5" x14ac:dyDescent="0.2">
      <c r="A74" s="24">
        <v>29</v>
      </c>
      <c r="B74" s="25" t="s">
        <v>325</v>
      </c>
      <c r="C74" s="25" t="s">
        <v>326</v>
      </c>
      <c r="D74" s="25" t="s">
        <v>141</v>
      </c>
      <c r="E74" s="26">
        <v>1000</v>
      </c>
      <c r="F74" s="27">
        <v>4950.83</v>
      </c>
      <c r="G74" s="28">
        <v>7.1630699999999997E-3</v>
      </c>
      <c r="H74" s="18">
        <v>7.25</v>
      </c>
    </row>
    <row r="75" spans="1:8" x14ac:dyDescent="0.2">
      <c r="A75" s="24">
        <v>30</v>
      </c>
      <c r="B75" s="25" t="s">
        <v>327</v>
      </c>
      <c r="C75" s="25" t="s">
        <v>328</v>
      </c>
      <c r="D75" s="25" t="s">
        <v>141</v>
      </c>
      <c r="E75" s="26">
        <v>1000</v>
      </c>
      <c r="F75" s="27">
        <v>4946.9350000000004</v>
      </c>
      <c r="G75" s="28">
        <v>7.1574400000000002E-3</v>
      </c>
      <c r="H75" s="18">
        <v>7.2503000000000002</v>
      </c>
    </row>
    <row r="76" spans="1:8" ht="25.5" x14ac:dyDescent="0.2">
      <c r="A76" s="24">
        <v>31</v>
      </c>
      <c r="B76" s="25" t="s">
        <v>329</v>
      </c>
      <c r="C76" s="25" t="s">
        <v>330</v>
      </c>
      <c r="D76" s="25" t="s">
        <v>141</v>
      </c>
      <c r="E76" s="26">
        <v>500</v>
      </c>
      <c r="F76" s="27">
        <v>2499.5075000000002</v>
      </c>
      <c r="G76" s="28">
        <v>3.6163900000000001E-3</v>
      </c>
      <c r="H76" s="18">
        <v>7.1932999999999998</v>
      </c>
    </row>
    <row r="77" spans="1:8" x14ac:dyDescent="0.2">
      <c r="A77" s="24">
        <v>32</v>
      </c>
      <c r="B77" s="25" t="s">
        <v>331</v>
      </c>
      <c r="C77" s="25" t="s">
        <v>332</v>
      </c>
      <c r="D77" s="25" t="s">
        <v>144</v>
      </c>
      <c r="E77" s="26">
        <v>500</v>
      </c>
      <c r="F77" s="27">
        <v>2482.3000000000002</v>
      </c>
      <c r="G77" s="28">
        <v>3.5915000000000001E-3</v>
      </c>
      <c r="H77" s="18">
        <v>7.23</v>
      </c>
    </row>
    <row r="78" spans="1:8" x14ac:dyDescent="0.2">
      <c r="A78" s="16"/>
      <c r="B78" s="16"/>
      <c r="C78" s="17" t="s">
        <v>11</v>
      </c>
      <c r="D78" s="16"/>
      <c r="E78" s="16" t="s">
        <v>12</v>
      </c>
      <c r="F78" s="23">
        <v>303708.45199999999</v>
      </c>
      <c r="G78" s="20">
        <v>0.43941833000000002</v>
      </c>
      <c r="H78" s="18" t="s">
        <v>12</v>
      </c>
    </row>
    <row r="79" spans="1:8" x14ac:dyDescent="0.2">
      <c r="A79" s="16"/>
      <c r="B79" s="16"/>
      <c r="C79" s="21"/>
      <c r="D79" s="16"/>
      <c r="E79" s="16"/>
      <c r="F79" s="22"/>
      <c r="G79" s="22"/>
      <c r="H79" s="18" t="s">
        <v>12</v>
      </c>
    </row>
    <row r="80" spans="1:8" x14ac:dyDescent="0.2">
      <c r="A80" s="16"/>
      <c r="B80" s="16"/>
      <c r="C80" s="17" t="s">
        <v>90</v>
      </c>
      <c r="D80" s="16"/>
      <c r="E80" s="16"/>
      <c r="F80" s="22"/>
      <c r="G80" s="22"/>
      <c r="H80" s="18" t="s">
        <v>12</v>
      </c>
    </row>
    <row r="81" spans="1:8" ht="25.5" x14ac:dyDescent="0.2">
      <c r="A81" s="24">
        <v>1</v>
      </c>
      <c r="B81" s="25" t="s">
        <v>333</v>
      </c>
      <c r="C81" s="25" t="s">
        <v>334</v>
      </c>
      <c r="D81" s="25" t="s">
        <v>141</v>
      </c>
      <c r="E81" s="26">
        <v>3000</v>
      </c>
      <c r="F81" s="27">
        <v>14837.895</v>
      </c>
      <c r="G81" s="28">
        <v>2.14681E-2</v>
      </c>
      <c r="H81" s="18">
        <v>7.2500999999999998</v>
      </c>
    </row>
    <row r="82" spans="1:8" x14ac:dyDescent="0.2">
      <c r="A82" s="24">
        <v>2</v>
      </c>
      <c r="B82" s="25" t="s">
        <v>335</v>
      </c>
      <c r="C82" s="25" t="s">
        <v>336</v>
      </c>
      <c r="D82" s="25" t="s">
        <v>141</v>
      </c>
      <c r="E82" s="26">
        <v>2500</v>
      </c>
      <c r="F82" s="27">
        <v>12431.8125</v>
      </c>
      <c r="G82" s="28">
        <v>1.798688E-2</v>
      </c>
      <c r="H82" s="18">
        <v>7.6999000000000004</v>
      </c>
    </row>
    <row r="83" spans="1:8" x14ac:dyDescent="0.2">
      <c r="A83" s="24">
        <v>3</v>
      </c>
      <c r="B83" s="25" t="s">
        <v>337</v>
      </c>
      <c r="C83" s="25" t="s">
        <v>338</v>
      </c>
      <c r="D83" s="25" t="s">
        <v>141</v>
      </c>
      <c r="E83" s="26">
        <v>2000</v>
      </c>
      <c r="F83" s="27">
        <v>9942.8799999999992</v>
      </c>
      <c r="G83" s="28">
        <v>1.4385780000000001E-2</v>
      </c>
      <c r="H83" s="18">
        <v>7.23</v>
      </c>
    </row>
    <row r="84" spans="1:8" ht="25.5" x14ac:dyDescent="0.2">
      <c r="A84" s="24">
        <v>4</v>
      </c>
      <c r="B84" s="25" t="s">
        <v>339</v>
      </c>
      <c r="C84" s="25" t="s">
        <v>340</v>
      </c>
      <c r="D84" s="25" t="s">
        <v>141</v>
      </c>
      <c r="E84" s="26">
        <v>2000</v>
      </c>
      <c r="F84" s="27">
        <v>9934.43</v>
      </c>
      <c r="G84" s="28">
        <v>1.4373560000000001E-2</v>
      </c>
      <c r="H84" s="18">
        <v>7.3</v>
      </c>
    </row>
    <row r="85" spans="1:8" x14ac:dyDescent="0.2">
      <c r="A85" s="24">
        <v>5</v>
      </c>
      <c r="B85" s="25" t="s">
        <v>341</v>
      </c>
      <c r="C85" s="25" t="s">
        <v>342</v>
      </c>
      <c r="D85" s="25" t="s">
        <v>141</v>
      </c>
      <c r="E85" s="26">
        <v>2000</v>
      </c>
      <c r="F85" s="27">
        <v>9916.36</v>
      </c>
      <c r="G85" s="28">
        <v>1.434741E-2</v>
      </c>
      <c r="H85" s="18">
        <v>7.33</v>
      </c>
    </row>
    <row r="86" spans="1:8" ht="25.5" x14ac:dyDescent="0.2">
      <c r="A86" s="24">
        <v>6</v>
      </c>
      <c r="B86" s="25" t="s">
        <v>343</v>
      </c>
      <c r="C86" s="25" t="s">
        <v>344</v>
      </c>
      <c r="D86" s="25" t="s">
        <v>141</v>
      </c>
      <c r="E86" s="26">
        <v>2000</v>
      </c>
      <c r="F86" s="27">
        <v>9915.31</v>
      </c>
      <c r="G86" s="28">
        <v>1.434589E-2</v>
      </c>
      <c r="H86" s="18">
        <v>7.2500999999999998</v>
      </c>
    </row>
    <row r="87" spans="1:8" ht="25.5" x14ac:dyDescent="0.2">
      <c r="A87" s="24">
        <v>7</v>
      </c>
      <c r="B87" s="25" t="s">
        <v>345</v>
      </c>
      <c r="C87" s="25" t="s">
        <v>346</v>
      </c>
      <c r="D87" s="25" t="s">
        <v>141</v>
      </c>
      <c r="E87" s="26">
        <v>2000</v>
      </c>
      <c r="F87" s="27">
        <v>9903.61</v>
      </c>
      <c r="G87" s="28">
        <v>1.432897E-2</v>
      </c>
      <c r="H87" s="18">
        <v>7.2500999999999998</v>
      </c>
    </row>
    <row r="88" spans="1:8" ht="25.5" x14ac:dyDescent="0.2">
      <c r="A88" s="24">
        <v>8</v>
      </c>
      <c r="B88" s="25" t="s">
        <v>347</v>
      </c>
      <c r="C88" s="25" t="s">
        <v>348</v>
      </c>
      <c r="D88" s="25" t="s">
        <v>141</v>
      </c>
      <c r="E88" s="26">
        <v>2000</v>
      </c>
      <c r="F88" s="27">
        <v>9889.99</v>
      </c>
      <c r="G88" s="28">
        <v>1.4309260000000001E-2</v>
      </c>
      <c r="H88" s="18">
        <v>7.25</v>
      </c>
    </row>
    <row r="89" spans="1:8" x14ac:dyDescent="0.2">
      <c r="A89" s="24">
        <v>9</v>
      </c>
      <c r="B89" s="25" t="s">
        <v>349</v>
      </c>
      <c r="C89" s="25" t="s">
        <v>350</v>
      </c>
      <c r="D89" s="25" t="s">
        <v>141</v>
      </c>
      <c r="E89" s="26">
        <v>2000</v>
      </c>
      <c r="F89" s="27">
        <v>9868.25</v>
      </c>
      <c r="G89" s="28">
        <v>1.427781E-2</v>
      </c>
      <c r="H89" s="18">
        <v>7.7350000000000003</v>
      </c>
    </row>
    <row r="90" spans="1:8" ht="25.5" x14ac:dyDescent="0.2">
      <c r="A90" s="24">
        <v>10</v>
      </c>
      <c r="B90" s="25" t="s">
        <v>351</v>
      </c>
      <c r="C90" s="25" t="s">
        <v>352</v>
      </c>
      <c r="D90" s="25" t="s">
        <v>141</v>
      </c>
      <c r="E90" s="26">
        <v>1500</v>
      </c>
      <c r="F90" s="27">
        <v>7479.9525000000003</v>
      </c>
      <c r="G90" s="28">
        <v>1.082231E-2</v>
      </c>
      <c r="H90" s="18">
        <v>7.5251000000000001</v>
      </c>
    </row>
    <row r="91" spans="1:8" x14ac:dyDescent="0.2">
      <c r="A91" s="24">
        <v>11</v>
      </c>
      <c r="B91" s="25" t="s">
        <v>353</v>
      </c>
      <c r="C91" s="25" t="s">
        <v>354</v>
      </c>
      <c r="D91" s="25" t="s">
        <v>141</v>
      </c>
      <c r="E91" s="26">
        <v>1500</v>
      </c>
      <c r="F91" s="27">
        <v>7434.24</v>
      </c>
      <c r="G91" s="28">
        <v>1.0756180000000001E-2</v>
      </c>
      <c r="H91" s="18">
        <v>7.6875</v>
      </c>
    </row>
    <row r="92" spans="1:8" ht="25.5" x14ac:dyDescent="0.2">
      <c r="A92" s="24">
        <v>12</v>
      </c>
      <c r="B92" s="25" t="s">
        <v>355</v>
      </c>
      <c r="C92" s="25" t="s">
        <v>356</v>
      </c>
      <c r="D92" s="25" t="s">
        <v>144</v>
      </c>
      <c r="E92" s="26">
        <v>1500</v>
      </c>
      <c r="F92" s="27">
        <v>7416.3149999999996</v>
      </c>
      <c r="G92" s="28">
        <v>1.073024E-2</v>
      </c>
      <c r="H92" s="18">
        <v>7.3551000000000002</v>
      </c>
    </row>
    <row r="93" spans="1:8" x14ac:dyDescent="0.2">
      <c r="A93" s="24">
        <v>13</v>
      </c>
      <c r="B93" s="25" t="s">
        <v>357</v>
      </c>
      <c r="C93" s="25" t="s">
        <v>358</v>
      </c>
      <c r="D93" s="25" t="s">
        <v>141</v>
      </c>
      <c r="E93" s="26">
        <v>1500</v>
      </c>
      <c r="F93" s="27">
        <v>7405.92</v>
      </c>
      <c r="G93" s="28">
        <v>1.0715199999999999E-2</v>
      </c>
      <c r="H93" s="18">
        <v>7.3598999999999997</v>
      </c>
    </row>
    <row r="94" spans="1:8" x14ac:dyDescent="0.2">
      <c r="A94" s="24">
        <v>14</v>
      </c>
      <c r="B94" s="25" t="s">
        <v>359</v>
      </c>
      <c r="C94" s="25" t="s">
        <v>360</v>
      </c>
      <c r="D94" s="25" t="s">
        <v>141</v>
      </c>
      <c r="E94" s="26">
        <v>1500</v>
      </c>
      <c r="F94" s="27">
        <v>7401.4425000000001</v>
      </c>
      <c r="G94" s="28">
        <v>1.070872E-2</v>
      </c>
      <c r="H94" s="18">
        <v>7.7149999999999999</v>
      </c>
    </row>
    <row r="95" spans="1:8" x14ac:dyDescent="0.2">
      <c r="A95" s="24">
        <v>15</v>
      </c>
      <c r="B95" s="25" t="s">
        <v>361</v>
      </c>
      <c r="C95" s="25" t="s">
        <v>362</v>
      </c>
      <c r="D95" s="25" t="s">
        <v>141</v>
      </c>
      <c r="E95" s="26">
        <v>1500</v>
      </c>
      <c r="F95" s="27">
        <v>7400.0924999999997</v>
      </c>
      <c r="G95" s="28">
        <v>1.0706769999999999E-2</v>
      </c>
      <c r="H95" s="18">
        <v>7.6999000000000004</v>
      </c>
    </row>
    <row r="96" spans="1:8" ht="25.5" x14ac:dyDescent="0.2">
      <c r="A96" s="24">
        <v>16</v>
      </c>
      <c r="B96" s="25" t="s">
        <v>363</v>
      </c>
      <c r="C96" s="25" t="s">
        <v>364</v>
      </c>
      <c r="D96" s="25" t="s">
        <v>141</v>
      </c>
      <c r="E96" s="26">
        <v>1500</v>
      </c>
      <c r="F96" s="27">
        <v>7399.74</v>
      </c>
      <c r="G96" s="28">
        <v>1.070626E-2</v>
      </c>
      <c r="H96" s="18">
        <v>7.85</v>
      </c>
    </row>
    <row r="97" spans="1:8" x14ac:dyDescent="0.2">
      <c r="A97" s="24">
        <v>17</v>
      </c>
      <c r="B97" s="25" t="s">
        <v>365</v>
      </c>
      <c r="C97" s="25" t="s">
        <v>366</v>
      </c>
      <c r="D97" s="25" t="s">
        <v>141</v>
      </c>
      <c r="E97" s="26">
        <v>1000</v>
      </c>
      <c r="F97" s="27">
        <v>4992.2</v>
      </c>
      <c r="G97" s="28">
        <v>7.2229299999999998E-3</v>
      </c>
      <c r="H97" s="18">
        <v>7.13</v>
      </c>
    </row>
    <row r="98" spans="1:8" ht="25.5" x14ac:dyDescent="0.2">
      <c r="A98" s="24">
        <v>18</v>
      </c>
      <c r="B98" s="25" t="s">
        <v>367</v>
      </c>
      <c r="C98" s="25" t="s">
        <v>368</v>
      </c>
      <c r="D98" s="25" t="s">
        <v>141</v>
      </c>
      <c r="E98" s="26">
        <v>1000</v>
      </c>
      <c r="F98" s="27">
        <v>4979.5249999999996</v>
      </c>
      <c r="G98" s="28">
        <v>7.2045900000000003E-3</v>
      </c>
      <c r="H98" s="18">
        <v>7.9</v>
      </c>
    </row>
    <row r="99" spans="1:8" ht="25.5" x14ac:dyDescent="0.2">
      <c r="A99" s="24">
        <v>19</v>
      </c>
      <c r="B99" s="25" t="s">
        <v>369</v>
      </c>
      <c r="C99" s="25" t="s">
        <v>370</v>
      </c>
      <c r="D99" s="25" t="s">
        <v>141</v>
      </c>
      <c r="E99" s="26">
        <v>1000</v>
      </c>
      <c r="F99" s="27">
        <v>4974.2749999999996</v>
      </c>
      <c r="G99" s="28">
        <v>7.1969900000000003E-3</v>
      </c>
      <c r="H99" s="18">
        <v>7.2603</v>
      </c>
    </row>
    <row r="100" spans="1:8" x14ac:dyDescent="0.2">
      <c r="A100" s="24">
        <v>20</v>
      </c>
      <c r="B100" s="25" t="s">
        <v>371</v>
      </c>
      <c r="C100" s="25" t="s">
        <v>372</v>
      </c>
      <c r="D100" s="25" t="s">
        <v>141</v>
      </c>
      <c r="E100" s="26">
        <v>1000</v>
      </c>
      <c r="F100" s="27">
        <v>4971.7299999999996</v>
      </c>
      <c r="G100" s="28">
        <v>7.1933099999999996E-3</v>
      </c>
      <c r="H100" s="18">
        <v>7.6875</v>
      </c>
    </row>
    <row r="101" spans="1:8" x14ac:dyDescent="0.2">
      <c r="A101" s="24">
        <v>21</v>
      </c>
      <c r="B101" s="25" t="s">
        <v>373</v>
      </c>
      <c r="C101" s="25" t="s">
        <v>374</v>
      </c>
      <c r="D101" s="25" t="s">
        <v>141</v>
      </c>
      <c r="E101" s="26">
        <v>1000</v>
      </c>
      <c r="F101" s="27">
        <v>4971.17</v>
      </c>
      <c r="G101" s="28">
        <v>7.1925000000000001E-3</v>
      </c>
      <c r="H101" s="18">
        <v>7.5597000000000003</v>
      </c>
    </row>
    <row r="102" spans="1:8" x14ac:dyDescent="0.2">
      <c r="A102" s="24">
        <v>22</v>
      </c>
      <c r="B102" s="25" t="s">
        <v>375</v>
      </c>
      <c r="C102" s="25" t="s">
        <v>376</v>
      </c>
      <c r="D102" s="25" t="s">
        <v>141</v>
      </c>
      <c r="E102" s="26">
        <v>1000</v>
      </c>
      <c r="F102" s="27">
        <v>4959</v>
      </c>
      <c r="G102" s="28">
        <v>7.1748899999999997E-3</v>
      </c>
      <c r="H102" s="18">
        <v>7.5449999999999999</v>
      </c>
    </row>
    <row r="103" spans="1:8" x14ac:dyDescent="0.2">
      <c r="A103" s="24">
        <v>23</v>
      </c>
      <c r="B103" s="25" t="s">
        <v>377</v>
      </c>
      <c r="C103" s="25" t="s">
        <v>378</v>
      </c>
      <c r="D103" s="25" t="s">
        <v>141</v>
      </c>
      <c r="E103" s="26">
        <v>1000</v>
      </c>
      <c r="F103" s="27">
        <v>4957.3100000000004</v>
      </c>
      <c r="G103" s="28">
        <v>7.1724500000000004E-3</v>
      </c>
      <c r="H103" s="18">
        <v>7.31</v>
      </c>
    </row>
    <row r="104" spans="1:8" ht="25.5" x14ac:dyDescent="0.2">
      <c r="A104" s="24">
        <v>24</v>
      </c>
      <c r="B104" s="25" t="s">
        <v>379</v>
      </c>
      <c r="C104" s="25" t="s">
        <v>380</v>
      </c>
      <c r="D104" s="25" t="s">
        <v>144</v>
      </c>
      <c r="E104" s="26">
        <v>1000</v>
      </c>
      <c r="F104" s="27">
        <v>4950.125</v>
      </c>
      <c r="G104" s="28">
        <v>7.1620499999999997E-3</v>
      </c>
      <c r="H104" s="18">
        <v>7.3551000000000002</v>
      </c>
    </row>
    <row r="105" spans="1:8" ht="25.5" x14ac:dyDescent="0.2">
      <c r="A105" s="24">
        <v>25</v>
      </c>
      <c r="B105" s="25" t="s">
        <v>381</v>
      </c>
      <c r="C105" s="25" t="s">
        <v>382</v>
      </c>
      <c r="D105" s="25" t="s">
        <v>141</v>
      </c>
      <c r="E105" s="26">
        <v>1000</v>
      </c>
      <c r="F105" s="27">
        <v>4941.585</v>
      </c>
      <c r="G105" s="28">
        <v>7.1497000000000002E-3</v>
      </c>
      <c r="H105" s="18">
        <v>7.7050000000000001</v>
      </c>
    </row>
    <row r="106" spans="1:8" ht="25.5" x14ac:dyDescent="0.2">
      <c r="A106" s="24">
        <v>26</v>
      </c>
      <c r="B106" s="25" t="s">
        <v>383</v>
      </c>
      <c r="C106" s="25" t="s">
        <v>384</v>
      </c>
      <c r="D106" s="25" t="s">
        <v>141</v>
      </c>
      <c r="E106" s="26">
        <v>1000</v>
      </c>
      <c r="F106" s="27">
        <v>4940.09</v>
      </c>
      <c r="G106" s="28">
        <v>7.14753E-3</v>
      </c>
      <c r="H106" s="18">
        <v>7.9050000000000002</v>
      </c>
    </row>
    <row r="107" spans="1:8" x14ac:dyDescent="0.2">
      <c r="A107" s="24">
        <v>27</v>
      </c>
      <c r="B107" s="25" t="s">
        <v>385</v>
      </c>
      <c r="C107" s="25" t="s">
        <v>386</v>
      </c>
      <c r="D107" s="25" t="s">
        <v>141</v>
      </c>
      <c r="E107" s="26">
        <v>1000</v>
      </c>
      <c r="F107" s="27">
        <v>4934.0450000000001</v>
      </c>
      <c r="G107" s="28">
        <v>7.1387899999999999E-3</v>
      </c>
      <c r="H107" s="18">
        <v>7.7450000000000001</v>
      </c>
    </row>
    <row r="108" spans="1:8" ht="25.5" x14ac:dyDescent="0.2">
      <c r="A108" s="24">
        <v>28</v>
      </c>
      <c r="B108" s="25" t="s">
        <v>387</v>
      </c>
      <c r="C108" s="25" t="s">
        <v>388</v>
      </c>
      <c r="D108" s="25" t="s">
        <v>141</v>
      </c>
      <c r="E108" s="26">
        <v>600</v>
      </c>
      <c r="F108" s="27">
        <v>2978.643</v>
      </c>
      <c r="G108" s="28">
        <v>4.3096300000000001E-3</v>
      </c>
      <c r="H108" s="18">
        <v>7.27</v>
      </c>
    </row>
    <row r="109" spans="1:8" ht="25.5" x14ac:dyDescent="0.2">
      <c r="A109" s="24">
        <v>29</v>
      </c>
      <c r="B109" s="25" t="s">
        <v>389</v>
      </c>
      <c r="C109" s="25" t="s">
        <v>390</v>
      </c>
      <c r="D109" s="25" t="s">
        <v>141</v>
      </c>
      <c r="E109" s="26">
        <v>500</v>
      </c>
      <c r="F109" s="27">
        <v>2494.3074999999999</v>
      </c>
      <c r="G109" s="28">
        <v>3.6088700000000001E-3</v>
      </c>
      <c r="H109" s="18">
        <v>7.5749000000000004</v>
      </c>
    </row>
    <row r="110" spans="1:8" x14ac:dyDescent="0.2">
      <c r="A110" s="24">
        <v>30</v>
      </c>
      <c r="B110" s="25" t="s">
        <v>391</v>
      </c>
      <c r="C110" s="25" t="s">
        <v>392</v>
      </c>
      <c r="D110" s="25" t="s">
        <v>141</v>
      </c>
      <c r="E110" s="26">
        <v>500</v>
      </c>
      <c r="F110" s="27">
        <v>2489.4349999999999</v>
      </c>
      <c r="G110" s="28">
        <v>3.6018199999999999E-3</v>
      </c>
      <c r="H110" s="18">
        <v>7.7450000000000001</v>
      </c>
    </row>
    <row r="111" spans="1:8" x14ac:dyDescent="0.2">
      <c r="A111" s="24">
        <v>31</v>
      </c>
      <c r="B111" s="25" t="s">
        <v>393</v>
      </c>
      <c r="C111" s="25" t="s">
        <v>394</v>
      </c>
      <c r="D111" s="25" t="s">
        <v>141</v>
      </c>
      <c r="E111" s="26">
        <v>500</v>
      </c>
      <c r="F111" s="27">
        <v>2477.8175000000001</v>
      </c>
      <c r="G111" s="28">
        <v>3.58501E-3</v>
      </c>
      <c r="H111" s="18">
        <v>7.78</v>
      </c>
    </row>
    <row r="112" spans="1:8" x14ac:dyDescent="0.2">
      <c r="A112" s="16"/>
      <c r="B112" s="16"/>
      <c r="C112" s="17" t="s">
        <v>11</v>
      </c>
      <c r="D112" s="16"/>
      <c r="E112" s="16" t="s">
        <v>12</v>
      </c>
      <c r="F112" s="23">
        <v>213589.49799999999</v>
      </c>
      <c r="G112" s="20">
        <v>0.30903039999999998</v>
      </c>
      <c r="H112" s="18" t="s">
        <v>12</v>
      </c>
    </row>
    <row r="113" spans="1:8" x14ac:dyDescent="0.2">
      <c r="A113" s="16"/>
      <c r="B113" s="16"/>
      <c r="C113" s="21"/>
      <c r="D113" s="16"/>
      <c r="E113" s="16"/>
      <c r="F113" s="22"/>
      <c r="G113" s="22"/>
      <c r="H113" s="18" t="s">
        <v>12</v>
      </c>
    </row>
    <row r="114" spans="1:8" x14ac:dyDescent="0.2">
      <c r="A114" s="16"/>
      <c r="B114" s="16"/>
      <c r="C114" s="17" t="s">
        <v>91</v>
      </c>
      <c r="D114" s="16"/>
      <c r="E114" s="16"/>
      <c r="F114" s="22"/>
      <c r="G114" s="22"/>
      <c r="H114" s="18" t="s">
        <v>12</v>
      </c>
    </row>
    <row r="115" spans="1:8" x14ac:dyDescent="0.2">
      <c r="A115" s="24">
        <v>1</v>
      </c>
      <c r="B115" s="25" t="s">
        <v>395</v>
      </c>
      <c r="C115" s="25" t="s">
        <v>396</v>
      </c>
      <c r="D115" s="25" t="s">
        <v>75</v>
      </c>
      <c r="E115" s="26">
        <v>15000000</v>
      </c>
      <c r="F115" s="27">
        <v>14944.29</v>
      </c>
      <c r="G115" s="28">
        <v>2.1622039999999999E-2</v>
      </c>
      <c r="H115" s="18">
        <v>6.48</v>
      </c>
    </row>
    <row r="116" spans="1:8" x14ac:dyDescent="0.2">
      <c r="A116" s="24">
        <v>2</v>
      </c>
      <c r="B116" s="25" t="s">
        <v>397</v>
      </c>
      <c r="C116" s="25" t="s">
        <v>398</v>
      </c>
      <c r="D116" s="25" t="s">
        <v>75</v>
      </c>
      <c r="E116" s="26">
        <v>7500000</v>
      </c>
      <c r="F116" s="27">
        <v>7453.83</v>
      </c>
      <c r="G116" s="28">
        <v>1.0784520000000001E-2</v>
      </c>
      <c r="H116" s="18">
        <v>6.4596</v>
      </c>
    </row>
    <row r="117" spans="1:8" x14ac:dyDescent="0.2">
      <c r="A117" s="24">
        <v>3</v>
      </c>
      <c r="B117" s="25" t="s">
        <v>399</v>
      </c>
      <c r="C117" s="25" t="s">
        <v>400</v>
      </c>
      <c r="D117" s="25" t="s">
        <v>75</v>
      </c>
      <c r="E117" s="26">
        <v>1500000</v>
      </c>
      <c r="F117" s="27">
        <v>1496.2725</v>
      </c>
      <c r="G117" s="28">
        <v>2.1648700000000002E-3</v>
      </c>
      <c r="H117" s="18">
        <v>6.4966999999999997</v>
      </c>
    </row>
    <row r="118" spans="1:8" x14ac:dyDescent="0.2">
      <c r="A118" s="16"/>
      <c r="B118" s="16"/>
      <c r="C118" s="17" t="s">
        <v>11</v>
      </c>
      <c r="D118" s="16"/>
      <c r="E118" s="16" t="s">
        <v>12</v>
      </c>
      <c r="F118" s="23">
        <v>23894.392500000002</v>
      </c>
      <c r="G118" s="20">
        <v>3.457143E-2</v>
      </c>
      <c r="H118" s="18" t="s">
        <v>12</v>
      </c>
    </row>
    <row r="119" spans="1:8" x14ac:dyDescent="0.2">
      <c r="A119" s="16"/>
      <c r="B119" s="16"/>
      <c r="C119" s="21"/>
      <c r="D119" s="16"/>
      <c r="E119" s="16"/>
      <c r="F119" s="22"/>
      <c r="G119" s="22"/>
      <c r="H119" s="18" t="s">
        <v>12</v>
      </c>
    </row>
    <row r="120" spans="1:8" x14ac:dyDescent="0.2">
      <c r="A120" s="16"/>
      <c r="B120" s="16"/>
      <c r="C120" s="17" t="s">
        <v>92</v>
      </c>
      <c r="D120" s="16"/>
      <c r="E120" s="16"/>
      <c r="F120" s="22"/>
      <c r="G120" s="22"/>
      <c r="H120" s="18" t="s">
        <v>12</v>
      </c>
    </row>
    <row r="121" spans="1:8" x14ac:dyDescent="0.2">
      <c r="A121" s="24">
        <v>1</v>
      </c>
      <c r="B121" s="25"/>
      <c r="C121" s="25" t="s">
        <v>401</v>
      </c>
      <c r="D121" s="25"/>
      <c r="E121" s="29"/>
      <c r="F121" s="27">
        <v>83361.8022317</v>
      </c>
      <c r="G121" s="28">
        <v>0.12061141</v>
      </c>
      <c r="H121" s="18">
        <v>6.49</v>
      </c>
    </row>
    <row r="122" spans="1:8" x14ac:dyDescent="0.2">
      <c r="A122" s="24">
        <v>2</v>
      </c>
      <c r="B122" s="25"/>
      <c r="C122" s="25" t="s">
        <v>93</v>
      </c>
      <c r="D122" s="25"/>
      <c r="E122" s="29"/>
      <c r="F122" s="27">
        <v>53484.956550793999</v>
      </c>
      <c r="G122" s="28">
        <v>7.7384320000000006E-2</v>
      </c>
      <c r="H122" s="18">
        <v>6.25</v>
      </c>
    </row>
    <row r="123" spans="1:8" x14ac:dyDescent="0.2">
      <c r="A123" s="16"/>
      <c r="B123" s="16"/>
      <c r="C123" s="17" t="s">
        <v>11</v>
      </c>
      <c r="D123" s="16"/>
      <c r="E123" s="16" t="s">
        <v>12</v>
      </c>
      <c r="F123" s="23">
        <v>136846.758782494</v>
      </c>
      <c r="G123" s="20">
        <v>0.19799573000000001</v>
      </c>
      <c r="H123" s="18" t="s">
        <v>12</v>
      </c>
    </row>
    <row r="124" spans="1:8" x14ac:dyDescent="0.2">
      <c r="A124" s="16"/>
      <c r="B124" s="16"/>
      <c r="C124" s="21"/>
      <c r="D124" s="16"/>
      <c r="E124" s="16"/>
      <c r="F124" s="22"/>
      <c r="G124" s="22"/>
      <c r="H124" s="18" t="s">
        <v>12</v>
      </c>
    </row>
    <row r="125" spans="1:8" x14ac:dyDescent="0.2">
      <c r="A125" s="16"/>
      <c r="B125" s="16"/>
      <c r="C125" s="17" t="s">
        <v>94</v>
      </c>
      <c r="D125" s="16"/>
      <c r="E125" s="16"/>
      <c r="F125" s="23">
        <v>678039.10128249403</v>
      </c>
      <c r="G125" s="20">
        <v>0.98101589</v>
      </c>
      <c r="H125" s="18" t="s">
        <v>12</v>
      </c>
    </row>
    <row r="126" spans="1:8" x14ac:dyDescent="0.2">
      <c r="A126" s="16"/>
      <c r="B126" s="16"/>
      <c r="C126" s="22"/>
      <c r="D126" s="16"/>
      <c r="E126" s="16"/>
      <c r="F126" s="16"/>
      <c r="G126" s="16"/>
      <c r="H126" s="18" t="s">
        <v>12</v>
      </c>
    </row>
    <row r="127" spans="1:8" x14ac:dyDescent="0.2">
      <c r="A127" s="16"/>
      <c r="B127" s="16"/>
      <c r="C127" s="17" t="s">
        <v>95</v>
      </c>
      <c r="D127" s="16"/>
      <c r="E127" s="16"/>
      <c r="F127" s="16"/>
      <c r="G127" s="16"/>
      <c r="H127" s="18" t="s">
        <v>12</v>
      </c>
    </row>
    <row r="128" spans="1:8" x14ac:dyDescent="0.2">
      <c r="A128" s="16"/>
      <c r="B128" s="16"/>
      <c r="C128" s="17" t="s">
        <v>96</v>
      </c>
      <c r="D128" s="16"/>
      <c r="E128" s="16"/>
      <c r="F128" s="16"/>
      <c r="G128" s="16"/>
      <c r="H128" s="18" t="s">
        <v>12</v>
      </c>
    </row>
    <row r="129" spans="1:17" x14ac:dyDescent="0.2">
      <c r="A129" s="16"/>
      <c r="B129" s="16"/>
      <c r="C129" s="17" t="s">
        <v>11</v>
      </c>
      <c r="D129" s="16"/>
      <c r="E129" s="16" t="s">
        <v>12</v>
      </c>
      <c r="F129" s="19" t="s">
        <v>13</v>
      </c>
      <c r="G129" s="20">
        <v>0</v>
      </c>
      <c r="H129" s="18" t="s">
        <v>12</v>
      </c>
    </row>
    <row r="130" spans="1:17" x14ac:dyDescent="0.2">
      <c r="A130" s="30"/>
      <c r="B130" s="30"/>
      <c r="C130" s="31"/>
      <c r="D130" s="30"/>
      <c r="E130" s="30"/>
      <c r="F130" s="32"/>
      <c r="G130" s="32"/>
      <c r="H130" s="18" t="s">
        <v>12</v>
      </c>
    </row>
    <row r="131" spans="1:17" ht="25.5" x14ac:dyDescent="0.2">
      <c r="A131" s="30"/>
      <c r="B131" s="30"/>
      <c r="C131" s="33" t="s">
        <v>569</v>
      </c>
      <c r="D131" s="30"/>
      <c r="E131" s="30"/>
      <c r="F131" s="32"/>
      <c r="G131" s="32"/>
      <c r="H131" s="34"/>
      <c r="K131" s="35"/>
      <c r="L131" s="35"/>
      <c r="M131" s="35"/>
      <c r="N131" s="35"/>
      <c r="O131" s="36"/>
      <c r="P131" s="36"/>
      <c r="Q131" s="36"/>
    </row>
    <row r="132" spans="1:17" ht="25.5" x14ac:dyDescent="0.2">
      <c r="A132" s="37">
        <v>1</v>
      </c>
      <c r="B132" s="38" t="s">
        <v>97</v>
      </c>
      <c r="C132" s="38" t="s">
        <v>98</v>
      </c>
      <c r="D132" s="38"/>
      <c r="E132" s="39">
        <v>13489.8614</v>
      </c>
      <c r="F132" s="34">
        <v>1466.8354982410001</v>
      </c>
      <c r="G132" s="40">
        <v>2.1222799999999998E-3</v>
      </c>
      <c r="H132" s="18"/>
    </row>
    <row r="133" spans="1:17" x14ac:dyDescent="0.2">
      <c r="A133" s="30"/>
      <c r="B133" s="30"/>
      <c r="C133" s="33" t="s">
        <v>11</v>
      </c>
      <c r="D133" s="30"/>
      <c r="E133" s="30" t="s">
        <v>12</v>
      </c>
      <c r="F133" s="41">
        <f>SUM(F132)</f>
        <v>1466.8354982410001</v>
      </c>
      <c r="G133" s="42">
        <f>SUM(G132)</f>
        <v>2.1222799999999998E-3</v>
      </c>
      <c r="H133" s="18" t="s">
        <v>12</v>
      </c>
    </row>
    <row r="134" spans="1:17" x14ac:dyDescent="0.2">
      <c r="A134" s="16"/>
      <c r="B134" s="16"/>
      <c r="C134" s="21"/>
      <c r="D134" s="16"/>
      <c r="E134" s="16"/>
      <c r="F134" s="22"/>
      <c r="G134" s="22"/>
      <c r="H134" s="18" t="s">
        <v>12</v>
      </c>
    </row>
    <row r="135" spans="1:17" x14ac:dyDescent="0.2">
      <c r="A135" s="16"/>
      <c r="B135" s="16"/>
      <c r="C135" s="17" t="s">
        <v>99</v>
      </c>
      <c r="D135" s="16"/>
      <c r="E135" s="16"/>
      <c r="F135" s="16"/>
      <c r="G135" s="16"/>
      <c r="H135" s="18" t="s">
        <v>12</v>
      </c>
    </row>
    <row r="136" spans="1:17" x14ac:dyDescent="0.2">
      <c r="A136" s="16"/>
      <c r="B136" s="16"/>
      <c r="C136" s="17" t="s">
        <v>100</v>
      </c>
      <c r="D136" s="16"/>
      <c r="E136" s="16"/>
      <c r="F136" s="16"/>
      <c r="G136" s="16"/>
      <c r="H136" s="18" t="s">
        <v>12</v>
      </c>
    </row>
    <row r="137" spans="1:17" x14ac:dyDescent="0.2">
      <c r="A137" s="16"/>
      <c r="B137" s="16"/>
      <c r="C137" s="17" t="s">
        <v>11</v>
      </c>
      <c r="D137" s="16"/>
      <c r="E137" s="16" t="s">
        <v>12</v>
      </c>
      <c r="F137" s="19" t="s">
        <v>13</v>
      </c>
      <c r="G137" s="20">
        <v>0</v>
      </c>
      <c r="H137" s="18" t="s">
        <v>12</v>
      </c>
    </row>
    <row r="138" spans="1:17" x14ac:dyDescent="0.2">
      <c r="A138" s="16"/>
      <c r="B138" s="16"/>
      <c r="C138" s="21"/>
      <c r="D138" s="16"/>
      <c r="E138" s="16"/>
      <c r="F138" s="22"/>
      <c r="G138" s="22"/>
      <c r="H138" s="18" t="s">
        <v>12</v>
      </c>
    </row>
    <row r="139" spans="1:17" ht="25.5" x14ac:dyDescent="0.2">
      <c r="A139" s="16"/>
      <c r="B139" s="16"/>
      <c r="C139" s="17" t="s">
        <v>101</v>
      </c>
      <c r="D139" s="16"/>
      <c r="E139" s="16"/>
      <c r="F139" s="22"/>
      <c r="G139" s="22"/>
      <c r="H139" s="18" t="s">
        <v>12</v>
      </c>
    </row>
    <row r="140" spans="1:17" x14ac:dyDescent="0.2">
      <c r="A140" s="16"/>
      <c r="B140" s="16"/>
      <c r="C140" s="17" t="s">
        <v>11</v>
      </c>
      <c r="D140" s="16"/>
      <c r="E140" s="16" t="s">
        <v>12</v>
      </c>
      <c r="F140" s="19" t="s">
        <v>13</v>
      </c>
      <c r="G140" s="20">
        <v>0</v>
      </c>
      <c r="H140" s="18" t="s">
        <v>12</v>
      </c>
    </row>
    <row r="141" spans="1:17" x14ac:dyDescent="0.2">
      <c r="A141" s="16"/>
      <c r="B141" s="25"/>
      <c r="C141" s="25"/>
      <c r="D141" s="17"/>
      <c r="E141" s="16"/>
      <c r="F141" s="25"/>
      <c r="G141" s="29"/>
      <c r="H141" s="18" t="s">
        <v>12</v>
      </c>
    </row>
    <row r="142" spans="1:17" x14ac:dyDescent="0.2">
      <c r="A142" s="29"/>
      <c r="B142" s="25"/>
      <c r="C142" s="25" t="s">
        <v>102</v>
      </c>
      <c r="D142" s="25"/>
      <c r="E142" s="29"/>
      <c r="F142" s="27">
        <f>-5838.45866863-0.000810795288085937</f>
        <v>-5838.459479425288</v>
      </c>
      <c r="G142" s="28">
        <v>-8.4473299999999994E-3</v>
      </c>
      <c r="H142" s="18" t="s">
        <v>12</v>
      </c>
    </row>
    <row r="143" spans="1:17" x14ac:dyDescent="0.2">
      <c r="A143" s="21"/>
      <c r="B143" s="21"/>
      <c r="C143" s="17" t="s">
        <v>103</v>
      </c>
      <c r="D143" s="22"/>
      <c r="E143" s="22"/>
      <c r="F143" s="23">
        <f>691160.175612105-0.000810795288085937</f>
        <v>691160.17480130983</v>
      </c>
      <c r="G143" s="43">
        <v>1.00000003</v>
      </c>
      <c r="H143" s="18" t="s">
        <v>12</v>
      </c>
    </row>
    <row r="144" spans="1:17" x14ac:dyDescent="0.2">
      <c r="A144" s="44"/>
      <c r="B144" s="44"/>
      <c r="C144" s="44"/>
      <c r="D144" s="45"/>
      <c r="E144" s="45"/>
      <c r="F144" s="45"/>
      <c r="G144" s="45"/>
    </row>
    <row r="145" spans="1:8" x14ac:dyDescent="0.2">
      <c r="A145" s="46"/>
      <c r="B145" s="151" t="s">
        <v>570</v>
      </c>
      <c r="C145" s="151"/>
      <c r="D145" s="151"/>
      <c r="E145" s="151"/>
      <c r="F145" s="151"/>
      <c r="G145" s="151"/>
      <c r="H145" s="151"/>
    </row>
    <row r="146" spans="1:8" x14ac:dyDescent="0.2">
      <c r="A146" s="46"/>
      <c r="B146" s="151" t="s">
        <v>571</v>
      </c>
      <c r="C146" s="151"/>
      <c r="D146" s="151"/>
      <c r="E146" s="151"/>
      <c r="F146" s="151"/>
      <c r="G146" s="151"/>
      <c r="H146" s="151"/>
    </row>
    <row r="147" spans="1:8" x14ac:dyDescent="0.2">
      <c r="A147" s="46"/>
      <c r="B147" s="151" t="s">
        <v>572</v>
      </c>
      <c r="C147" s="151"/>
      <c r="D147" s="151"/>
      <c r="E147" s="151"/>
      <c r="F147" s="151"/>
      <c r="G147" s="151"/>
      <c r="H147" s="151"/>
    </row>
    <row r="148" spans="1:8" x14ac:dyDescent="0.2">
      <c r="A148" s="46"/>
      <c r="B148" s="166" t="s">
        <v>630</v>
      </c>
      <c r="C148" s="151"/>
      <c r="D148" s="151"/>
      <c r="E148" s="151"/>
      <c r="F148" s="151"/>
      <c r="G148" s="151"/>
      <c r="H148" s="151"/>
    </row>
    <row r="149" spans="1:8" x14ac:dyDescent="0.2">
      <c r="A149" s="48"/>
      <c r="B149" s="48"/>
      <c r="C149" s="48"/>
      <c r="D149" s="49"/>
      <c r="E149" s="49"/>
      <c r="F149" s="49"/>
      <c r="G149" s="49"/>
    </row>
    <row r="150" spans="1:8" x14ac:dyDescent="0.2">
      <c r="A150" s="48"/>
      <c r="B150" s="153" t="s">
        <v>104</v>
      </c>
      <c r="C150" s="154"/>
      <c r="D150" s="155"/>
      <c r="E150" s="50"/>
      <c r="F150" s="49"/>
      <c r="G150" s="49"/>
    </row>
    <row r="151" spans="1:8" ht="25.5" x14ac:dyDescent="0.2">
      <c r="A151" s="48"/>
      <c r="B151" s="156" t="s">
        <v>105</v>
      </c>
      <c r="C151" s="157"/>
      <c r="D151" s="33" t="s">
        <v>598</v>
      </c>
      <c r="E151" s="50"/>
      <c r="F151" s="49"/>
      <c r="G151" s="49"/>
    </row>
    <row r="152" spans="1:8" x14ac:dyDescent="0.2">
      <c r="A152" s="48"/>
      <c r="B152" s="156" t="s">
        <v>107</v>
      </c>
      <c r="C152" s="157"/>
      <c r="D152" s="17" t="s">
        <v>106</v>
      </c>
      <c r="E152" s="50"/>
      <c r="F152" s="49"/>
      <c r="G152" s="49"/>
    </row>
    <row r="153" spans="1:8" x14ac:dyDescent="0.2">
      <c r="A153" s="48"/>
      <c r="B153" s="156" t="s">
        <v>108</v>
      </c>
      <c r="C153" s="157"/>
      <c r="D153" s="22" t="s">
        <v>12</v>
      </c>
      <c r="E153" s="50"/>
      <c r="F153" s="49"/>
      <c r="G153" s="49"/>
    </row>
    <row r="154" spans="1:8" x14ac:dyDescent="0.2">
      <c r="A154" s="51"/>
      <c r="B154" s="52" t="s">
        <v>12</v>
      </c>
      <c r="C154" s="52" t="s">
        <v>573</v>
      </c>
      <c r="D154" s="52" t="s">
        <v>109</v>
      </c>
      <c r="E154" s="51"/>
      <c r="F154" s="51"/>
      <c r="G154" s="51"/>
      <c r="H154" s="53"/>
    </row>
    <row r="155" spans="1:8" x14ac:dyDescent="0.2">
      <c r="A155" s="51"/>
      <c r="B155" s="54" t="s">
        <v>110</v>
      </c>
      <c r="C155" s="55">
        <v>45657</v>
      </c>
      <c r="D155" s="55">
        <v>45672</v>
      </c>
      <c r="E155" s="51"/>
      <c r="F155" s="51"/>
      <c r="G155" s="51"/>
    </row>
    <row r="156" spans="1:8" x14ac:dyDescent="0.2">
      <c r="A156" s="56"/>
      <c r="B156" s="25" t="s">
        <v>111</v>
      </c>
      <c r="C156" s="57">
        <v>2249.7415999999998</v>
      </c>
      <c r="D156" s="57">
        <v>2256.3044</v>
      </c>
      <c r="E156" s="56"/>
      <c r="F156" s="58"/>
      <c r="G156" s="59"/>
    </row>
    <row r="157" spans="1:8" x14ac:dyDescent="0.2">
      <c r="A157" s="56"/>
      <c r="B157" s="25" t="s">
        <v>136</v>
      </c>
      <c r="C157" s="57">
        <v>1237.1476</v>
      </c>
      <c r="D157" s="57">
        <v>1240.7556999999999</v>
      </c>
      <c r="E157" s="56"/>
      <c r="F157" s="58"/>
      <c r="G157" s="59"/>
    </row>
    <row r="158" spans="1:8" ht="25.5" x14ac:dyDescent="0.2">
      <c r="A158" s="56"/>
      <c r="B158" s="25" t="s">
        <v>695</v>
      </c>
      <c r="C158" s="57">
        <v>1027.0038999999999</v>
      </c>
      <c r="D158" s="57">
        <v>1030</v>
      </c>
      <c r="E158" s="56"/>
      <c r="F158" s="58"/>
      <c r="G158" s="59"/>
    </row>
    <row r="159" spans="1:8" ht="25.5" x14ac:dyDescent="0.2">
      <c r="A159" s="56"/>
      <c r="B159" s="25" t="s">
        <v>696</v>
      </c>
      <c r="C159" s="57">
        <v>1137.7311</v>
      </c>
      <c r="D159" s="57">
        <v>1141.0463</v>
      </c>
      <c r="E159" s="56"/>
      <c r="F159" s="58"/>
      <c r="G159" s="59"/>
    </row>
    <row r="160" spans="1:8" x14ac:dyDescent="0.2">
      <c r="A160" s="56"/>
      <c r="B160" s="25" t="s">
        <v>112</v>
      </c>
      <c r="C160" s="57">
        <v>2226.1694000000002</v>
      </c>
      <c r="D160" s="57">
        <v>2232.4890999999998</v>
      </c>
      <c r="E160" s="56"/>
      <c r="F160" s="58"/>
      <c r="G160" s="59"/>
    </row>
    <row r="161" spans="1:18" x14ac:dyDescent="0.2">
      <c r="A161" s="56"/>
      <c r="B161" s="25" t="s">
        <v>137</v>
      </c>
      <c r="C161" s="57">
        <v>1232.2523000000001</v>
      </c>
      <c r="D161" s="57">
        <v>1235.7505000000001</v>
      </c>
      <c r="E161" s="56"/>
      <c r="F161" s="58"/>
      <c r="G161" s="59"/>
    </row>
    <row r="162" spans="1:18" ht="25.5" x14ac:dyDescent="0.2">
      <c r="A162" s="56"/>
      <c r="B162" s="25" t="s">
        <v>699</v>
      </c>
      <c r="C162" s="57">
        <v>1026.8737000000001</v>
      </c>
      <c r="D162" s="57">
        <v>1029.789</v>
      </c>
      <c r="E162" s="56"/>
      <c r="F162" s="58"/>
      <c r="G162" s="59"/>
    </row>
    <row r="163" spans="1:18" ht="25.5" x14ac:dyDescent="0.2">
      <c r="A163" s="56"/>
      <c r="B163" s="25" t="s">
        <v>665</v>
      </c>
      <c r="C163" s="57">
        <v>1133.4367999999999</v>
      </c>
      <c r="D163" s="57">
        <v>1136.6543999999999</v>
      </c>
      <c r="E163" s="56"/>
      <c r="F163" s="58"/>
      <c r="G163" s="59"/>
    </row>
    <row r="164" spans="1:18" x14ac:dyDescent="0.2">
      <c r="A164" s="56"/>
      <c r="B164" s="56"/>
      <c r="C164" s="56"/>
      <c r="D164" s="56"/>
      <c r="E164" s="56"/>
      <c r="F164" s="56"/>
      <c r="G164" s="56"/>
    </row>
    <row r="165" spans="1:18" x14ac:dyDescent="0.2">
      <c r="A165" s="56"/>
      <c r="B165" s="156" t="s">
        <v>702</v>
      </c>
      <c r="C165" s="157"/>
      <c r="D165" s="33" t="s">
        <v>106</v>
      </c>
      <c r="E165" s="56"/>
      <c r="F165" s="56"/>
      <c r="G165" s="56"/>
    </row>
    <row r="166" spans="1:18" x14ac:dyDescent="0.2">
      <c r="A166" s="56"/>
      <c r="B166" s="60"/>
      <c r="C166" s="60"/>
      <c r="D166" s="60"/>
      <c r="E166" s="56"/>
      <c r="F166" s="56"/>
      <c r="G166" s="56"/>
    </row>
    <row r="167" spans="1:18" s="62" customFormat="1" x14ac:dyDescent="0.2">
      <c r="A167" s="72"/>
      <c r="B167" s="158" t="s">
        <v>588</v>
      </c>
      <c r="C167" s="159"/>
      <c r="D167" s="33" t="s">
        <v>106</v>
      </c>
      <c r="E167" s="72"/>
      <c r="F167" s="72"/>
      <c r="G167" s="72"/>
      <c r="I167"/>
      <c r="J167" s="15"/>
      <c r="K167" s="35"/>
      <c r="L167" s="35"/>
      <c r="M167" s="35"/>
      <c r="N167" s="35"/>
      <c r="O167" s="68"/>
      <c r="P167"/>
      <c r="Q167"/>
    </row>
    <row r="168" spans="1:18" ht="27.75" customHeight="1" x14ac:dyDescent="0.2">
      <c r="A168" s="51"/>
      <c r="B168" s="158" t="s">
        <v>589</v>
      </c>
      <c r="C168" s="159"/>
      <c r="D168" s="33" t="s">
        <v>106</v>
      </c>
      <c r="E168" s="61"/>
      <c r="F168" s="51"/>
      <c r="G168" s="51"/>
      <c r="J168" s="15"/>
    </row>
    <row r="169" spans="1:18" ht="26.25" customHeight="1" x14ac:dyDescent="0.2">
      <c r="A169" s="51"/>
      <c r="B169" s="158" t="s">
        <v>590</v>
      </c>
      <c r="C169" s="159"/>
      <c r="D169" s="33" t="s">
        <v>106</v>
      </c>
      <c r="E169" s="61"/>
      <c r="F169" s="51"/>
      <c r="G169" s="51"/>
      <c r="J169" s="15"/>
    </row>
    <row r="170" spans="1:18" x14ac:dyDescent="0.2">
      <c r="A170" s="51"/>
      <c r="B170" s="158" t="s">
        <v>591</v>
      </c>
      <c r="C170" s="159"/>
      <c r="D170" s="33" t="s">
        <v>106</v>
      </c>
      <c r="E170" s="61"/>
      <c r="F170" s="51"/>
      <c r="G170" s="51"/>
      <c r="J170" s="15"/>
    </row>
    <row r="171" spans="1:18" x14ac:dyDescent="0.2">
      <c r="A171" s="60"/>
      <c r="B171" s="60"/>
      <c r="C171" s="60"/>
      <c r="D171" s="60"/>
      <c r="E171" s="60"/>
      <c r="F171" s="60"/>
      <c r="G171" s="60"/>
      <c r="J171" s="15"/>
    </row>
    <row r="172" spans="1:18" s="62" customFormat="1" x14ac:dyDescent="0.2">
      <c r="B172" s="74" t="s">
        <v>691</v>
      </c>
      <c r="C172" s="74"/>
      <c r="D172" s="74"/>
      <c r="E172" s="74"/>
      <c r="F172" s="74"/>
      <c r="G172" s="74"/>
      <c r="I172"/>
      <c r="J172" s="15"/>
      <c r="K172" s="35"/>
      <c r="L172" s="35"/>
      <c r="M172" s="35"/>
      <c r="N172" s="35"/>
      <c r="O172"/>
    </row>
    <row r="173" spans="1:18" s="62" customFormat="1" x14ac:dyDescent="0.2">
      <c r="B173" s="74"/>
      <c r="C173" s="74"/>
      <c r="D173" s="74"/>
      <c r="E173" s="74"/>
      <c r="F173" s="74"/>
      <c r="G173" s="74"/>
      <c r="I173"/>
      <c r="J173" s="15"/>
      <c r="K173" s="35"/>
      <c r="L173" s="35"/>
      <c r="M173" s="35"/>
      <c r="N173" s="35"/>
      <c r="O173"/>
    </row>
    <row r="174" spans="1:18" s="62" customFormat="1" ht="63.75" x14ac:dyDescent="0.2">
      <c r="B174" s="77" t="s">
        <v>601</v>
      </c>
      <c r="C174" s="77" t="s">
        <v>600</v>
      </c>
      <c r="D174" s="77" t="s">
        <v>631</v>
      </c>
      <c r="E174" s="77" t="s">
        <v>632</v>
      </c>
      <c r="F174" s="77" t="s">
        <v>604</v>
      </c>
      <c r="I174"/>
      <c r="J174" s="15"/>
      <c r="K174" s="35"/>
      <c r="L174" s="35"/>
      <c r="M174" s="35"/>
      <c r="N174" s="35"/>
      <c r="O174"/>
    </row>
    <row r="175" spans="1:18" s="62" customFormat="1" ht="25.5" x14ac:dyDescent="0.2">
      <c r="B175" s="64" t="s">
        <v>606</v>
      </c>
      <c r="C175" s="79" t="s">
        <v>605</v>
      </c>
      <c r="D175" s="92">
        <v>0</v>
      </c>
      <c r="E175" s="11">
        <v>0</v>
      </c>
      <c r="F175" s="80">
        <v>5650</v>
      </c>
      <c r="I175"/>
      <c r="J175" s="15"/>
      <c r="K175" s="35"/>
      <c r="L175" s="35"/>
      <c r="M175" s="35"/>
      <c r="N175" s="35"/>
      <c r="O175"/>
      <c r="R175"/>
    </row>
    <row r="176" spans="1:18" s="62" customFormat="1" x14ac:dyDescent="0.2">
      <c r="I176"/>
      <c r="J176" s="15"/>
      <c r="K176" s="35"/>
      <c r="L176" s="35"/>
      <c r="M176" s="35"/>
      <c r="N176" s="35"/>
      <c r="O176"/>
      <c r="R176"/>
    </row>
    <row r="177" spans="2:18" s="62" customFormat="1" x14ac:dyDescent="0.2">
      <c r="B177" s="160" t="s">
        <v>575</v>
      </c>
      <c r="C177" s="161"/>
      <c r="D177" s="162"/>
      <c r="I177"/>
      <c r="J177" s="15"/>
      <c r="K177" s="35"/>
      <c r="L177" s="35"/>
      <c r="M177" s="35"/>
      <c r="N177" s="35"/>
      <c r="O177"/>
      <c r="R177"/>
    </row>
    <row r="178" spans="2:18" s="62" customFormat="1" ht="25.5" x14ac:dyDescent="0.2">
      <c r="B178" s="152" t="s">
        <v>576</v>
      </c>
      <c r="C178" s="152"/>
      <c r="D178" s="63" t="s">
        <v>264</v>
      </c>
      <c r="I178"/>
      <c r="J178" s="15"/>
      <c r="K178" s="35"/>
      <c r="L178" s="35"/>
      <c r="M178" s="35"/>
      <c r="N178" s="35"/>
      <c r="O178"/>
      <c r="R178"/>
    </row>
    <row r="179" spans="2:18" s="62" customFormat="1" x14ac:dyDescent="0.2">
      <c r="B179" s="148" t="s">
        <v>577</v>
      </c>
      <c r="C179" s="148"/>
      <c r="D179" s="64"/>
      <c r="I179"/>
      <c r="J179" s="15"/>
      <c r="K179" s="35"/>
      <c r="L179" s="35"/>
      <c r="M179" s="35"/>
      <c r="N179" s="35"/>
      <c r="O179"/>
      <c r="R179"/>
    </row>
    <row r="180" spans="2:18" s="62" customFormat="1" x14ac:dyDescent="0.2">
      <c r="B180" s="148"/>
      <c r="C180" s="148"/>
      <c r="D180" s="65"/>
      <c r="I180"/>
      <c r="J180" s="15"/>
      <c r="K180" s="35"/>
      <c r="L180" s="35"/>
      <c r="M180" s="35"/>
      <c r="N180" s="35"/>
      <c r="O180"/>
      <c r="R180"/>
    </row>
    <row r="181" spans="2:18" s="62" customFormat="1" x14ac:dyDescent="0.2">
      <c r="B181" s="148" t="s">
        <v>578</v>
      </c>
      <c r="C181" s="148"/>
      <c r="D181" s="66">
        <v>7.1180141897167335</v>
      </c>
      <c r="I181"/>
      <c r="J181" s="15"/>
      <c r="K181" s="35"/>
      <c r="L181" s="35"/>
      <c r="M181" s="35"/>
      <c r="N181" s="35"/>
      <c r="O181"/>
      <c r="R181"/>
    </row>
    <row r="182" spans="2:18" s="62" customFormat="1" x14ac:dyDescent="0.2">
      <c r="B182" s="148"/>
      <c r="C182" s="148"/>
      <c r="D182" s="65"/>
      <c r="I182"/>
      <c r="J182" s="15"/>
      <c r="K182" s="35"/>
      <c r="L182" s="35"/>
      <c r="M182" s="35"/>
      <c r="N182" s="35"/>
      <c r="O182"/>
      <c r="R182"/>
    </row>
    <row r="183" spans="2:18" s="62" customFormat="1" x14ac:dyDescent="0.2">
      <c r="B183" s="148" t="s">
        <v>579</v>
      </c>
      <c r="C183" s="148"/>
      <c r="D183" s="66">
        <v>9.6026981823132199E-2</v>
      </c>
      <c r="I183"/>
      <c r="J183" s="15"/>
      <c r="K183" s="35"/>
      <c r="L183" s="35"/>
      <c r="M183" s="35"/>
      <c r="N183" s="35"/>
      <c r="O183"/>
      <c r="R183"/>
    </row>
    <row r="184" spans="2:18" s="62" customFormat="1" x14ac:dyDescent="0.2">
      <c r="B184" s="148" t="s">
        <v>580</v>
      </c>
      <c r="C184" s="148"/>
      <c r="D184" s="66">
        <v>9.6026981823132199E-2</v>
      </c>
      <c r="I184"/>
      <c r="J184" s="15"/>
      <c r="K184" s="35"/>
      <c r="L184" s="35"/>
      <c r="M184" s="35"/>
      <c r="N184" s="35"/>
      <c r="O184"/>
      <c r="R184"/>
    </row>
    <row r="185" spans="2:18" s="62" customFormat="1" x14ac:dyDescent="0.2">
      <c r="B185" s="148"/>
      <c r="C185" s="148"/>
      <c r="D185" s="65"/>
      <c r="I185"/>
      <c r="J185" s="15"/>
      <c r="K185" s="35"/>
      <c r="L185" s="35"/>
      <c r="M185" s="35"/>
      <c r="N185" s="35"/>
      <c r="O185"/>
      <c r="P185"/>
      <c r="Q185"/>
      <c r="R185"/>
    </row>
    <row r="186" spans="2:18" s="62" customFormat="1" x14ac:dyDescent="0.2">
      <c r="B186" s="148" t="s">
        <v>581</v>
      </c>
      <c r="C186" s="148"/>
      <c r="D186" s="67" t="s">
        <v>690</v>
      </c>
      <c r="I186"/>
      <c r="J186" s="15"/>
      <c r="K186" s="35"/>
      <c r="L186" s="35"/>
      <c r="M186" s="35"/>
      <c r="N186" s="35"/>
      <c r="O186" s="68"/>
    </row>
    <row r="187" spans="2:18" s="62" customFormat="1" x14ac:dyDescent="0.2">
      <c r="B187" s="146" t="s">
        <v>582</v>
      </c>
      <c r="C187" s="149"/>
      <c r="D187" s="147"/>
      <c r="I187"/>
      <c r="J187" s="15"/>
      <c r="K187" s="35"/>
      <c r="L187" s="35"/>
      <c r="M187" s="35"/>
      <c r="N187" s="35"/>
      <c r="O187"/>
      <c r="P187"/>
      <c r="Q187"/>
      <c r="R187"/>
    </row>
    <row r="188" spans="2:18" x14ac:dyDescent="0.2">
      <c r="J188" s="15"/>
    </row>
    <row r="189" spans="2:18" ht="25.5" x14ac:dyDescent="0.2">
      <c r="B189" s="69" t="s">
        <v>583</v>
      </c>
    </row>
    <row r="191" spans="2:18" ht="153.75" customHeight="1" x14ac:dyDescent="0.2"/>
    <row r="194" spans="2:10" x14ac:dyDescent="0.2">
      <c r="B194" s="70" t="s">
        <v>584</v>
      </c>
      <c r="C194" s="71"/>
      <c r="D194" s="70" t="s">
        <v>585</v>
      </c>
    </row>
    <row r="195" spans="2:10" x14ac:dyDescent="0.2">
      <c r="B195" s="70" t="s">
        <v>633</v>
      </c>
      <c r="D195" s="70" t="s">
        <v>634</v>
      </c>
    </row>
    <row r="196" spans="2:10" ht="165" customHeight="1" x14ac:dyDescent="0.2"/>
    <row r="198" spans="2:10" x14ac:dyDescent="0.2">
      <c r="J198" s="15"/>
    </row>
  </sheetData>
  <mergeCells count="27">
    <mergeCell ref="B147:H147"/>
    <mergeCell ref="B170:C170"/>
    <mergeCell ref="B150:D150"/>
    <mergeCell ref="B151:C151"/>
    <mergeCell ref="B152:C152"/>
    <mergeCell ref="B153:C153"/>
    <mergeCell ref="B165:C165"/>
    <mergeCell ref="B169:C169"/>
    <mergeCell ref="B148:H148"/>
    <mergeCell ref="B167:C167"/>
    <mergeCell ref="B168:C168"/>
    <mergeCell ref="A1:H1"/>
    <mergeCell ref="A2:H2"/>
    <mergeCell ref="A3:H3"/>
    <mergeCell ref="B145:H145"/>
    <mergeCell ref="B146:H146"/>
    <mergeCell ref="B177:D177"/>
    <mergeCell ref="B178:C178"/>
    <mergeCell ref="B184:C184"/>
    <mergeCell ref="B185:C185"/>
    <mergeCell ref="B186:C186"/>
    <mergeCell ref="B187:D187"/>
    <mergeCell ref="B179:C179"/>
    <mergeCell ref="B180:C180"/>
    <mergeCell ref="B181:C181"/>
    <mergeCell ref="B182:C182"/>
    <mergeCell ref="B183:C183"/>
  </mergeCells>
  <hyperlinks>
    <hyperlink ref="I1" location="Index!B2" display="Index" xr:uid="{E6F635F6-D2CF-4B1F-A9A4-544182B907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8850-FE5F-4977-8485-43378ADC56E9}">
  <sheetPr>
    <outlinePr summaryBelow="0" summaryRight="0"/>
  </sheetPr>
  <dimension ref="A1:S179"/>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7109375" customWidth="1"/>
    <col min="4" max="4" width="11.5703125" customWidth="1"/>
    <col min="5" max="5" width="8.7109375" bestFit="1" customWidth="1"/>
    <col min="6" max="6" width="10.140625" bestFit="1" customWidth="1"/>
    <col min="7" max="7" width="14" bestFit="1" customWidth="1"/>
    <col min="8" max="9" width="8.28515625" customWidth="1"/>
    <col min="10" max="10" width="11" customWidth="1"/>
  </cols>
  <sheetData>
    <row r="1" spans="1:9" ht="15" x14ac:dyDescent="0.2">
      <c r="A1" s="150" t="s">
        <v>0</v>
      </c>
      <c r="B1" s="150"/>
      <c r="C1" s="150"/>
      <c r="D1" s="150"/>
      <c r="E1" s="150"/>
      <c r="F1" s="150"/>
      <c r="G1" s="150"/>
      <c r="H1" s="150"/>
      <c r="I1" s="7" t="s">
        <v>566</v>
      </c>
    </row>
    <row r="2" spans="1:9" ht="15" x14ac:dyDescent="0.2">
      <c r="A2" s="150" t="s">
        <v>402</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567</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230</v>
      </c>
      <c r="C28" s="25" t="s">
        <v>231</v>
      </c>
      <c r="D28" s="25" t="s">
        <v>225</v>
      </c>
      <c r="E28" s="26">
        <v>1100</v>
      </c>
      <c r="F28" s="27">
        <v>1104.5473999999999</v>
      </c>
      <c r="G28" s="28">
        <v>5.1052149999999998E-2</v>
      </c>
      <c r="H28" s="18">
        <v>8.31</v>
      </c>
    </row>
    <row r="29" spans="1:8" ht="25.5" x14ac:dyDescent="0.2">
      <c r="A29" s="24">
        <v>2</v>
      </c>
      <c r="B29" s="25" t="s">
        <v>403</v>
      </c>
      <c r="C29" s="25" t="s">
        <v>404</v>
      </c>
      <c r="D29" s="25" t="s">
        <v>23</v>
      </c>
      <c r="E29" s="26">
        <v>1000</v>
      </c>
      <c r="F29" s="27">
        <v>1007.3</v>
      </c>
      <c r="G29" s="28">
        <v>4.6557380000000002E-2</v>
      </c>
      <c r="H29" s="18">
        <v>7.4950000000000001</v>
      </c>
    </row>
    <row r="30" spans="1:8" ht="25.5" x14ac:dyDescent="0.2">
      <c r="A30" s="24">
        <v>3</v>
      </c>
      <c r="B30" s="25" t="s">
        <v>37</v>
      </c>
      <c r="C30" s="25" t="s">
        <v>38</v>
      </c>
      <c r="D30" s="25" t="s">
        <v>23</v>
      </c>
      <c r="E30" s="26">
        <v>1000</v>
      </c>
      <c r="F30" s="27">
        <v>1002.975</v>
      </c>
      <c r="G30" s="28">
        <v>4.6357469999999998E-2</v>
      </c>
      <c r="H30" s="18">
        <v>7.52</v>
      </c>
    </row>
    <row r="31" spans="1:8" ht="25.5" x14ac:dyDescent="0.2">
      <c r="A31" s="24">
        <v>4</v>
      </c>
      <c r="B31" s="25" t="s">
        <v>234</v>
      </c>
      <c r="C31" s="25" t="s">
        <v>235</v>
      </c>
      <c r="D31" s="25" t="s">
        <v>222</v>
      </c>
      <c r="E31" s="26">
        <v>1000</v>
      </c>
      <c r="F31" s="27">
        <v>998.39800000000002</v>
      </c>
      <c r="G31" s="28">
        <v>4.6145930000000002E-2</v>
      </c>
      <c r="H31" s="18">
        <v>8.2184000000000008</v>
      </c>
    </row>
    <row r="32" spans="1:8" ht="25.5" x14ac:dyDescent="0.2">
      <c r="A32" s="24">
        <v>5</v>
      </c>
      <c r="B32" s="25" t="s">
        <v>405</v>
      </c>
      <c r="C32" s="25" t="s">
        <v>406</v>
      </c>
      <c r="D32" s="25" t="s">
        <v>251</v>
      </c>
      <c r="E32" s="26">
        <v>500</v>
      </c>
      <c r="F32" s="27">
        <v>503.48700000000002</v>
      </c>
      <c r="G32" s="28">
        <v>2.3271150000000001E-2</v>
      </c>
      <c r="H32" s="18">
        <v>8.32</v>
      </c>
    </row>
    <row r="33" spans="1:8" x14ac:dyDescent="0.2">
      <c r="A33" s="24">
        <v>6</v>
      </c>
      <c r="B33" s="25" t="s">
        <v>59</v>
      </c>
      <c r="C33" s="25" t="s">
        <v>60</v>
      </c>
      <c r="D33" s="25" t="s">
        <v>23</v>
      </c>
      <c r="E33" s="26">
        <v>50</v>
      </c>
      <c r="F33" s="27">
        <v>503.22199999999998</v>
      </c>
      <c r="G33" s="28">
        <v>2.3258910000000001E-2</v>
      </c>
      <c r="H33" s="18">
        <v>7.7</v>
      </c>
    </row>
    <row r="34" spans="1:8" ht="25.5" x14ac:dyDescent="0.2">
      <c r="A34" s="24">
        <v>7</v>
      </c>
      <c r="B34" s="25" t="s">
        <v>407</v>
      </c>
      <c r="C34" s="25" t="s">
        <v>408</v>
      </c>
      <c r="D34" s="25" t="s">
        <v>34</v>
      </c>
      <c r="E34" s="26">
        <v>500</v>
      </c>
      <c r="F34" s="27">
        <v>501.97399999999999</v>
      </c>
      <c r="G34" s="28">
        <v>2.3201220000000002E-2</v>
      </c>
      <c r="H34" s="18">
        <v>7.5750000000000002</v>
      </c>
    </row>
    <row r="35" spans="1:8" x14ac:dyDescent="0.2">
      <c r="A35" s="24">
        <v>8</v>
      </c>
      <c r="B35" s="25" t="s">
        <v>120</v>
      </c>
      <c r="C35" s="25" t="s">
        <v>121</v>
      </c>
      <c r="D35" s="25" t="s">
        <v>23</v>
      </c>
      <c r="E35" s="26">
        <v>500</v>
      </c>
      <c r="F35" s="27">
        <v>501.85500000000002</v>
      </c>
      <c r="G35" s="28">
        <v>2.319572E-2</v>
      </c>
      <c r="H35" s="18">
        <v>7.4038000000000004</v>
      </c>
    </row>
    <row r="36" spans="1:8" x14ac:dyDescent="0.2">
      <c r="A36" s="24">
        <v>9</v>
      </c>
      <c r="B36" s="25" t="s">
        <v>223</v>
      </c>
      <c r="C36" s="25" t="s">
        <v>224</v>
      </c>
      <c r="D36" s="25" t="s">
        <v>225</v>
      </c>
      <c r="E36" s="26">
        <v>500</v>
      </c>
      <c r="F36" s="27">
        <v>501.166</v>
      </c>
      <c r="G36" s="28">
        <v>2.3163880000000001E-2</v>
      </c>
      <c r="H36" s="18">
        <v>8.9350000000000005</v>
      </c>
    </row>
    <row r="37" spans="1:8" x14ac:dyDescent="0.2">
      <c r="A37" s="24">
        <v>10</v>
      </c>
      <c r="B37" s="25" t="s">
        <v>217</v>
      </c>
      <c r="C37" s="25" t="s">
        <v>218</v>
      </c>
      <c r="D37" s="25" t="s">
        <v>219</v>
      </c>
      <c r="E37" s="26">
        <v>500</v>
      </c>
      <c r="F37" s="27">
        <v>499.96499999999997</v>
      </c>
      <c r="G37" s="28">
        <v>2.310837E-2</v>
      </c>
      <c r="H37" s="18">
        <v>7.6224999999999996</v>
      </c>
    </row>
    <row r="38" spans="1:8" ht="25.5" x14ac:dyDescent="0.2">
      <c r="A38" s="24">
        <v>11</v>
      </c>
      <c r="B38" s="25" t="s">
        <v>61</v>
      </c>
      <c r="C38" s="25" t="s">
        <v>62</v>
      </c>
      <c r="D38" s="25" t="s">
        <v>23</v>
      </c>
      <c r="E38" s="26">
        <v>500</v>
      </c>
      <c r="F38" s="27">
        <v>499.608</v>
      </c>
      <c r="G38" s="28">
        <v>2.309187E-2</v>
      </c>
      <c r="H38" s="18">
        <v>8.2249999999999996</v>
      </c>
    </row>
    <row r="39" spans="1:8" x14ac:dyDescent="0.2">
      <c r="A39" s="24">
        <v>12</v>
      </c>
      <c r="B39" s="25" t="s">
        <v>232</v>
      </c>
      <c r="C39" s="25" t="s">
        <v>233</v>
      </c>
      <c r="D39" s="25" t="s">
        <v>23</v>
      </c>
      <c r="E39" s="26">
        <v>500</v>
      </c>
      <c r="F39" s="27">
        <v>499.45100000000002</v>
      </c>
      <c r="G39" s="28">
        <v>2.3084609999999998E-2</v>
      </c>
      <c r="H39" s="18">
        <v>7.67</v>
      </c>
    </row>
    <row r="40" spans="1:8" x14ac:dyDescent="0.2">
      <c r="A40" s="24">
        <v>13</v>
      </c>
      <c r="B40" s="25" t="s">
        <v>226</v>
      </c>
      <c r="C40" s="25" t="s">
        <v>227</v>
      </c>
      <c r="D40" s="25" t="s">
        <v>23</v>
      </c>
      <c r="E40" s="26">
        <v>500</v>
      </c>
      <c r="F40" s="27">
        <v>498.92399999999998</v>
      </c>
      <c r="G40" s="28">
        <v>2.3060250000000001E-2</v>
      </c>
      <c r="H40" s="18">
        <v>7.67</v>
      </c>
    </row>
    <row r="41" spans="1:8" x14ac:dyDescent="0.2">
      <c r="A41" s="24">
        <v>14</v>
      </c>
      <c r="B41" s="25" t="s">
        <v>409</v>
      </c>
      <c r="C41" s="25" t="s">
        <v>410</v>
      </c>
      <c r="D41" s="25" t="s">
        <v>23</v>
      </c>
      <c r="E41" s="26">
        <v>500</v>
      </c>
      <c r="F41" s="27">
        <v>498.18400000000003</v>
      </c>
      <c r="G41" s="28">
        <v>2.3026049999999999E-2</v>
      </c>
      <c r="H41" s="18">
        <v>7.72</v>
      </c>
    </row>
    <row r="42" spans="1:8" ht="25.5" x14ac:dyDescent="0.2">
      <c r="A42" s="24">
        <v>15</v>
      </c>
      <c r="B42" s="25" t="s">
        <v>63</v>
      </c>
      <c r="C42" s="25" t="s">
        <v>64</v>
      </c>
      <c r="D42" s="25" t="s">
        <v>23</v>
      </c>
      <c r="E42" s="26">
        <v>500</v>
      </c>
      <c r="F42" s="27">
        <v>497.68950000000001</v>
      </c>
      <c r="G42" s="28">
        <v>2.300319E-2</v>
      </c>
      <c r="H42" s="18">
        <v>7.7</v>
      </c>
    </row>
    <row r="43" spans="1:8" ht="25.5" x14ac:dyDescent="0.2">
      <c r="A43" s="24">
        <v>16</v>
      </c>
      <c r="B43" s="25" t="s">
        <v>411</v>
      </c>
      <c r="C43" s="25" t="s">
        <v>412</v>
      </c>
      <c r="D43" s="25" t="s">
        <v>23</v>
      </c>
      <c r="E43" s="26">
        <v>50</v>
      </c>
      <c r="F43" s="27">
        <v>495.988</v>
      </c>
      <c r="G43" s="28">
        <v>2.2924549999999998E-2</v>
      </c>
      <c r="H43" s="18">
        <v>7.69</v>
      </c>
    </row>
    <row r="44" spans="1:8" x14ac:dyDescent="0.2">
      <c r="A44" s="24">
        <v>17</v>
      </c>
      <c r="B44" s="25" t="s">
        <v>413</v>
      </c>
      <c r="C44" s="25" t="s">
        <v>414</v>
      </c>
      <c r="D44" s="25" t="s">
        <v>23</v>
      </c>
      <c r="E44" s="26">
        <v>50</v>
      </c>
      <c r="F44" s="27">
        <v>487.32650000000001</v>
      </c>
      <c r="G44" s="28">
        <v>2.2524220000000001E-2</v>
      </c>
      <c r="H44" s="18">
        <v>7.85</v>
      </c>
    </row>
    <row r="45" spans="1:8" x14ac:dyDescent="0.2">
      <c r="A45" s="24">
        <v>18</v>
      </c>
      <c r="B45" s="25" t="s">
        <v>220</v>
      </c>
      <c r="C45" s="25" t="s">
        <v>221</v>
      </c>
      <c r="D45" s="25" t="s">
        <v>222</v>
      </c>
      <c r="E45" s="26">
        <v>300</v>
      </c>
      <c r="F45" s="27">
        <v>301.69889999999998</v>
      </c>
      <c r="G45" s="28">
        <v>1.394451E-2</v>
      </c>
      <c r="H45" s="18">
        <v>8.01</v>
      </c>
    </row>
    <row r="46" spans="1:8" x14ac:dyDescent="0.2">
      <c r="A46" s="16"/>
      <c r="B46" s="16"/>
      <c r="C46" s="17" t="s">
        <v>11</v>
      </c>
      <c r="D46" s="16"/>
      <c r="E46" s="16" t="s">
        <v>12</v>
      </c>
      <c r="F46" s="23">
        <v>10903.7593</v>
      </c>
      <c r="G46" s="20">
        <v>0.50397143</v>
      </c>
      <c r="H46" s="18" t="s">
        <v>12</v>
      </c>
    </row>
    <row r="47" spans="1:8" x14ac:dyDescent="0.2">
      <c r="A47" s="16"/>
      <c r="B47" s="16"/>
      <c r="C47" s="21"/>
      <c r="D47" s="16"/>
      <c r="E47" s="16"/>
      <c r="F47" s="22"/>
      <c r="G47" s="22"/>
      <c r="H47" s="18" t="s">
        <v>12</v>
      </c>
    </row>
    <row r="48" spans="1:8" x14ac:dyDescent="0.2">
      <c r="A48" s="16"/>
      <c r="B48" s="16"/>
      <c r="C48" s="17" t="s">
        <v>71</v>
      </c>
      <c r="D48" s="16"/>
      <c r="E48" s="16"/>
      <c r="F48" s="16"/>
      <c r="G48" s="16"/>
      <c r="H48" s="18" t="s">
        <v>12</v>
      </c>
    </row>
    <row r="49" spans="1:8" x14ac:dyDescent="0.2">
      <c r="A49" s="16"/>
      <c r="B49" s="16"/>
      <c r="C49" s="17" t="s">
        <v>11</v>
      </c>
      <c r="D49" s="16"/>
      <c r="E49" s="16" t="s">
        <v>12</v>
      </c>
      <c r="F49" s="19" t="s">
        <v>13</v>
      </c>
      <c r="G49" s="20">
        <v>0</v>
      </c>
      <c r="H49" s="18" t="s">
        <v>12</v>
      </c>
    </row>
    <row r="50" spans="1:8" x14ac:dyDescent="0.2">
      <c r="A50" s="16"/>
      <c r="B50" s="16"/>
      <c r="C50" s="21"/>
      <c r="D50" s="16"/>
      <c r="E50" s="16"/>
      <c r="F50" s="22"/>
      <c r="G50" s="22"/>
      <c r="H50" s="18" t="s">
        <v>12</v>
      </c>
    </row>
    <row r="51" spans="1:8" x14ac:dyDescent="0.2">
      <c r="A51" s="16"/>
      <c r="B51" s="16"/>
      <c r="C51" s="17" t="s">
        <v>72</v>
      </c>
      <c r="D51" s="16"/>
      <c r="E51" s="16"/>
      <c r="F51" s="16"/>
      <c r="G51" s="16"/>
      <c r="H51" s="18" t="s">
        <v>12</v>
      </c>
    </row>
    <row r="52" spans="1:8" ht="25.5" x14ac:dyDescent="0.2">
      <c r="A52" s="24">
        <v>1</v>
      </c>
      <c r="B52" s="25" t="s">
        <v>73</v>
      </c>
      <c r="C52" s="25" t="s">
        <v>74</v>
      </c>
      <c r="D52" s="25" t="s">
        <v>75</v>
      </c>
      <c r="E52" s="26">
        <v>2500000</v>
      </c>
      <c r="F52" s="27">
        <v>2542.1350000000002</v>
      </c>
      <c r="G52" s="28">
        <v>0.1174974</v>
      </c>
      <c r="H52" s="18">
        <v>6.9657</v>
      </c>
    </row>
    <row r="53" spans="1:8" x14ac:dyDescent="0.2">
      <c r="A53" s="24">
        <v>2</v>
      </c>
      <c r="B53" s="25" t="s">
        <v>82</v>
      </c>
      <c r="C53" s="25" t="s">
        <v>83</v>
      </c>
      <c r="D53" s="25" t="s">
        <v>75</v>
      </c>
      <c r="E53" s="26">
        <v>1500000</v>
      </c>
      <c r="F53" s="27">
        <v>1529.547</v>
      </c>
      <c r="G53" s="28">
        <v>7.0695620000000001E-2</v>
      </c>
      <c r="H53" s="18">
        <v>6.8789999999999996</v>
      </c>
    </row>
    <row r="54" spans="1:8" ht="25.5" x14ac:dyDescent="0.2">
      <c r="A54" s="24">
        <v>3</v>
      </c>
      <c r="B54" s="25" t="s">
        <v>252</v>
      </c>
      <c r="C54" s="25" t="s">
        <v>253</v>
      </c>
      <c r="D54" s="25" t="s">
        <v>75</v>
      </c>
      <c r="E54" s="26">
        <v>1000000</v>
      </c>
      <c r="F54" s="27">
        <v>1014.35</v>
      </c>
      <c r="G54" s="28">
        <v>4.6883229999999998E-2</v>
      </c>
      <c r="H54" s="18">
        <v>6.8391999999999999</v>
      </c>
    </row>
    <row r="55" spans="1:8" x14ac:dyDescent="0.2">
      <c r="A55" s="24">
        <v>4</v>
      </c>
      <c r="B55" s="25" t="s">
        <v>84</v>
      </c>
      <c r="C55" s="25" t="s">
        <v>85</v>
      </c>
      <c r="D55" s="25" t="s">
        <v>75</v>
      </c>
      <c r="E55" s="26">
        <v>500000</v>
      </c>
      <c r="F55" s="27">
        <v>509.96550000000002</v>
      </c>
      <c r="G55" s="28">
        <v>2.3570589999999999E-2</v>
      </c>
      <c r="H55" s="18">
        <v>7.0593000000000004</v>
      </c>
    </row>
    <row r="56" spans="1:8" ht="25.5" x14ac:dyDescent="0.2">
      <c r="A56" s="24">
        <v>5</v>
      </c>
      <c r="B56" s="25" t="s">
        <v>415</v>
      </c>
      <c r="C56" s="25" t="s">
        <v>416</v>
      </c>
      <c r="D56" s="25" t="s">
        <v>75</v>
      </c>
      <c r="E56" s="26">
        <v>500000</v>
      </c>
      <c r="F56" s="27">
        <v>509.34399999999999</v>
      </c>
      <c r="G56" s="28">
        <v>2.3541860000000001E-2</v>
      </c>
      <c r="H56" s="18">
        <v>7.2845000000000004</v>
      </c>
    </row>
    <row r="57" spans="1:8" ht="25.5" x14ac:dyDescent="0.2">
      <c r="A57" s="24">
        <v>6</v>
      </c>
      <c r="B57" s="25" t="s">
        <v>417</v>
      </c>
      <c r="C57" s="38" t="s">
        <v>635</v>
      </c>
      <c r="D57" s="25" t="s">
        <v>75</v>
      </c>
      <c r="E57" s="26">
        <v>500000</v>
      </c>
      <c r="F57" s="27">
        <v>502.35</v>
      </c>
      <c r="G57" s="28">
        <v>2.3218599999999999E-2</v>
      </c>
      <c r="H57" s="18">
        <v>7.1192887208283544</v>
      </c>
    </row>
    <row r="58" spans="1:8" x14ac:dyDescent="0.2">
      <c r="A58" s="24">
        <v>7</v>
      </c>
      <c r="B58" s="25" t="s">
        <v>76</v>
      </c>
      <c r="C58" s="25" t="s">
        <v>77</v>
      </c>
      <c r="D58" s="25" t="s">
        <v>75</v>
      </c>
      <c r="E58" s="26">
        <v>300000</v>
      </c>
      <c r="F58" s="27">
        <v>307.2063</v>
      </c>
      <c r="G58" s="28">
        <v>1.4199069999999999E-2</v>
      </c>
      <c r="H58" s="18">
        <v>6.9265999999999996</v>
      </c>
    </row>
    <row r="59" spans="1:8" x14ac:dyDescent="0.2">
      <c r="A59" s="16"/>
      <c r="B59" s="16"/>
      <c r="C59" s="17" t="s">
        <v>11</v>
      </c>
      <c r="D59" s="16"/>
      <c r="E59" s="16" t="s">
        <v>12</v>
      </c>
      <c r="F59" s="23">
        <v>6914.8977999999997</v>
      </c>
      <c r="G59" s="20">
        <v>0.31960636999999997</v>
      </c>
      <c r="H59" s="18" t="s">
        <v>12</v>
      </c>
    </row>
    <row r="60" spans="1:8" x14ac:dyDescent="0.2">
      <c r="A60" s="16"/>
      <c r="B60" s="16"/>
      <c r="C60" s="21"/>
      <c r="D60" s="16"/>
      <c r="E60" s="16"/>
      <c r="F60" s="22"/>
      <c r="G60" s="22"/>
      <c r="H60" s="18" t="s">
        <v>12</v>
      </c>
    </row>
    <row r="61" spans="1:8" x14ac:dyDescent="0.2">
      <c r="A61" s="16"/>
      <c r="B61" s="16"/>
      <c r="C61" s="17" t="s">
        <v>86</v>
      </c>
      <c r="D61" s="16"/>
      <c r="E61" s="16"/>
      <c r="F61" s="22"/>
      <c r="G61" s="22"/>
      <c r="H61" s="18" t="s">
        <v>12</v>
      </c>
    </row>
    <row r="62" spans="1:8" x14ac:dyDescent="0.2">
      <c r="A62" s="16"/>
      <c r="B62" s="16"/>
      <c r="C62" s="17" t="s">
        <v>11</v>
      </c>
      <c r="D62" s="16"/>
      <c r="E62" s="16" t="s">
        <v>12</v>
      </c>
      <c r="F62" s="19" t="s">
        <v>13</v>
      </c>
      <c r="G62" s="20">
        <v>0</v>
      </c>
      <c r="H62" s="18" t="s">
        <v>12</v>
      </c>
    </row>
    <row r="63" spans="1:8" x14ac:dyDescent="0.2">
      <c r="A63" s="16"/>
      <c r="B63" s="16"/>
      <c r="C63" s="21"/>
      <c r="D63" s="16"/>
      <c r="E63" s="16"/>
      <c r="F63" s="22"/>
      <c r="G63" s="22"/>
      <c r="H63" s="18" t="s">
        <v>12</v>
      </c>
    </row>
    <row r="64" spans="1:8" x14ac:dyDescent="0.2">
      <c r="A64" s="16"/>
      <c r="B64" s="16"/>
      <c r="C64" s="17" t="s">
        <v>87</v>
      </c>
      <c r="D64" s="16"/>
      <c r="E64" s="16"/>
      <c r="F64" s="23">
        <v>17818.6571</v>
      </c>
      <c r="G64" s="20">
        <v>0.82357780000000003</v>
      </c>
      <c r="H64" s="18" t="s">
        <v>12</v>
      </c>
    </row>
    <row r="65" spans="1:8" x14ac:dyDescent="0.2">
      <c r="A65" s="16"/>
      <c r="B65" s="16"/>
      <c r="C65" s="21"/>
      <c r="D65" s="16"/>
      <c r="E65" s="16"/>
      <c r="F65" s="22"/>
      <c r="G65" s="22"/>
      <c r="H65" s="18" t="s">
        <v>12</v>
      </c>
    </row>
    <row r="66" spans="1:8" x14ac:dyDescent="0.2">
      <c r="A66" s="16"/>
      <c r="B66" s="16"/>
      <c r="C66" s="17" t="s">
        <v>88</v>
      </c>
      <c r="D66" s="16"/>
      <c r="E66" s="16"/>
      <c r="F66" s="22"/>
      <c r="G66" s="22"/>
      <c r="H66" s="18" t="s">
        <v>12</v>
      </c>
    </row>
    <row r="67" spans="1:8" x14ac:dyDescent="0.2">
      <c r="A67" s="16"/>
      <c r="B67" s="16"/>
      <c r="C67" s="17" t="s">
        <v>89</v>
      </c>
      <c r="D67" s="16"/>
      <c r="E67" s="16"/>
      <c r="F67" s="22"/>
      <c r="G67" s="22"/>
      <c r="H67" s="18" t="s">
        <v>12</v>
      </c>
    </row>
    <row r="68" spans="1:8" x14ac:dyDescent="0.2">
      <c r="A68" s="24">
        <v>1</v>
      </c>
      <c r="B68" s="25" t="s">
        <v>260</v>
      </c>
      <c r="C68" s="25" t="s">
        <v>261</v>
      </c>
      <c r="D68" s="25" t="s">
        <v>141</v>
      </c>
      <c r="E68" s="26">
        <v>200</v>
      </c>
      <c r="F68" s="27">
        <v>936.93399999999997</v>
      </c>
      <c r="G68" s="28">
        <v>4.3305059999999999E-2</v>
      </c>
      <c r="H68" s="18">
        <v>7.63</v>
      </c>
    </row>
    <row r="69" spans="1:8" x14ac:dyDescent="0.2">
      <c r="A69" s="24">
        <v>2</v>
      </c>
      <c r="B69" s="25" t="s">
        <v>160</v>
      </c>
      <c r="C69" s="25" t="s">
        <v>161</v>
      </c>
      <c r="D69" s="25" t="s">
        <v>141</v>
      </c>
      <c r="E69" s="26">
        <v>100</v>
      </c>
      <c r="F69" s="27">
        <v>486.55650000000003</v>
      </c>
      <c r="G69" s="28">
        <v>2.2488629999999999E-2</v>
      </c>
      <c r="H69" s="18">
        <v>7.6401000000000003</v>
      </c>
    </row>
    <row r="70" spans="1:8" x14ac:dyDescent="0.2">
      <c r="A70" s="16"/>
      <c r="B70" s="16"/>
      <c r="C70" s="17" t="s">
        <v>11</v>
      </c>
      <c r="D70" s="16"/>
      <c r="E70" s="16" t="s">
        <v>12</v>
      </c>
      <c r="F70" s="23">
        <v>1423.4905000000001</v>
      </c>
      <c r="G70" s="20">
        <v>6.5793690000000002E-2</v>
      </c>
      <c r="H70" s="18" t="s">
        <v>12</v>
      </c>
    </row>
    <row r="71" spans="1:8" x14ac:dyDescent="0.2">
      <c r="A71" s="16"/>
      <c r="B71" s="16"/>
      <c r="C71" s="21"/>
      <c r="D71" s="16"/>
      <c r="E71" s="16"/>
      <c r="F71" s="22"/>
      <c r="G71" s="22"/>
      <c r="H71" s="18" t="s">
        <v>12</v>
      </c>
    </row>
    <row r="72" spans="1:8" x14ac:dyDescent="0.2">
      <c r="A72" s="16"/>
      <c r="B72" s="16"/>
      <c r="C72" s="17" t="s">
        <v>90</v>
      </c>
      <c r="D72" s="16"/>
      <c r="E72" s="16"/>
      <c r="F72" s="22"/>
      <c r="G72" s="22"/>
      <c r="H72" s="18" t="s">
        <v>12</v>
      </c>
    </row>
    <row r="73" spans="1:8" x14ac:dyDescent="0.2">
      <c r="A73" s="16"/>
      <c r="B73" s="16"/>
      <c r="C73" s="17" t="s">
        <v>11</v>
      </c>
      <c r="D73" s="16"/>
      <c r="E73" s="16" t="s">
        <v>12</v>
      </c>
      <c r="F73" s="19" t="s">
        <v>13</v>
      </c>
      <c r="G73" s="20">
        <v>0</v>
      </c>
      <c r="H73" s="18" t="s">
        <v>12</v>
      </c>
    </row>
    <row r="74" spans="1:8" x14ac:dyDescent="0.2">
      <c r="A74" s="16"/>
      <c r="B74" s="16"/>
      <c r="C74" s="21"/>
      <c r="D74" s="16"/>
      <c r="E74" s="16"/>
      <c r="F74" s="22"/>
      <c r="G74" s="22"/>
      <c r="H74" s="18" t="s">
        <v>12</v>
      </c>
    </row>
    <row r="75" spans="1:8" x14ac:dyDescent="0.2">
      <c r="A75" s="16"/>
      <c r="B75" s="16"/>
      <c r="C75" s="17" t="s">
        <v>91</v>
      </c>
      <c r="D75" s="16"/>
      <c r="E75" s="16"/>
      <c r="F75" s="22"/>
      <c r="G75" s="22"/>
      <c r="H75" s="18" t="s">
        <v>12</v>
      </c>
    </row>
    <row r="76" spans="1:8" x14ac:dyDescent="0.2">
      <c r="A76" s="16"/>
      <c r="B76" s="16"/>
      <c r="C76" s="17" t="s">
        <v>11</v>
      </c>
      <c r="D76" s="16"/>
      <c r="E76" s="16" t="s">
        <v>12</v>
      </c>
      <c r="F76" s="19" t="s">
        <v>13</v>
      </c>
      <c r="G76" s="20">
        <v>0</v>
      </c>
      <c r="H76" s="18" t="s">
        <v>12</v>
      </c>
    </row>
    <row r="77" spans="1:8" x14ac:dyDescent="0.2">
      <c r="A77" s="16"/>
      <c r="B77" s="16"/>
      <c r="C77" s="21"/>
      <c r="D77" s="16"/>
      <c r="E77" s="16"/>
      <c r="F77" s="22"/>
      <c r="G77" s="22"/>
      <c r="H77" s="18" t="s">
        <v>12</v>
      </c>
    </row>
    <row r="78" spans="1:8" x14ac:dyDescent="0.2">
      <c r="A78" s="16"/>
      <c r="B78" s="16"/>
      <c r="C78" s="17" t="s">
        <v>92</v>
      </c>
      <c r="D78" s="16"/>
      <c r="E78" s="16"/>
      <c r="F78" s="22"/>
      <c r="G78" s="22"/>
      <c r="H78" s="18" t="s">
        <v>12</v>
      </c>
    </row>
    <row r="79" spans="1:8" x14ac:dyDescent="0.2">
      <c r="A79" s="24">
        <v>1</v>
      </c>
      <c r="B79" s="25"/>
      <c r="C79" s="25" t="s">
        <v>93</v>
      </c>
      <c r="D79" s="25"/>
      <c r="E79" s="29"/>
      <c r="F79" s="27">
        <v>1750.6814730040001</v>
      </c>
      <c r="G79" s="28">
        <v>8.0916440000000006E-2</v>
      </c>
      <c r="H79" s="18">
        <v>6.25</v>
      </c>
    </row>
    <row r="80" spans="1:8" x14ac:dyDescent="0.2">
      <c r="A80" s="16"/>
      <c r="B80" s="16"/>
      <c r="C80" s="17" t="s">
        <v>11</v>
      </c>
      <c r="D80" s="16"/>
      <c r="E80" s="16" t="s">
        <v>12</v>
      </c>
      <c r="F80" s="23">
        <v>1750.6814730040001</v>
      </c>
      <c r="G80" s="20">
        <v>8.0916440000000006E-2</v>
      </c>
      <c r="H80" s="18" t="s">
        <v>12</v>
      </c>
    </row>
    <row r="81" spans="1:17" x14ac:dyDescent="0.2">
      <c r="A81" s="16"/>
      <c r="B81" s="16"/>
      <c r="C81" s="21"/>
      <c r="D81" s="16"/>
      <c r="E81" s="16"/>
      <c r="F81" s="22"/>
      <c r="G81" s="22"/>
      <c r="H81" s="18" t="s">
        <v>12</v>
      </c>
    </row>
    <row r="82" spans="1:17" x14ac:dyDescent="0.2">
      <c r="A82" s="16"/>
      <c r="B82" s="16"/>
      <c r="C82" s="17" t="s">
        <v>94</v>
      </c>
      <c r="D82" s="16"/>
      <c r="E82" s="16"/>
      <c r="F82" s="23">
        <v>3174.1719730039999</v>
      </c>
      <c r="G82" s="20">
        <v>0.14671012999999999</v>
      </c>
      <c r="H82" s="18" t="s">
        <v>12</v>
      </c>
    </row>
    <row r="83" spans="1:17" x14ac:dyDescent="0.2">
      <c r="A83" s="16"/>
      <c r="B83" s="16"/>
      <c r="C83" s="22"/>
      <c r="D83" s="16"/>
      <c r="E83" s="16"/>
      <c r="F83" s="16"/>
      <c r="G83" s="16"/>
      <c r="H83" s="18" t="s">
        <v>12</v>
      </c>
    </row>
    <row r="84" spans="1:17" x14ac:dyDescent="0.2">
      <c r="A84" s="16"/>
      <c r="B84" s="16"/>
      <c r="C84" s="17" t="s">
        <v>95</v>
      </c>
      <c r="D84" s="16"/>
      <c r="E84" s="16"/>
      <c r="F84" s="16"/>
      <c r="G84" s="16"/>
      <c r="H84" s="18" t="s">
        <v>12</v>
      </c>
    </row>
    <row r="85" spans="1:17" x14ac:dyDescent="0.2">
      <c r="A85" s="16"/>
      <c r="B85" s="16"/>
      <c r="C85" s="17" t="s">
        <v>96</v>
      </c>
      <c r="D85" s="16"/>
      <c r="E85" s="16"/>
      <c r="F85" s="16"/>
      <c r="G85" s="16"/>
      <c r="H85" s="18" t="s">
        <v>12</v>
      </c>
    </row>
    <row r="86" spans="1:17" x14ac:dyDescent="0.2">
      <c r="A86" s="16"/>
      <c r="B86" s="16"/>
      <c r="C86" s="17" t="s">
        <v>11</v>
      </c>
      <c r="D86" s="16"/>
      <c r="E86" s="16" t="s">
        <v>12</v>
      </c>
      <c r="F86" s="19" t="s">
        <v>13</v>
      </c>
      <c r="G86" s="20">
        <v>0</v>
      </c>
      <c r="H86" s="18" t="s">
        <v>12</v>
      </c>
    </row>
    <row r="87" spans="1:17" x14ac:dyDescent="0.2">
      <c r="A87" s="30"/>
      <c r="B87" s="30"/>
      <c r="C87" s="31"/>
      <c r="D87" s="30"/>
      <c r="E87" s="30"/>
      <c r="F87" s="32"/>
      <c r="G87" s="32"/>
      <c r="H87" s="18" t="s">
        <v>12</v>
      </c>
    </row>
    <row r="88" spans="1:17" x14ac:dyDescent="0.2">
      <c r="A88" s="30"/>
      <c r="B88" s="30"/>
      <c r="C88" s="33" t="s">
        <v>569</v>
      </c>
      <c r="D88" s="30"/>
      <c r="E88" s="30"/>
      <c r="F88" s="32"/>
      <c r="G88" s="32"/>
      <c r="H88" s="34"/>
      <c r="K88" s="35"/>
      <c r="L88" s="35"/>
      <c r="M88" s="35"/>
      <c r="N88" s="35"/>
      <c r="O88" s="36"/>
      <c r="P88" s="36"/>
      <c r="Q88" s="36"/>
    </row>
    <row r="89" spans="1:17" ht="25.5" x14ac:dyDescent="0.2">
      <c r="A89" s="37">
        <v>1</v>
      </c>
      <c r="B89" s="38" t="s">
        <v>97</v>
      </c>
      <c r="C89" s="38" t="s">
        <v>98</v>
      </c>
      <c r="D89" s="38"/>
      <c r="E89" s="39">
        <v>543.85400000000004</v>
      </c>
      <c r="F89" s="34">
        <v>59.136586315000002</v>
      </c>
      <c r="G89" s="40">
        <v>2.7332900000000002E-3</v>
      </c>
      <c r="H89" s="18"/>
    </row>
    <row r="90" spans="1:17" x14ac:dyDescent="0.2">
      <c r="A90" s="30"/>
      <c r="B90" s="30"/>
      <c r="C90" s="33" t="s">
        <v>11</v>
      </c>
      <c r="D90" s="30"/>
      <c r="E90" s="30" t="s">
        <v>12</v>
      </c>
      <c r="F90" s="41">
        <f>SUM(F89)</f>
        <v>59.136586315000002</v>
      </c>
      <c r="G90" s="42">
        <f>SUM(G89)</f>
        <v>2.7332900000000002E-3</v>
      </c>
      <c r="H90" s="18" t="s">
        <v>12</v>
      </c>
    </row>
    <row r="91" spans="1:17" x14ac:dyDescent="0.2">
      <c r="A91" s="16"/>
      <c r="B91" s="16"/>
      <c r="C91" s="21"/>
      <c r="D91" s="16"/>
      <c r="E91" s="16"/>
      <c r="F91" s="22"/>
      <c r="G91" s="22"/>
      <c r="H91" s="18" t="s">
        <v>12</v>
      </c>
    </row>
    <row r="92" spans="1:17" x14ac:dyDescent="0.2">
      <c r="A92" s="16"/>
      <c r="B92" s="16"/>
      <c r="C92" s="17" t="s">
        <v>99</v>
      </c>
      <c r="D92" s="16"/>
      <c r="E92" s="16"/>
      <c r="F92" s="16"/>
      <c r="G92" s="16"/>
      <c r="H92" s="18" t="s">
        <v>12</v>
      </c>
    </row>
    <row r="93" spans="1:17" x14ac:dyDescent="0.2">
      <c r="A93" s="16"/>
      <c r="B93" s="16"/>
      <c r="C93" s="17" t="s">
        <v>100</v>
      </c>
      <c r="D93" s="16"/>
      <c r="E93" s="16"/>
      <c r="F93" s="16"/>
      <c r="G93" s="16"/>
      <c r="H93" s="18" t="s">
        <v>12</v>
      </c>
    </row>
    <row r="94" spans="1:17" x14ac:dyDescent="0.2">
      <c r="A94" s="16"/>
      <c r="B94" s="16"/>
      <c r="C94" s="17" t="s">
        <v>11</v>
      </c>
      <c r="D94" s="16"/>
      <c r="E94" s="16" t="s">
        <v>12</v>
      </c>
      <c r="F94" s="19" t="s">
        <v>13</v>
      </c>
      <c r="G94" s="20">
        <v>0</v>
      </c>
      <c r="H94" s="18" t="s">
        <v>12</v>
      </c>
    </row>
    <row r="95" spans="1:17" x14ac:dyDescent="0.2">
      <c r="A95" s="16"/>
      <c r="B95" s="16"/>
      <c r="C95" s="21"/>
      <c r="D95" s="16"/>
      <c r="E95" s="16"/>
      <c r="F95" s="22"/>
      <c r="G95" s="22"/>
      <c r="H95" s="18" t="s">
        <v>12</v>
      </c>
    </row>
    <row r="96" spans="1:17" x14ac:dyDescent="0.2">
      <c r="A96" s="16"/>
      <c r="B96" s="16"/>
      <c r="C96" s="17" t="s">
        <v>101</v>
      </c>
      <c r="D96" s="16"/>
      <c r="E96" s="16"/>
      <c r="F96" s="22"/>
      <c r="G96" s="22"/>
      <c r="H96" s="18" t="s">
        <v>12</v>
      </c>
    </row>
    <row r="97" spans="1:10" x14ac:dyDescent="0.2">
      <c r="A97" s="16"/>
      <c r="B97" s="16"/>
      <c r="C97" s="17" t="s">
        <v>11</v>
      </c>
      <c r="D97" s="16"/>
      <c r="E97" s="16" t="s">
        <v>12</v>
      </c>
      <c r="F97" s="19" t="s">
        <v>13</v>
      </c>
      <c r="G97" s="20">
        <v>0</v>
      </c>
      <c r="H97" s="18" t="s">
        <v>12</v>
      </c>
    </row>
    <row r="98" spans="1:10" x14ac:dyDescent="0.2">
      <c r="A98" s="16"/>
      <c r="B98" s="16"/>
      <c r="C98" s="21"/>
      <c r="D98" s="16"/>
      <c r="E98" s="16"/>
      <c r="F98" s="22"/>
      <c r="G98" s="22"/>
      <c r="H98" s="18" t="s">
        <v>12</v>
      </c>
    </row>
    <row r="99" spans="1:10" x14ac:dyDescent="0.2">
      <c r="A99" s="29"/>
      <c r="B99" s="25"/>
      <c r="C99" s="25" t="s">
        <v>102</v>
      </c>
      <c r="D99" s="25"/>
      <c r="E99" s="29"/>
      <c r="F99" s="27">
        <f>583.70435474+0.0000493510007858276</f>
        <v>583.70440409100081</v>
      </c>
      <c r="G99" s="28">
        <v>2.6978800000000001E-2</v>
      </c>
      <c r="H99" s="18" t="s">
        <v>12</v>
      </c>
    </row>
    <row r="100" spans="1:10" x14ac:dyDescent="0.2">
      <c r="A100" s="21"/>
      <c r="B100" s="21"/>
      <c r="C100" s="17" t="s">
        <v>103</v>
      </c>
      <c r="D100" s="22"/>
      <c r="E100" s="22"/>
      <c r="F100" s="23">
        <f>21635.670014059+0.0000493510007858276</f>
        <v>21635.670063410002</v>
      </c>
      <c r="G100" s="43">
        <v>1.0000000200000001</v>
      </c>
      <c r="H100" s="18" t="s">
        <v>12</v>
      </c>
    </row>
    <row r="101" spans="1:10" x14ac:dyDescent="0.2">
      <c r="A101" s="44"/>
      <c r="B101" s="44"/>
      <c r="C101" s="44"/>
      <c r="D101" s="45"/>
      <c r="E101" s="45"/>
      <c r="F101" s="45"/>
      <c r="G101" s="45"/>
    </row>
    <row r="102" spans="1:10" x14ac:dyDescent="0.2">
      <c r="A102" s="46"/>
      <c r="B102" s="151" t="s">
        <v>570</v>
      </c>
      <c r="C102" s="151"/>
      <c r="D102" s="151"/>
      <c r="E102" s="151"/>
      <c r="F102" s="151"/>
      <c r="G102" s="151"/>
      <c r="H102" s="151"/>
    </row>
    <row r="103" spans="1:10" x14ac:dyDescent="0.2">
      <c r="A103" s="46"/>
      <c r="B103" s="151" t="s">
        <v>571</v>
      </c>
      <c r="C103" s="151"/>
      <c r="D103" s="151"/>
      <c r="E103" s="151"/>
      <c r="F103" s="151"/>
      <c r="G103" s="151"/>
      <c r="H103" s="151"/>
    </row>
    <row r="104" spans="1:10" x14ac:dyDescent="0.2">
      <c r="A104" s="46"/>
      <c r="B104" s="151" t="s">
        <v>572</v>
      </c>
      <c r="C104" s="151"/>
      <c r="D104" s="151"/>
      <c r="E104" s="151"/>
      <c r="F104" s="151"/>
      <c r="G104" s="151"/>
      <c r="H104" s="151"/>
    </row>
    <row r="105" spans="1:10" s="94" customFormat="1" ht="69" customHeight="1" x14ac:dyDescent="0.2">
      <c r="A105" s="93"/>
      <c r="B105" s="185" t="s">
        <v>636</v>
      </c>
      <c r="C105" s="185"/>
      <c r="D105" s="185"/>
      <c r="E105" s="185"/>
      <c r="F105" s="185"/>
      <c r="G105" s="185"/>
      <c r="H105" s="185"/>
      <c r="I105"/>
      <c r="J105"/>
    </row>
    <row r="106" spans="1:10" x14ac:dyDescent="0.2">
      <c r="A106" s="48"/>
      <c r="B106" s="48"/>
      <c r="C106" s="48"/>
      <c r="D106" s="49"/>
      <c r="E106" s="49"/>
      <c r="F106" s="49"/>
      <c r="G106" s="49"/>
    </row>
    <row r="107" spans="1:10" x14ac:dyDescent="0.2">
      <c r="A107" s="48"/>
      <c r="B107" s="153" t="s">
        <v>104</v>
      </c>
      <c r="C107" s="154"/>
      <c r="D107" s="155"/>
      <c r="E107" s="50"/>
      <c r="F107" s="49"/>
      <c r="G107" s="49"/>
    </row>
    <row r="108" spans="1:10" ht="25.5" x14ac:dyDescent="0.2">
      <c r="A108" s="48"/>
      <c r="B108" s="156" t="s">
        <v>105</v>
      </c>
      <c r="C108" s="157"/>
      <c r="D108" s="33" t="s">
        <v>598</v>
      </c>
      <c r="E108" s="50"/>
      <c r="F108" s="49"/>
      <c r="G108" s="49"/>
    </row>
    <row r="109" spans="1:10" x14ac:dyDescent="0.2">
      <c r="A109" s="48"/>
      <c r="B109" s="156" t="s">
        <v>107</v>
      </c>
      <c r="C109" s="157"/>
      <c r="D109" s="17" t="s">
        <v>106</v>
      </c>
      <c r="E109" s="50"/>
      <c r="F109" s="49"/>
      <c r="G109" s="49"/>
    </row>
    <row r="110" spans="1:10" x14ac:dyDescent="0.2">
      <c r="A110" s="48"/>
      <c r="B110" s="156" t="s">
        <v>108</v>
      </c>
      <c r="C110" s="157"/>
      <c r="D110" s="22" t="s">
        <v>12</v>
      </c>
      <c r="E110" s="50"/>
      <c r="F110" s="49"/>
      <c r="G110" s="49"/>
    </row>
    <row r="111" spans="1:10" x14ac:dyDescent="0.2">
      <c r="A111" s="51"/>
      <c r="B111" s="52" t="s">
        <v>12</v>
      </c>
      <c r="C111" s="52" t="s">
        <v>573</v>
      </c>
      <c r="D111" s="52" t="s">
        <v>109</v>
      </c>
      <c r="E111" s="51"/>
      <c r="F111" s="51"/>
      <c r="G111" s="51"/>
      <c r="H111" s="53"/>
    </row>
    <row r="112" spans="1:10" x14ac:dyDescent="0.2">
      <c r="A112" s="51"/>
      <c r="B112" s="54" t="s">
        <v>110</v>
      </c>
      <c r="C112" s="55">
        <v>45657</v>
      </c>
      <c r="D112" s="55">
        <v>45672</v>
      </c>
      <c r="E112" s="51"/>
      <c r="F112" s="51"/>
      <c r="G112" s="51"/>
    </row>
    <row r="113" spans="1:17" x14ac:dyDescent="0.2">
      <c r="A113" s="56"/>
      <c r="B113" s="25" t="s">
        <v>111</v>
      </c>
      <c r="C113" s="57">
        <v>45.766300000000001</v>
      </c>
      <c r="D113" s="57">
        <v>45.836599999999997</v>
      </c>
      <c r="E113" s="56"/>
      <c r="F113" s="58"/>
      <c r="G113" s="59"/>
    </row>
    <row r="114" spans="1:17" ht="25.5" x14ac:dyDescent="0.2">
      <c r="A114" s="56"/>
      <c r="B114" s="25" t="s">
        <v>695</v>
      </c>
      <c r="C114" s="57">
        <v>12.911099999999999</v>
      </c>
      <c r="D114" s="57">
        <v>12.930899999999999</v>
      </c>
      <c r="E114" s="56"/>
      <c r="F114" s="58"/>
      <c r="G114" s="59"/>
    </row>
    <row r="115" spans="1:17" ht="25.5" x14ac:dyDescent="0.2">
      <c r="A115" s="56"/>
      <c r="B115" s="25" t="s">
        <v>696</v>
      </c>
      <c r="C115" s="57">
        <v>14.7186</v>
      </c>
      <c r="D115" s="57">
        <v>14.741199999999999</v>
      </c>
      <c r="E115" s="56"/>
      <c r="F115" s="58"/>
      <c r="G115" s="59"/>
    </row>
    <row r="116" spans="1:17" ht="25.5" x14ac:dyDescent="0.2">
      <c r="A116" s="56"/>
      <c r="B116" s="25" t="s">
        <v>697</v>
      </c>
      <c r="C116" s="57">
        <v>14.6221</v>
      </c>
      <c r="D116" s="57">
        <v>14.644500000000001</v>
      </c>
      <c r="E116" s="56"/>
      <c r="F116" s="58"/>
      <c r="G116" s="59"/>
    </row>
    <row r="117" spans="1:17" ht="25.5" x14ac:dyDescent="0.2">
      <c r="A117" s="56"/>
      <c r="B117" s="25" t="s">
        <v>698</v>
      </c>
      <c r="C117" s="57">
        <v>14.623900000000001</v>
      </c>
      <c r="D117" s="57">
        <v>14.6464</v>
      </c>
      <c r="E117" s="56"/>
      <c r="F117" s="58"/>
      <c r="G117" s="59"/>
    </row>
    <row r="118" spans="1:17" x14ac:dyDescent="0.2">
      <c r="A118" s="56"/>
      <c r="B118" s="25" t="s">
        <v>112</v>
      </c>
      <c r="C118" s="57">
        <v>42.427399999999999</v>
      </c>
      <c r="D118" s="57">
        <v>42.4831</v>
      </c>
      <c r="E118" s="56"/>
      <c r="F118" s="58"/>
      <c r="G118" s="59"/>
    </row>
    <row r="119" spans="1:17" x14ac:dyDescent="0.2">
      <c r="A119" s="56"/>
      <c r="B119" s="25" t="s">
        <v>137</v>
      </c>
      <c r="C119" s="57">
        <v>15.325799999999999</v>
      </c>
      <c r="D119" s="57">
        <v>15.346</v>
      </c>
      <c r="E119" s="56"/>
      <c r="F119" s="58"/>
      <c r="G119" s="59"/>
    </row>
    <row r="120" spans="1:17" ht="25.5" x14ac:dyDescent="0.2">
      <c r="A120" s="56"/>
      <c r="B120" s="25" t="s">
        <v>699</v>
      </c>
      <c r="C120" s="57">
        <v>12.8736</v>
      </c>
      <c r="D120" s="57">
        <v>12.890499999999999</v>
      </c>
      <c r="E120" s="56"/>
      <c r="F120" s="58"/>
      <c r="G120" s="59"/>
    </row>
    <row r="121" spans="1:17" ht="25.5" x14ac:dyDescent="0.2">
      <c r="A121" s="56"/>
      <c r="B121" s="25" t="s">
        <v>665</v>
      </c>
      <c r="C121" s="57">
        <v>14.420999999999999</v>
      </c>
      <c r="D121" s="57">
        <v>14.44</v>
      </c>
      <c r="E121" s="56"/>
      <c r="F121" s="58"/>
      <c r="G121" s="59"/>
    </row>
    <row r="122" spans="1:17" ht="25.5" x14ac:dyDescent="0.2">
      <c r="A122" s="56"/>
      <c r="B122" s="25" t="s">
        <v>700</v>
      </c>
      <c r="C122" s="57">
        <v>14.324999999999999</v>
      </c>
      <c r="D122" s="57">
        <v>14.3438</v>
      </c>
      <c r="E122" s="56"/>
      <c r="F122" s="58"/>
      <c r="G122" s="59"/>
    </row>
    <row r="123" spans="1:17" ht="25.5" x14ac:dyDescent="0.2">
      <c r="A123" s="56"/>
      <c r="B123" s="25" t="s">
        <v>701</v>
      </c>
      <c r="C123" s="57">
        <v>14.324999999999999</v>
      </c>
      <c r="D123" s="57">
        <v>14.3438</v>
      </c>
      <c r="E123" s="56"/>
      <c r="F123" s="58"/>
      <c r="G123" s="59"/>
    </row>
    <row r="124" spans="1:17" x14ac:dyDescent="0.2">
      <c r="A124" s="56"/>
      <c r="B124" s="56"/>
      <c r="C124" s="56"/>
      <c r="D124" s="56"/>
      <c r="E124" s="56"/>
      <c r="F124" s="56"/>
      <c r="G124" s="56"/>
    </row>
    <row r="125" spans="1:17" x14ac:dyDescent="0.2">
      <c r="A125" s="56"/>
      <c r="B125" s="156" t="s">
        <v>702</v>
      </c>
      <c r="C125" s="157"/>
      <c r="D125" s="33" t="s">
        <v>106</v>
      </c>
      <c r="E125" s="56"/>
      <c r="F125" s="56"/>
      <c r="G125" s="56"/>
    </row>
    <row r="126" spans="1:17" x14ac:dyDescent="0.2">
      <c r="A126" s="56"/>
      <c r="B126" s="60"/>
      <c r="C126" s="60"/>
      <c r="D126" s="60"/>
      <c r="E126" s="56"/>
      <c r="F126" s="56"/>
      <c r="G126" s="56"/>
    </row>
    <row r="127" spans="1:17" s="62" customFormat="1" x14ac:dyDescent="0.2">
      <c r="A127" s="72"/>
      <c r="B127" s="158" t="s">
        <v>588</v>
      </c>
      <c r="C127" s="159"/>
      <c r="D127" s="33" t="s">
        <v>106</v>
      </c>
      <c r="E127" s="72"/>
      <c r="F127" s="72"/>
      <c r="G127" s="72"/>
      <c r="I127"/>
      <c r="J127" s="15"/>
      <c r="K127"/>
      <c r="L127" s="35"/>
      <c r="M127" s="35"/>
      <c r="N127" s="35"/>
      <c r="O127" s="68"/>
      <c r="P127"/>
      <c r="Q127"/>
    </row>
    <row r="128" spans="1:17" x14ac:dyDescent="0.2">
      <c r="A128" s="51"/>
      <c r="B128" s="158" t="s">
        <v>589</v>
      </c>
      <c r="C128" s="159"/>
      <c r="D128" s="33" t="s">
        <v>106</v>
      </c>
      <c r="E128" s="61"/>
      <c r="F128" s="51"/>
      <c r="G128" s="51"/>
      <c r="J128" s="15"/>
    </row>
    <row r="129" spans="1:19" x14ac:dyDescent="0.2">
      <c r="A129" s="51"/>
      <c r="B129" s="158" t="s">
        <v>590</v>
      </c>
      <c r="C129" s="159"/>
      <c r="D129" s="33" t="s">
        <v>106</v>
      </c>
      <c r="E129" s="61"/>
      <c r="F129" s="51"/>
      <c r="G129" s="51"/>
      <c r="J129" s="15"/>
    </row>
    <row r="130" spans="1:19" x14ac:dyDescent="0.2">
      <c r="A130" s="51"/>
      <c r="B130" s="158" t="s">
        <v>591</v>
      </c>
      <c r="C130" s="159"/>
      <c r="D130" s="33" t="s">
        <v>106</v>
      </c>
      <c r="E130" s="61"/>
      <c r="F130" s="51"/>
      <c r="G130" s="51"/>
      <c r="J130" s="15"/>
    </row>
    <row r="131" spans="1:19" x14ac:dyDescent="0.2">
      <c r="A131" s="60"/>
      <c r="B131" s="60"/>
      <c r="C131" s="60"/>
      <c r="D131" s="60"/>
      <c r="E131" s="60"/>
      <c r="F131" s="60"/>
      <c r="G131" s="60"/>
      <c r="J131" s="15"/>
    </row>
    <row r="132" spans="1:19" s="62" customFormat="1" x14ac:dyDescent="0.2">
      <c r="B132" s="160" t="s">
        <v>575</v>
      </c>
      <c r="C132" s="161"/>
      <c r="D132" s="162"/>
      <c r="I132"/>
      <c r="J132" s="15"/>
      <c r="K132"/>
      <c r="L132" s="35"/>
      <c r="M132" s="35"/>
      <c r="N132" s="35"/>
      <c r="O132" s="68"/>
      <c r="R132"/>
      <c r="S132"/>
    </row>
    <row r="133" spans="1:19" s="62" customFormat="1" ht="51" x14ac:dyDescent="0.2">
      <c r="B133" s="152" t="s">
        <v>576</v>
      </c>
      <c r="C133" s="152"/>
      <c r="D133" s="63" t="s">
        <v>402</v>
      </c>
      <c r="I133"/>
      <c r="J133" s="15"/>
      <c r="K133"/>
      <c r="L133" s="35"/>
      <c r="M133" s="35"/>
      <c r="N133" s="35"/>
      <c r="O133" s="68"/>
      <c r="R133"/>
      <c r="S133"/>
    </row>
    <row r="134" spans="1:19" s="62" customFormat="1" x14ac:dyDescent="0.2">
      <c r="B134" s="148" t="s">
        <v>577</v>
      </c>
      <c r="C134" s="148"/>
      <c r="D134" s="64"/>
      <c r="I134"/>
      <c r="J134" s="15"/>
      <c r="K134"/>
      <c r="L134" s="35"/>
      <c r="M134" s="35"/>
      <c r="N134" s="35"/>
      <c r="O134" s="68"/>
      <c r="R134"/>
      <c r="S134"/>
    </row>
    <row r="135" spans="1:19" s="62" customFormat="1" x14ac:dyDescent="0.2">
      <c r="B135" s="148"/>
      <c r="C135" s="148"/>
      <c r="D135" s="65"/>
      <c r="I135"/>
      <c r="J135" s="15"/>
      <c r="K135"/>
      <c r="L135" s="35"/>
      <c r="M135" s="35"/>
      <c r="N135" s="35"/>
      <c r="O135" s="68"/>
      <c r="R135"/>
      <c r="S135"/>
    </row>
    <row r="136" spans="1:19" s="62" customFormat="1" x14ac:dyDescent="0.2">
      <c r="B136" s="148" t="s">
        <v>578</v>
      </c>
      <c r="C136" s="148"/>
      <c r="D136" s="66">
        <v>7.4454300082789553</v>
      </c>
      <c r="I136"/>
      <c r="J136" s="15"/>
      <c r="K136"/>
      <c r="L136" s="35"/>
      <c r="M136" s="35"/>
      <c r="N136" s="35"/>
      <c r="O136" s="68"/>
    </row>
    <row r="137" spans="1:19" s="62" customFormat="1" x14ac:dyDescent="0.2">
      <c r="B137" s="148"/>
      <c r="C137" s="148"/>
      <c r="D137" s="65"/>
      <c r="I137"/>
      <c r="J137" s="15"/>
      <c r="K137"/>
      <c r="L137" s="35"/>
      <c r="M137" s="35"/>
      <c r="N137" s="35"/>
      <c r="O137" s="68"/>
    </row>
    <row r="138" spans="1:19" s="62" customFormat="1" x14ac:dyDescent="0.2">
      <c r="B138" s="148" t="s">
        <v>579</v>
      </c>
      <c r="C138" s="148"/>
      <c r="D138" s="66">
        <v>2.649620402173253</v>
      </c>
      <c r="I138"/>
      <c r="J138" s="15"/>
      <c r="K138"/>
      <c r="L138" s="35"/>
      <c r="M138" s="35"/>
      <c r="N138" s="35"/>
      <c r="O138" s="68"/>
    </row>
    <row r="139" spans="1:19" s="62" customFormat="1" x14ac:dyDescent="0.2">
      <c r="B139" s="148" t="s">
        <v>599</v>
      </c>
      <c r="C139" s="148"/>
      <c r="D139" s="66">
        <v>3.4119560790570187</v>
      </c>
      <c r="I139"/>
      <c r="J139" s="15"/>
      <c r="K139"/>
      <c r="L139" s="35"/>
      <c r="M139" s="35"/>
      <c r="N139" s="35"/>
      <c r="O139" s="68"/>
    </row>
    <row r="140" spans="1:19" s="62" customFormat="1" x14ac:dyDescent="0.2">
      <c r="B140" s="148"/>
      <c r="C140" s="148"/>
      <c r="D140" s="65"/>
      <c r="I140"/>
      <c r="J140" s="15"/>
      <c r="K140"/>
      <c r="L140" s="35"/>
      <c r="M140" s="35"/>
      <c r="N140" s="35"/>
      <c r="O140" s="68"/>
    </row>
    <row r="141" spans="1:19" s="62" customFormat="1" x14ac:dyDescent="0.2">
      <c r="B141" s="148" t="s">
        <v>581</v>
      </c>
      <c r="C141" s="148"/>
      <c r="D141" s="67" t="s">
        <v>690</v>
      </c>
      <c r="I141"/>
      <c r="J141" s="15"/>
      <c r="K141" s="35"/>
      <c r="L141" s="35"/>
      <c r="M141" s="35"/>
      <c r="N141" s="35"/>
      <c r="O141" s="68"/>
    </row>
    <row r="142" spans="1:19" s="62" customFormat="1" x14ac:dyDescent="0.2">
      <c r="B142" s="146" t="s">
        <v>582</v>
      </c>
      <c r="C142" s="149"/>
      <c r="D142" s="147"/>
      <c r="I142"/>
      <c r="J142" s="15"/>
      <c r="K142"/>
      <c r="L142" s="35"/>
      <c r="M142" s="35"/>
      <c r="N142" s="35"/>
      <c r="O142" s="68"/>
    </row>
    <row r="143" spans="1:19" x14ac:dyDescent="0.2">
      <c r="J143" s="15"/>
    </row>
    <row r="144" spans="1:19" ht="13.5" x14ac:dyDescent="0.2">
      <c r="B144" s="184" t="s">
        <v>691</v>
      </c>
      <c r="C144" s="184"/>
      <c r="D144" s="184"/>
      <c r="E144" s="184"/>
      <c r="F144" s="184"/>
      <c r="G144" s="184"/>
      <c r="H144" s="184"/>
    </row>
    <row r="145" spans="2:15" ht="13.5" x14ac:dyDescent="0.2">
      <c r="B145" s="95"/>
      <c r="C145" s="95"/>
      <c r="D145" s="95"/>
      <c r="E145" s="95"/>
      <c r="F145" s="95"/>
      <c r="G145" s="95"/>
      <c r="H145" s="95"/>
      <c r="J145" s="35"/>
      <c r="K145" s="35"/>
      <c r="L145" s="35"/>
      <c r="M145" s="35"/>
      <c r="N145" s="35"/>
      <c r="O145" s="35"/>
    </row>
    <row r="146" spans="2:15" ht="13.5" x14ac:dyDescent="0.25">
      <c r="B146" s="82" t="s">
        <v>607</v>
      </c>
      <c r="C146" s="82" t="s">
        <v>608</v>
      </c>
      <c r="D146" s="179" t="s">
        <v>602</v>
      </c>
      <c r="E146" s="180"/>
      <c r="F146" s="181"/>
      <c r="G146" s="182" t="s">
        <v>603</v>
      </c>
      <c r="H146" s="183"/>
      <c r="J146" s="35"/>
      <c r="K146" s="35"/>
      <c r="L146" s="35"/>
      <c r="M146" s="35"/>
      <c r="N146" s="35"/>
      <c r="O146" s="35"/>
    </row>
    <row r="147" spans="2:15" ht="27" x14ac:dyDescent="0.25">
      <c r="B147" s="83" t="s">
        <v>613</v>
      </c>
      <c r="C147" s="84" t="s">
        <v>637</v>
      </c>
      <c r="D147" s="176">
        <v>0</v>
      </c>
      <c r="E147" s="177"/>
      <c r="F147" s="178"/>
      <c r="G147" s="176">
        <v>0</v>
      </c>
      <c r="H147" s="178"/>
      <c r="J147" s="35"/>
      <c r="K147" s="35"/>
      <c r="L147" s="35"/>
      <c r="M147" s="35"/>
      <c r="N147" s="35"/>
      <c r="O147" s="35"/>
    </row>
    <row r="148" spans="2:15" ht="27" x14ac:dyDescent="0.25">
      <c r="B148" s="83" t="s">
        <v>609</v>
      </c>
      <c r="C148" s="84" t="s">
        <v>638</v>
      </c>
      <c r="D148" s="176">
        <v>0</v>
      </c>
      <c r="E148" s="177"/>
      <c r="F148" s="178"/>
      <c r="G148" s="176">
        <v>0</v>
      </c>
      <c r="H148" s="178"/>
      <c r="J148" s="35"/>
      <c r="K148" s="35"/>
      <c r="L148" s="35"/>
      <c r="M148" s="35"/>
      <c r="N148" s="35"/>
      <c r="O148" s="35"/>
    </row>
    <row r="149" spans="2:15" ht="27" x14ac:dyDescent="0.25">
      <c r="B149" s="83" t="s">
        <v>639</v>
      </c>
      <c r="C149" s="84" t="s">
        <v>640</v>
      </c>
      <c r="D149" s="176">
        <v>0</v>
      </c>
      <c r="E149" s="177"/>
      <c r="F149" s="178"/>
      <c r="G149" s="176">
        <v>0</v>
      </c>
      <c r="H149" s="178"/>
      <c r="J149" s="35"/>
      <c r="K149" s="35"/>
      <c r="L149" s="35"/>
      <c r="M149" s="35"/>
      <c r="N149" s="35"/>
      <c r="O149" s="35"/>
    </row>
    <row r="150" spans="2:15" ht="27" x14ac:dyDescent="0.25">
      <c r="B150" s="83" t="s">
        <v>611</v>
      </c>
      <c r="C150" s="84" t="s">
        <v>641</v>
      </c>
      <c r="D150" s="176">
        <v>0</v>
      </c>
      <c r="E150" s="177"/>
      <c r="F150" s="178"/>
      <c r="G150" s="176">
        <v>0</v>
      </c>
      <c r="H150" s="178"/>
      <c r="J150" s="35"/>
      <c r="K150" s="35"/>
      <c r="L150" s="35"/>
      <c r="M150" s="35"/>
      <c r="N150" s="35"/>
      <c r="O150" s="35"/>
    </row>
    <row r="151" spans="2:15" ht="13.5" x14ac:dyDescent="0.25">
      <c r="B151" s="83"/>
      <c r="C151" s="83"/>
      <c r="D151" s="172"/>
      <c r="E151" s="172"/>
      <c r="F151" s="172"/>
      <c r="G151" s="172"/>
      <c r="H151" s="172"/>
      <c r="J151" s="35"/>
      <c r="K151" s="35"/>
      <c r="L151" s="35"/>
      <c r="M151" s="35"/>
      <c r="N151" s="35"/>
      <c r="O151" s="35"/>
    </row>
    <row r="152" spans="2:15" ht="13.5" x14ac:dyDescent="0.25">
      <c r="B152" s="173" t="s">
        <v>615</v>
      </c>
      <c r="C152" s="173"/>
      <c r="D152" s="173"/>
      <c r="E152" s="173"/>
      <c r="F152" s="173"/>
      <c r="G152" s="173"/>
      <c r="H152" s="173"/>
      <c r="J152" s="35"/>
      <c r="K152" s="35"/>
      <c r="L152" s="35"/>
      <c r="M152" s="35"/>
      <c r="N152" s="35"/>
      <c r="O152" s="35"/>
    </row>
    <row r="153" spans="2:15" ht="13.5" x14ac:dyDescent="0.2">
      <c r="B153" s="169" t="s">
        <v>607</v>
      </c>
      <c r="C153" s="169" t="s">
        <v>608</v>
      </c>
      <c r="D153" s="169" t="s">
        <v>616</v>
      </c>
      <c r="E153" s="169"/>
      <c r="F153" s="169"/>
      <c r="G153" s="169"/>
      <c r="H153" s="170" t="s">
        <v>617</v>
      </c>
      <c r="I153" s="170" t="s">
        <v>642</v>
      </c>
      <c r="J153" s="170" t="s">
        <v>619</v>
      </c>
      <c r="K153" s="35"/>
      <c r="L153" s="35"/>
      <c r="M153" s="35"/>
      <c r="N153" s="35"/>
      <c r="O153" s="35"/>
    </row>
    <row r="154" spans="2:15" ht="121.5" x14ac:dyDescent="0.2">
      <c r="B154" s="169"/>
      <c r="C154" s="169"/>
      <c r="D154" s="86" t="s">
        <v>620</v>
      </c>
      <c r="E154" s="86" t="s">
        <v>621</v>
      </c>
      <c r="F154" s="86" t="s">
        <v>622</v>
      </c>
      <c r="G154" s="86" t="s">
        <v>643</v>
      </c>
      <c r="H154" s="170"/>
      <c r="I154" s="170"/>
      <c r="J154" s="170"/>
      <c r="K154" s="35"/>
      <c r="L154" s="35"/>
      <c r="M154" s="35"/>
      <c r="N154" s="35"/>
      <c r="O154" s="35"/>
    </row>
    <row r="155" spans="2:15" ht="27" x14ac:dyDescent="0.25">
      <c r="B155" s="83" t="s">
        <v>613</v>
      </c>
      <c r="C155" s="84" t="s">
        <v>637</v>
      </c>
      <c r="D155" s="87">
        <v>3000</v>
      </c>
      <c r="E155" s="87">
        <v>198.60410960000002</v>
      </c>
      <c r="F155" s="88">
        <v>72.152053199999997</v>
      </c>
      <c r="G155" s="89">
        <v>3270.7561627999999</v>
      </c>
      <c r="H155" s="10">
        <v>1452.6372699999999</v>
      </c>
      <c r="I155" s="10">
        <f>2499839/10^5</f>
        <v>24.998390000000001</v>
      </c>
      <c r="J155" s="10">
        <f>H155+I155</f>
        <v>1477.6356599999999</v>
      </c>
      <c r="K155" s="35"/>
      <c r="L155" s="35"/>
      <c r="M155" s="35"/>
      <c r="N155" s="35"/>
      <c r="O155" s="35"/>
    </row>
    <row r="156" spans="2:15" ht="27" x14ac:dyDescent="0.25">
      <c r="B156" s="83" t="s">
        <v>609</v>
      </c>
      <c r="C156" s="84" t="s">
        <v>638</v>
      </c>
      <c r="D156" s="87">
        <v>500</v>
      </c>
      <c r="E156" s="87">
        <v>33.283561599999999</v>
      </c>
      <c r="F156" s="88">
        <v>12.091777499999999</v>
      </c>
      <c r="G156" s="89">
        <f>D156+E156+F156</f>
        <v>545.37533910000002</v>
      </c>
      <c r="H156" s="10">
        <v>242.22076999999999</v>
      </c>
      <c r="I156" s="10">
        <f>416840/10^5</f>
        <v>4.1684000000000001</v>
      </c>
      <c r="J156" s="10">
        <f>H156+I156</f>
        <v>246.38916999999998</v>
      </c>
      <c r="K156" s="35"/>
      <c r="L156" s="35"/>
      <c r="M156" s="35"/>
      <c r="N156" s="35"/>
      <c r="O156" s="35"/>
    </row>
    <row r="157" spans="2:15" ht="27" x14ac:dyDescent="0.25">
      <c r="B157" s="83" t="s">
        <v>639</v>
      </c>
      <c r="C157" s="84" t="s">
        <v>644</v>
      </c>
      <c r="D157" s="87">
        <v>2000</v>
      </c>
      <c r="E157" s="87">
        <v>39.762295099999996</v>
      </c>
      <c r="F157" s="88">
        <v>64.029485721917808</v>
      </c>
      <c r="G157" s="89">
        <v>2103.7917808219199</v>
      </c>
      <c r="H157" s="10">
        <v>933.64715000000001</v>
      </c>
      <c r="I157" s="10">
        <f>1606686/10^5</f>
        <v>16.066859999999998</v>
      </c>
      <c r="J157" s="10">
        <f>H157+I157</f>
        <v>949.71401000000003</v>
      </c>
      <c r="K157" s="35"/>
      <c r="L157" s="35"/>
      <c r="M157" s="35"/>
      <c r="N157" s="35"/>
      <c r="O157" s="35"/>
    </row>
    <row r="158" spans="2:15" ht="27" x14ac:dyDescent="0.25">
      <c r="B158" s="83" t="s">
        <v>611</v>
      </c>
      <c r="C158" s="84" t="s">
        <v>641</v>
      </c>
      <c r="D158" s="87">
        <v>1882.78</v>
      </c>
      <c r="E158" s="87">
        <v>137.066384</v>
      </c>
      <c r="F158" s="88">
        <v>34.266601500000007</v>
      </c>
      <c r="G158" s="89">
        <v>2054.1129854999999</v>
      </c>
      <c r="H158" s="10">
        <v>916.65184999999997</v>
      </c>
      <c r="I158" s="10">
        <f>1577458/10^5</f>
        <v>15.77458</v>
      </c>
      <c r="J158" s="10">
        <f>H158+I158</f>
        <v>932.42642999999998</v>
      </c>
      <c r="K158" s="35"/>
      <c r="L158" s="35"/>
      <c r="M158" s="35"/>
      <c r="N158" s="35"/>
      <c r="O158" s="35"/>
    </row>
    <row r="159" spans="2:15" ht="13.5" x14ac:dyDescent="0.25">
      <c r="B159" s="96"/>
      <c r="C159" s="97"/>
      <c r="D159" s="98"/>
      <c r="E159" s="98"/>
      <c r="F159" s="99"/>
      <c r="G159" s="100"/>
      <c r="H159" s="12"/>
      <c r="J159" s="15"/>
      <c r="K159" s="35"/>
      <c r="L159" s="35"/>
      <c r="M159" s="35"/>
      <c r="N159" s="35"/>
      <c r="O159" s="35"/>
    </row>
    <row r="160" spans="2:15" ht="51" customHeight="1" x14ac:dyDescent="0.2">
      <c r="B160" s="175" t="s">
        <v>645</v>
      </c>
      <c r="C160" s="175"/>
      <c r="D160" s="175"/>
      <c r="E160" s="175"/>
      <c r="F160" s="175"/>
      <c r="G160" s="175"/>
      <c r="H160" s="175"/>
      <c r="I160" s="175"/>
      <c r="J160" s="15"/>
      <c r="K160" s="35"/>
      <c r="L160" s="35"/>
      <c r="M160" s="35"/>
      <c r="N160" s="35"/>
      <c r="O160" s="35"/>
    </row>
    <row r="161" spans="2:15" x14ac:dyDescent="0.2">
      <c r="B161" s="35"/>
      <c r="C161" s="35"/>
      <c r="D161" s="35"/>
      <c r="E161" s="35"/>
      <c r="F161" s="35"/>
      <c r="G161" s="35"/>
      <c r="H161" s="35"/>
      <c r="J161" s="15"/>
      <c r="K161" s="35"/>
      <c r="L161" s="35"/>
      <c r="M161" s="35"/>
      <c r="N161" s="35"/>
      <c r="O161" s="35"/>
    </row>
    <row r="162" spans="2:15" ht="13.5" x14ac:dyDescent="0.25">
      <c r="B162" s="90" t="s">
        <v>624</v>
      </c>
      <c r="C162" s="35"/>
      <c r="D162" s="35"/>
      <c r="E162" s="35"/>
      <c r="F162" s="35"/>
      <c r="G162" s="35"/>
      <c r="H162" s="35"/>
      <c r="J162" s="15"/>
      <c r="K162" s="35"/>
      <c r="L162" s="35"/>
      <c r="M162" s="35"/>
      <c r="N162" s="35"/>
      <c r="O162" s="35"/>
    </row>
    <row r="163" spans="2:15" x14ac:dyDescent="0.2">
      <c r="B163" s="35"/>
      <c r="C163" s="35"/>
      <c r="D163" s="35"/>
      <c r="E163" s="35"/>
      <c r="F163" s="35"/>
      <c r="G163" s="35"/>
      <c r="H163" s="35"/>
      <c r="I163" s="35"/>
      <c r="J163" s="15"/>
      <c r="K163" s="35"/>
      <c r="L163" s="35"/>
      <c r="M163" s="35"/>
      <c r="N163" s="35"/>
      <c r="O163" s="35"/>
    </row>
    <row r="164" spans="2:15" x14ac:dyDescent="0.2">
      <c r="B164" s="91" t="s">
        <v>625</v>
      </c>
      <c r="C164" s="35"/>
      <c r="D164" s="35"/>
      <c r="E164" s="35"/>
      <c r="F164" s="35"/>
      <c r="G164" s="35"/>
      <c r="H164" s="35"/>
      <c r="I164" s="35"/>
      <c r="J164" s="15"/>
      <c r="K164" s="35"/>
      <c r="L164" s="35"/>
      <c r="M164" s="35"/>
      <c r="N164" s="35"/>
      <c r="O164" s="35"/>
    </row>
    <row r="165" spans="2:15" x14ac:dyDescent="0.2">
      <c r="B165" s="35"/>
      <c r="C165" s="35"/>
      <c r="D165" s="35"/>
      <c r="E165" s="35"/>
      <c r="F165" s="35"/>
      <c r="G165" s="35"/>
      <c r="H165" s="35"/>
      <c r="I165" s="35"/>
      <c r="J165" s="15"/>
      <c r="K165" s="35"/>
      <c r="L165" s="35"/>
      <c r="M165" s="35"/>
      <c r="N165" s="35"/>
      <c r="O165" s="35"/>
    </row>
    <row r="166" spans="2:15" x14ac:dyDescent="0.2">
      <c r="B166" s="91" t="s">
        <v>626</v>
      </c>
      <c r="C166" s="35"/>
      <c r="D166" s="35"/>
      <c r="E166" s="35"/>
      <c r="F166" s="35"/>
      <c r="G166" s="35"/>
      <c r="H166" s="35"/>
      <c r="I166" s="35"/>
      <c r="J166" s="15"/>
      <c r="K166" s="35"/>
      <c r="L166" s="35"/>
      <c r="M166" s="35"/>
      <c r="N166" s="35"/>
      <c r="O166" s="35"/>
    </row>
    <row r="167" spans="2:15" x14ac:dyDescent="0.2">
      <c r="I167" s="35"/>
      <c r="J167" s="15"/>
      <c r="K167" s="35"/>
      <c r="L167" s="35"/>
      <c r="M167" s="35"/>
      <c r="N167" s="35"/>
      <c r="O167" s="35"/>
    </row>
    <row r="168" spans="2:15" x14ac:dyDescent="0.2">
      <c r="B168" s="91" t="s">
        <v>627</v>
      </c>
      <c r="J168" s="15"/>
      <c r="K168" s="35"/>
      <c r="L168" s="35"/>
      <c r="M168" s="35"/>
      <c r="N168" s="35"/>
      <c r="O168" s="35"/>
    </row>
    <row r="169" spans="2:15" x14ac:dyDescent="0.2">
      <c r="I169" s="35"/>
      <c r="J169" s="15"/>
      <c r="K169" s="35"/>
      <c r="L169" s="35"/>
      <c r="M169" s="35"/>
      <c r="N169" s="35"/>
      <c r="O169" s="35"/>
    </row>
    <row r="170" spans="2:15" ht="25.5" x14ac:dyDescent="0.2">
      <c r="B170" s="69" t="s">
        <v>583</v>
      </c>
    </row>
    <row r="172" spans="2:15" ht="153.75" customHeight="1" x14ac:dyDescent="0.2"/>
    <row r="175" spans="2:15" x14ac:dyDescent="0.2">
      <c r="B175" s="70" t="s">
        <v>584</v>
      </c>
      <c r="C175" s="71"/>
      <c r="D175" s="70" t="s">
        <v>585</v>
      </c>
    </row>
    <row r="176" spans="2:15" x14ac:dyDescent="0.2">
      <c r="B176" s="70" t="s">
        <v>646</v>
      </c>
      <c r="D176" s="70" t="s">
        <v>647</v>
      </c>
    </row>
    <row r="177" spans="10:10" ht="165" customHeight="1" x14ac:dyDescent="0.2"/>
    <row r="179" spans="10:10" x14ac:dyDescent="0.2">
      <c r="J179" s="15"/>
    </row>
  </sheetData>
  <mergeCells count="48">
    <mergeCell ref="B104:H104"/>
    <mergeCell ref="B130:C130"/>
    <mergeCell ref="B133:C133"/>
    <mergeCell ref="B107:D107"/>
    <mergeCell ref="B108:C108"/>
    <mergeCell ref="B109:C109"/>
    <mergeCell ref="B110:C110"/>
    <mergeCell ref="B125:C125"/>
    <mergeCell ref="B129:C129"/>
    <mergeCell ref="B105:H105"/>
    <mergeCell ref="B127:C127"/>
    <mergeCell ref="B128:C128"/>
    <mergeCell ref="B132:D132"/>
    <mergeCell ref="A1:H1"/>
    <mergeCell ref="A2:H2"/>
    <mergeCell ref="A3:H3"/>
    <mergeCell ref="B102:H102"/>
    <mergeCell ref="B103:H103"/>
    <mergeCell ref="B134:C134"/>
    <mergeCell ref="B135:C135"/>
    <mergeCell ref="B136:C136"/>
    <mergeCell ref="B137:C137"/>
    <mergeCell ref="B138:C138"/>
    <mergeCell ref="B139:C139"/>
    <mergeCell ref="B140:C140"/>
    <mergeCell ref="B141:C141"/>
    <mergeCell ref="B142:D142"/>
    <mergeCell ref="B144:H144"/>
    <mergeCell ref="D146:F146"/>
    <mergeCell ref="G146:H146"/>
    <mergeCell ref="D147:F147"/>
    <mergeCell ref="G147:H147"/>
    <mergeCell ref="D148:F148"/>
    <mergeCell ref="G148:H148"/>
    <mergeCell ref="D149:F149"/>
    <mergeCell ref="G149:H149"/>
    <mergeCell ref="D150:F150"/>
    <mergeCell ref="G150:H150"/>
    <mergeCell ref="D151:F151"/>
    <mergeCell ref="G151:H151"/>
    <mergeCell ref="B152:H152"/>
    <mergeCell ref="J153:J154"/>
    <mergeCell ref="B160:I160"/>
    <mergeCell ref="B153:B154"/>
    <mergeCell ref="C153:C154"/>
    <mergeCell ref="D153:G153"/>
    <mergeCell ref="H153:H154"/>
    <mergeCell ref="I153:I154"/>
  </mergeCells>
  <hyperlinks>
    <hyperlink ref="I1" location="Index!B2" display="Index" xr:uid="{147E44AD-738F-419C-8FAE-18DE68ABE60E}"/>
    <hyperlink ref="B164" r:id="rId1" xr:uid="{4AAF8051-E108-47A2-9268-C64698768881}"/>
    <hyperlink ref="B166" r:id="rId2" xr:uid="{5BB7D31A-8244-4DDA-88B2-2A4B48CA2366}"/>
    <hyperlink ref="B168" r:id="rId3" xr:uid="{E6FA79D6-A9DF-4056-9F5F-824888C3519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19F5-015B-485B-9BB9-DE82589AF27F}">
  <sheetPr>
    <outlinePr summaryBelow="0" summaryRight="0"/>
  </sheetPr>
  <dimension ref="A1:Q216"/>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4.140625" bestFit="1" customWidth="1"/>
    <col min="4" max="4" width="14.42578125" customWidth="1"/>
    <col min="5" max="5" width="9.42578125" bestFit="1" customWidth="1"/>
    <col min="6" max="6" width="10.140625" bestFit="1" customWidth="1"/>
    <col min="7" max="7" width="14" bestFit="1" customWidth="1"/>
    <col min="8" max="8" width="10.7109375"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418</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594</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x14ac:dyDescent="0.2">
      <c r="A28" s="24">
        <v>1</v>
      </c>
      <c r="B28" s="25" t="s">
        <v>419</v>
      </c>
      <c r="C28" s="25" t="s">
        <v>420</v>
      </c>
      <c r="D28" s="25" t="s">
        <v>222</v>
      </c>
      <c r="E28" s="26">
        <v>750</v>
      </c>
      <c r="F28" s="27">
        <v>7495.7775000000001</v>
      </c>
      <c r="G28" s="28">
        <v>3.1376189999999998E-2</v>
      </c>
      <c r="H28" s="18">
        <v>7.5774999999999997</v>
      </c>
    </row>
    <row r="29" spans="1:8" x14ac:dyDescent="0.2">
      <c r="A29" s="24">
        <v>2</v>
      </c>
      <c r="B29" s="25" t="s">
        <v>230</v>
      </c>
      <c r="C29" s="25" t="s">
        <v>231</v>
      </c>
      <c r="D29" s="25" t="s">
        <v>225</v>
      </c>
      <c r="E29" s="26">
        <v>7000</v>
      </c>
      <c r="F29" s="27">
        <v>7028.9380000000001</v>
      </c>
      <c r="G29" s="28">
        <v>2.9422070000000002E-2</v>
      </c>
      <c r="H29" s="18">
        <v>8.31</v>
      </c>
    </row>
    <row r="30" spans="1:8" x14ac:dyDescent="0.2">
      <c r="A30" s="24">
        <v>3</v>
      </c>
      <c r="B30" s="25" t="s">
        <v>226</v>
      </c>
      <c r="C30" s="25" t="s">
        <v>227</v>
      </c>
      <c r="D30" s="25" t="s">
        <v>23</v>
      </c>
      <c r="E30" s="26">
        <v>5500</v>
      </c>
      <c r="F30" s="27">
        <v>5488.1639999999998</v>
      </c>
      <c r="G30" s="28">
        <v>2.2972630000000001E-2</v>
      </c>
      <c r="H30" s="18">
        <v>7.67</v>
      </c>
    </row>
    <row r="31" spans="1:8" x14ac:dyDescent="0.2">
      <c r="A31" s="24">
        <v>4</v>
      </c>
      <c r="B31" s="25" t="s">
        <v>223</v>
      </c>
      <c r="C31" s="25" t="s">
        <v>224</v>
      </c>
      <c r="D31" s="25" t="s">
        <v>225</v>
      </c>
      <c r="E31" s="26">
        <v>3000</v>
      </c>
      <c r="F31" s="27">
        <v>3006.9960000000001</v>
      </c>
      <c r="G31" s="28">
        <v>1.258683E-2</v>
      </c>
      <c r="H31" s="18">
        <v>8.9350000000000005</v>
      </c>
    </row>
    <row r="32" spans="1:8" ht="25.5" x14ac:dyDescent="0.2">
      <c r="A32" s="24">
        <v>5</v>
      </c>
      <c r="B32" s="25" t="s">
        <v>421</v>
      </c>
      <c r="C32" s="25" t="s">
        <v>422</v>
      </c>
      <c r="D32" s="25" t="s">
        <v>23</v>
      </c>
      <c r="E32" s="26">
        <v>300</v>
      </c>
      <c r="F32" s="27">
        <v>2991.915</v>
      </c>
      <c r="G32" s="28">
        <v>1.25237E-2</v>
      </c>
      <c r="H32" s="18">
        <v>7.4249999999999998</v>
      </c>
    </row>
    <row r="33" spans="1:8" ht="25.5" x14ac:dyDescent="0.2">
      <c r="A33" s="24">
        <v>6</v>
      </c>
      <c r="B33" s="25" t="s">
        <v>423</v>
      </c>
      <c r="C33" s="25" t="s">
        <v>424</v>
      </c>
      <c r="D33" s="25" t="s">
        <v>251</v>
      </c>
      <c r="E33" s="26">
        <v>2500</v>
      </c>
      <c r="F33" s="27">
        <v>2500.54</v>
      </c>
      <c r="G33" s="28">
        <v>1.046688E-2</v>
      </c>
      <c r="H33" s="18">
        <v>7.74</v>
      </c>
    </row>
    <row r="34" spans="1:8" ht="25.5" x14ac:dyDescent="0.2">
      <c r="A34" s="24">
        <v>7</v>
      </c>
      <c r="B34" s="25" t="s">
        <v>425</v>
      </c>
      <c r="C34" s="25" t="s">
        <v>426</v>
      </c>
      <c r="D34" s="25" t="s">
        <v>251</v>
      </c>
      <c r="E34" s="26">
        <v>250000</v>
      </c>
      <c r="F34" s="27">
        <v>2499.7049999999999</v>
      </c>
      <c r="G34" s="28">
        <v>1.0463389999999999E-2</v>
      </c>
      <c r="H34" s="18">
        <v>7.8849999999999998</v>
      </c>
    </row>
    <row r="35" spans="1:8" ht="25.5" x14ac:dyDescent="0.2">
      <c r="A35" s="24">
        <v>8</v>
      </c>
      <c r="B35" s="25" t="s">
        <v>57</v>
      </c>
      <c r="C35" s="25" t="s">
        <v>58</v>
      </c>
      <c r="D35" s="25" t="s">
        <v>23</v>
      </c>
      <c r="E35" s="26">
        <v>2500</v>
      </c>
      <c r="F35" s="27">
        <v>2493.6025</v>
      </c>
      <c r="G35" s="28">
        <v>1.043784E-2</v>
      </c>
      <c r="H35" s="18">
        <v>7.7129000000000003</v>
      </c>
    </row>
    <row r="36" spans="1:8" ht="25.5" x14ac:dyDescent="0.2">
      <c r="A36" s="24">
        <v>9</v>
      </c>
      <c r="B36" s="25" t="s">
        <v>427</v>
      </c>
      <c r="C36" s="25" t="s">
        <v>428</v>
      </c>
      <c r="D36" s="25" t="s">
        <v>23</v>
      </c>
      <c r="E36" s="26">
        <v>250</v>
      </c>
      <c r="F36" s="27">
        <v>2487.7399999999998</v>
      </c>
      <c r="G36" s="28">
        <v>1.04133E-2</v>
      </c>
      <c r="H36" s="18">
        <v>8.0649999999999995</v>
      </c>
    </row>
    <row r="37" spans="1:8" ht="25.5" x14ac:dyDescent="0.2">
      <c r="A37" s="24">
        <v>10</v>
      </c>
      <c r="B37" s="25" t="s">
        <v>429</v>
      </c>
      <c r="C37" s="25" t="s">
        <v>430</v>
      </c>
      <c r="D37" s="25" t="s">
        <v>23</v>
      </c>
      <c r="E37" s="26">
        <v>250</v>
      </c>
      <c r="F37" s="27">
        <v>2471.27</v>
      </c>
      <c r="G37" s="28">
        <v>1.034436E-2</v>
      </c>
      <c r="H37" s="18">
        <v>7.7249999999999996</v>
      </c>
    </row>
    <row r="38" spans="1:8" ht="25.5" x14ac:dyDescent="0.2">
      <c r="A38" s="24">
        <v>11</v>
      </c>
      <c r="B38" s="25" t="s">
        <v>249</v>
      </c>
      <c r="C38" s="25" t="s">
        <v>250</v>
      </c>
      <c r="D38" s="25" t="s">
        <v>251</v>
      </c>
      <c r="E38" s="26">
        <v>200</v>
      </c>
      <c r="F38" s="27">
        <v>2000.912</v>
      </c>
      <c r="G38" s="28">
        <v>8.3755199999999991E-3</v>
      </c>
      <c r="H38" s="18">
        <v>8.2850000000000001</v>
      </c>
    </row>
    <row r="39" spans="1:8" ht="25.5" x14ac:dyDescent="0.2">
      <c r="A39" s="24">
        <v>12</v>
      </c>
      <c r="B39" s="25" t="s">
        <v>220</v>
      </c>
      <c r="C39" s="25" t="s">
        <v>221</v>
      </c>
      <c r="D39" s="25" t="s">
        <v>222</v>
      </c>
      <c r="E39" s="26">
        <v>1600</v>
      </c>
      <c r="F39" s="27">
        <v>1609.0608</v>
      </c>
      <c r="G39" s="28">
        <v>6.7352899999999997E-3</v>
      </c>
      <c r="H39" s="18">
        <v>8.01</v>
      </c>
    </row>
    <row r="40" spans="1:8" ht="25.5" x14ac:dyDescent="0.2">
      <c r="A40" s="24">
        <v>13</v>
      </c>
      <c r="B40" s="25" t="s">
        <v>61</v>
      </c>
      <c r="C40" s="25" t="s">
        <v>62</v>
      </c>
      <c r="D40" s="25" t="s">
        <v>23</v>
      </c>
      <c r="E40" s="26">
        <v>1500</v>
      </c>
      <c r="F40" s="27">
        <v>1498.8240000000001</v>
      </c>
      <c r="G40" s="28">
        <v>6.2738500000000001E-3</v>
      </c>
      <c r="H40" s="18">
        <v>8.2249999999999996</v>
      </c>
    </row>
    <row r="41" spans="1:8" ht="25.5" x14ac:dyDescent="0.2">
      <c r="A41" s="24">
        <v>14</v>
      </c>
      <c r="B41" s="25" t="s">
        <v>245</v>
      </c>
      <c r="C41" s="25" t="s">
        <v>246</v>
      </c>
      <c r="D41" s="25" t="s">
        <v>225</v>
      </c>
      <c r="E41" s="26">
        <v>1000</v>
      </c>
      <c r="F41" s="27">
        <v>1003.655</v>
      </c>
      <c r="G41" s="28">
        <v>4.2011499999999998E-3</v>
      </c>
      <c r="H41" s="18">
        <v>8.76</v>
      </c>
    </row>
    <row r="42" spans="1:8" ht="25.5" x14ac:dyDescent="0.2">
      <c r="A42" s="24">
        <v>15</v>
      </c>
      <c r="B42" s="25" t="s">
        <v>63</v>
      </c>
      <c r="C42" s="25" t="s">
        <v>64</v>
      </c>
      <c r="D42" s="25" t="s">
        <v>23</v>
      </c>
      <c r="E42" s="26">
        <v>1000</v>
      </c>
      <c r="F42" s="27">
        <v>995.37900000000002</v>
      </c>
      <c r="G42" s="28">
        <v>4.16651E-3</v>
      </c>
      <c r="H42" s="18">
        <v>7.7</v>
      </c>
    </row>
    <row r="43" spans="1:8" x14ac:dyDescent="0.2">
      <c r="A43" s="16"/>
      <c r="B43" s="16"/>
      <c r="C43" s="17" t="s">
        <v>11</v>
      </c>
      <c r="D43" s="16"/>
      <c r="E43" s="16" t="s">
        <v>12</v>
      </c>
      <c r="F43" s="23">
        <v>45572.478799999997</v>
      </c>
      <c r="G43" s="20">
        <v>0.19075950999999999</v>
      </c>
      <c r="H43" s="18" t="s">
        <v>12</v>
      </c>
    </row>
    <row r="44" spans="1:8" x14ac:dyDescent="0.2">
      <c r="A44" s="16"/>
      <c r="B44" s="16"/>
      <c r="C44" s="21"/>
      <c r="D44" s="16"/>
      <c r="E44" s="16"/>
      <c r="F44" s="22"/>
      <c r="G44" s="22"/>
      <c r="H44" s="18" t="s">
        <v>12</v>
      </c>
    </row>
    <row r="45" spans="1:8" x14ac:dyDescent="0.2">
      <c r="A45" s="16"/>
      <c r="B45" s="16"/>
      <c r="C45" s="17" t="s">
        <v>71</v>
      </c>
      <c r="D45" s="16"/>
      <c r="E45" s="16"/>
      <c r="F45" s="16"/>
      <c r="G45" s="16"/>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72</v>
      </c>
      <c r="D48" s="16"/>
      <c r="E48" s="16"/>
      <c r="F48" s="16"/>
      <c r="G48" s="16"/>
      <c r="H48" s="18" t="s">
        <v>12</v>
      </c>
    </row>
    <row r="49" spans="1:8" x14ac:dyDescent="0.2">
      <c r="A49" s="16"/>
      <c r="B49" s="16"/>
      <c r="C49" s="17" t="s">
        <v>11</v>
      </c>
      <c r="D49" s="16"/>
      <c r="E49" s="16" t="s">
        <v>12</v>
      </c>
      <c r="F49" s="19" t="s">
        <v>13</v>
      </c>
      <c r="G49" s="20">
        <v>0</v>
      </c>
      <c r="H49" s="18" t="s">
        <v>12</v>
      </c>
    </row>
    <row r="50" spans="1:8" x14ac:dyDescent="0.2">
      <c r="A50" s="16"/>
      <c r="B50" s="16"/>
      <c r="C50" s="21"/>
      <c r="D50" s="16"/>
      <c r="E50" s="16"/>
      <c r="F50" s="22"/>
      <c r="G50" s="22"/>
      <c r="H50" s="18" t="s">
        <v>12</v>
      </c>
    </row>
    <row r="51" spans="1:8" x14ac:dyDescent="0.2">
      <c r="A51" s="16"/>
      <c r="B51" s="16"/>
      <c r="C51" s="17" t="s">
        <v>86</v>
      </c>
      <c r="D51" s="16"/>
      <c r="E51" s="16"/>
      <c r="F51" s="22"/>
      <c r="G51" s="22"/>
      <c r="H51" s="18" t="s">
        <v>12</v>
      </c>
    </row>
    <row r="52" spans="1:8" x14ac:dyDescent="0.2">
      <c r="A52" s="16"/>
      <c r="B52" s="16"/>
      <c r="C52" s="17" t="s">
        <v>11</v>
      </c>
      <c r="D52" s="16"/>
      <c r="E52" s="16" t="s">
        <v>12</v>
      </c>
      <c r="F52" s="19" t="s">
        <v>13</v>
      </c>
      <c r="G52" s="20">
        <v>0</v>
      </c>
      <c r="H52" s="18" t="s">
        <v>12</v>
      </c>
    </row>
    <row r="53" spans="1:8" x14ac:dyDescent="0.2">
      <c r="A53" s="16"/>
      <c r="B53" s="16"/>
      <c r="C53" s="21"/>
      <c r="D53" s="16"/>
      <c r="E53" s="16"/>
      <c r="F53" s="22"/>
      <c r="G53" s="22"/>
      <c r="H53" s="18" t="s">
        <v>12</v>
      </c>
    </row>
    <row r="54" spans="1:8" x14ac:dyDescent="0.2">
      <c r="A54" s="16"/>
      <c r="B54" s="16"/>
      <c r="C54" s="17" t="s">
        <v>87</v>
      </c>
      <c r="D54" s="16"/>
      <c r="E54" s="16"/>
      <c r="F54" s="23">
        <v>45572.478799999997</v>
      </c>
      <c r="G54" s="20">
        <v>0.19075950999999999</v>
      </c>
      <c r="H54" s="18" t="s">
        <v>12</v>
      </c>
    </row>
    <row r="55" spans="1:8" x14ac:dyDescent="0.2">
      <c r="A55" s="16"/>
      <c r="B55" s="16"/>
      <c r="C55" s="21"/>
      <c r="D55" s="16"/>
      <c r="E55" s="16"/>
      <c r="F55" s="22"/>
      <c r="G55" s="22"/>
      <c r="H55" s="18" t="s">
        <v>12</v>
      </c>
    </row>
    <row r="56" spans="1:8" x14ac:dyDescent="0.2">
      <c r="A56" s="16"/>
      <c r="B56" s="16"/>
      <c r="C56" s="17" t="s">
        <v>88</v>
      </c>
      <c r="D56" s="16"/>
      <c r="E56" s="16"/>
      <c r="F56" s="22"/>
      <c r="G56" s="22"/>
      <c r="H56" s="18" t="s">
        <v>12</v>
      </c>
    </row>
    <row r="57" spans="1:8" x14ac:dyDescent="0.2">
      <c r="A57" s="16"/>
      <c r="B57" s="16"/>
      <c r="C57" s="17" t="s">
        <v>89</v>
      </c>
      <c r="D57" s="16"/>
      <c r="E57" s="16"/>
      <c r="F57" s="22"/>
      <c r="G57" s="22"/>
      <c r="H57" s="18" t="s">
        <v>12</v>
      </c>
    </row>
    <row r="58" spans="1:8" x14ac:dyDescent="0.2">
      <c r="A58" s="24">
        <v>1</v>
      </c>
      <c r="B58" s="25" t="s">
        <v>327</v>
      </c>
      <c r="C58" s="25" t="s">
        <v>328</v>
      </c>
      <c r="D58" s="25" t="s">
        <v>141</v>
      </c>
      <c r="E58" s="26">
        <v>1500</v>
      </c>
      <c r="F58" s="27">
        <v>7420.4025000000001</v>
      </c>
      <c r="G58" s="28">
        <v>3.106068E-2</v>
      </c>
      <c r="H58" s="18">
        <v>7.2503000000000002</v>
      </c>
    </row>
    <row r="59" spans="1:8" x14ac:dyDescent="0.2">
      <c r="A59" s="24">
        <v>2</v>
      </c>
      <c r="B59" s="25" t="s">
        <v>431</v>
      </c>
      <c r="C59" s="25" t="s">
        <v>432</v>
      </c>
      <c r="D59" s="25" t="s">
        <v>141</v>
      </c>
      <c r="E59" s="26">
        <v>1000</v>
      </c>
      <c r="F59" s="27">
        <v>4958.58</v>
      </c>
      <c r="G59" s="28">
        <v>2.0755869999999999E-2</v>
      </c>
      <c r="H59" s="18">
        <v>7.2598000000000003</v>
      </c>
    </row>
    <row r="60" spans="1:8" x14ac:dyDescent="0.2">
      <c r="A60" s="24">
        <v>3</v>
      </c>
      <c r="B60" s="25" t="s">
        <v>433</v>
      </c>
      <c r="C60" s="25" t="s">
        <v>434</v>
      </c>
      <c r="D60" s="25" t="s">
        <v>141</v>
      </c>
      <c r="E60" s="26">
        <v>1000</v>
      </c>
      <c r="F60" s="27">
        <v>4858.92</v>
      </c>
      <c r="G60" s="28">
        <v>2.0338700000000001E-2</v>
      </c>
      <c r="H60" s="18">
        <v>7.57</v>
      </c>
    </row>
    <row r="61" spans="1:8" x14ac:dyDescent="0.2">
      <c r="A61" s="24">
        <v>4</v>
      </c>
      <c r="B61" s="25" t="s">
        <v>435</v>
      </c>
      <c r="C61" s="25" t="s">
        <v>436</v>
      </c>
      <c r="D61" s="25" t="s">
        <v>144</v>
      </c>
      <c r="E61" s="26">
        <v>1000</v>
      </c>
      <c r="F61" s="27">
        <v>4683.59</v>
      </c>
      <c r="G61" s="28">
        <v>1.9604799999999999E-2</v>
      </c>
      <c r="H61" s="18">
        <v>7.6580000000000004</v>
      </c>
    </row>
    <row r="62" spans="1:8" x14ac:dyDescent="0.2">
      <c r="A62" s="24">
        <v>5</v>
      </c>
      <c r="B62" s="25" t="s">
        <v>154</v>
      </c>
      <c r="C62" s="25" t="s">
        <v>155</v>
      </c>
      <c r="D62" s="25" t="s">
        <v>141</v>
      </c>
      <c r="E62" s="26">
        <v>1000</v>
      </c>
      <c r="F62" s="27">
        <v>4681.9650000000001</v>
      </c>
      <c r="G62" s="28">
        <v>1.9598000000000001E-2</v>
      </c>
      <c r="H62" s="18">
        <v>7.7</v>
      </c>
    </row>
    <row r="63" spans="1:8" x14ac:dyDescent="0.2">
      <c r="A63" s="24">
        <v>6</v>
      </c>
      <c r="B63" s="25" t="s">
        <v>158</v>
      </c>
      <c r="C63" s="25" t="s">
        <v>159</v>
      </c>
      <c r="D63" s="25" t="s">
        <v>141</v>
      </c>
      <c r="E63" s="26">
        <v>1000</v>
      </c>
      <c r="F63" s="27">
        <v>4677.3549999999996</v>
      </c>
      <c r="G63" s="28">
        <v>1.9578700000000001E-2</v>
      </c>
      <c r="H63" s="18">
        <v>7.7950999999999997</v>
      </c>
    </row>
    <row r="64" spans="1:8" x14ac:dyDescent="0.2">
      <c r="A64" s="24">
        <v>7</v>
      </c>
      <c r="B64" s="25" t="s">
        <v>184</v>
      </c>
      <c r="C64" s="25" t="s">
        <v>185</v>
      </c>
      <c r="D64" s="25" t="s">
        <v>147</v>
      </c>
      <c r="E64" s="26">
        <v>900</v>
      </c>
      <c r="F64" s="27">
        <v>4401.1620000000003</v>
      </c>
      <c r="G64" s="28">
        <v>1.8422600000000001E-2</v>
      </c>
      <c r="H64" s="18">
        <v>7.5201000000000002</v>
      </c>
    </row>
    <row r="65" spans="1:8" x14ac:dyDescent="0.2">
      <c r="A65" s="24">
        <v>8</v>
      </c>
      <c r="B65" s="25" t="s">
        <v>186</v>
      </c>
      <c r="C65" s="25" t="s">
        <v>187</v>
      </c>
      <c r="D65" s="25" t="s">
        <v>141</v>
      </c>
      <c r="E65" s="26">
        <v>900</v>
      </c>
      <c r="F65" s="27">
        <v>4388.2065000000002</v>
      </c>
      <c r="G65" s="28">
        <v>1.8368369999999998E-2</v>
      </c>
      <c r="H65" s="18">
        <v>7.56</v>
      </c>
    </row>
    <row r="66" spans="1:8" x14ac:dyDescent="0.2">
      <c r="A66" s="24">
        <v>9</v>
      </c>
      <c r="B66" s="25" t="s">
        <v>176</v>
      </c>
      <c r="C66" s="25" t="s">
        <v>177</v>
      </c>
      <c r="D66" s="25" t="s">
        <v>144</v>
      </c>
      <c r="E66" s="26">
        <v>840</v>
      </c>
      <c r="F66" s="27">
        <v>4039.7615999999998</v>
      </c>
      <c r="G66" s="28">
        <v>1.6909830000000001E-2</v>
      </c>
      <c r="H66" s="18">
        <v>7.62</v>
      </c>
    </row>
    <row r="67" spans="1:8" ht="25.5" x14ac:dyDescent="0.2">
      <c r="A67" s="24">
        <v>10</v>
      </c>
      <c r="B67" s="25" t="s">
        <v>258</v>
      </c>
      <c r="C67" s="25" t="s">
        <v>259</v>
      </c>
      <c r="D67" s="25" t="s">
        <v>141</v>
      </c>
      <c r="E67" s="26">
        <v>800</v>
      </c>
      <c r="F67" s="27">
        <v>3982.692</v>
      </c>
      <c r="G67" s="28">
        <v>1.667095E-2</v>
      </c>
      <c r="H67" s="18">
        <v>7.21</v>
      </c>
    </row>
    <row r="68" spans="1:8" x14ac:dyDescent="0.2">
      <c r="A68" s="24">
        <v>11</v>
      </c>
      <c r="B68" s="25" t="s">
        <v>170</v>
      </c>
      <c r="C68" s="25" t="s">
        <v>171</v>
      </c>
      <c r="D68" s="25" t="s">
        <v>141</v>
      </c>
      <c r="E68" s="26">
        <v>800</v>
      </c>
      <c r="F68" s="27">
        <v>3945.1080000000002</v>
      </c>
      <c r="G68" s="28">
        <v>1.6513630000000001E-2</v>
      </c>
      <c r="H68" s="18">
        <v>7.2552000000000003</v>
      </c>
    </row>
    <row r="69" spans="1:8" x14ac:dyDescent="0.2">
      <c r="A69" s="24">
        <v>12</v>
      </c>
      <c r="B69" s="25" t="s">
        <v>174</v>
      </c>
      <c r="C69" s="25" t="s">
        <v>175</v>
      </c>
      <c r="D69" s="25" t="s">
        <v>141</v>
      </c>
      <c r="E69" s="26">
        <v>800</v>
      </c>
      <c r="F69" s="27">
        <v>3740.6080000000002</v>
      </c>
      <c r="G69" s="28">
        <v>1.5657620000000001E-2</v>
      </c>
      <c r="H69" s="18">
        <v>7.67</v>
      </c>
    </row>
    <row r="70" spans="1:8" x14ac:dyDescent="0.2">
      <c r="A70" s="24">
        <v>13</v>
      </c>
      <c r="B70" s="25" t="s">
        <v>164</v>
      </c>
      <c r="C70" s="25" t="s">
        <v>165</v>
      </c>
      <c r="D70" s="25" t="s">
        <v>141</v>
      </c>
      <c r="E70" s="26">
        <v>700</v>
      </c>
      <c r="F70" s="27">
        <v>3454.01</v>
      </c>
      <c r="G70" s="28">
        <v>1.4457960000000001E-2</v>
      </c>
      <c r="H70" s="18">
        <v>7.2538999999999998</v>
      </c>
    </row>
    <row r="71" spans="1:8" x14ac:dyDescent="0.2">
      <c r="A71" s="24">
        <v>14</v>
      </c>
      <c r="B71" s="25" t="s">
        <v>178</v>
      </c>
      <c r="C71" s="25" t="s">
        <v>179</v>
      </c>
      <c r="D71" s="25" t="s">
        <v>141</v>
      </c>
      <c r="E71" s="26">
        <v>660</v>
      </c>
      <c r="F71" s="27">
        <v>3276.2961</v>
      </c>
      <c r="G71" s="28">
        <v>1.371408E-2</v>
      </c>
      <c r="H71" s="18">
        <v>7.3350999999999997</v>
      </c>
    </row>
    <row r="72" spans="1:8" x14ac:dyDescent="0.2">
      <c r="A72" s="24">
        <v>15</v>
      </c>
      <c r="B72" s="25" t="s">
        <v>180</v>
      </c>
      <c r="C72" s="25" t="s">
        <v>181</v>
      </c>
      <c r="D72" s="25" t="s">
        <v>141</v>
      </c>
      <c r="E72" s="26">
        <v>660</v>
      </c>
      <c r="F72" s="27">
        <v>3274.4580000000001</v>
      </c>
      <c r="G72" s="28">
        <v>1.3706390000000001E-2</v>
      </c>
      <c r="H72" s="18">
        <v>7.3</v>
      </c>
    </row>
    <row r="73" spans="1:8" x14ac:dyDescent="0.2">
      <c r="A73" s="24">
        <v>16</v>
      </c>
      <c r="B73" s="25" t="s">
        <v>260</v>
      </c>
      <c r="C73" s="25" t="s">
        <v>261</v>
      </c>
      <c r="D73" s="25" t="s">
        <v>141</v>
      </c>
      <c r="E73" s="26">
        <v>600</v>
      </c>
      <c r="F73" s="27">
        <v>2810.8020000000001</v>
      </c>
      <c r="G73" s="28">
        <v>1.1765589999999999E-2</v>
      </c>
      <c r="H73" s="18">
        <v>7.63</v>
      </c>
    </row>
    <row r="74" spans="1:8" x14ac:dyDescent="0.2">
      <c r="A74" s="24">
        <v>17</v>
      </c>
      <c r="B74" s="25" t="s">
        <v>437</v>
      </c>
      <c r="C74" s="25" t="s">
        <v>438</v>
      </c>
      <c r="D74" s="25" t="s">
        <v>141</v>
      </c>
      <c r="E74" s="26">
        <v>500</v>
      </c>
      <c r="F74" s="27">
        <v>2490.1925000000001</v>
      </c>
      <c r="G74" s="28">
        <v>1.042357E-2</v>
      </c>
      <c r="H74" s="18">
        <v>7.1875999999999998</v>
      </c>
    </row>
    <row r="75" spans="1:8" x14ac:dyDescent="0.2">
      <c r="A75" s="24">
        <v>18</v>
      </c>
      <c r="B75" s="25" t="s">
        <v>439</v>
      </c>
      <c r="C75" s="25" t="s">
        <v>440</v>
      </c>
      <c r="D75" s="25" t="s">
        <v>141</v>
      </c>
      <c r="E75" s="26">
        <v>500</v>
      </c>
      <c r="F75" s="27">
        <v>2489.1999999999998</v>
      </c>
      <c r="G75" s="28">
        <v>1.041942E-2</v>
      </c>
      <c r="H75" s="18">
        <v>7.1992000000000003</v>
      </c>
    </row>
    <row r="76" spans="1:8" ht="25.5" x14ac:dyDescent="0.2">
      <c r="A76" s="24">
        <v>19</v>
      </c>
      <c r="B76" s="25" t="s">
        <v>441</v>
      </c>
      <c r="C76" s="25" t="s">
        <v>442</v>
      </c>
      <c r="D76" s="25" t="s">
        <v>141</v>
      </c>
      <c r="E76" s="26">
        <v>500</v>
      </c>
      <c r="F76" s="27">
        <v>2489.1675</v>
      </c>
      <c r="G76" s="28">
        <v>1.041928E-2</v>
      </c>
      <c r="H76" s="18">
        <v>7.22</v>
      </c>
    </row>
    <row r="77" spans="1:8" x14ac:dyDescent="0.2">
      <c r="A77" s="24">
        <v>20</v>
      </c>
      <c r="B77" s="25" t="s">
        <v>281</v>
      </c>
      <c r="C77" s="25" t="s">
        <v>282</v>
      </c>
      <c r="D77" s="25" t="s">
        <v>147</v>
      </c>
      <c r="E77" s="26">
        <v>500</v>
      </c>
      <c r="F77" s="27">
        <v>2482.7624999999998</v>
      </c>
      <c r="G77" s="28">
        <v>1.0392469999999999E-2</v>
      </c>
      <c r="H77" s="18">
        <v>7.24</v>
      </c>
    </row>
    <row r="78" spans="1:8" x14ac:dyDescent="0.2">
      <c r="A78" s="24">
        <v>21</v>
      </c>
      <c r="B78" s="25" t="s">
        <v>319</v>
      </c>
      <c r="C78" s="25" t="s">
        <v>320</v>
      </c>
      <c r="D78" s="25" t="s">
        <v>141</v>
      </c>
      <c r="E78" s="26">
        <v>500</v>
      </c>
      <c r="F78" s="27">
        <v>2482.6925000000001</v>
      </c>
      <c r="G78" s="28">
        <v>1.0392180000000001E-2</v>
      </c>
      <c r="H78" s="18">
        <v>7.2695999999999996</v>
      </c>
    </row>
    <row r="79" spans="1:8" x14ac:dyDescent="0.2">
      <c r="A79" s="24">
        <v>22</v>
      </c>
      <c r="B79" s="25" t="s">
        <v>443</v>
      </c>
      <c r="C79" s="25" t="s">
        <v>444</v>
      </c>
      <c r="D79" s="25" t="s">
        <v>141</v>
      </c>
      <c r="E79" s="26">
        <v>500</v>
      </c>
      <c r="F79" s="27">
        <v>2473.5050000000001</v>
      </c>
      <c r="G79" s="28">
        <v>1.035372E-2</v>
      </c>
      <c r="H79" s="18">
        <v>7.24</v>
      </c>
    </row>
    <row r="80" spans="1:8" x14ac:dyDescent="0.2">
      <c r="A80" s="24">
        <v>23</v>
      </c>
      <c r="B80" s="25" t="s">
        <v>142</v>
      </c>
      <c r="C80" s="25" t="s">
        <v>143</v>
      </c>
      <c r="D80" s="25" t="s">
        <v>144</v>
      </c>
      <c r="E80" s="26">
        <v>500</v>
      </c>
      <c r="F80" s="27">
        <v>2470.6774999999998</v>
      </c>
      <c r="G80" s="28">
        <v>1.0341879999999999E-2</v>
      </c>
      <c r="H80" s="18">
        <v>7.22</v>
      </c>
    </row>
    <row r="81" spans="1:8" x14ac:dyDescent="0.2">
      <c r="A81" s="24">
        <v>24</v>
      </c>
      <c r="B81" s="25" t="s">
        <v>166</v>
      </c>
      <c r="C81" s="25" t="s">
        <v>167</v>
      </c>
      <c r="D81" s="25" t="s">
        <v>141</v>
      </c>
      <c r="E81" s="26">
        <v>500</v>
      </c>
      <c r="F81" s="27">
        <v>2435.8425000000002</v>
      </c>
      <c r="G81" s="28">
        <v>1.019607E-2</v>
      </c>
      <c r="H81" s="18">
        <v>7.57</v>
      </c>
    </row>
    <row r="82" spans="1:8" x14ac:dyDescent="0.2">
      <c r="A82" s="24">
        <v>25</v>
      </c>
      <c r="B82" s="25" t="s">
        <v>445</v>
      </c>
      <c r="C82" s="25" t="s">
        <v>446</v>
      </c>
      <c r="D82" s="25" t="s">
        <v>141</v>
      </c>
      <c r="E82" s="26">
        <v>500</v>
      </c>
      <c r="F82" s="27">
        <v>2433.04</v>
      </c>
      <c r="G82" s="28">
        <v>1.018434E-2</v>
      </c>
      <c r="H82" s="18">
        <v>7.61</v>
      </c>
    </row>
    <row r="83" spans="1:8" x14ac:dyDescent="0.2">
      <c r="A83" s="24">
        <v>26</v>
      </c>
      <c r="B83" s="25" t="s">
        <v>447</v>
      </c>
      <c r="C83" s="25" t="s">
        <v>448</v>
      </c>
      <c r="D83" s="25" t="s">
        <v>141</v>
      </c>
      <c r="E83" s="26">
        <v>500</v>
      </c>
      <c r="F83" s="27">
        <v>2390.7874999999999</v>
      </c>
      <c r="G83" s="28">
        <v>1.0007479999999999E-2</v>
      </c>
      <c r="H83" s="18">
        <v>7.7550999999999997</v>
      </c>
    </row>
    <row r="84" spans="1:8" x14ac:dyDescent="0.2">
      <c r="A84" s="24">
        <v>27</v>
      </c>
      <c r="B84" s="25" t="s">
        <v>449</v>
      </c>
      <c r="C84" s="25" t="s">
        <v>450</v>
      </c>
      <c r="D84" s="25" t="s">
        <v>141</v>
      </c>
      <c r="E84" s="26">
        <v>500</v>
      </c>
      <c r="F84" s="27">
        <v>2390.63</v>
      </c>
      <c r="G84" s="28">
        <v>1.000682E-2</v>
      </c>
      <c r="H84" s="18">
        <v>7.66</v>
      </c>
    </row>
    <row r="85" spans="1:8" x14ac:dyDescent="0.2">
      <c r="A85" s="24">
        <v>28</v>
      </c>
      <c r="B85" s="25" t="s">
        <v>172</v>
      </c>
      <c r="C85" s="25" t="s">
        <v>173</v>
      </c>
      <c r="D85" s="25" t="s">
        <v>141</v>
      </c>
      <c r="E85" s="26">
        <v>500</v>
      </c>
      <c r="F85" s="27">
        <v>2345.2375000000002</v>
      </c>
      <c r="G85" s="28">
        <v>9.8168100000000005E-3</v>
      </c>
      <c r="H85" s="18">
        <v>7.7950999999999997</v>
      </c>
    </row>
    <row r="86" spans="1:8" x14ac:dyDescent="0.2">
      <c r="A86" s="24">
        <v>29</v>
      </c>
      <c r="B86" s="25" t="s">
        <v>150</v>
      </c>
      <c r="C86" s="25" t="s">
        <v>151</v>
      </c>
      <c r="D86" s="25" t="s">
        <v>141</v>
      </c>
      <c r="E86" s="26">
        <v>500</v>
      </c>
      <c r="F86" s="27">
        <v>2344.1125000000002</v>
      </c>
      <c r="G86" s="28">
        <v>9.8121000000000007E-3</v>
      </c>
      <c r="H86" s="18">
        <v>7.7549999999999999</v>
      </c>
    </row>
    <row r="87" spans="1:8" x14ac:dyDescent="0.2">
      <c r="A87" s="24">
        <v>30</v>
      </c>
      <c r="B87" s="25" t="s">
        <v>152</v>
      </c>
      <c r="C87" s="25" t="s">
        <v>153</v>
      </c>
      <c r="D87" s="25" t="s">
        <v>141</v>
      </c>
      <c r="E87" s="26">
        <v>500</v>
      </c>
      <c r="F87" s="27">
        <v>2343.1875</v>
      </c>
      <c r="G87" s="28">
        <v>9.8082299999999994E-3</v>
      </c>
      <c r="H87" s="18">
        <v>7.73</v>
      </c>
    </row>
    <row r="88" spans="1:8" ht="25.5" x14ac:dyDescent="0.2">
      <c r="A88" s="24">
        <v>31</v>
      </c>
      <c r="B88" s="25" t="s">
        <v>156</v>
      </c>
      <c r="C88" s="25" t="s">
        <v>157</v>
      </c>
      <c r="D88" s="25" t="s">
        <v>141</v>
      </c>
      <c r="E88" s="26">
        <v>500</v>
      </c>
      <c r="F88" s="27">
        <v>2340.5675000000001</v>
      </c>
      <c r="G88" s="28">
        <v>9.7972600000000003E-3</v>
      </c>
      <c r="H88" s="18">
        <v>7.6974999999999998</v>
      </c>
    </row>
    <row r="89" spans="1:8" ht="25.5" x14ac:dyDescent="0.2">
      <c r="A89" s="24">
        <v>32</v>
      </c>
      <c r="B89" s="25" t="s">
        <v>451</v>
      </c>
      <c r="C89" s="25" t="s">
        <v>452</v>
      </c>
      <c r="D89" s="25" t="s">
        <v>141</v>
      </c>
      <c r="E89" s="26">
        <v>500</v>
      </c>
      <c r="F89" s="27">
        <v>2322.3074999999999</v>
      </c>
      <c r="G89" s="28">
        <v>9.7208299999999997E-3</v>
      </c>
      <c r="H89" s="18">
        <v>7.7149999999999999</v>
      </c>
    </row>
    <row r="90" spans="1:8" x14ac:dyDescent="0.2">
      <c r="A90" s="24">
        <v>33</v>
      </c>
      <c r="B90" s="25" t="s">
        <v>182</v>
      </c>
      <c r="C90" s="25" t="s">
        <v>183</v>
      </c>
      <c r="D90" s="25" t="s">
        <v>141</v>
      </c>
      <c r="E90" s="26">
        <v>400</v>
      </c>
      <c r="F90" s="27">
        <v>1992.4480000000001</v>
      </c>
      <c r="G90" s="28">
        <v>8.3400899999999997E-3</v>
      </c>
      <c r="H90" s="18">
        <v>7.2826000000000004</v>
      </c>
    </row>
    <row r="91" spans="1:8" x14ac:dyDescent="0.2">
      <c r="A91" s="24">
        <v>34</v>
      </c>
      <c r="B91" s="25" t="s">
        <v>168</v>
      </c>
      <c r="C91" s="25" t="s">
        <v>169</v>
      </c>
      <c r="D91" s="25" t="s">
        <v>141</v>
      </c>
      <c r="E91" s="26">
        <v>300</v>
      </c>
      <c r="F91" s="27">
        <v>1485.1890000000001</v>
      </c>
      <c r="G91" s="28">
        <v>6.2167799999999999E-3</v>
      </c>
      <c r="H91" s="18">
        <v>7.2801</v>
      </c>
    </row>
    <row r="92" spans="1:8" x14ac:dyDescent="0.2">
      <c r="A92" s="24">
        <v>35</v>
      </c>
      <c r="B92" s="25" t="s">
        <v>279</v>
      </c>
      <c r="C92" s="25" t="s">
        <v>280</v>
      </c>
      <c r="D92" s="25" t="s">
        <v>141</v>
      </c>
      <c r="E92" s="26">
        <v>200</v>
      </c>
      <c r="F92" s="27">
        <v>991.54300000000001</v>
      </c>
      <c r="G92" s="28">
        <v>4.15045E-3</v>
      </c>
      <c r="H92" s="18">
        <v>7.2398999999999996</v>
      </c>
    </row>
    <row r="93" spans="1:8" x14ac:dyDescent="0.2">
      <c r="A93" s="16"/>
      <c r="B93" s="16"/>
      <c r="C93" s="17" t="s">
        <v>11</v>
      </c>
      <c r="D93" s="16"/>
      <c r="E93" s="16" t="s">
        <v>12</v>
      </c>
      <c r="F93" s="23">
        <v>111787.0067</v>
      </c>
      <c r="G93" s="20">
        <v>0.46792355000000002</v>
      </c>
      <c r="H93" s="18" t="s">
        <v>12</v>
      </c>
    </row>
    <row r="94" spans="1:8" x14ac:dyDescent="0.2">
      <c r="A94" s="16"/>
      <c r="B94" s="16"/>
      <c r="C94" s="21"/>
      <c r="D94" s="16"/>
      <c r="E94" s="16"/>
      <c r="F94" s="22"/>
      <c r="G94" s="22"/>
      <c r="H94" s="18" t="s">
        <v>12</v>
      </c>
    </row>
    <row r="95" spans="1:8" x14ac:dyDescent="0.2">
      <c r="A95" s="16"/>
      <c r="B95" s="16"/>
      <c r="C95" s="17" t="s">
        <v>90</v>
      </c>
      <c r="D95" s="16"/>
      <c r="E95" s="16"/>
      <c r="F95" s="22"/>
      <c r="G95" s="22"/>
      <c r="H95" s="18" t="s">
        <v>12</v>
      </c>
    </row>
    <row r="96" spans="1:8" x14ac:dyDescent="0.2">
      <c r="A96" s="24">
        <v>1</v>
      </c>
      <c r="B96" s="25" t="s">
        <v>453</v>
      </c>
      <c r="C96" s="25" t="s">
        <v>454</v>
      </c>
      <c r="D96" s="25" t="s">
        <v>141</v>
      </c>
      <c r="E96" s="26">
        <v>1000</v>
      </c>
      <c r="F96" s="27">
        <v>4957.8900000000003</v>
      </c>
      <c r="G96" s="28">
        <v>2.0752980000000001E-2</v>
      </c>
      <c r="H96" s="18">
        <v>7.7503000000000002</v>
      </c>
    </row>
    <row r="97" spans="1:8" x14ac:dyDescent="0.2">
      <c r="A97" s="24">
        <v>2</v>
      </c>
      <c r="B97" s="25" t="s">
        <v>455</v>
      </c>
      <c r="C97" s="25" t="s">
        <v>456</v>
      </c>
      <c r="D97" s="25" t="s">
        <v>141</v>
      </c>
      <c r="E97" s="26">
        <v>1000</v>
      </c>
      <c r="F97" s="27">
        <v>4944.08</v>
      </c>
      <c r="G97" s="28">
        <v>2.0695169999999999E-2</v>
      </c>
      <c r="H97" s="18">
        <v>7.6449999999999996</v>
      </c>
    </row>
    <row r="98" spans="1:8" ht="25.5" x14ac:dyDescent="0.2">
      <c r="A98" s="24">
        <v>3</v>
      </c>
      <c r="B98" s="25" t="s">
        <v>457</v>
      </c>
      <c r="C98" s="25" t="s">
        <v>458</v>
      </c>
      <c r="D98" s="25" t="s">
        <v>141</v>
      </c>
      <c r="E98" s="26">
        <v>1000</v>
      </c>
      <c r="F98" s="27">
        <v>4861.5050000000001</v>
      </c>
      <c r="G98" s="28">
        <v>2.0349530000000001E-2</v>
      </c>
      <c r="H98" s="18">
        <v>7.5350000000000001</v>
      </c>
    </row>
    <row r="99" spans="1:8" x14ac:dyDescent="0.2">
      <c r="A99" s="24">
        <v>4</v>
      </c>
      <c r="B99" s="25" t="s">
        <v>459</v>
      </c>
      <c r="C99" s="25" t="s">
        <v>460</v>
      </c>
      <c r="D99" s="25" t="s">
        <v>141</v>
      </c>
      <c r="E99" s="26">
        <v>1000</v>
      </c>
      <c r="F99" s="27">
        <v>4760.665</v>
      </c>
      <c r="G99" s="28">
        <v>1.9927420000000001E-2</v>
      </c>
      <c r="H99" s="18">
        <v>7.71</v>
      </c>
    </row>
    <row r="100" spans="1:8" ht="25.5" x14ac:dyDescent="0.2">
      <c r="A100" s="24">
        <v>5</v>
      </c>
      <c r="B100" s="25" t="s">
        <v>204</v>
      </c>
      <c r="C100" s="25" t="s">
        <v>205</v>
      </c>
      <c r="D100" s="25" t="s">
        <v>141</v>
      </c>
      <c r="E100" s="26">
        <v>800</v>
      </c>
      <c r="F100" s="27">
        <v>3947.4679999999998</v>
      </c>
      <c r="G100" s="28">
        <v>1.65235E-2</v>
      </c>
      <c r="H100" s="18">
        <v>7.2500999999999998</v>
      </c>
    </row>
    <row r="101" spans="1:8" x14ac:dyDescent="0.2">
      <c r="A101" s="24">
        <v>6</v>
      </c>
      <c r="B101" s="25" t="s">
        <v>198</v>
      </c>
      <c r="C101" s="25" t="s">
        <v>199</v>
      </c>
      <c r="D101" s="25" t="s">
        <v>141</v>
      </c>
      <c r="E101" s="26">
        <v>700</v>
      </c>
      <c r="F101" s="27">
        <v>3319.5189999999998</v>
      </c>
      <c r="G101" s="28">
        <v>1.3895009999999999E-2</v>
      </c>
      <c r="H101" s="18">
        <v>7.875</v>
      </c>
    </row>
    <row r="102" spans="1:8" x14ac:dyDescent="0.2">
      <c r="A102" s="24">
        <v>7</v>
      </c>
      <c r="B102" s="25" t="s">
        <v>461</v>
      </c>
      <c r="C102" s="25" t="s">
        <v>462</v>
      </c>
      <c r="D102" s="25" t="s">
        <v>141</v>
      </c>
      <c r="E102" s="26">
        <v>500</v>
      </c>
      <c r="F102" s="27">
        <v>2476.7399999999998</v>
      </c>
      <c r="G102" s="28">
        <v>1.036726E-2</v>
      </c>
      <c r="H102" s="18">
        <v>7.2934999999999999</v>
      </c>
    </row>
    <row r="103" spans="1:8" ht="25.5" x14ac:dyDescent="0.2">
      <c r="A103" s="24">
        <v>8</v>
      </c>
      <c r="B103" s="25" t="s">
        <v>463</v>
      </c>
      <c r="C103" s="25" t="s">
        <v>464</v>
      </c>
      <c r="D103" s="25" t="s">
        <v>141</v>
      </c>
      <c r="E103" s="26">
        <v>500</v>
      </c>
      <c r="F103" s="27">
        <v>2465.8225000000002</v>
      </c>
      <c r="G103" s="28">
        <v>1.032156E-2</v>
      </c>
      <c r="H103" s="18">
        <v>7.9050000000000002</v>
      </c>
    </row>
    <row r="104" spans="1:8" ht="25.5" x14ac:dyDescent="0.2">
      <c r="A104" s="24">
        <v>9</v>
      </c>
      <c r="B104" s="25" t="s">
        <v>196</v>
      </c>
      <c r="C104" s="25" t="s">
        <v>197</v>
      </c>
      <c r="D104" s="25" t="s">
        <v>141</v>
      </c>
      <c r="E104" s="26">
        <v>500</v>
      </c>
      <c r="F104" s="27">
        <v>2417.085</v>
      </c>
      <c r="G104" s="28">
        <v>1.0117549999999999E-2</v>
      </c>
      <c r="H104" s="18">
        <v>8.2375000000000007</v>
      </c>
    </row>
    <row r="105" spans="1:8" x14ac:dyDescent="0.2">
      <c r="A105" s="24">
        <v>10</v>
      </c>
      <c r="B105" s="25" t="s">
        <v>200</v>
      </c>
      <c r="C105" s="25" t="s">
        <v>201</v>
      </c>
      <c r="D105" s="25" t="s">
        <v>141</v>
      </c>
      <c r="E105" s="26">
        <v>300</v>
      </c>
      <c r="F105" s="27">
        <v>1488.6945000000001</v>
      </c>
      <c r="G105" s="28">
        <v>6.2314500000000004E-3</v>
      </c>
      <c r="H105" s="18">
        <v>7.6999000000000004</v>
      </c>
    </row>
    <row r="106" spans="1:8" ht="25.5" x14ac:dyDescent="0.2">
      <c r="A106" s="24">
        <v>11</v>
      </c>
      <c r="B106" s="25" t="s">
        <v>206</v>
      </c>
      <c r="C106" s="25" t="s">
        <v>207</v>
      </c>
      <c r="D106" s="25" t="s">
        <v>141</v>
      </c>
      <c r="E106" s="26">
        <v>300</v>
      </c>
      <c r="F106" s="27">
        <v>1459.9005</v>
      </c>
      <c r="G106" s="28">
        <v>6.1109199999999997E-3</v>
      </c>
      <c r="H106" s="18">
        <v>7.5951000000000004</v>
      </c>
    </row>
    <row r="107" spans="1:8" x14ac:dyDescent="0.2">
      <c r="A107" s="24">
        <v>12</v>
      </c>
      <c r="B107" s="25" t="s">
        <v>465</v>
      </c>
      <c r="C107" s="25" t="s">
        <v>466</v>
      </c>
      <c r="D107" s="25" t="s">
        <v>141</v>
      </c>
      <c r="E107" s="26">
        <v>200</v>
      </c>
      <c r="F107" s="27">
        <v>988.94299999999998</v>
      </c>
      <c r="G107" s="28">
        <v>4.1395700000000004E-3</v>
      </c>
      <c r="H107" s="18">
        <v>7.6999000000000004</v>
      </c>
    </row>
    <row r="108" spans="1:8" x14ac:dyDescent="0.2">
      <c r="A108" s="16"/>
      <c r="B108" s="16"/>
      <c r="C108" s="17" t="s">
        <v>11</v>
      </c>
      <c r="D108" s="16"/>
      <c r="E108" s="16" t="s">
        <v>12</v>
      </c>
      <c r="F108" s="23">
        <v>38088.3125</v>
      </c>
      <c r="G108" s="20">
        <v>0.15943192</v>
      </c>
      <c r="H108" s="18" t="s">
        <v>12</v>
      </c>
    </row>
    <row r="109" spans="1:8" x14ac:dyDescent="0.2">
      <c r="A109" s="16"/>
      <c r="B109" s="16"/>
      <c r="C109" s="21"/>
      <c r="D109" s="16"/>
      <c r="E109" s="16"/>
      <c r="F109" s="22"/>
      <c r="G109" s="22"/>
      <c r="H109" s="18" t="s">
        <v>12</v>
      </c>
    </row>
    <row r="110" spans="1:8" x14ac:dyDescent="0.2">
      <c r="A110" s="16"/>
      <c r="B110" s="16"/>
      <c r="C110" s="17" t="s">
        <v>91</v>
      </c>
      <c r="D110" s="16"/>
      <c r="E110" s="16"/>
      <c r="F110" s="22"/>
      <c r="G110" s="22"/>
      <c r="H110" s="18" t="s">
        <v>12</v>
      </c>
    </row>
    <row r="111" spans="1:8" x14ac:dyDescent="0.2">
      <c r="A111" s="24">
        <v>1</v>
      </c>
      <c r="B111" s="25" t="s">
        <v>467</v>
      </c>
      <c r="C111" s="25" t="s">
        <v>468</v>
      </c>
      <c r="D111" s="25" t="s">
        <v>75</v>
      </c>
      <c r="E111" s="26">
        <v>6000000</v>
      </c>
      <c r="F111" s="27">
        <v>5941.2539999999999</v>
      </c>
      <c r="G111" s="28">
        <v>2.4869189999999999E-2</v>
      </c>
      <c r="H111" s="18">
        <v>6.4450000000000003</v>
      </c>
    </row>
    <row r="112" spans="1:8" x14ac:dyDescent="0.2">
      <c r="A112" s="24">
        <v>2</v>
      </c>
      <c r="B112" s="25" t="s">
        <v>469</v>
      </c>
      <c r="C112" s="25" t="s">
        <v>470</v>
      </c>
      <c r="D112" s="25" t="s">
        <v>75</v>
      </c>
      <c r="E112" s="26">
        <v>4000000</v>
      </c>
      <c r="F112" s="27">
        <v>3909.54</v>
      </c>
      <c r="G112" s="28">
        <v>1.6364739999999999E-2</v>
      </c>
      <c r="H112" s="18">
        <v>6.65</v>
      </c>
    </row>
    <row r="113" spans="1:8" x14ac:dyDescent="0.2">
      <c r="A113" s="24">
        <v>3</v>
      </c>
      <c r="B113" s="25" t="s">
        <v>471</v>
      </c>
      <c r="C113" s="25" t="s">
        <v>472</v>
      </c>
      <c r="D113" s="25" t="s">
        <v>75</v>
      </c>
      <c r="E113" s="26">
        <v>2500000</v>
      </c>
      <c r="F113" s="27">
        <v>2478.5549999999998</v>
      </c>
      <c r="G113" s="28">
        <v>1.037486E-2</v>
      </c>
      <c r="H113" s="18">
        <v>6.4450000000000003</v>
      </c>
    </row>
    <row r="114" spans="1:8" x14ac:dyDescent="0.2">
      <c r="A114" s="24">
        <v>4</v>
      </c>
      <c r="B114" s="25" t="s">
        <v>208</v>
      </c>
      <c r="C114" s="25" t="s">
        <v>209</v>
      </c>
      <c r="D114" s="25" t="s">
        <v>75</v>
      </c>
      <c r="E114" s="26">
        <v>2500000</v>
      </c>
      <c r="F114" s="27">
        <v>2453.2125000000001</v>
      </c>
      <c r="G114" s="28">
        <v>1.026878E-2</v>
      </c>
      <c r="H114" s="18">
        <v>6.63</v>
      </c>
    </row>
    <row r="115" spans="1:8" x14ac:dyDescent="0.2">
      <c r="A115" s="24">
        <v>5</v>
      </c>
      <c r="B115" s="25" t="s">
        <v>210</v>
      </c>
      <c r="C115" s="25" t="s">
        <v>211</v>
      </c>
      <c r="D115" s="25" t="s">
        <v>75</v>
      </c>
      <c r="E115" s="26">
        <v>2500000</v>
      </c>
      <c r="F115" s="27">
        <v>2441.0300000000002</v>
      </c>
      <c r="G115" s="28">
        <v>1.0217779999999999E-2</v>
      </c>
      <c r="H115" s="18">
        <v>6.63</v>
      </c>
    </row>
    <row r="116" spans="1:8" x14ac:dyDescent="0.2">
      <c r="A116" s="16"/>
      <c r="B116" s="16"/>
      <c r="C116" s="17" t="s">
        <v>11</v>
      </c>
      <c r="D116" s="16"/>
      <c r="E116" s="16" t="s">
        <v>12</v>
      </c>
      <c r="F116" s="23">
        <v>17223.591499999999</v>
      </c>
      <c r="G116" s="20">
        <v>7.2095350000000002E-2</v>
      </c>
      <c r="H116" s="18" t="s">
        <v>12</v>
      </c>
    </row>
    <row r="117" spans="1:8" x14ac:dyDescent="0.2">
      <c r="A117" s="16"/>
      <c r="B117" s="16"/>
      <c r="C117" s="21"/>
      <c r="D117" s="16"/>
      <c r="E117" s="16"/>
      <c r="F117" s="22"/>
      <c r="G117" s="22"/>
      <c r="H117" s="18" t="s">
        <v>12</v>
      </c>
    </row>
    <row r="118" spans="1:8" x14ac:dyDescent="0.2">
      <c r="A118" s="16"/>
      <c r="B118" s="16"/>
      <c r="C118" s="17" t="s">
        <v>92</v>
      </c>
      <c r="D118" s="16"/>
      <c r="E118" s="16"/>
      <c r="F118" s="22"/>
      <c r="G118" s="22"/>
      <c r="H118" s="18" t="s">
        <v>12</v>
      </c>
    </row>
    <row r="119" spans="1:8" x14ac:dyDescent="0.2">
      <c r="A119" s="24">
        <v>1</v>
      </c>
      <c r="B119" s="25"/>
      <c r="C119" s="25" t="s">
        <v>401</v>
      </c>
      <c r="D119" s="25"/>
      <c r="E119" s="29"/>
      <c r="F119" s="27">
        <v>19922.7409783</v>
      </c>
      <c r="G119" s="28">
        <v>8.3393579999999995E-2</v>
      </c>
      <c r="H119" s="18">
        <v>6.67</v>
      </c>
    </row>
    <row r="120" spans="1:8" x14ac:dyDescent="0.2">
      <c r="A120" s="24">
        <v>2</v>
      </c>
      <c r="B120" s="25"/>
      <c r="C120" s="25" t="s">
        <v>93</v>
      </c>
      <c r="D120" s="25"/>
      <c r="E120" s="29"/>
      <c r="F120" s="27">
        <v>4866.2715210220003</v>
      </c>
      <c r="G120" s="28">
        <v>2.0369479999999999E-2</v>
      </c>
      <c r="H120" s="18">
        <v>6.25</v>
      </c>
    </row>
    <row r="121" spans="1:8" x14ac:dyDescent="0.2">
      <c r="A121" s="16"/>
      <c r="B121" s="16"/>
      <c r="C121" s="17" t="s">
        <v>11</v>
      </c>
      <c r="D121" s="16"/>
      <c r="E121" s="16" t="s">
        <v>12</v>
      </c>
      <c r="F121" s="23">
        <v>24789.012499322002</v>
      </c>
      <c r="G121" s="20">
        <v>0.10376306</v>
      </c>
      <c r="H121" s="18" t="s">
        <v>12</v>
      </c>
    </row>
    <row r="122" spans="1:8" x14ac:dyDescent="0.2">
      <c r="A122" s="16"/>
      <c r="B122" s="16"/>
      <c r="C122" s="21"/>
      <c r="D122" s="16"/>
      <c r="E122" s="16"/>
      <c r="F122" s="22"/>
      <c r="G122" s="22"/>
      <c r="H122" s="18" t="s">
        <v>12</v>
      </c>
    </row>
    <row r="123" spans="1:8" x14ac:dyDescent="0.2">
      <c r="A123" s="16"/>
      <c r="B123" s="16"/>
      <c r="C123" s="17" t="s">
        <v>94</v>
      </c>
      <c r="D123" s="16"/>
      <c r="E123" s="16"/>
      <c r="F123" s="23">
        <v>191887.92319932199</v>
      </c>
      <c r="G123" s="20">
        <v>0.80321388000000005</v>
      </c>
      <c r="H123" s="18" t="s">
        <v>12</v>
      </c>
    </row>
    <row r="124" spans="1:8" x14ac:dyDescent="0.2">
      <c r="A124" s="16"/>
      <c r="B124" s="16"/>
      <c r="C124" s="22"/>
      <c r="D124" s="16"/>
      <c r="E124" s="16"/>
      <c r="F124" s="16"/>
      <c r="G124" s="16"/>
      <c r="H124" s="18" t="s">
        <v>12</v>
      </c>
    </row>
    <row r="125" spans="1:8" x14ac:dyDescent="0.2">
      <c r="A125" s="16"/>
      <c r="B125" s="16"/>
      <c r="C125" s="17" t="s">
        <v>95</v>
      </c>
      <c r="D125" s="16"/>
      <c r="E125" s="16"/>
      <c r="F125" s="16"/>
      <c r="G125" s="16"/>
      <c r="H125" s="18" t="s">
        <v>12</v>
      </c>
    </row>
    <row r="126" spans="1:8" x14ac:dyDescent="0.2">
      <c r="A126" s="16"/>
      <c r="B126" s="16"/>
      <c r="C126" s="17" t="s">
        <v>96</v>
      </c>
      <c r="D126" s="16"/>
      <c r="E126" s="16"/>
      <c r="F126" s="16"/>
      <c r="G126" s="16"/>
      <c r="H126" s="18" t="s">
        <v>12</v>
      </c>
    </row>
    <row r="127" spans="1:8" x14ac:dyDescent="0.2">
      <c r="A127" s="16"/>
      <c r="B127" s="16"/>
      <c r="C127" s="17" t="s">
        <v>11</v>
      </c>
      <c r="D127" s="16"/>
      <c r="E127" s="16" t="s">
        <v>12</v>
      </c>
      <c r="F127" s="19" t="s">
        <v>13</v>
      </c>
      <c r="G127" s="20">
        <v>0</v>
      </c>
      <c r="H127" s="18" t="s">
        <v>12</v>
      </c>
    </row>
    <row r="128" spans="1:8" x14ac:dyDescent="0.2">
      <c r="A128" s="30"/>
      <c r="B128" s="30"/>
      <c r="C128" s="31"/>
      <c r="D128" s="30"/>
      <c r="E128" s="30"/>
      <c r="F128" s="32"/>
      <c r="G128" s="32"/>
      <c r="H128" s="18" t="s">
        <v>12</v>
      </c>
    </row>
    <row r="129" spans="1:17" ht="25.5" x14ac:dyDescent="0.2">
      <c r="A129" s="30"/>
      <c r="B129" s="30"/>
      <c r="C129" s="33" t="s">
        <v>569</v>
      </c>
      <c r="D129" s="30"/>
      <c r="E129" s="30"/>
      <c r="F129" s="32"/>
      <c r="G129" s="32"/>
      <c r="H129" s="34"/>
      <c r="K129" s="35"/>
      <c r="L129" s="35"/>
      <c r="M129" s="35"/>
      <c r="N129" s="35"/>
      <c r="O129" s="36"/>
      <c r="P129" s="36"/>
      <c r="Q129" s="36"/>
    </row>
    <row r="130" spans="1:17" ht="25.5" x14ac:dyDescent="0.2">
      <c r="A130" s="37">
        <v>1</v>
      </c>
      <c r="B130" s="38" t="s">
        <v>97</v>
      </c>
      <c r="C130" s="38" t="s">
        <v>98</v>
      </c>
      <c r="D130" s="38"/>
      <c r="E130" s="39">
        <v>5151.0829999999996</v>
      </c>
      <c r="F130" s="34">
        <v>560.10889769300002</v>
      </c>
      <c r="G130" s="40">
        <v>2.3445300000000001E-3</v>
      </c>
      <c r="H130" s="18"/>
    </row>
    <row r="131" spans="1:17" x14ac:dyDescent="0.2">
      <c r="A131" s="30"/>
      <c r="B131" s="30"/>
      <c r="C131" s="33" t="s">
        <v>11</v>
      </c>
      <c r="D131" s="30"/>
      <c r="E131" s="30" t="s">
        <v>12</v>
      </c>
      <c r="F131" s="41">
        <f>SUM(F130)</f>
        <v>560.10889769300002</v>
      </c>
      <c r="G131" s="42">
        <f>SUM(G130)</f>
        <v>2.3445300000000001E-3</v>
      </c>
      <c r="H131" s="18" t="s">
        <v>12</v>
      </c>
    </row>
    <row r="132" spans="1:17" x14ac:dyDescent="0.2">
      <c r="A132" s="16"/>
      <c r="B132" s="16"/>
      <c r="C132" s="21"/>
      <c r="D132" s="16"/>
      <c r="E132" s="16"/>
      <c r="F132" s="22"/>
      <c r="G132" s="22"/>
      <c r="H132" s="18" t="s">
        <v>12</v>
      </c>
    </row>
    <row r="133" spans="1:17" x14ac:dyDescent="0.2">
      <c r="A133" s="16"/>
      <c r="B133" s="16"/>
      <c r="C133" s="17" t="s">
        <v>99</v>
      </c>
      <c r="D133" s="16"/>
      <c r="E133" s="16"/>
      <c r="F133" s="16"/>
      <c r="G133" s="16"/>
      <c r="H133" s="18" t="s">
        <v>12</v>
      </c>
    </row>
    <row r="134" spans="1:17" x14ac:dyDescent="0.2">
      <c r="A134" s="16"/>
      <c r="B134" s="16"/>
      <c r="C134" s="17" t="s">
        <v>100</v>
      </c>
      <c r="D134" s="16"/>
      <c r="E134" s="16"/>
      <c r="F134" s="16"/>
      <c r="G134" s="16"/>
      <c r="H134" s="18" t="s">
        <v>12</v>
      </c>
    </row>
    <row r="135" spans="1:17" x14ac:dyDescent="0.2">
      <c r="A135" s="16"/>
      <c r="B135" s="16"/>
      <c r="C135" s="17" t="s">
        <v>11</v>
      </c>
      <c r="D135" s="16"/>
      <c r="E135" s="16" t="s">
        <v>12</v>
      </c>
      <c r="F135" s="19" t="s">
        <v>13</v>
      </c>
      <c r="G135" s="20">
        <v>0</v>
      </c>
      <c r="H135" s="18" t="s">
        <v>12</v>
      </c>
    </row>
    <row r="136" spans="1:17" x14ac:dyDescent="0.2">
      <c r="A136" s="16"/>
      <c r="B136" s="16"/>
      <c r="C136" s="21"/>
      <c r="D136" s="16"/>
      <c r="E136" s="16"/>
      <c r="F136" s="22"/>
      <c r="G136" s="22"/>
      <c r="H136" s="18" t="s">
        <v>12</v>
      </c>
    </row>
    <row r="137" spans="1:17" ht="25.5" x14ac:dyDescent="0.2">
      <c r="A137" s="16"/>
      <c r="B137" s="16"/>
      <c r="C137" s="17" t="s">
        <v>101</v>
      </c>
      <c r="D137" s="16"/>
      <c r="E137" s="16"/>
      <c r="F137" s="22"/>
      <c r="G137" s="22"/>
      <c r="H137" s="18" t="s">
        <v>12</v>
      </c>
    </row>
    <row r="138" spans="1:17" x14ac:dyDescent="0.2">
      <c r="A138" s="16"/>
      <c r="B138" s="16"/>
      <c r="C138" s="17" t="s">
        <v>11</v>
      </c>
      <c r="D138" s="16"/>
      <c r="E138" s="16" t="s">
        <v>12</v>
      </c>
      <c r="F138" s="19" t="s">
        <v>13</v>
      </c>
      <c r="G138" s="20">
        <v>0</v>
      </c>
      <c r="H138" s="18" t="s">
        <v>12</v>
      </c>
    </row>
    <row r="139" spans="1:17" x14ac:dyDescent="0.2">
      <c r="A139" s="16"/>
      <c r="B139" s="16"/>
      <c r="C139" s="21"/>
      <c r="D139" s="16"/>
      <c r="E139" s="16"/>
      <c r="F139" s="22"/>
      <c r="G139" s="22"/>
      <c r="H139" s="18" t="str">
        <f>IFERROR(VLOOKUP(B139,#REF!,12,FALSE),"")</f>
        <v/>
      </c>
    </row>
    <row r="140" spans="1:17" x14ac:dyDescent="0.2">
      <c r="A140" s="101"/>
      <c r="B140" s="101"/>
      <c r="C140" s="102" t="s">
        <v>648</v>
      </c>
      <c r="D140" s="103"/>
      <c r="E140" s="104"/>
      <c r="F140" s="104"/>
      <c r="G140" s="103"/>
      <c r="H140" s="104"/>
    </row>
    <row r="141" spans="1:17" ht="21.75" x14ac:dyDescent="0.2">
      <c r="A141" s="101"/>
      <c r="B141" s="101"/>
      <c r="C141" s="105" t="s">
        <v>649</v>
      </c>
      <c r="D141" s="103"/>
      <c r="E141" s="106">
        <v>2500000</v>
      </c>
      <c r="F141" s="18">
        <f>428250/10^5</f>
        <v>4.2824999999999998</v>
      </c>
      <c r="G141" s="107" t="s">
        <v>650</v>
      </c>
      <c r="H141" s="104"/>
    </row>
    <row r="142" spans="1:17" x14ac:dyDescent="0.2">
      <c r="A142" s="16"/>
      <c r="B142" s="25"/>
      <c r="C142" s="25"/>
      <c r="D142" s="17"/>
      <c r="E142" s="16"/>
      <c r="F142" s="25"/>
      <c r="G142" s="29"/>
      <c r="H142" s="18" t="str">
        <f>IFERROR(VLOOKUP(B142,#REF!,12,FALSE),"")</f>
        <v/>
      </c>
    </row>
    <row r="143" spans="1:17" x14ac:dyDescent="0.2">
      <c r="A143" s="29"/>
      <c r="B143" s="25"/>
      <c r="C143" s="25" t="s">
        <v>102</v>
      </c>
      <c r="D143" s="25"/>
      <c r="E143" s="29"/>
      <c r="F143" s="27">
        <f>-1624.62124729+2500+0.0000159250259399414</f>
        <v>875.37876863502606</v>
      </c>
      <c r="G143" s="28">
        <f>F143/F144</f>
        <v>3.6642031719761625E-3</v>
      </c>
      <c r="H143" s="18" t="s">
        <v>12</v>
      </c>
    </row>
    <row r="144" spans="1:17" x14ac:dyDescent="0.2">
      <c r="A144" s="21"/>
      <c r="B144" s="21"/>
      <c r="C144" s="17" t="s">
        <v>103</v>
      </c>
      <c r="D144" s="22"/>
      <c r="E144" s="22"/>
      <c r="F144" s="23">
        <f>F143+F141+F131+F123+F54+F24</f>
        <v>238900.17216565</v>
      </c>
      <c r="G144" s="20">
        <f>G143+G131+G123+G54+G24</f>
        <v>0.99998212317197621</v>
      </c>
      <c r="H144" s="18" t="s">
        <v>12</v>
      </c>
    </row>
    <row r="145" spans="1:8" x14ac:dyDescent="0.2">
      <c r="A145" s="44"/>
      <c r="B145" s="44"/>
      <c r="C145" s="44"/>
      <c r="D145" s="45"/>
      <c r="E145" s="45"/>
      <c r="F145" s="45"/>
      <c r="G145" s="45"/>
    </row>
    <row r="146" spans="1:8" x14ac:dyDescent="0.2">
      <c r="A146" s="46"/>
      <c r="B146" s="151" t="s">
        <v>570</v>
      </c>
      <c r="C146" s="151"/>
      <c r="D146" s="151"/>
      <c r="E146" s="151"/>
      <c r="F146" s="151"/>
      <c r="G146" s="151"/>
      <c r="H146" s="151"/>
    </row>
    <row r="147" spans="1:8" x14ac:dyDescent="0.2">
      <c r="A147" s="46"/>
      <c r="B147" s="151" t="s">
        <v>571</v>
      </c>
      <c r="C147" s="151"/>
      <c r="D147" s="151"/>
      <c r="E147" s="151"/>
      <c r="F147" s="151"/>
      <c r="G147" s="151"/>
      <c r="H147" s="151"/>
    </row>
    <row r="148" spans="1:8" x14ac:dyDescent="0.2">
      <c r="A148" s="46"/>
      <c r="B148" s="151" t="s">
        <v>572</v>
      </c>
      <c r="C148" s="151"/>
      <c r="D148" s="151"/>
      <c r="E148" s="151"/>
      <c r="F148" s="151"/>
      <c r="G148" s="151"/>
      <c r="H148" s="151"/>
    </row>
    <row r="149" spans="1:8" ht="67.5" customHeight="1" x14ac:dyDescent="0.2">
      <c r="A149" s="46"/>
      <c r="B149" s="185" t="s">
        <v>636</v>
      </c>
      <c r="C149" s="185"/>
      <c r="D149" s="185"/>
      <c r="E149" s="185"/>
      <c r="F149" s="185"/>
      <c r="G149" s="185"/>
      <c r="H149" s="185"/>
    </row>
    <row r="150" spans="1:8" x14ac:dyDescent="0.2">
      <c r="A150" s="48"/>
      <c r="B150" s="48"/>
      <c r="C150" s="48"/>
      <c r="D150" s="49"/>
      <c r="E150" s="49"/>
      <c r="F150" s="49"/>
      <c r="G150" s="49"/>
    </row>
    <row r="151" spans="1:8" x14ac:dyDescent="0.2">
      <c r="A151" s="48"/>
      <c r="B151" s="153" t="s">
        <v>104</v>
      </c>
      <c r="C151" s="154"/>
      <c r="D151" s="155"/>
      <c r="E151" s="50"/>
      <c r="F151" s="49"/>
      <c r="G151" s="49"/>
    </row>
    <row r="152" spans="1:8" ht="25.5" x14ac:dyDescent="0.2">
      <c r="A152" s="48"/>
      <c r="B152" s="156" t="s">
        <v>105</v>
      </c>
      <c r="C152" s="157"/>
      <c r="D152" s="33" t="s">
        <v>598</v>
      </c>
      <c r="E152" s="50"/>
      <c r="F152" s="49"/>
      <c r="G152" s="49"/>
    </row>
    <row r="153" spans="1:8" x14ac:dyDescent="0.2">
      <c r="A153" s="48"/>
      <c r="B153" s="156" t="s">
        <v>107</v>
      </c>
      <c r="C153" s="157"/>
      <c r="D153" s="17" t="s">
        <v>106</v>
      </c>
      <c r="E153" s="50"/>
      <c r="F153" s="49"/>
      <c r="G153" s="49"/>
    </row>
    <row r="154" spans="1:8" x14ac:dyDescent="0.2">
      <c r="A154" s="48"/>
      <c r="B154" s="156" t="s">
        <v>108</v>
      </c>
      <c r="C154" s="157"/>
      <c r="D154" s="22" t="s">
        <v>12</v>
      </c>
      <c r="E154" s="50"/>
      <c r="F154" s="49"/>
      <c r="G154" s="49"/>
    </row>
    <row r="155" spans="1:8" x14ac:dyDescent="0.2">
      <c r="A155" s="51"/>
      <c r="B155" s="52" t="s">
        <v>12</v>
      </c>
      <c r="C155" s="52" t="s">
        <v>573</v>
      </c>
      <c r="D155" s="52" t="s">
        <v>109</v>
      </c>
      <c r="E155" s="51"/>
      <c r="F155" s="51"/>
      <c r="G155" s="51"/>
      <c r="H155" s="53"/>
    </row>
    <row r="156" spans="1:8" x14ac:dyDescent="0.2">
      <c r="A156" s="51"/>
      <c r="B156" s="54" t="s">
        <v>110</v>
      </c>
      <c r="C156" s="55">
        <v>45657</v>
      </c>
      <c r="D156" s="55">
        <v>45672</v>
      </c>
      <c r="E156" s="51"/>
      <c r="F156" s="51"/>
      <c r="G156" s="51"/>
    </row>
    <row r="157" spans="1:8" x14ac:dyDescent="0.2">
      <c r="A157" s="56"/>
      <c r="B157" s="25" t="s">
        <v>111</v>
      </c>
      <c r="C157" s="57">
        <v>2818.0124999999998</v>
      </c>
      <c r="D157" s="57">
        <v>2825.4919</v>
      </c>
      <c r="E157" s="56"/>
      <c r="F157" s="58"/>
      <c r="G157" s="59"/>
    </row>
    <row r="158" spans="1:8" ht="25.5" x14ac:dyDescent="0.2">
      <c r="A158" s="56"/>
      <c r="B158" s="25" t="s">
        <v>695</v>
      </c>
      <c r="C158" s="57">
        <v>1063.3022000000001</v>
      </c>
      <c r="D158" s="57">
        <v>1066.1241</v>
      </c>
      <c r="E158" s="56"/>
      <c r="F158" s="58"/>
      <c r="G158" s="59"/>
    </row>
    <row r="159" spans="1:8" ht="25.5" x14ac:dyDescent="0.2">
      <c r="A159" s="56"/>
      <c r="B159" s="25" t="s">
        <v>696</v>
      </c>
      <c r="C159" s="57">
        <v>1187.7121999999999</v>
      </c>
      <c r="D159" s="57">
        <v>1190.8620000000001</v>
      </c>
      <c r="E159" s="56"/>
      <c r="F159" s="58"/>
      <c r="G159" s="59"/>
    </row>
    <row r="160" spans="1:8" x14ac:dyDescent="0.2">
      <c r="A160" s="56"/>
      <c r="B160" s="25" t="s">
        <v>112</v>
      </c>
      <c r="C160" s="57">
        <v>2599.8244</v>
      </c>
      <c r="D160" s="57">
        <v>2605.3966</v>
      </c>
      <c r="E160" s="56"/>
      <c r="F160" s="58"/>
      <c r="G160" s="59"/>
    </row>
    <row r="161" spans="1:15" ht="25.5" x14ac:dyDescent="0.2">
      <c r="A161" s="56"/>
      <c r="B161" s="25" t="s">
        <v>699</v>
      </c>
      <c r="C161" s="57">
        <v>1062.3978999999999</v>
      </c>
      <c r="D161" s="57">
        <v>1064.675</v>
      </c>
      <c r="E161" s="56"/>
      <c r="F161" s="58"/>
      <c r="G161" s="59"/>
    </row>
    <row r="162" spans="1:15" ht="25.5" x14ac:dyDescent="0.2">
      <c r="A162" s="56"/>
      <c r="B162" s="25" t="s">
        <v>665</v>
      </c>
      <c r="C162" s="57">
        <v>1142.8005000000001</v>
      </c>
      <c r="D162" s="57">
        <v>1145.2498000000001</v>
      </c>
      <c r="E162" s="56"/>
      <c r="F162" s="58"/>
      <c r="G162" s="59"/>
    </row>
    <row r="163" spans="1:15" x14ac:dyDescent="0.2">
      <c r="A163" s="56"/>
      <c r="B163" s="56"/>
      <c r="C163" s="56"/>
      <c r="D163" s="56"/>
      <c r="E163" s="56"/>
      <c r="F163" s="56"/>
      <c r="G163" s="56"/>
    </row>
    <row r="164" spans="1:15" x14ac:dyDescent="0.2">
      <c r="A164" s="56"/>
      <c r="B164" s="156" t="s">
        <v>702</v>
      </c>
      <c r="C164" s="157"/>
      <c r="D164" s="33" t="s">
        <v>106</v>
      </c>
      <c r="E164" s="56"/>
      <c r="F164" s="56"/>
      <c r="G164" s="56"/>
    </row>
    <row r="165" spans="1:15" x14ac:dyDescent="0.2">
      <c r="A165" s="56"/>
      <c r="B165" s="60"/>
      <c r="C165" s="60"/>
      <c r="D165" s="60"/>
      <c r="E165" s="56"/>
      <c r="F165" s="56"/>
      <c r="G165" s="56"/>
    </row>
    <row r="166" spans="1:15" ht="25.5" x14ac:dyDescent="0.2">
      <c r="A166" s="51"/>
      <c r="B166" s="158" t="s">
        <v>113</v>
      </c>
      <c r="C166" s="159"/>
      <c r="D166" s="33" t="s">
        <v>651</v>
      </c>
      <c r="E166" s="61"/>
      <c r="F166" s="51"/>
      <c r="G166" s="51"/>
    </row>
    <row r="167" spans="1:15" ht="27" customHeight="1" x14ac:dyDescent="0.2">
      <c r="A167" s="51"/>
      <c r="B167" s="158" t="s">
        <v>114</v>
      </c>
      <c r="C167" s="159"/>
      <c r="D167" s="33" t="s">
        <v>106</v>
      </c>
      <c r="E167" s="61"/>
      <c r="F167" s="51"/>
      <c r="G167" s="51"/>
    </row>
    <row r="168" spans="1:15" ht="27.75" customHeight="1" x14ac:dyDescent="0.2">
      <c r="A168" s="51"/>
      <c r="B168" s="158" t="s">
        <v>574</v>
      </c>
      <c r="C168" s="159"/>
      <c r="D168" s="33" t="s">
        <v>106</v>
      </c>
      <c r="E168" s="61"/>
      <c r="F168" s="51"/>
      <c r="G168" s="51"/>
      <c r="J168" s="15"/>
    </row>
    <row r="169" spans="1:15" ht="12.75" customHeight="1" x14ac:dyDescent="0.2">
      <c r="A169" s="60"/>
      <c r="B169" s="60"/>
      <c r="C169" s="60"/>
      <c r="D169" s="60"/>
      <c r="E169" s="60"/>
      <c r="F169" s="60"/>
      <c r="G169" s="60"/>
      <c r="J169" s="15"/>
    </row>
    <row r="170" spans="1:15" ht="13.5" x14ac:dyDescent="0.25">
      <c r="A170" s="60"/>
      <c r="B170" s="108" t="s">
        <v>692</v>
      </c>
      <c r="C170" s="60"/>
      <c r="D170" s="60"/>
      <c r="E170" s="60"/>
      <c r="F170" s="60"/>
      <c r="G170" s="60"/>
      <c r="H170" s="60"/>
      <c r="J170" s="15"/>
    </row>
    <row r="171" spans="1:15" s="15" customFormat="1" ht="51" x14ac:dyDescent="0.2">
      <c r="A171" s="109"/>
      <c r="B171" s="110" t="s">
        <v>652</v>
      </c>
      <c r="C171" s="110" t="s">
        <v>653</v>
      </c>
      <c r="D171" s="111" t="s">
        <v>654</v>
      </c>
      <c r="E171" s="111" t="s">
        <v>655</v>
      </c>
      <c r="F171" s="110" t="s">
        <v>656</v>
      </c>
      <c r="G171" s="110" t="s">
        <v>657</v>
      </c>
      <c r="H171" s="110" t="s">
        <v>8</v>
      </c>
    </row>
    <row r="172" spans="1:15" s="68" customFormat="1" ht="25.5" x14ac:dyDescent="0.2">
      <c r="A172" s="112"/>
      <c r="B172" s="113" t="s">
        <v>658</v>
      </c>
      <c r="C172" s="113" t="s">
        <v>659</v>
      </c>
      <c r="D172" s="114" t="s">
        <v>660</v>
      </c>
      <c r="E172" s="115" t="s">
        <v>661</v>
      </c>
      <c r="F172" s="116">
        <v>2500</v>
      </c>
      <c r="G172" s="117">
        <v>46002</v>
      </c>
      <c r="H172" s="40">
        <f>F172/F144</f>
        <v>1.0464622010680408E-2</v>
      </c>
      <c r="J172" s="15"/>
    </row>
    <row r="173" spans="1:15" s="71" customFormat="1" x14ac:dyDescent="0.2">
      <c r="A173" s="60"/>
      <c r="B173" s="60"/>
      <c r="C173" s="60"/>
      <c r="D173" s="60"/>
      <c r="E173" s="60"/>
      <c r="F173" s="60"/>
      <c r="G173" s="60"/>
      <c r="H173"/>
      <c r="I173" s="118"/>
      <c r="J173" s="118"/>
      <c r="K173" s="118"/>
      <c r="L173" s="118"/>
      <c r="M173" s="118"/>
      <c r="N173" s="118"/>
      <c r="O173" s="118"/>
    </row>
    <row r="174" spans="1:15" x14ac:dyDescent="0.2">
      <c r="A174" s="62"/>
      <c r="B174" s="74" t="s">
        <v>691</v>
      </c>
      <c r="C174" s="74"/>
      <c r="D174" s="74"/>
      <c r="E174" s="74"/>
      <c r="F174" s="74"/>
      <c r="G174" s="74"/>
      <c r="H174" s="62"/>
      <c r="J174" s="15"/>
    </row>
    <row r="175" spans="1:15" ht="6" customHeight="1" x14ac:dyDescent="0.2">
      <c r="A175" s="62"/>
      <c r="B175" s="75"/>
      <c r="C175" s="75"/>
      <c r="D175" s="75"/>
      <c r="E175" s="75"/>
      <c r="F175" s="75"/>
      <c r="G175" s="75"/>
      <c r="H175" s="62"/>
      <c r="J175" s="15"/>
    </row>
    <row r="176" spans="1:15" s="62" customFormat="1" ht="63.75" x14ac:dyDescent="0.2">
      <c r="B176" s="119" t="s">
        <v>600</v>
      </c>
      <c r="C176" s="119" t="s">
        <v>601</v>
      </c>
      <c r="D176" s="77" t="s">
        <v>602</v>
      </c>
      <c r="E176" s="119" t="s">
        <v>603</v>
      </c>
      <c r="F176" s="77" t="s">
        <v>662</v>
      </c>
      <c r="G176" s="75"/>
      <c r="I176"/>
      <c r="J176" s="15"/>
      <c r="K176" s="35"/>
      <c r="L176" s="35"/>
      <c r="M176" s="35"/>
      <c r="N176" s="35"/>
      <c r="O176" s="68"/>
    </row>
    <row r="177" spans="1:17" s="62" customFormat="1" x14ac:dyDescent="0.2">
      <c r="B177" s="79" t="s">
        <v>605</v>
      </c>
      <c r="C177" s="79" t="s">
        <v>606</v>
      </c>
      <c r="D177" s="8">
        <v>0</v>
      </c>
      <c r="E177" s="9">
        <v>0</v>
      </c>
      <c r="F177" s="80">
        <v>500</v>
      </c>
      <c r="G177" s="75"/>
      <c r="I177"/>
      <c r="J177" s="15"/>
      <c r="K177" s="35"/>
      <c r="L177" s="35"/>
      <c r="M177" s="35"/>
      <c r="N177" s="35"/>
      <c r="O177" s="68"/>
    </row>
    <row r="178" spans="1:17" s="62" customFormat="1" x14ac:dyDescent="0.2">
      <c r="I178"/>
      <c r="J178" s="15"/>
      <c r="K178" s="35"/>
      <c r="L178" s="35"/>
      <c r="M178" s="35"/>
      <c r="N178" s="35"/>
      <c r="O178" s="68"/>
    </row>
    <row r="179" spans="1:17" s="62" customFormat="1" x14ac:dyDescent="0.2">
      <c r="B179" s="160" t="s">
        <v>575</v>
      </c>
      <c r="C179" s="161"/>
      <c r="D179" s="162"/>
      <c r="I179"/>
      <c r="J179" s="15"/>
      <c r="K179" s="35"/>
      <c r="L179" s="35"/>
      <c r="M179" s="35"/>
      <c r="N179" s="35"/>
      <c r="O179" s="68"/>
    </row>
    <row r="180" spans="1:17" s="62" customFormat="1" ht="38.25" x14ac:dyDescent="0.2">
      <c r="B180" s="152" t="s">
        <v>576</v>
      </c>
      <c r="C180" s="152"/>
      <c r="D180" s="63" t="s">
        <v>418</v>
      </c>
      <c r="I180"/>
      <c r="J180" s="15"/>
      <c r="K180" s="35"/>
      <c r="L180" s="35"/>
      <c r="M180" s="35"/>
      <c r="N180" s="35"/>
      <c r="O180" s="68"/>
    </row>
    <row r="181" spans="1:17" s="62" customFormat="1" x14ac:dyDescent="0.2">
      <c r="B181" s="148" t="s">
        <v>577</v>
      </c>
      <c r="C181" s="148"/>
      <c r="D181" s="64"/>
      <c r="I181"/>
      <c r="J181" s="15"/>
      <c r="K181" s="35"/>
      <c r="L181" s="35"/>
      <c r="M181" s="35"/>
      <c r="N181" s="35"/>
      <c r="O181" s="68"/>
    </row>
    <row r="182" spans="1:17" s="62" customFormat="1" x14ac:dyDescent="0.2">
      <c r="B182" s="148"/>
      <c r="C182" s="148"/>
      <c r="D182" s="65"/>
      <c r="I182"/>
      <c r="J182" s="15"/>
      <c r="K182" s="35"/>
      <c r="L182" s="35"/>
      <c r="M182" s="35"/>
      <c r="N182" s="35"/>
      <c r="O182" s="68"/>
    </row>
    <row r="183" spans="1:17" s="62" customFormat="1" x14ac:dyDescent="0.2">
      <c r="B183" s="148" t="s">
        <v>578</v>
      </c>
      <c r="C183" s="148"/>
      <c r="D183" s="66">
        <v>7.4143726291088861</v>
      </c>
      <c r="I183"/>
      <c r="J183" s="15"/>
      <c r="K183" s="35"/>
      <c r="L183" s="35"/>
      <c r="M183" s="35"/>
      <c r="N183" s="35"/>
      <c r="O183" s="68"/>
    </row>
    <row r="184" spans="1:17" s="62" customFormat="1" x14ac:dyDescent="0.2">
      <c r="B184" s="148"/>
      <c r="C184" s="148"/>
      <c r="D184" s="65"/>
      <c r="I184"/>
      <c r="J184" s="15"/>
      <c r="K184" s="35"/>
      <c r="L184" s="35"/>
      <c r="M184" s="35"/>
      <c r="N184" s="35"/>
      <c r="O184" s="68"/>
    </row>
    <row r="185" spans="1:17" s="62" customFormat="1" x14ac:dyDescent="0.2">
      <c r="B185" s="148" t="s">
        <v>579</v>
      </c>
      <c r="C185" s="148"/>
      <c r="D185" s="66">
        <v>0.40674346332702133</v>
      </c>
      <c r="I185"/>
      <c r="J185" s="15"/>
      <c r="K185" s="35"/>
      <c r="L185" s="35"/>
      <c r="M185" s="35"/>
      <c r="N185" s="35"/>
      <c r="O185" s="68"/>
    </row>
    <row r="186" spans="1:17" s="62" customFormat="1" x14ac:dyDescent="0.2">
      <c r="B186" s="148" t="s">
        <v>580</v>
      </c>
      <c r="C186" s="148"/>
      <c r="D186" s="66">
        <v>0.40674346332702133</v>
      </c>
      <c r="I186"/>
      <c r="J186" s="15"/>
      <c r="K186" s="35"/>
      <c r="L186" s="35"/>
      <c r="M186" s="35"/>
      <c r="N186" s="35"/>
      <c r="O186" s="68"/>
    </row>
    <row r="187" spans="1:17" s="62" customFormat="1" x14ac:dyDescent="0.2">
      <c r="B187" s="148"/>
      <c r="C187" s="148"/>
      <c r="D187" s="65"/>
      <c r="I187"/>
      <c r="J187" s="15"/>
      <c r="K187" s="35"/>
      <c r="L187" s="35"/>
      <c r="M187" s="35"/>
      <c r="N187" s="35"/>
      <c r="O187" s="68"/>
    </row>
    <row r="188" spans="1:17" s="62" customFormat="1" x14ac:dyDescent="0.2">
      <c r="B188" s="148" t="s">
        <v>581</v>
      </c>
      <c r="C188" s="148"/>
      <c r="D188" s="67" t="s">
        <v>690</v>
      </c>
      <c r="I188"/>
      <c r="J188" s="15"/>
      <c r="K188" s="35"/>
      <c r="L188" s="35"/>
      <c r="M188" s="35"/>
      <c r="N188" s="35"/>
      <c r="O188" s="68"/>
    </row>
    <row r="189" spans="1:17" s="62" customFormat="1" x14ac:dyDescent="0.2">
      <c r="B189" s="146" t="s">
        <v>582</v>
      </c>
      <c r="C189" s="149"/>
      <c r="D189" s="147"/>
      <c r="I189"/>
      <c r="J189" s="15"/>
      <c r="K189" s="35"/>
      <c r="L189" s="35"/>
      <c r="M189" s="35"/>
      <c r="N189" s="35"/>
      <c r="O189" s="68"/>
    </row>
    <row r="190" spans="1:17" s="62" customFormat="1" x14ac:dyDescent="0.2">
      <c r="B190" s="47"/>
      <c r="C190" s="47"/>
      <c r="D190" s="47"/>
      <c r="I190"/>
      <c r="J190" s="15"/>
      <c r="K190" s="35"/>
      <c r="L190" s="35"/>
      <c r="M190" s="35"/>
      <c r="N190" s="35"/>
      <c r="O190" s="68"/>
    </row>
    <row r="191" spans="1:17" s="62" customFormat="1" ht="25.5" x14ac:dyDescent="0.2">
      <c r="A191"/>
      <c r="B191" s="69" t="s">
        <v>583</v>
      </c>
      <c r="C191"/>
      <c r="D191"/>
      <c r="E191"/>
      <c r="F191"/>
      <c r="G191"/>
      <c r="H191"/>
      <c r="I191"/>
      <c r="J191" s="15"/>
      <c r="K191" s="35"/>
      <c r="L191" s="35"/>
      <c r="M191" s="35"/>
      <c r="N191" s="35"/>
      <c r="O191" s="68"/>
      <c r="P191"/>
      <c r="Q191"/>
    </row>
    <row r="193" spans="2:10" ht="153.75" customHeight="1" x14ac:dyDescent="0.2"/>
    <row r="194" spans="2:10" ht="25.5" customHeight="1" x14ac:dyDescent="0.2"/>
    <row r="195" spans="2:10" x14ac:dyDescent="0.2">
      <c r="B195" s="70" t="s">
        <v>584</v>
      </c>
      <c r="C195" s="71"/>
      <c r="D195" s="70" t="s">
        <v>585</v>
      </c>
    </row>
    <row r="196" spans="2:10" x14ac:dyDescent="0.2">
      <c r="B196" s="70" t="s">
        <v>663</v>
      </c>
      <c r="D196" s="70" t="s">
        <v>664</v>
      </c>
    </row>
    <row r="199" spans="2:10" ht="165" customHeight="1" x14ac:dyDescent="0.2"/>
    <row r="201" spans="2:10" x14ac:dyDescent="0.2">
      <c r="J201" s="15"/>
    </row>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sheetData>
  <mergeCells count="26">
    <mergeCell ref="B154:C154"/>
    <mergeCell ref="B164:C164"/>
    <mergeCell ref="B168:C168"/>
    <mergeCell ref="B166:C166"/>
    <mergeCell ref="B167:C167"/>
    <mergeCell ref="B148:H148"/>
    <mergeCell ref="B149:H149"/>
    <mergeCell ref="B151:D151"/>
    <mergeCell ref="B152:C152"/>
    <mergeCell ref="B153:C153"/>
    <mergeCell ref="A1:H1"/>
    <mergeCell ref="A2:H2"/>
    <mergeCell ref="A3:H3"/>
    <mergeCell ref="B146:H146"/>
    <mergeCell ref="B147:H147"/>
    <mergeCell ref="B179:D179"/>
    <mergeCell ref="B180:C180"/>
    <mergeCell ref="B181:C181"/>
    <mergeCell ref="B182:C182"/>
    <mergeCell ref="B183:C183"/>
    <mergeCell ref="B189:D189"/>
    <mergeCell ref="B184:C184"/>
    <mergeCell ref="B185:C185"/>
    <mergeCell ref="B186:C186"/>
    <mergeCell ref="B187:C187"/>
    <mergeCell ref="B188:C188"/>
  </mergeCells>
  <hyperlinks>
    <hyperlink ref="I1" location="Index!B2" display="Index" xr:uid="{CA2A31B6-1A5A-4928-8DF7-CD68FED0FD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9CFE-0479-4B68-AC56-B3814FD1FBEE}">
  <sheetPr>
    <outlinePr summaryBelow="0" summaryRight="0"/>
  </sheetPr>
  <dimension ref="A1:Q138"/>
  <sheetViews>
    <sheetView showGridLines="0" workbookViewId="0">
      <selection activeCell="A90" sqref="A1:XFD1048576"/>
    </sheetView>
  </sheetViews>
  <sheetFormatPr defaultRowHeight="12.75" x14ac:dyDescent="0.2"/>
  <cols>
    <col min="1" max="1" width="5.85546875" bestFit="1" customWidth="1"/>
    <col min="2" max="2" width="19.7109375" bestFit="1" customWidth="1"/>
    <col min="3" max="3" width="34" bestFit="1" customWidth="1"/>
    <col min="4" max="4" width="12.140625" customWidth="1"/>
    <col min="5" max="5" width="8.7109375" bestFit="1" customWidth="1"/>
    <col min="6" max="6" width="10.140625" bestFit="1" customWidth="1"/>
    <col min="7" max="7" width="14" bestFit="1" customWidth="1"/>
    <col min="8" max="8" width="6.85546875"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473</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567</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x14ac:dyDescent="0.2">
      <c r="A28" s="24">
        <v>1</v>
      </c>
      <c r="B28" s="25" t="s">
        <v>230</v>
      </c>
      <c r="C28" s="25" t="s">
        <v>231</v>
      </c>
      <c r="D28" s="25" t="s">
        <v>225</v>
      </c>
      <c r="E28" s="26">
        <v>200</v>
      </c>
      <c r="F28" s="27">
        <v>200.82679999999999</v>
      </c>
      <c r="G28" s="28">
        <v>4.5357880000000003E-2</v>
      </c>
      <c r="H28" s="18">
        <v>8.31</v>
      </c>
    </row>
    <row r="29" spans="1:8" ht="25.5" x14ac:dyDescent="0.2">
      <c r="A29" s="24">
        <v>2</v>
      </c>
      <c r="B29" s="25" t="s">
        <v>220</v>
      </c>
      <c r="C29" s="25" t="s">
        <v>221</v>
      </c>
      <c r="D29" s="25" t="s">
        <v>222</v>
      </c>
      <c r="E29" s="26">
        <v>100</v>
      </c>
      <c r="F29" s="27">
        <v>100.5663</v>
      </c>
      <c r="G29" s="28">
        <v>2.2713469999999999E-2</v>
      </c>
      <c r="H29" s="18">
        <v>8.01</v>
      </c>
    </row>
    <row r="30" spans="1:8" ht="25.5" x14ac:dyDescent="0.2">
      <c r="A30" s="24">
        <v>3</v>
      </c>
      <c r="B30" s="25" t="s">
        <v>243</v>
      </c>
      <c r="C30" s="25" t="s">
        <v>244</v>
      </c>
      <c r="D30" s="25" t="s">
        <v>225</v>
      </c>
      <c r="E30" s="26">
        <v>100</v>
      </c>
      <c r="F30" s="27">
        <v>100.12690000000001</v>
      </c>
      <c r="G30" s="28">
        <v>2.2614229999999999E-2</v>
      </c>
      <c r="H30" s="18">
        <v>8.2200000000000006</v>
      </c>
    </row>
    <row r="31" spans="1:8" ht="25.5" x14ac:dyDescent="0.2">
      <c r="A31" s="24">
        <v>4</v>
      </c>
      <c r="B31" s="25" t="s">
        <v>228</v>
      </c>
      <c r="C31" s="25" t="s">
        <v>229</v>
      </c>
      <c r="D31" s="25" t="s">
        <v>23</v>
      </c>
      <c r="E31" s="26">
        <v>10</v>
      </c>
      <c r="F31" s="27">
        <v>98.615600000000001</v>
      </c>
      <c r="G31" s="28">
        <v>2.227289E-2</v>
      </c>
      <c r="H31" s="18">
        <v>7.85</v>
      </c>
    </row>
    <row r="32" spans="1:8" x14ac:dyDescent="0.2">
      <c r="A32" s="16"/>
      <c r="B32" s="16"/>
      <c r="C32" s="17" t="s">
        <v>11</v>
      </c>
      <c r="D32" s="16"/>
      <c r="E32" s="16" t="s">
        <v>12</v>
      </c>
      <c r="F32" s="23">
        <v>500.13560000000001</v>
      </c>
      <c r="G32" s="20">
        <v>0.11295847000000001</v>
      </c>
      <c r="H32" s="18" t="s">
        <v>12</v>
      </c>
    </row>
    <row r="33" spans="1:8" x14ac:dyDescent="0.2">
      <c r="A33" s="16"/>
      <c r="B33" s="16"/>
      <c r="C33" s="21"/>
      <c r="D33" s="16"/>
      <c r="E33" s="16"/>
      <c r="F33" s="22"/>
      <c r="G33" s="22"/>
      <c r="H33" s="18" t="s">
        <v>12</v>
      </c>
    </row>
    <row r="34" spans="1:8" x14ac:dyDescent="0.2">
      <c r="A34" s="16"/>
      <c r="B34" s="16"/>
      <c r="C34" s="17" t="s">
        <v>71</v>
      </c>
      <c r="D34" s="16"/>
      <c r="E34" s="16"/>
      <c r="F34" s="16"/>
      <c r="G34" s="16"/>
      <c r="H34" s="18" t="s">
        <v>12</v>
      </c>
    </row>
    <row r="35" spans="1:8" x14ac:dyDescent="0.2">
      <c r="A35" s="16"/>
      <c r="B35" s="16"/>
      <c r="C35" s="17" t="s">
        <v>11</v>
      </c>
      <c r="D35" s="16"/>
      <c r="E35" s="16" t="s">
        <v>12</v>
      </c>
      <c r="F35" s="19" t="s">
        <v>13</v>
      </c>
      <c r="G35" s="20">
        <v>0</v>
      </c>
      <c r="H35" s="18" t="s">
        <v>12</v>
      </c>
    </row>
    <row r="36" spans="1:8" x14ac:dyDescent="0.2">
      <c r="A36" s="16"/>
      <c r="B36" s="16"/>
      <c r="C36" s="21"/>
      <c r="D36" s="16"/>
      <c r="E36" s="16"/>
      <c r="F36" s="22"/>
      <c r="G36" s="22"/>
      <c r="H36" s="18" t="s">
        <v>12</v>
      </c>
    </row>
    <row r="37" spans="1:8" x14ac:dyDescent="0.2">
      <c r="A37" s="16"/>
      <c r="B37" s="16"/>
      <c r="C37" s="17" t="s">
        <v>72</v>
      </c>
      <c r="D37" s="16"/>
      <c r="E37" s="16"/>
      <c r="F37" s="16"/>
      <c r="G37" s="16"/>
      <c r="H37" s="18" t="s">
        <v>12</v>
      </c>
    </row>
    <row r="38" spans="1:8" ht="25.5" x14ac:dyDescent="0.2">
      <c r="A38" s="24">
        <v>1</v>
      </c>
      <c r="B38" s="25" t="s">
        <v>73</v>
      </c>
      <c r="C38" s="25" t="s">
        <v>74</v>
      </c>
      <c r="D38" s="25" t="s">
        <v>75</v>
      </c>
      <c r="E38" s="26">
        <v>1500000</v>
      </c>
      <c r="F38" s="27">
        <v>1525.2809999999999</v>
      </c>
      <c r="G38" s="28">
        <v>0.34449339000000001</v>
      </c>
      <c r="H38" s="18">
        <v>6.9657</v>
      </c>
    </row>
    <row r="39" spans="1:8" ht="25.5" x14ac:dyDescent="0.2">
      <c r="A39" s="24">
        <v>2</v>
      </c>
      <c r="B39" s="25" t="s">
        <v>474</v>
      </c>
      <c r="C39" s="25" t="s">
        <v>475</v>
      </c>
      <c r="D39" s="25" t="s">
        <v>75</v>
      </c>
      <c r="E39" s="26">
        <v>1000000</v>
      </c>
      <c r="F39" s="27">
        <v>983.16200000000003</v>
      </c>
      <c r="G39" s="28">
        <v>0.22205273</v>
      </c>
      <c r="H39" s="18">
        <v>6.8398000000000003</v>
      </c>
    </row>
    <row r="40" spans="1:8" ht="25.5" x14ac:dyDescent="0.2">
      <c r="A40" s="24">
        <v>3</v>
      </c>
      <c r="B40" s="25" t="s">
        <v>82</v>
      </c>
      <c r="C40" s="25" t="s">
        <v>83</v>
      </c>
      <c r="D40" s="25" t="s">
        <v>75</v>
      </c>
      <c r="E40" s="26">
        <v>500000</v>
      </c>
      <c r="F40" s="27">
        <v>509.84899999999999</v>
      </c>
      <c r="G40" s="28">
        <v>0.1151523</v>
      </c>
      <c r="H40" s="18">
        <v>6.8789999999999996</v>
      </c>
    </row>
    <row r="41" spans="1:8" ht="25.5" x14ac:dyDescent="0.2">
      <c r="A41" s="24">
        <v>4</v>
      </c>
      <c r="B41" s="25" t="s">
        <v>415</v>
      </c>
      <c r="C41" s="25" t="s">
        <v>416</v>
      </c>
      <c r="D41" s="25" t="s">
        <v>75</v>
      </c>
      <c r="E41" s="26">
        <v>230000</v>
      </c>
      <c r="F41" s="27">
        <v>234.29823999999999</v>
      </c>
      <c r="G41" s="28">
        <v>5.291759E-2</v>
      </c>
      <c r="H41" s="18">
        <v>7.2845000000000004</v>
      </c>
    </row>
    <row r="42" spans="1:8" ht="25.5" x14ac:dyDescent="0.2">
      <c r="A42" s="24">
        <v>5</v>
      </c>
      <c r="B42" s="25" t="s">
        <v>254</v>
      </c>
      <c r="C42" s="25" t="s">
        <v>255</v>
      </c>
      <c r="D42" s="25" t="s">
        <v>75</v>
      </c>
      <c r="E42" s="26">
        <v>100000</v>
      </c>
      <c r="F42" s="27">
        <v>100.9983</v>
      </c>
      <c r="G42" s="28">
        <v>2.2811040000000001E-2</v>
      </c>
      <c r="H42" s="18">
        <v>6.8845999999999998</v>
      </c>
    </row>
    <row r="43" spans="1:8" x14ac:dyDescent="0.2">
      <c r="A43" s="16"/>
      <c r="B43" s="16"/>
      <c r="C43" s="17" t="s">
        <v>11</v>
      </c>
      <c r="D43" s="16"/>
      <c r="E43" s="16" t="s">
        <v>12</v>
      </c>
      <c r="F43" s="23">
        <v>3353.5885400000002</v>
      </c>
      <c r="G43" s="20">
        <v>0.75742704999999999</v>
      </c>
      <c r="H43" s="18" t="s">
        <v>12</v>
      </c>
    </row>
    <row r="44" spans="1:8" x14ac:dyDescent="0.2">
      <c r="A44" s="16"/>
      <c r="B44" s="16"/>
      <c r="C44" s="21"/>
      <c r="D44" s="16"/>
      <c r="E44" s="16"/>
      <c r="F44" s="22"/>
      <c r="G44" s="22"/>
      <c r="H44" s="18" t="s">
        <v>12</v>
      </c>
    </row>
    <row r="45" spans="1:8" x14ac:dyDescent="0.2">
      <c r="A45" s="16"/>
      <c r="B45" s="16"/>
      <c r="C45" s="17" t="s">
        <v>86</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87</v>
      </c>
      <c r="D48" s="16"/>
      <c r="E48" s="16"/>
      <c r="F48" s="23">
        <v>3853.7241399999998</v>
      </c>
      <c r="G48" s="20">
        <v>0.87038552000000002</v>
      </c>
      <c r="H48" s="18" t="s">
        <v>12</v>
      </c>
    </row>
    <row r="49" spans="1:8" x14ac:dyDescent="0.2">
      <c r="A49" s="16"/>
      <c r="B49" s="16"/>
      <c r="C49" s="21"/>
      <c r="D49" s="16"/>
      <c r="E49" s="16"/>
      <c r="F49" s="22"/>
      <c r="G49" s="22"/>
      <c r="H49" s="18" t="s">
        <v>12</v>
      </c>
    </row>
    <row r="50" spans="1:8" x14ac:dyDescent="0.2">
      <c r="A50" s="16"/>
      <c r="B50" s="16"/>
      <c r="C50" s="17" t="s">
        <v>88</v>
      </c>
      <c r="D50" s="16"/>
      <c r="E50" s="16"/>
      <c r="F50" s="22"/>
      <c r="G50" s="22"/>
      <c r="H50" s="18" t="s">
        <v>12</v>
      </c>
    </row>
    <row r="51" spans="1:8" x14ac:dyDescent="0.2">
      <c r="A51" s="16"/>
      <c r="B51" s="16"/>
      <c r="C51" s="17" t="s">
        <v>89</v>
      </c>
      <c r="D51" s="16"/>
      <c r="E51" s="16"/>
      <c r="F51" s="22"/>
      <c r="G51" s="22"/>
      <c r="H51" s="18" t="s">
        <v>12</v>
      </c>
    </row>
    <row r="52" spans="1:8" x14ac:dyDescent="0.2">
      <c r="A52" s="16"/>
      <c r="B52" s="16"/>
      <c r="C52" s="17" t="s">
        <v>11</v>
      </c>
      <c r="D52" s="16"/>
      <c r="E52" s="16" t="s">
        <v>12</v>
      </c>
      <c r="F52" s="19" t="s">
        <v>13</v>
      </c>
      <c r="G52" s="20">
        <v>0</v>
      </c>
      <c r="H52" s="18" t="s">
        <v>12</v>
      </c>
    </row>
    <row r="53" spans="1:8" x14ac:dyDescent="0.2">
      <c r="A53" s="16"/>
      <c r="B53" s="16"/>
      <c r="C53" s="21"/>
      <c r="D53" s="16"/>
      <c r="E53" s="16"/>
      <c r="F53" s="22"/>
      <c r="G53" s="22"/>
      <c r="H53" s="18" t="s">
        <v>12</v>
      </c>
    </row>
    <row r="54" spans="1:8" x14ac:dyDescent="0.2">
      <c r="A54" s="16"/>
      <c r="B54" s="16"/>
      <c r="C54" s="17" t="s">
        <v>90</v>
      </c>
      <c r="D54" s="16"/>
      <c r="E54" s="16"/>
      <c r="F54" s="22"/>
      <c r="G54" s="22"/>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91</v>
      </c>
      <c r="D57" s="16"/>
      <c r="E57" s="16"/>
      <c r="F57" s="22"/>
      <c r="G57" s="22"/>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92</v>
      </c>
      <c r="D60" s="16"/>
      <c r="E60" s="16"/>
      <c r="F60" s="22"/>
      <c r="G60" s="22"/>
      <c r="H60" s="18" t="s">
        <v>12</v>
      </c>
    </row>
    <row r="61" spans="1:8" x14ac:dyDescent="0.2">
      <c r="A61" s="24">
        <v>1</v>
      </c>
      <c r="B61" s="25"/>
      <c r="C61" s="25" t="s">
        <v>93</v>
      </c>
      <c r="D61" s="25"/>
      <c r="E61" s="29"/>
      <c r="F61" s="27">
        <v>492.38223199999999</v>
      </c>
      <c r="G61" s="28">
        <v>0.11120732999999999</v>
      </c>
      <c r="H61" s="18">
        <v>6.25</v>
      </c>
    </row>
    <row r="62" spans="1:8" x14ac:dyDescent="0.2">
      <c r="A62" s="16"/>
      <c r="B62" s="16"/>
      <c r="C62" s="17" t="s">
        <v>11</v>
      </c>
      <c r="D62" s="16"/>
      <c r="E62" s="16" t="s">
        <v>12</v>
      </c>
      <c r="F62" s="23">
        <v>492.38223199999999</v>
      </c>
      <c r="G62" s="20">
        <v>0.11120732999999999</v>
      </c>
      <c r="H62" s="18" t="s">
        <v>12</v>
      </c>
    </row>
    <row r="63" spans="1:8" x14ac:dyDescent="0.2">
      <c r="A63" s="16"/>
      <c r="B63" s="16"/>
      <c r="C63" s="21"/>
      <c r="D63" s="16"/>
      <c r="E63" s="16"/>
      <c r="F63" s="22"/>
      <c r="G63" s="22"/>
      <c r="H63" s="18" t="s">
        <v>12</v>
      </c>
    </row>
    <row r="64" spans="1:8" x14ac:dyDescent="0.2">
      <c r="A64" s="16"/>
      <c r="B64" s="16"/>
      <c r="C64" s="17" t="s">
        <v>94</v>
      </c>
      <c r="D64" s="16"/>
      <c r="E64" s="16"/>
      <c r="F64" s="23">
        <v>492.38223199999999</v>
      </c>
      <c r="G64" s="20">
        <v>0.11120732999999999</v>
      </c>
      <c r="H64" s="18" t="s">
        <v>12</v>
      </c>
    </row>
    <row r="65" spans="1:17" x14ac:dyDescent="0.2">
      <c r="A65" s="16"/>
      <c r="B65" s="16"/>
      <c r="C65" s="22"/>
      <c r="D65" s="16"/>
      <c r="E65" s="16"/>
      <c r="F65" s="16"/>
      <c r="G65" s="16"/>
      <c r="H65" s="18" t="s">
        <v>12</v>
      </c>
    </row>
    <row r="66" spans="1:17" x14ac:dyDescent="0.2">
      <c r="A66" s="16"/>
      <c r="B66" s="16"/>
      <c r="C66" s="17" t="s">
        <v>95</v>
      </c>
      <c r="D66" s="16"/>
      <c r="E66" s="16"/>
      <c r="F66" s="16"/>
      <c r="G66" s="16"/>
      <c r="H66" s="18" t="s">
        <v>12</v>
      </c>
    </row>
    <row r="67" spans="1:17" x14ac:dyDescent="0.2">
      <c r="A67" s="16"/>
      <c r="B67" s="16"/>
      <c r="C67" s="17" t="s">
        <v>96</v>
      </c>
      <c r="D67" s="16"/>
      <c r="E67" s="16"/>
      <c r="F67" s="16"/>
      <c r="G67" s="16"/>
      <c r="H67" s="18" t="s">
        <v>12</v>
      </c>
    </row>
    <row r="68" spans="1:17" x14ac:dyDescent="0.2">
      <c r="A68" s="16"/>
      <c r="B68" s="16"/>
      <c r="C68" s="17" t="s">
        <v>11</v>
      </c>
      <c r="D68" s="16"/>
      <c r="E68" s="16" t="s">
        <v>12</v>
      </c>
      <c r="F68" s="19" t="s">
        <v>13</v>
      </c>
      <c r="G68" s="20">
        <v>0</v>
      </c>
      <c r="H68" s="18" t="s">
        <v>12</v>
      </c>
    </row>
    <row r="69" spans="1:17" x14ac:dyDescent="0.2">
      <c r="A69" s="30"/>
      <c r="B69" s="30"/>
      <c r="C69" s="31"/>
      <c r="D69" s="30"/>
      <c r="E69" s="30"/>
      <c r="F69" s="32"/>
      <c r="G69" s="32"/>
      <c r="H69" s="18" t="s">
        <v>12</v>
      </c>
    </row>
    <row r="70" spans="1:17" ht="25.5" x14ac:dyDescent="0.2">
      <c r="A70" s="30"/>
      <c r="B70" s="30"/>
      <c r="C70" s="33" t="s">
        <v>569</v>
      </c>
      <c r="D70" s="30"/>
      <c r="E70" s="30"/>
      <c r="F70" s="32"/>
      <c r="G70" s="32"/>
      <c r="H70" s="34"/>
      <c r="K70" s="35"/>
      <c r="L70" s="35"/>
      <c r="M70" s="35"/>
      <c r="N70" s="35"/>
      <c r="O70" s="36"/>
      <c r="P70" s="36"/>
      <c r="Q70" s="36"/>
    </row>
    <row r="71" spans="1:17" ht="25.5" x14ac:dyDescent="0.2">
      <c r="A71" s="37">
        <v>1</v>
      </c>
      <c r="B71" s="38" t="s">
        <v>97</v>
      </c>
      <c r="C71" s="38" t="s">
        <v>98</v>
      </c>
      <c r="D71" s="38"/>
      <c r="E71" s="39">
        <v>112.994</v>
      </c>
      <c r="F71" s="34">
        <v>12.286531741999999</v>
      </c>
      <c r="G71" s="40">
        <v>2.7749799999999998E-3</v>
      </c>
      <c r="H71" s="18"/>
    </row>
    <row r="72" spans="1:17" x14ac:dyDescent="0.2">
      <c r="A72" s="30"/>
      <c r="B72" s="30"/>
      <c r="C72" s="33" t="s">
        <v>11</v>
      </c>
      <c r="D72" s="30"/>
      <c r="E72" s="30" t="s">
        <v>12</v>
      </c>
      <c r="F72" s="41">
        <f>SUM(F71)</f>
        <v>12.286531741999999</v>
      </c>
      <c r="G72" s="42">
        <f>SUM(G71)</f>
        <v>2.7749799999999998E-3</v>
      </c>
      <c r="H72" s="18" t="s">
        <v>12</v>
      </c>
    </row>
    <row r="73" spans="1:17" x14ac:dyDescent="0.2">
      <c r="A73" s="16"/>
      <c r="B73" s="16"/>
      <c r="C73" s="21"/>
      <c r="D73" s="16"/>
      <c r="E73" s="16"/>
      <c r="F73" s="22"/>
      <c r="G73" s="22"/>
      <c r="H73" s="18" t="s">
        <v>12</v>
      </c>
    </row>
    <row r="74" spans="1:17" x14ac:dyDescent="0.2">
      <c r="A74" s="16"/>
      <c r="B74" s="16"/>
      <c r="C74" s="17" t="s">
        <v>99</v>
      </c>
      <c r="D74" s="16"/>
      <c r="E74" s="16"/>
      <c r="F74" s="16"/>
      <c r="G74" s="16"/>
      <c r="H74" s="18" t="s">
        <v>12</v>
      </c>
    </row>
    <row r="75" spans="1:17" x14ac:dyDescent="0.2">
      <c r="A75" s="16"/>
      <c r="B75" s="16"/>
      <c r="C75" s="17" t="s">
        <v>100</v>
      </c>
      <c r="D75" s="16"/>
      <c r="E75" s="16"/>
      <c r="F75" s="16"/>
      <c r="G75" s="16"/>
      <c r="H75" s="18" t="s">
        <v>12</v>
      </c>
    </row>
    <row r="76" spans="1:17" x14ac:dyDescent="0.2">
      <c r="A76" s="16"/>
      <c r="B76" s="16"/>
      <c r="C76" s="17" t="s">
        <v>11</v>
      </c>
      <c r="D76" s="16"/>
      <c r="E76" s="16" t="s">
        <v>12</v>
      </c>
      <c r="F76" s="19" t="s">
        <v>13</v>
      </c>
      <c r="G76" s="20">
        <v>0</v>
      </c>
      <c r="H76" s="18" t="s">
        <v>12</v>
      </c>
    </row>
    <row r="77" spans="1:17" x14ac:dyDescent="0.2">
      <c r="A77" s="16"/>
      <c r="B77" s="16"/>
      <c r="C77" s="21"/>
      <c r="D77" s="16"/>
      <c r="E77" s="16"/>
      <c r="F77" s="22"/>
      <c r="G77" s="22"/>
      <c r="H77" s="18" t="s">
        <v>12</v>
      </c>
    </row>
    <row r="78" spans="1:17" ht="25.5" x14ac:dyDescent="0.2">
      <c r="A78" s="16"/>
      <c r="B78" s="16"/>
      <c r="C78" s="17" t="s">
        <v>101</v>
      </c>
      <c r="D78" s="16"/>
      <c r="E78" s="16"/>
      <c r="F78" s="22"/>
      <c r="G78" s="22"/>
      <c r="H78" s="18" t="s">
        <v>12</v>
      </c>
    </row>
    <row r="79" spans="1:17" x14ac:dyDescent="0.2">
      <c r="A79" s="16"/>
      <c r="B79" s="16"/>
      <c r="C79" s="17" t="s">
        <v>11</v>
      </c>
      <c r="D79" s="16"/>
      <c r="E79" s="16" t="s">
        <v>12</v>
      </c>
      <c r="F79" s="19" t="s">
        <v>13</v>
      </c>
      <c r="G79" s="20">
        <v>0</v>
      </c>
      <c r="H79" s="18" t="s">
        <v>12</v>
      </c>
    </row>
    <row r="80" spans="1:17" x14ac:dyDescent="0.2">
      <c r="A80" s="16"/>
      <c r="B80" s="25"/>
      <c r="C80" s="25"/>
      <c r="D80" s="17"/>
      <c r="E80" s="16"/>
      <c r="F80" s="25"/>
      <c r="G80" s="29"/>
      <c r="H80" s="18" t="s">
        <v>12</v>
      </c>
    </row>
    <row r="81" spans="1:8" x14ac:dyDescent="0.2">
      <c r="A81" s="29"/>
      <c r="B81" s="25"/>
      <c r="C81" s="25" t="s">
        <v>102</v>
      </c>
      <c r="D81" s="25"/>
      <c r="E81" s="29"/>
      <c r="F81" s="27">
        <f>69.2131293+0.000548248000741005</f>
        <v>69.213677548000746</v>
      </c>
      <c r="G81" s="28">
        <v>1.5632179999999999E-2</v>
      </c>
      <c r="H81" s="18" t="s">
        <v>12</v>
      </c>
    </row>
    <row r="82" spans="1:8" x14ac:dyDescent="0.2">
      <c r="A82" s="21"/>
      <c r="B82" s="21"/>
      <c r="C82" s="17" t="s">
        <v>103</v>
      </c>
      <c r="D82" s="22"/>
      <c r="E82" s="22"/>
      <c r="F82" s="23">
        <f>4427.606033042+0.000548248000741005</f>
        <v>4427.6065812900006</v>
      </c>
      <c r="G82" s="43">
        <v>1.0000000099999999</v>
      </c>
      <c r="H82" s="18" t="s">
        <v>12</v>
      </c>
    </row>
    <row r="83" spans="1:8" x14ac:dyDescent="0.2">
      <c r="A83" s="44"/>
      <c r="B83" s="44"/>
      <c r="C83" s="44"/>
      <c r="D83" s="45"/>
      <c r="E83" s="45"/>
      <c r="F83" s="45"/>
      <c r="G83" s="45"/>
    </row>
    <row r="84" spans="1:8" x14ac:dyDescent="0.2">
      <c r="A84" s="46"/>
      <c r="B84" s="151" t="s">
        <v>570</v>
      </c>
      <c r="C84" s="151"/>
      <c r="D84" s="151"/>
      <c r="E84" s="151"/>
      <c r="F84" s="151"/>
      <c r="G84" s="151"/>
      <c r="H84" s="151"/>
    </row>
    <row r="85" spans="1:8" x14ac:dyDescent="0.2">
      <c r="A85" s="46"/>
      <c r="B85" s="151" t="s">
        <v>571</v>
      </c>
      <c r="C85" s="151"/>
      <c r="D85" s="151"/>
      <c r="E85" s="151"/>
      <c r="F85" s="151"/>
      <c r="G85" s="151"/>
      <c r="H85" s="151"/>
    </row>
    <row r="86" spans="1:8" x14ac:dyDescent="0.2">
      <c r="A86" s="46"/>
      <c r="B86" s="151" t="s">
        <v>572</v>
      </c>
      <c r="C86" s="151"/>
      <c r="D86" s="151"/>
      <c r="E86" s="151"/>
      <c r="F86" s="151"/>
      <c r="G86" s="151"/>
      <c r="H86" s="151"/>
    </row>
    <row r="87" spans="1:8" x14ac:dyDescent="0.2">
      <c r="A87" s="48"/>
      <c r="B87" s="48"/>
      <c r="C87" s="48"/>
      <c r="D87" s="49"/>
      <c r="E87" s="49"/>
      <c r="F87" s="49"/>
      <c r="G87" s="49"/>
    </row>
    <row r="88" spans="1:8" x14ac:dyDescent="0.2">
      <c r="A88" s="48"/>
      <c r="B88" s="153" t="s">
        <v>104</v>
      </c>
      <c r="C88" s="154"/>
      <c r="D88" s="155"/>
      <c r="E88" s="50"/>
      <c r="F88" s="49"/>
      <c r="G88" s="49"/>
    </row>
    <row r="89" spans="1:8" ht="25.5" x14ac:dyDescent="0.2">
      <c r="A89" s="48"/>
      <c r="B89" s="156" t="s">
        <v>105</v>
      </c>
      <c r="C89" s="157"/>
      <c r="D89" s="33" t="s">
        <v>598</v>
      </c>
      <c r="E89" s="50"/>
      <c r="F89" s="49"/>
      <c r="G89" s="49"/>
    </row>
    <row r="90" spans="1:8" x14ac:dyDescent="0.2">
      <c r="A90" s="48"/>
      <c r="B90" s="156" t="s">
        <v>107</v>
      </c>
      <c r="C90" s="157"/>
      <c r="D90" s="17" t="s">
        <v>106</v>
      </c>
      <c r="E90" s="50"/>
      <c r="F90" s="49"/>
      <c r="G90" s="49"/>
    </row>
    <row r="91" spans="1:8" x14ac:dyDescent="0.2">
      <c r="A91" s="48"/>
      <c r="B91" s="156" t="s">
        <v>108</v>
      </c>
      <c r="C91" s="157"/>
      <c r="D91" s="22" t="s">
        <v>12</v>
      </c>
      <c r="E91" s="50"/>
      <c r="F91" s="49"/>
      <c r="G91" s="49"/>
    </row>
    <row r="92" spans="1:8" x14ac:dyDescent="0.2">
      <c r="A92" s="51"/>
      <c r="B92" s="52" t="s">
        <v>12</v>
      </c>
      <c r="C92" s="52" t="s">
        <v>573</v>
      </c>
      <c r="D92" s="52" t="s">
        <v>109</v>
      </c>
      <c r="E92" s="51"/>
      <c r="F92" s="51"/>
      <c r="G92" s="51"/>
      <c r="H92" s="53"/>
    </row>
    <row r="93" spans="1:8" x14ac:dyDescent="0.2">
      <c r="A93" s="51"/>
      <c r="B93" s="54" t="s">
        <v>110</v>
      </c>
      <c r="C93" s="55">
        <v>45657</v>
      </c>
      <c r="D93" s="55">
        <v>45672</v>
      </c>
      <c r="E93" s="51"/>
      <c r="F93" s="51"/>
      <c r="G93" s="51"/>
    </row>
    <row r="94" spans="1:8" x14ac:dyDescent="0.2">
      <c r="A94" s="56"/>
      <c r="B94" s="25" t="s">
        <v>111</v>
      </c>
      <c r="C94" s="57">
        <v>73.937600000000003</v>
      </c>
      <c r="D94" s="57">
        <v>73.967600000000004</v>
      </c>
      <c r="E94" s="56"/>
      <c r="F94" s="58"/>
      <c r="G94" s="59"/>
    </row>
    <row r="95" spans="1:8" ht="25.5" x14ac:dyDescent="0.2">
      <c r="A95" s="56"/>
      <c r="B95" s="25" t="s">
        <v>696</v>
      </c>
      <c r="C95" s="57">
        <v>26.465199999999999</v>
      </c>
      <c r="D95" s="57">
        <v>26.475899999999999</v>
      </c>
      <c r="E95" s="56"/>
      <c r="F95" s="58"/>
      <c r="G95" s="59"/>
    </row>
    <row r="96" spans="1:8" ht="25.5" x14ac:dyDescent="0.2">
      <c r="A96" s="56"/>
      <c r="B96" s="25" t="s">
        <v>698</v>
      </c>
      <c r="C96" s="57">
        <v>14.9391</v>
      </c>
      <c r="D96" s="57">
        <v>14.9451</v>
      </c>
      <c r="E96" s="56"/>
      <c r="F96" s="58"/>
      <c r="G96" s="59"/>
    </row>
    <row r="97" spans="1:14" ht="25.5" x14ac:dyDescent="0.2">
      <c r="A97" s="56"/>
      <c r="B97" s="25" t="s">
        <v>476</v>
      </c>
      <c r="C97" s="57">
        <v>75.138000000000005</v>
      </c>
      <c r="D97" s="120" t="s">
        <v>703</v>
      </c>
      <c r="E97" s="56"/>
      <c r="F97" s="58"/>
      <c r="G97" s="59"/>
    </row>
    <row r="98" spans="1:14" x14ac:dyDescent="0.2">
      <c r="A98" s="56"/>
      <c r="B98" s="25" t="s">
        <v>112</v>
      </c>
      <c r="C98" s="57">
        <v>66.495199999999997</v>
      </c>
      <c r="D98" s="57">
        <v>66.499300000000005</v>
      </c>
      <c r="E98" s="56"/>
      <c r="F98" s="58"/>
      <c r="G98" s="59"/>
    </row>
    <row r="99" spans="1:14" x14ac:dyDescent="0.2">
      <c r="A99" s="56"/>
      <c r="B99" s="25" t="s">
        <v>137</v>
      </c>
      <c r="C99" s="57">
        <v>22.7118</v>
      </c>
      <c r="D99" s="57">
        <v>22.713200000000001</v>
      </c>
      <c r="E99" s="56"/>
      <c r="F99" s="58"/>
      <c r="G99" s="59"/>
    </row>
    <row r="100" spans="1:14" ht="25.5" x14ac:dyDescent="0.2">
      <c r="A100" s="56"/>
      <c r="B100" s="38" t="s">
        <v>665</v>
      </c>
      <c r="C100" s="57">
        <v>13.103300000000001</v>
      </c>
      <c r="D100" s="57">
        <v>13.104100000000001</v>
      </c>
      <c r="E100" s="56"/>
      <c r="F100" s="58"/>
      <c r="G100" s="59"/>
    </row>
    <row r="101" spans="1:14" ht="25.5" x14ac:dyDescent="0.2">
      <c r="A101" s="56"/>
      <c r="B101" s="25" t="s">
        <v>700</v>
      </c>
      <c r="C101" s="57">
        <v>13.469099999999999</v>
      </c>
      <c r="D101" s="57">
        <v>13.47</v>
      </c>
      <c r="E101" s="56"/>
      <c r="F101" s="58"/>
      <c r="G101" s="59"/>
    </row>
    <row r="102" spans="1:14" ht="25.5" x14ac:dyDescent="0.2">
      <c r="A102" s="56"/>
      <c r="B102" s="25" t="s">
        <v>701</v>
      </c>
      <c r="C102" s="57">
        <v>13.2119</v>
      </c>
      <c r="D102" s="57">
        <v>13.2127</v>
      </c>
      <c r="E102" s="56"/>
      <c r="F102" s="58"/>
      <c r="G102" s="59"/>
    </row>
    <row r="103" spans="1:14" x14ac:dyDescent="0.2">
      <c r="A103" s="56"/>
      <c r="B103" s="56"/>
      <c r="C103" s="56"/>
      <c r="D103" s="56"/>
      <c r="E103" s="56"/>
      <c r="F103" s="56"/>
      <c r="G103" s="56"/>
    </row>
    <row r="104" spans="1:14" x14ac:dyDescent="0.2">
      <c r="A104" s="56"/>
      <c r="B104" s="156" t="s">
        <v>702</v>
      </c>
      <c r="C104" s="157"/>
      <c r="D104" s="33" t="s">
        <v>106</v>
      </c>
      <c r="E104" s="56"/>
      <c r="F104" s="56"/>
      <c r="G104" s="56"/>
    </row>
    <row r="105" spans="1:14" x14ac:dyDescent="0.2">
      <c r="A105" s="56"/>
      <c r="B105" s="60"/>
      <c r="C105" s="60"/>
      <c r="D105" s="60"/>
      <c r="E105" s="56"/>
      <c r="F105" s="56"/>
      <c r="G105" s="56"/>
    </row>
    <row r="106" spans="1:14" s="62" customFormat="1" ht="15" x14ac:dyDescent="0.25">
      <c r="A106" s="72"/>
      <c r="B106" s="158" t="s">
        <v>588</v>
      </c>
      <c r="C106" s="159"/>
      <c r="D106" s="33" t="s">
        <v>106</v>
      </c>
      <c r="E106" s="72"/>
      <c r="F106" s="47"/>
      <c r="G106" s="72"/>
      <c r="I106" s="121"/>
      <c r="J106" s="122"/>
      <c r="K106" s="122"/>
      <c r="L106" s="122"/>
      <c r="M106" s="122"/>
      <c r="N106"/>
    </row>
    <row r="107" spans="1:14" ht="26.25" customHeight="1" x14ac:dyDescent="0.25">
      <c r="A107" s="51"/>
      <c r="B107" s="158" t="s">
        <v>589</v>
      </c>
      <c r="C107" s="159"/>
      <c r="D107" s="33" t="s">
        <v>106</v>
      </c>
      <c r="E107" s="61"/>
      <c r="F107" s="51"/>
      <c r="G107" s="51"/>
      <c r="I107" s="123"/>
    </row>
    <row r="108" spans="1:14" ht="27.75" customHeight="1" x14ac:dyDescent="0.25">
      <c r="A108" s="51"/>
      <c r="B108" s="158" t="s">
        <v>590</v>
      </c>
      <c r="C108" s="159"/>
      <c r="D108" s="33" t="s">
        <v>106</v>
      </c>
      <c r="E108" s="61"/>
      <c r="F108" s="51"/>
      <c r="G108" s="51"/>
      <c r="I108" s="124"/>
    </row>
    <row r="109" spans="1:14" x14ac:dyDescent="0.2">
      <c r="A109" s="51"/>
      <c r="B109" s="158" t="s">
        <v>591</v>
      </c>
      <c r="C109" s="159"/>
      <c r="D109" s="33" t="s">
        <v>106</v>
      </c>
      <c r="E109" s="61"/>
      <c r="F109" s="51"/>
      <c r="G109" s="51"/>
    </row>
    <row r="110" spans="1:14" x14ac:dyDescent="0.2">
      <c r="A110" s="60"/>
      <c r="B110" s="60"/>
      <c r="C110" s="60"/>
      <c r="D110" s="60"/>
      <c r="E110" s="60"/>
      <c r="F110" s="60"/>
      <c r="G110" s="60"/>
    </row>
    <row r="111" spans="1:14" s="62" customFormat="1" ht="15" x14ac:dyDescent="0.25">
      <c r="B111" s="193" t="s">
        <v>691</v>
      </c>
      <c r="C111" s="194"/>
      <c r="D111" s="194"/>
      <c r="E111" s="194"/>
      <c r="F111" s="194"/>
      <c r="G111" s="195"/>
      <c r="I111"/>
      <c r="J111" s="122"/>
      <c r="K111" s="122"/>
      <c r="L111" s="122"/>
      <c r="M111" s="122"/>
      <c r="N111"/>
    </row>
    <row r="112" spans="1:14" s="62" customFormat="1" ht="45" customHeight="1" x14ac:dyDescent="0.25">
      <c r="B112" s="125" t="s">
        <v>607</v>
      </c>
      <c r="C112" s="125" t="s">
        <v>608</v>
      </c>
      <c r="D112" s="196" t="s">
        <v>602</v>
      </c>
      <c r="E112" s="197"/>
      <c r="F112" s="189" t="s">
        <v>603</v>
      </c>
      <c r="G112" s="189"/>
      <c r="H112" s="126"/>
      <c r="I112"/>
      <c r="J112" s="122"/>
      <c r="K112" s="122"/>
      <c r="L112" s="122"/>
      <c r="M112" s="122"/>
      <c r="N112"/>
    </row>
    <row r="113" spans="2:14" s="62" customFormat="1" ht="25.5" x14ac:dyDescent="0.25">
      <c r="B113" s="127" t="s">
        <v>666</v>
      </c>
      <c r="C113" s="128" t="s">
        <v>667</v>
      </c>
      <c r="D113" s="198">
        <v>0</v>
      </c>
      <c r="E113" s="199"/>
      <c r="F113" s="198">
        <v>0</v>
      </c>
      <c r="G113" s="199"/>
      <c r="H113" s="129"/>
      <c r="I113"/>
      <c r="J113" s="122"/>
      <c r="K113" s="122"/>
      <c r="L113" s="122"/>
      <c r="M113" s="122"/>
      <c r="N113"/>
    </row>
    <row r="114" spans="2:14" s="62" customFormat="1" ht="15" x14ac:dyDescent="0.25">
      <c r="B114" s="186" t="s">
        <v>668</v>
      </c>
      <c r="C114" s="187"/>
      <c r="D114" s="187"/>
      <c r="E114" s="187"/>
      <c r="F114" s="187"/>
      <c r="G114" s="188"/>
      <c r="H114" s="129"/>
      <c r="I114"/>
      <c r="J114" s="124"/>
      <c r="K114" s="124"/>
      <c r="L114" s="124"/>
      <c r="M114" s="122"/>
      <c r="N114"/>
    </row>
    <row r="115" spans="2:14" s="62" customFormat="1" ht="15" x14ac:dyDescent="0.25">
      <c r="B115" s="189" t="s">
        <v>607</v>
      </c>
      <c r="C115" s="189" t="s">
        <v>608</v>
      </c>
      <c r="D115" s="186" t="s">
        <v>616</v>
      </c>
      <c r="E115" s="187"/>
      <c r="F115" s="188"/>
      <c r="G115" s="127"/>
      <c r="H115" s="129"/>
      <c r="I115"/>
      <c r="J115" s="124"/>
      <c r="K115" s="124"/>
      <c r="L115" s="124"/>
      <c r="M115" s="122"/>
      <c r="N115"/>
    </row>
    <row r="116" spans="2:14" s="62" customFormat="1" ht="76.5" x14ac:dyDescent="0.25">
      <c r="B116" s="189"/>
      <c r="C116" s="189"/>
      <c r="D116" s="130" t="s">
        <v>620</v>
      </c>
      <c r="E116" s="130" t="s">
        <v>669</v>
      </c>
      <c r="F116" s="130" t="s">
        <v>623</v>
      </c>
      <c r="G116" s="130" t="s">
        <v>693</v>
      </c>
      <c r="H116" s="131"/>
      <c r="I116"/>
      <c r="J116" s="124"/>
      <c r="K116" s="124"/>
      <c r="L116" s="124"/>
      <c r="M116" s="122"/>
      <c r="N116"/>
    </row>
    <row r="117" spans="2:14" s="62" customFormat="1" ht="25.5" x14ac:dyDescent="0.2">
      <c r="B117" s="132" t="s">
        <v>666</v>
      </c>
      <c r="C117" s="128" t="s">
        <v>667</v>
      </c>
      <c r="D117" s="133">
        <v>200</v>
      </c>
      <c r="E117" s="133">
        <v>6.8852450999999997</v>
      </c>
      <c r="F117" s="133">
        <v>206.88524509999999</v>
      </c>
      <c r="G117" s="134">
        <f>F117/F82</f>
        <v>4.6726203266172571E-2</v>
      </c>
      <c r="H117" s="135"/>
      <c r="I117"/>
      <c r="J117"/>
      <c r="K117"/>
      <c r="L117"/>
      <c r="M117"/>
      <c r="N117"/>
    </row>
    <row r="118" spans="2:14" s="62" customFormat="1" ht="33" customHeight="1" x14ac:dyDescent="0.2">
      <c r="B118" s="190" t="s">
        <v>670</v>
      </c>
      <c r="C118" s="191"/>
      <c r="D118" s="191"/>
      <c r="E118" s="191"/>
      <c r="F118" s="191"/>
      <c r="G118" s="192"/>
      <c r="H118" s="136"/>
      <c r="I118"/>
      <c r="J118"/>
      <c r="K118"/>
      <c r="L118"/>
      <c r="M118"/>
      <c r="N118"/>
    </row>
    <row r="119" spans="2:14" s="62" customFormat="1" x14ac:dyDescent="0.2">
      <c r="H119" s="136"/>
      <c r="I119"/>
      <c r="J119"/>
      <c r="K119"/>
      <c r="L119"/>
      <c r="M119"/>
      <c r="N119"/>
    </row>
    <row r="120" spans="2:14" s="62" customFormat="1" x14ac:dyDescent="0.2">
      <c r="B120" s="160" t="s">
        <v>575</v>
      </c>
      <c r="C120" s="161"/>
      <c r="D120" s="162"/>
      <c r="I120"/>
      <c r="J120"/>
      <c r="K120"/>
      <c r="L120"/>
      <c r="M120"/>
      <c r="N120"/>
    </row>
    <row r="121" spans="2:14" s="62" customFormat="1" ht="38.25" x14ac:dyDescent="0.2">
      <c r="B121" s="152" t="s">
        <v>576</v>
      </c>
      <c r="C121" s="152"/>
      <c r="D121" s="63" t="s">
        <v>473</v>
      </c>
      <c r="I121"/>
      <c r="J121"/>
      <c r="K121"/>
      <c r="L121"/>
      <c r="M121"/>
      <c r="N121"/>
    </row>
    <row r="122" spans="2:14" s="62" customFormat="1" x14ac:dyDescent="0.2">
      <c r="B122" s="148" t="s">
        <v>577</v>
      </c>
      <c r="C122" s="148"/>
      <c r="D122" s="64"/>
      <c r="I122"/>
      <c r="J122"/>
      <c r="K122"/>
      <c r="L122"/>
      <c r="M122"/>
      <c r="N122"/>
    </row>
    <row r="123" spans="2:14" s="62" customFormat="1" x14ac:dyDescent="0.2">
      <c r="B123" s="148"/>
      <c r="C123" s="148"/>
      <c r="D123" s="65"/>
      <c r="I123"/>
      <c r="J123"/>
      <c r="K123"/>
      <c r="L123"/>
      <c r="M123"/>
      <c r="N123"/>
    </row>
    <row r="124" spans="2:14" s="62" customFormat="1" x14ac:dyDescent="0.2">
      <c r="B124" s="148" t="s">
        <v>578</v>
      </c>
      <c r="C124" s="148"/>
      <c r="D124" s="66">
        <v>7.0097908032622032</v>
      </c>
      <c r="I124"/>
      <c r="J124"/>
      <c r="K124"/>
      <c r="L124"/>
      <c r="M124"/>
      <c r="N124"/>
    </row>
    <row r="125" spans="2:14" s="62" customFormat="1" x14ac:dyDescent="0.2">
      <c r="B125" s="148"/>
      <c r="C125" s="148"/>
      <c r="D125" s="65"/>
      <c r="I125"/>
      <c r="J125"/>
      <c r="K125"/>
      <c r="L125"/>
      <c r="M125"/>
      <c r="N125"/>
    </row>
    <row r="126" spans="2:14" s="62" customFormat="1" x14ac:dyDescent="0.2">
      <c r="B126" s="148" t="s">
        <v>579</v>
      </c>
      <c r="C126" s="148"/>
      <c r="D126" s="66">
        <v>3.7549556125014183</v>
      </c>
      <c r="I126"/>
      <c r="J126"/>
      <c r="K126"/>
      <c r="L126"/>
      <c r="M126"/>
      <c r="N126"/>
    </row>
    <row r="127" spans="2:14" s="62" customFormat="1" x14ac:dyDescent="0.2">
      <c r="B127" s="148" t="s">
        <v>580</v>
      </c>
      <c r="C127" s="148"/>
      <c r="D127" s="66">
        <v>4.8293076693786032</v>
      </c>
      <c r="I127"/>
      <c r="J127"/>
      <c r="K127"/>
      <c r="L127"/>
      <c r="M127"/>
      <c r="N127"/>
    </row>
    <row r="128" spans="2:14" s="62" customFormat="1" x14ac:dyDescent="0.2">
      <c r="B128" s="148"/>
      <c r="C128" s="148"/>
      <c r="D128" s="65"/>
      <c r="I128"/>
      <c r="J128"/>
      <c r="K128"/>
      <c r="L128"/>
      <c r="M128"/>
      <c r="N128"/>
    </row>
    <row r="129" spans="2:16" s="62" customFormat="1" x14ac:dyDescent="0.2">
      <c r="B129" s="148" t="s">
        <v>581</v>
      </c>
      <c r="C129" s="148"/>
      <c r="D129" s="67" t="s">
        <v>690</v>
      </c>
      <c r="I129"/>
      <c r="J129" s="35"/>
      <c r="K129" s="35"/>
      <c r="L129" s="35"/>
      <c r="M129" s="35"/>
      <c r="N129" s="68"/>
    </row>
    <row r="130" spans="2:16" s="62" customFormat="1" x14ac:dyDescent="0.2">
      <c r="B130" s="146" t="s">
        <v>582</v>
      </c>
      <c r="C130" s="149"/>
      <c r="D130" s="147"/>
      <c r="I130"/>
      <c r="J130"/>
      <c r="K130"/>
      <c r="L130"/>
      <c r="M130"/>
      <c r="N130"/>
      <c r="O130"/>
      <c r="P130"/>
    </row>
    <row r="132" spans="2:16" ht="25.5" x14ac:dyDescent="0.2">
      <c r="B132" s="69" t="s">
        <v>583</v>
      </c>
    </row>
    <row r="133" spans="2:16" ht="153.75" customHeight="1" x14ac:dyDescent="0.2"/>
    <row r="136" spans="2:16" x14ac:dyDescent="0.2">
      <c r="B136" s="70" t="s">
        <v>584</v>
      </c>
      <c r="C136" s="71"/>
      <c r="D136" s="70" t="s">
        <v>585</v>
      </c>
    </row>
    <row r="137" spans="2:16" x14ac:dyDescent="0.2">
      <c r="B137" s="70" t="s">
        <v>671</v>
      </c>
      <c r="D137" s="70" t="s">
        <v>672</v>
      </c>
    </row>
    <row r="138" spans="2:16" ht="165" customHeight="1" x14ac:dyDescent="0.2"/>
  </sheetData>
  <mergeCells count="36">
    <mergeCell ref="B109:C109"/>
    <mergeCell ref="B111:G111"/>
    <mergeCell ref="D112:E112"/>
    <mergeCell ref="F112:G112"/>
    <mergeCell ref="D113:E113"/>
    <mergeCell ref="F113:G113"/>
    <mergeCell ref="B108:C108"/>
    <mergeCell ref="A1:H1"/>
    <mergeCell ref="A2:H2"/>
    <mergeCell ref="A3:H3"/>
    <mergeCell ref="B84:H84"/>
    <mergeCell ref="B85:H85"/>
    <mergeCell ref="B86:H86"/>
    <mergeCell ref="B106:C106"/>
    <mergeCell ref="B107:C107"/>
    <mergeCell ref="B88:D88"/>
    <mergeCell ref="B89:C89"/>
    <mergeCell ref="B90:C90"/>
    <mergeCell ref="B91:C91"/>
    <mergeCell ref="B104:C104"/>
    <mergeCell ref="B114:G114"/>
    <mergeCell ref="B115:B116"/>
    <mergeCell ref="C115:C116"/>
    <mergeCell ref="D115:F115"/>
    <mergeCell ref="B118:G118"/>
    <mergeCell ref="B120:D120"/>
    <mergeCell ref="B121:C121"/>
    <mergeCell ref="B122:C122"/>
    <mergeCell ref="B123:C123"/>
    <mergeCell ref="B124:C124"/>
    <mergeCell ref="B130:D130"/>
    <mergeCell ref="B125:C125"/>
    <mergeCell ref="B126:C126"/>
    <mergeCell ref="B127:C127"/>
    <mergeCell ref="B128:C128"/>
    <mergeCell ref="B129:C129"/>
  </mergeCells>
  <hyperlinks>
    <hyperlink ref="I1" location="Index!B2" display="Index" xr:uid="{1CA39376-5CA0-4CA2-B3AB-004F823329F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272C-228A-446B-9E11-F2041FBFF33C}">
  <sheetPr>
    <outlinePr summaryBelow="0" summaryRight="0"/>
  </sheetPr>
  <dimension ref="A1:R198"/>
  <sheetViews>
    <sheetView showGridLines="0" workbookViewId="0">
      <selection sqref="A1:XFD1048576"/>
    </sheetView>
  </sheetViews>
  <sheetFormatPr defaultRowHeight="12.75" x14ac:dyDescent="0.2"/>
  <cols>
    <col min="1" max="1" width="5.85546875" bestFit="1" customWidth="1"/>
    <col min="2" max="2" width="20.28515625" bestFit="1" customWidth="1"/>
    <col min="3" max="3" width="39.5703125" customWidth="1"/>
    <col min="4" max="4" width="16.5703125" bestFit="1" customWidth="1"/>
    <col min="5" max="5" width="9.85546875" customWidth="1"/>
    <col min="6" max="6" width="11.7109375" customWidth="1"/>
    <col min="7" max="7" width="14" bestFit="1" customWidth="1"/>
    <col min="8" max="8" width="7.5703125" customWidth="1"/>
    <col min="9" max="9" width="8.42578125" customWidth="1"/>
    <col min="10" max="10" width="11.7109375" customWidth="1"/>
  </cols>
  <sheetData>
    <row r="1" spans="1:10" ht="15" x14ac:dyDescent="0.2">
      <c r="A1" s="150" t="s">
        <v>0</v>
      </c>
      <c r="B1" s="150"/>
      <c r="C1" s="150"/>
      <c r="D1" s="150"/>
      <c r="E1" s="150"/>
      <c r="F1" s="150"/>
      <c r="G1" s="150"/>
      <c r="H1" s="150"/>
      <c r="I1" s="7" t="s">
        <v>566</v>
      </c>
    </row>
    <row r="2" spans="1:10" ht="15" x14ac:dyDescent="0.2">
      <c r="A2" s="150" t="s">
        <v>477</v>
      </c>
      <c r="B2" s="150"/>
      <c r="C2" s="150"/>
      <c r="D2" s="150"/>
      <c r="E2" s="150"/>
      <c r="F2" s="150"/>
      <c r="G2" s="150"/>
      <c r="H2" s="150"/>
    </row>
    <row r="3" spans="1:10" ht="15" x14ac:dyDescent="0.2">
      <c r="A3" s="150" t="s">
        <v>568</v>
      </c>
      <c r="B3" s="150"/>
      <c r="C3" s="150"/>
      <c r="D3" s="150"/>
      <c r="E3" s="150"/>
      <c r="F3" s="150"/>
      <c r="G3" s="150"/>
      <c r="H3" s="150"/>
    </row>
    <row r="4" spans="1:10" s="15" customFormat="1" ht="30" x14ac:dyDescent="0.2">
      <c r="A4" s="13" t="s">
        <v>2</v>
      </c>
      <c r="B4" s="13" t="s">
        <v>3</v>
      </c>
      <c r="C4" s="13" t="s">
        <v>4</v>
      </c>
      <c r="D4" s="13" t="s">
        <v>5</v>
      </c>
      <c r="E4" s="13" t="s">
        <v>6</v>
      </c>
      <c r="F4" s="13" t="s">
        <v>7</v>
      </c>
      <c r="G4" s="13" t="s">
        <v>8</v>
      </c>
      <c r="H4" s="14" t="s">
        <v>567</v>
      </c>
    </row>
    <row r="5" spans="1:10" x14ac:dyDescent="0.2">
      <c r="A5" s="16"/>
      <c r="B5" s="16"/>
      <c r="C5" s="17" t="s">
        <v>9</v>
      </c>
      <c r="D5" s="16"/>
      <c r="E5" s="16"/>
      <c r="F5" s="16"/>
      <c r="G5" s="16"/>
      <c r="H5" s="18" t="s">
        <v>12</v>
      </c>
    </row>
    <row r="6" spans="1:10" x14ac:dyDescent="0.2">
      <c r="A6" s="16"/>
      <c r="B6" s="16"/>
      <c r="C6" s="17" t="s">
        <v>10</v>
      </c>
      <c r="D6" s="16"/>
      <c r="E6" s="16"/>
      <c r="F6" s="16"/>
      <c r="G6" s="16"/>
      <c r="H6" s="18" t="s">
        <v>12</v>
      </c>
    </row>
    <row r="7" spans="1:10" x14ac:dyDescent="0.2">
      <c r="A7" s="24">
        <v>1</v>
      </c>
      <c r="B7" s="25" t="s">
        <v>478</v>
      </c>
      <c r="C7" s="25" t="s">
        <v>479</v>
      </c>
      <c r="D7" s="25" t="s">
        <v>480</v>
      </c>
      <c r="E7" s="26">
        <v>4250</v>
      </c>
      <c r="F7" s="27">
        <v>69.829624999999993</v>
      </c>
      <c r="G7" s="28">
        <v>2.5734150000000001E-2</v>
      </c>
      <c r="H7" s="18" t="s">
        <v>12</v>
      </c>
    </row>
    <row r="8" spans="1:10" x14ac:dyDescent="0.2">
      <c r="A8" s="24">
        <v>2</v>
      </c>
      <c r="B8" s="25" t="s">
        <v>481</v>
      </c>
      <c r="C8" s="25" t="s">
        <v>482</v>
      </c>
      <c r="D8" s="25" t="s">
        <v>480</v>
      </c>
      <c r="E8" s="26">
        <v>4200</v>
      </c>
      <c r="F8" s="27">
        <v>52.006500000000003</v>
      </c>
      <c r="G8" s="28">
        <v>1.9165829999999998E-2</v>
      </c>
      <c r="H8" s="18" t="s">
        <v>12</v>
      </c>
    </row>
    <row r="9" spans="1:10" x14ac:dyDescent="0.2">
      <c r="A9" s="24">
        <v>3</v>
      </c>
      <c r="B9" s="25" t="s">
        <v>483</v>
      </c>
      <c r="C9" s="25" t="s">
        <v>484</v>
      </c>
      <c r="D9" s="25" t="s">
        <v>485</v>
      </c>
      <c r="E9" s="26">
        <v>2500</v>
      </c>
      <c r="F9" s="27">
        <v>40.186250000000001</v>
      </c>
      <c r="G9" s="28">
        <v>1.480974E-2</v>
      </c>
      <c r="H9" s="18" t="s">
        <v>12</v>
      </c>
    </row>
    <row r="10" spans="1:10" x14ac:dyDescent="0.2">
      <c r="A10" s="24">
        <v>4</v>
      </c>
      <c r="B10" s="25" t="s">
        <v>486</v>
      </c>
      <c r="C10" s="25" t="s">
        <v>487</v>
      </c>
      <c r="D10" s="25" t="s">
        <v>488</v>
      </c>
      <c r="E10" s="26">
        <v>3000</v>
      </c>
      <c r="F10" s="27">
        <v>37.566000000000003</v>
      </c>
      <c r="G10" s="28">
        <v>1.384411E-2</v>
      </c>
      <c r="H10" s="18" t="s">
        <v>12</v>
      </c>
    </row>
    <row r="11" spans="1:10" x14ac:dyDescent="0.2">
      <c r="A11" s="24">
        <v>5</v>
      </c>
      <c r="B11" s="25" t="s">
        <v>489</v>
      </c>
      <c r="C11" s="25" t="s">
        <v>490</v>
      </c>
      <c r="D11" s="25" t="s">
        <v>491</v>
      </c>
      <c r="E11" s="26">
        <v>1750</v>
      </c>
      <c r="F11" s="27">
        <v>34.118875000000003</v>
      </c>
      <c r="G11" s="28">
        <v>1.257375E-2</v>
      </c>
      <c r="H11" s="18" t="s">
        <v>12</v>
      </c>
    </row>
    <row r="12" spans="1:10" x14ac:dyDescent="0.2">
      <c r="A12" s="24">
        <v>6</v>
      </c>
      <c r="B12" s="25" t="s">
        <v>492</v>
      </c>
      <c r="C12" s="25" t="s">
        <v>493</v>
      </c>
      <c r="D12" s="25" t="s">
        <v>491</v>
      </c>
      <c r="E12" s="26">
        <v>1848</v>
      </c>
      <c r="F12" s="27">
        <v>33.738936000000002</v>
      </c>
      <c r="G12" s="28">
        <v>1.243373E-2</v>
      </c>
      <c r="H12" s="18" t="s">
        <v>12</v>
      </c>
    </row>
    <row r="13" spans="1:10" ht="25.5" x14ac:dyDescent="0.2">
      <c r="A13" s="37">
        <v>7</v>
      </c>
      <c r="B13" s="38" t="s">
        <v>673</v>
      </c>
      <c r="C13" s="38" t="s">
        <v>674</v>
      </c>
      <c r="D13" s="38" t="s">
        <v>675</v>
      </c>
      <c r="E13" s="137">
        <v>30000</v>
      </c>
      <c r="F13" s="34">
        <f>2435100/10^5</f>
        <v>24.350999999999999</v>
      </c>
      <c r="G13" s="40">
        <f>F13/F103</f>
        <v>8.9740167284563886E-3</v>
      </c>
      <c r="H13" s="18" t="str">
        <f>IFERROR(VLOOKUP(B13,#REF!,12,FALSE),"")</f>
        <v/>
      </c>
      <c r="J13" s="138"/>
    </row>
    <row r="14" spans="1:10" x14ac:dyDescent="0.2">
      <c r="A14" s="24">
        <v>8</v>
      </c>
      <c r="B14" s="25" t="s">
        <v>494</v>
      </c>
      <c r="C14" s="25" t="s">
        <v>495</v>
      </c>
      <c r="D14" s="25" t="s">
        <v>496</v>
      </c>
      <c r="E14" s="26">
        <v>600</v>
      </c>
      <c r="F14" s="27">
        <v>21.008400000000002</v>
      </c>
      <c r="G14" s="28">
        <v>7.7421800000000004E-3</v>
      </c>
      <c r="H14" s="18" t="s">
        <v>12</v>
      </c>
    </row>
    <row r="15" spans="1:10" x14ac:dyDescent="0.2">
      <c r="A15" s="24">
        <v>9</v>
      </c>
      <c r="B15" s="25" t="s">
        <v>497</v>
      </c>
      <c r="C15" s="25" t="s">
        <v>498</v>
      </c>
      <c r="D15" s="25" t="s">
        <v>480</v>
      </c>
      <c r="E15" s="26">
        <v>2000</v>
      </c>
      <c r="F15" s="27">
        <v>20.536000000000001</v>
      </c>
      <c r="G15" s="28">
        <v>7.5680799999999996E-3</v>
      </c>
      <c r="H15" s="18" t="s">
        <v>12</v>
      </c>
    </row>
    <row r="16" spans="1:10" x14ac:dyDescent="0.2">
      <c r="A16" s="24">
        <v>10</v>
      </c>
      <c r="B16" s="25" t="s">
        <v>499</v>
      </c>
      <c r="C16" s="25" t="s">
        <v>500</v>
      </c>
      <c r="D16" s="25" t="s">
        <v>480</v>
      </c>
      <c r="E16" s="26">
        <v>2600</v>
      </c>
      <c r="F16" s="27">
        <v>19.5962</v>
      </c>
      <c r="G16" s="28">
        <v>7.2217399999999999E-3</v>
      </c>
      <c r="H16" s="18" t="s">
        <v>12</v>
      </c>
    </row>
    <row r="17" spans="1:8" ht="25.5" x14ac:dyDescent="0.2">
      <c r="A17" s="24">
        <v>11</v>
      </c>
      <c r="B17" s="25" t="s">
        <v>501</v>
      </c>
      <c r="C17" s="25" t="s">
        <v>502</v>
      </c>
      <c r="D17" s="25" t="s">
        <v>503</v>
      </c>
      <c r="E17" s="26">
        <v>1000</v>
      </c>
      <c r="F17" s="27">
        <v>17.5685</v>
      </c>
      <c r="G17" s="28">
        <v>6.4744800000000003E-3</v>
      </c>
      <c r="H17" s="18" t="s">
        <v>12</v>
      </c>
    </row>
    <row r="18" spans="1:8" x14ac:dyDescent="0.2">
      <c r="A18" s="24">
        <v>12</v>
      </c>
      <c r="B18" s="25" t="s">
        <v>504</v>
      </c>
      <c r="C18" s="25" t="s">
        <v>505</v>
      </c>
      <c r="D18" s="25" t="s">
        <v>506</v>
      </c>
      <c r="E18" s="26">
        <v>4000</v>
      </c>
      <c r="F18" s="27">
        <v>17.494</v>
      </c>
      <c r="G18" s="28">
        <v>6.4470200000000004E-3</v>
      </c>
      <c r="H18" s="18" t="s">
        <v>12</v>
      </c>
    </row>
    <row r="19" spans="1:8" x14ac:dyDescent="0.2">
      <c r="A19" s="24">
        <v>13</v>
      </c>
      <c r="B19" s="25" t="s">
        <v>507</v>
      </c>
      <c r="C19" s="25" t="s">
        <v>508</v>
      </c>
      <c r="D19" s="25" t="s">
        <v>509</v>
      </c>
      <c r="E19" s="26">
        <v>2500</v>
      </c>
      <c r="F19" s="27">
        <v>14.012499999999999</v>
      </c>
      <c r="G19" s="28">
        <v>5.1639900000000002E-3</v>
      </c>
      <c r="H19" s="18" t="s">
        <v>12</v>
      </c>
    </row>
    <row r="20" spans="1:8" x14ac:dyDescent="0.2">
      <c r="A20" s="24">
        <v>14</v>
      </c>
      <c r="B20" s="25" t="s">
        <v>510</v>
      </c>
      <c r="C20" s="25" t="s">
        <v>511</v>
      </c>
      <c r="D20" s="25" t="s">
        <v>512</v>
      </c>
      <c r="E20" s="26">
        <v>2000</v>
      </c>
      <c r="F20" s="27">
        <v>14</v>
      </c>
      <c r="G20" s="28">
        <v>5.1593899999999998E-3</v>
      </c>
      <c r="H20" s="18" t="s">
        <v>12</v>
      </c>
    </row>
    <row r="21" spans="1:8" x14ac:dyDescent="0.2">
      <c r="A21" s="24">
        <v>15</v>
      </c>
      <c r="B21" s="25" t="s">
        <v>513</v>
      </c>
      <c r="C21" s="25" t="s">
        <v>514</v>
      </c>
      <c r="D21" s="25" t="s">
        <v>515</v>
      </c>
      <c r="E21" s="26">
        <v>160</v>
      </c>
      <c r="F21" s="27">
        <v>13.7248</v>
      </c>
      <c r="G21" s="28">
        <v>5.0579700000000002E-3</v>
      </c>
      <c r="H21" s="18" t="s">
        <v>12</v>
      </c>
    </row>
    <row r="22" spans="1:8" x14ac:dyDescent="0.2">
      <c r="A22" s="24">
        <v>16</v>
      </c>
      <c r="B22" s="25" t="s">
        <v>516</v>
      </c>
      <c r="C22" s="25" t="s">
        <v>517</v>
      </c>
      <c r="D22" s="25" t="s">
        <v>488</v>
      </c>
      <c r="E22" s="26">
        <v>5000</v>
      </c>
      <c r="F22" s="27">
        <v>13.35</v>
      </c>
      <c r="G22" s="28">
        <v>4.91984E-3</v>
      </c>
      <c r="H22" s="18" t="s">
        <v>12</v>
      </c>
    </row>
    <row r="23" spans="1:8" ht="25.5" x14ac:dyDescent="0.2">
      <c r="A23" s="24">
        <v>17</v>
      </c>
      <c r="B23" s="25" t="s">
        <v>518</v>
      </c>
      <c r="C23" s="25" t="s">
        <v>519</v>
      </c>
      <c r="D23" s="25" t="s">
        <v>520</v>
      </c>
      <c r="E23" s="26">
        <v>2000</v>
      </c>
      <c r="F23" s="27">
        <v>13.195</v>
      </c>
      <c r="G23" s="28">
        <v>4.8627200000000001E-3</v>
      </c>
      <c r="H23" s="18" t="s">
        <v>12</v>
      </c>
    </row>
    <row r="24" spans="1:8" ht="25.5" x14ac:dyDescent="0.2">
      <c r="A24" s="24">
        <v>18</v>
      </c>
      <c r="B24" s="25" t="s">
        <v>521</v>
      </c>
      <c r="C24" s="25" t="s">
        <v>522</v>
      </c>
      <c r="D24" s="25" t="s">
        <v>523</v>
      </c>
      <c r="E24" s="26">
        <v>125</v>
      </c>
      <c r="F24" s="27">
        <v>13.1520625</v>
      </c>
      <c r="G24" s="28">
        <v>4.8469000000000003E-3</v>
      </c>
      <c r="H24" s="18" t="s">
        <v>12</v>
      </c>
    </row>
    <row r="25" spans="1:8" ht="25.5" x14ac:dyDescent="0.2">
      <c r="A25" s="24">
        <v>19</v>
      </c>
      <c r="B25" s="25" t="s">
        <v>524</v>
      </c>
      <c r="C25" s="25" t="s">
        <v>525</v>
      </c>
      <c r="D25" s="25" t="s">
        <v>503</v>
      </c>
      <c r="E25" s="26">
        <v>250</v>
      </c>
      <c r="F25" s="27">
        <v>13.00375</v>
      </c>
      <c r="G25" s="28">
        <v>4.7922399999999997E-3</v>
      </c>
      <c r="H25" s="18" t="s">
        <v>12</v>
      </c>
    </row>
    <row r="26" spans="1:8" x14ac:dyDescent="0.2">
      <c r="A26" s="24">
        <v>20</v>
      </c>
      <c r="B26" s="25" t="s">
        <v>526</v>
      </c>
      <c r="C26" s="25" t="s">
        <v>527</v>
      </c>
      <c r="D26" s="25" t="s">
        <v>509</v>
      </c>
      <c r="E26" s="26">
        <v>900</v>
      </c>
      <c r="F26" s="27">
        <v>12.6981</v>
      </c>
      <c r="G26" s="28">
        <v>4.6795999999999999E-3</v>
      </c>
      <c r="H26" s="18" t="s">
        <v>12</v>
      </c>
    </row>
    <row r="27" spans="1:8" x14ac:dyDescent="0.2">
      <c r="A27" s="24">
        <v>21</v>
      </c>
      <c r="B27" s="25" t="s">
        <v>528</v>
      </c>
      <c r="C27" s="25" t="s">
        <v>529</v>
      </c>
      <c r="D27" s="25" t="s">
        <v>530</v>
      </c>
      <c r="E27" s="26">
        <v>2000</v>
      </c>
      <c r="F27" s="27">
        <v>12.661</v>
      </c>
      <c r="G27" s="28">
        <v>4.6659300000000004E-3</v>
      </c>
      <c r="H27" s="18" t="s">
        <v>12</v>
      </c>
    </row>
    <row r="28" spans="1:8" x14ac:dyDescent="0.2">
      <c r="A28" s="24">
        <v>22</v>
      </c>
      <c r="B28" s="25" t="s">
        <v>531</v>
      </c>
      <c r="C28" s="25" t="s">
        <v>532</v>
      </c>
      <c r="D28" s="25" t="s">
        <v>515</v>
      </c>
      <c r="E28" s="26">
        <v>100</v>
      </c>
      <c r="F28" s="27">
        <v>11.9474</v>
      </c>
      <c r="G28" s="28">
        <v>4.4029500000000001E-3</v>
      </c>
      <c r="H28" s="18" t="s">
        <v>12</v>
      </c>
    </row>
    <row r="29" spans="1:8" ht="25.5" x14ac:dyDescent="0.2">
      <c r="A29" s="24">
        <v>23</v>
      </c>
      <c r="B29" s="25" t="s">
        <v>533</v>
      </c>
      <c r="C29" s="25" t="s">
        <v>534</v>
      </c>
      <c r="D29" s="25" t="s">
        <v>535</v>
      </c>
      <c r="E29" s="26">
        <v>320</v>
      </c>
      <c r="F29" s="27">
        <v>11.06992</v>
      </c>
      <c r="G29" s="28">
        <v>4.0795700000000002E-3</v>
      </c>
      <c r="H29" s="18" t="s">
        <v>12</v>
      </c>
    </row>
    <row r="30" spans="1:8" ht="25.5" x14ac:dyDescent="0.2">
      <c r="A30" s="24">
        <v>24</v>
      </c>
      <c r="B30" s="25" t="s">
        <v>536</v>
      </c>
      <c r="C30" s="25" t="s">
        <v>537</v>
      </c>
      <c r="D30" s="25" t="s">
        <v>523</v>
      </c>
      <c r="E30" s="26">
        <v>450</v>
      </c>
      <c r="F30" s="27">
        <v>10.428974999999999</v>
      </c>
      <c r="G30" s="28">
        <v>3.84337E-3</v>
      </c>
      <c r="H30" s="18" t="s">
        <v>12</v>
      </c>
    </row>
    <row r="31" spans="1:8" x14ac:dyDescent="0.2">
      <c r="A31" s="24">
        <v>25</v>
      </c>
      <c r="B31" s="25" t="s">
        <v>538</v>
      </c>
      <c r="C31" s="25" t="s">
        <v>539</v>
      </c>
      <c r="D31" s="25" t="s">
        <v>540</v>
      </c>
      <c r="E31" s="26">
        <v>2000</v>
      </c>
      <c r="F31" s="27">
        <v>9.0950000000000006</v>
      </c>
      <c r="G31" s="28">
        <v>3.3517600000000001E-3</v>
      </c>
      <c r="H31" s="18" t="s">
        <v>12</v>
      </c>
    </row>
    <row r="32" spans="1:8" x14ac:dyDescent="0.2">
      <c r="A32" s="24">
        <v>26</v>
      </c>
      <c r="B32" s="25" t="s">
        <v>541</v>
      </c>
      <c r="C32" s="25" t="s">
        <v>542</v>
      </c>
      <c r="D32" s="25" t="s">
        <v>480</v>
      </c>
      <c r="E32" s="26">
        <v>4000</v>
      </c>
      <c r="F32" s="27">
        <v>8.8808000000000007</v>
      </c>
      <c r="G32" s="28">
        <v>3.2728200000000001E-3</v>
      </c>
      <c r="H32" s="18" t="s">
        <v>12</v>
      </c>
    </row>
    <row r="33" spans="1:8" x14ac:dyDescent="0.2">
      <c r="A33" s="24">
        <v>27</v>
      </c>
      <c r="B33" s="25" t="s">
        <v>545</v>
      </c>
      <c r="C33" s="38" t="s">
        <v>676</v>
      </c>
      <c r="D33" s="25" t="s">
        <v>485</v>
      </c>
      <c r="E33" s="26">
        <v>218</v>
      </c>
      <c r="F33" s="27">
        <v>2.5923470000000002</v>
      </c>
      <c r="G33" s="28">
        <v>9.5534999999999999E-4</v>
      </c>
      <c r="H33" s="18" t="s">
        <v>12</v>
      </c>
    </row>
    <row r="34" spans="1:8" x14ac:dyDescent="0.2">
      <c r="A34" s="24">
        <v>28</v>
      </c>
      <c r="B34" s="25" t="s">
        <v>543</v>
      </c>
      <c r="C34" s="25" t="s">
        <v>544</v>
      </c>
      <c r="D34" s="25" t="s">
        <v>512</v>
      </c>
      <c r="E34" s="26">
        <v>400</v>
      </c>
      <c r="F34" s="27">
        <v>1.04</v>
      </c>
      <c r="G34" s="28">
        <v>3.8327000000000001E-4</v>
      </c>
      <c r="H34" s="18" t="s">
        <v>12</v>
      </c>
    </row>
    <row r="35" spans="1:8" x14ac:dyDescent="0.2">
      <c r="A35" s="16"/>
      <c r="B35" s="16"/>
      <c r="C35" s="17" t="s">
        <v>11</v>
      </c>
      <c r="D35" s="16"/>
      <c r="E35" s="16" t="s">
        <v>12</v>
      </c>
      <c r="F35" s="23">
        <f>SUM(F7:F34)</f>
        <v>562.85194050000018</v>
      </c>
      <c r="G35" s="20">
        <f>SUM(G7:G34)</f>
        <v>0.20742649672845642</v>
      </c>
      <c r="H35" s="18" t="s">
        <v>12</v>
      </c>
    </row>
    <row r="36" spans="1:8" x14ac:dyDescent="0.2">
      <c r="A36" s="16"/>
      <c r="B36" s="16"/>
      <c r="C36" s="21"/>
      <c r="D36" s="16"/>
      <c r="E36" s="16"/>
      <c r="F36" s="22"/>
      <c r="G36" s="22"/>
      <c r="H36" s="18" t="s">
        <v>12</v>
      </c>
    </row>
    <row r="37" spans="1:8" x14ac:dyDescent="0.2">
      <c r="A37" s="16"/>
      <c r="B37" s="16"/>
      <c r="C37" s="17" t="s">
        <v>14</v>
      </c>
      <c r="D37" s="16"/>
      <c r="E37" s="16"/>
      <c r="F37" s="16"/>
      <c r="G37" s="16"/>
      <c r="H37" s="18" t="s">
        <v>12</v>
      </c>
    </row>
    <row r="38" spans="1:8" x14ac:dyDescent="0.2">
      <c r="A38" s="16"/>
      <c r="B38" s="16"/>
      <c r="C38" s="17" t="s">
        <v>11</v>
      </c>
      <c r="D38" s="16"/>
      <c r="E38" s="16" t="s">
        <v>12</v>
      </c>
      <c r="F38" s="19" t="s">
        <v>13</v>
      </c>
      <c r="G38" s="20">
        <v>0</v>
      </c>
      <c r="H38" s="18" t="s">
        <v>12</v>
      </c>
    </row>
    <row r="39" spans="1:8" x14ac:dyDescent="0.2">
      <c r="A39" s="16"/>
      <c r="B39" s="16"/>
      <c r="C39" s="21"/>
      <c r="D39" s="16"/>
      <c r="E39" s="16"/>
      <c r="F39" s="22"/>
      <c r="G39" s="22"/>
      <c r="H39" s="18" t="s">
        <v>12</v>
      </c>
    </row>
    <row r="40" spans="1:8" x14ac:dyDescent="0.2">
      <c r="A40" s="16"/>
      <c r="B40" s="16"/>
      <c r="C40" s="17" t="s">
        <v>15</v>
      </c>
      <c r="D40" s="16"/>
      <c r="E40" s="16"/>
      <c r="F40" s="16"/>
      <c r="G40" s="16"/>
      <c r="H40" s="18" t="s">
        <v>12</v>
      </c>
    </row>
    <row r="41" spans="1:8" x14ac:dyDescent="0.2">
      <c r="A41" s="16"/>
      <c r="B41" s="16"/>
      <c r="C41" s="17" t="s">
        <v>11</v>
      </c>
      <c r="D41" s="16"/>
      <c r="E41" s="16" t="s">
        <v>12</v>
      </c>
      <c r="F41" s="19" t="s">
        <v>13</v>
      </c>
      <c r="G41" s="20">
        <v>0</v>
      </c>
      <c r="H41" s="18" t="s">
        <v>12</v>
      </c>
    </row>
    <row r="42" spans="1:8" x14ac:dyDescent="0.2">
      <c r="A42" s="16"/>
      <c r="B42" s="16"/>
      <c r="C42" s="21"/>
      <c r="D42" s="16"/>
      <c r="E42" s="16"/>
      <c r="F42" s="22"/>
      <c r="G42" s="22"/>
      <c r="H42" s="18" t="s">
        <v>12</v>
      </c>
    </row>
    <row r="43" spans="1:8" x14ac:dyDescent="0.2">
      <c r="A43" s="16"/>
      <c r="B43" s="16"/>
      <c r="C43" s="17" t="s">
        <v>16</v>
      </c>
      <c r="D43" s="16"/>
      <c r="E43" s="16"/>
      <c r="F43" s="16"/>
      <c r="G43" s="16"/>
      <c r="H43" s="18" t="s">
        <v>12</v>
      </c>
    </row>
    <row r="44" spans="1:8" x14ac:dyDescent="0.2">
      <c r="A44" s="16"/>
      <c r="B44" s="16"/>
      <c r="C44" s="17" t="s">
        <v>11</v>
      </c>
      <c r="D44" s="16"/>
      <c r="E44" s="16" t="s">
        <v>12</v>
      </c>
      <c r="F44" s="19" t="s">
        <v>13</v>
      </c>
      <c r="G44" s="20">
        <v>0</v>
      </c>
      <c r="H44" s="18" t="s">
        <v>12</v>
      </c>
    </row>
    <row r="45" spans="1:8" x14ac:dyDescent="0.2">
      <c r="A45" s="16"/>
      <c r="B45" s="16"/>
      <c r="C45" s="21"/>
      <c r="D45" s="16"/>
      <c r="E45" s="16"/>
      <c r="F45" s="22"/>
      <c r="G45" s="22"/>
      <c r="H45" s="18" t="s">
        <v>12</v>
      </c>
    </row>
    <row r="46" spans="1:8" x14ac:dyDescent="0.2">
      <c r="A46" s="16"/>
      <c r="B46" s="16"/>
      <c r="C46" s="17" t="s">
        <v>17</v>
      </c>
      <c r="D46" s="16"/>
      <c r="E46" s="16"/>
      <c r="F46" s="22"/>
      <c r="G46" s="22"/>
      <c r="H46" s="18" t="s">
        <v>12</v>
      </c>
    </row>
    <row r="47" spans="1:8" x14ac:dyDescent="0.2">
      <c r="A47" s="16"/>
      <c r="B47" s="16"/>
      <c r="C47" s="17" t="s">
        <v>11</v>
      </c>
      <c r="D47" s="16"/>
      <c r="E47" s="16" t="s">
        <v>12</v>
      </c>
      <c r="F47" s="19" t="s">
        <v>13</v>
      </c>
      <c r="G47" s="20">
        <v>0</v>
      </c>
      <c r="H47" s="18" t="s">
        <v>12</v>
      </c>
    </row>
    <row r="48" spans="1:8" x14ac:dyDescent="0.2">
      <c r="A48" s="16"/>
      <c r="B48" s="16"/>
      <c r="C48" s="21"/>
      <c r="D48" s="16"/>
      <c r="E48" s="16"/>
      <c r="F48" s="22"/>
      <c r="G48" s="22"/>
      <c r="H48" s="18" t="s">
        <v>12</v>
      </c>
    </row>
    <row r="49" spans="1:8" x14ac:dyDescent="0.2">
      <c r="A49" s="16"/>
      <c r="B49" s="16"/>
      <c r="C49" s="17" t="s">
        <v>18</v>
      </c>
      <c r="D49" s="16"/>
      <c r="E49" s="16"/>
      <c r="F49" s="22"/>
      <c r="G49" s="22"/>
      <c r="H49" s="18" t="s">
        <v>12</v>
      </c>
    </row>
    <row r="50" spans="1:8" x14ac:dyDescent="0.2">
      <c r="A50" s="16"/>
      <c r="B50" s="16"/>
      <c r="C50" s="17" t="s">
        <v>11</v>
      </c>
      <c r="D50" s="16"/>
      <c r="E50" s="16" t="s">
        <v>12</v>
      </c>
      <c r="F50" s="19" t="s">
        <v>13</v>
      </c>
      <c r="G50" s="20">
        <v>0</v>
      </c>
      <c r="H50" s="18" t="s">
        <v>12</v>
      </c>
    </row>
    <row r="51" spans="1:8" x14ac:dyDescent="0.2">
      <c r="A51" s="16"/>
      <c r="B51" s="16"/>
      <c r="C51" s="21"/>
      <c r="D51" s="16"/>
      <c r="E51" s="16"/>
      <c r="F51" s="22"/>
      <c r="G51" s="22"/>
      <c r="H51" s="18" t="s">
        <v>12</v>
      </c>
    </row>
    <row r="52" spans="1:8" x14ac:dyDescent="0.2">
      <c r="A52" s="16"/>
      <c r="B52" s="16"/>
      <c r="C52" s="17" t="s">
        <v>19</v>
      </c>
      <c r="D52" s="16"/>
      <c r="E52" s="16"/>
      <c r="F52" s="23">
        <f>F35</f>
        <v>562.85194050000018</v>
      </c>
      <c r="G52" s="20">
        <f>G35</f>
        <v>0.20742649672845642</v>
      </c>
      <c r="H52" s="18" t="s">
        <v>12</v>
      </c>
    </row>
    <row r="53" spans="1:8" x14ac:dyDescent="0.2">
      <c r="A53" s="16"/>
      <c r="B53" s="16"/>
      <c r="C53" s="21"/>
      <c r="D53" s="16"/>
      <c r="E53" s="16"/>
      <c r="F53" s="22"/>
      <c r="G53" s="22"/>
      <c r="H53" s="18" t="s">
        <v>12</v>
      </c>
    </row>
    <row r="54" spans="1:8" x14ac:dyDescent="0.2">
      <c r="A54" s="16"/>
      <c r="B54" s="16"/>
      <c r="C54" s="17" t="s">
        <v>20</v>
      </c>
      <c r="D54" s="16"/>
      <c r="E54" s="16"/>
      <c r="F54" s="22"/>
      <c r="G54" s="22"/>
      <c r="H54" s="18" t="s">
        <v>12</v>
      </c>
    </row>
    <row r="55" spans="1:8" x14ac:dyDescent="0.2">
      <c r="A55" s="16"/>
      <c r="B55" s="16"/>
      <c r="C55" s="17" t="s">
        <v>10</v>
      </c>
      <c r="D55" s="16"/>
      <c r="E55" s="16"/>
      <c r="F55" s="22"/>
      <c r="G55" s="22"/>
      <c r="H55" s="18" t="s">
        <v>12</v>
      </c>
    </row>
    <row r="56" spans="1:8" x14ac:dyDescent="0.2">
      <c r="A56" s="16"/>
      <c r="B56" s="16"/>
      <c r="C56" s="17" t="s">
        <v>11</v>
      </c>
      <c r="D56" s="16"/>
      <c r="E56" s="16" t="s">
        <v>12</v>
      </c>
      <c r="F56" s="19" t="s">
        <v>13</v>
      </c>
      <c r="G56" s="20">
        <v>0</v>
      </c>
      <c r="H56" s="18" t="s">
        <v>12</v>
      </c>
    </row>
    <row r="57" spans="1:8" x14ac:dyDescent="0.2">
      <c r="A57" s="16"/>
      <c r="B57" s="16"/>
      <c r="C57" s="21"/>
      <c r="D57" s="16"/>
      <c r="E57" s="16"/>
      <c r="F57" s="22"/>
      <c r="G57" s="22"/>
      <c r="H57" s="18" t="s">
        <v>12</v>
      </c>
    </row>
    <row r="58" spans="1:8" x14ac:dyDescent="0.2">
      <c r="A58" s="16"/>
      <c r="B58" s="16"/>
      <c r="C58" s="17" t="s">
        <v>71</v>
      </c>
      <c r="D58" s="16"/>
      <c r="E58" s="16"/>
      <c r="F58" s="16"/>
      <c r="G58" s="16"/>
      <c r="H58" s="18" t="s">
        <v>12</v>
      </c>
    </row>
    <row r="59" spans="1:8" x14ac:dyDescent="0.2">
      <c r="A59" s="16"/>
      <c r="B59" s="16"/>
      <c r="C59" s="17" t="s">
        <v>11</v>
      </c>
      <c r="D59" s="16"/>
      <c r="E59" s="16" t="s">
        <v>12</v>
      </c>
      <c r="F59" s="19" t="s">
        <v>13</v>
      </c>
      <c r="G59" s="20">
        <v>0</v>
      </c>
      <c r="H59" s="18" t="s">
        <v>12</v>
      </c>
    </row>
    <row r="60" spans="1:8" x14ac:dyDescent="0.2">
      <c r="A60" s="16"/>
      <c r="B60" s="16"/>
      <c r="C60" s="21"/>
      <c r="D60" s="16"/>
      <c r="E60" s="16"/>
      <c r="F60" s="22"/>
      <c r="G60" s="22"/>
      <c r="H60" s="18" t="s">
        <v>12</v>
      </c>
    </row>
    <row r="61" spans="1:8" x14ac:dyDescent="0.2">
      <c r="A61" s="16"/>
      <c r="B61" s="16"/>
      <c r="C61" s="17" t="s">
        <v>72</v>
      </c>
      <c r="D61" s="16"/>
      <c r="E61" s="16"/>
      <c r="F61" s="16"/>
      <c r="G61" s="16"/>
      <c r="H61" s="18" t="s">
        <v>12</v>
      </c>
    </row>
    <row r="62" spans="1:8" ht="25.5" x14ac:dyDescent="0.2">
      <c r="A62" s="24">
        <v>1</v>
      </c>
      <c r="B62" s="25" t="s">
        <v>73</v>
      </c>
      <c r="C62" s="25" t="s">
        <v>74</v>
      </c>
      <c r="D62" s="25" t="s">
        <v>75</v>
      </c>
      <c r="E62" s="26">
        <v>600000</v>
      </c>
      <c r="F62" s="27">
        <v>610.11239999999998</v>
      </c>
      <c r="G62" s="28">
        <v>0.22484329</v>
      </c>
      <c r="H62" s="18">
        <v>6.9657</v>
      </c>
    </row>
    <row r="63" spans="1:8" x14ac:dyDescent="0.2">
      <c r="A63" s="24">
        <v>2</v>
      </c>
      <c r="B63" s="25" t="s">
        <v>78</v>
      </c>
      <c r="C63" s="25" t="s">
        <v>79</v>
      </c>
      <c r="D63" s="25" t="s">
        <v>75</v>
      </c>
      <c r="E63" s="26">
        <v>500000</v>
      </c>
      <c r="F63" s="27">
        <v>512.79999999999995</v>
      </c>
      <c r="G63" s="28">
        <v>0.18898097999999999</v>
      </c>
      <c r="H63" s="18">
        <v>7.2144000000000004</v>
      </c>
    </row>
    <row r="64" spans="1:8" x14ac:dyDescent="0.2">
      <c r="A64" s="16"/>
      <c r="B64" s="16"/>
      <c r="C64" s="17" t="s">
        <v>11</v>
      </c>
      <c r="D64" s="16"/>
      <c r="E64" s="16" t="s">
        <v>12</v>
      </c>
      <c r="F64" s="23">
        <v>1122.9123999999999</v>
      </c>
      <c r="G64" s="20">
        <v>0.41382426999999999</v>
      </c>
      <c r="H64" s="18" t="s">
        <v>12</v>
      </c>
    </row>
    <row r="65" spans="1:8" x14ac:dyDescent="0.2">
      <c r="A65" s="16"/>
      <c r="B65" s="16"/>
      <c r="C65" s="21"/>
      <c r="D65" s="16"/>
      <c r="E65" s="16"/>
      <c r="F65" s="22"/>
      <c r="G65" s="22"/>
      <c r="H65" s="18" t="s">
        <v>12</v>
      </c>
    </row>
    <row r="66" spans="1:8" x14ac:dyDescent="0.2">
      <c r="A66" s="16"/>
      <c r="B66" s="16"/>
      <c r="C66" s="17" t="s">
        <v>86</v>
      </c>
      <c r="D66" s="16"/>
      <c r="E66" s="16"/>
      <c r="F66" s="22"/>
      <c r="G66" s="22"/>
      <c r="H66" s="18" t="s">
        <v>12</v>
      </c>
    </row>
    <row r="67" spans="1:8" x14ac:dyDescent="0.2">
      <c r="A67" s="16"/>
      <c r="B67" s="16"/>
      <c r="C67" s="17" t="s">
        <v>11</v>
      </c>
      <c r="D67" s="16"/>
      <c r="E67" s="16" t="s">
        <v>12</v>
      </c>
      <c r="F67" s="19" t="s">
        <v>13</v>
      </c>
      <c r="G67" s="20">
        <v>0</v>
      </c>
      <c r="H67" s="18" t="s">
        <v>12</v>
      </c>
    </row>
    <row r="68" spans="1:8" x14ac:dyDescent="0.2">
      <c r="A68" s="16"/>
      <c r="B68" s="16"/>
      <c r="C68" s="21"/>
      <c r="D68" s="16"/>
      <c r="E68" s="16"/>
      <c r="F68" s="22"/>
      <c r="G68" s="22"/>
      <c r="H68" s="18" t="s">
        <v>12</v>
      </c>
    </row>
    <row r="69" spans="1:8" x14ac:dyDescent="0.2">
      <c r="A69" s="16"/>
      <c r="B69" s="16"/>
      <c r="C69" s="17" t="s">
        <v>87</v>
      </c>
      <c r="D69" s="16"/>
      <c r="E69" s="16"/>
      <c r="F69" s="23">
        <v>1122.9123999999999</v>
      </c>
      <c r="G69" s="20">
        <v>0.41382426999999999</v>
      </c>
      <c r="H69" s="18" t="s">
        <v>12</v>
      </c>
    </row>
    <row r="70" spans="1:8" x14ac:dyDescent="0.2">
      <c r="A70" s="16"/>
      <c r="B70" s="16"/>
      <c r="C70" s="21"/>
      <c r="D70" s="16"/>
      <c r="E70" s="16"/>
      <c r="F70" s="22"/>
      <c r="G70" s="22"/>
      <c r="H70" s="18" t="s">
        <v>12</v>
      </c>
    </row>
    <row r="71" spans="1:8" x14ac:dyDescent="0.2">
      <c r="A71" s="16"/>
      <c r="B71" s="16"/>
      <c r="C71" s="17" t="s">
        <v>88</v>
      </c>
      <c r="D71" s="16"/>
      <c r="E71" s="16"/>
      <c r="F71" s="22"/>
      <c r="G71" s="22"/>
      <c r="H71" s="18" t="s">
        <v>12</v>
      </c>
    </row>
    <row r="72" spans="1:8" x14ac:dyDescent="0.2">
      <c r="A72" s="16"/>
      <c r="B72" s="16"/>
      <c r="C72" s="17" t="s">
        <v>89</v>
      </c>
      <c r="D72" s="16"/>
      <c r="E72" s="16"/>
      <c r="F72" s="22"/>
      <c r="G72" s="22"/>
      <c r="H72" s="18" t="s">
        <v>12</v>
      </c>
    </row>
    <row r="73" spans="1:8" x14ac:dyDescent="0.2">
      <c r="A73" s="16"/>
      <c r="B73" s="16"/>
      <c r="C73" s="17" t="s">
        <v>11</v>
      </c>
      <c r="D73" s="16"/>
      <c r="E73" s="16" t="s">
        <v>12</v>
      </c>
      <c r="F73" s="19" t="s">
        <v>13</v>
      </c>
      <c r="G73" s="20">
        <v>0</v>
      </c>
      <c r="H73" s="18" t="s">
        <v>12</v>
      </c>
    </row>
    <row r="74" spans="1:8" x14ac:dyDescent="0.2">
      <c r="A74" s="16"/>
      <c r="B74" s="16"/>
      <c r="C74" s="21"/>
      <c r="D74" s="16"/>
      <c r="E74" s="16"/>
      <c r="F74" s="22"/>
      <c r="G74" s="22"/>
      <c r="H74" s="18" t="s">
        <v>12</v>
      </c>
    </row>
    <row r="75" spans="1:8" x14ac:dyDescent="0.2">
      <c r="A75" s="16"/>
      <c r="B75" s="16"/>
      <c r="C75" s="17" t="s">
        <v>90</v>
      </c>
      <c r="D75" s="16"/>
      <c r="E75" s="16"/>
      <c r="F75" s="22"/>
      <c r="G75" s="22"/>
      <c r="H75" s="18" t="s">
        <v>12</v>
      </c>
    </row>
    <row r="76" spans="1:8" x14ac:dyDescent="0.2">
      <c r="A76" s="16"/>
      <c r="B76" s="16"/>
      <c r="C76" s="17" t="s">
        <v>11</v>
      </c>
      <c r="D76" s="16"/>
      <c r="E76" s="16" t="s">
        <v>12</v>
      </c>
      <c r="F76" s="19" t="s">
        <v>13</v>
      </c>
      <c r="G76" s="20">
        <v>0</v>
      </c>
      <c r="H76" s="18" t="s">
        <v>12</v>
      </c>
    </row>
    <row r="77" spans="1:8" x14ac:dyDescent="0.2">
      <c r="A77" s="16"/>
      <c r="B77" s="16"/>
      <c r="C77" s="21"/>
      <c r="D77" s="16"/>
      <c r="E77" s="16"/>
      <c r="F77" s="22"/>
      <c r="G77" s="22"/>
      <c r="H77" s="18" t="s">
        <v>12</v>
      </c>
    </row>
    <row r="78" spans="1:8" x14ac:dyDescent="0.2">
      <c r="A78" s="16"/>
      <c r="B78" s="16"/>
      <c r="C78" s="17" t="s">
        <v>91</v>
      </c>
      <c r="D78" s="16"/>
      <c r="E78" s="16"/>
      <c r="F78" s="22"/>
      <c r="G78" s="22"/>
      <c r="H78" s="18" t="s">
        <v>12</v>
      </c>
    </row>
    <row r="79" spans="1:8" x14ac:dyDescent="0.2">
      <c r="A79" s="16"/>
      <c r="B79" s="16"/>
      <c r="C79" s="17" t="s">
        <v>11</v>
      </c>
      <c r="D79" s="16"/>
      <c r="E79" s="16" t="s">
        <v>12</v>
      </c>
      <c r="F79" s="19" t="s">
        <v>13</v>
      </c>
      <c r="G79" s="20">
        <v>0</v>
      </c>
      <c r="H79" s="18" t="s">
        <v>12</v>
      </c>
    </row>
    <row r="80" spans="1:8" x14ac:dyDescent="0.2">
      <c r="A80" s="16"/>
      <c r="B80" s="16"/>
      <c r="C80" s="21"/>
      <c r="D80" s="16"/>
      <c r="E80" s="16"/>
      <c r="F80" s="22"/>
      <c r="G80" s="22"/>
      <c r="H80" s="18" t="s">
        <v>12</v>
      </c>
    </row>
    <row r="81" spans="1:17" x14ac:dyDescent="0.2">
      <c r="A81" s="16"/>
      <c r="B81" s="16"/>
      <c r="C81" s="17" t="s">
        <v>92</v>
      </c>
      <c r="D81" s="16"/>
      <c r="E81" s="16"/>
      <c r="F81" s="22"/>
      <c r="G81" s="22"/>
      <c r="H81" s="18" t="s">
        <v>12</v>
      </c>
    </row>
    <row r="82" spans="1:17" x14ac:dyDescent="0.2">
      <c r="A82" s="24">
        <v>1</v>
      </c>
      <c r="B82" s="25"/>
      <c r="C82" s="25" t="s">
        <v>93</v>
      </c>
      <c r="D82" s="25"/>
      <c r="E82" s="29"/>
      <c r="F82" s="27">
        <v>985.73048600300001</v>
      </c>
      <c r="G82" s="28">
        <v>0.36326893999999998</v>
      </c>
      <c r="H82" s="18">
        <v>6.25</v>
      </c>
    </row>
    <row r="83" spans="1:17" x14ac:dyDescent="0.2">
      <c r="A83" s="16"/>
      <c r="B83" s="16"/>
      <c r="C83" s="17" t="s">
        <v>11</v>
      </c>
      <c r="D83" s="16"/>
      <c r="E83" s="16" t="s">
        <v>12</v>
      </c>
      <c r="F83" s="23">
        <v>985.73048600300001</v>
      </c>
      <c r="G83" s="20">
        <v>0.36326893999999998</v>
      </c>
      <c r="H83" s="18" t="s">
        <v>12</v>
      </c>
    </row>
    <row r="84" spans="1:17" x14ac:dyDescent="0.2">
      <c r="A84" s="16"/>
      <c r="B84" s="16"/>
      <c r="C84" s="21"/>
      <c r="D84" s="16"/>
      <c r="E84" s="16"/>
      <c r="F84" s="22"/>
      <c r="G84" s="22"/>
      <c r="H84" s="18" t="s">
        <v>12</v>
      </c>
    </row>
    <row r="85" spans="1:17" x14ac:dyDescent="0.2">
      <c r="A85" s="16"/>
      <c r="B85" s="16"/>
      <c r="C85" s="17" t="s">
        <v>94</v>
      </c>
      <c r="D85" s="16"/>
      <c r="E85" s="16"/>
      <c r="F85" s="23">
        <v>985.73048600300001</v>
      </c>
      <c r="G85" s="20">
        <v>0.36326893999999998</v>
      </c>
      <c r="H85" s="18" t="s">
        <v>12</v>
      </c>
    </row>
    <row r="86" spans="1:17" x14ac:dyDescent="0.2">
      <c r="A86" s="16"/>
      <c r="B86" s="16"/>
      <c r="C86" s="22"/>
      <c r="D86" s="16"/>
      <c r="E86" s="16"/>
      <c r="F86" s="16"/>
      <c r="G86" s="16"/>
      <c r="H86" s="18" t="s">
        <v>12</v>
      </c>
    </row>
    <row r="87" spans="1:17" x14ac:dyDescent="0.2">
      <c r="A87" s="16"/>
      <c r="B87" s="16"/>
      <c r="C87" s="17" t="s">
        <v>95</v>
      </c>
      <c r="D87" s="16"/>
      <c r="E87" s="16"/>
      <c r="F87" s="16"/>
      <c r="G87" s="16"/>
      <c r="H87" s="18" t="s">
        <v>12</v>
      </c>
    </row>
    <row r="88" spans="1:17" x14ac:dyDescent="0.2">
      <c r="A88" s="16"/>
      <c r="B88" s="16"/>
      <c r="C88" s="17" t="s">
        <v>96</v>
      </c>
      <c r="D88" s="16"/>
      <c r="E88" s="16"/>
      <c r="F88" s="16"/>
      <c r="G88" s="16"/>
      <c r="H88" s="18" t="s">
        <v>12</v>
      </c>
    </row>
    <row r="89" spans="1:17" x14ac:dyDescent="0.2">
      <c r="A89" s="16"/>
      <c r="B89" s="16"/>
      <c r="C89" s="17" t="s">
        <v>11</v>
      </c>
      <c r="D89" s="16"/>
      <c r="E89" s="16" t="s">
        <v>12</v>
      </c>
      <c r="F89" s="19" t="s">
        <v>13</v>
      </c>
      <c r="G89" s="20">
        <v>0</v>
      </c>
      <c r="H89" s="18" t="s">
        <v>12</v>
      </c>
    </row>
    <row r="90" spans="1:17" x14ac:dyDescent="0.2">
      <c r="A90" s="30"/>
      <c r="B90" s="30"/>
      <c r="C90" s="31"/>
      <c r="D90" s="30"/>
      <c r="E90" s="30"/>
      <c r="F90" s="32"/>
      <c r="G90" s="32"/>
      <c r="H90" s="18" t="s">
        <v>12</v>
      </c>
    </row>
    <row r="91" spans="1:17" x14ac:dyDescent="0.2">
      <c r="A91" s="30"/>
      <c r="B91" s="30"/>
      <c r="C91" s="33" t="s">
        <v>569</v>
      </c>
      <c r="D91" s="30"/>
      <c r="E91" s="30"/>
      <c r="F91" s="32"/>
      <c r="G91" s="32"/>
      <c r="H91" s="34"/>
      <c r="K91" s="35"/>
      <c r="L91" s="35"/>
      <c r="M91" s="35"/>
      <c r="N91" s="35"/>
      <c r="O91" s="36"/>
      <c r="P91" s="36"/>
      <c r="Q91" s="36"/>
    </row>
    <row r="92" spans="1:17" ht="25.5" x14ac:dyDescent="0.2">
      <c r="A92" s="37">
        <v>1</v>
      </c>
      <c r="B92" s="38" t="s">
        <v>97</v>
      </c>
      <c r="C92" s="38" t="s">
        <v>98</v>
      </c>
      <c r="D92" s="38"/>
      <c r="E92" s="39">
        <v>76.796000000000006</v>
      </c>
      <c r="F92" s="34">
        <v>8.3505008380000003</v>
      </c>
      <c r="G92" s="40">
        <v>3.0773900000000002E-3</v>
      </c>
      <c r="H92" s="18"/>
    </row>
    <row r="93" spans="1:17" x14ac:dyDescent="0.2">
      <c r="A93" s="30"/>
      <c r="B93" s="30"/>
      <c r="C93" s="33" t="s">
        <v>11</v>
      </c>
      <c r="D93" s="30"/>
      <c r="E93" s="30" t="s">
        <v>12</v>
      </c>
      <c r="F93" s="41">
        <f>SUM(F92)</f>
        <v>8.3505008380000003</v>
      </c>
      <c r="G93" s="42">
        <f>SUM(G92)</f>
        <v>3.0773900000000002E-3</v>
      </c>
      <c r="H93" s="18" t="s">
        <v>12</v>
      </c>
    </row>
    <row r="94" spans="1:17" x14ac:dyDescent="0.2">
      <c r="A94" s="16"/>
      <c r="B94" s="16"/>
      <c r="C94" s="21"/>
      <c r="D94" s="16"/>
      <c r="E94" s="16"/>
      <c r="F94" s="22"/>
      <c r="G94" s="22"/>
      <c r="H94" s="18" t="s">
        <v>12</v>
      </c>
    </row>
    <row r="95" spans="1:17" x14ac:dyDescent="0.2">
      <c r="A95" s="16"/>
      <c r="B95" s="16"/>
      <c r="C95" s="17" t="s">
        <v>99</v>
      </c>
      <c r="D95" s="16"/>
      <c r="E95" s="16"/>
      <c r="F95" s="16"/>
      <c r="G95" s="16"/>
      <c r="H95" s="18" t="s">
        <v>12</v>
      </c>
    </row>
    <row r="96" spans="1:17" x14ac:dyDescent="0.2">
      <c r="A96" s="16"/>
      <c r="B96" s="16"/>
      <c r="C96" s="17" t="s">
        <v>100</v>
      </c>
      <c r="D96" s="16"/>
      <c r="E96" s="16"/>
      <c r="F96" s="16"/>
      <c r="G96" s="16"/>
      <c r="H96" s="18" t="s">
        <v>12</v>
      </c>
    </row>
    <row r="97" spans="1:8" x14ac:dyDescent="0.2">
      <c r="A97" s="16"/>
      <c r="B97" s="16"/>
      <c r="C97" s="17" t="s">
        <v>11</v>
      </c>
      <c r="D97" s="16"/>
      <c r="E97" s="16" t="s">
        <v>12</v>
      </c>
      <c r="F97" s="19" t="s">
        <v>13</v>
      </c>
      <c r="G97" s="20">
        <v>0</v>
      </c>
      <c r="H97" s="18" t="s">
        <v>12</v>
      </c>
    </row>
    <row r="98" spans="1:8" x14ac:dyDescent="0.2">
      <c r="A98" s="16"/>
      <c r="B98" s="16"/>
      <c r="C98" s="21"/>
      <c r="D98" s="16"/>
      <c r="E98" s="16"/>
      <c r="F98" s="22"/>
      <c r="G98" s="22"/>
      <c r="H98" s="18" t="s">
        <v>12</v>
      </c>
    </row>
    <row r="99" spans="1:8" x14ac:dyDescent="0.2">
      <c r="A99" s="16"/>
      <c r="B99" s="16"/>
      <c r="C99" s="17" t="s">
        <v>101</v>
      </c>
      <c r="D99" s="16"/>
      <c r="E99" s="16"/>
      <c r="F99" s="22"/>
      <c r="G99" s="22"/>
      <c r="H99" s="18" t="s">
        <v>12</v>
      </c>
    </row>
    <row r="100" spans="1:8" x14ac:dyDescent="0.2">
      <c r="A100" s="16"/>
      <c r="B100" s="16"/>
      <c r="C100" s="17" t="s">
        <v>11</v>
      </c>
      <c r="D100" s="16"/>
      <c r="E100" s="16" t="s">
        <v>12</v>
      </c>
      <c r="F100" s="19" t="s">
        <v>13</v>
      </c>
      <c r="G100" s="20">
        <v>0</v>
      </c>
      <c r="H100" s="18" t="s">
        <v>12</v>
      </c>
    </row>
    <row r="101" spans="1:8" x14ac:dyDescent="0.2">
      <c r="A101" s="16"/>
      <c r="B101" s="25"/>
      <c r="C101" s="25"/>
      <c r="D101" s="17"/>
      <c r="E101" s="16"/>
      <c r="F101" s="25"/>
      <c r="G101" s="29"/>
      <c r="H101" s="18" t="s">
        <v>12</v>
      </c>
    </row>
    <row r="102" spans="1:8" x14ac:dyDescent="0.2">
      <c r="A102" s="29"/>
      <c r="B102" s="25"/>
      <c r="C102" s="25" t="s">
        <v>102</v>
      </c>
      <c r="D102" s="25"/>
      <c r="E102" s="29"/>
      <c r="F102" s="27">
        <v>33.655297500000003</v>
      </c>
      <c r="G102" s="28">
        <v>1.240291E-2</v>
      </c>
      <c r="H102" s="18" t="s">
        <v>12</v>
      </c>
    </row>
    <row r="103" spans="1:8" x14ac:dyDescent="0.2">
      <c r="A103" s="21"/>
      <c r="B103" s="21"/>
      <c r="C103" s="17" t="s">
        <v>103</v>
      </c>
      <c r="D103" s="22"/>
      <c r="E103" s="22"/>
      <c r="F103" s="23">
        <f>F102+F93+F85+F69+F52</f>
        <v>2713.5006248410004</v>
      </c>
      <c r="G103" s="43">
        <f>G102+G93+G85+G69+G52</f>
        <v>1.0000000067284565</v>
      </c>
      <c r="H103" s="18" t="s">
        <v>12</v>
      </c>
    </row>
    <row r="104" spans="1:8" x14ac:dyDescent="0.2">
      <c r="A104" s="44"/>
      <c r="B104" s="44"/>
      <c r="C104" s="44"/>
      <c r="D104" s="45"/>
      <c r="E104" s="45"/>
      <c r="F104" s="45"/>
      <c r="G104" s="45"/>
    </row>
    <row r="105" spans="1:8" x14ac:dyDescent="0.2">
      <c r="A105" s="46"/>
      <c r="B105" s="151" t="s">
        <v>570</v>
      </c>
      <c r="C105" s="151"/>
      <c r="D105" s="151"/>
      <c r="E105" s="151"/>
      <c r="F105" s="151"/>
      <c r="G105" s="151"/>
      <c r="H105" s="151"/>
    </row>
    <row r="106" spans="1:8" x14ac:dyDescent="0.2">
      <c r="A106" s="46"/>
      <c r="B106" s="151" t="s">
        <v>571</v>
      </c>
      <c r="C106" s="151"/>
      <c r="D106" s="151"/>
      <c r="E106" s="151"/>
      <c r="F106" s="151"/>
      <c r="G106" s="151"/>
      <c r="H106" s="151"/>
    </row>
    <row r="107" spans="1:8" x14ac:dyDescent="0.2">
      <c r="A107" s="46"/>
      <c r="B107" s="151" t="s">
        <v>572</v>
      </c>
      <c r="C107" s="151"/>
      <c r="D107" s="151"/>
      <c r="E107" s="151"/>
      <c r="F107" s="151"/>
      <c r="G107" s="151"/>
      <c r="H107" s="151"/>
    </row>
    <row r="108" spans="1:8" x14ac:dyDescent="0.2">
      <c r="A108" s="48"/>
      <c r="B108" s="48"/>
      <c r="C108" s="48"/>
      <c r="D108" s="49"/>
      <c r="E108" s="49"/>
      <c r="F108" s="49"/>
      <c r="G108" s="49"/>
    </row>
    <row r="109" spans="1:8" x14ac:dyDescent="0.2">
      <c r="A109" s="48"/>
      <c r="B109" s="153" t="s">
        <v>104</v>
      </c>
      <c r="C109" s="154"/>
      <c r="D109" s="155"/>
      <c r="E109" s="50"/>
      <c r="F109" s="49"/>
      <c r="G109" s="49"/>
    </row>
    <row r="110" spans="1:8" ht="25.5" x14ac:dyDescent="0.2">
      <c r="A110" s="48"/>
      <c r="B110" s="156" t="s">
        <v>105</v>
      </c>
      <c r="C110" s="157"/>
      <c r="D110" s="33" t="s">
        <v>651</v>
      </c>
      <c r="E110" s="50"/>
      <c r="F110" s="49"/>
      <c r="G110" s="49"/>
    </row>
    <row r="111" spans="1:8" x14ac:dyDescent="0.2">
      <c r="A111" s="48"/>
      <c r="B111" s="156" t="s">
        <v>107</v>
      </c>
      <c r="C111" s="157"/>
      <c r="D111" s="17" t="s">
        <v>106</v>
      </c>
      <c r="E111" s="50"/>
      <c r="F111" s="49"/>
      <c r="G111" s="49"/>
    </row>
    <row r="112" spans="1:8" x14ac:dyDescent="0.2">
      <c r="A112" s="48"/>
      <c r="B112" s="156" t="s">
        <v>108</v>
      </c>
      <c r="C112" s="157"/>
      <c r="D112" s="22" t="s">
        <v>12</v>
      </c>
      <c r="E112" s="50"/>
      <c r="F112" s="49"/>
      <c r="G112" s="49"/>
    </row>
    <row r="113" spans="1:10" x14ac:dyDescent="0.2">
      <c r="A113" s="51"/>
      <c r="B113" s="52" t="s">
        <v>12</v>
      </c>
      <c r="C113" s="52" t="s">
        <v>573</v>
      </c>
      <c r="D113" s="52" t="s">
        <v>109</v>
      </c>
      <c r="E113" s="51"/>
      <c r="F113" s="51"/>
      <c r="G113" s="51"/>
      <c r="H113" s="53"/>
    </row>
    <row r="114" spans="1:10" x14ac:dyDescent="0.2">
      <c r="A114" s="51"/>
      <c r="B114" s="54" t="s">
        <v>110</v>
      </c>
      <c r="C114" s="55">
        <v>45657</v>
      </c>
      <c r="D114" s="55">
        <v>45672</v>
      </c>
      <c r="E114" s="51"/>
      <c r="F114" s="51"/>
      <c r="G114" s="51"/>
    </row>
    <row r="115" spans="1:10" x14ac:dyDescent="0.2">
      <c r="A115" s="56"/>
      <c r="B115" s="25" t="s">
        <v>111</v>
      </c>
      <c r="C115" s="57">
        <v>31.551400000000001</v>
      </c>
      <c r="D115" s="57">
        <v>31.267600000000002</v>
      </c>
      <c r="E115" s="56"/>
      <c r="F115" s="58"/>
      <c r="G115" s="59"/>
    </row>
    <row r="116" spans="1:10" ht="25.5" x14ac:dyDescent="0.2">
      <c r="A116" s="56"/>
      <c r="B116" s="25" t="s">
        <v>695</v>
      </c>
      <c r="C116" s="57">
        <v>13.4473</v>
      </c>
      <c r="D116" s="57">
        <v>13.3263</v>
      </c>
      <c r="E116" s="56"/>
      <c r="F116" s="58"/>
      <c r="G116" s="59"/>
    </row>
    <row r="117" spans="1:10" ht="25.5" x14ac:dyDescent="0.2">
      <c r="A117" s="56"/>
      <c r="B117" s="25" t="s">
        <v>696</v>
      </c>
      <c r="C117" s="57">
        <v>20.768899999999999</v>
      </c>
      <c r="D117" s="57">
        <v>20.582100000000001</v>
      </c>
      <c r="E117" s="56"/>
      <c r="F117" s="58"/>
      <c r="G117" s="59"/>
    </row>
    <row r="118" spans="1:10" ht="25.5" x14ac:dyDescent="0.2">
      <c r="A118" s="56"/>
      <c r="B118" s="25" t="s">
        <v>697</v>
      </c>
      <c r="C118" s="57">
        <v>20.6767</v>
      </c>
      <c r="D118" s="57">
        <v>20.4907</v>
      </c>
      <c r="E118" s="56"/>
      <c r="F118" s="58"/>
      <c r="G118" s="59"/>
    </row>
    <row r="119" spans="1:10" x14ac:dyDescent="0.2">
      <c r="A119" s="56"/>
      <c r="B119" s="25" t="s">
        <v>112</v>
      </c>
      <c r="C119" s="57">
        <v>28.750399999999999</v>
      </c>
      <c r="D119" s="57">
        <v>28.4803</v>
      </c>
      <c r="E119" s="56"/>
      <c r="F119" s="58"/>
      <c r="G119" s="59"/>
    </row>
    <row r="120" spans="1:10" ht="25.5" x14ac:dyDescent="0.2">
      <c r="A120" s="56"/>
      <c r="B120" s="25" t="s">
        <v>699</v>
      </c>
      <c r="C120" s="57">
        <v>13.341699999999999</v>
      </c>
      <c r="D120" s="57">
        <v>13.2164</v>
      </c>
      <c r="E120" s="56"/>
      <c r="F120" s="58"/>
      <c r="G120" s="59"/>
    </row>
    <row r="121" spans="1:10" ht="25.5" x14ac:dyDescent="0.2">
      <c r="A121" s="56"/>
      <c r="B121" s="25" t="s">
        <v>665</v>
      </c>
      <c r="C121" s="57">
        <v>18.814399999999999</v>
      </c>
      <c r="D121" s="57">
        <v>18.637599999999999</v>
      </c>
      <c r="E121" s="56"/>
      <c r="F121" s="58"/>
      <c r="G121" s="59"/>
    </row>
    <row r="122" spans="1:10" ht="25.5" x14ac:dyDescent="0.2">
      <c r="A122" s="56"/>
      <c r="B122" s="25" t="s">
        <v>700</v>
      </c>
      <c r="C122" s="57">
        <v>18.651399999999999</v>
      </c>
      <c r="D122" s="57">
        <v>18.476199999999999</v>
      </c>
      <c r="E122" s="56"/>
      <c r="F122" s="58"/>
      <c r="G122" s="59"/>
    </row>
    <row r="123" spans="1:10" x14ac:dyDescent="0.2">
      <c r="A123" s="56"/>
      <c r="B123" s="56"/>
      <c r="C123" s="56"/>
      <c r="D123" s="56"/>
      <c r="E123" s="56"/>
      <c r="F123" s="56"/>
      <c r="G123" s="56"/>
    </row>
    <row r="124" spans="1:10" x14ac:dyDescent="0.2">
      <c r="A124" s="56"/>
      <c r="B124" s="156" t="s">
        <v>702</v>
      </c>
      <c r="C124" s="157"/>
      <c r="D124" s="33" t="s">
        <v>106</v>
      </c>
      <c r="E124" s="56"/>
      <c r="F124" s="56"/>
      <c r="G124" s="56"/>
    </row>
    <row r="125" spans="1:10" x14ac:dyDescent="0.2">
      <c r="A125" s="56"/>
      <c r="B125" s="60"/>
      <c r="C125" s="60"/>
      <c r="D125" s="60"/>
      <c r="E125" s="56"/>
      <c r="F125" s="56"/>
      <c r="G125" s="56"/>
    </row>
    <row r="126" spans="1:10" x14ac:dyDescent="0.2">
      <c r="A126" s="51"/>
      <c r="B126" s="158" t="s">
        <v>113</v>
      </c>
      <c r="C126" s="159"/>
      <c r="D126" s="33" t="s">
        <v>106</v>
      </c>
      <c r="E126" s="61"/>
      <c r="F126" s="51"/>
      <c r="G126" s="51"/>
      <c r="J126" s="15"/>
    </row>
    <row r="127" spans="1:10" x14ac:dyDescent="0.2">
      <c r="A127" s="51"/>
      <c r="B127" s="158" t="s">
        <v>114</v>
      </c>
      <c r="C127" s="159"/>
      <c r="D127" s="33" t="s">
        <v>106</v>
      </c>
      <c r="E127" s="61"/>
      <c r="F127" s="51"/>
      <c r="G127" s="51"/>
      <c r="J127" s="15"/>
    </row>
    <row r="128" spans="1:10" x14ac:dyDescent="0.2">
      <c r="A128" s="51"/>
      <c r="B128" s="158" t="s">
        <v>574</v>
      </c>
      <c r="C128" s="159"/>
      <c r="D128" s="33" t="s">
        <v>106</v>
      </c>
      <c r="E128" s="61"/>
      <c r="F128" s="51"/>
      <c r="G128" s="51"/>
      <c r="J128" s="15"/>
    </row>
    <row r="129" spans="1:18" x14ac:dyDescent="0.2">
      <c r="A129" s="60"/>
      <c r="B129" s="60"/>
      <c r="C129" s="60"/>
      <c r="D129" s="60"/>
      <c r="E129" s="60"/>
      <c r="F129" s="60"/>
      <c r="G129" s="60"/>
      <c r="J129" s="15"/>
    </row>
    <row r="130" spans="1:18" s="62" customFormat="1" x14ac:dyDescent="0.2">
      <c r="B130" s="160" t="s">
        <v>575</v>
      </c>
      <c r="C130" s="161"/>
      <c r="D130" s="162"/>
      <c r="I130"/>
      <c r="J130" s="15"/>
      <c r="K130" s="35"/>
      <c r="L130" s="35"/>
      <c r="M130" s="35"/>
      <c r="N130" s="35"/>
      <c r="O130"/>
      <c r="R130"/>
    </row>
    <row r="131" spans="1:18" s="62" customFormat="1" ht="38.25" x14ac:dyDescent="0.2">
      <c r="B131" s="152" t="s">
        <v>576</v>
      </c>
      <c r="C131" s="152"/>
      <c r="D131" s="63" t="s">
        <v>477</v>
      </c>
      <c r="I131"/>
      <c r="J131" s="15"/>
      <c r="K131" s="35"/>
      <c r="L131" s="35"/>
      <c r="M131" s="35"/>
      <c r="N131" s="35"/>
      <c r="O131"/>
      <c r="R131"/>
    </row>
    <row r="132" spans="1:18" s="62" customFormat="1" x14ac:dyDescent="0.2">
      <c r="B132" s="148" t="s">
        <v>577</v>
      </c>
      <c r="C132" s="148"/>
      <c r="D132" s="64"/>
      <c r="I132"/>
      <c r="J132" s="15"/>
      <c r="K132" s="35"/>
      <c r="L132" s="35"/>
      <c r="M132" s="35"/>
      <c r="N132" s="35"/>
      <c r="O132"/>
      <c r="R132"/>
    </row>
    <row r="133" spans="1:18" s="62" customFormat="1" x14ac:dyDescent="0.2">
      <c r="B133" s="148"/>
      <c r="C133" s="148"/>
      <c r="D133" s="65"/>
      <c r="I133"/>
      <c r="J133" s="15"/>
      <c r="K133" s="35"/>
      <c r="L133" s="35"/>
      <c r="M133" s="35"/>
      <c r="N133" s="35"/>
      <c r="O133"/>
    </row>
    <row r="134" spans="1:18" s="62" customFormat="1" x14ac:dyDescent="0.2">
      <c r="B134" s="148" t="s">
        <v>578</v>
      </c>
      <c r="C134" s="148"/>
      <c r="D134" s="66">
        <v>6.7319947546154468</v>
      </c>
      <c r="I134"/>
      <c r="J134" s="15"/>
      <c r="K134" s="35"/>
      <c r="L134" s="35"/>
      <c r="M134" s="35"/>
      <c r="N134" s="35"/>
      <c r="O134"/>
    </row>
    <row r="135" spans="1:18" s="62" customFormat="1" x14ac:dyDescent="0.2">
      <c r="B135" s="148"/>
      <c r="C135" s="148"/>
      <c r="D135" s="65"/>
      <c r="I135"/>
      <c r="J135" s="15"/>
      <c r="K135" s="35"/>
      <c r="L135" s="35"/>
      <c r="M135" s="35"/>
      <c r="N135" s="35"/>
      <c r="O135"/>
    </row>
    <row r="136" spans="1:18" s="62" customFormat="1" x14ac:dyDescent="0.2">
      <c r="B136" s="148" t="s">
        <v>677</v>
      </c>
      <c r="C136" s="148"/>
      <c r="D136" s="66">
        <v>4.9778609406300234</v>
      </c>
      <c r="I136"/>
      <c r="J136" s="15"/>
      <c r="K136" s="35"/>
      <c r="L136" s="35"/>
      <c r="M136" s="35"/>
      <c r="N136" s="35"/>
      <c r="O136"/>
    </row>
    <row r="137" spans="1:18" s="62" customFormat="1" x14ac:dyDescent="0.2">
      <c r="B137" s="148" t="s">
        <v>678</v>
      </c>
      <c r="C137" s="148"/>
      <c r="D137" s="66">
        <v>9.5226058364629154</v>
      </c>
      <c r="I137"/>
      <c r="J137" s="15"/>
      <c r="K137" s="35"/>
      <c r="L137" s="35"/>
      <c r="M137" s="35"/>
      <c r="N137" s="35"/>
      <c r="O137"/>
    </row>
    <row r="138" spans="1:18" s="62" customFormat="1" x14ac:dyDescent="0.2">
      <c r="B138" s="148"/>
      <c r="C138" s="148"/>
      <c r="D138" s="65"/>
      <c r="I138"/>
      <c r="J138" s="15"/>
      <c r="K138" s="35"/>
      <c r="L138" s="35"/>
      <c r="M138" s="35"/>
      <c r="N138" s="35"/>
      <c r="O138"/>
    </row>
    <row r="139" spans="1:18" s="62" customFormat="1" x14ac:dyDescent="0.2">
      <c r="B139" s="148" t="s">
        <v>581</v>
      </c>
      <c r="C139" s="148"/>
      <c r="D139" s="139" t="s">
        <v>690</v>
      </c>
      <c r="I139"/>
      <c r="J139" s="15"/>
      <c r="K139" s="35"/>
      <c r="L139" s="35"/>
      <c r="M139" s="35"/>
      <c r="N139" s="35"/>
      <c r="O139"/>
    </row>
    <row r="140" spans="1:18" s="62" customFormat="1" x14ac:dyDescent="0.2">
      <c r="B140" s="146" t="s">
        <v>582</v>
      </c>
      <c r="C140" s="149"/>
      <c r="D140" s="147"/>
      <c r="I140"/>
      <c r="J140" s="15"/>
      <c r="K140" s="35"/>
      <c r="L140" s="35"/>
      <c r="M140" s="35"/>
      <c r="N140" s="35"/>
      <c r="O140"/>
    </row>
    <row r="141" spans="1:18" x14ac:dyDescent="0.2">
      <c r="J141" s="15"/>
    </row>
    <row r="142" spans="1:18" ht="13.5" x14ac:dyDescent="0.2">
      <c r="B142" s="200" t="s">
        <v>694</v>
      </c>
      <c r="C142" s="200"/>
      <c r="D142" s="200"/>
      <c r="E142" s="200"/>
      <c r="F142" s="200"/>
      <c r="G142" s="200"/>
      <c r="H142" s="200"/>
      <c r="I142" s="35"/>
      <c r="J142" s="15"/>
      <c r="K142" s="35"/>
      <c r="L142" s="35"/>
      <c r="M142" s="35"/>
      <c r="N142" s="35"/>
      <c r="O142" s="35"/>
      <c r="P142" s="35"/>
    </row>
    <row r="143" spans="1:18" s="68" customFormat="1" ht="26.25" customHeight="1" x14ac:dyDescent="0.2">
      <c r="B143" s="85" t="s">
        <v>607</v>
      </c>
      <c r="C143" s="85" t="s">
        <v>608</v>
      </c>
      <c r="D143" s="170" t="s">
        <v>679</v>
      </c>
      <c r="E143" s="170"/>
      <c r="F143" s="170"/>
      <c r="G143" s="169" t="s">
        <v>603</v>
      </c>
      <c r="H143" s="169"/>
      <c r="J143" s="15"/>
      <c r="K143" s="140"/>
      <c r="L143" s="140"/>
      <c r="M143" s="140"/>
      <c r="N143" s="140"/>
      <c r="O143" s="140"/>
      <c r="P143" s="140"/>
    </row>
    <row r="144" spans="1:18" ht="27" x14ac:dyDescent="0.25">
      <c r="B144" s="141" t="s">
        <v>639</v>
      </c>
      <c r="C144" s="84" t="s">
        <v>680</v>
      </c>
      <c r="D144" s="171">
        <v>0</v>
      </c>
      <c r="E144" s="171"/>
      <c r="F144" s="171"/>
      <c r="G144" s="171">
        <v>0</v>
      </c>
      <c r="H144" s="171"/>
      <c r="J144" s="15"/>
      <c r="K144" s="35"/>
      <c r="L144" s="35"/>
      <c r="M144" s="35"/>
      <c r="N144" s="35"/>
      <c r="O144" s="35"/>
      <c r="P144" s="35"/>
    </row>
    <row r="145" spans="2:16" ht="13.5" x14ac:dyDescent="0.25">
      <c r="B145" s="83"/>
      <c r="C145" s="83"/>
      <c r="D145" s="172"/>
      <c r="E145" s="172"/>
      <c r="F145" s="172"/>
      <c r="G145" s="172"/>
      <c r="H145" s="172"/>
      <c r="J145" s="15"/>
      <c r="K145" s="35"/>
      <c r="L145" s="35"/>
      <c r="M145" s="35"/>
      <c r="N145" s="35"/>
      <c r="O145" s="35"/>
      <c r="P145" s="35"/>
    </row>
    <row r="146" spans="2:16" ht="13.5" x14ac:dyDescent="0.25">
      <c r="B146" s="173" t="s">
        <v>615</v>
      </c>
      <c r="C146" s="173"/>
      <c r="D146" s="173"/>
      <c r="E146" s="173"/>
      <c r="F146" s="173"/>
      <c r="G146" s="173"/>
      <c r="H146" s="173"/>
      <c r="J146" s="15"/>
      <c r="K146" s="35"/>
      <c r="L146" s="35"/>
      <c r="M146" s="35"/>
      <c r="N146" s="35"/>
      <c r="O146" s="35"/>
      <c r="P146" s="35"/>
    </row>
    <row r="147" spans="2:16" ht="13.5" customHeight="1" x14ac:dyDescent="0.2">
      <c r="B147" s="169" t="s">
        <v>607</v>
      </c>
      <c r="C147" s="169" t="s">
        <v>608</v>
      </c>
      <c r="D147" s="169" t="s">
        <v>616</v>
      </c>
      <c r="E147" s="169"/>
      <c r="F147" s="169"/>
      <c r="G147" s="169"/>
      <c r="H147" s="170" t="s">
        <v>681</v>
      </c>
      <c r="I147" s="170" t="s">
        <v>682</v>
      </c>
      <c r="J147" s="170" t="s">
        <v>619</v>
      </c>
      <c r="K147" s="35"/>
      <c r="L147" s="35"/>
      <c r="M147" s="35"/>
      <c r="N147" s="35"/>
      <c r="O147" s="35"/>
      <c r="P147" s="35"/>
    </row>
    <row r="148" spans="2:16" ht="94.5" x14ac:dyDescent="0.2">
      <c r="B148" s="169"/>
      <c r="C148" s="169"/>
      <c r="D148" s="86" t="s">
        <v>620</v>
      </c>
      <c r="E148" s="86" t="s">
        <v>621</v>
      </c>
      <c r="F148" s="86" t="s">
        <v>622</v>
      </c>
      <c r="G148" s="86" t="s">
        <v>623</v>
      </c>
      <c r="H148" s="170"/>
      <c r="I148" s="170"/>
      <c r="J148" s="170"/>
      <c r="K148" s="35"/>
      <c r="L148" s="35"/>
      <c r="M148" s="35"/>
      <c r="N148" s="35"/>
      <c r="O148" s="35"/>
    </row>
    <row r="149" spans="2:16" ht="27" x14ac:dyDescent="0.25">
      <c r="B149" s="83" t="s">
        <v>639</v>
      </c>
      <c r="C149" s="84" t="s">
        <v>683</v>
      </c>
      <c r="D149" s="87">
        <v>500</v>
      </c>
      <c r="E149" s="87">
        <v>9.9405737999999992</v>
      </c>
      <c r="F149" s="142">
        <v>16.00737140547945</v>
      </c>
      <c r="G149" s="87">
        <v>525.94794520547941</v>
      </c>
      <c r="H149" s="10">
        <v>233.40679</v>
      </c>
      <c r="I149" s="10">
        <v>4.01</v>
      </c>
      <c r="J149" s="143">
        <f>H149+I149</f>
        <v>237.41678999999999</v>
      </c>
      <c r="K149" s="35"/>
      <c r="L149" s="35"/>
      <c r="M149" s="35"/>
      <c r="N149" s="35"/>
      <c r="O149" s="35"/>
      <c r="P149" s="35"/>
    </row>
    <row r="150" spans="2:16" x14ac:dyDescent="0.2">
      <c r="J150" s="15"/>
      <c r="P150" s="35"/>
    </row>
    <row r="151" spans="2:16" x14ac:dyDescent="0.2">
      <c r="J151" s="15"/>
      <c r="K151" s="35"/>
      <c r="L151" s="35"/>
      <c r="M151" s="35"/>
      <c r="N151" s="35"/>
      <c r="O151" s="35"/>
      <c r="P151" s="35"/>
    </row>
    <row r="152" spans="2:16" ht="13.5" x14ac:dyDescent="0.25">
      <c r="B152" s="90" t="s">
        <v>624</v>
      </c>
      <c r="J152" s="15"/>
      <c r="K152" s="35"/>
      <c r="L152" s="35"/>
      <c r="M152" s="35"/>
      <c r="N152" s="35"/>
      <c r="O152" s="35"/>
      <c r="P152" s="35"/>
    </row>
    <row r="153" spans="2:16" x14ac:dyDescent="0.2">
      <c r="B153" s="35"/>
      <c r="C153" s="35"/>
      <c r="D153" s="35"/>
      <c r="E153" s="35"/>
      <c r="F153" s="35"/>
      <c r="G153" s="35"/>
      <c r="H153" s="35"/>
      <c r="J153" s="15"/>
      <c r="K153" s="35"/>
      <c r="L153" s="35"/>
      <c r="M153" s="35"/>
      <c r="N153" s="35"/>
      <c r="O153" s="35"/>
      <c r="P153" s="35"/>
    </row>
    <row r="154" spans="2:16" x14ac:dyDescent="0.2">
      <c r="B154" s="91" t="s">
        <v>625</v>
      </c>
      <c r="C154" s="35"/>
      <c r="D154" s="35"/>
      <c r="E154" s="35"/>
      <c r="F154" s="35"/>
      <c r="G154" s="35"/>
      <c r="H154" s="35"/>
      <c r="J154" s="15"/>
      <c r="K154" s="35"/>
      <c r="L154" s="35"/>
      <c r="M154" s="35"/>
      <c r="N154" s="35"/>
      <c r="O154" s="35"/>
      <c r="P154" s="35"/>
    </row>
    <row r="155" spans="2:16" x14ac:dyDescent="0.2">
      <c r="B155" s="35"/>
      <c r="C155" s="35"/>
      <c r="D155" s="35"/>
      <c r="E155" s="35"/>
      <c r="F155" s="35"/>
      <c r="G155" s="35"/>
      <c r="H155" s="35"/>
      <c r="J155" s="15"/>
      <c r="K155" s="35"/>
      <c r="L155" s="35"/>
      <c r="M155" s="35"/>
      <c r="N155" s="35"/>
      <c r="O155" s="35"/>
      <c r="P155" s="35"/>
    </row>
    <row r="156" spans="2:16" x14ac:dyDescent="0.2">
      <c r="B156" s="91" t="s">
        <v>626</v>
      </c>
      <c r="C156" s="35"/>
      <c r="D156" s="35"/>
      <c r="E156" s="35"/>
      <c r="F156" s="35"/>
      <c r="G156" s="35"/>
      <c r="H156" s="35"/>
      <c r="J156" s="15"/>
      <c r="K156" s="35"/>
      <c r="L156" s="35"/>
      <c r="M156" s="35"/>
      <c r="N156" s="35"/>
      <c r="O156" s="35"/>
      <c r="P156" s="35"/>
    </row>
    <row r="157" spans="2:16" x14ac:dyDescent="0.2">
      <c r="J157" s="15"/>
      <c r="K157" s="35"/>
      <c r="L157" s="35"/>
      <c r="M157" s="35"/>
      <c r="N157" s="35"/>
      <c r="O157" s="35"/>
    </row>
    <row r="158" spans="2:16" x14ac:dyDescent="0.2">
      <c r="B158" s="91" t="s">
        <v>627</v>
      </c>
      <c r="J158" s="15"/>
      <c r="K158" s="35"/>
      <c r="L158" s="35"/>
      <c r="M158" s="35"/>
      <c r="N158" s="35"/>
      <c r="O158" s="35"/>
    </row>
    <row r="159" spans="2:16" x14ac:dyDescent="0.2">
      <c r="J159" s="15"/>
    </row>
    <row r="160" spans="2:16" ht="25.5" x14ac:dyDescent="0.2">
      <c r="B160" s="69" t="s">
        <v>583</v>
      </c>
    </row>
    <row r="162" spans="2:10" ht="153.75" customHeight="1" x14ac:dyDescent="0.2"/>
    <row r="165" spans="2:10" x14ac:dyDescent="0.2">
      <c r="B165" s="70" t="s">
        <v>684</v>
      </c>
      <c r="C165" s="71"/>
      <c r="D165" s="70"/>
    </row>
    <row r="166" spans="2:10" x14ac:dyDescent="0.2">
      <c r="B166" s="70" t="s">
        <v>685</v>
      </c>
      <c r="D166" s="70"/>
    </row>
    <row r="167" spans="2:10" ht="165" customHeight="1" x14ac:dyDescent="0.2"/>
    <row r="169" spans="2:10" x14ac:dyDescent="0.2">
      <c r="J169" s="15"/>
    </row>
    <row r="170" spans="2:10" x14ac:dyDescent="0.2">
      <c r="J170" s="15"/>
    </row>
    <row r="171" spans="2:10" x14ac:dyDescent="0.2">
      <c r="J171" s="15"/>
    </row>
    <row r="172" spans="2:10" x14ac:dyDescent="0.2">
      <c r="J172" s="15"/>
    </row>
    <row r="173" spans="2:10" x14ac:dyDescent="0.2">
      <c r="J173" s="15"/>
    </row>
    <row r="174" spans="2:10" x14ac:dyDescent="0.2">
      <c r="J174" s="15"/>
    </row>
    <row r="175" spans="2:10" x14ac:dyDescent="0.2">
      <c r="J175" s="15"/>
    </row>
    <row r="176" spans="2:10" x14ac:dyDescent="0.2">
      <c r="J176" s="15"/>
    </row>
    <row r="177" spans="10:10" x14ac:dyDescent="0.2">
      <c r="J177" s="15"/>
    </row>
    <row r="178" spans="10:10" x14ac:dyDescent="0.2">
      <c r="J178" s="15"/>
    </row>
    <row r="179" spans="10:10" x14ac:dyDescent="0.2">
      <c r="J179" s="15"/>
    </row>
    <row r="193" customFormat="1" x14ac:dyDescent="0.2"/>
    <row r="194" customFormat="1" x14ac:dyDescent="0.2"/>
    <row r="195" customFormat="1" x14ac:dyDescent="0.2"/>
    <row r="196" customFormat="1" x14ac:dyDescent="0.2"/>
    <row r="197" customFormat="1" x14ac:dyDescent="0.2"/>
    <row r="198" customFormat="1" x14ac:dyDescent="0.2"/>
  </sheetData>
  <mergeCells count="39">
    <mergeCell ref="B107:H107"/>
    <mergeCell ref="B131:C131"/>
    <mergeCell ref="B132:C132"/>
    <mergeCell ref="B109:D109"/>
    <mergeCell ref="B110:C110"/>
    <mergeCell ref="B111:C111"/>
    <mergeCell ref="B112:C112"/>
    <mergeCell ref="B124:C124"/>
    <mergeCell ref="B128:C128"/>
    <mergeCell ref="B126:C126"/>
    <mergeCell ref="B127:C127"/>
    <mergeCell ref="B130:D130"/>
    <mergeCell ref="A1:H1"/>
    <mergeCell ref="A2:H2"/>
    <mergeCell ref="A3:H3"/>
    <mergeCell ref="B105:H105"/>
    <mergeCell ref="B106:H106"/>
    <mergeCell ref="B133:C133"/>
    <mergeCell ref="B134:C134"/>
    <mergeCell ref="B135:C135"/>
    <mergeCell ref="B136:C136"/>
    <mergeCell ref="B137:C137"/>
    <mergeCell ref="B138:C138"/>
    <mergeCell ref="B139:C139"/>
    <mergeCell ref="B140:D140"/>
    <mergeCell ref="B142:H142"/>
    <mergeCell ref="D143:F143"/>
    <mergeCell ref="G143:H143"/>
    <mergeCell ref="D144:F144"/>
    <mergeCell ref="G144:H144"/>
    <mergeCell ref="D145:F145"/>
    <mergeCell ref="G145:H145"/>
    <mergeCell ref="B146:H146"/>
    <mergeCell ref="J147:J148"/>
    <mergeCell ref="B147:B148"/>
    <mergeCell ref="C147:C148"/>
    <mergeCell ref="D147:G147"/>
    <mergeCell ref="H147:H148"/>
    <mergeCell ref="I147:I148"/>
  </mergeCells>
  <hyperlinks>
    <hyperlink ref="I1" location="Index!B2" display="Index" xr:uid="{B35ED63F-5641-4DC6-A3A9-082E44788401}"/>
    <hyperlink ref="B154" r:id="rId1" xr:uid="{C05B2824-8995-43C4-94D8-FA789C64A072}"/>
    <hyperlink ref="B156" r:id="rId2" xr:uid="{3D1DE500-5104-4562-9DBF-D811E5B243F6}"/>
    <hyperlink ref="B158" r:id="rId3" xr:uid="{8E39BBC9-1D03-4189-BDF9-A64BE498243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C33A1-919E-4898-87A2-6BB06FE626AA}">
  <sheetPr>
    <outlinePr summaryBelow="0" summaryRight="0"/>
  </sheetPr>
  <dimension ref="A1:U117"/>
  <sheetViews>
    <sheetView showGridLines="0" workbookViewId="0">
      <selection activeCell="G102" sqref="G102"/>
    </sheetView>
  </sheetViews>
  <sheetFormatPr defaultRowHeight="12.75" x14ac:dyDescent="0.2"/>
  <cols>
    <col min="1" max="1" width="5.85546875" bestFit="1" customWidth="1"/>
    <col min="2" max="2" width="20.5703125" customWidth="1"/>
    <col min="3" max="3" width="31.5703125" customWidth="1"/>
    <col min="4" max="4" width="10.7109375" bestFit="1" customWidth="1"/>
    <col min="5" max="5" width="8.7109375" bestFit="1" customWidth="1"/>
    <col min="6" max="6" width="10.140625" bestFit="1" customWidth="1"/>
    <col min="7" max="7" width="14" bestFit="1" customWidth="1"/>
    <col min="8" max="8" width="7" customWidth="1"/>
    <col min="9" max="9" width="5.7109375" bestFit="1" customWidth="1"/>
  </cols>
  <sheetData>
    <row r="1" spans="1:9" ht="15" x14ac:dyDescent="0.2">
      <c r="A1" s="150" t="s">
        <v>0</v>
      </c>
      <c r="B1" s="150"/>
      <c r="C1" s="150"/>
      <c r="D1" s="150"/>
      <c r="E1" s="150"/>
      <c r="F1" s="150"/>
      <c r="G1" s="150"/>
      <c r="H1" s="150"/>
      <c r="I1" s="7" t="s">
        <v>566</v>
      </c>
    </row>
    <row r="2" spans="1:9" ht="15" x14ac:dyDescent="0.2">
      <c r="A2" s="150" t="s">
        <v>546</v>
      </c>
      <c r="B2" s="150"/>
      <c r="C2" s="150"/>
      <c r="D2" s="150"/>
      <c r="E2" s="150"/>
      <c r="F2" s="150"/>
      <c r="G2" s="150"/>
      <c r="H2" s="150"/>
    </row>
    <row r="3" spans="1:9" ht="15" x14ac:dyDescent="0.2">
      <c r="A3" s="150" t="s">
        <v>568</v>
      </c>
      <c r="B3" s="150"/>
      <c r="C3" s="150"/>
      <c r="D3" s="150"/>
      <c r="E3" s="150"/>
      <c r="F3" s="150"/>
      <c r="G3" s="150"/>
      <c r="H3" s="150"/>
    </row>
    <row r="4" spans="1:9" s="15" customFormat="1" ht="30" x14ac:dyDescent="0.2">
      <c r="A4" s="13" t="s">
        <v>2</v>
      </c>
      <c r="B4" s="13" t="s">
        <v>3</v>
      </c>
      <c r="C4" s="13" t="s">
        <v>4</v>
      </c>
      <c r="D4" s="13" t="s">
        <v>5</v>
      </c>
      <c r="E4" s="13" t="s">
        <v>6</v>
      </c>
      <c r="F4" s="13" t="s">
        <v>7</v>
      </c>
      <c r="G4" s="13" t="s">
        <v>8</v>
      </c>
      <c r="H4" s="14" t="s">
        <v>594</v>
      </c>
    </row>
    <row r="5" spans="1:9" x14ac:dyDescent="0.2">
      <c r="A5" s="16"/>
      <c r="B5" s="16"/>
      <c r="C5" s="17" t="s">
        <v>9</v>
      </c>
      <c r="D5" s="16"/>
      <c r="E5" s="16"/>
      <c r="F5" s="16"/>
      <c r="G5" s="16"/>
      <c r="H5" s="18" t="s">
        <v>12</v>
      </c>
    </row>
    <row r="6" spans="1:9" ht="25.5"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ht="25.5"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71</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72</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86</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87</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88</v>
      </c>
      <c r="D41" s="16"/>
      <c r="E41" s="16"/>
      <c r="F41" s="22"/>
      <c r="G41" s="22"/>
      <c r="H41" s="18" t="s">
        <v>12</v>
      </c>
    </row>
    <row r="42" spans="1:8" x14ac:dyDescent="0.2">
      <c r="A42" s="16"/>
      <c r="B42" s="16"/>
      <c r="C42" s="17" t="s">
        <v>89</v>
      </c>
      <c r="D42" s="16"/>
      <c r="E42" s="16"/>
      <c r="F42" s="22"/>
      <c r="G42" s="22"/>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90</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91</v>
      </c>
      <c r="D48" s="16"/>
      <c r="E48" s="16"/>
      <c r="F48" s="22"/>
      <c r="G48" s="22"/>
      <c r="H48" s="18" t="s">
        <v>12</v>
      </c>
    </row>
    <row r="49" spans="1:8" x14ac:dyDescent="0.2">
      <c r="A49" s="24">
        <v>1</v>
      </c>
      <c r="B49" s="25" t="s">
        <v>547</v>
      </c>
      <c r="C49" s="25" t="s">
        <v>548</v>
      </c>
      <c r="D49" s="25" t="s">
        <v>75</v>
      </c>
      <c r="E49" s="26">
        <v>2000000</v>
      </c>
      <c r="F49" s="27">
        <v>1997.5119999999999</v>
      </c>
      <c r="G49" s="28">
        <v>2.6010149999999999E-2</v>
      </c>
      <c r="H49" s="18">
        <v>6.4932999999999996</v>
      </c>
    </row>
    <row r="50" spans="1:8" x14ac:dyDescent="0.2">
      <c r="A50" s="24">
        <v>2</v>
      </c>
      <c r="B50" s="25" t="s">
        <v>549</v>
      </c>
      <c r="C50" s="25" t="s">
        <v>550</v>
      </c>
      <c r="D50" s="25" t="s">
        <v>75</v>
      </c>
      <c r="E50" s="26">
        <v>1500000</v>
      </c>
      <c r="F50" s="27">
        <v>1500</v>
      </c>
      <c r="G50" s="28">
        <v>1.953191E-2</v>
      </c>
      <c r="H50" s="18">
        <v>6.5467000000000004</v>
      </c>
    </row>
    <row r="51" spans="1:8" x14ac:dyDescent="0.2">
      <c r="A51" s="24">
        <v>3</v>
      </c>
      <c r="B51" s="25" t="s">
        <v>551</v>
      </c>
      <c r="C51" s="25" t="s">
        <v>552</v>
      </c>
      <c r="D51" s="25" t="s">
        <v>75</v>
      </c>
      <c r="E51" s="26">
        <v>500000</v>
      </c>
      <c r="F51" s="27">
        <v>498.14299999999997</v>
      </c>
      <c r="G51" s="28">
        <v>6.4864600000000003E-3</v>
      </c>
      <c r="H51" s="18">
        <v>6.48</v>
      </c>
    </row>
    <row r="52" spans="1:8" x14ac:dyDescent="0.2">
      <c r="A52" s="16"/>
      <c r="B52" s="16"/>
      <c r="C52" s="17" t="s">
        <v>11</v>
      </c>
      <c r="D52" s="16"/>
      <c r="E52" s="16" t="s">
        <v>12</v>
      </c>
      <c r="F52" s="23">
        <v>3995.6550000000002</v>
      </c>
      <c r="G52" s="20">
        <v>5.2028520000000002E-2</v>
      </c>
      <c r="H52" s="18" t="s">
        <v>12</v>
      </c>
    </row>
    <row r="53" spans="1:8" x14ac:dyDescent="0.2">
      <c r="A53" s="16"/>
      <c r="B53" s="16"/>
      <c r="C53" s="21"/>
      <c r="D53" s="16"/>
      <c r="E53" s="16"/>
      <c r="F53" s="22"/>
      <c r="G53" s="22"/>
      <c r="H53" s="18" t="s">
        <v>12</v>
      </c>
    </row>
    <row r="54" spans="1:8" x14ac:dyDescent="0.2">
      <c r="A54" s="16"/>
      <c r="B54" s="16"/>
      <c r="C54" s="17" t="s">
        <v>92</v>
      </c>
      <c r="D54" s="16"/>
      <c r="E54" s="16"/>
      <c r="F54" s="22"/>
      <c r="G54" s="22"/>
      <c r="H54" s="18" t="s">
        <v>12</v>
      </c>
    </row>
    <row r="55" spans="1:8" x14ac:dyDescent="0.2">
      <c r="A55" s="24">
        <v>1</v>
      </c>
      <c r="B55" s="25"/>
      <c r="C55" s="25" t="s">
        <v>401</v>
      </c>
      <c r="D55" s="25"/>
      <c r="E55" s="29"/>
      <c r="F55" s="27">
        <v>49999.943808299999</v>
      </c>
      <c r="G55" s="28">
        <v>0.65106286000000002</v>
      </c>
      <c r="H55" s="18">
        <v>6.6</v>
      </c>
    </row>
    <row r="56" spans="1:8" x14ac:dyDescent="0.2">
      <c r="A56" s="24">
        <v>2</v>
      </c>
      <c r="B56" s="25"/>
      <c r="C56" s="25" t="s">
        <v>93</v>
      </c>
      <c r="D56" s="25"/>
      <c r="E56" s="29"/>
      <c r="F56" s="27">
        <v>22624.447111085999</v>
      </c>
      <c r="G56" s="28">
        <v>0.29459907000000002</v>
      </c>
      <c r="H56" s="18">
        <v>6.25</v>
      </c>
    </row>
    <row r="57" spans="1:8" x14ac:dyDescent="0.2">
      <c r="A57" s="16"/>
      <c r="B57" s="16"/>
      <c r="C57" s="17" t="s">
        <v>11</v>
      </c>
      <c r="D57" s="16"/>
      <c r="E57" s="16" t="s">
        <v>12</v>
      </c>
      <c r="F57" s="23">
        <v>72624.390919386002</v>
      </c>
      <c r="G57" s="20">
        <v>0.94566192999999998</v>
      </c>
      <c r="H57" s="18" t="s">
        <v>12</v>
      </c>
    </row>
    <row r="58" spans="1:8" x14ac:dyDescent="0.2">
      <c r="A58" s="16"/>
      <c r="B58" s="16"/>
      <c r="C58" s="21"/>
      <c r="D58" s="16"/>
      <c r="E58" s="16"/>
      <c r="F58" s="22"/>
      <c r="G58" s="22"/>
      <c r="H58" s="18" t="s">
        <v>12</v>
      </c>
    </row>
    <row r="59" spans="1:8" x14ac:dyDescent="0.2">
      <c r="A59" s="16"/>
      <c r="B59" s="16"/>
      <c r="C59" s="17" t="s">
        <v>94</v>
      </c>
      <c r="D59" s="16"/>
      <c r="E59" s="16"/>
      <c r="F59" s="23">
        <v>76620.045919386001</v>
      </c>
      <c r="G59" s="20">
        <v>0.99769045000000001</v>
      </c>
      <c r="H59" s="18" t="s">
        <v>12</v>
      </c>
    </row>
    <row r="60" spans="1:8" x14ac:dyDescent="0.2">
      <c r="A60" s="16"/>
      <c r="B60" s="16"/>
      <c r="C60" s="22"/>
      <c r="D60" s="16"/>
      <c r="E60" s="16"/>
      <c r="F60" s="16"/>
      <c r="G60" s="16"/>
      <c r="H60" s="18" t="s">
        <v>12</v>
      </c>
    </row>
    <row r="61" spans="1:8" x14ac:dyDescent="0.2">
      <c r="A61" s="16"/>
      <c r="B61" s="16"/>
      <c r="C61" s="17" t="s">
        <v>95</v>
      </c>
      <c r="D61" s="16"/>
      <c r="E61" s="16"/>
      <c r="F61" s="16"/>
      <c r="G61" s="16"/>
      <c r="H61" s="18" t="s">
        <v>12</v>
      </c>
    </row>
    <row r="62" spans="1:8" x14ac:dyDescent="0.2">
      <c r="A62" s="16"/>
      <c r="B62" s="16"/>
      <c r="C62" s="17" t="s">
        <v>96</v>
      </c>
      <c r="D62" s="16"/>
      <c r="E62" s="16"/>
      <c r="F62" s="16"/>
      <c r="G62" s="16"/>
      <c r="H62" s="18" t="s">
        <v>12</v>
      </c>
    </row>
    <row r="63" spans="1:8" x14ac:dyDescent="0.2">
      <c r="A63" s="16"/>
      <c r="B63" s="16"/>
      <c r="C63" s="17" t="s">
        <v>11</v>
      </c>
      <c r="D63" s="16"/>
      <c r="E63" s="16" t="s">
        <v>12</v>
      </c>
      <c r="F63" s="19" t="s">
        <v>13</v>
      </c>
      <c r="G63" s="20">
        <v>0</v>
      </c>
      <c r="H63" s="18" t="s">
        <v>12</v>
      </c>
    </row>
    <row r="64" spans="1:8" x14ac:dyDescent="0.2">
      <c r="A64" s="16"/>
      <c r="B64" s="16"/>
      <c r="C64" s="21"/>
      <c r="D64" s="16"/>
      <c r="E64" s="16"/>
      <c r="F64" s="22"/>
      <c r="G64" s="22"/>
      <c r="H64" s="18" t="s">
        <v>12</v>
      </c>
    </row>
    <row r="65" spans="1:8" x14ac:dyDescent="0.2">
      <c r="A65" s="16"/>
      <c r="B65" s="16"/>
      <c r="C65" s="17" t="s">
        <v>99</v>
      </c>
      <c r="D65" s="16"/>
      <c r="E65" s="16"/>
      <c r="F65" s="16"/>
      <c r="G65" s="16"/>
      <c r="H65" s="18" t="s">
        <v>12</v>
      </c>
    </row>
    <row r="66" spans="1:8" x14ac:dyDescent="0.2">
      <c r="A66" s="16"/>
      <c r="B66" s="16"/>
      <c r="C66" s="17" t="s">
        <v>100</v>
      </c>
      <c r="D66" s="16"/>
      <c r="E66" s="16"/>
      <c r="F66" s="16"/>
      <c r="G66" s="16"/>
      <c r="H66" s="18" t="s">
        <v>12</v>
      </c>
    </row>
    <row r="67" spans="1:8" x14ac:dyDescent="0.2">
      <c r="A67" s="16"/>
      <c r="B67" s="16"/>
      <c r="C67" s="17" t="s">
        <v>11</v>
      </c>
      <c r="D67" s="16"/>
      <c r="E67" s="16" t="s">
        <v>12</v>
      </c>
      <c r="F67" s="19" t="s">
        <v>13</v>
      </c>
      <c r="G67" s="20">
        <v>0</v>
      </c>
      <c r="H67" s="18" t="s">
        <v>12</v>
      </c>
    </row>
    <row r="68" spans="1:8" x14ac:dyDescent="0.2">
      <c r="A68" s="16"/>
      <c r="B68" s="16"/>
      <c r="C68" s="21"/>
      <c r="D68" s="16"/>
      <c r="E68" s="16"/>
      <c r="F68" s="22"/>
      <c r="G68" s="22"/>
      <c r="H68" s="18" t="s">
        <v>12</v>
      </c>
    </row>
    <row r="69" spans="1:8" ht="25.5" x14ac:dyDescent="0.2">
      <c r="A69" s="16"/>
      <c r="B69" s="16"/>
      <c r="C69" s="17" t="s">
        <v>101</v>
      </c>
      <c r="D69" s="16"/>
      <c r="E69" s="16"/>
      <c r="F69" s="22"/>
      <c r="G69" s="22"/>
      <c r="H69" s="18" t="s">
        <v>12</v>
      </c>
    </row>
    <row r="70" spans="1:8" x14ac:dyDescent="0.2">
      <c r="A70" s="16"/>
      <c r="B70" s="16"/>
      <c r="C70" s="17" t="s">
        <v>11</v>
      </c>
      <c r="D70" s="16"/>
      <c r="E70" s="16" t="s">
        <v>12</v>
      </c>
      <c r="F70" s="19" t="s">
        <v>13</v>
      </c>
      <c r="G70" s="20">
        <v>0</v>
      </c>
      <c r="H70" s="18" t="s">
        <v>12</v>
      </c>
    </row>
    <row r="71" spans="1:8" x14ac:dyDescent="0.2">
      <c r="A71" s="16"/>
      <c r="B71" s="25"/>
      <c r="C71" s="25"/>
      <c r="D71" s="17"/>
      <c r="E71" s="16"/>
      <c r="F71" s="25"/>
      <c r="G71" s="29"/>
      <c r="H71" s="18" t="s">
        <v>12</v>
      </c>
    </row>
    <row r="72" spans="1:8" x14ac:dyDescent="0.2">
      <c r="A72" s="29"/>
      <c r="B72" s="25"/>
      <c r="C72" s="25" t="s">
        <v>102</v>
      </c>
      <c r="D72" s="25"/>
      <c r="E72" s="29"/>
      <c r="F72" s="27">
        <f>177.36816483+0.0000299640083312988</f>
        <v>177.36819479400833</v>
      </c>
      <c r="G72" s="28">
        <v>2.30956E-3</v>
      </c>
      <c r="H72" s="18" t="s">
        <v>12</v>
      </c>
    </row>
    <row r="73" spans="1:8" x14ac:dyDescent="0.2">
      <c r="A73" s="21"/>
      <c r="B73" s="21"/>
      <c r="C73" s="17" t="s">
        <v>103</v>
      </c>
      <c r="D73" s="22"/>
      <c r="E73" s="22"/>
      <c r="F73" s="23">
        <f>76797.414084216+0.0000299640083312988</f>
        <v>76797.414114180006</v>
      </c>
      <c r="G73" s="43">
        <v>1.0000000099999999</v>
      </c>
      <c r="H73" s="18" t="s">
        <v>12</v>
      </c>
    </row>
    <row r="74" spans="1:8" x14ac:dyDescent="0.2">
      <c r="A74" s="44"/>
      <c r="B74" s="44"/>
      <c r="C74" s="44"/>
      <c r="D74" s="45"/>
      <c r="E74" s="45"/>
      <c r="F74" s="45"/>
      <c r="G74" s="45"/>
    </row>
    <row r="75" spans="1:8" x14ac:dyDescent="0.2">
      <c r="A75" s="46"/>
      <c r="B75" s="151" t="s">
        <v>570</v>
      </c>
      <c r="C75" s="151"/>
      <c r="D75" s="151"/>
      <c r="E75" s="151"/>
      <c r="F75" s="151"/>
      <c r="G75" s="151"/>
      <c r="H75" s="151"/>
    </row>
    <row r="76" spans="1:8" x14ac:dyDescent="0.2">
      <c r="A76" s="46"/>
      <c r="B76" s="151" t="s">
        <v>571</v>
      </c>
      <c r="C76" s="151"/>
      <c r="D76" s="151"/>
      <c r="E76" s="151"/>
      <c r="F76" s="151"/>
      <c r="G76" s="151"/>
      <c r="H76" s="151"/>
    </row>
    <row r="77" spans="1:8" x14ac:dyDescent="0.2">
      <c r="A77" s="46"/>
      <c r="B77" s="151" t="s">
        <v>572</v>
      </c>
      <c r="C77" s="151"/>
      <c r="D77" s="151"/>
      <c r="E77" s="151"/>
      <c r="F77" s="151"/>
      <c r="G77" s="151"/>
      <c r="H77" s="151"/>
    </row>
    <row r="78" spans="1:8" x14ac:dyDescent="0.2">
      <c r="A78" s="48"/>
      <c r="B78" s="48"/>
      <c r="C78" s="48"/>
      <c r="D78" s="49"/>
      <c r="E78" s="49"/>
      <c r="F78" s="49"/>
      <c r="G78" s="49"/>
    </row>
    <row r="79" spans="1:8" x14ac:dyDescent="0.2">
      <c r="A79" s="48"/>
      <c r="B79" s="153" t="s">
        <v>104</v>
      </c>
      <c r="C79" s="154"/>
      <c r="D79" s="155"/>
      <c r="E79" s="50"/>
      <c r="F79" s="49"/>
      <c r="G79" s="49"/>
    </row>
    <row r="80" spans="1:8" x14ac:dyDescent="0.2">
      <c r="A80" s="48"/>
      <c r="B80" s="156" t="s">
        <v>105</v>
      </c>
      <c r="C80" s="157"/>
      <c r="D80" s="17" t="s">
        <v>106</v>
      </c>
      <c r="E80" s="50"/>
      <c r="F80" s="49"/>
      <c r="G80" s="49"/>
    </row>
    <row r="81" spans="1:21" x14ac:dyDescent="0.2">
      <c r="A81" s="48"/>
      <c r="B81" s="156" t="s">
        <v>107</v>
      </c>
      <c r="C81" s="157"/>
      <c r="D81" s="17" t="s">
        <v>106</v>
      </c>
      <c r="E81" s="50"/>
      <c r="F81" s="49"/>
      <c r="G81" s="49"/>
    </row>
    <row r="82" spans="1:21" x14ac:dyDescent="0.2">
      <c r="A82" s="48"/>
      <c r="B82" s="156" t="s">
        <v>108</v>
      </c>
      <c r="C82" s="157"/>
      <c r="D82" s="22" t="s">
        <v>12</v>
      </c>
      <c r="E82" s="50"/>
      <c r="F82" s="49"/>
      <c r="G82" s="49"/>
    </row>
    <row r="83" spans="1:21" x14ac:dyDescent="0.2">
      <c r="A83" s="51"/>
      <c r="B83" s="52" t="s">
        <v>12</v>
      </c>
      <c r="C83" s="52" t="s">
        <v>573</v>
      </c>
      <c r="D83" s="52" t="s">
        <v>109</v>
      </c>
      <c r="E83" s="51"/>
      <c r="F83" s="51"/>
      <c r="G83" s="51"/>
      <c r="H83" s="53"/>
    </row>
    <row r="84" spans="1:21" x14ac:dyDescent="0.2">
      <c r="A84" s="51"/>
      <c r="B84" s="54" t="s">
        <v>110</v>
      </c>
      <c r="C84" s="55">
        <v>45657</v>
      </c>
      <c r="D84" s="55">
        <v>45672</v>
      </c>
      <c r="E84" s="51"/>
      <c r="F84" s="51"/>
      <c r="G84" s="51"/>
    </row>
    <row r="85" spans="1:21" x14ac:dyDescent="0.2">
      <c r="A85" s="56"/>
      <c r="B85" s="25" t="s">
        <v>111</v>
      </c>
      <c r="C85" s="57">
        <v>1335.4733000000001</v>
      </c>
      <c r="D85" s="57">
        <v>1339.07</v>
      </c>
      <c r="E85" s="56"/>
      <c r="F85" s="58"/>
      <c r="G85" s="59"/>
    </row>
    <row r="86" spans="1:21" ht="25.5" x14ac:dyDescent="0.2">
      <c r="A86" s="56"/>
      <c r="B86" s="25" t="s">
        <v>695</v>
      </c>
      <c r="C86" s="57">
        <v>1044.9499000000001</v>
      </c>
      <c r="D86" s="57">
        <v>1047.7646</v>
      </c>
      <c r="E86" s="56"/>
      <c r="F86" s="58"/>
      <c r="G86" s="59"/>
    </row>
    <row r="87" spans="1:21" x14ac:dyDescent="0.2">
      <c r="A87" s="56"/>
      <c r="B87" s="25" t="s">
        <v>112</v>
      </c>
      <c r="C87" s="57">
        <v>1327.7629999999999</v>
      </c>
      <c r="D87" s="57">
        <v>1331.2784999999999</v>
      </c>
      <c r="E87" s="56"/>
      <c r="F87" s="58"/>
      <c r="G87" s="59"/>
    </row>
    <row r="88" spans="1:21" ht="25.5" x14ac:dyDescent="0.2">
      <c r="A88" s="56"/>
      <c r="B88" s="25" t="s">
        <v>699</v>
      </c>
      <c r="C88" s="57">
        <v>1041.2144000000001</v>
      </c>
      <c r="D88" s="57">
        <v>1043.9724000000001</v>
      </c>
      <c r="E88" s="56"/>
      <c r="F88" s="58"/>
      <c r="G88" s="59"/>
    </row>
    <row r="89" spans="1:21" x14ac:dyDescent="0.2">
      <c r="A89" s="56"/>
      <c r="B89" s="56"/>
      <c r="C89" s="56"/>
      <c r="D89" s="56"/>
      <c r="E89" s="56"/>
      <c r="F89" s="56"/>
      <c r="G89" s="56"/>
    </row>
    <row r="90" spans="1:21" x14ac:dyDescent="0.2">
      <c r="A90" s="56"/>
      <c r="B90" s="156" t="s">
        <v>702</v>
      </c>
      <c r="C90" s="157"/>
      <c r="D90" s="33" t="s">
        <v>106</v>
      </c>
      <c r="E90" s="56"/>
      <c r="F90" s="56"/>
      <c r="G90" s="56"/>
    </row>
    <row r="91" spans="1:21" x14ac:dyDescent="0.2">
      <c r="A91" s="56"/>
      <c r="B91" s="60"/>
      <c r="C91" s="60"/>
      <c r="D91" s="60"/>
      <c r="E91" s="56"/>
      <c r="F91" s="56"/>
      <c r="G91" s="56"/>
    </row>
    <row r="92" spans="1:21" x14ac:dyDescent="0.2">
      <c r="A92" s="51"/>
      <c r="B92" s="158" t="s">
        <v>113</v>
      </c>
      <c r="C92" s="159"/>
      <c r="D92" s="33" t="s">
        <v>106</v>
      </c>
      <c r="E92" s="61"/>
      <c r="F92" s="51"/>
      <c r="G92" s="51"/>
    </row>
    <row r="93" spans="1:21" x14ac:dyDescent="0.2">
      <c r="A93" s="51"/>
      <c r="B93" s="158" t="s">
        <v>114</v>
      </c>
      <c r="C93" s="159"/>
      <c r="D93" s="33" t="s">
        <v>106</v>
      </c>
      <c r="E93" s="61"/>
      <c r="F93" s="51"/>
      <c r="G93" s="51"/>
    </row>
    <row r="94" spans="1:21" x14ac:dyDescent="0.2">
      <c r="A94" s="51"/>
      <c r="B94" s="158" t="s">
        <v>574</v>
      </c>
      <c r="C94" s="159"/>
      <c r="D94" s="33" t="s">
        <v>106</v>
      </c>
      <c r="E94" s="61"/>
      <c r="F94" s="51"/>
      <c r="G94" s="51"/>
      <c r="I94" s="35"/>
    </row>
    <row r="95" spans="1:21" x14ac:dyDescent="0.2">
      <c r="A95" s="60"/>
      <c r="B95" s="60"/>
      <c r="C95" s="60"/>
      <c r="D95" s="60"/>
      <c r="E95" s="60"/>
      <c r="F95" s="60"/>
      <c r="G95" s="60"/>
      <c r="I95" s="35"/>
    </row>
    <row r="96" spans="1:21" s="62" customFormat="1" x14ac:dyDescent="0.2">
      <c r="B96" s="160" t="s">
        <v>575</v>
      </c>
      <c r="C96" s="161"/>
      <c r="D96" s="162"/>
      <c r="I96" s="35"/>
      <c r="J96"/>
      <c r="K96" s="35"/>
      <c r="L96" s="35"/>
      <c r="M96" s="35"/>
      <c r="N96" s="68"/>
      <c r="Q96"/>
      <c r="R96"/>
      <c r="S96"/>
      <c r="T96"/>
      <c r="U96"/>
    </row>
    <row r="97" spans="2:21" s="62" customFormat="1" ht="38.25" x14ac:dyDescent="0.2">
      <c r="B97" s="152" t="s">
        <v>576</v>
      </c>
      <c r="C97" s="152"/>
      <c r="D97" s="63" t="s">
        <v>546</v>
      </c>
      <c r="I97" s="35"/>
      <c r="J97"/>
      <c r="K97" s="35"/>
      <c r="L97" s="35"/>
      <c r="M97" s="35"/>
      <c r="N97" s="68"/>
      <c r="Q97"/>
      <c r="R97"/>
      <c r="S97"/>
      <c r="T97"/>
      <c r="U97"/>
    </row>
    <row r="98" spans="2:21" s="62" customFormat="1" x14ac:dyDescent="0.2">
      <c r="B98" s="148" t="s">
        <v>577</v>
      </c>
      <c r="C98" s="148"/>
      <c r="D98" s="64"/>
      <c r="I98" s="35"/>
      <c r="J98"/>
      <c r="K98" s="35"/>
      <c r="L98" s="35"/>
      <c r="M98" s="35"/>
      <c r="N98" s="68"/>
    </row>
    <row r="99" spans="2:21" s="62" customFormat="1" x14ac:dyDescent="0.2">
      <c r="B99" s="148"/>
      <c r="C99" s="148"/>
      <c r="D99" s="65"/>
      <c r="I99"/>
      <c r="J99"/>
      <c r="K99" s="35"/>
      <c r="L99" s="35"/>
      <c r="M99" s="35"/>
      <c r="N99" s="68"/>
    </row>
    <row r="100" spans="2:21" s="62" customFormat="1" x14ac:dyDescent="0.2">
      <c r="B100" s="148" t="s">
        <v>578</v>
      </c>
      <c r="C100" s="148"/>
      <c r="D100" s="66">
        <v>6.3489307610702745</v>
      </c>
      <c r="I100"/>
      <c r="J100"/>
      <c r="K100" s="35"/>
      <c r="L100" s="35"/>
      <c r="M100" s="35"/>
      <c r="N100" s="68"/>
    </row>
    <row r="101" spans="2:21" s="62" customFormat="1" x14ac:dyDescent="0.2">
      <c r="B101" s="148"/>
      <c r="C101" s="148"/>
      <c r="D101" s="65"/>
      <c r="I101"/>
      <c r="J101"/>
      <c r="K101" s="35"/>
      <c r="L101" s="35"/>
      <c r="M101" s="35"/>
      <c r="N101" s="68"/>
    </row>
    <row r="102" spans="2:21" s="62" customFormat="1" x14ac:dyDescent="0.2">
      <c r="B102" s="148" t="s">
        <v>686</v>
      </c>
      <c r="C102" s="148"/>
      <c r="D102" s="144">
        <v>1</v>
      </c>
      <c r="I102"/>
      <c r="J102"/>
      <c r="K102" s="35"/>
      <c r="L102" s="35"/>
      <c r="M102" s="35"/>
      <c r="N102" s="68"/>
    </row>
    <row r="103" spans="2:21" s="62" customFormat="1" x14ac:dyDescent="0.2">
      <c r="B103" s="148" t="s">
        <v>687</v>
      </c>
      <c r="C103" s="148"/>
      <c r="D103" s="144">
        <v>1</v>
      </c>
      <c r="I103"/>
      <c r="J103"/>
      <c r="K103" s="35"/>
      <c r="L103" s="35"/>
      <c r="M103" s="35"/>
      <c r="N103" s="68"/>
    </row>
    <row r="104" spans="2:21" s="62" customFormat="1" x14ac:dyDescent="0.2">
      <c r="B104" s="148"/>
      <c r="C104" s="148"/>
      <c r="D104" s="65"/>
      <c r="I104"/>
      <c r="J104"/>
      <c r="K104" s="35"/>
      <c r="L104" s="35"/>
      <c r="M104" s="35"/>
      <c r="N104" s="68"/>
    </row>
    <row r="105" spans="2:21" s="62" customFormat="1" x14ac:dyDescent="0.2">
      <c r="B105" s="148" t="s">
        <v>581</v>
      </c>
      <c r="C105" s="148"/>
      <c r="D105" s="67" t="s">
        <v>690</v>
      </c>
      <c r="I105"/>
      <c r="J105"/>
      <c r="K105" s="35"/>
      <c r="L105" s="35"/>
      <c r="M105" s="35"/>
      <c r="N105" s="68"/>
    </row>
    <row r="106" spans="2:21" s="62" customFormat="1" x14ac:dyDescent="0.2">
      <c r="B106" s="146" t="s">
        <v>582</v>
      </c>
      <c r="C106" s="149"/>
      <c r="D106" s="147"/>
      <c r="I106"/>
      <c r="J106"/>
      <c r="K106" s="35"/>
      <c r="L106" s="35"/>
      <c r="M106" s="35"/>
      <c r="N106" s="68"/>
    </row>
    <row r="107" spans="2:21" x14ac:dyDescent="0.2">
      <c r="H107" s="145"/>
    </row>
    <row r="108" spans="2:21" x14ac:dyDescent="0.2">
      <c r="B108" s="69" t="s">
        <v>583</v>
      </c>
    </row>
    <row r="110" spans="2:21" ht="153.75" customHeight="1" x14ac:dyDescent="0.2"/>
    <row r="113" spans="2:10" x14ac:dyDescent="0.2">
      <c r="B113" s="70" t="s">
        <v>584</v>
      </c>
      <c r="C113" s="71"/>
      <c r="D113" s="70" t="s">
        <v>585</v>
      </c>
    </row>
    <row r="114" spans="2:10" x14ac:dyDescent="0.2">
      <c r="B114" s="70" t="s">
        <v>688</v>
      </c>
      <c r="D114" s="70" t="s">
        <v>689</v>
      </c>
    </row>
    <row r="115" spans="2:10" ht="165" customHeight="1" x14ac:dyDescent="0.2"/>
    <row r="117" spans="2:10" x14ac:dyDescent="0.2">
      <c r="J117" s="15"/>
    </row>
  </sheetData>
  <mergeCells count="25">
    <mergeCell ref="B77:H77"/>
    <mergeCell ref="B97:C97"/>
    <mergeCell ref="B98:C98"/>
    <mergeCell ref="B79:D79"/>
    <mergeCell ref="B80:C80"/>
    <mergeCell ref="B81:C81"/>
    <mergeCell ref="B82:C82"/>
    <mergeCell ref="B90:C90"/>
    <mergeCell ref="B94:C94"/>
    <mergeCell ref="B92:C92"/>
    <mergeCell ref="B93:C93"/>
    <mergeCell ref="B96:D96"/>
    <mergeCell ref="A1:H1"/>
    <mergeCell ref="A2:H2"/>
    <mergeCell ref="A3:H3"/>
    <mergeCell ref="B75:H75"/>
    <mergeCell ref="B76:H76"/>
    <mergeCell ref="B104:C104"/>
    <mergeCell ref="B105:C105"/>
    <mergeCell ref="B106:D106"/>
    <mergeCell ref="B99:C99"/>
    <mergeCell ref="B100:C100"/>
    <mergeCell ref="B101:C101"/>
    <mergeCell ref="B102:C102"/>
    <mergeCell ref="B103:C103"/>
  </mergeCells>
  <hyperlinks>
    <hyperlink ref="I1" location="Index!B2" display="Index" xr:uid="{B246F933-CC24-476E-B3E8-95ABBA13298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2025-01-16T07:14:44Z</dcterms:created>
  <dcterms:modified xsi:type="dcterms:W3CDTF">2025-01-17T12:12:51Z</dcterms:modified>
</cp:coreProperties>
</file>