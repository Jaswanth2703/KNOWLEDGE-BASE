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X:\DEBT_BACKOFFICE\Debt_Factsheets\2025 - Fortnightly Portfolio\15 Mar 2025\"/>
    </mc:Choice>
  </mc:AlternateContent>
  <xr:revisionPtr revIDLastSave="0" documentId="13_ncr:1_{83ACFEE1-3E18-427C-A642-5D8661DDBCBC}" xr6:coauthVersionLast="47" xr6:coauthVersionMax="47" xr10:uidLastSave="{00000000-0000-0000-0000-000000000000}"/>
  <bookViews>
    <workbookView xWindow="-120" yWindow="-120" windowWidth="24240" windowHeight="13020" tabRatio="761" activeTab="10" xr2:uid="{BE15F250-B313-48C9-82BB-AD1399B470A3}"/>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2" i="7" l="1"/>
  <c r="F172" i="7"/>
  <c r="I189" i="5"/>
  <c r="F189" i="5"/>
  <c r="F162" i="4"/>
  <c r="I162" i="4"/>
  <c r="F72" i="10"/>
  <c r="F71" i="10"/>
  <c r="F83" i="8"/>
  <c r="F82" i="8"/>
  <c r="F132" i="7"/>
  <c r="F99" i="6"/>
  <c r="F98" i="6"/>
  <c r="F151" i="5"/>
  <c r="F152" i="5"/>
  <c r="F103" i="4"/>
  <c r="F102" i="4"/>
  <c r="F97" i="2"/>
  <c r="F96" i="2"/>
  <c r="J145" i="9" l="1"/>
  <c r="G48" i="9"/>
  <c r="G99" i="9" s="1"/>
  <c r="F48" i="9"/>
  <c r="F99" i="9" s="1"/>
  <c r="G13" i="9" s="1"/>
  <c r="G30" i="9" s="1"/>
  <c r="F30" i="9"/>
  <c r="F13" i="9"/>
  <c r="F89" i="9"/>
  <c r="G89" i="9"/>
  <c r="G120" i="8"/>
  <c r="G73" i="8"/>
  <c r="F73" i="8"/>
  <c r="F130" i="7"/>
  <c r="F129" i="7"/>
  <c r="G119" i="7"/>
  <c r="F119" i="7"/>
  <c r="I159" i="6"/>
  <c r="J159" i="6" s="1"/>
  <c r="I158" i="6"/>
  <c r="J158" i="6" s="1"/>
  <c r="I157" i="6"/>
  <c r="J157" i="6" s="1"/>
  <c r="G157" i="6"/>
  <c r="I156" i="6"/>
  <c r="J156" i="6" s="1"/>
  <c r="G89" i="6"/>
  <c r="F89" i="6"/>
  <c r="F142" i="5"/>
  <c r="G142" i="5"/>
  <c r="I157" i="4"/>
  <c r="J157" i="4" s="1"/>
  <c r="I156" i="4"/>
  <c r="J156" i="4" s="1"/>
  <c r="I155" i="4"/>
  <c r="J155" i="4" s="1"/>
  <c r="G93" i="4"/>
  <c r="F93" i="4"/>
  <c r="G94" i="1"/>
  <c r="F94" i="1"/>
  <c r="G87" i="2"/>
  <c r="F87" i="2"/>
  <c r="G92" i="3"/>
  <c r="F92" i="3"/>
  <c r="F133" i="7" l="1"/>
  <c r="H165" i="7" s="1"/>
  <c r="H164" i="7" l="1"/>
  <c r="G132" i="7"/>
  <c r="G133" i="7" s="1"/>
</calcChain>
</file>

<file path=xl/sharedStrings.xml><?xml version="1.0" encoding="utf-8"?>
<sst xmlns="http://schemas.openxmlformats.org/spreadsheetml/2006/main" count="3228" uniqueCount="677">
  <si>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</si>
  <si>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</si>
  <si>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</si>
  <si>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</si>
  <si>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</si>
  <si>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</si>
  <si>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</si>
  <si>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</si>
  <si>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</si>
  <si>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</si>
  <si>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</si>
  <si>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</si>
  <si>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</si>
  <si>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</si>
  <si>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</si>
  <si>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</si>
  <si>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</si>
  <si>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</si>
  <si>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</si>
  <si>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</si>
  <si>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</si>
  <si>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</si>
  <si>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</si>
  <si>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</si>
  <si>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</si>
  <si>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</si>
  <si>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</si>
  <si>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</si>
  <si>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</si>
  <si>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</si>
  <si>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INE040A08930</t>
  </si>
  <si>
    <t>HDFC Bank Ltd (Prev HDFC Ltd) - 7.65% - 25/05/2033**</t>
  </si>
  <si>
    <t>INE261F08EJ7</t>
  </si>
  <si>
    <t>National Bank for Agriculture &amp; Rural Development - 7.64% - 06/12/2029**</t>
  </si>
  <si>
    <t>ICRA AAA</t>
  </si>
  <si>
    <t>INE261F08EH1</t>
  </si>
  <si>
    <t>National Bank for Agriculture &amp; Rural Development - 7.62% - 10/05/2029**</t>
  </si>
  <si>
    <t>INE020B08EK4</t>
  </si>
  <si>
    <t>REC LTD - 7.46% - 30/06/2028**</t>
  </si>
  <si>
    <t>INE020B08EL2</t>
  </si>
  <si>
    <t>REC LTD - 7.44% - 30/04/2026**</t>
  </si>
  <si>
    <t>INE053F08304</t>
  </si>
  <si>
    <t>Indian Railway Finance Corporation Ltd - 7.23% - 15/10/2026**</t>
  </si>
  <si>
    <t>INE134E08NB7</t>
  </si>
  <si>
    <t>Power Finance Corporation Ltd - 7.32% - 15/07/2039**</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</si>
  <si>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</si>
  <si>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</si>
  <si>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</si>
  <si>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</si>
  <si>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</si>
  <si>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</si>
  <si>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</si>
  <si>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</si>
  <si>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</si>
  <si>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</si>
  <si>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</si>
  <si>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</si>
  <si>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</si>
  <si>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</si>
  <si>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</si>
  <si>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</si>
  <si>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</si>
  <si>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</si>
  <si>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</si>
  <si>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</si>
  <si>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</si>
  <si>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</si>
  <si>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</si>
  <si>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</si>
  <si>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</si>
  <si>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</si>
  <si>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</si>
  <si>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</si>
  <si>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</si>
  <si>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</si>
  <si>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</si>
  <si>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</si>
  <si>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</si>
  <si>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IN0020240035</t>
  </si>
  <si>
    <t>7.34% Central Government Securities 22/04/2064</t>
  </si>
  <si>
    <t>IN0020230051</t>
  </si>
  <si>
    <t>7.30% Government Securities - 19/06/2053</t>
  </si>
  <si>
    <t>IN3120240400</t>
  </si>
  <si>
    <t>6.96% Tamil Nadu State Government Securities - 04/12/2028</t>
  </si>
  <si>
    <t>IN0020230077</t>
  </si>
  <si>
    <t>7.18%  Government Securities - 24/07/2037</t>
  </si>
  <si>
    <t>IN0020230101</t>
  </si>
  <si>
    <t>7.37% Government Securities-23/10/2028</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</si>
  <si>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</si>
  <si>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</si>
  <si>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</si>
  <si>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</si>
  <si>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</si>
  <si>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</si>
  <si>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</si>
  <si>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</si>
  <si>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</si>
  <si>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</si>
  <si>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</si>
  <si>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</si>
  <si>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</si>
  <si>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</si>
  <si>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</si>
  <si>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</si>
  <si>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</si>
  <si>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</si>
  <si>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</si>
  <si>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</si>
  <si>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</si>
  <si>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</si>
  <si>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</si>
  <si>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</si>
  <si>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</si>
  <si>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</si>
  <si>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</si>
  <si>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</si>
  <si>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</si>
  <si>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</si>
  <si>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</si>
  <si>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</si>
  <si>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</si>
  <si>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</si>
  <si>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</si>
  <si>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</si>
  <si>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</si>
  <si>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</si>
  <si>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</si>
  <si>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</si>
  <si>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</si>
  <si>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</si>
  <si>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</si>
  <si>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</si>
  <si>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</si>
  <si>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</si>
  <si>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</si>
  <si>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INE0KUG08035</t>
  </si>
  <si>
    <t>National Bank for Financing Infrastructure and Development - 7.43% - 04/07/2034**</t>
  </si>
  <si>
    <t>INE053F08338</t>
  </si>
  <si>
    <t>Indian Railway Finance Corporation Ltd - 7.68% - 24/11/2026**</t>
  </si>
  <si>
    <t>IN0020240027</t>
  </si>
  <si>
    <t>7.23% Central Government Securities 15/04/2039</t>
  </si>
  <si>
    <t>INE040A16GE5</t>
  </si>
  <si>
    <t>HDFC Bank Ltd - 04/02/2026</t>
  </si>
  <si>
    <t>CRISIL A1+</t>
  </si>
  <si>
    <t>Direct Plan - Bonus</t>
  </si>
  <si>
    <t>Regular Plan - Bonus</t>
  </si>
  <si>
    <t>Sundaram Money Market Fund</t>
  </si>
  <si>
    <t>INE556F16BB6</t>
  </si>
  <si>
    <t>Small Industries Development Bank of India - 27/02/2026</t>
  </si>
  <si>
    <t>INE261F16967</t>
  </si>
  <si>
    <t>National Bank for Agriculture &amp; Rural Development - 27/02/2026**</t>
  </si>
  <si>
    <t>INE949L16CY1</t>
  </si>
  <si>
    <t>AU Small Finance Bank Ltd - 28/10/2025**</t>
  </si>
  <si>
    <t>INE084A16CS2</t>
  </si>
  <si>
    <t>Bank of India - 28/11/2025</t>
  </si>
  <si>
    <t>INE171A16MK3</t>
  </si>
  <si>
    <t>The Federal Bank Ltd - 25/11/2025**</t>
  </si>
  <si>
    <t>INE556F16AX2</t>
  </si>
  <si>
    <t>Small Industries Development Bank of India - 05/12/2025**</t>
  </si>
  <si>
    <t>INE095A16X85</t>
  </si>
  <si>
    <t>IndusInd Bank Ltd - 05/12/2025**</t>
  </si>
  <si>
    <t>INE476A16A24</t>
  </si>
  <si>
    <t>Canara Bank - 03/02/2026**</t>
  </si>
  <si>
    <t>INE562A16OA0</t>
  </si>
  <si>
    <t>Indian Bank - 04/02/2026**</t>
  </si>
  <si>
    <t>INE237A165Z5</t>
  </si>
  <si>
    <t>Kotak Mahindra Bank Ltd - 18/02/2026**</t>
  </si>
  <si>
    <t>INE261F16959</t>
  </si>
  <si>
    <t>National Bank for Agriculture &amp; Rural Development - 17/02/2026**</t>
  </si>
  <si>
    <t>INE237A166Z3</t>
  </si>
  <si>
    <t>Kotak Mahindra Bank Ltd - 27/02/2026**</t>
  </si>
  <si>
    <t>INE008A16X99</t>
  </si>
  <si>
    <t>IDBI Bank Ltd - 23/02/2026**</t>
  </si>
  <si>
    <t>INE476A16B31</t>
  </si>
  <si>
    <t>Canara Bank - 13/03/2026**</t>
  </si>
  <si>
    <t>INE092T16XX1</t>
  </si>
  <si>
    <t>IDFC First Bank Ltd - 23/01/2026**</t>
  </si>
  <si>
    <t>INE476A16A65</t>
  </si>
  <si>
    <t>Canara Bank - 24/02/2026**</t>
  </si>
  <si>
    <t>INE095A16X69</t>
  </si>
  <si>
    <t>IndusInd Bank Ltd - 21/11/2025**</t>
  </si>
  <si>
    <t>INE090AD6170</t>
  </si>
  <si>
    <t>ICICI Bank Ltd - 25/07/2025**</t>
  </si>
  <si>
    <t>ICRA A1+</t>
  </si>
  <si>
    <t>INE040A16FA5</t>
  </si>
  <si>
    <t>HDFC Bank Ltd - 24/06/2025**</t>
  </si>
  <si>
    <t>INE763G14XJ8</t>
  </si>
  <si>
    <t>ICICI Securities Ltd - 03/03/2026**</t>
  </si>
  <si>
    <t>INE403D14544</t>
  </si>
  <si>
    <t>Bharti Telecom Ltd - 17/10/2025**</t>
  </si>
  <si>
    <t>INE115A14FJ1</t>
  </si>
  <si>
    <t>LIC Housing Finance Ltd - 18/02/2026**</t>
  </si>
  <si>
    <t>INE338I14JI6</t>
  </si>
  <si>
    <t>Motilal Oswal Financial Services Ltd - 25/02/2026**</t>
  </si>
  <si>
    <t>INE824H14QT9</t>
  </si>
  <si>
    <t>Julius Baer Capital (India) Private Ltd - 17/06/2025**</t>
  </si>
  <si>
    <t>INE572E14JM1</t>
  </si>
  <si>
    <t>PNB Housing Finance Ltd - 25/09/2025**</t>
  </si>
  <si>
    <t>INE144H14HM6</t>
  </si>
  <si>
    <t>Deutsche Investments India Private Ltd - 09/09/2025**</t>
  </si>
  <si>
    <t>IN002024Z461</t>
  </si>
  <si>
    <t>364 Days - T Bill - 27/02/2026</t>
  </si>
  <si>
    <t>IN002024Z453</t>
  </si>
  <si>
    <t>364 Days - T Bill - 20/02/2026</t>
  </si>
  <si>
    <t>Sundaram Low Duration Fund</t>
  </si>
  <si>
    <t>INE477A07373</t>
  </si>
  <si>
    <t>Can Fin Homes Ltd - 8.45% - 27/05/2026**</t>
  </si>
  <si>
    <t>IND AA+</t>
  </si>
  <si>
    <t>INE721A07SB0</t>
  </si>
  <si>
    <t>Shriram Finance Ltd - 9.2% - 22/05/2026**</t>
  </si>
  <si>
    <t>CRISIL AA+</t>
  </si>
  <si>
    <t>INE020B08ED9</t>
  </si>
  <si>
    <t>REC LTD - 7.56% - 30/06/2026**</t>
  </si>
  <si>
    <t>INE403D08181</t>
  </si>
  <si>
    <t>Bharti Telecom Ltd - 8.9% - 04/12/2025**</t>
  </si>
  <si>
    <t>INE572E07183</t>
  </si>
  <si>
    <t>PNB Housing Finance Ltd - 8.15% - 29/07/2027**</t>
  </si>
  <si>
    <t>INE523H07CB9</t>
  </si>
  <si>
    <t>JM Financial Products Ltd - 8.92% - 16/11/2026**</t>
  </si>
  <si>
    <t>CRISIL AA</t>
  </si>
  <si>
    <t>INE020B08EM0</t>
  </si>
  <si>
    <t>REC LTD - 7.64% - 30/06/2026</t>
  </si>
  <si>
    <t>INE414G07HI7</t>
  </si>
  <si>
    <t>Muthoot Finance Ltd - 8.3% - 06/01/2026**</t>
  </si>
  <si>
    <t>INE261F08DP6</t>
  </si>
  <si>
    <t>National Bank for Agriculture &amp; Rural Development - 7.35% - 08/07/2025**</t>
  </si>
  <si>
    <t>INE233A08121</t>
  </si>
  <si>
    <t>Godrej Industries Ltd - 8.36% - 28/08/2026**</t>
  </si>
  <si>
    <t>INE477A07415</t>
  </si>
  <si>
    <t>Can Fin Homes Ltd - 8.09% - 04/01/2027**</t>
  </si>
  <si>
    <t>INE721A07RU2</t>
  </si>
  <si>
    <t>Shriram Finance Ltd - 9.25% - 19/12/2025**</t>
  </si>
  <si>
    <t>INE020B08FF1</t>
  </si>
  <si>
    <t>REC LTD - 7.56% - 31/08/2027**</t>
  </si>
  <si>
    <t>INE121A07QT9</t>
  </si>
  <si>
    <t>Cholamandalam Investment and Finance Co Ltd - 8.45% - 21/11/2025**</t>
  </si>
  <si>
    <t>ICRA AA+</t>
  </si>
  <si>
    <t>INE414G07JL7</t>
  </si>
  <si>
    <t>Muthoot Finance Ltd - 8.65% - 31/01/2028**</t>
  </si>
  <si>
    <t>IN0020220037</t>
  </si>
  <si>
    <t>7.38% Central Government Securities 20/06/2027</t>
  </si>
  <si>
    <t>IN0020240050</t>
  </si>
  <si>
    <t>7.04% Central Government Securities 03/06/2029</t>
  </si>
  <si>
    <t>INE040A16GK2</t>
  </si>
  <si>
    <t>HDFC Bank Ltd - 27/05/2025**</t>
  </si>
  <si>
    <t>INE008A16Y07</t>
  </si>
  <si>
    <t>IDBI Bank Ltd - 27/05/2025**</t>
  </si>
  <si>
    <t>INE949L16CX3</t>
  </si>
  <si>
    <t>AU Small Finance Bank Ltd - 01/10/2025**</t>
  </si>
  <si>
    <t>Sundaram Liquid Fund</t>
  </si>
  <si>
    <t>INE040A16GO4</t>
  </si>
  <si>
    <t>HDFC Bank Ltd - 11/06/2025**</t>
  </si>
  <si>
    <t>INE160A16QQ4</t>
  </si>
  <si>
    <t>Punjab National Bank - 27/03/2025</t>
  </si>
  <si>
    <t>INE028A16GP6</t>
  </si>
  <si>
    <t>Bank of Baroda - 05/05/2025</t>
  </si>
  <si>
    <t>IND A1+</t>
  </si>
  <si>
    <t>INE562A16NZ9</t>
  </si>
  <si>
    <t>Indian Bank - 06/05/2025**</t>
  </si>
  <si>
    <t>INE238AD6975</t>
  </si>
  <si>
    <t>Axis Bank Ltd - 16/05/2025**</t>
  </si>
  <si>
    <t>INE556F16AS2</t>
  </si>
  <si>
    <t>Small Industries Development Bank of India - 10/06/2025**</t>
  </si>
  <si>
    <t>INE692A16HF8</t>
  </si>
  <si>
    <t>Union Bank of India - 26/03/2025**</t>
  </si>
  <si>
    <t>INE476A16A40</t>
  </si>
  <si>
    <t>Canara Bank - 08/05/2025**</t>
  </si>
  <si>
    <t>INE160A16QZ5</t>
  </si>
  <si>
    <t>Punjab National Bank - 08/05/2025**</t>
  </si>
  <si>
    <t>INE008A16X81</t>
  </si>
  <si>
    <t>IDBI Bank Ltd - 08/05/2025**</t>
  </si>
  <si>
    <t>INE562A16OD4</t>
  </si>
  <si>
    <t>Indian Bank - 19/05/2025**</t>
  </si>
  <si>
    <t>INE171A16ME6</t>
  </si>
  <si>
    <t>The Federal Bank Ltd - 23/05/2025**</t>
  </si>
  <si>
    <t>INE160A16RD0</t>
  </si>
  <si>
    <t>Punjab National Bank - 02/06/2025**</t>
  </si>
  <si>
    <t>INE562A16OF9</t>
  </si>
  <si>
    <t>Indian Bank - 05/06/2025**</t>
  </si>
  <si>
    <t>INE028A16HA6</t>
  </si>
  <si>
    <t>Bank of Baroda - 09/06/2025**</t>
  </si>
  <si>
    <t>INE028A16HX8</t>
  </si>
  <si>
    <t>Bank of Baroda - 10/06/2025**</t>
  </si>
  <si>
    <t>INE692A16JD9</t>
  </si>
  <si>
    <t>Union Bank of India - 12/06/2025**</t>
  </si>
  <si>
    <t>INE084A16DD2</t>
  </si>
  <si>
    <t>Bank of India - 12/06/2025**</t>
  </si>
  <si>
    <t>INE01GA16236</t>
  </si>
  <si>
    <t>DBS Bank India Ltd - 19/03/2025**</t>
  </si>
  <si>
    <t>INE160A16QP6</t>
  </si>
  <si>
    <t>Punjab National Bank - 20/03/2025</t>
  </si>
  <si>
    <t>INE514E16CH3</t>
  </si>
  <si>
    <t>Export Import Bank of India - 24/03/2025**</t>
  </si>
  <si>
    <t>INE261F16868</t>
  </si>
  <si>
    <t>National Bank for Agriculture &amp; Rural Development - 26/03/2025**</t>
  </si>
  <si>
    <t>INE028A16HM1</t>
  </si>
  <si>
    <t>Bank of Baroda - 17/04/2025**</t>
  </si>
  <si>
    <t>INE692A16IQ3</t>
  </si>
  <si>
    <t>Union Bank of India - 06/05/2025**</t>
  </si>
  <si>
    <t>INE692A16IT7</t>
  </si>
  <si>
    <t>Union Bank of India - 23/05/2025**</t>
  </si>
  <si>
    <t>INE692A16IZ4</t>
  </si>
  <si>
    <t>Union Bank of India - 04/06/2025**</t>
  </si>
  <si>
    <t>INE476A16B15</t>
  </si>
  <si>
    <t>Canara Bank - 09/06/2025**</t>
  </si>
  <si>
    <t>INE261F16850</t>
  </si>
  <si>
    <t>National Bank for Agriculture &amp; Rural Development - 18/03/2025**</t>
  </si>
  <si>
    <t>INE040A16GG0</t>
  </si>
  <si>
    <t>HDFC Bank Ltd - 09/05/2025**</t>
  </si>
  <si>
    <t>INE028A16GV4</t>
  </si>
  <si>
    <t>Bank of Baroda - 06/06/2025</t>
  </si>
  <si>
    <t>INE976I14PP5</t>
  </si>
  <si>
    <t>Tata Capital Ltd - 08/05/2025**</t>
  </si>
  <si>
    <t>INE261F14MZ4</t>
  </si>
  <si>
    <t>National Bank for Agriculture &amp; Rural Development - 07/05/2025**</t>
  </si>
  <si>
    <t>INE514E14SQ5</t>
  </si>
  <si>
    <t>Export Import Bank of India - 27/05/2025**</t>
  </si>
  <si>
    <t>INE0DZE14172</t>
  </si>
  <si>
    <t>Kisetsu Saison Finance - 20/03/2025**</t>
  </si>
  <si>
    <t>INE261F14MV3</t>
  </si>
  <si>
    <t>National Bank for Agriculture &amp; Rural Development - 28/04/2025**</t>
  </si>
  <si>
    <t>INE514E14SP7</t>
  </si>
  <si>
    <t>Export Import Bank of India - 07/05/2025**</t>
  </si>
  <si>
    <t>INE477S14CX5</t>
  </si>
  <si>
    <t>Tata Motors Finance Ltd - 07/05/2025**</t>
  </si>
  <si>
    <t>INE763G14WY9</t>
  </si>
  <si>
    <t>ICICI Securities Ltd - 08/05/2025**</t>
  </si>
  <si>
    <t>INE289B14JI6</t>
  </si>
  <si>
    <t>GIC Housing Finance Ltd - 16/05/2025**</t>
  </si>
  <si>
    <t>INE09OL14GQ4</t>
  </si>
  <si>
    <t>Birla Group Holdings Pvt Ltd - 23/05/2025**</t>
  </si>
  <si>
    <t>INE477A14DQ5</t>
  </si>
  <si>
    <t>Can Fin Homes Ltd - 29/05/2025**</t>
  </si>
  <si>
    <t>INE296A14ZX8</t>
  </si>
  <si>
    <t>Bajaj Finance Ltd - 12/06/2025**</t>
  </si>
  <si>
    <t>INE233A14X49</t>
  </si>
  <si>
    <t>Godrej Industries Ltd - 20/03/2025**</t>
  </si>
  <si>
    <t>INE824H14QY9</t>
  </si>
  <si>
    <t>Julius Baer Capital (India) Private Ltd - 20/03/2025**</t>
  </si>
  <si>
    <t>INE338I14JA3</t>
  </si>
  <si>
    <t>Motilal Oswal Financial Services Ltd - 22/04/2025**</t>
  </si>
  <si>
    <t>INE261F14MY7</t>
  </si>
  <si>
    <t>National Bank for Agriculture &amp; Rural Development - 06/05/2025**</t>
  </si>
  <si>
    <t>INE233A14Z62</t>
  </si>
  <si>
    <t>Godrej Industries Ltd - 09/05/2025**</t>
  </si>
  <si>
    <t>INE556F14KZ1</t>
  </si>
  <si>
    <t>INE261F14NH0</t>
  </si>
  <si>
    <t>National Bank for Agriculture &amp; Rural Development - 12/06/2025**</t>
  </si>
  <si>
    <t>INE929O14DG7</t>
  </si>
  <si>
    <t>Reliance Retail Ventures Ltd - 12/06/2025**</t>
  </si>
  <si>
    <t>INE414G14TR9</t>
  </si>
  <si>
    <t>Muthoot Finance Ltd - 10/06/2025**</t>
  </si>
  <si>
    <t>INE115A14EY3</t>
  </si>
  <si>
    <t>LIC Housing Finance Ltd - 18/03/2025**</t>
  </si>
  <si>
    <t>INE850D14TI0</t>
  </si>
  <si>
    <t>Godrej Agrovet Ltd - 18/03/2025**</t>
  </si>
  <si>
    <t>INE865C14MW6</t>
  </si>
  <si>
    <t>Aditya Birla Money Ltd - 20/03/2025**</t>
  </si>
  <si>
    <t>INE700G14NC6</t>
  </si>
  <si>
    <t>HDFC Securities Ltd - 22/04/2025**</t>
  </si>
  <si>
    <t>INE763G14WX1</t>
  </si>
  <si>
    <t>ICICI Securities Ltd - 07/05/2025**</t>
  </si>
  <si>
    <t>INE929O14DA0</t>
  </si>
  <si>
    <t>Reliance Retail Ventures Ltd - 09/05/2025**</t>
  </si>
  <si>
    <t>INE338I14JC9</t>
  </si>
  <si>
    <t>Motilal Oswal Financial Services Ltd - 07/05/2025**</t>
  </si>
  <si>
    <t>INE865C14NA0</t>
  </si>
  <si>
    <t>Aditya Birla Money Ltd - 09/05/2025**</t>
  </si>
  <si>
    <t>INE261F14NB3</t>
  </si>
  <si>
    <t>National Bank for Agriculture &amp; Rural Development - 22/05/2025**</t>
  </si>
  <si>
    <t>INE498L14DM7</t>
  </si>
  <si>
    <t>L &amp; T Finance Ltd - 23/05/2025**</t>
  </si>
  <si>
    <t>INE498L14DL9</t>
  </si>
  <si>
    <t>L &amp; T Finance Ltd - 26/05/2025**</t>
  </si>
  <si>
    <t>INE790I14FS5</t>
  </si>
  <si>
    <t>HSBC InvestDirect Financial Services India Limited - 27/05/2025**</t>
  </si>
  <si>
    <t>INE02FN14416</t>
  </si>
  <si>
    <t>IGH Holdings Private Limited - 27/05/2025**</t>
  </si>
  <si>
    <t>INE233A140H0</t>
  </si>
  <si>
    <t>Godrej Industries Ltd - 02/06/2025**</t>
  </si>
  <si>
    <t>INE763G14XT7</t>
  </si>
  <si>
    <t>ICICI Securities Ltd - 12/06/2025**</t>
  </si>
  <si>
    <t>INE212K14AL2</t>
  </si>
  <si>
    <t>SBI Cap securities Ltd - 20/03/2025**</t>
  </si>
  <si>
    <t>INE763G14WK8</t>
  </si>
  <si>
    <t>ICICI Securities Ltd - 21/03/2025**</t>
  </si>
  <si>
    <t>IN002024X441</t>
  </si>
  <si>
    <t>91 Days - T Bill - 08/05/2025</t>
  </si>
  <si>
    <t>IN002024X375</t>
  </si>
  <si>
    <t>91 Days - T Bill - 20/03/2025</t>
  </si>
  <si>
    <t>IN002024X425</t>
  </si>
  <si>
    <t>91 Days - T Bill - 24/04/2025</t>
  </si>
  <si>
    <t>IN002024Y290</t>
  </si>
  <si>
    <t>182 Days - T Bill - 01/05/2025</t>
  </si>
  <si>
    <t>IN002024X458</t>
  </si>
  <si>
    <t>91 Days - T Bill - 15/05/2025</t>
  </si>
  <si>
    <t>IN002024X482</t>
  </si>
  <si>
    <t>91 Days - T Bill - 05/06/2025</t>
  </si>
  <si>
    <t>IN002024X490</t>
  </si>
  <si>
    <t>91 Days - T Bill - 12/06/2025</t>
  </si>
  <si>
    <t>IN002024X474</t>
  </si>
  <si>
    <t>91 Days - T Bill - 30/05/2025</t>
  </si>
  <si>
    <t>IN002024Z024</t>
  </si>
  <si>
    <t>364 Days - T Bill - 11/04/2025</t>
  </si>
  <si>
    <t>Reverse Repo</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</si>
  <si>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</si>
  <si>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</si>
  <si>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</si>
  <si>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</si>
  <si>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</si>
  <si>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</si>
  <si>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</si>
  <si>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</si>
  <si>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</si>
  <si>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</si>
  <si>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</si>
  <si>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</si>
  <si>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</si>
  <si>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</si>
  <si>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</si>
  <si>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Sundaram Ultra Short Duration Fund</t>
  </si>
  <si>
    <t>INE756I07EI4</t>
  </si>
  <si>
    <t>HDB Financial Services Ltd - 7.5% - 23/09/2025**</t>
  </si>
  <si>
    <t>INE261F08DK7</t>
  </si>
  <si>
    <t>National Bank for Agriculture &amp; Rural Development - 5.7% - 31/07/2025**</t>
  </si>
  <si>
    <t>INE028A16GS0</t>
  </si>
  <si>
    <t>Bank of Baroda - 23/05/2025**</t>
  </si>
  <si>
    <t>INE238AD6843</t>
  </si>
  <si>
    <t>Axis Bank Ltd - 05/06/2025**</t>
  </si>
  <si>
    <t>INE692A16IC3</t>
  </si>
  <si>
    <t>Union Bank of India - 04/12/2025**</t>
  </si>
  <si>
    <t>INE095A16Y50</t>
  </si>
  <si>
    <t>IndusInd Bank Ltd - 04/02/2026**</t>
  </si>
  <si>
    <t>INE238AD6967</t>
  </si>
  <si>
    <t>Axis Bank Ltd - 19/05/2025**</t>
  </si>
  <si>
    <t>INE084A16CT0</t>
  </si>
  <si>
    <t>Bank of India - 28/05/2025**</t>
  </si>
  <si>
    <t>INE095A16X10</t>
  </si>
  <si>
    <t>IndusInd Bank Ltd - 19/08/2025**</t>
  </si>
  <si>
    <t>INE238AD6884</t>
  </si>
  <si>
    <t>Axis Bank Ltd - 22/08/2025**</t>
  </si>
  <si>
    <t>INE040A16FY5</t>
  </si>
  <si>
    <t>HDFC Bank Ltd - 04/12/2025**</t>
  </si>
  <si>
    <t>INE556F16AY0</t>
  </si>
  <si>
    <t>Small Industries Development Bank of India - 13/01/2026**</t>
  </si>
  <si>
    <t>INE040A16GD7</t>
  </si>
  <si>
    <t>HDFC Bank Ltd - 30/01/2026**</t>
  </si>
  <si>
    <t>INE261F16975</t>
  </si>
  <si>
    <t>National Bank for Agriculture &amp; Rural Development - 10/03/2026**</t>
  </si>
  <si>
    <t>INE556F16BD2</t>
  </si>
  <si>
    <t>Small Industries Development Bank of India - 11/03/2026</t>
  </si>
  <si>
    <t>INE514E14SL6</t>
  </si>
  <si>
    <t>Export Import Bank of India - 03/06/2025**</t>
  </si>
  <si>
    <t>INE790I14FT3</t>
  </si>
  <si>
    <t>HSBC InvestDirect Financial Services India Limited - 03/06/2025**</t>
  </si>
  <si>
    <t>INE115A14FF9</t>
  </si>
  <si>
    <t>LIC Housing Finance Ltd - 11/09/2025**</t>
  </si>
  <si>
    <t>INE417C14710</t>
  </si>
  <si>
    <t>Pilani Investment and Industries Corporation Ltd. - 21/03/2025**</t>
  </si>
  <si>
    <t>IN002024Y324</t>
  </si>
  <si>
    <t>182 Days - T Bill - 23/05/2025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</si>
  <si>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</si>
  <si>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</si>
  <si>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</si>
  <si>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</si>
  <si>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</si>
  <si>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</si>
  <si>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</si>
  <si>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</si>
  <si>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</si>
  <si>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</si>
  <si>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</si>
  <si>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</si>
  <si>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</si>
  <si>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</si>
  <si>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</si>
  <si>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</si>
  <si>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</si>
  <si>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</si>
  <si>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</si>
  <si>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</si>
  <si>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INE238A01034</t>
  </si>
  <si>
    <t>Axis Bank Ltd</t>
  </si>
  <si>
    <t>INE062A01020</t>
  </si>
  <si>
    <t>State Bank of India</t>
  </si>
  <si>
    <t>INE154A01025</t>
  </si>
  <si>
    <t>ITC Ltd</t>
  </si>
  <si>
    <t>Diversified Fmcg</t>
  </si>
  <si>
    <t>INE237A01028</t>
  </si>
  <si>
    <t>Kotak Mahindra Bank Ltd</t>
  </si>
  <si>
    <t>INE029A01011</t>
  </si>
  <si>
    <t>Bharat Petroleum Corporation Ltd</t>
  </si>
  <si>
    <t>INE481G01011</t>
  </si>
  <si>
    <t>Ultratech Cement Ltd</t>
  </si>
  <si>
    <t>Cement &amp; Cement Products</t>
  </si>
  <si>
    <t>INE018A01030</t>
  </si>
  <si>
    <t>Larsen &amp; Toubro Ltd</t>
  </si>
  <si>
    <t>Construction</t>
  </si>
  <si>
    <t>INE854D01024</t>
  </si>
  <si>
    <t>United Spirits Ltd</t>
  </si>
  <si>
    <t>Beverages</t>
  </si>
  <si>
    <t>INE196A01026</t>
  </si>
  <si>
    <t>Marico Ltd</t>
  </si>
  <si>
    <t>Agricultural Food &amp; Other Products</t>
  </si>
  <si>
    <t>INE917I01010</t>
  </si>
  <si>
    <t>Bajaj Auto Ltd</t>
  </si>
  <si>
    <t>Automobiles</t>
  </si>
  <si>
    <t>INE797F01020</t>
  </si>
  <si>
    <t>Jubilant Foodworks Ltd</t>
  </si>
  <si>
    <t>Leisure Services</t>
  </si>
  <si>
    <t>INE540L01014</t>
  </si>
  <si>
    <t>Alkem Laboratories Ltd</t>
  </si>
  <si>
    <t>Pharmaceuticals &amp; Biotechnology</t>
  </si>
  <si>
    <t>INE585B01010</t>
  </si>
  <si>
    <t>Maruti Suzuki India Ltd</t>
  </si>
  <si>
    <t>INE726G01019</t>
  </si>
  <si>
    <t>ICICI Prudential Life Insurance Company Ltd</t>
  </si>
  <si>
    <t>Insurance</t>
  </si>
  <si>
    <t>INE047A01021</t>
  </si>
  <si>
    <t>Grasim Industries Ltd</t>
  </si>
  <si>
    <t>INE603J01030</t>
  </si>
  <si>
    <t>PI Industries Ltd</t>
  </si>
  <si>
    <t>Fertilizers &amp; Agrochemicals</t>
  </si>
  <si>
    <t>IN9397D01014</t>
  </si>
  <si>
    <t>Sundaram Overnight Fund</t>
  </si>
  <si>
    <t>IN002024Y266</t>
  </si>
  <si>
    <t>182 Days - T Bill - 10/04/2025</t>
  </si>
  <si>
    <t>YTM (%)*</t>
  </si>
  <si>
    <t>S. No.</t>
  </si>
  <si>
    <t>ACRONYM</t>
  </si>
  <si>
    <t>SCHEME NAME</t>
  </si>
  <si>
    <t>SFRLTP</t>
  </si>
  <si>
    <t>SFRSTP</t>
  </si>
  <si>
    <t>SMMF</t>
  </si>
  <si>
    <t>SPLDF</t>
  </si>
  <si>
    <t>SPMON</t>
  </si>
  <si>
    <t>SPSDF</t>
  </si>
  <si>
    <t>SPUSDF</t>
  </si>
  <si>
    <t>SUNBDS</t>
  </si>
  <si>
    <t>SUNMIA</t>
  </si>
  <si>
    <t>SUNONF</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</si>
  <si>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</si>
  <si>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</si>
  <si>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</si>
  <si>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</si>
  <si>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</si>
  <si>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</si>
  <si>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</si>
  <si>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</si>
  <si>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</si>
  <si>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</si>
  <si>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</si>
  <si>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</si>
  <si>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</si>
  <si>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</si>
  <si>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</si>
  <si>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</si>
  <si>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</si>
  <si>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</si>
  <si>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</si>
  <si>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</si>
  <si>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</si>
  <si>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</si>
  <si>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Fortnightly Portfolio Statement as on 15 March 2025</t>
  </si>
  <si>
    <t xml:space="preserve">                    NIFTY Money Market Index A-I</t>
  </si>
  <si>
    <t>Refer below point i)</t>
  </si>
  <si>
    <t>Average Maturity  (years)</t>
  </si>
  <si>
    <t>VALUE OF THE SECURITY CONSIDERED UNDER NET RECEIVABLES</t>
  </si>
  <si>
    <t>% TO AUM</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</si>
  <si>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</si>
  <si>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</si>
  <si>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</si>
  <si>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</si>
  <si>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</si>
  <si>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</si>
  <si>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</si>
  <si>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</si>
  <si>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</si>
  <si>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</si>
  <si>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</si>
  <si>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</si>
  <si>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</si>
  <si>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</si>
  <si>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</si>
  <si>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</si>
  <si>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</si>
  <si>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</si>
  <si>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</si>
  <si>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</si>
  <si>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</si>
  <si>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</si>
  <si>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 xml:space="preserve">              NIFTY Low Duration Debt Index A-I</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</si>
  <si>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</si>
  <si>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</si>
  <si>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</si>
  <si>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</si>
  <si>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</si>
  <si>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</si>
  <si>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</si>
  <si>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</si>
  <si>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</si>
  <si>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</si>
  <si>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</si>
  <si>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</si>
  <si>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</si>
  <si>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</si>
  <si>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</si>
  <si>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Interest Rate Swaps Pay Fix Receive Floating (06/03/2026) (FV 2500 Lacs)~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</si>
  <si>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</si>
  <si>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</si>
  <si>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</si>
  <si>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</si>
  <si>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</si>
  <si>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</si>
  <si>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</si>
  <si>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</si>
  <si>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</si>
  <si>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</si>
  <si>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</si>
  <si>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 xml:space="preserve">          NIFTY Ultra Short Duration Debt Index A-I</t>
  </si>
  <si>
    <t>++ Aggregate Investments by Other schemes of Sundaram Mutual Fund - Rs.7,782.78 Lakhs</t>
  </si>
  <si>
    <t>Regular Plan - Quarterly IDCW</t>
  </si>
  <si>
    <t>d) IDCW declared during the period (Rupees per unit)</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</si>
  <si>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</si>
  <si>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</si>
  <si>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</si>
  <si>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</si>
  <si>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</si>
  <si>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</si>
  <si>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</si>
  <si>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</si>
  <si>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</si>
  <si>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</si>
  <si>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</si>
  <si>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</si>
  <si>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</si>
  <si>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</si>
  <si>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</si>
  <si>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</si>
  <si>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</si>
  <si>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</si>
  <si>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YTM (%)</t>
  </si>
  <si>
    <t>Macaulay Duration (Days)</t>
  </si>
  <si>
    <t>Average Maturity (Days)</t>
  </si>
  <si>
    <t xml:space="preserve">                        NIFTY 1D Rate Index</t>
  </si>
  <si>
    <t>15-Mar-2025</t>
  </si>
  <si>
    <t>i) Exposure to securities classified as below investment grade or default as on 15-Mar-2025:-</t>
  </si>
  <si>
    <t>h)  Hedging Positions through Swaps as on 15-Mar-2025:-</t>
  </si>
  <si>
    <t>% to AUM as on  15-Mar-2025</t>
  </si>
  <si>
    <t>h) Exposure to securities classified as below investment grade or default as on 15-Mar-2025:-</t>
  </si>
  <si>
    <t>++ Aggregate Investments by Other schemes of Sundaram Mutual Fund - Rs.11,800.79 Lakhs</t>
  </si>
  <si>
    <t>Direct Plan - Monthly IDCW</t>
  </si>
  <si>
    <t>Direct Plan - Quarterly IDCW</t>
  </si>
  <si>
    <t>Direct Plan - Halfyearly IDCW</t>
  </si>
  <si>
    <t>Direct Plan - Annual IDCW</t>
  </si>
  <si>
    <t>Regular Plan - Monthly IDCW</t>
  </si>
  <si>
    <t>Regular Plan - Halfyearly IDCW</t>
  </si>
  <si>
    <t>Regular Plan - Annual IDCW</t>
  </si>
  <si>
    <t>Index</t>
  </si>
  <si>
    <t>CASH</t>
  </si>
  <si>
    <t>INVIT Units</t>
  </si>
  <si>
    <t>https://www.sundarammutual.com/pdf2/2025/Rationale_for_Valuation/Update_on_ILFS_Financial_Services_Recovery_06_03_2025.pdf</t>
  </si>
  <si>
    <t xml:space="preserve">Discounting Charges / Interest accrued till maturity </t>
  </si>
  <si>
    <t xml:space="preserve">Total Cost  </t>
  </si>
  <si>
    <t>TOTAL AMOUNT DUE (Rs. in Lacs)</t>
  </si>
  <si>
    <t>Interest Accrued till 3rd June 2019</t>
  </si>
  <si>
    <t xml:space="preserve">PRINCIPAL </t>
  </si>
  <si>
    <t xml:space="preserve">Interest not accrued due to category by rating agency as default till maturity </t>
  </si>
  <si>
    <t xml:space="preserve">Total </t>
  </si>
  <si>
    <t>Amount Recovered 30th Sep 2021</t>
  </si>
  <si>
    <t xml:space="preserve">Further amount received on 31-Aug-2024 </t>
  </si>
  <si>
    <t xml:space="preserve">Total settlement till date  </t>
  </si>
  <si>
    <t>Total CP Outstanding</t>
  </si>
  <si>
    <t>Total settlement till date</t>
  </si>
  <si>
    <t>Amount Recovered - 06th Mar 2025</t>
  </si>
  <si>
    <t>## The Boards of these companies have set February 17th as the record date for the allocation of InvIT units and cash distribution. Accordingly, on the 5th of March 2025, we received cash to the extent of Rs. 3.17 Crs which was credited to the respective schemes based on their exposure to this security.  Further as a part of the distribution we are going to receive INVITs amounting to Rs. 2 Crs having face value is Rs. 25,00,000 per unit shortly.</t>
  </si>
  <si>
    <t>NABARD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</si>
</sst>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0;\-#,##0.000000"/>
    <numFmt numFmtId="172" formatCode="[$-1014009]#,##0.00;\(#,##0.00\)"/>
    <numFmt numFmtId="173" formatCode="dd\-mmm\-yyyy"/>
    <numFmt numFmtId="174" formatCode="[$-1014009]#,##0;\(#,##0\)"/>
    <numFmt numFmtId="175" formatCode="_(* #,##0.00_);_(* \(#,##0.00\);_(* &quot;-&quot;??_);_(@_)"/>
    <numFmt numFmtId="176" formatCode="dd/mmm/yyyy"/>
  </numFmts>
  <fonts count="40" x14ac:knownFonts="1">
    <font>
      <sz val="10"/>
      <name val="Arial"/>
      <charset val="1"/>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indexed="8"/>
      <name val="Calibri"/>
      <family val="2"/>
    </font>
    <font>
      <sz val="10"/>
      <color indexed="8"/>
      <name val="Calibri"/>
      <family val="2"/>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i/>
      <sz val="10"/>
      <color indexed="8"/>
      <name val="Calibri"/>
      <family val="2"/>
    </font>
    <font>
      <b/>
      <sz val="10"/>
      <color indexed="8"/>
      <name val="Calibri"/>
      <family val="2"/>
    </font>
    <font>
      <sz val="10"/>
      <name val="Arial"/>
      <family val="2"/>
    </font>
    <font>
      <sz val="10"/>
      <name val="Calibri"/>
      <family val="2"/>
    </font>
    <font>
      <b/>
      <sz val="10"/>
      <name val="Calibri"/>
      <family val="2"/>
    </font>
    <font>
      <b/>
      <sz val="10"/>
      <name val="Arial"/>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1"/>
      <name val="Aptos Narrow"/>
      <family val="2"/>
      <scheme val="minor"/>
    </font>
    <font>
      <u/>
      <sz val="11"/>
      <color rgb="FF002060"/>
      <name val="Aptos Narrow"/>
      <family val="2"/>
      <scheme val="minor"/>
    </font>
  </fonts>
  <fills count="2">
    <fill>
      <patternFill patternType="none"/>
    </fill>
    <fill>
      <patternFill patternType="gray125"/>
    </fill>
  </fills>
  <borders count="3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auto="1"/>
      </right>
      <top style="thin">
        <color indexed="64"/>
      </top>
      <bottom/>
      <diagonal/>
    </border>
    <border>
      <left style="thin">
        <color indexed="64"/>
      </left>
      <right style="thin">
        <color auto="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4">
    <xf numFmtId="0" fontId="0" fillId="0" borderId="0">
      <alignment wrapText="1"/>
    </xf>
    <xf numFmtId="43" fontId="7" fillId="0" borderId="0" applyFont="0" applyFill="0" applyBorder="0" applyAlignment="0" applyProtection="0"/>
    <xf numFmtId="9" fontId="7" fillId="0" borderId="0" applyFont="0" applyFill="0" applyBorder="0" applyAlignment="0" applyProtection="0"/>
    <xf numFmtId="0" fontId="1" fillId="0" borderId="0"/>
    <xf numFmtId="0" fontId="1" fillId="0" borderId="0"/>
    <xf numFmtId="0" fontId="15" fillId="0" borderId="0" applyNumberFormat="0" applyFill="0" applyBorder="0" applyAlignment="0" applyProtection="0">
      <alignment wrapText="1"/>
    </xf>
    <xf numFmtId="0" fontId="20" fillId="0" borderId="0">
      <alignment wrapText="1"/>
    </xf>
    <xf numFmtId="43" fontId="20" fillId="0" borderId="0" applyFont="0" applyFill="0" applyBorder="0" applyAlignment="0" applyProtection="0"/>
    <xf numFmtId="9" fontId="28" fillId="0" borderId="0" applyFont="0" applyFill="0" applyBorder="0" applyAlignment="0" applyProtection="0"/>
    <xf numFmtId="9" fontId="20" fillId="0" borderId="0" applyFont="0" applyFill="0" applyBorder="0" applyAlignment="0" applyProtection="0"/>
    <xf numFmtId="0" fontId="1" fillId="0" borderId="0"/>
    <xf numFmtId="0" fontId="1" fillId="0" borderId="0"/>
    <xf numFmtId="43" fontId="20" fillId="0" borderId="0" applyFont="0" applyFill="0" applyBorder="0" applyAlignment="0" applyProtection="0"/>
    <xf numFmtId="43" fontId="20" fillId="0" borderId="0" applyFont="0" applyFill="0" applyBorder="0" applyAlignment="0" applyProtection="0"/>
  </cellStyleXfs>
  <cellXfs count="233">
    <xf numFmtId="0" fontId="0" fillId="0" borderId="0" xfId="0">
      <alignment wrapText="1"/>
    </xf>
    <xf numFmtId="0" fontId="12" fillId="0" borderId="7" xfId="3" applyFont="1" applyBorder="1" applyAlignment="1">
      <alignment horizontal="center"/>
    </xf>
    <xf numFmtId="0" fontId="13" fillId="0" borderId="7" xfId="3" applyFont="1" applyBorder="1" applyAlignment="1">
      <alignment horizontal="center" vertical="center"/>
    </xf>
    <xf numFmtId="0" fontId="14" fillId="0" borderId="0" xfId="4" applyFont="1"/>
    <xf numFmtId="0" fontId="14" fillId="0" borderId="7" xfId="3" applyFont="1" applyBorder="1" applyAlignment="1">
      <alignment horizontal="center"/>
    </xf>
    <xf numFmtId="0" fontId="16" fillId="0" borderId="7" xfId="5" applyFont="1" applyFill="1" applyBorder="1" applyAlignment="1">
      <alignment vertical="center"/>
    </xf>
    <xf numFmtId="0" fontId="17" fillId="0" borderId="7" xfId="3" applyFont="1" applyBorder="1" applyAlignment="1">
      <alignment vertical="top"/>
    </xf>
    <xf numFmtId="4" fontId="27" fillId="0" borderId="9" xfId="8" applyNumberFormat="1" applyFont="1" applyFill="1" applyBorder="1"/>
    <xf numFmtId="4" fontId="27" fillId="0" borderId="0" xfId="8" applyNumberFormat="1" applyFont="1" applyFill="1" applyBorder="1"/>
    <xf numFmtId="0" fontId="39" fillId="0" borderId="0" xfId="5" applyFont="1" applyFill="1" applyBorder="1" applyAlignment="1">
      <alignment horizontal="center" vertical="center" wrapText="1"/>
    </xf>
    <xf numFmtId="43" fontId="27" fillId="0" borderId="0" xfId="7" applyFont="1" applyFill="1" applyBorder="1"/>
    <xf numFmtId="0" fontId="2" fillId="0" borderId="7" xfId="0" applyFont="1" applyBorder="1" applyAlignment="1">
      <alignment horizontal="center" vertical="top" wrapText="1" readingOrder="1"/>
    </xf>
    <xf numFmtId="43" fontId="8" fillId="0" borderId="7" xfId="1" applyFont="1" applyFill="1" applyBorder="1" applyAlignment="1">
      <alignment horizontal="center" vertical="center" wrapText="1" readingOrder="1"/>
    </xf>
    <xf numFmtId="0" fontId="0" fillId="0" borderId="0" xfId="0" applyAlignment="1">
      <alignment horizontal="center" wrapText="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165" fontId="9" fillId="0" borderId="8" xfId="0" applyNumberFormat="1" applyFont="1" applyBorder="1" applyAlignment="1">
      <alignment horizontal="right" vertical="center" wrapText="1" readingOrder="1"/>
    </xf>
    <xf numFmtId="0" fontId="4" fillId="0" borderId="4" xfId="0" applyFont="1" applyBorder="1" applyAlignment="1">
      <alignment horizontal="right" vertical="center" wrapText="1" readingOrder="1"/>
    </xf>
    <xf numFmtId="164"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7" fontId="3" fillId="0" borderId="4" xfId="0" applyNumberFormat="1"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164" fontId="3" fillId="0" borderId="4" xfId="0" applyNumberFormat="1" applyFont="1" applyBorder="1" applyAlignment="1">
      <alignment horizontal="right" vertical="center" wrapText="1" readingOrder="1"/>
    </xf>
    <xf numFmtId="0" fontId="3" fillId="0" borderId="4" xfId="0" applyFont="1" applyBorder="1" applyAlignment="1">
      <alignment horizontal="right" vertical="center" wrapText="1" readingOrder="1"/>
    </xf>
    <xf numFmtId="0" fontId="9" fillId="0" borderId="4" xfId="0" applyFont="1" applyBorder="1" applyAlignment="1">
      <alignment horizontal="right" vertical="top" wrapText="1" readingOrder="1"/>
    </xf>
    <xf numFmtId="0" fontId="18" fillId="0" borderId="4" xfId="0" applyFont="1" applyBorder="1" applyAlignment="1">
      <alignment horizontal="left" vertical="center" wrapText="1" readingOrder="1"/>
    </xf>
    <xf numFmtId="0" fontId="18" fillId="0" borderId="4" xfId="0" applyFont="1" applyBorder="1" applyAlignment="1">
      <alignment horizontal="right" vertical="center" wrapText="1" readingOrder="1"/>
    </xf>
    <xf numFmtId="165" fontId="9" fillId="0" borderId="9" xfId="0" applyNumberFormat="1" applyFont="1" applyBorder="1" applyAlignment="1">
      <alignment horizontal="right" vertical="center" wrapText="1" readingOrder="1"/>
    </xf>
    <xf numFmtId="0" fontId="19" fillId="0" borderId="4" xfId="0" applyFont="1" applyBorder="1" applyAlignment="1">
      <alignment horizontal="left" vertical="center" wrapText="1" readingOrder="1"/>
    </xf>
    <xf numFmtId="165" fontId="9" fillId="0" borderId="4" xfId="0" applyNumberFormat="1" applyFont="1" applyBorder="1" applyAlignment="1">
      <alignment horizontal="right" vertical="center" wrapText="1" readingOrder="1"/>
    </xf>
    <xf numFmtId="0" fontId="20" fillId="0" borderId="0" xfId="6">
      <alignment wrapText="1"/>
    </xf>
    <xf numFmtId="0" fontId="21" fillId="0" borderId="0" xfId="0" applyFont="1">
      <alignment wrapText="1"/>
    </xf>
    <xf numFmtId="166" fontId="9" fillId="0" borderId="4" xfId="0" applyNumberFormat="1" applyFont="1" applyBorder="1" applyAlignment="1">
      <alignment horizontal="right" vertical="center" wrapText="1" readingOrder="1"/>
    </xf>
    <xf numFmtId="0" fontId="9" fillId="0" borderId="4" xfId="0" applyFont="1" applyBorder="1" applyAlignment="1">
      <alignment horizontal="left" vertical="center" wrapText="1" readingOrder="1"/>
    </xf>
    <xf numFmtId="168" fontId="9" fillId="0" borderId="4" xfId="0" applyNumberFormat="1" applyFont="1" applyBorder="1" applyAlignment="1">
      <alignment horizontal="right" vertical="center" wrapText="1" readingOrder="1"/>
    </xf>
    <xf numFmtId="164" fontId="9" fillId="0" borderId="4" xfId="0" applyNumberFormat="1" applyFont="1" applyBorder="1" applyAlignment="1">
      <alignment horizontal="right" vertical="center" wrapText="1" readingOrder="1"/>
    </xf>
    <xf numFmtId="165" fontId="19" fillId="0" borderId="4" xfId="0" applyNumberFormat="1" applyFont="1" applyBorder="1" applyAlignment="1">
      <alignment horizontal="right" vertical="center" wrapText="1" readingOrder="1"/>
    </xf>
    <xf numFmtId="164" fontId="19" fillId="0" borderId="4" xfId="0" applyNumberFormat="1" applyFont="1" applyBorder="1" applyAlignment="1">
      <alignment horizontal="right" vertical="center" wrapText="1" readingOrder="1"/>
    </xf>
    <xf numFmtId="169"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18" fillId="0" borderId="0" xfId="0" applyFont="1" applyAlignment="1">
      <alignment horizontal="left" vertical="center" wrapText="1" readingOrder="1"/>
    </xf>
    <xf numFmtId="0" fontId="9" fillId="0" borderId="0" xfId="0" applyFont="1" applyAlignment="1">
      <alignment horizontal="lef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5" fillId="0" borderId="6" xfId="0" applyFont="1" applyBorder="1" applyAlignment="1">
      <alignment horizontal="right" vertical="center" wrapText="1" readingOrder="1"/>
    </xf>
    <xf numFmtId="0" fontId="9" fillId="0" borderId="0" xfId="0" applyFont="1" applyAlignment="1">
      <alignment horizontal="right" vertical="top" wrapText="1" readingOrder="1"/>
    </xf>
    <xf numFmtId="0" fontId="19" fillId="0" borderId="4" xfId="0" applyFont="1" applyBorder="1" applyAlignment="1">
      <alignment horizontal="right" vertical="top" wrapText="1" readingOrder="1"/>
    </xf>
    <xf numFmtId="0" fontId="19" fillId="0" borderId="4" xfId="0" applyFont="1" applyBorder="1" applyAlignment="1">
      <alignment horizontal="left" vertical="top" wrapText="1" readingOrder="1"/>
    </xf>
    <xf numFmtId="173" fontId="19" fillId="0" borderId="4" xfId="0" applyNumberFormat="1" applyFont="1" applyBorder="1" applyAlignment="1">
      <alignment horizontal="right" vertical="top" wrapText="1" readingOrder="1"/>
    </xf>
    <xf numFmtId="0" fontId="3" fillId="0" borderId="0" xfId="0" applyFont="1" applyAlignment="1">
      <alignment horizontal="right" vertical="top" wrapText="1" readingOrder="1"/>
    </xf>
    <xf numFmtId="170"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71" fontId="3" fillId="0" borderId="4" xfId="0" applyNumberFormat="1" applyFont="1" applyBorder="1" applyAlignment="1">
      <alignment horizontal="right" vertical="center" wrapText="1" readingOrder="1"/>
    </xf>
    <xf numFmtId="0" fontId="3" fillId="0" borderId="5" xfId="0" applyFont="1" applyBorder="1" applyAlignment="1">
      <alignment horizontal="left" vertical="center" wrapText="1" readingOrder="1"/>
    </xf>
    <xf numFmtId="0" fontId="4" fillId="0" borderId="5" xfId="0" applyFont="1" applyBorder="1" applyAlignment="1">
      <alignment horizontal="left" vertical="center" wrapText="1" readingOrder="1"/>
    </xf>
    <xf numFmtId="0" fontId="9" fillId="0" borderId="6" xfId="0" applyFont="1" applyBorder="1" applyAlignment="1">
      <alignment horizontal="right" vertical="top" wrapText="1" readingOrder="1"/>
    </xf>
    <xf numFmtId="0" fontId="0" fillId="0" borderId="0" xfId="0" applyAlignment="1">
      <alignment horizontal="center" vertical="top" readingOrder="1"/>
    </xf>
    <xf numFmtId="0" fontId="21" fillId="0" borderId="0" xfId="0" applyFont="1" applyAlignment="1">
      <alignment vertical="center" wrapText="1"/>
    </xf>
    <xf numFmtId="0" fontId="22" fillId="0" borderId="9" xfId="0" applyFont="1" applyBorder="1" applyAlignment="1">
      <alignment horizontal="center" vertical="center" wrapText="1"/>
    </xf>
    <xf numFmtId="0" fontId="21" fillId="0" borderId="9" xfId="0" applyFont="1" applyBorder="1" applyAlignment="1">
      <alignment vertical="center" wrapText="1"/>
    </xf>
    <xf numFmtId="0" fontId="21" fillId="0" borderId="9" xfId="0" applyFont="1" applyBorder="1" applyAlignment="1">
      <alignment horizontal="justify" vertical="center" wrapText="1"/>
    </xf>
    <xf numFmtId="172" fontId="19" fillId="0" borderId="4" xfId="0" applyNumberFormat="1" applyFont="1" applyBorder="1" applyAlignment="1">
      <alignment horizontal="left" vertical="center" wrapText="1" readingOrder="1"/>
    </xf>
    <xf numFmtId="174" fontId="19" fillId="0" borderId="4" xfId="0" quotePrefix="1" applyNumberFormat="1" applyFont="1" applyBorder="1" applyAlignment="1">
      <alignment horizontal="left" vertical="center" wrapText="1" readingOrder="1"/>
    </xf>
    <xf numFmtId="0" fontId="0" fillId="0" borderId="0" xfId="0" applyAlignment="1">
      <alignment vertical="center" wrapText="1"/>
    </xf>
    <xf numFmtId="0" fontId="23" fillId="0" borderId="0" xfId="0" applyFont="1">
      <alignment wrapText="1"/>
    </xf>
    <xf numFmtId="0" fontId="23" fillId="0" borderId="0" xfId="0" applyFont="1" applyAlignment="1"/>
    <xf numFmtId="0" fontId="0" fillId="0" borderId="0" xfId="0" applyAlignment="1"/>
    <xf numFmtId="0" fontId="9" fillId="0" borderId="0" xfId="0" applyFont="1" applyAlignment="1">
      <alignment horizontal="right" vertical="center" wrapText="1" readingOrder="1"/>
    </xf>
    <xf numFmtId="0" fontId="0" fillId="0" borderId="0" xfId="0" applyAlignment="1">
      <alignment horizontal="center" vertical="center" wrapText="1"/>
    </xf>
    <xf numFmtId="0" fontId="18" fillId="0" borderId="0" xfId="6" applyFont="1" applyAlignment="1">
      <alignment horizontal="left" vertical="center" wrapText="1" readingOrder="1"/>
    </xf>
    <xf numFmtId="10" fontId="0" fillId="0" borderId="0" xfId="2" applyNumberFormat="1" applyFont="1" applyFill="1" applyAlignment="1">
      <alignment wrapText="1"/>
    </xf>
    <xf numFmtId="0" fontId="19" fillId="0" borderId="0" xfId="0" applyFont="1" applyAlignment="1">
      <alignment horizontal="left" vertical="center" wrapText="1" readingOrder="1"/>
    </xf>
    <xf numFmtId="0" fontId="22" fillId="0" borderId="0" xfId="0" applyFont="1" applyAlignment="1">
      <alignment vertical="center" readingOrder="1"/>
    </xf>
    <xf numFmtId="0" fontId="26" fillId="0" borderId="9" xfId="3" applyFont="1" applyBorder="1" applyAlignment="1">
      <alignment horizontal="center"/>
    </xf>
    <xf numFmtId="0" fontId="27" fillId="0" borderId="9" xfId="3" applyFont="1" applyBorder="1"/>
    <xf numFmtId="0" fontId="27" fillId="0" borderId="9" xfId="3" applyFont="1" applyBorder="1" applyAlignment="1">
      <alignment wrapText="1"/>
    </xf>
    <xf numFmtId="0" fontId="26" fillId="0" borderId="9" xfId="3" applyFont="1" applyBorder="1" applyAlignment="1">
      <alignment horizontal="center" vertical="center"/>
    </xf>
    <xf numFmtId="0" fontId="26" fillId="0" borderId="9" xfId="3" applyFont="1" applyBorder="1" applyAlignment="1">
      <alignment horizontal="center" vertical="center" wrapText="1"/>
    </xf>
    <xf numFmtId="4" fontId="27" fillId="0" borderId="9" xfId="3" applyNumberFormat="1" applyFont="1" applyBorder="1"/>
    <xf numFmtId="43" fontId="27" fillId="0" borderId="9" xfId="7" applyFont="1" applyFill="1" applyBorder="1"/>
    <xf numFmtId="175" fontId="27" fillId="0" borderId="9" xfId="3" applyNumberFormat="1" applyFont="1" applyBorder="1"/>
    <xf numFmtId="0" fontId="27" fillId="0" borderId="0" xfId="3" applyFont="1"/>
    <xf numFmtId="0" fontId="27" fillId="0" borderId="0" xfId="3" applyFont="1" applyAlignment="1">
      <alignment wrapText="1"/>
    </xf>
    <xf numFmtId="4" fontId="27" fillId="0" borderId="0" xfId="3" applyNumberFormat="1" applyFont="1"/>
    <xf numFmtId="175" fontId="27" fillId="0" borderId="0" xfId="3" applyNumberFormat="1" applyFont="1"/>
    <xf numFmtId="0" fontId="26" fillId="0" borderId="20" xfId="3" applyFont="1" applyBorder="1" applyAlignment="1">
      <alignment horizontal="center" vertical="center" wrapText="1"/>
    </xf>
    <xf numFmtId="4" fontId="21" fillId="0" borderId="9" xfId="0" applyNumberFormat="1" applyFont="1" applyBorder="1" applyAlignment="1">
      <alignment vertical="center"/>
    </xf>
    <xf numFmtId="4" fontId="21" fillId="0" borderId="0" xfId="0" applyNumberFormat="1" applyFont="1" applyAlignment="1">
      <alignment vertical="center"/>
    </xf>
    <xf numFmtId="0" fontId="29" fillId="0" borderId="0" xfId="0" applyFont="1" applyAlignment="1"/>
    <xf numFmtId="0" fontId="15" fillId="0" borderId="0" xfId="5" applyFill="1" applyAlignment="1"/>
    <xf numFmtId="0" fontId="29" fillId="0" borderId="0" xfId="0" applyFont="1" applyAlignment="1">
      <alignment horizontal="left" vertical="top" readingOrder="1"/>
    </xf>
    <xf numFmtId="0" fontId="18" fillId="0" borderId="9" xfId="0" applyFont="1" applyBorder="1" applyAlignment="1">
      <alignment horizontal="left" vertical="center" wrapText="1" readingOrder="1"/>
    </xf>
    <xf numFmtId="0" fontId="30" fillId="0" borderId="9" xfId="0" applyFont="1" applyBorder="1">
      <alignment wrapText="1"/>
    </xf>
    <xf numFmtId="0" fontId="18" fillId="0" borderId="9" xfId="0" applyFont="1" applyBorder="1" applyAlignment="1">
      <alignment horizontal="right" vertical="center" wrapText="1" readingOrder="1"/>
    </xf>
    <xf numFmtId="0" fontId="0" fillId="0" borderId="9" xfId="0" applyBorder="1">
      <alignment wrapText="1"/>
    </xf>
    <xf numFmtId="0" fontId="31" fillId="0" borderId="9" xfId="0" applyFont="1" applyBorder="1">
      <alignment wrapText="1"/>
    </xf>
    <xf numFmtId="167" fontId="9" fillId="0" borderId="9" xfId="0" applyNumberFormat="1" applyFont="1" applyBorder="1" applyAlignment="1">
      <alignment horizontal="right" vertical="center" wrapText="1" readingOrder="1"/>
    </xf>
    <xf numFmtId="164" fontId="9" fillId="0" borderId="9" xfId="0" applyNumberFormat="1" applyFont="1" applyBorder="1" applyAlignment="1">
      <alignment horizontal="right" vertical="center" wrapText="1" readingOrder="1"/>
    </xf>
    <xf numFmtId="0" fontId="29" fillId="0" borderId="0" xfId="10" applyFont="1"/>
    <xf numFmtId="0" fontId="0" fillId="0" borderId="0" xfId="0" applyAlignment="1">
      <alignment horizontal="center" vertical="center"/>
    </xf>
    <xf numFmtId="0" fontId="32" fillId="0" borderId="7" xfId="0" applyFont="1" applyBorder="1" applyAlignment="1">
      <alignment horizontal="center" vertical="center" wrapText="1"/>
    </xf>
    <xf numFmtId="0" fontId="33" fillId="0" borderId="7" xfId="0" applyFont="1" applyBorder="1" applyAlignment="1">
      <alignment horizontal="center" vertical="center" wrapText="1"/>
    </xf>
    <xf numFmtId="10" fontId="0" fillId="0" borderId="0" xfId="2" applyNumberFormat="1" applyFont="1" applyFill="1" applyAlignment="1">
      <alignment horizontal="center" vertical="center" wrapText="1"/>
    </xf>
    <xf numFmtId="0" fontId="0" fillId="0" borderId="0" xfId="0" applyAlignment="1">
      <alignment vertical="center"/>
    </xf>
    <xf numFmtId="0" fontId="34" fillId="0" borderId="7" xfId="0" applyFont="1" applyBorder="1" applyAlignment="1">
      <alignment vertical="center"/>
    </xf>
    <xf numFmtId="0" fontId="35" fillId="0" borderId="7" xfId="0" applyFont="1" applyBorder="1" applyAlignment="1">
      <alignment vertical="center" wrapText="1"/>
    </xf>
    <xf numFmtId="0" fontId="35" fillId="0" borderId="7" xfId="0" applyFont="1" applyBorder="1" applyAlignment="1">
      <alignment vertical="center"/>
    </xf>
    <xf numFmtId="43" fontId="34" fillId="0" borderId="7" xfId="7" applyFont="1" applyFill="1" applyBorder="1" applyAlignment="1">
      <alignment vertical="center"/>
    </xf>
    <xf numFmtId="176" fontId="34" fillId="0" borderId="7" xfId="0" applyNumberFormat="1" applyFont="1" applyBorder="1" applyAlignment="1">
      <alignment vertical="center"/>
    </xf>
    <xf numFmtId="10" fontId="0" fillId="0" borderId="0" xfId="2" applyNumberFormat="1" applyFont="1" applyFill="1" applyAlignment="1">
      <alignment vertical="center" wrapText="1"/>
    </xf>
    <xf numFmtId="10" fontId="36" fillId="0" borderId="0" xfId="2" applyNumberFormat="1" applyFont="1" applyFill="1" applyAlignment="1"/>
    <xf numFmtId="0" fontId="36" fillId="0" borderId="0" xfId="0" applyFont="1" applyAlignment="1"/>
    <xf numFmtId="0" fontId="22" fillId="0" borderId="7" xfId="0" applyFont="1" applyBorder="1" applyAlignment="1">
      <alignment horizontal="center" vertical="center" wrapText="1"/>
    </xf>
    <xf numFmtId="0" fontId="21" fillId="0" borderId="7" xfId="0" applyFont="1" applyBorder="1" applyAlignment="1">
      <alignment vertical="center" wrapText="1"/>
    </xf>
    <xf numFmtId="0" fontId="21" fillId="0" borderId="7" xfId="0" applyFont="1" applyBorder="1" applyAlignment="1">
      <alignment horizontal="justify" vertical="center" wrapText="1"/>
    </xf>
    <xf numFmtId="0" fontId="19" fillId="0" borderId="19" xfId="0" applyFont="1" applyBorder="1" applyAlignment="1">
      <alignment horizontal="left" vertical="center" wrapText="1" readingOrder="1"/>
    </xf>
    <xf numFmtId="0" fontId="10" fillId="0" borderId="0" xfId="11" applyFont="1" applyAlignment="1">
      <alignment horizontal="center" vertical="center"/>
    </xf>
    <xf numFmtId="0" fontId="1" fillId="0" borderId="0" xfId="11" applyAlignment="1">
      <alignment wrapText="1"/>
    </xf>
    <xf numFmtId="4" fontId="11" fillId="0" borderId="0" xfId="11" applyNumberFormat="1" applyFont="1"/>
    <xf numFmtId="0" fontId="37" fillId="0" borderId="0" xfId="11" applyFont="1" applyAlignment="1">
      <alignment wrapText="1"/>
    </xf>
    <xf numFmtId="0" fontId="24" fillId="0" borderId="9" xfId="11" applyFont="1" applyBorder="1" applyAlignment="1">
      <alignment horizontal="center" vertical="center"/>
    </xf>
    <xf numFmtId="0" fontId="24" fillId="0" borderId="0" xfId="11" applyFont="1" applyAlignment="1">
      <alignment horizontal="center" vertical="center"/>
    </xf>
    <xf numFmtId="0" fontId="25" fillId="0" borderId="9" xfId="11" applyFont="1" applyBorder="1" applyAlignment="1">
      <alignment vertical="center"/>
    </xf>
    <xf numFmtId="0" fontId="25" fillId="0" borderId="9" xfId="11" applyFont="1" applyBorder="1" applyAlignment="1">
      <alignment vertical="center" wrapText="1"/>
    </xf>
    <xf numFmtId="0" fontId="25" fillId="0" borderId="0" xfId="11" applyFont="1" applyAlignment="1">
      <alignment horizontal="center" vertical="center"/>
    </xf>
    <xf numFmtId="0" fontId="24" fillId="0" borderId="9" xfId="11" applyFont="1" applyBorder="1" applyAlignment="1">
      <alignment horizontal="center" vertical="center" wrapText="1"/>
    </xf>
    <xf numFmtId="0" fontId="38" fillId="0" borderId="0" xfId="11" applyFont="1" applyAlignment="1">
      <alignment horizontal="center" vertical="center"/>
    </xf>
    <xf numFmtId="0" fontId="25" fillId="0" borderId="9" xfId="11" applyFont="1" applyBorder="1" applyAlignment="1">
      <alignment horizontal="left" vertical="center"/>
    </xf>
    <xf numFmtId="4" fontId="25" fillId="0" borderId="9" xfId="11" applyNumberFormat="1" applyFont="1" applyBorder="1" applyAlignment="1">
      <alignment horizontal="right" vertical="center"/>
    </xf>
    <xf numFmtId="10" fontId="25" fillId="0" borderId="9" xfId="8" applyNumberFormat="1" applyFont="1" applyFill="1" applyBorder="1" applyAlignment="1">
      <alignment vertical="center"/>
    </xf>
    <xf numFmtId="43" fontId="37" fillId="0" borderId="0" xfId="7" applyFont="1" applyFill="1" applyAlignment="1">
      <alignment vertical="center"/>
    </xf>
    <xf numFmtId="43" fontId="25" fillId="0" borderId="0" xfId="7" applyFont="1" applyFill="1" applyAlignment="1">
      <alignment horizontal="center" vertical="center"/>
    </xf>
    <xf numFmtId="172" fontId="19" fillId="0" borderId="19" xfId="0" applyNumberFormat="1" applyFont="1" applyBorder="1" applyAlignment="1">
      <alignment horizontal="left" vertical="center" wrapText="1" readingOrder="1"/>
    </xf>
    <xf numFmtId="174" fontId="19" fillId="0" borderId="19" xfId="0" quotePrefix="1" applyNumberFormat="1" applyFont="1" applyBorder="1" applyAlignment="1">
      <alignment horizontal="left" vertical="center" wrapText="1" readingOrder="1"/>
    </xf>
    <xf numFmtId="166" fontId="9" fillId="0" borderId="19" xfId="0" applyNumberFormat="1" applyFont="1" applyBorder="1" applyAlignment="1">
      <alignment horizontal="right" vertical="center" wrapText="1" readingOrder="1"/>
    </xf>
    <xf numFmtId="0" fontId="9" fillId="0" borderId="19" xfId="0" applyFont="1" applyBorder="1" applyAlignment="1">
      <alignment horizontal="left" vertical="center" wrapText="1" readingOrder="1"/>
    </xf>
    <xf numFmtId="167" fontId="9" fillId="0" borderId="19" xfId="0" applyNumberFormat="1" applyFont="1" applyBorder="1" applyAlignment="1">
      <alignment horizontal="right" vertical="center" wrapText="1" readingOrder="1"/>
    </xf>
    <xf numFmtId="165" fontId="9" fillId="0" borderId="19" xfId="0" applyNumberFormat="1" applyFont="1" applyBorder="1" applyAlignment="1">
      <alignment horizontal="right" vertical="center" wrapText="1" readingOrder="1"/>
    </xf>
    <xf numFmtId="164" fontId="9" fillId="0" borderId="19" xfId="0" applyNumberFormat="1" applyFont="1" applyBorder="1" applyAlignment="1">
      <alignment horizontal="right" vertical="center" wrapText="1" readingOrder="1"/>
    </xf>
    <xf numFmtId="0" fontId="23" fillId="0" borderId="0" xfId="0" applyFont="1" applyAlignment="1">
      <alignment horizontal="center" vertical="center" wrapText="1"/>
    </xf>
    <xf numFmtId="14" fontId="21" fillId="0" borderId="9" xfId="0" quotePrefix="1" applyNumberFormat="1" applyFont="1" applyBorder="1" applyAlignment="1">
      <alignment horizontal="justify" vertical="center" wrapText="1"/>
    </xf>
    <xf numFmtId="0" fontId="20" fillId="0" borderId="0" xfId="6" applyAlignment="1">
      <alignment vertical="center" wrapText="1"/>
    </xf>
    <xf numFmtId="0" fontId="27" fillId="0" borderId="9" xfId="3" applyFont="1" applyBorder="1" applyAlignment="1">
      <alignment vertical="center"/>
    </xf>
    <xf numFmtId="2" fontId="27" fillId="0" borderId="9" xfId="3" applyNumberFormat="1" applyFont="1" applyBorder="1"/>
    <xf numFmtId="4" fontId="20" fillId="0" borderId="9" xfId="6" applyNumberFormat="1" applyBorder="1">
      <alignment wrapText="1"/>
    </xf>
    <xf numFmtId="174" fontId="19" fillId="0" borderId="19" xfId="0" applyNumberFormat="1" applyFont="1" applyBorder="1" applyAlignment="1">
      <alignment horizontal="left" vertical="center" wrapText="1" readingOrder="1"/>
    </xf>
    <xf numFmtId="43" fontId="0" fillId="0" borderId="0" xfId="7" applyFont="1" applyFill="1" applyAlignment="1">
      <alignment wrapText="1"/>
    </xf>
    <xf numFmtId="0" fontId="19" fillId="0" borderId="9" xfId="0" applyFont="1" applyBorder="1" applyAlignment="1">
      <alignment horizontal="center" vertical="center" wrapText="1" readingOrder="1"/>
    </xf>
    <xf numFmtId="0" fontId="2" fillId="0" borderId="7"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1"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9" fillId="0" borderId="1" xfId="0" applyFont="1" applyBorder="1" applyAlignment="1">
      <alignment horizontal="left" vertical="center" wrapText="1" readingOrder="1"/>
    </xf>
    <xf numFmtId="0" fontId="9" fillId="0" borderId="3" xfId="0" applyFont="1" applyBorder="1" applyAlignment="1">
      <alignment horizontal="left" vertical="center" wrapText="1" readingOrder="1"/>
    </xf>
    <xf numFmtId="0" fontId="9" fillId="0" borderId="0" xfId="0" applyFont="1" applyAlignment="1">
      <alignment horizontal="left" vertical="center" wrapText="1" readingOrder="1"/>
    </xf>
    <xf numFmtId="0" fontId="22" fillId="0" borderId="10" xfId="0" applyFont="1" applyBorder="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9" fillId="0" borderId="9" xfId="0" applyFont="1" applyBorder="1" applyAlignment="1">
      <alignment horizontal="left" vertical="center" wrapText="1" readingOrder="1"/>
    </xf>
    <xf numFmtId="0" fontId="9" fillId="0" borderId="10" xfId="0" applyFont="1" applyBorder="1" applyAlignment="1">
      <alignment horizontal="left" vertical="center" wrapText="1" readingOrder="1"/>
    </xf>
    <xf numFmtId="0" fontId="9" fillId="0" borderId="12" xfId="0" applyFont="1" applyBorder="1" applyAlignment="1">
      <alignment horizontal="left" vertical="center" wrapText="1" readingOrder="1"/>
    </xf>
    <xf numFmtId="0" fontId="9" fillId="0" borderId="11" xfId="0" applyFont="1" applyBorder="1" applyAlignment="1">
      <alignment horizontal="left" vertical="center" wrapText="1" readingOrder="1"/>
    </xf>
    <xf numFmtId="0" fontId="9" fillId="0" borderId="13" xfId="0" applyFont="1" applyBorder="1" applyAlignment="1">
      <alignment horizontal="left" vertical="center" wrapText="1" readingOrder="1"/>
    </xf>
    <xf numFmtId="0" fontId="9" fillId="0" borderId="0" xfId="6" quotePrefix="1" applyFont="1" applyAlignment="1">
      <alignment horizontal="left" vertical="center" wrapText="1" readingOrder="1"/>
    </xf>
    <xf numFmtId="0" fontId="9" fillId="0" borderId="0" xfId="6" applyFont="1" applyAlignment="1">
      <alignment horizontal="left" vertical="center" wrapText="1" readingOrder="1"/>
    </xf>
    <xf numFmtId="0" fontId="19" fillId="0" borderId="10" xfId="0" applyFont="1" applyBorder="1" applyAlignment="1">
      <alignment horizontal="center" vertical="center" wrapText="1" readingOrder="1"/>
    </xf>
    <xf numFmtId="0" fontId="19" fillId="0" borderId="12" xfId="0" applyFont="1" applyBorder="1" applyAlignment="1">
      <alignment horizontal="center" vertical="center" wrapText="1" readingOrder="1"/>
    </xf>
    <xf numFmtId="0" fontId="26" fillId="0" borderId="21" xfId="3" applyFont="1" applyBorder="1" applyAlignment="1">
      <alignment horizontal="center" vertical="center" wrapText="1"/>
    </xf>
    <xf numFmtId="0" fontId="26" fillId="0" borderId="22" xfId="3" applyFont="1" applyBorder="1" applyAlignment="1">
      <alignment horizontal="center" vertical="center" wrapText="1"/>
    </xf>
    <xf numFmtId="0" fontId="26" fillId="0" borderId="23" xfId="3" applyFont="1" applyBorder="1" applyAlignment="1">
      <alignment horizontal="center" vertical="center" wrapText="1"/>
    </xf>
    <xf numFmtId="0" fontId="26" fillId="0" borderId="24" xfId="3" applyFont="1" applyBorder="1" applyAlignment="1">
      <alignment horizontal="center" vertical="center" wrapText="1"/>
    </xf>
    <xf numFmtId="0" fontId="26" fillId="0" borderId="25" xfId="3" applyFont="1" applyBorder="1" applyAlignment="1">
      <alignment horizontal="center" vertical="center" wrapText="1"/>
    </xf>
    <xf numFmtId="0" fontId="26" fillId="0" borderId="26" xfId="3" applyFont="1" applyBorder="1" applyAlignment="1">
      <alignment horizontal="center" vertical="center" wrapText="1"/>
    </xf>
    <xf numFmtId="0" fontId="26" fillId="0" borderId="8" xfId="3" applyFont="1" applyBorder="1" applyAlignment="1">
      <alignment horizontal="center" vertical="center" wrapText="1"/>
    </xf>
    <xf numFmtId="0" fontId="26" fillId="0" borderId="9" xfId="3" applyFont="1" applyBorder="1" applyAlignment="1">
      <alignment horizontal="center" wrapText="1"/>
    </xf>
    <xf numFmtId="0" fontId="26" fillId="0" borderId="9" xfId="3" applyFont="1" applyBorder="1" applyAlignment="1">
      <alignment horizontal="center"/>
    </xf>
    <xf numFmtId="43" fontId="27" fillId="0" borderId="9" xfId="7" applyFont="1" applyFill="1" applyBorder="1" applyAlignment="1">
      <alignment horizontal="center"/>
    </xf>
    <xf numFmtId="0" fontId="27" fillId="0" borderId="0" xfId="3" applyFont="1" applyAlignment="1">
      <alignment horizontal="left" vertical="center" wrapText="1"/>
    </xf>
    <xf numFmtId="0" fontId="27" fillId="0" borderId="9" xfId="3" applyFont="1" applyBorder="1" applyAlignment="1">
      <alignment horizontal="center"/>
    </xf>
    <xf numFmtId="0" fontId="26" fillId="0" borderId="14" xfId="3" applyFont="1" applyBorder="1" applyAlignment="1">
      <alignment horizontal="center" vertical="center" wrapText="1"/>
    </xf>
    <xf numFmtId="0" fontId="26" fillId="0" borderId="9" xfId="3" applyFont="1" applyBorder="1" applyAlignment="1">
      <alignment horizontal="center" vertical="center"/>
    </xf>
    <xf numFmtId="0" fontId="26" fillId="0" borderId="9" xfId="3" applyFont="1" applyBorder="1" applyAlignment="1">
      <alignment horizontal="center" vertical="center" wrapText="1"/>
    </xf>
    <xf numFmtId="0" fontId="26" fillId="0" borderId="25" xfId="3" applyFont="1" applyBorder="1" applyAlignment="1">
      <alignment horizontal="center" vertical="center"/>
    </xf>
    <xf numFmtId="0" fontId="26" fillId="0" borderId="26" xfId="3" applyFont="1" applyBorder="1" applyAlignment="1">
      <alignment horizontal="center" vertical="center"/>
    </xf>
    <xf numFmtId="0" fontId="26" fillId="0" borderId="8" xfId="3" applyFont="1" applyBorder="1" applyAlignment="1">
      <alignment horizontal="center" vertical="center"/>
    </xf>
    <xf numFmtId="0" fontId="26" fillId="0" borderId="27" xfId="3" applyFont="1" applyBorder="1" applyAlignment="1">
      <alignment horizontal="center" vertical="center"/>
    </xf>
    <xf numFmtId="0" fontId="26" fillId="0" borderId="28" xfId="3" applyFont="1" applyBorder="1" applyAlignment="1">
      <alignment horizontal="center" vertical="center"/>
    </xf>
    <xf numFmtId="0" fontId="26" fillId="0" borderId="29" xfId="3" applyFont="1" applyBorder="1" applyAlignment="1">
      <alignment horizontal="center" vertical="center"/>
    </xf>
    <xf numFmtId="0" fontId="9" fillId="0" borderId="0" xfId="0" quotePrefix="1" applyFont="1" applyAlignment="1">
      <alignment horizontal="left" vertical="center" wrapText="1" readingOrder="1"/>
    </xf>
    <xf numFmtId="0" fontId="29" fillId="0" borderId="0" xfId="0" applyFont="1" applyAlignment="1">
      <alignment horizontal="left" vertical="top" readingOrder="1"/>
    </xf>
    <xf numFmtId="0" fontId="26" fillId="0" borderId="10" xfId="3" applyFont="1" applyBorder="1" applyAlignment="1">
      <alignment horizontal="center" wrapText="1"/>
    </xf>
    <xf numFmtId="0" fontId="26" fillId="0" borderId="11" xfId="3" applyFont="1" applyBorder="1" applyAlignment="1">
      <alignment horizontal="center" wrapText="1"/>
    </xf>
    <xf numFmtId="0" fontId="26" fillId="0" borderId="12" xfId="3" applyFont="1" applyBorder="1" applyAlignment="1">
      <alignment horizontal="center" wrapText="1"/>
    </xf>
    <xf numFmtId="0" fontId="26" fillId="0" borderId="10" xfId="3" applyFont="1" applyBorder="1" applyAlignment="1">
      <alignment horizontal="center"/>
    </xf>
    <xf numFmtId="0" fontId="26" fillId="0" borderId="12" xfId="3" applyFont="1" applyBorder="1" applyAlignment="1">
      <alignment horizontal="center"/>
    </xf>
    <xf numFmtId="43" fontId="27" fillId="0" borderId="10" xfId="7" applyFont="1" applyFill="1" applyBorder="1" applyAlignment="1">
      <alignment horizontal="center"/>
    </xf>
    <xf numFmtId="43" fontId="27" fillId="0" borderId="11" xfId="7" applyFont="1" applyFill="1" applyBorder="1" applyAlignment="1">
      <alignment horizontal="center"/>
    </xf>
    <xf numFmtId="43" fontId="27" fillId="0" borderId="12" xfId="7" applyFont="1" applyFill="1" applyBorder="1" applyAlignment="1">
      <alignment horizontal="center"/>
    </xf>
    <xf numFmtId="0" fontId="27" fillId="0" borderId="0" xfId="3" applyFont="1" applyAlignment="1">
      <alignment horizontal="center"/>
    </xf>
    <xf numFmtId="0" fontId="26" fillId="0" borderId="0" xfId="3" applyFont="1" applyAlignment="1">
      <alignment horizontal="center"/>
    </xf>
    <xf numFmtId="0" fontId="9" fillId="0" borderId="0" xfId="0" applyFont="1" applyAlignment="1">
      <alignment horizontal="justify" vertical="top" wrapText="1" readingOrder="1"/>
    </xf>
    <xf numFmtId="0" fontId="22" fillId="0" borderId="15" xfId="0" applyFont="1" applyBorder="1" applyAlignment="1">
      <alignment horizontal="center" vertical="center"/>
    </xf>
    <xf numFmtId="0" fontId="22" fillId="0" borderId="16" xfId="0" applyFont="1" applyBorder="1" applyAlignment="1">
      <alignment horizontal="center" vertical="center"/>
    </xf>
    <xf numFmtId="0" fontId="19" fillId="0" borderId="7" xfId="0" applyFont="1" applyBorder="1" applyAlignment="1">
      <alignment horizontal="center" vertical="center" wrapText="1" readingOrder="1"/>
    </xf>
    <xf numFmtId="0" fontId="9" fillId="0" borderId="7" xfId="0" applyFont="1" applyBorder="1" applyAlignment="1">
      <alignment horizontal="left" vertical="center" wrapText="1" readingOrder="1"/>
    </xf>
    <xf numFmtId="0" fontId="9" fillId="0" borderId="17" xfId="0" applyFont="1" applyBorder="1" applyAlignment="1">
      <alignment horizontal="left" vertical="center" wrapText="1" readingOrder="1"/>
    </xf>
    <xf numFmtId="0" fontId="9" fillId="0" borderId="18" xfId="0" applyFont="1" applyBorder="1" applyAlignment="1">
      <alignment horizontal="left" vertical="center" wrapText="1" readingOrder="1"/>
    </xf>
    <xf numFmtId="0" fontId="22" fillId="0" borderId="10" xfId="0" applyFont="1" applyBorder="1" applyAlignment="1">
      <alignment horizontal="left" vertical="center" readingOrder="1"/>
    </xf>
    <xf numFmtId="0" fontId="22" fillId="0" borderId="15" xfId="0" applyFont="1" applyBorder="1" applyAlignment="1">
      <alignment horizontal="left" vertical="center" readingOrder="1"/>
    </xf>
    <xf numFmtId="0" fontId="22" fillId="0" borderId="12" xfId="0" applyFont="1" applyBorder="1" applyAlignment="1">
      <alignment horizontal="left" vertical="center" readingOrder="1"/>
    </xf>
    <xf numFmtId="0" fontId="24" fillId="0" borderId="10" xfId="11" applyFont="1" applyBorder="1" applyAlignment="1">
      <alignment horizontal="center" vertical="center" wrapText="1"/>
    </xf>
    <xf numFmtId="0" fontId="24" fillId="0" borderId="12" xfId="11" applyFont="1" applyBorder="1" applyAlignment="1">
      <alignment horizontal="center" vertical="center" wrapText="1"/>
    </xf>
    <xf numFmtId="0" fontId="24" fillId="0" borderId="9" xfId="11" applyFont="1" applyBorder="1" applyAlignment="1">
      <alignment horizontal="center" vertical="center"/>
    </xf>
    <xf numFmtId="43" fontId="25" fillId="0" borderId="10" xfId="7" applyFont="1" applyFill="1" applyBorder="1" applyAlignment="1">
      <alignment horizontal="center" vertical="center"/>
    </xf>
    <xf numFmtId="43" fontId="25" fillId="0" borderId="12" xfId="7" applyFont="1" applyFill="1" applyBorder="1" applyAlignment="1">
      <alignment horizontal="center" vertical="center"/>
    </xf>
    <xf numFmtId="0" fontId="24" fillId="0" borderId="10" xfId="11" applyFont="1" applyBorder="1" applyAlignment="1">
      <alignment horizontal="center" vertical="center"/>
    </xf>
    <xf numFmtId="0" fontId="24" fillId="0" borderId="15" xfId="11" applyFont="1" applyBorder="1" applyAlignment="1">
      <alignment horizontal="center" vertical="center"/>
    </xf>
    <xf numFmtId="0" fontId="24" fillId="0" borderId="12" xfId="11" applyFont="1" applyBorder="1" applyAlignment="1">
      <alignment horizontal="center" vertical="center"/>
    </xf>
    <xf numFmtId="0" fontId="25" fillId="0" borderId="10" xfId="11" applyFont="1" applyBorder="1" applyAlignment="1">
      <alignment horizontal="left" vertical="center" wrapText="1"/>
    </xf>
    <xf numFmtId="0" fontId="25" fillId="0" borderId="15" xfId="11" applyFont="1" applyBorder="1" applyAlignment="1">
      <alignment horizontal="left" vertical="center" wrapText="1"/>
    </xf>
    <xf numFmtId="0" fontId="25" fillId="0" borderId="12" xfId="11" applyFont="1" applyBorder="1" applyAlignment="1">
      <alignment horizontal="left" vertical="center" wrapText="1"/>
    </xf>
    <xf numFmtId="0" fontId="9" fillId="0" borderId="15" xfId="0" applyFont="1" applyBorder="1" applyAlignment="1">
      <alignment horizontal="left" vertical="center" wrapText="1" readingOrder="1"/>
    </xf>
    <xf numFmtId="0" fontId="29" fillId="0" borderId="9" xfId="0" applyFont="1" applyBorder="1" applyAlignment="1">
      <alignment horizontal="left" vertical="top" readingOrder="1"/>
    </xf>
  </cellXfs>
  <cellStyles count="14">
    <cellStyle name="Comma 2" xfId="7" xr:uid="{ED3A85C1-A730-4524-B7F6-4789FD4CCFD1}"/>
    <cellStyle name="Comma 2 2" xfId="13" xr:uid="{51F2562E-FF71-483E-ADDB-8E95FD705243}"/>
    <cellStyle name="Comma 3" xfId="1" xr:uid="{50013834-496C-492E-AB2E-230C53DFC729}"/>
    <cellStyle name="Comma 3 2" xfId="12" xr:uid="{70179391-E41D-401F-8517-7C90FC216521}"/>
    <cellStyle name="Hyperlink 2" xfId="5" xr:uid="{A8353C70-2BA6-4CBF-8F76-F8404170B9B2}"/>
    <cellStyle name="Normal" xfId="0" builtinId="0"/>
    <cellStyle name="Normal 2 2 2" xfId="3" xr:uid="{C16A1703-3721-4178-B39A-1D0C31A505A1}"/>
    <cellStyle name="Normal 2 2 3" xfId="11" xr:uid="{DA1FD8B2-76C9-410B-8CBF-40D5D1C2BEF9}"/>
    <cellStyle name="Normal 2 3" xfId="4" xr:uid="{ECDD3DD7-FE02-4D7A-ACD3-0BEF4B718106}"/>
    <cellStyle name="Normal 3" xfId="6" xr:uid="{0B3825C5-45E9-45D8-A560-83F2C6CB4B14}"/>
    <cellStyle name="Normal 4" xfId="10" xr:uid="{EE7D422D-B434-4267-83DE-5FD8FCB8CB5A}"/>
    <cellStyle name="Percent" xfId="2" builtinId="5"/>
    <cellStyle name="Percent 2" xfId="8" xr:uid="{A4F2CFC1-3CAE-45E1-9B91-960998670B72}"/>
    <cellStyle name="Percent 3" xfId="9" xr:uid="{2E67EAB5-9ADC-4038-8016-4DB0EF014B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28574</xdr:colOff>
      <xdr:row>149</xdr:row>
      <xdr:rowOff>0</xdr:rowOff>
    </xdr:from>
    <xdr:to>
      <xdr:col>2</xdr:col>
      <xdr:colOff>1780347</xdr:colOff>
      <xdr:row>150</xdr:row>
      <xdr:rowOff>27375</xdr:rowOff>
    </xdr:to>
    <xdr:pic>
      <xdr:nvPicPr>
        <xdr:cNvPr id="5" name="Picture 4">
          <a:extLst>
            <a:ext uri="{FF2B5EF4-FFF2-40B4-BE49-F238E27FC236}">
              <a16:creationId xmlns:a16="http://schemas.microsoft.com/office/drawing/2014/main" id="{F5FC62F8-E9BD-4E65-9DEB-C6FE5C7EFE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099" y="320516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154</xdr:row>
      <xdr:rowOff>180976</xdr:rowOff>
    </xdr:from>
    <xdr:to>
      <xdr:col>2</xdr:col>
      <xdr:colOff>2119814</xdr:colOff>
      <xdr:row>155</xdr:row>
      <xdr:rowOff>65476</xdr:rowOff>
    </xdr:to>
    <xdr:pic>
      <xdr:nvPicPr>
        <xdr:cNvPr id="2" name="Picture 1">
          <a:extLst>
            <a:ext uri="{FF2B5EF4-FFF2-40B4-BE49-F238E27FC236}">
              <a16:creationId xmlns:a16="http://schemas.microsoft.com/office/drawing/2014/main" id="{6794CC87-151F-4218-AE0C-2AD2D16BE9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6250" y="3467100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2</xdr:col>
      <xdr:colOff>1713673</xdr:colOff>
      <xdr:row>137</xdr:row>
      <xdr:rowOff>27375</xdr:rowOff>
    </xdr:to>
    <xdr:pic>
      <xdr:nvPicPr>
        <xdr:cNvPr id="5" name="Picture 4">
          <a:extLst>
            <a:ext uri="{FF2B5EF4-FFF2-40B4-BE49-F238E27FC236}">
              <a16:creationId xmlns:a16="http://schemas.microsoft.com/office/drawing/2014/main" id="{C0A7C0D0-D608-4D4F-BC56-C4AA6D17C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5082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141</xdr:row>
      <xdr:rowOff>0</xdr:rowOff>
    </xdr:from>
    <xdr:to>
      <xdr:col>2</xdr:col>
      <xdr:colOff>1995989</xdr:colOff>
      <xdr:row>141</xdr:row>
      <xdr:rowOff>1980000</xdr:rowOff>
    </xdr:to>
    <xdr:pic>
      <xdr:nvPicPr>
        <xdr:cNvPr id="6" name="Picture 5">
          <a:extLst>
            <a:ext uri="{FF2B5EF4-FFF2-40B4-BE49-F238E27FC236}">
              <a16:creationId xmlns:a16="http://schemas.microsoft.com/office/drawing/2014/main" id="{0CB0251B-C296-4CD3-BA57-C35E78B2CD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108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149</xdr:row>
      <xdr:rowOff>0</xdr:rowOff>
    </xdr:from>
    <xdr:to>
      <xdr:col>2</xdr:col>
      <xdr:colOff>2034089</xdr:colOff>
      <xdr:row>149</xdr:row>
      <xdr:rowOff>1980000</xdr:rowOff>
    </xdr:to>
    <xdr:pic>
      <xdr:nvPicPr>
        <xdr:cNvPr id="6" name="Picture 5">
          <a:extLst>
            <a:ext uri="{FF2B5EF4-FFF2-40B4-BE49-F238E27FC236}">
              <a16:creationId xmlns:a16="http://schemas.microsoft.com/office/drawing/2014/main" id="{F9C38D95-C7B6-4F1D-9F14-BD381F86D8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489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144</xdr:row>
      <xdr:rowOff>19050</xdr:rowOff>
    </xdr:from>
    <xdr:to>
      <xdr:col>2</xdr:col>
      <xdr:colOff>2053139</xdr:colOff>
      <xdr:row>145</xdr:row>
      <xdr:rowOff>46425</xdr:rowOff>
    </xdr:to>
    <xdr:pic>
      <xdr:nvPicPr>
        <xdr:cNvPr id="2" name="Picture 1">
          <a:extLst>
            <a:ext uri="{FF2B5EF4-FFF2-40B4-BE49-F238E27FC236}">
              <a16:creationId xmlns:a16="http://schemas.microsoft.com/office/drawing/2014/main" id="{5BEABF8C-BB33-488D-8EA1-55D476A9E4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9575" y="277463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182</xdr:row>
      <xdr:rowOff>104775</xdr:rowOff>
    </xdr:from>
    <xdr:to>
      <xdr:col>2</xdr:col>
      <xdr:colOff>1929314</xdr:colOff>
      <xdr:row>183</xdr:row>
      <xdr:rowOff>1922850</xdr:rowOff>
    </xdr:to>
    <xdr:pic>
      <xdr:nvPicPr>
        <xdr:cNvPr id="2" name="Picture 1">
          <a:extLst>
            <a:ext uri="{FF2B5EF4-FFF2-40B4-BE49-F238E27FC236}">
              <a16:creationId xmlns:a16="http://schemas.microsoft.com/office/drawing/2014/main" id="{9639EE17-6F34-4DF1-BC8C-6CF59BED69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681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178</xdr:row>
      <xdr:rowOff>0</xdr:rowOff>
    </xdr:from>
    <xdr:to>
      <xdr:col>2</xdr:col>
      <xdr:colOff>1914525</xdr:colOff>
      <xdr:row>179</xdr:row>
      <xdr:rowOff>27375</xdr:rowOff>
    </xdr:to>
    <xdr:pic>
      <xdr:nvPicPr>
        <xdr:cNvPr id="3" name="Picture 2">
          <a:extLst>
            <a:ext uri="{FF2B5EF4-FFF2-40B4-BE49-F238E27FC236}">
              <a16:creationId xmlns:a16="http://schemas.microsoft.com/office/drawing/2014/main" id="{5C9C5C07-E28E-48C1-8054-94A8F878D6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25" y="37137975"/>
          <a:ext cx="33337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210</xdr:row>
      <xdr:rowOff>0</xdr:rowOff>
    </xdr:from>
    <xdr:to>
      <xdr:col>2</xdr:col>
      <xdr:colOff>2034089</xdr:colOff>
      <xdr:row>211</xdr:row>
      <xdr:rowOff>27375</xdr:rowOff>
    </xdr:to>
    <xdr:pic>
      <xdr:nvPicPr>
        <xdr:cNvPr id="5" name="Picture 4">
          <a:extLst>
            <a:ext uri="{FF2B5EF4-FFF2-40B4-BE49-F238E27FC236}">
              <a16:creationId xmlns:a16="http://schemas.microsoft.com/office/drawing/2014/main" id="{E048FF04-1E9C-463B-A5F7-2F5A6A54BF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6906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215</xdr:row>
      <xdr:rowOff>0</xdr:rowOff>
    </xdr:from>
    <xdr:to>
      <xdr:col>2</xdr:col>
      <xdr:colOff>2034089</xdr:colOff>
      <xdr:row>215</xdr:row>
      <xdr:rowOff>1980000</xdr:rowOff>
    </xdr:to>
    <xdr:pic>
      <xdr:nvPicPr>
        <xdr:cNvPr id="6" name="Picture 5">
          <a:extLst>
            <a:ext uri="{FF2B5EF4-FFF2-40B4-BE49-F238E27FC236}">
              <a16:creationId xmlns:a16="http://schemas.microsoft.com/office/drawing/2014/main" id="{3F0F0785-F3B9-4B4E-8227-5B4C9FE4D47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22910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172</xdr:row>
      <xdr:rowOff>0</xdr:rowOff>
    </xdr:from>
    <xdr:to>
      <xdr:col>2</xdr:col>
      <xdr:colOff>1751773</xdr:colOff>
      <xdr:row>173</xdr:row>
      <xdr:rowOff>27375</xdr:rowOff>
    </xdr:to>
    <xdr:pic>
      <xdr:nvPicPr>
        <xdr:cNvPr id="5" name="Picture 4">
          <a:extLst>
            <a:ext uri="{FF2B5EF4-FFF2-40B4-BE49-F238E27FC236}">
              <a16:creationId xmlns:a16="http://schemas.microsoft.com/office/drawing/2014/main" id="{4304EB60-08CD-4933-8576-BDEB98797D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834765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177</xdr:row>
      <xdr:rowOff>0</xdr:rowOff>
    </xdr:from>
    <xdr:to>
      <xdr:col>2</xdr:col>
      <xdr:colOff>2034089</xdr:colOff>
      <xdr:row>177</xdr:row>
      <xdr:rowOff>1980000</xdr:rowOff>
    </xdr:to>
    <xdr:pic>
      <xdr:nvPicPr>
        <xdr:cNvPr id="7" name="Picture 6">
          <a:extLst>
            <a:ext uri="{FF2B5EF4-FFF2-40B4-BE49-F238E27FC236}">
              <a16:creationId xmlns:a16="http://schemas.microsoft.com/office/drawing/2014/main" id="{6D531713-D45D-4C0F-9CBE-9400749898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09479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199</xdr:row>
      <xdr:rowOff>0</xdr:rowOff>
    </xdr:from>
    <xdr:to>
      <xdr:col>2</xdr:col>
      <xdr:colOff>2034089</xdr:colOff>
      <xdr:row>199</xdr:row>
      <xdr:rowOff>1980000</xdr:rowOff>
    </xdr:to>
    <xdr:pic>
      <xdr:nvPicPr>
        <xdr:cNvPr id="5" name="Picture 4">
          <a:extLst>
            <a:ext uri="{FF2B5EF4-FFF2-40B4-BE49-F238E27FC236}">
              <a16:creationId xmlns:a16="http://schemas.microsoft.com/office/drawing/2014/main" id="{8844114A-4300-4DCD-9508-8F80008655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8528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193</xdr:row>
      <xdr:rowOff>0</xdr:rowOff>
    </xdr:from>
    <xdr:to>
      <xdr:col>2</xdr:col>
      <xdr:colOff>1751773</xdr:colOff>
      <xdr:row>194</xdr:row>
      <xdr:rowOff>27375</xdr:rowOff>
    </xdr:to>
    <xdr:pic>
      <xdr:nvPicPr>
        <xdr:cNvPr id="7" name="Picture 6">
          <a:extLst>
            <a:ext uri="{FF2B5EF4-FFF2-40B4-BE49-F238E27FC236}">
              <a16:creationId xmlns:a16="http://schemas.microsoft.com/office/drawing/2014/main" id="{E5B8DD88-02C7-43BE-BFF1-CDBA92F9759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9286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2</xdr:col>
      <xdr:colOff>1485073</xdr:colOff>
      <xdr:row>136</xdr:row>
      <xdr:rowOff>27375</xdr:rowOff>
    </xdr:to>
    <xdr:pic>
      <xdr:nvPicPr>
        <xdr:cNvPr id="6" name="Picture 5">
          <a:extLst>
            <a:ext uri="{FF2B5EF4-FFF2-40B4-BE49-F238E27FC236}">
              <a16:creationId xmlns:a16="http://schemas.microsoft.com/office/drawing/2014/main" id="{5876395C-E77D-4E39-B10C-BAFA43F969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1654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140</xdr:row>
      <xdr:rowOff>38101</xdr:rowOff>
    </xdr:from>
    <xdr:to>
      <xdr:col>2</xdr:col>
      <xdr:colOff>1776915</xdr:colOff>
      <xdr:row>140</xdr:row>
      <xdr:rowOff>2018101</xdr:rowOff>
    </xdr:to>
    <xdr:pic>
      <xdr:nvPicPr>
        <xdr:cNvPr id="7" name="Picture 6">
          <a:extLst>
            <a:ext uri="{FF2B5EF4-FFF2-40B4-BE49-F238E27FC236}">
              <a16:creationId xmlns:a16="http://schemas.microsoft.com/office/drawing/2014/main" id="{137E3B3B-1096-4AE1-9881-B89CDD0B42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3080385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2095500</xdr:colOff>
      <xdr:row>158</xdr:row>
      <xdr:rowOff>28576</xdr:rowOff>
    </xdr:to>
    <xdr:pic>
      <xdr:nvPicPr>
        <xdr:cNvPr id="4" name="Picture 3">
          <a:extLst>
            <a:ext uri="{FF2B5EF4-FFF2-40B4-BE49-F238E27FC236}">
              <a16:creationId xmlns:a16="http://schemas.microsoft.com/office/drawing/2014/main" id="{4E0EB41C-34FB-48F4-8F3F-13F78A0CD0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57537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162</xdr:row>
      <xdr:rowOff>0</xdr:rowOff>
    </xdr:from>
    <xdr:to>
      <xdr:col>2</xdr:col>
      <xdr:colOff>1994905</xdr:colOff>
      <xdr:row>162</xdr:row>
      <xdr:rowOff>1980000</xdr:rowOff>
    </xdr:to>
    <xdr:pic>
      <xdr:nvPicPr>
        <xdr:cNvPr id="5" name="Picture 4">
          <a:extLst>
            <a:ext uri="{FF2B5EF4-FFF2-40B4-BE49-F238E27FC236}">
              <a16:creationId xmlns:a16="http://schemas.microsoft.com/office/drawing/2014/main" id="{58DD1D76-84D1-40F2-A6E7-0E0D55CF907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175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112</xdr:row>
      <xdr:rowOff>161924</xdr:rowOff>
    </xdr:from>
    <xdr:to>
      <xdr:col>2</xdr:col>
      <xdr:colOff>2017423</xdr:colOff>
      <xdr:row>113</xdr:row>
      <xdr:rowOff>1979999</xdr:rowOff>
    </xdr:to>
    <xdr:pic>
      <xdr:nvPicPr>
        <xdr:cNvPr id="6" name="Picture 5">
          <a:extLst>
            <a:ext uri="{FF2B5EF4-FFF2-40B4-BE49-F238E27FC236}">
              <a16:creationId xmlns:a16="http://schemas.microsoft.com/office/drawing/2014/main" id="{7E012295-9374-40FF-A286-865A3797B4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459824"/>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108</xdr:row>
      <xdr:rowOff>0</xdr:rowOff>
    </xdr:from>
    <xdr:to>
      <xdr:col>2</xdr:col>
      <xdr:colOff>1939800</xdr:colOff>
      <xdr:row>109</xdr:row>
      <xdr:rowOff>25899</xdr:rowOff>
    </xdr:to>
    <xdr:pic>
      <xdr:nvPicPr>
        <xdr:cNvPr id="2" name="Picture 1">
          <a:extLst>
            <a:ext uri="{FF2B5EF4-FFF2-40B4-BE49-F238E27FC236}">
              <a16:creationId xmlns:a16="http://schemas.microsoft.com/office/drawing/2014/main" id="{EF6843B4-7B1F-4DF1-B14C-17714DBD66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8859500"/>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B80A-A544-4C1B-AA42-42439220C444}">
  <dimension ref="A1:C11"/>
  <sheetViews>
    <sheetView workbookViewId="0">
      <selection activeCell="C1" sqref="C1"/>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528</v>
      </c>
      <c r="B1" s="2" t="s">
        <v>529</v>
      </c>
      <c r="C1" s="2" t="s">
        <v>530</v>
      </c>
    </row>
    <row r="2" spans="1:3" x14ac:dyDescent="0.25">
      <c r="A2" s="4">
        <v>1</v>
      </c>
      <c r="B2" s="5" t="s">
        <v>531</v>
      </c>
      <c r="C2" s="6" t="s">
        <v>1</v>
      </c>
    </row>
    <row r="3" spans="1:3" x14ac:dyDescent="0.25">
      <c r="A3" s="4">
        <v>2</v>
      </c>
      <c r="B3" s="5" t="s">
        <v>532</v>
      </c>
      <c r="C3" s="6" t="s">
        <v>120</v>
      </c>
    </row>
    <row r="4" spans="1:3" x14ac:dyDescent="0.25">
      <c r="A4" s="4">
        <v>3</v>
      </c>
      <c r="B4" s="5" t="s">
        <v>533</v>
      </c>
      <c r="C4" s="6" t="s">
        <v>146</v>
      </c>
    </row>
    <row r="5" spans="1:3" x14ac:dyDescent="0.25">
      <c r="A5" s="4">
        <v>4</v>
      </c>
      <c r="B5" s="5" t="s">
        <v>534</v>
      </c>
      <c r="C5" s="6" t="s">
        <v>204</v>
      </c>
    </row>
    <row r="6" spans="1:3" x14ac:dyDescent="0.25">
      <c r="A6" s="4">
        <v>5</v>
      </c>
      <c r="B6" s="5" t="s">
        <v>535</v>
      </c>
      <c r="C6" s="6" t="s">
        <v>249</v>
      </c>
    </row>
    <row r="7" spans="1:3" x14ac:dyDescent="0.25">
      <c r="A7" s="4">
        <v>6</v>
      </c>
      <c r="B7" s="5" t="s">
        <v>536</v>
      </c>
      <c r="C7" s="6" t="s">
        <v>405</v>
      </c>
    </row>
    <row r="8" spans="1:3" x14ac:dyDescent="0.25">
      <c r="A8" s="4">
        <v>7</v>
      </c>
      <c r="B8" s="5" t="s">
        <v>537</v>
      </c>
      <c r="C8" s="6" t="s">
        <v>420</v>
      </c>
    </row>
    <row r="9" spans="1:3" x14ac:dyDescent="0.25">
      <c r="A9" s="4">
        <v>8</v>
      </c>
      <c r="B9" s="5" t="s">
        <v>538</v>
      </c>
      <c r="C9" s="6" t="s">
        <v>461</v>
      </c>
    </row>
    <row r="10" spans="1:3" x14ac:dyDescent="0.25">
      <c r="A10" s="4">
        <v>9</v>
      </c>
      <c r="B10" s="5" t="s">
        <v>539</v>
      </c>
      <c r="C10" s="6" t="s">
        <v>464</v>
      </c>
    </row>
    <row r="11" spans="1:3" x14ac:dyDescent="0.25">
      <c r="A11" s="4">
        <v>10</v>
      </c>
      <c r="B11" s="5" t="s">
        <v>540</v>
      </c>
      <c r="C11" s="6" t="s">
        <v>524</v>
      </c>
    </row>
  </sheetData>
  <hyperlinks>
    <hyperlink ref="B3" location="SFRSTP!A1" display="SFRSTP" xr:uid="{A2658821-2F4E-4220-A832-61E98190DC02}"/>
    <hyperlink ref="B4" location="SMMF!A1" display="SMMF" xr:uid="{EAF15E5F-62B7-424A-A069-A0070D6F4A95}"/>
    <hyperlink ref="B5" location="SPLDF!A1" display="SPLDF" xr:uid="{0990E108-DAFC-4F52-88C0-D7902946DE26}"/>
    <hyperlink ref="B6" location="SPMON!A1" display="SPMON" xr:uid="{01B267FA-E969-4373-8E17-3BBEA4DF01B0}"/>
    <hyperlink ref="B7" location="SPSDF!A1" display="SPSDF" xr:uid="{2352C9F2-A961-4F8B-A32D-176DFA1FFED1}"/>
    <hyperlink ref="B8" location="SPUSDF!A1" display="SPUSDF" xr:uid="{E696BED4-0DBD-4D53-9C2D-BC630DC152A8}"/>
    <hyperlink ref="B9" location="SUNBDS!A1" display="SUNBDS" xr:uid="{93FC14C5-6D63-476E-AD10-B65F735A662E}"/>
    <hyperlink ref="B10" location="SUNMIA!A1" display="SUNMIA" xr:uid="{0DE53037-B721-4BC8-80E9-2EEBF11FFD18}"/>
    <hyperlink ref="B11" location="SUNONF!A1" display="SUNONF" xr:uid="{4D1A968B-D7ED-4DC2-98E4-0D57484AB955}"/>
    <hyperlink ref="B2" location="SFRLTP!A1" display="SFRLTP" xr:uid="{1CA95A0A-8F02-48BD-B480-2560D1AEA5C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0C676-CD30-4D7B-B637-8F245E711943}">
  <sheetPr>
    <outlinePr summaryBelow="0" summaryRight="0"/>
  </sheetPr>
  <dimension ref="A1:Q155"/>
  <sheetViews>
    <sheetView showGridLines="0" workbookViewId="0">
      <selection sqref="A1:H1"/>
    </sheetView>
  </sheetViews>
  <sheetFormatPr defaultRowHeight="12.75" x14ac:dyDescent="0.2"/>
  <cols>
    <col min="1" max="1" width="5.85546875" bestFit="1" customWidth="1"/>
    <col min="2" max="2" width="20.28515625" bestFit="1" customWidth="1"/>
    <col min="3" max="3" width="34" bestFit="1" customWidth="1"/>
    <col min="4" max="4" width="11.28515625" bestFit="1" customWidth="1"/>
    <col min="5" max="5" width="9.42578125" bestFit="1" customWidth="1"/>
    <col min="6" max="6" width="10.140625" bestFit="1" customWidth="1"/>
    <col min="7" max="7" width="14" bestFit="1" customWidth="1"/>
    <col min="8" max="8" width="10.7109375" customWidth="1"/>
  </cols>
  <sheetData>
    <row r="1" spans="1:9" ht="15" x14ac:dyDescent="0.2">
      <c r="A1" s="156" t="s">
        <v>0</v>
      </c>
      <c r="B1" s="156"/>
      <c r="C1" s="156"/>
      <c r="D1" s="156"/>
      <c r="E1" s="156"/>
      <c r="F1" s="156"/>
      <c r="G1" s="156"/>
      <c r="H1" s="156"/>
      <c r="I1" s="9" t="s">
        <v>658</v>
      </c>
    </row>
    <row r="2" spans="1:9" ht="15" x14ac:dyDescent="0.2">
      <c r="A2" s="156" t="s">
        <v>1</v>
      </c>
      <c r="B2" s="156"/>
      <c r="C2" s="156"/>
      <c r="D2" s="156"/>
      <c r="E2" s="156"/>
      <c r="F2" s="156"/>
      <c r="G2" s="156"/>
      <c r="H2" s="156"/>
    </row>
    <row r="3" spans="1:9" ht="15" x14ac:dyDescent="0.2">
      <c r="A3" s="156" t="s">
        <v>563</v>
      </c>
      <c r="B3" s="156"/>
      <c r="C3" s="156"/>
      <c r="D3" s="156"/>
      <c r="E3" s="156"/>
      <c r="F3" s="156"/>
      <c r="G3" s="156"/>
      <c r="H3" s="156"/>
    </row>
    <row r="4" spans="1:9" s="13" customFormat="1" ht="30" x14ac:dyDescent="0.2">
      <c r="A4" s="11" t="s">
        <v>2</v>
      </c>
      <c r="B4" s="11" t="s">
        <v>3</v>
      </c>
      <c r="C4" s="11" t="s">
        <v>4</v>
      </c>
      <c r="D4" s="11" t="s">
        <v>5</v>
      </c>
      <c r="E4" s="11" t="s">
        <v>6</v>
      </c>
      <c r="F4" s="11" t="s">
        <v>7</v>
      </c>
      <c r="G4" s="11" t="s">
        <v>8</v>
      </c>
      <c r="H4" s="12" t="s">
        <v>527</v>
      </c>
    </row>
    <row r="5" spans="1:9" x14ac:dyDescent="0.2">
      <c r="A5" s="14"/>
      <c r="B5" s="14"/>
      <c r="C5" s="15" t="s">
        <v>9</v>
      </c>
      <c r="D5" s="14"/>
      <c r="E5" s="14"/>
      <c r="F5" s="14"/>
      <c r="G5" s="14"/>
      <c r="H5" s="16" t="s">
        <v>12</v>
      </c>
    </row>
    <row r="6" spans="1:9" ht="25.5" x14ac:dyDescent="0.2">
      <c r="A6" s="14"/>
      <c r="B6" s="14"/>
      <c r="C6" s="15" t="s">
        <v>10</v>
      </c>
      <c r="D6" s="14"/>
      <c r="E6" s="14"/>
      <c r="F6" s="14"/>
      <c r="G6" s="14"/>
      <c r="H6" s="16" t="s">
        <v>12</v>
      </c>
    </row>
    <row r="7" spans="1:9" x14ac:dyDescent="0.2">
      <c r="A7" s="14"/>
      <c r="B7" s="14"/>
      <c r="C7" s="15" t="s">
        <v>11</v>
      </c>
      <c r="D7" s="14"/>
      <c r="E7" s="14" t="s">
        <v>12</v>
      </c>
      <c r="F7" s="17" t="s">
        <v>13</v>
      </c>
      <c r="G7" s="18">
        <v>0</v>
      </c>
      <c r="H7" s="16" t="s">
        <v>12</v>
      </c>
    </row>
    <row r="8" spans="1:9" x14ac:dyDescent="0.2">
      <c r="A8" s="14"/>
      <c r="B8" s="14"/>
      <c r="C8" s="19"/>
      <c r="D8" s="14"/>
      <c r="E8" s="14"/>
      <c r="F8" s="20"/>
      <c r="G8" s="20"/>
      <c r="H8" s="16" t="s">
        <v>12</v>
      </c>
    </row>
    <row r="9" spans="1:9" x14ac:dyDescent="0.2">
      <c r="A9" s="14"/>
      <c r="B9" s="14"/>
      <c r="C9" s="15" t="s">
        <v>14</v>
      </c>
      <c r="D9" s="14"/>
      <c r="E9" s="14"/>
      <c r="F9" s="14"/>
      <c r="G9" s="14"/>
      <c r="H9" s="16" t="s">
        <v>12</v>
      </c>
    </row>
    <row r="10" spans="1:9" x14ac:dyDescent="0.2">
      <c r="A10" s="14"/>
      <c r="B10" s="14"/>
      <c r="C10" s="15" t="s">
        <v>11</v>
      </c>
      <c r="D10" s="14"/>
      <c r="E10" s="14" t="s">
        <v>12</v>
      </c>
      <c r="F10" s="17" t="s">
        <v>13</v>
      </c>
      <c r="G10" s="18">
        <v>0</v>
      </c>
      <c r="H10" s="16" t="s">
        <v>12</v>
      </c>
    </row>
    <row r="11" spans="1:9" x14ac:dyDescent="0.2">
      <c r="A11" s="14"/>
      <c r="B11" s="14"/>
      <c r="C11" s="19"/>
      <c r="D11" s="14"/>
      <c r="E11" s="14"/>
      <c r="F11" s="20"/>
      <c r="G11" s="20"/>
      <c r="H11" s="16" t="s">
        <v>12</v>
      </c>
    </row>
    <row r="12" spans="1:9" x14ac:dyDescent="0.2">
      <c r="A12" s="14"/>
      <c r="B12" s="14"/>
      <c r="C12" s="15" t="s">
        <v>15</v>
      </c>
      <c r="D12" s="14"/>
      <c r="E12" s="14"/>
      <c r="F12" s="14"/>
      <c r="G12" s="14"/>
      <c r="H12" s="16" t="s">
        <v>12</v>
      </c>
    </row>
    <row r="13" spans="1:9" x14ac:dyDescent="0.2">
      <c r="A13" s="14"/>
      <c r="B13" s="14"/>
      <c r="C13" s="15" t="s">
        <v>11</v>
      </c>
      <c r="D13" s="14"/>
      <c r="E13" s="14" t="s">
        <v>12</v>
      </c>
      <c r="F13" s="17" t="s">
        <v>13</v>
      </c>
      <c r="G13" s="18">
        <v>0</v>
      </c>
      <c r="H13" s="16" t="s">
        <v>12</v>
      </c>
    </row>
    <row r="14" spans="1:9" x14ac:dyDescent="0.2">
      <c r="A14" s="14"/>
      <c r="B14" s="14"/>
      <c r="C14" s="19"/>
      <c r="D14" s="14"/>
      <c r="E14" s="14"/>
      <c r="F14" s="20"/>
      <c r="G14" s="20"/>
      <c r="H14" s="16" t="s">
        <v>12</v>
      </c>
    </row>
    <row r="15" spans="1:9" x14ac:dyDescent="0.2">
      <c r="A15" s="14"/>
      <c r="B15" s="14"/>
      <c r="C15" s="15" t="s">
        <v>16</v>
      </c>
      <c r="D15" s="14"/>
      <c r="E15" s="14"/>
      <c r="F15" s="14"/>
      <c r="G15" s="14"/>
      <c r="H15" s="16" t="s">
        <v>12</v>
      </c>
    </row>
    <row r="16" spans="1:9" x14ac:dyDescent="0.2">
      <c r="A16" s="14"/>
      <c r="B16" s="14"/>
      <c r="C16" s="15" t="s">
        <v>11</v>
      </c>
      <c r="D16" s="14"/>
      <c r="E16" s="14" t="s">
        <v>12</v>
      </c>
      <c r="F16" s="17" t="s">
        <v>13</v>
      </c>
      <c r="G16" s="18">
        <v>0</v>
      </c>
      <c r="H16" s="16" t="s">
        <v>12</v>
      </c>
    </row>
    <row r="17" spans="1:8" x14ac:dyDescent="0.2">
      <c r="A17" s="14"/>
      <c r="B17" s="14"/>
      <c r="C17" s="19"/>
      <c r="D17" s="14"/>
      <c r="E17" s="14"/>
      <c r="F17" s="20"/>
      <c r="G17" s="20"/>
      <c r="H17" s="16" t="s">
        <v>12</v>
      </c>
    </row>
    <row r="18" spans="1:8" x14ac:dyDescent="0.2">
      <c r="A18" s="14"/>
      <c r="B18" s="14"/>
      <c r="C18" s="15" t="s">
        <v>17</v>
      </c>
      <c r="D18" s="14"/>
      <c r="E18" s="14"/>
      <c r="F18" s="20"/>
      <c r="G18" s="20"/>
      <c r="H18" s="16" t="s">
        <v>12</v>
      </c>
    </row>
    <row r="19" spans="1:8" x14ac:dyDescent="0.2">
      <c r="A19" s="14"/>
      <c r="B19" s="14"/>
      <c r="C19" s="15" t="s">
        <v>11</v>
      </c>
      <c r="D19" s="14"/>
      <c r="E19" s="14" t="s">
        <v>12</v>
      </c>
      <c r="F19" s="17" t="s">
        <v>13</v>
      </c>
      <c r="G19" s="18">
        <v>0</v>
      </c>
      <c r="H19" s="16" t="s">
        <v>12</v>
      </c>
    </row>
    <row r="20" spans="1:8" x14ac:dyDescent="0.2">
      <c r="A20" s="14"/>
      <c r="B20" s="14"/>
      <c r="C20" s="19"/>
      <c r="D20" s="14"/>
      <c r="E20" s="14"/>
      <c r="F20" s="20"/>
      <c r="G20" s="20"/>
      <c r="H20" s="16" t="s">
        <v>12</v>
      </c>
    </row>
    <row r="21" spans="1:8" x14ac:dyDescent="0.2">
      <c r="A21" s="14"/>
      <c r="B21" s="14"/>
      <c r="C21" s="15" t="s">
        <v>18</v>
      </c>
      <c r="D21" s="14"/>
      <c r="E21" s="14"/>
      <c r="F21" s="20"/>
      <c r="G21" s="20"/>
      <c r="H21" s="16" t="s">
        <v>12</v>
      </c>
    </row>
    <row r="22" spans="1:8" x14ac:dyDescent="0.2">
      <c r="A22" s="14"/>
      <c r="B22" s="14"/>
      <c r="C22" s="15" t="s">
        <v>11</v>
      </c>
      <c r="D22" s="14"/>
      <c r="E22" s="14" t="s">
        <v>12</v>
      </c>
      <c r="F22" s="17" t="s">
        <v>13</v>
      </c>
      <c r="G22" s="18">
        <v>0</v>
      </c>
      <c r="H22" s="16" t="s">
        <v>12</v>
      </c>
    </row>
    <row r="23" spans="1:8" x14ac:dyDescent="0.2">
      <c r="A23" s="14"/>
      <c r="B23" s="14"/>
      <c r="C23" s="19"/>
      <c r="D23" s="14"/>
      <c r="E23" s="14"/>
      <c r="F23" s="20"/>
      <c r="G23" s="20"/>
      <c r="H23" s="16" t="s">
        <v>12</v>
      </c>
    </row>
    <row r="24" spans="1:8" x14ac:dyDescent="0.2">
      <c r="A24" s="14"/>
      <c r="B24" s="14"/>
      <c r="C24" s="15" t="s">
        <v>19</v>
      </c>
      <c r="D24" s="14"/>
      <c r="E24" s="14"/>
      <c r="F24" s="21">
        <v>0</v>
      </c>
      <c r="G24" s="18">
        <v>0</v>
      </c>
      <c r="H24" s="16" t="s">
        <v>12</v>
      </c>
    </row>
    <row r="25" spans="1:8" x14ac:dyDescent="0.2">
      <c r="A25" s="14"/>
      <c r="B25" s="14"/>
      <c r="C25" s="19"/>
      <c r="D25" s="14"/>
      <c r="E25" s="14"/>
      <c r="F25" s="20"/>
      <c r="G25" s="20"/>
      <c r="H25" s="16" t="s">
        <v>12</v>
      </c>
    </row>
    <row r="26" spans="1:8" x14ac:dyDescent="0.2">
      <c r="A26" s="14"/>
      <c r="B26" s="14"/>
      <c r="C26" s="15" t="s">
        <v>20</v>
      </c>
      <c r="D26" s="14"/>
      <c r="E26" s="14"/>
      <c r="F26" s="20"/>
      <c r="G26" s="20"/>
      <c r="H26" s="16" t="s">
        <v>12</v>
      </c>
    </row>
    <row r="27" spans="1:8" ht="25.5" x14ac:dyDescent="0.2">
      <c r="A27" s="14"/>
      <c r="B27" s="14"/>
      <c r="C27" s="15" t="s">
        <v>10</v>
      </c>
      <c r="D27" s="14"/>
      <c r="E27" s="14"/>
      <c r="F27" s="20"/>
      <c r="G27" s="20"/>
      <c r="H27" s="16" t="s">
        <v>12</v>
      </c>
    </row>
    <row r="28" spans="1:8" ht="25.5" x14ac:dyDescent="0.2">
      <c r="A28" s="22">
        <v>1</v>
      </c>
      <c r="B28" s="23" t="s">
        <v>21</v>
      </c>
      <c r="C28" s="23" t="s">
        <v>22</v>
      </c>
      <c r="D28" s="23" t="s">
        <v>23</v>
      </c>
      <c r="E28" s="24">
        <v>5000</v>
      </c>
      <c r="F28" s="25">
        <v>5047.71</v>
      </c>
      <c r="G28" s="26">
        <v>7.2466039999999995E-2</v>
      </c>
      <c r="H28" s="16">
        <v>7.5054999999999996</v>
      </c>
    </row>
    <row r="29" spans="1:8" ht="25.5" x14ac:dyDescent="0.2">
      <c r="A29" s="22">
        <v>2</v>
      </c>
      <c r="B29" s="23" t="s">
        <v>24</v>
      </c>
      <c r="C29" s="23" t="s">
        <v>25</v>
      </c>
      <c r="D29" s="23" t="s">
        <v>23</v>
      </c>
      <c r="E29" s="24">
        <v>4000</v>
      </c>
      <c r="F29" s="25">
        <v>4010.0039999999999</v>
      </c>
      <c r="G29" s="26">
        <v>5.7568500000000002E-2</v>
      </c>
      <c r="H29" s="16">
        <v>7.31</v>
      </c>
    </row>
    <row r="30" spans="1:8" ht="25.5" x14ac:dyDescent="0.2">
      <c r="A30" s="22">
        <v>3</v>
      </c>
      <c r="B30" s="23" t="s">
        <v>26</v>
      </c>
      <c r="C30" s="23" t="s">
        <v>27</v>
      </c>
      <c r="D30" s="23" t="s">
        <v>23</v>
      </c>
      <c r="E30" s="24">
        <v>4000</v>
      </c>
      <c r="F30" s="25">
        <v>3979.732</v>
      </c>
      <c r="G30" s="26">
        <v>5.7133910000000003E-2</v>
      </c>
      <c r="H30" s="16">
        <v>7.62</v>
      </c>
    </row>
    <row r="31" spans="1:8" ht="25.5" x14ac:dyDescent="0.2">
      <c r="A31" s="22">
        <v>4</v>
      </c>
      <c r="B31" s="23" t="s">
        <v>28</v>
      </c>
      <c r="C31" s="23" t="s">
        <v>29</v>
      </c>
      <c r="D31" s="23" t="s">
        <v>23</v>
      </c>
      <c r="E31" s="24">
        <v>300</v>
      </c>
      <c r="F31" s="25">
        <v>2997.165</v>
      </c>
      <c r="G31" s="26">
        <v>4.3027959999999997E-2</v>
      </c>
      <c r="H31" s="16">
        <v>7.72</v>
      </c>
    </row>
    <row r="32" spans="1:8" ht="25.5" x14ac:dyDescent="0.2">
      <c r="A32" s="22">
        <v>5</v>
      </c>
      <c r="B32" s="23" t="s">
        <v>30</v>
      </c>
      <c r="C32" s="23" t="s">
        <v>31</v>
      </c>
      <c r="D32" s="23" t="s">
        <v>23</v>
      </c>
      <c r="E32" s="24">
        <v>2500</v>
      </c>
      <c r="F32" s="25">
        <v>2521.4499999999998</v>
      </c>
      <c r="G32" s="26">
        <v>3.619849E-2</v>
      </c>
      <c r="H32" s="16">
        <v>7.2141999999999999</v>
      </c>
    </row>
    <row r="33" spans="1:8" ht="25.5" x14ac:dyDescent="0.2">
      <c r="A33" s="22">
        <v>6</v>
      </c>
      <c r="B33" s="23" t="s">
        <v>32</v>
      </c>
      <c r="C33" s="23" t="s">
        <v>33</v>
      </c>
      <c r="D33" s="23" t="s">
        <v>34</v>
      </c>
      <c r="E33" s="24">
        <v>2500</v>
      </c>
      <c r="F33" s="25">
        <v>2511.66</v>
      </c>
      <c r="G33" s="26">
        <v>3.6057949999999998E-2</v>
      </c>
      <c r="H33" s="16">
        <v>7.5049999999999999</v>
      </c>
    </row>
    <row r="34" spans="1:8" ht="25.5" x14ac:dyDescent="0.2">
      <c r="A34" s="22">
        <v>7</v>
      </c>
      <c r="B34" s="23" t="s">
        <v>35</v>
      </c>
      <c r="C34" s="23" t="s">
        <v>36</v>
      </c>
      <c r="D34" s="23" t="s">
        <v>23</v>
      </c>
      <c r="E34" s="24">
        <v>2500</v>
      </c>
      <c r="F34" s="25">
        <v>2509.0500000000002</v>
      </c>
      <c r="G34" s="26">
        <v>3.6020480000000001E-2</v>
      </c>
      <c r="H34" s="16">
        <v>7.5049999999999999</v>
      </c>
    </row>
    <row r="35" spans="1:8" x14ac:dyDescent="0.2">
      <c r="A35" s="22">
        <v>8</v>
      </c>
      <c r="B35" s="23" t="s">
        <v>37</v>
      </c>
      <c r="C35" s="23" t="s">
        <v>38</v>
      </c>
      <c r="D35" s="23" t="s">
        <v>23</v>
      </c>
      <c r="E35" s="24">
        <v>2500</v>
      </c>
      <c r="F35" s="25">
        <v>2497.1950000000002</v>
      </c>
      <c r="G35" s="26">
        <v>3.5850279999999998E-2</v>
      </c>
      <c r="H35" s="16">
        <v>7.48</v>
      </c>
    </row>
    <row r="36" spans="1:8" x14ac:dyDescent="0.2">
      <c r="A36" s="22">
        <v>9</v>
      </c>
      <c r="B36" s="23" t="s">
        <v>39</v>
      </c>
      <c r="C36" s="23" t="s">
        <v>40</v>
      </c>
      <c r="D36" s="23" t="s">
        <v>23</v>
      </c>
      <c r="E36" s="24">
        <v>2500</v>
      </c>
      <c r="F36" s="25">
        <v>2492.41</v>
      </c>
      <c r="G36" s="26">
        <v>3.5781590000000002E-2</v>
      </c>
      <c r="H36" s="16">
        <v>7.7117000000000004</v>
      </c>
    </row>
    <row r="37" spans="1:8" ht="25.5" x14ac:dyDescent="0.2">
      <c r="A37" s="22">
        <v>10</v>
      </c>
      <c r="B37" s="23" t="s">
        <v>41</v>
      </c>
      <c r="C37" s="23" t="s">
        <v>42</v>
      </c>
      <c r="D37" s="23" t="s">
        <v>23</v>
      </c>
      <c r="E37" s="24">
        <v>2500</v>
      </c>
      <c r="F37" s="25">
        <v>2488.9850000000001</v>
      </c>
      <c r="G37" s="26">
        <v>3.5732420000000001E-2</v>
      </c>
      <c r="H37" s="16">
        <v>7.5624000000000002</v>
      </c>
    </row>
    <row r="38" spans="1:8" ht="25.5" x14ac:dyDescent="0.2">
      <c r="A38" s="22">
        <v>11</v>
      </c>
      <c r="B38" s="23" t="s">
        <v>43</v>
      </c>
      <c r="C38" s="23" t="s">
        <v>44</v>
      </c>
      <c r="D38" s="23" t="s">
        <v>23</v>
      </c>
      <c r="E38" s="24">
        <v>2500</v>
      </c>
      <c r="F38" s="25">
        <v>2483.3674999999998</v>
      </c>
      <c r="G38" s="26">
        <v>3.5651769999999999E-2</v>
      </c>
      <c r="H38" s="16">
        <v>7.3905000000000003</v>
      </c>
    </row>
    <row r="39" spans="1:8" ht="25.5" x14ac:dyDescent="0.2">
      <c r="A39" s="22">
        <v>12</v>
      </c>
      <c r="B39" s="23" t="s">
        <v>45</v>
      </c>
      <c r="C39" s="23" t="s">
        <v>46</v>
      </c>
      <c r="D39" s="23" t="s">
        <v>23</v>
      </c>
      <c r="E39" s="24">
        <v>2000</v>
      </c>
      <c r="F39" s="25">
        <v>2010.7539999999999</v>
      </c>
      <c r="G39" s="26">
        <v>2.886683E-2</v>
      </c>
      <c r="H39" s="16">
        <v>7.4447999999999999</v>
      </c>
    </row>
    <row r="40" spans="1:8" x14ac:dyDescent="0.2">
      <c r="A40" s="22">
        <v>13</v>
      </c>
      <c r="B40" s="23" t="s">
        <v>47</v>
      </c>
      <c r="C40" s="23" t="s">
        <v>48</v>
      </c>
      <c r="D40" s="23" t="s">
        <v>23</v>
      </c>
      <c r="E40" s="24">
        <v>2000</v>
      </c>
      <c r="F40" s="25">
        <v>2008.306</v>
      </c>
      <c r="G40" s="26">
        <v>2.8831679999999998E-2</v>
      </c>
      <c r="H40" s="16">
        <v>7.75</v>
      </c>
    </row>
    <row r="41" spans="1:8" ht="25.5" x14ac:dyDescent="0.2">
      <c r="A41" s="22">
        <v>14</v>
      </c>
      <c r="B41" s="23" t="s">
        <v>49</v>
      </c>
      <c r="C41" s="23" t="s">
        <v>50</v>
      </c>
      <c r="D41" s="23" t="s">
        <v>34</v>
      </c>
      <c r="E41" s="24">
        <v>200</v>
      </c>
      <c r="F41" s="25">
        <v>1999.114</v>
      </c>
      <c r="G41" s="26">
        <v>2.8699720000000001E-2</v>
      </c>
      <c r="H41" s="16">
        <v>7.4349999999999996</v>
      </c>
    </row>
    <row r="42" spans="1:8" ht="25.5" x14ac:dyDescent="0.2">
      <c r="A42" s="22">
        <v>15</v>
      </c>
      <c r="B42" s="23" t="s">
        <v>51</v>
      </c>
      <c r="C42" s="23" t="s">
        <v>52</v>
      </c>
      <c r="D42" s="23" t="s">
        <v>23</v>
      </c>
      <c r="E42" s="24">
        <v>2000</v>
      </c>
      <c r="F42" s="25">
        <v>1993.7619999999999</v>
      </c>
      <c r="G42" s="26">
        <v>2.8622890000000002E-2</v>
      </c>
      <c r="H42" s="16">
        <v>7.62</v>
      </c>
    </row>
    <row r="43" spans="1:8" ht="25.5" x14ac:dyDescent="0.2">
      <c r="A43" s="22">
        <v>16</v>
      </c>
      <c r="B43" s="23" t="s">
        <v>53</v>
      </c>
      <c r="C43" s="23" t="s">
        <v>54</v>
      </c>
      <c r="D43" s="23" t="s">
        <v>23</v>
      </c>
      <c r="E43" s="24">
        <v>1500</v>
      </c>
      <c r="F43" s="25">
        <v>1527.6165000000001</v>
      </c>
      <c r="G43" s="26">
        <v>2.19308E-2</v>
      </c>
      <c r="H43" s="16">
        <v>7.4842000000000004</v>
      </c>
    </row>
    <row r="44" spans="1:8" x14ac:dyDescent="0.2">
      <c r="A44" s="22">
        <v>17</v>
      </c>
      <c r="B44" s="23" t="s">
        <v>55</v>
      </c>
      <c r="C44" s="23" t="s">
        <v>56</v>
      </c>
      <c r="D44" s="23" t="s">
        <v>23</v>
      </c>
      <c r="E44" s="24">
        <v>1500</v>
      </c>
      <c r="F44" s="25">
        <v>1500.402</v>
      </c>
      <c r="G44" s="26">
        <v>2.15401E-2</v>
      </c>
      <c r="H44" s="16">
        <v>7.7</v>
      </c>
    </row>
    <row r="45" spans="1:8" ht="25.5" x14ac:dyDescent="0.2">
      <c r="A45" s="22">
        <v>18</v>
      </c>
      <c r="B45" s="23" t="s">
        <v>57</v>
      </c>
      <c r="C45" s="23" t="s">
        <v>58</v>
      </c>
      <c r="D45" s="23" t="s">
        <v>23</v>
      </c>
      <c r="E45" s="24">
        <v>1500</v>
      </c>
      <c r="F45" s="25">
        <v>1495.7925</v>
      </c>
      <c r="G45" s="26">
        <v>2.1473929999999999E-2</v>
      </c>
      <c r="H45" s="16">
        <v>7.75</v>
      </c>
    </row>
    <row r="46" spans="1:8" ht="25.5" x14ac:dyDescent="0.2">
      <c r="A46" s="22">
        <v>19</v>
      </c>
      <c r="B46" s="23" t="s">
        <v>59</v>
      </c>
      <c r="C46" s="23" t="s">
        <v>60</v>
      </c>
      <c r="D46" s="23" t="s">
        <v>23</v>
      </c>
      <c r="E46" s="24">
        <v>100</v>
      </c>
      <c r="F46" s="25">
        <v>1005.41</v>
      </c>
      <c r="G46" s="26">
        <v>1.443389E-2</v>
      </c>
      <c r="H46" s="16">
        <v>7.72</v>
      </c>
    </row>
    <row r="47" spans="1:8" ht="25.5" x14ac:dyDescent="0.2">
      <c r="A47" s="22">
        <v>20</v>
      </c>
      <c r="B47" s="23" t="s">
        <v>61</v>
      </c>
      <c r="C47" s="23" t="s">
        <v>62</v>
      </c>
      <c r="D47" s="23" t="s">
        <v>23</v>
      </c>
      <c r="E47" s="24">
        <v>1000</v>
      </c>
      <c r="F47" s="25">
        <v>999.52800000000002</v>
      </c>
      <c r="G47" s="26">
        <v>1.434944E-2</v>
      </c>
      <c r="H47" s="16">
        <v>8.2349999999999994</v>
      </c>
    </row>
    <row r="48" spans="1:8" ht="25.5" x14ac:dyDescent="0.2">
      <c r="A48" s="22">
        <v>21</v>
      </c>
      <c r="B48" s="23" t="s">
        <v>63</v>
      </c>
      <c r="C48" s="23" t="s">
        <v>64</v>
      </c>
      <c r="D48" s="23" t="s">
        <v>23</v>
      </c>
      <c r="E48" s="24">
        <v>1000</v>
      </c>
      <c r="F48" s="25">
        <v>995.31399999999996</v>
      </c>
      <c r="G48" s="26">
        <v>1.428895E-2</v>
      </c>
      <c r="H48" s="16">
        <v>7.73</v>
      </c>
    </row>
    <row r="49" spans="1:8" x14ac:dyDescent="0.2">
      <c r="A49" s="22">
        <v>22</v>
      </c>
      <c r="B49" s="23" t="s">
        <v>65</v>
      </c>
      <c r="C49" s="23" t="s">
        <v>66</v>
      </c>
      <c r="D49" s="23" t="s">
        <v>23</v>
      </c>
      <c r="E49" s="24">
        <v>500</v>
      </c>
      <c r="F49" s="25">
        <v>504.2595</v>
      </c>
      <c r="G49" s="26">
        <v>7.23926E-3</v>
      </c>
      <c r="H49" s="16">
        <v>7.73</v>
      </c>
    </row>
    <row r="50" spans="1:8" ht="25.5" x14ac:dyDescent="0.2">
      <c r="A50" s="22">
        <v>23</v>
      </c>
      <c r="B50" s="23" t="s">
        <v>67</v>
      </c>
      <c r="C50" s="23" t="s">
        <v>68</v>
      </c>
      <c r="D50" s="23" t="s">
        <v>23</v>
      </c>
      <c r="E50" s="24">
        <v>500</v>
      </c>
      <c r="F50" s="25">
        <v>501.71899999999999</v>
      </c>
      <c r="G50" s="26">
        <v>7.2027899999999997E-3</v>
      </c>
      <c r="H50" s="16">
        <v>7.5404999999999998</v>
      </c>
    </row>
    <row r="51" spans="1:8" ht="25.5" x14ac:dyDescent="0.2">
      <c r="A51" s="22">
        <v>24</v>
      </c>
      <c r="B51" s="23" t="s">
        <v>69</v>
      </c>
      <c r="C51" s="23" t="s">
        <v>70</v>
      </c>
      <c r="D51" s="23" t="s">
        <v>34</v>
      </c>
      <c r="E51" s="24">
        <v>50</v>
      </c>
      <c r="F51" s="25">
        <v>497.71350000000001</v>
      </c>
      <c r="G51" s="26">
        <v>7.1452900000000003E-3</v>
      </c>
      <c r="H51" s="16">
        <v>7.4950000000000001</v>
      </c>
    </row>
    <row r="52" spans="1:8" x14ac:dyDescent="0.2">
      <c r="A52" s="14"/>
      <c r="B52" s="14"/>
      <c r="C52" s="15" t="s">
        <v>11</v>
      </c>
      <c r="D52" s="14"/>
      <c r="E52" s="14" t="s">
        <v>12</v>
      </c>
      <c r="F52" s="21">
        <v>50578.419500000004</v>
      </c>
      <c r="G52" s="18">
        <v>0.72611495999999998</v>
      </c>
      <c r="H52" s="16" t="s">
        <v>12</v>
      </c>
    </row>
    <row r="53" spans="1:8" x14ac:dyDescent="0.2">
      <c r="A53" s="14"/>
      <c r="B53" s="14"/>
      <c r="C53" s="19"/>
      <c r="D53" s="14"/>
      <c r="E53" s="14"/>
      <c r="F53" s="20"/>
      <c r="G53" s="20"/>
      <c r="H53" s="16" t="s">
        <v>12</v>
      </c>
    </row>
    <row r="54" spans="1:8" x14ac:dyDescent="0.2">
      <c r="A54" s="14"/>
      <c r="B54" s="14"/>
      <c r="C54" s="15" t="s">
        <v>71</v>
      </c>
      <c r="D54" s="14"/>
      <c r="E54" s="14"/>
      <c r="F54" s="14"/>
      <c r="G54" s="14"/>
      <c r="H54" s="16" t="s">
        <v>12</v>
      </c>
    </row>
    <row r="55" spans="1:8" x14ac:dyDescent="0.2">
      <c r="A55" s="14"/>
      <c r="B55" s="14"/>
      <c r="C55" s="15" t="s">
        <v>11</v>
      </c>
      <c r="D55" s="14"/>
      <c r="E55" s="14" t="s">
        <v>12</v>
      </c>
      <c r="F55" s="17" t="s">
        <v>13</v>
      </c>
      <c r="G55" s="18">
        <v>0</v>
      </c>
      <c r="H55" s="16" t="s">
        <v>12</v>
      </c>
    </row>
    <row r="56" spans="1:8" x14ac:dyDescent="0.2">
      <c r="A56" s="14"/>
      <c r="B56" s="14"/>
      <c r="C56" s="19"/>
      <c r="D56" s="14"/>
      <c r="E56" s="14"/>
      <c r="F56" s="20"/>
      <c r="G56" s="20"/>
      <c r="H56" s="16" t="s">
        <v>12</v>
      </c>
    </row>
    <row r="57" spans="1:8" x14ac:dyDescent="0.2">
      <c r="A57" s="14"/>
      <c r="B57" s="14"/>
      <c r="C57" s="15" t="s">
        <v>72</v>
      </c>
      <c r="D57" s="14"/>
      <c r="E57" s="14"/>
      <c r="F57" s="14"/>
      <c r="G57" s="14"/>
      <c r="H57" s="16" t="s">
        <v>12</v>
      </c>
    </row>
    <row r="58" spans="1:8" ht="25.5" x14ac:dyDescent="0.2">
      <c r="A58" s="22">
        <v>1</v>
      </c>
      <c r="B58" s="23" t="s">
        <v>73</v>
      </c>
      <c r="C58" s="23" t="s">
        <v>74</v>
      </c>
      <c r="D58" s="23" t="s">
        <v>75</v>
      </c>
      <c r="E58" s="24">
        <v>7900000</v>
      </c>
      <c r="F58" s="25">
        <v>8083.7381999999998</v>
      </c>
      <c r="G58" s="26">
        <v>0.11605193</v>
      </c>
      <c r="H58" s="16">
        <v>6.8678999999999997</v>
      </c>
    </row>
    <row r="59" spans="1:8" ht="25.5" x14ac:dyDescent="0.2">
      <c r="A59" s="22">
        <v>2</v>
      </c>
      <c r="B59" s="23" t="s">
        <v>76</v>
      </c>
      <c r="C59" s="23" t="s">
        <v>77</v>
      </c>
      <c r="D59" s="23" t="s">
        <v>75</v>
      </c>
      <c r="E59" s="24">
        <v>2000000</v>
      </c>
      <c r="F59" s="25">
        <v>2060.8200000000002</v>
      </c>
      <c r="G59" s="26">
        <v>2.9585589999999998E-2</v>
      </c>
      <c r="H59" s="16">
        <v>6.7721999999999998</v>
      </c>
    </row>
    <row r="60" spans="1:8" ht="25.5" x14ac:dyDescent="0.2">
      <c r="A60" s="22">
        <v>3</v>
      </c>
      <c r="B60" s="23" t="s">
        <v>78</v>
      </c>
      <c r="C60" s="23" t="s">
        <v>79</v>
      </c>
      <c r="D60" s="23" t="s">
        <v>75</v>
      </c>
      <c r="E60" s="24">
        <v>1750000</v>
      </c>
      <c r="F60" s="25">
        <v>1816.4422500000001</v>
      </c>
      <c r="G60" s="26">
        <v>2.607725E-2</v>
      </c>
      <c r="H60" s="16">
        <v>7.1783999999999999</v>
      </c>
    </row>
    <row r="61" spans="1:8" ht="25.5" x14ac:dyDescent="0.2">
      <c r="A61" s="22">
        <v>4</v>
      </c>
      <c r="B61" s="23" t="s">
        <v>80</v>
      </c>
      <c r="C61" s="23" t="s">
        <v>81</v>
      </c>
      <c r="D61" s="23" t="s">
        <v>75</v>
      </c>
      <c r="E61" s="24">
        <v>1500000</v>
      </c>
      <c r="F61" s="25">
        <v>1550.5515</v>
      </c>
      <c r="G61" s="26">
        <v>2.2260060000000002E-2</v>
      </c>
      <c r="H61" s="16">
        <v>7.1481000000000003</v>
      </c>
    </row>
    <row r="62" spans="1:8" ht="25.5" x14ac:dyDescent="0.2">
      <c r="A62" s="22">
        <v>5</v>
      </c>
      <c r="B62" s="23" t="s">
        <v>82</v>
      </c>
      <c r="C62" s="23" t="s">
        <v>83</v>
      </c>
      <c r="D62" s="23" t="s">
        <v>75</v>
      </c>
      <c r="E62" s="24">
        <v>1500000</v>
      </c>
      <c r="F62" s="25">
        <v>1503.7725</v>
      </c>
      <c r="G62" s="26">
        <v>2.1588489999999998E-2</v>
      </c>
      <c r="H62" s="16">
        <v>6.9960000000000004</v>
      </c>
    </row>
    <row r="63" spans="1:8" ht="25.5" x14ac:dyDescent="0.2">
      <c r="A63" s="22">
        <v>6</v>
      </c>
      <c r="B63" s="23" t="s">
        <v>84</v>
      </c>
      <c r="C63" s="23" t="s">
        <v>85</v>
      </c>
      <c r="D63" s="23" t="s">
        <v>75</v>
      </c>
      <c r="E63" s="24">
        <v>500000</v>
      </c>
      <c r="F63" s="25">
        <v>513.67550000000006</v>
      </c>
      <c r="G63" s="26">
        <v>7.3744400000000003E-3</v>
      </c>
      <c r="H63" s="16">
        <v>6.9621000000000004</v>
      </c>
    </row>
    <row r="64" spans="1:8" ht="25.5" x14ac:dyDescent="0.2">
      <c r="A64" s="22">
        <v>7</v>
      </c>
      <c r="B64" s="23" t="s">
        <v>86</v>
      </c>
      <c r="C64" s="23" t="s">
        <v>87</v>
      </c>
      <c r="D64" s="23" t="s">
        <v>75</v>
      </c>
      <c r="E64" s="24">
        <v>500000</v>
      </c>
      <c r="F64" s="25">
        <v>512.39099999999996</v>
      </c>
      <c r="G64" s="26">
        <v>7.3559999999999997E-3</v>
      </c>
      <c r="H64" s="16">
        <v>6.6906999999999996</v>
      </c>
    </row>
    <row r="65" spans="1:8" x14ac:dyDescent="0.2">
      <c r="A65" s="14"/>
      <c r="B65" s="14"/>
      <c r="C65" s="15" t="s">
        <v>11</v>
      </c>
      <c r="D65" s="14"/>
      <c r="E65" s="14" t="s">
        <v>12</v>
      </c>
      <c r="F65" s="21">
        <v>16041.390950000001</v>
      </c>
      <c r="G65" s="18">
        <v>0.23029375999999999</v>
      </c>
      <c r="H65" s="16" t="s">
        <v>12</v>
      </c>
    </row>
    <row r="66" spans="1:8" x14ac:dyDescent="0.2">
      <c r="A66" s="14"/>
      <c r="B66" s="14"/>
      <c r="C66" s="19"/>
      <c r="D66" s="14"/>
      <c r="E66" s="14"/>
      <c r="F66" s="20"/>
      <c r="G66" s="20"/>
      <c r="H66" s="16" t="s">
        <v>12</v>
      </c>
    </row>
    <row r="67" spans="1:8" x14ac:dyDescent="0.2">
      <c r="A67" s="14"/>
      <c r="B67" s="14"/>
      <c r="C67" s="15" t="s">
        <v>88</v>
      </c>
      <c r="D67" s="14"/>
      <c r="E67" s="14"/>
      <c r="F67" s="20"/>
      <c r="G67" s="20"/>
      <c r="H67" s="16" t="s">
        <v>12</v>
      </c>
    </row>
    <row r="68" spans="1:8" x14ac:dyDescent="0.2">
      <c r="A68" s="14"/>
      <c r="B68" s="14"/>
      <c r="C68" s="15" t="s">
        <v>11</v>
      </c>
      <c r="D68" s="14"/>
      <c r="E68" s="14" t="s">
        <v>12</v>
      </c>
      <c r="F68" s="17" t="s">
        <v>13</v>
      </c>
      <c r="G68" s="18">
        <v>0</v>
      </c>
      <c r="H68" s="16" t="s">
        <v>12</v>
      </c>
    </row>
    <row r="69" spans="1:8" x14ac:dyDescent="0.2">
      <c r="A69" s="14"/>
      <c r="B69" s="14"/>
      <c r="C69" s="19"/>
      <c r="D69" s="14"/>
      <c r="E69" s="14"/>
      <c r="F69" s="20"/>
      <c r="G69" s="20"/>
      <c r="H69" s="16" t="s">
        <v>12</v>
      </c>
    </row>
    <row r="70" spans="1:8" x14ac:dyDescent="0.2">
      <c r="A70" s="14"/>
      <c r="B70" s="14"/>
      <c r="C70" s="15" t="s">
        <v>89</v>
      </c>
      <c r="D70" s="14"/>
      <c r="E70" s="14"/>
      <c r="F70" s="21">
        <v>66619.810450000004</v>
      </c>
      <c r="G70" s="18">
        <v>0.95640871999999999</v>
      </c>
      <c r="H70" s="16" t="s">
        <v>12</v>
      </c>
    </row>
    <row r="71" spans="1:8" x14ac:dyDescent="0.2">
      <c r="A71" s="14"/>
      <c r="B71" s="14"/>
      <c r="C71" s="19"/>
      <c r="D71" s="14"/>
      <c r="E71" s="14"/>
      <c r="F71" s="20"/>
      <c r="G71" s="20"/>
      <c r="H71" s="16" t="s">
        <v>12</v>
      </c>
    </row>
    <row r="72" spans="1:8" x14ac:dyDescent="0.2">
      <c r="A72" s="14"/>
      <c r="B72" s="14"/>
      <c r="C72" s="15" t="s">
        <v>90</v>
      </c>
      <c r="D72" s="14"/>
      <c r="E72" s="14"/>
      <c r="F72" s="20"/>
      <c r="G72" s="20"/>
      <c r="H72" s="16" t="s">
        <v>12</v>
      </c>
    </row>
    <row r="73" spans="1:8" x14ac:dyDescent="0.2">
      <c r="A73" s="14"/>
      <c r="B73" s="14"/>
      <c r="C73" s="15" t="s">
        <v>91</v>
      </c>
      <c r="D73" s="14"/>
      <c r="E73" s="14"/>
      <c r="F73" s="20"/>
      <c r="G73" s="20"/>
      <c r="H73" s="16" t="s">
        <v>12</v>
      </c>
    </row>
    <row r="74" spans="1:8" x14ac:dyDescent="0.2">
      <c r="A74" s="14"/>
      <c r="B74" s="14"/>
      <c r="C74" s="15" t="s">
        <v>11</v>
      </c>
      <c r="D74" s="14"/>
      <c r="E74" s="14" t="s">
        <v>12</v>
      </c>
      <c r="F74" s="17" t="s">
        <v>13</v>
      </c>
      <c r="G74" s="18">
        <v>0</v>
      </c>
      <c r="H74" s="16" t="s">
        <v>12</v>
      </c>
    </row>
    <row r="75" spans="1:8" x14ac:dyDescent="0.2">
      <c r="A75" s="14"/>
      <c r="B75" s="14"/>
      <c r="C75" s="19"/>
      <c r="D75" s="14"/>
      <c r="E75" s="14"/>
      <c r="F75" s="20"/>
      <c r="G75" s="20"/>
      <c r="H75" s="16" t="s">
        <v>12</v>
      </c>
    </row>
    <row r="76" spans="1:8" x14ac:dyDescent="0.2">
      <c r="A76" s="14"/>
      <c r="B76" s="14"/>
      <c r="C76" s="15" t="s">
        <v>92</v>
      </c>
      <c r="D76" s="14"/>
      <c r="E76" s="14"/>
      <c r="F76" s="20"/>
      <c r="G76" s="20"/>
      <c r="H76" s="16" t="s">
        <v>12</v>
      </c>
    </row>
    <row r="77" spans="1:8" x14ac:dyDescent="0.2">
      <c r="A77" s="14"/>
      <c r="B77" s="14"/>
      <c r="C77" s="15" t="s">
        <v>11</v>
      </c>
      <c r="D77" s="14"/>
      <c r="E77" s="14" t="s">
        <v>12</v>
      </c>
      <c r="F77" s="17" t="s">
        <v>13</v>
      </c>
      <c r="G77" s="18">
        <v>0</v>
      </c>
      <c r="H77" s="16" t="s">
        <v>12</v>
      </c>
    </row>
    <row r="78" spans="1:8" x14ac:dyDescent="0.2">
      <c r="A78" s="14"/>
      <c r="B78" s="14"/>
      <c r="C78" s="19"/>
      <c r="D78" s="14"/>
      <c r="E78" s="14"/>
      <c r="F78" s="20"/>
      <c r="G78" s="20"/>
      <c r="H78" s="16" t="s">
        <v>12</v>
      </c>
    </row>
    <row r="79" spans="1:8" x14ac:dyDescent="0.2">
      <c r="A79" s="14"/>
      <c r="B79" s="14"/>
      <c r="C79" s="15" t="s">
        <v>93</v>
      </c>
      <c r="D79" s="14"/>
      <c r="E79" s="14"/>
      <c r="F79" s="20"/>
      <c r="G79" s="20"/>
      <c r="H79" s="16" t="s">
        <v>12</v>
      </c>
    </row>
    <row r="80" spans="1:8" x14ac:dyDescent="0.2">
      <c r="A80" s="14"/>
      <c r="B80" s="14"/>
      <c r="C80" s="15" t="s">
        <v>11</v>
      </c>
      <c r="D80" s="14"/>
      <c r="E80" s="14" t="s">
        <v>12</v>
      </c>
      <c r="F80" s="17" t="s">
        <v>13</v>
      </c>
      <c r="G80" s="18">
        <v>0</v>
      </c>
      <c r="H80" s="16" t="s">
        <v>12</v>
      </c>
    </row>
    <row r="81" spans="1:17" x14ac:dyDescent="0.2">
      <c r="A81" s="14"/>
      <c r="B81" s="14"/>
      <c r="C81" s="19"/>
      <c r="D81" s="14"/>
      <c r="E81" s="14"/>
      <c r="F81" s="20"/>
      <c r="G81" s="20"/>
      <c r="H81" s="16" t="s">
        <v>12</v>
      </c>
    </row>
    <row r="82" spans="1:17" x14ac:dyDescent="0.2">
      <c r="A82" s="14"/>
      <c r="B82" s="14"/>
      <c r="C82" s="15" t="s">
        <v>94</v>
      </c>
      <c r="D82" s="14"/>
      <c r="E82" s="14"/>
      <c r="F82" s="20"/>
      <c r="G82" s="20"/>
      <c r="H82" s="16" t="s">
        <v>12</v>
      </c>
    </row>
    <row r="83" spans="1:17" x14ac:dyDescent="0.2">
      <c r="A83" s="22">
        <v>1</v>
      </c>
      <c r="B83" s="23"/>
      <c r="C83" s="23" t="s">
        <v>95</v>
      </c>
      <c r="D83" s="23"/>
      <c r="E83" s="27"/>
      <c r="F83" s="25">
        <v>196.0870348</v>
      </c>
      <c r="G83" s="26">
        <v>2.8150699999999998E-3</v>
      </c>
      <c r="H83" s="16">
        <v>6.24</v>
      </c>
    </row>
    <row r="84" spans="1:17" x14ac:dyDescent="0.2">
      <c r="A84" s="14"/>
      <c r="B84" s="14"/>
      <c r="C84" s="15" t="s">
        <v>11</v>
      </c>
      <c r="D84" s="14"/>
      <c r="E84" s="14" t="s">
        <v>12</v>
      </c>
      <c r="F84" s="21">
        <v>196.0870348</v>
      </c>
      <c r="G84" s="18">
        <v>2.8150699999999998E-3</v>
      </c>
      <c r="H84" s="16" t="s">
        <v>12</v>
      </c>
    </row>
    <row r="85" spans="1:17" x14ac:dyDescent="0.2">
      <c r="A85" s="14"/>
      <c r="B85" s="14"/>
      <c r="C85" s="19"/>
      <c r="D85" s="14"/>
      <c r="E85" s="14"/>
      <c r="F85" s="20"/>
      <c r="G85" s="20"/>
      <c r="H85" s="16" t="s">
        <v>12</v>
      </c>
    </row>
    <row r="86" spans="1:17" x14ac:dyDescent="0.2">
      <c r="A86" s="14"/>
      <c r="B86" s="14"/>
      <c r="C86" s="15" t="s">
        <v>96</v>
      </c>
      <c r="D86" s="14"/>
      <c r="E86" s="14"/>
      <c r="F86" s="21">
        <v>196.0870348</v>
      </c>
      <c r="G86" s="18">
        <v>2.8150699999999998E-3</v>
      </c>
      <c r="H86" s="16" t="s">
        <v>12</v>
      </c>
    </row>
    <row r="87" spans="1:17" x14ac:dyDescent="0.2">
      <c r="A87" s="14"/>
      <c r="B87" s="14"/>
      <c r="C87" s="20"/>
      <c r="D87" s="14"/>
      <c r="E87" s="14"/>
      <c r="F87" s="14"/>
      <c r="G87" s="14"/>
      <c r="H87" s="16" t="s">
        <v>12</v>
      </c>
    </row>
    <row r="88" spans="1:17" x14ac:dyDescent="0.2">
      <c r="A88" s="14"/>
      <c r="B88" s="14"/>
      <c r="C88" s="15" t="s">
        <v>97</v>
      </c>
      <c r="D88" s="14"/>
      <c r="E88" s="14"/>
      <c r="F88" s="14"/>
      <c r="G88" s="14"/>
      <c r="H88" s="16" t="s">
        <v>12</v>
      </c>
    </row>
    <row r="89" spans="1:17" x14ac:dyDescent="0.2">
      <c r="A89" s="14"/>
      <c r="B89" s="14"/>
      <c r="C89" s="15" t="s">
        <v>98</v>
      </c>
      <c r="D89" s="14"/>
      <c r="E89" s="14"/>
      <c r="F89" s="14"/>
      <c r="G89" s="14"/>
      <c r="H89" s="16" t="s">
        <v>12</v>
      </c>
    </row>
    <row r="90" spans="1:17" x14ac:dyDescent="0.2">
      <c r="A90" s="14"/>
      <c r="B90" s="14"/>
      <c r="C90" s="15" t="s">
        <v>11</v>
      </c>
      <c r="D90" s="14"/>
      <c r="E90" s="14" t="s">
        <v>12</v>
      </c>
      <c r="F90" s="17" t="s">
        <v>13</v>
      </c>
      <c r="G90" s="18">
        <v>0</v>
      </c>
      <c r="H90" s="16" t="s">
        <v>12</v>
      </c>
    </row>
    <row r="91" spans="1:17" x14ac:dyDescent="0.2">
      <c r="A91" s="28"/>
      <c r="B91" s="28"/>
      <c r="C91" s="29"/>
      <c r="D91" s="28"/>
      <c r="E91" s="28"/>
      <c r="F91" s="30"/>
      <c r="G91" s="30"/>
      <c r="H91" s="31" t="s">
        <v>12</v>
      </c>
    </row>
    <row r="92" spans="1:17" ht="25.5" x14ac:dyDescent="0.2">
      <c r="A92" s="28"/>
      <c r="B92" s="28"/>
      <c r="C92" s="32" t="s">
        <v>541</v>
      </c>
      <c r="D92" s="28"/>
      <c r="E92" s="28"/>
      <c r="F92" s="30"/>
      <c r="G92" s="30"/>
      <c r="H92" s="33"/>
      <c r="K92" s="34"/>
      <c r="L92" s="34"/>
      <c r="M92" s="34"/>
      <c r="N92" s="34"/>
      <c r="O92" s="35"/>
      <c r="P92" s="35"/>
      <c r="Q92" s="35"/>
    </row>
    <row r="93" spans="1:17" ht="25.5" x14ac:dyDescent="0.2">
      <c r="A93" s="36">
        <v>1</v>
      </c>
      <c r="B93" s="37" t="s">
        <v>99</v>
      </c>
      <c r="C93" s="37" t="s">
        <v>100</v>
      </c>
      <c r="D93" s="37"/>
      <c r="E93" s="38">
        <v>2586.3710000000001</v>
      </c>
      <c r="F93" s="33">
        <v>284.38431985</v>
      </c>
      <c r="G93" s="39">
        <v>4.08268E-3</v>
      </c>
      <c r="H93" s="31"/>
    </row>
    <row r="94" spans="1:17" x14ac:dyDescent="0.2">
      <c r="A94" s="28"/>
      <c r="B94" s="28"/>
      <c r="C94" s="32" t="s">
        <v>11</v>
      </c>
      <c r="D94" s="28"/>
      <c r="E94" s="28" t="s">
        <v>12</v>
      </c>
      <c r="F94" s="40">
        <f>SUM(F93)</f>
        <v>284.38431985</v>
      </c>
      <c r="G94" s="41">
        <f>SUM(G93)</f>
        <v>4.08268E-3</v>
      </c>
      <c r="H94" s="31" t="s">
        <v>12</v>
      </c>
    </row>
    <row r="95" spans="1:17" x14ac:dyDescent="0.2">
      <c r="A95" s="14"/>
      <c r="B95" s="14"/>
      <c r="C95" s="19"/>
      <c r="D95" s="14"/>
      <c r="E95" s="14"/>
      <c r="F95" s="20"/>
      <c r="G95" s="20"/>
      <c r="H95" s="16" t="s">
        <v>12</v>
      </c>
    </row>
    <row r="96" spans="1:17" x14ac:dyDescent="0.2">
      <c r="A96" s="14"/>
      <c r="B96" s="14"/>
      <c r="C96" s="15" t="s">
        <v>101</v>
      </c>
      <c r="D96" s="14"/>
      <c r="E96" s="14"/>
      <c r="F96" s="14"/>
      <c r="G96" s="14"/>
      <c r="H96" s="16" t="s">
        <v>12</v>
      </c>
    </row>
    <row r="97" spans="1:8" x14ac:dyDescent="0.2">
      <c r="A97" s="14"/>
      <c r="B97" s="14"/>
      <c r="C97" s="15" t="s">
        <v>102</v>
      </c>
      <c r="D97" s="14"/>
      <c r="E97" s="14"/>
      <c r="F97" s="14"/>
      <c r="G97" s="14"/>
      <c r="H97" s="16" t="s">
        <v>12</v>
      </c>
    </row>
    <row r="98" spans="1:8" x14ac:dyDescent="0.2">
      <c r="A98" s="14"/>
      <c r="B98" s="14"/>
      <c r="C98" s="15" t="s">
        <v>11</v>
      </c>
      <c r="D98" s="14"/>
      <c r="E98" s="14" t="s">
        <v>12</v>
      </c>
      <c r="F98" s="17" t="s">
        <v>13</v>
      </c>
      <c r="G98" s="18">
        <v>0</v>
      </c>
      <c r="H98" s="16" t="s">
        <v>12</v>
      </c>
    </row>
    <row r="99" spans="1:8" x14ac:dyDescent="0.2">
      <c r="A99" s="14"/>
      <c r="B99" s="14"/>
      <c r="C99" s="19"/>
      <c r="D99" s="14"/>
      <c r="E99" s="14"/>
      <c r="F99" s="20"/>
      <c r="G99" s="20"/>
      <c r="H99" s="16" t="s">
        <v>12</v>
      </c>
    </row>
    <row r="100" spans="1:8" ht="25.5" x14ac:dyDescent="0.2">
      <c r="A100" s="14"/>
      <c r="B100" s="14"/>
      <c r="C100" s="15" t="s">
        <v>103</v>
      </c>
      <c r="D100" s="14"/>
      <c r="E100" s="14"/>
      <c r="F100" s="20"/>
      <c r="G100" s="20"/>
      <c r="H100" s="16" t="s">
        <v>12</v>
      </c>
    </row>
    <row r="101" spans="1:8" x14ac:dyDescent="0.2">
      <c r="A101" s="14"/>
      <c r="B101" s="14"/>
      <c r="C101" s="15" t="s">
        <v>11</v>
      </c>
      <c r="D101" s="14"/>
      <c r="E101" s="14" t="s">
        <v>12</v>
      </c>
      <c r="F101" s="17" t="s">
        <v>13</v>
      </c>
      <c r="G101" s="18">
        <v>0</v>
      </c>
      <c r="H101" s="16" t="s">
        <v>12</v>
      </c>
    </row>
    <row r="102" spans="1:8" x14ac:dyDescent="0.2">
      <c r="A102" s="14"/>
      <c r="B102" s="23"/>
      <c r="C102" s="23"/>
      <c r="D102" s="15"/>
      <c r="E102" s="14"/>
      <c r="F102" s="23"/>
      <c r="G102" s="27"/>
      <c r="H102" s="16" t="s">
        <v>12</v>
      </c>
    </row>
    <row r="103" spans="1:8" x14ac:dyDescent="0.2">
      <c r="A103" s="27"/>
      <c r="B103" s="23"/>
      <c r="C103" s="23" t="s">
        <v>104</v>
      </c>
      <c r="D103" s="23"/>
      <c r="E103" s="27"/>
      <c r="F103" s="25">
        <v>2555.9342793199999</v>
      </c>
      <c r="G103" s="26">
        <v>3.669356E-2</v>
      </c>
      <c r="H103" s="16" t="s">
        <v>12</v>
      </c>
    </row>
    <row r="104" spans="1:8" x14ac:dyDescent="0.2">
      <c r="A104" s="19"/>
      <c r="B104" s="19"/>
      <c r="C104" s="15" t="s">
        <v>105</v>
      </c>
      <c r="D104" s="20"/>
      <c r="E104" s="20"/>
      <c r="F104" s="21">
        <v>69656.216083969994</v>
      </c>
      <c r="G104" s="42">
        <v>1.00000003</v>
      </c>
      <c r="H104" s="16" t="s">
        <v>12</v>
      </c>
    </row>
    <row r="105" spans="1:8" x14ac:dyDescent="0.2">
      <c r="A105" s="43"/>
      <c r="B105" s="43"/>
      <c r="C105" s="43"/>
      <c r="D105" s="44"/>
      <c r="E105" s="44"/>
      <c r="F105" s="44"/>
      <c r="G105" s="44"/>
    </row>
    <row r="106" spans="1:8" x14ac:dyDescent="0.2">
      <c r="A106" s="45"/>
      <c r="B106" s="164" t="s">
        <v>542</v>
      </c>
      <c r="C106" s="164"/>
      <c r="D106" s="164"/>
      <c r="E106" s="164"/>
      <c r="F106" s="164"/>
      <c r="G106" s="164"/>
      <c r="H106" s="164"/>
    </row>
    <row r="107" spans="1:8" x14ac:dyDescent="0.2">
      <c r="A107" s="45"/>
      <c r="B107" s="164" t="s">
        <v>543</v>
      </c>
      <c r="C107" s="164"/>
      <c r="D107" s="164"/>
      <c r="E107" s="164"/>
      <c r="F107" s="164"/>
      <c r="G107" s="164"/>
      <c r="H107" s="164"/>
    </row>
    <row r="108" spans="1:8" x14ac:dyDescent="0.2">
      <c r="A108" s="45"/>
      <c r="B108" s="164" t="s">
        <v>544</v>
      </c>
      <c r="C108" s="164"/>
      <c r="D108" s="164"/>
      <c r="E108" s="164"/>
      <c r="F108" s="164"/>
      <c r="G108" s="164"/>
      <c r="H108" s="164"/>
    </row>
    <row r="109" spans="1:8" x14ac:dyDescent="0.2">
      <c r="A109" s="47"/>
      <c r="B109" s="47"/>
      <c r="C109" s="47"/>
      <c r="D109" s="48"/>
      <c r="E109" s="48"/>
      <c r="F109" s="48"/>
      <c r="G109" s="48"/>
    </row>
    <row r="110" spans="1:8" x14ac:dyDescent="0.2">
      <c r="A110" s="47"/>
      <c r="B110" s="157" t="s">
        <v>106</v>
      </c>
      <c r="C110" s="158"/>
      <c r="D110" s="159"/>
      <c r="E110" s="49"/>
      <c r="F110" s="48"/>
      <c r="G110" s="48"/>
    </row>
    <row r="111" spans="1:8" x14ac:dyDescent="0.2">
      <c r="A111" s="47"/>
      <c r="B111" s="160" t="s">
        <v>107</v>
      </c>
      <c r="C111" s="161"/>
      <c r="D111" s="15" t="s">
        <v>108</v>
      </c>
      <c r="E111" s="49"/>
      <c r="F111" s="48"/>
      <c r="G111" s="48"/>
    </row>
    <row r="112" spans="1:8" x14ac:dyDescent="0.2">
      <c r="A112" s="47"/>
      <c r="B112" s="160" t="s">
        <v>109</v>
      </c>
      <c r="C112" s="161"/>
      <c r="D112" s="15" t="s">
        <v>108</v>
      </c>
      <c r="E112" s="49"/>
      <c r="F112" s="48"/>
      <c r="G112" s="48"/>
    </row>
    <row r="113" spans="1:7" x14ac:dyDescent="0.2">
      <c r="A113" s="47"/>
      <c r="B113" s="160" t="s">
        <v>110</v>
      </c>
      <c r="C113" s="161"/>
      <c r="D113" s="20" t="s">
        <v>12</v>
      </c>
      <c r="E113" s="49"/>
      <c r="F113" s="48"/>
      <c r="G113" s="48"/>
    </row>
    <row r="114" spans="1:7" x14ac:dyDescent="0.2">
      <c r="A114" s="50"/>
      <c r="B114" s="51" t="s">
        <v>12</v>
      </c>
      <c r="C114" s="51" t="s">
        <v>545</v>
      </c>
      <c r="D114" s="51" t="s">
        <v>111</v>
      </c>
      <c r="E114" s="50"/>
      <c r="F114" s="50"/>
      <c r="G114" s="50"/>
    </row>
    <row r="115" spans="1:7" x14ac:dyDescent="0.2">
      <c r="A115" s="50"/>
      <c r="B115" s="52" t="s">
        <v>112</v>
      </c>
      <c r="C115" s="53">
        <v>45716</v>
      </c>
      <c r="D115" s="53">
        <v>45731</v>
      </c>
      <c r="E115" s="50"/>
      <c r="F115" s="50"/>
      <c r="G115" s="50"/>
    </row>
    <row r="116" spans="1:7" x14ac:dyDescent="0.2">
      <c r="A116" s="54"/>
      <c r="B116" s="23" t="s">
        <v>113</v>
      </c>
      <c r="C116" s="55">
        <v>40.045699999999997</v>
      </c>
      <c r="D116" s="55">
        <v>40.175699999999999</v>
      </c>
      <c r="E116" s="54"/>
      <c r="F116" s="56"/>
      <c r="G116" s="57"/>
    </row>
    <row r="117" spans="1:7" ht="25.5" x14ac:dyDescent="0.2">
      <c r="A117" s="54"/>
      <c r="B117" s="23" t="s">
        <v>651</v>
      </c>
      <c r="C117" s="55">
        <v>17.677900000000001</v>
      </c>
      <c r="D117" s="55">
        <v>17.735299999999999</v>
      </c>
      <c r="E117" s="54"/>
      <c r="F117" s="56"/>
      <c r="G117" s="57"/>
    </row>
    <row r="118" spans="1:7" ht="25.5" x14ac:dyDescent="0.2">
      <c r="A118" s="54"/>
      <c r="B118" s="23" t="s">
        <v>652</v>
      </c>
      <c r="C118" s="55">
        <v>19.579599999999999</v>
      </c>
      <c r="D118" s="55">
        <v>19.568000000000001</v>
      </c>
      <c r="E118" s="54"/>
      <c r="F118" s="56"/>
      <c r="G118" s="57"/>
    </row>
    <row r="119" spans="1:7" ht="25.5" x14ac:dyDescent="0.2">
      <c r="A119" s="54"/>
      <c r="B119" s="23" t="s">
        <v>653</v>
      </c>
      <c r="C119" s="55">
        <v>17.7013</v>
      </c>
      <c r="D119" s="55">
        <v>17.758800000000001</v>
      </c>
      <c r="E119" s="54"/>
      <c r="F119" s="56"/>
      <c r="G119" s="57"/>
    </row>
    <row r="120" spans="1:7" ht="25.5" x14ac:dyDescent="0.2">
      <c r="A120" s="54"/>
      <c r="B120" s="23" t="s">
        <v>654</v>
      </c>
      <c r="C120" s="55">
        <v>17.817499999999999</v>
      </c>
      <c r="D120" s="55">
        <v>17.875299999999999</v>
      </c>
      <c r="E120" s="54"/>
      <c r="F120" s="56"/>
      <c r="G120" s="57"/>
    </row>
    <row r="121" spans="1:7" x14ac:dyDescent="0.2">
      <c r="A121" s="54"/>
      <c r="B121" s="23" t="s">
        <v>114</v>
      </c>
      <c r="C121" s="55">
        <v>38.757399999999997</v>
      </c>
      <c r="D121" s="55">
        <v>38.880299999999998</v>
      </c>
      <c r="E121" s="54"/>
      <c r="F121" s="56"/>
      <c r="G121" s="57"/>
    </row>
    <row r="122" spans="1:7" ht="25.5" x14ac:dyDescent="0.2">
      <c r="A122" s="54"/>
      <c r="B122" s="23" t="s">
        <v>655</v>
      </c>
      <c r="C122" s="55">
        <v>16.695</v>
      </c>
      <c r="D122" s="55">
        <v>16.747900000000001</v>
      </c>
      <c r="E122" s="54"/>
      <c r="F122" s="56"/>
      <c r="G122" s="57"/>
    </row>
    <row r="123" spans="1:7" ht="25.5" x14ac:dyDescent="0.2">
      <c r="A123" s="54"/>
      <c r="B123" s="23" t="s">
        <v>621</v>
      </c>
      <c r="C123" s="55">
        <v>18.987300000000001</v>
      </c>
      <c r="D123" s="55">
        <v>18.972300000000001</v>
      </c>
      <c r="E123" s="54"/>
      <c r="F123" s="56"/>
      <c r="G123" s="57"/>
    </row>
    <row r="124" spans="1:7" ht="25.5" x14ac:dyDescent="0.2">
      <c r="A124" s="54"/>
      <c r="B124" s="23" t="s">
        <v>656</v>
      </c>
      <c r="C124" s="55">
        <v>17.5762</v>
      </c>
      <c r="D124" s="55">
        <v>17.632000000000001</v>
      </c>
      <c r="E124" s="54"/>
      <c r="F124" s="56"/>
      <c r="G124" s="57"/>
    </row>
    <row r="125" spans="1:7" ht="25.5" x14ac:dyDescent="0.2">
      <c r="A125" s="54"/>
      <c r="B125" s="23" t="s">
        <v>657</v>
      </c>
      <c r="C125" s="55">
        <v>17.28</v>
      </c>
      <c r="D125" s="55">
        <v>17.334800000000001</v>
      </c>
      <c r="E125" s="54"/>
      <c r="F125" s="56"/>
      <c r="G125" s="57"/>
    </row>
    <row r="126" spans="1:7" x14ac:dyDescent="0.2">
      <c r="A126" s="54"/>
      <c r="B126" s="54"/>
      <c r="C126" s="54"/>
      <c r="D126" s="54"/>
      <c r="E126" s="54"/>
      <c r="F126" s="54"/>
      <c r="G126" s="54"/>
    </row>
    <row r="127" spans="1:7" x14ac:dyDescent="0.2">
      <c r="A127" s="54"/>
      <c r="B127" s="160" t="s">
        <v>622</v>
      </c>
      <c r="C127" s="161"/>
      <c r="D127" s="15" t="s">
        <v>12</v>
      </c>
      <c r="E127" s="54"/>
      <c r="F127" s="54"/>
      <c r="G127" s="54"/>
    </row>
    <row r="128" spans="1:7" x14ac:dyDescent="0.2">
      <c r="A128" s="54"/>
      <c r="B128" s="58" t="s">
        <v>112</v>
      </c>
      <c r="C128" s="59" t="s">
        <v>115</v>
      </c>
      <c r="D128" s="59" t="s">
        <v>116</v>
      </c>
      <c r="E128" s="54"/>
      <c r="F128" s="54"/>
      <c r="G128" s="54"/>
    </row>
    <row r="129" spans="1:14" ht="25.5" x14ac:dyDescent="0.2">
      <c r="A129" s="54"/>
      <c r="B129" s="23" t="s">
        <v>652</v>
      </c>
      <c r="C129" s="60">
        <v>7.4999999999999997E-2</v>
      </c>
      <c r="D129" s="27" t="s">
        <v>117</v>
      </c>
      <c r="E129" s="54"/>
      <c r="F129" s="56"/>
      <c r="G129" s="57"/>
    </row>
    <row r="130" spans="1:14" ht="25.5" x14ac:dyDescent="0.2">
      <c r="A130" s="54"/>
      <c r="B130" s="23" t="s">
        <v>621</v>
      </c>
      <c r="C130" s="60">
        <v>7.4999999999999997E-2</v>
      </c>
      <c r="D130" s="60">
        <v>7.4999999999999997E-2</v>
      </c>
      <c r="E130" s="54"/>
      <c r="F130" s="56"/>
      <c r="G130" s="57"/>
    </row>
    <row r="131" spans="1:14" x14ac:dyDescent="0.2">
      <c r="A131" s="54"/>
      <c r="B131" s="61"/>
      <c r="C131" s="61"/>
      <c r="D131" s="62"/>
      <c r="E131" s="54"/>
      <c r="F131" s="56"/>
      <c r="G131" s="57"/>
    </row>
    <row r="132" spans="1:14" ht="25.5" customHeight="1" x14ac:dyDescent="0.2">
      <c r="A132" s="50"/>
      <c r="B132" s="162" t="s">
        <v>118</v>
      </c>
      <c r="C132" s="163"/>
      <c r="D132" s="32" t="s">
        <v>108</v>
      </c>
      <c r="E132" s="63"/>
      <c r="F132" s="50"/>
      <c r="G132" s="50"/>
    </row>
    <row r="133" spans="1:14" ht="26.25" customHeight="1" x14ac:dyDescent="0.2">
      <c r="A133" s="50"/>
      <c r="B133" s="162" t="s">
        <v>119</v>
      </c>
      <c r="C133" s="163"/>
      <c r="D133" s="32" t="s">
        <v>108</v>
      </c>
      <c r="E133" s="63"/>
      <c r="F133" s="50"/>
      <c r="G133" s="50"/>
    </row>
    <row r="134" spans="1:14" x14ac:dyDescent="0.2">
      <c r="A134" s="50"/>
      <c r="B134" s="162" t="s">
        <v>546</v>
      </c>
      <c r="C134" s="163"/>
      <c r="D134" s="32" t="s">
        <v>108</v>
      </c>
      <c r="E134" s="63"/>
      <c r="F134" s="50"/>
      <c r="G134" s="50"/>
    </row>
    <row r="135" spans="1:14" x14ac:dyDescent="0.2">
      <c r="A135" s="64"/>
      <c r="B135" s="64"/>
      <c r="C135" s="64"/>
      <c r="D135" s="64"/>
      <c r="E135" s="64"/>
      <c r="F135" s="64"/>
      <c r="G135" s="64"/>
    </row>
    <row r="136" spans="1:14" s="65" customFormat="1" x14ac:dyDescent="0.2">
      <c r="B136" s="165" t="s">
        <v>547</v>
      </c>
      <c r="C136" s="166"/>
      <c r="D136" s="167"/>
      <c r="H136"/>
      <c r="I136"/>
      <c r="J136" s="34"/>
      <c r="K136" s="34"/>
      <c r="L136" s="34"/>
      <c r="M136" s="34"/>
      <c r="N136" s="34"/>
    </row>
    <row r="137" spans="1:14" s="65" customFormat="1" ht="38.25" x14ac:dyDescent="0.2">
      <c r="B137" s="155" t="s">
        <v>548</v>
      </c>
      <c r="C137" s="155"/>
      <c r="D137" s="66" t="s">
        <v>1</v>
      </c>
      <c r="H137"/>
      <c r="I137"/>
      <c r="J137" s="34"/>
      <c r="K137" s="34"/>
      <c r="L137" s="34"/>
      <c r="M137" s="34"/>
      <c r="N137" s="34"/>
    </row>
    <row r="138" spans="1:14" s="65" customFormat="1" x14ac:dyDescent="0.2">
      <c r="B138" s="168" t="s">
        <v>549</v>
      </c>
      <c r="C138" s="168"/>
      <c r="D138" s="67"/>
      <c r="H138"/>
      <c r="I138"/>
      <c r="J138" s="34"/>
      <c r="K138" s="34"/>
      <c r="L138" s="34"/>
      <c r="M138" s="34"/>
      <c r="N138" s="34"/>
    </row>
    <row r="139" spans="1:14" s="65" customFormat="1" x14ac:dyDescent="0.2">
      <c r="B139" s="169"/>
      <c r="C139" s="170"/>
      <c r="D139" s="68"/>
      <c r="H139"/>
      <c r="I139"/>
      <c r="J139" s="34"/>
      <c r="K139" s="34"/>
      <c r="L139" s="34"/>
      <c r="M139" s="34"/>
      <c r="N139" s="34"/>
    </row>
    <row r="140" spans="1:14" s="65" customFormat="1" x14ac:dyDescent="0.2">
      <c r="B140" s="168" t="s">
        <v>550</v>
      </c>
      <c r="C140" s="168"/>
      <c r="D140" s="69">
        <v>7.3986531433320293</v>
      </c>
      <c r="H140"/>
      <c r="I140"/>
      <c r="J140" s="34"/>
      <c r="K140" s="34"/>
      <c r="L140" s="34"/>
      <c r="M140" s="34"/>
      <c r="N140" s="34"/>
    </row>
    <row r="141" spans="1:14" s="65" customFormat="1" x14ac:dyDescent="0.2">
      <c r="B141" s="169"/>
      <c r="C141" s="170"/>
      <c r="D141" s="68"/>
      <c r="H141"/>
      <c r="I141"/>
      <c r="J141" s="34"/>
      <c r="K141" s="34"/>
      <c r="L141" s="34"/>
      <c r="M141" s="34"/>
      <c r="N141" s="34"/>
    </row>
    <row r="142" spans="1:14" s="65" customFormat="1" x14ac:dyDescent="0.2">
      <c r="B142" s="168" t="s">
        <v>551</v>
      </c>
      <c r="C142" s="168"/>
      <c r="D142" s="69">
        <v>4.1286782983007013</v>
      </c>
      <c r="H142"/>
      <c r="I142"/>
      <c r="J142" s="34"/>
      <c r="K142" s="34"/>
      <c r="L142" s="34"/>
      <c r="M142" s="34"/>
      <c r="N142" s="34"/>
    </row>
    <row r="143" spans="1:14" s="65" customFormat="1" x14ac:dyDescent="0.2">
      <c r="B143" s="168" t="s">
        <v>552</v>
      </c>
      <c r="C143" s="168"/>
      <c r="D143" s="69">
        <v>6.263535679216413</v>
      </c>
      <c r="H143"/>
      <c r="I143"/>
      <c r="J143" s="34"/>
      <c r="K143" s="34"/>
      <c r="L143" s="34"/>
      <c r="M143" s="34"/>
      <c r="N143" s="34"/>
    </row>
    <row r="144" spans="1:14" s="65" customFormat="1" x14ac:dyDescent="0.2">
      <c r="B144" s="169"/>
      <c r="C144" s="170"/>
      <c r="D144" s="68"/>
      <c r="I144"/>
      <c r="J144" s="34"/>
      <c r="K144" s="34"/>
      <c r="L144" s="34"/>
      <c r="M144" s="34"/>
      <c r="N144" s="34"/>
    </row>
    <row r="145" spans="2:14" s="65" customFormat="1" x14ac:dyDescent="0.2">
      <c r="B145" s="168" t="s">
        <v>553</v>
      </c>
      <c r="C145" s="168"/>
      <c r="D145" s="70" t="s">
        <v>645</v>
      </c>
      <c r="I145"/>
      <c r="J145" s="34"/>
      <c r="K145" s="34"/>
      <c r="L145" s="34"/>
      <c r="M145" s="34"/>
      <c r="N145" s="71"/>
    </row>
    <row r="146" spans="2:14" s="65" customFormat="1" x14ac:dyDescent="0.2">
      <c r="B146" s="169" t="s">
        <v>554</v>
      </c>
      <c r="C146" s="171"/>
      <c r="D146" s="170"/>
      <c r="I146"/>
      <c r="J146" s="34"/>
      <c r="K146" s="34"/>
      <c r="L146" s="34"/>
      <c r="M146" s="34"/>
      <c r="N146" s="34"/>
    </row>
    <row r="148" spans="2:14" ht="25.5" x14ac:dyDescent="0.2">
      <c r="B148" s="72" t="s">
        <v>555</v>
      </c>
    </row>
    <row r="150" spans="2:14" ht="153.75" customHeight="1" x14ac:dyDescent="0.2"/>
    <row r="153" spans="2:14" x14ac:dyDescent="0.2">
      <c r="B153" s="73" t="s">
        <v>556</v>
      </c>
      <c r="C153" s="74"/>
      <c r="D153" s="73"/>
    </row>
    <row r="154" spans="2:14" x14ac:dyDescent="0.2">
      <c r="B154" s="73" t="s">
        <v>557</v>
      </c>
      <c r="D154" s="73"/>
    </row>
    <row r="155" spans="2:14" ht="165" customHeight="1" x14ac:dyDescent="0.2"/>
  </sheetData>
  <mergeCells count="25">
    <mergeCell ref="B143:C143"/>
    <mergeCell ref="B144:C144"/>
    <mergeCell ref="B145:C145"/>
    <mergeCell ref="B146:D146"/>
    <mergeCell ref="B138:C138"/>
    <mergeCell ref="B139:C139"/>
    <mergeCell ref="B140:C140"/>
    <mergeCell ref="B141:C141"/>
    <mergeCell ref="B142:C142"/>
    <mergeCell ref="B137:C137"/>
    <mergeCell ref="A1:H1"/>
    <mergeCell ref="A2:H2"/>
    <mergeCell ref="A3:H3"/>
    <mergeCell ref="B110:D110"/>
    <mergeCell ref="B111:C111"/>
    <mergeCell ref="B112:C112"/>
    <mergeCell ref="B113:C113"/>
    <mergeCell ref="B127:C127"/>
    <mergeCell ref="B133:C133"/>
    <mergeCell ref="B106:H106"/>
    <mergeCell ref="B107:H107"/>
    <mergeCell ref="B108:H108"/>
    <mergeCell ref="B132:C132"/>
    <mergeCell ref="B136:D136"/>
    <mergeCell ref="B134:C134"/>
  </mergeCells>
  <hyperlinks>
    <hyperlink ref="I1" location="Index!B2" display="Index" xr:uid="{862C51B1-9CC9-4E9E-9932-7D42DA3FF4E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30920-CC96-48A9-812E-4F9C09235E74}">
  <sheetPr>
    <outlinePr summaryBelow="0" summaryRight="0"/>
  </sheetPr>
  <dimension ref="A1:R175"/>
  <sheetViews>
    <sheetView showGridLines="0" workbookViewId="0">
      <selection sqref="A1:H1"/>
    </sheetView>
  </sheetViews>
  <sheetFormatPr defaultRowHeight="12.75" x14ac:dyDescent="0.2"/>
  <cols>
    <col min="1" max="1" width="5.85546875" bestFit="1" customWidth="1"/>
    <col min="2" max="2" width="20.85546875" customWidth="1"/>
    <col min="3" max="3" width="34" bestFit="1" customWidth="1"/>
    <col min="4" max="4" width="13.28515625" customWidth="1"/>
    <col min="5" max="5" width="9.42578125" bestFit="1" customWidth="1"/>
    <col min="6" max="6" width="10.140625" bestFit="1" customWidth="1"/>
    <col min="7" max="7" width="14" bestFit="1" customWidth="1"/>
    <col min="8" max="8" width="10.7109375" customWidth="1"/>
  </cols>
  <sheetData>
    <row r="1" spans="1:9" ht="15" x14ac:dyDescent="0.2">
      <c r="A1" s="156" t="s">
        <v>0</v>
      </c>
      <c r="B1" s="156"/>
      <c r="C1" s="156"/>
      <c r="D1" s="156"/>
      <c r="E1" s="156"/>
      <c r="F1" s="156"/>
      <c r="G1" s="156"/>
      <c r="H1" s="156"/>
      <c r="I1" s="9" t="s">
        <v>658</v>
      </c>
    </row>
    <row r="2" spans="1:9" ht="15" x14ac:dyDescent="0.2">
      <c r="A2" s="156" t="s">
        <v>120</v>
      </c>
      <c r="B2" s="156"/>
      <c r="C2" s="156"/>
      <c r="D2" s="156"/>
      <c r="E2" s="156"/>
      <c r="F2" s="156"/>
      <c r="G2" s="156"/>
      <c r="H2" s="156"/>
    </row>
    <row r="3" spans="1:9" ht="15" x14ac:dyDescent="0.2">
      <c r="A3" s="156" t="s">
        <v>563</v>
      </c>
      <c r="B3" s="156"/>
      <c r="C3" s="156"/>
      <c r="D3" s="156"/>
      <c r="E3" s="156"/>
      <c r="F3" s="156"/>
      <c r="G3" s="156"/>
      <c r="H3" s="156"/>
    </row>
    <row r="4" spans="1:9" s="13" customFormat="1" ht="30" x14ac:dyDescent="0.2">
      <c r="A4" s="11" t="s">
        <v>2</v>
      </c>
      <c r="B4" s="11" t="s">
        <v>3</v>
      </c>
      <c r="C4" s="11" t="s">
        <v>4</v>
      </c>
      <c r="D4" s="11" t="s">
        <v>5</v>
      </c>
      <c r="E4" s="11" t="s">
        <v>6</v>
      </c>
      <c r="F4" s="11" t="s">
        <v>7</v>
      </c>
      <c r="G4" s="11" t="s">
        <v>8</v>
      </c>
      <c r="H4" s="12" t="s">
        <v>527</v>
      </c>
    </row>
    <row r="5" spans="1:9" x14ac:dyDescent="0.2">
      <c r="A5" s="14"/>
      <c r="B5" s="14"/>
      <c r="C5" s="15" t="s">
        <v>9</v>
      </c>
      <c r="D5" s="14"/>
      <c r="E5" s="14"/>
      <c r="F5" s="14"/>
      <c r="G5" s="14"/>
      <c r="H5" s="16" t="s">
        <v>12</v>
      </c>
    </row>
    <row r="6" spans="1:9" ht="25.5" x14ac:dyDescent="0.2">
      <c r="A6" s="14"/>
      <c r="B6" s="14"/>
      <c r="C6" s="15" t="s">
        <v>10</v>
      </c>
      <c r="D6" s="14"/>
      <c r="E6" s="14"/>
      <c r="F6" s="14"/>
      <c r="G6" s="14"/>
      <c r="H6" s="16" t="s">
        <v>12</v>
      </c>
    </row>
    <row r="7" spans="1:9" x14ac:dyDescent="0.2">
      <c r="A7" s="14"/>
      <c r="B7" s="14"/>
      <c r="C7" s="15" t="s">
        <v>11</v>
      </c>
      <c r="D7" s="14"/>
      <c r="E7" s="14" t="s">
        <v>12</v>
      </c>
      <c r="F7" s="17" t="s">
        <v>13</v>
      </c>
      <c r="G7" s="18">
        <v>0</v>
      </c>
      <c r="H7" s="16" t="s">
        <v>12</v>
      </c>
    </row>
    <row r="8" spans="1:9" x14ac:dyDescent="0.2">
      <c r="A8" s="14"/>
      <c r="B8" s="14"/>
      <c r="C8" s="19"/>
      <c r="D8" s="14"/>
      <c r="E8" s="14"/>
      <c r="F8" s="20"/>
      <c r="G8" s="20"/>
      <c r="H8" s="16" t="s">
        <v>12</v>
      </c>
    </row>
    <row r="9" spans="1:9" x14ac:dyDescent="0.2">
      <c r="A9" s="14"/>
      <c r="B9" s="14"/>
      <c r="C9" s="15" t="s">
        <v>14</v>
      </c>
      <c r="D9" s="14"/>
      <c r="E9" s="14"/>
      <c r="F9" s="14"/>
      <c r="G9" s="14"/>
      <c r="H9" s="16" t="s">
        <v>12</v>
      </c>
    </row>
    <row r="10" spans="1:9" x14ac:dyDescent="0.2">
      <c r="A10" s="14"/>
      <c r="B10" s="14"/>
      <c r="C10" s="15" t="s">
        <v>11</v>
      </c>
      <c r="D10" s="14"/>
      <c r="E10" s="14" t="s">
        <v>12</v>
      </c>
      <c r="F10" s="17" t="s">
        <v>13</v>
      </c>
      <c r="G10" s="18">
        <v>0</v>
      </c>
      <c r="H10" s="16" t="s">
        <v>12</v>
      </c>
    </row>
    <row r="11" spans="1:9" x14ac:dyDescent="0.2">
      <c r="A11" s="14"/>
      <c r="B11" s="14"/>
      <c r="C11" s="19"/>
      <c r="D11" s="14"/>
      <c r="E11" s="14"/>
      <c r="F11" s="20"/>
      <c r="G11" s="20"/>
      <c r="H11" s="16" t="s">
        <v>12</v>
      </c>
    </row>
    <row r="12" spans="1:9" x14ac:dyDescent="0.2">
      <c r="A12" s="14"/>
      <c r="B12" s="14"/>
      <c r="C12" s="15" t="s">
        <v>15</v>
      </c>
      <c r="D12" s="14"/>
      <c r="E12" s="14"/>
      <c r="F12" s="14"/>
      <c r="G12" s="14"/>
      <c r="H12" s="16" t="s">
        <v>12</v>
      </c>
    </row>
    <row r="13" spans="1:9" x14ac:dyDescent="0.2">
      <c r="A13" s="14"/>
      <c r="B13" s="14"/>
      <c r="C13" s="15" t="s">
        <v>11</v>
      </c>
      <c r="D13" s="14"/>
      <c r="E13" s="14" t="s">
        <v>12</v>
      </c>
      <c r="F13" s="17" t="s">
        <v>13</v>
      </c>
      <c r="G13" s="18">
        <v>0</v>
      </c>
      <c r="H13" s="16" t="s">
        <v>12</v>
      </c>
    </row>
    <row r="14" spans="1:9" x14ac:dyDescent="0.2">
      <c r="A14" s="14"/>
      <c r="B14" s="14"/>
      <c r="C14" s="19"/>
      <c r="D14" s="14"/>
      <c r="E14" s="14"/>
      <c r="F14" s="20"/>
      <c r="G14" s="20"/>
      <c r="H14" s="16" t="s">
        <v>12</v>
      </c>
    </row>
    <row r="15" spans="1:9" x14ac:dyDescent="0.2">
      <c r="A15" s="14"/>
      <c r="B15" s="14"/>
      <c r="C15" s="15" t="s">
        <v>16</v>
      </c>
      <c r="D15" s="14"/>
      <c r="E15" s="14"/>
      <c r="F15" s="14"/>
      <c r="G15" s="14"/>
      <c r="H15" s="16" t="s">
        <v>12</v>
      </c>
    </row>
    <row r="16" spans="1:9" x14ac:dyDescent="0.2">
      <c r="A16" s="14"/>
      <c r="B16" s="14"/>
      <c r="C16" s="15" t="s">
        <v>11</v>
      </c>
      <c r="D16" s="14"/>
      <c r="E16" s="14" t="s">
        <v>12</v>
      </c>
      <c r="F16" s="17" t="s">
        <v>13</v>
      </c>
      <c r="G16" s="18">
        <v>0</v>
      </c>
      <c r="H16" s="16" t="s">
        <v>12</v>
      </c>
    </row>
    <row r="17" spans="1:8" x14ac:dyDescent="0.2">
      <c r="A17" s="14"/>
      <c r="B17" s="14"/>
      <c r="C17" s="19"/>
      <c r="D17" s="14"/>
      <c r="E17" s="14"/>
      <c r="F17" s="20"/>
      <c r="G17" s="20"/>
      <c r="H17" s="16" t="s">
        <v>12</v>
      </c>
    </row>
    <row r="18" spans="1:8" x14ac:dyDescent="0.2">
      <c r="A18" s="14"/>
      <c r="B18" s="14"/>
      <c r="C18" s="15" t="s">
        <v>17</v>
      </c>
      <c r="D18" s="14"/>
      <c r="E18" s="14"/>
      <c r="F18" s="20"/>
      <c r="G18" s="20"/>
      <c r="H18" s="16" t="s">
        <v>12</v>
      </c>
    </row>
    <row r="19" spans="1:8" x14ac:dyDescent="0.2">
      <c r="A19" s="14"/>
      <c r="B19" s="14"/>
      <c r="C19" s="15" t="s">
        <v>11</v>
      </c>
      <c r="D19" s="14"/>
      <c r="E19" s="14" t="s">
        <v>12</v>
      </c>
      <c r="F19" s="17" t="s">
        <v>13</v>
      </c>
      <c r="G19" s="18">
        <v>0</v>
      </c>
      <c r="H19" s="16" t="s">
        <v>12</v>
      </c>
    </row>
    <row r="20" spans="1:8" x14ac:dyDescent="0.2">
      <c r="A20" s="14"/>
      <c r="B20" s="14"/>
      <c r="C20" s="19"/>
      <c r="D20" s="14"/>
      <c r="E20" s="14"/>
      <c r="F20" s="20"/>
      <c r="G20" s="20"/>
      <c r="H20" s="16" t="s">
        <v>12</v>
      </c>
    </row>
    <row r="21" spans="1:8" x14ac:dyDescent="0.2">
      <c r="A21" s="14"/>
      <c r="B21" s="14"/>
      <c r="C21" s="15" t="s">
        <v>18</v>
      </c>
      <c r="D21" s="14"/>
      <c r="E21" s="14"/>
      <c r="F21" s="20"/>
      <c r="G21" s="20"/>
      <c r="H21" s="16" t="s">
        <v>12</v>
      </c>
    </row>
    <row r="22" spans="1:8" x14ac:dyDescent="0.2">
      <c r="A22" s="14"/>
      <c r="B22" s="14"/>
      <c r="C22" s="15" t="s">
        <v>11</v>
      </c>
      <c r="D22" s="14"/>
      <c r="E22" s="14" t="s">
        <v>12</v>
      </c>
      <c r="F22" s="17" t="s">
        <v>13</v>
      </c>
      <c r="G22" s="18">
        <v>0</v>
      </c>
      <c r="H22" s="16" t="s">
        <v>12</v>
      </c>
    </row>
    <row r="23" spans="1:8" x14ac:dyDescent="0.2">
      <c r="A23" s="14"/>
      <c r="B23" s="14"/>
      <c r="C23" s="19"/>
      <c r="D23" s="14"/>
      <c r="E23" s="14"/>
      <c r="F23" s="20"/>
      <c r="G23" s="20"/>
      <c r="H23" s="16" t="s">
        <v>12</v>
      </c>
    </row>
    <row r="24" spans="1:8" x14ac:dyDescent="0.2">
      <c r="A24" s="14"/>
      <c r="B24" s="14"/>
      <c r="C24" s="15" t="s">
        <v>19</v>
      </c>
      <c r="D24" s="14"/>
      <c r="E24" s="14"/>
      <c r="F24" s="21">
        <v>0</v>
      </c>
      <c r="G24" s="18">
        <v>0</v>
      </c>
      <c r="H24" s="16" t="s">
        <v>12</v>
      </c>
    </row>
    <row r="25" spans="1:8" x14ac:dyDescent="0.2">
      <c r="A25" s="14"/>
      <c r="B25" s="14"/>
      <c r="C25" s="19"/>
      <c r="D25" s="14"/>
      <c r="E25" s="14"/>
      <c r="F25" s="20"/>
      <c r="G25" s="20"/>
      <c r="H25" s="16" t="s">
        <v>12</v>
      </c>
    </row>
    <row r="26" spans="1:8" x14ac:dyDescent="0.2">
      <c r="A26" s="14"/>
      <c r="B26" s="14"/>
      <c r="C26" s="15" t="s">
        <v>20</v>
      </c>
      <c r="D26" s="14"/>
      <c r="E26" s="14"/>
      <c r="F26" s="20"/>
      <c r="G26" s="20"/>
      <c r="H26" s="16" t="s">
        <v>12</v>
      </c>
    </row>
    <row r="27" spans="1:8" ht="25.5" x14ac:dyDescent="0.2">
      <c r="A27" s="14"/>
      <c r="B27" s="14"/>
      <c r="C27" s="15" t="s">
        <v>10</v>
      </c>
      <c r="D27" s="14"/>
      <c r="E27" s="14"/>
      <c r="F27" s="20"/>
      <c r="G27" s="20"/>
      <c r="H27" s="16" t="s">
        <v>12</v>
      </c>
    </row>
    <row r="28" spans="1:8" ht="25.5" x14ac:dyDescent="0.2">
      <c r="A28" s="22">
        <v>1</v>
      </c>
      <c r="B28" s="23" t="s">
        <v>49</v>
      </c>
      <c r="C28" s="23" t="s">
        <v>50</v>
      </c>
      <c r="D28" s="23" t="s">
        <v>34</v>
      </c>
      <c r="E28" s="24">
        <v>300</v>
      </c>
      <c r="F28" s="25">
        <v>2998.6709999999998</v>
      </c>
      <c r="G28" s="26">
        <v>8.5672059999999994E-2</v>
      </c>
      <c r="H28" s="16">
        <v>7.4349999999999996</v>
      </c>
    </row>
    <row r="29" spans="1:8" x14ac:dyDescent="0.2">
      <c r="A29" s="22">
        <v>2</v>
      </c>
      <c r="B29" s="23" t="s">
        <v>121</v>
      </c>
      <c r="C29" s="23" t="s">
        <v>122</v>
      </c>
      <c r="D29" s="23" t="s">
        <v>34</v>
      </c>
      <c r="E29" s="24">
        <v>250</v>
      </c>
      <c r="F29" s="25">
        <v>2504.3375000000001</v>
      </c>
      <c r="G29" s="26">
        <v>7.154895E-2</v>
      </c>
      <c r="H29" s="16">
        <v>7.48</v>
      </c>
    </row>
    <row r="30" spans="1:8" x14ac:dyDescent="0.2">
      <c r="A30" s="22">
        <v>3</v>
      </c>
      <c r="B30" s="23" t="s">
        <v>123</v>
      </c>
      <c r="C30" s="23" t="s">
        <v>124</v>
      </c>
      <c r="D30" s="23" t="s">
        <v>23</v>
      </c>
      <c r="E30" s="24">
        <v>2500</v>
      </c>
      <c r="F30" s="25">
        <v>2500.3625000000002</v>
      </c>
      <c r="G30" s="26">
        <v>7.1435380000000007E-2</v>
      </c>
      <c r="H30" s="16">
        <v>7.68</v>
      </c>
    </row>
    <row r="31" spans="1:8" ht="25.5" x14ac:dyDescent="0.2">
      <c r="A31" s="22">
        <v>4</v>
      </c>
      <c r="B31" s="23" t="s">
        <v>125</v>
      </c>
      <c r="C31" s="23" t="s">
        <v>126</v>
      </c>
      <c r="D31" s="23" t="s">
        <v>23</v>
      </c>
      <c r="E31" s="24">
        <v>2000</v>
      </c>
      <c r="F31" s="25">
        <v>2007.4659999999999</v>
      </c>
      <c r="G31" s="26">
        <v>5.7353330000000001E-2</v>
      </c>
      <c r="H31" s="16">
        <v>7.4</v>
      </c>
    </row>
    <row r="32" spans="1:8" ht="25.5" x14ac:dyDescent="0.2">
      <c r="A32" s="22">
        <v>5</v>
      </c>
      <c r="B32" s="23" t="s">
        <v>127</v>
      </c>
      <c r="C32" s="23" t="s">
        <v>128</v>
      </c>
      <c r="D32" s="23" t="s">
        <v>34</v>
      </c>
      <c r="E32" s="24">
        <v>200</v>
      </c>
      <c r="F32" s="25">
        <v>1995.8340000000001</v>
      </c>
      <c r="G32" s="26">
        <v>5.7021000000000002E-2</v>
      </c>
      <c r="H32" s="16">
        <v>7.7694999999999999</v>
      </c>
    </row>
    <row r="33" spans="1:8" ht="25.5" x14ac:dyDescent="0.2">
      <c r="A33" s="22">
        <v>6</v>
      </c>
      <c r="B33" s="23" t="s">
        <v>129</v>
      </c>
      <c r="C33" s="23" t="s">
        <v>130</v>
      </c>
      <c r="D33" s="23" t="s">
        <v>34</v>
      </c>
      <c r="E33" s="24">
        <v>200</v>
      </c>
      <c r="F33" s="25">
        <v>1957.5619999999999</v>
      </c>
      <c r="G33" s="26">
        <v>5.5927570000000003E-2</v>
      </c>
      <c r="H33" s="16">
        <v>7.65</v>
      </c>
    </row>
    <row r="34" spans="1:8" ht="25.5" x14ac:dyDescent="0.2">
      <c r="A34" s="22">
        <v>7</v>
      </c>
      <c r="B34" s="23" t="s">
        <v>35</v>
      </c>
      <c r="C34" s="23" t="s">
        <v>36</v>
      </c>
      <c r="D34" s="23" t="s">
        <v>23</v>
      </c>
      <c r="E34" s="24">
        <v>1500</v>
      </c>
      <c r="F34" s="25">
        <v>1505.43</v>
      </c>
      <c r="G34" s="26">
        <v>4.3010149999999997E-2</v>
      </c>
      <c r="H34" s="16">
        <v>7.5049999999999999</v>
      </c>
    </row>
    <row r="35" spans="1:8" ht="25.5" x14ac:dyDescent="0.2">
      <c r="A35" s="22">
        <v>8</v>
      </c>
      <c r="B35" s="23" t="s">
        <v>131</v>
      </c>
      <c r="C35" s="23" t="s">
        <v>132</v>
      </c>
      <c r="D35" s="23" t="s">
        <v>23</v>
      </c>
      <c r="E35" s="24">
        <v>1500</v>
      </c>
      <c r="F35" s="25">
        <v>1502.9295</v>
      </c>
      <c r="G35" s="26">
        <v>4.2938709999999998E-2</v>
      </c>
      <c r="H35" s="16">
        <v>7.29</v>
      </c>
    </row>
    <row r="36" spans="1:8" ht="25.5" x14ac:dyDescent="0.2">
      <c r="A36" s="22">
        <v>9</v>
      </c>
      <c r="B36" s="23" t="s">
        <v>41</v>
      </c>
      <c r="C36" s="23" t="s">
        <v>42</v>
      </c>
      <c r="D36" s="23" t="s">
        <v>23</v>
      </c>
      <c r="E36" s="24">
        <v>1500</v>
      </c>
      <c r="F36" s="25">
        <v>1493.3910000000001</v>
      </c>
      <c r="G36" s="26">
        <v>4.2666200000000001E-2</v>
      </c>
      <c r="H36" s="16">
        <v>7.5624000000000002</v>
      </c>
    </row>
    <row r="37" spans="1:8" ht="25.5" x14ac:dyDescent="0.2">
      <c r="A37" s="22">
        <v>10</v>
      </c>
      <c r="B37" s="23" t="s">
        <v>133</v>
      </c>
      <c r="C37" s="23" t="s">
        <v>134</v>
      </c>
      <c r="D37" s="23" t="s">
        <v>23</v>
      </c>
      <c r="E37" s="24">
        <v>1000</v>
      </c>
      <c r="F37" s="25">
        <v>1006.319</v>
      </c>
      <c r="G37" s="26">
        <v>2.8750540000000002E-2</v>
      </c>
      <c r="H37" s="16">
        <v>7.2549999999999999</v>
      </c>
    </row>
    <row r="38" spans="1:8" ht="25.5" x14ac:dyDescent="0.2">
      <c r="A38" s="22">
        <v>11</v>
      </c>
      <c r="B38" s="23" t="s">
        <v>24</v>
      </c>
      <c r="C38" s="23" t="s">
        <v>25</v>
      </c>
      <c r="D38" s="23" t="s">
        <v>23</v>
      </c>
      <c r="E38" s="24">
        <v>1000</v>
      </c>
      <c r="F38" s="25">
        <v>1002.501</v>
      </c>
      <c r="G38" s="26">
        <v>2.8641460000000001E-2</v>
      </c>
      <c r="H38" s="16">
        <v>7.31</v>
      </c>
    </row>
    <row r="39" spans="1:8" ht="25.5" x14ac:dyDescent="0.2">
      <c r="A39" s="22">
        <v>12</v>
      </c>
      <c r="B39" s="23" t="s">
        <v>45</v>
      </c>
      <c r="C39" s="23" t="s">
        <v>46</v>
      </c>
      <c r="D39" s="23" t="s">
        <v>23</v>
      </c>
      <c r="E39" s="24">
        <v>500</v>
      </c>
      <c r="F39" s="25">
        <v>502.68849999999998</v>
      </c>
      <c r="G39" s="26">
        <v>1.4361820000000001E-2</v>
      </c>
      <c r="H39" s="16">
        <v>7.4447999999999999</v>
      </c>
    </row>
    <row r="40" spans="1:8" ht="38.25" x14ac:dyDescent="0.2">
      <c r="A40" s="22">
        <v>13</v>
      </c>
      <c r="B40" s="23" t="s">
        <v>135</v>
      </c>
      <c r="C40" s="23" t="s">
        <v>136</v>
      </c>
      <c r="D40" s="23" t="s">
        <v>23</v>
      </c>
      <c r="E40" s="24">
        <v>500</v>
      </c>
      <c r="F40" s="25">
        <v>502.18700000000001</v>
      </c>
      <c r="G40" s="26">
        <v>1.4347489999999999E-2</v>
      </c>
      <c r="H40" s="16">
        <v>7.3550000000000004</v>
      </c>
    </row>
    <row r="41" spans="1:8" ht="25.5" x14ac:dyDescent="0.2">
      <c r="A41" s="22">
        <v>14</v>
      </c>
      <c r="B41" s="23" t="s">
        <v>137</v>
      </c>
      <c r="C41" s="23" t="s">
        <v>138</v>
      </c>
      <c r="D41" s="23" t="s">
        <v>23</v>
      </c>
      <c r="E41" s="24">
        <v>500</v>
      </c>
      <c r="F41" s="25">
        <v>500.702</v>
      </c>
      <c r="G41" s="26">
        <v>1.430506E-2</v>
      </c>
      <c r="H41" s="16">
        <v>7.56</v>
      </c>
    </row>
    <row r="42" spans="1:8" x14ac:dyDescent="0.2">
      <c r="A42" s="22">
        <v>15</v>
      </c>
      <c r="B42" s="23" t="s">
        <v>55</v>
      </c>
      <c r="C42" s="23" t="s">
        <v>56</v>
      </c>
      <c r="D42" s="23" t="s">
        <v>23</v>
      </c>
      <c r="E42" s="24">
        <v>500</v>
      </c>
      <c r="F42" s="25">
        <v>500.13400000000001</v>
      </c>
      <c r="G42" s="26">
        <v>1.4288830000000001E-2</v>
      </c>
      <c r="H42" s="16">
        <v>7.7</v>
      </c>
    </row>
    <row r="43" spans="1:8" ht="25.5" x14ac:dyDescent="0.2">
      <c r="A43" s="22">
        <v>16</v>
      </c>
      <c r="B43" s="23" t="s">
        <v>51</v>
      </c>
      <c r="C43" s="23" t="s">
        <v>52</v>
      </c>
      <c r="D43" s="23" t="s">
        <v>23</v>
      </c>
      <c r="E43" s="24">
        <v>500</v>
      </c>
      <c r="F43" s="25">
        <v>498.44049999999999</v>
      </c>
      <c r="G43" s="26">
        <v>1.424045E-2</v>
      </c>
      <c r="H43" s="16">
        <v>7.62</v>
      </c>
    </row>
    <row r="44" spans="1:8" ht="25.5" x14ac:dyDescent="0.2">
      <c r="A44" s="22">
        <v>17</v>
      </c>
      <c r="B44" s="23" t="s">
        <v>43</v>
      </c>
      <c r="C44" s="23" t="s">
        <v>44</v>
      </c>
      <c r="D44" s="23" t="s">
        <v>23</v>
      </c>
      <c r="E44" s="24">
        <v>500</v>
      </c>
      <c r="F44" s="25">
        <v>496.67349999999999</v>
      </c>
      <c r="G44" s="26">
        <v>1.418997E-2</v>
      </c>
      <c r="H44" s="16">
        <v>7.3905000000000003</v>
      </c>
    </row>
    <row r="45" spans="1:8" x14ac:dyDescent="0.2">
      <c r="A45" s="14"/>
      <c r="B45" s="14"/>
      <c r="C45" s="15" t="s">
        <v>11</v>
      </c>
      <c r="D45" s="14"/>
      <c r="E45" s="14" t="s">
        <v>12</v>
      </c>
      <c r="F45" s="21">
        <v>23475.629000000001</v>
      </c>
      <c r="G45" s="18">
        <v>0.67069897000000001</v>
      </c>
      <c r="H45" s="16" t="s">
        <v>12</v>
      </c>
    </row>
    <row r="46" spans="1:8" x14ac:dyDescent="0.2">
      <c r="A46" s="14"/>
      <c r="B46" s="14"/>
      <c r="C46" s="19"/>
      <c r="D46" s="14"/>
      <c r="E46" s="14"/>
      <c r="F46" s="20"/>
      <c r="G46" s="20"/>
      <c r="H46" s="16" t="s">
        <v>12</v>
      </c>
    </row>
    <row r="47" spans="1:8" x14ac:dyDescent="0.2">
      <c r="A47" s="14"/>
      <c r="B47" s="14"/>
      <c r="C47" s="15" t="s">
        <v>71</v>
      </c>
      <c r="D47" s="14"/>
      <c r="E47" s="14"/>
      <c r="F47" s="14"/>
      <c r="G47" s="14"/>
      <c r="H47" s="16" t="s">
        <v>12</v>
      </c>
    </row>
    <row r="48" spans="1:8" x14ac:dyDescent="0.2">
      <c r="A48" s="14"/>
      <c r="B48" s="14"/>
      <c r="C48" s="15" t="s">
        <v>11</v>
      </c>
      <c r="D48" s="14"/>
      <c r="E48" s="14" t="s">
        <v>12</v>
      </c>
      <c r="F48" s="17" t="s">
        <v>13</v>
      </c>
      <c r="G48" s="18">
        <v>0</v>
      </c>
      <c r="H48" s="16" t="s">
        <v>12</v>
      </c>
    </row>
    <row r="49" spans="1:8" x14ac:dyDescent="0.2">
      <c r="A49" s="14"/>
      <c r="B49" s="14"/>
      <c r="C49" s="19"/>
      <c r="D49" s="14"/>
      <c r="E49" s="14"/>
      <c r="F49" s="20"/>
      <c r="G49" s="20"/>
      <c r="H49" s="16" t="s">
        <v>12</v>
      </c>
    </row>
    <row r="50" spans="1:8" x14ac:dyDescent="0.2">
      <c r="A50" s="14"/>
      <c r="B50" s="14"/>
      <c r="C50" s="15" t="s">
        <v>72</v>
      </c>
      <c r="D50" s="14"/>
      <c r="E50" s="14"/>
      <c r="F50" s="14"/>
      <c r="G50" s="14"/>
      <c r="H50" s="16" t="s">
        <v>12</v>
      </c>
    </row>
    <row r="51" spans="1:8" ht="25.5" x14ac:dyDescent="0.2">
      <c r="A51" s="22">
        <v>1</v>
      </c>
      <c r="B51" s="23" t="s">
        <v>73</v>
      </c>
      <c r="C51" s="23" t="s">
        <v>74</v>
      </c>
      <c r="D51" s="23" t="s">
        <v>75</v>
      </c>
      <c r="E51" s="24">
        <v>4500000</v>
      </c>
      <c r="F51" s="25">
        <v>4604.6610000000001</v>
      </c>
      <c r="G51" s="26">
        <v>0.13155521000000001</v>
      </c>
      <c r="H51" s="16">
        <v>6.8678999999999997</v>
      </c>
    </row>
    <row r="52" spans="1:8" ht="25.5" x14ac:dyDescent="0.2">
      <c r="A52" s="22">
        <v>2</v>
      </c>
      <c r="B52" s="23" t="s">
        <v>76</v>
      </c>
      <c r="C52" s="23" t="s">
        <v>77</v>
      </c>
      <c r="D52" s="23" t="s">
        <v>75</v>
      </c>
      <c r="E52" s="24">
        <v>1000000</v>
      </c>
      <c r="F52" s="25">
        <v>1030.4100000000001</v>
      </c>
      <c r="G52" s="26">
        <v>2.9438829999999999E-2</v>
      </c>
      <c r="H52" s="16">
        <v>6.7721999999999998</v>
      </c>
    </row>
    <row r="53" spans="1:8" ht="25.5" x14ac:dyDescent="0.2">
      <c r="A53" s="22">
        <v>3</v>
      </c>
      <c r="B53" s="23" t="s">
        <v>82</v>
      </c>
      <c r="C53" s="23" t="s">
        <v>83</v>
      </c>
      <c r="D53" s="23" t="s">
        <v>75</v>
      </c>
      <c r="E53" s="24">
        <v>1000000</v>
      </c>
      <c r="F53" s="25">
        <v>1002.515</v>
      </c>
      <c r="G53" s="26">
        <v>2.8641860000000002E-2</v>
      </c>
      <c r="H53" s="16">
        <v>6.9960000000000004</v>
      </c>
    </row>
    <row r="54" spans="1:8" ht="25.5" x14ac:dyDescent="0.2">
      <c r="A54" s="22">
        <v>4</v>
      </c>
      <c r="B54" s="23" t="s">
        <v>78</v>
      </c>
      <c r="C54" s="23" t="s">
        <v>79</v>
      </c>
      <c r="D54" s="23" t="s">
        <v>75</v>
      </c>
      <c r="E54" s="24">
        <v>750000</v>
      </c>
      <c r="F54" s="25">
        <v>778.47524999999996</v>
      </c>
      <c r="G54" s="26">
        <v>2.2241049999999998E-2</v>
      </c>
      <c r="H54" s="16">
        <v>7.1783999999999999</v>
      </c>
    </row>
    <row r="55" spans="1:8" ht="25.5" x14ac:dyDescent="0.2">
      <c r="A55" s="22">
        <v>5</v>
      </c>
      <c r="B55" s="23" t="s">
        <v>139</v>
      </c>
      <c r="C55" s="23" t="s">
        <v>140</v>
      </c>
      <c r="D55" s="23" t="s">
        <v>75</v>
      </c>
      <c r="E55" s="24">
        <v>500000</v>
      </c>
      <c r="F55" s="25">
        <v>517.05650000000003</v>
      </c>
      <c r="G55" s="26">
        <v>1.477231E-2</v>
      </c>
      <c r="H55" s="16">
        <v>6.9675000000000002</v>
      </c>
    </row>
    <row r="56" spans="1:8" ht="25.5" x14ac:dyDescent="0.2">
      <c r="A56" s="22">
        <v>6</v>
      </c>
      <c r="B56" s="23" t="s">
        <v>80</v>
      </c>
      <c r="C56" s="23" t="s">
        <v>81</v>
      </c>
      <c r="D56" s="23" t="s">
        <v>75</v>
      </c>
      <c r="E56" s="24">
        <v>500000</v>
      </c>
      <c r="F56" s="25">
        <v>516.85050000000001</v>
      </c>
      <c r="G56" s="26">
        <v>1.4766420000000001E-2</v>
      </c>
      <c r="H56" s="16">
        <v>7.1481000000000003</v>
      </c>
    </row>
    <row r="57" spans="1:8" x14ac:dyDescent="0.2">
      <c r="A57" s="14"/>
      <c r="B57" s="14"/>
      <c r="C57" s="15" t="s">
        <v>11</v>
      </c>
      <c r="D57" s="14"/>
      <c r="E57" s="14" t="s">
        <v>12</v>
      </c>
      <c r="F57" s="21">
        <v>8449.9682499999999</v>
      </c>
      <c r="G57" s="18">
        <v>0.24141567999999999</v>
      </c>
      <c r="H57" s="16" t="s">
        <v>12</v>
      </c>
    </row>
    <row r="58" spans="1:8" x14ac:dyDescent="0.2">
      <c r="A58" s="14"/>
      <c r="B58" s="14"/>
      <c r="C58" s="19"/>
      <c r="D58" s="14"/>
      <c r="E58" s="14"/>
      <c r="F58" s="20"/>
      <c r="G58" s="20"/>
      <c r="H58" s="16" t="s">
        <v>12</v>
      </c>
    </row>
    <row r="59" spans="1:8" x14ac:dyDescent="0.2">
      <c r="A59" s="14"/>
      <c r="B59" s="14"/>
      <c r="C59" s="15" t="s">
        <v>88</v>
      </c>
      <c r="D59" s="14"/>
      <c r="E59" s="14"/>
      <c r="F59" s="20"/>
      <c r="G59" s="20"/>
      <c r="H59" s="16" t="s">
        <v>12</v>
      </c>
    </row>
    <row r="60" spans="1:8" x14ac:dyDescent="0.2">
      <c r="A60" s="14"/>
      <c r="B60" s="14"/>
      <c r="C60" s="15" t="s">
        <v>11</v>
      </c>
      <c r="D60" s="14"/>
      <c r="E60" s="14" t="s">
        <v>12</v>
      </c>
      <c r="F60" s="17" t="s">
        <v>13</v>
      </c>
      <c r="G60" s="18">
        <v>0</v>
      </c>
      <c r="H60" s="16" t="s">
        <v>12</v>
      </c>
    </row>
    <row r="61" spans="1:8" x14ac:dyDescent="0.2">
      <c r="A61" s="14"/>
      <c r="B61" s="14"/>
      <c r="C61" s="19"/>
      <c r="D61" s="14"/>
      <c r="E61" s="14"/>
      <c r="F61" s="20"/>
      <c r="G61" s="20"/>
      <c r="H61" s="16" t="s">
        <v>12</v>
      </c>
    </row>
    <row r="62" spans="1:8" x14ac:dyDescent="0.2">
      <c r="A62" s="14"/>
      <c r="B62" s="14"/>
      <c r="C62" s="15" t="s">
        <v>89</v>
      </c>
      <c r="D62" s="14"/>
      <c r="E62" s="14"/>
      <c r="F62" s="21">
        <v>31925.597249999999</v>
      </c>
      <c r="G62" s="18">
        <v>0.91211465000000003</v>
      </c>
      <c r="H62" s="16" t="s">
        <v>12</v>
      </c>
    </row>
    <row r="63" spans="1:8" x14ac:dyDescent="0.2">
      <c r="A63" s="14"/>
      <c r="B63" s="14"/>
      <c r="C63" s="19"/>
      <c r="D63" s="14"/>
      <c r="E63" s="14"/>
      <c r="F63" s="20"/>
      <c r="G63" s="20"/>
      <c r="H63" s="16" t="s">
        <v>12</v>
      </c>
    </row>
    <row r="64" spans="1:8" x14ac:dyDescent="0.2">
      <c r="A64" s="14"/>
      <c r="B64" s="14"/>
      <c r="C64" s="15" t="s">
        <v>90</v>
      </c>
      <c r="D64" s="14"/>
      <c r="E64" s="14"/>
      <c r="F64" s="20"/>
      <c r="G64" s="20"/>
      <c r="H64" s="16" t="s">
        <v>12</v>
      </c>
    </row>
    <row r="65" spans="1:8" x14ac:dyDescent="0.2">
      <c r="A65" s="14"/>
      <c r="B65" s="14"/>
      <c r="C65" s="15" t="s">
        <v>91</v>
      </c>
      <c r="D65" s="14"/>
      <c r="E65" s="14"/>
      <c r="F65" s="20"/>
      <c r="G65" s="20"/>
      <c r="H65" s="16" t="s">
        <v>12</v>
      </c>
    </row>
    <row r="66" spans="1:8" x14ac:dyDescent="0.2">
      <c r="A66" s="22">
        <v>1</v>
      </c>
      <c r="B66" s="23" t="s">
        <v>141</v>
      </c>
      <c r="C66" s="23" t="s">
        <v>142</v>
      </c>
      <c r="D66" s="23" t="s">
        <v>143</v>
      </c>
      <c r="E66" s="24">
        <v>100</v>
      </c>
      <c r="F66" s="25">
        <v>468.15300000000002</v>
      </c>
      <c r="G66" s="26">
        <v>1.3375140000000001E-2</v>
      </c>
      <c r="H66" s="16">
        <v>7.64</v>
      </c>
    </row>
    <row r="67" spans="1:8" x14ac:dyDescent="0.2">
      <c r="A67" s="14"/>
      <c r="B67" s="14"/>
      <c r="C67" s="15" t="s">
        <v>11</v>
      </c>
      <c r="D67" s="14"/>
      <c r="E67" s="14" t="s">
        <v>12</v>
      </c>
      <c r="F67" s="21">
        <v>468.15300000000002</v>
      </c>
      <c r="G67" s="18">
        <v>1.3375140000000001E-2</v>
      </c>
      <c r="H67" s="16" t="s">
        <v>12</v>
      </c>
    </row>
    <row r="68" spans="1:8" x14ac:dyDescent="0.2">
      <c r="A68" s="14"/>
      <c r="B68" s="14"/>
      <c r="C68" s="19"/>
      <c r="D68" s="14"/>
      <c r="E68" s="14"/>
      <c r="F68" s="20"/>
      <c r="G68" s="20"/>
      <c r="H68" s="16" t="s">
        <v>12</v>
      </c>
    </row>
    <row r="69" spans="1:8" x14ac:dyDescent="0.2">
      <c r="A69" s="14"/>
      <c r="B69" s="14"/>
      <c r="C69" s="15" t="s">
        <v>92</v>
      </c>
      <c r="D69" s="14"/>
      <c r="E69" s="14"/>
      <c r="F69" s="20"/>
      <c r="G69" s="20"/>
      <c r="H69" s="16" t="s">
        <v>12</v>
      </c>
    </row>
    <row r="70" spans="1:8" x14ac:dyDescent="0.2">
      <c r="A70" s="14"/>
      <c r="B70" s="14"/>
      <c r="C70" s="15" t="s">
        <v>11</v>
      </c>
      <c r="D70" s="14"/>
      <c r="E70" s="14" t="s">
        <v>12</v>
      </c>
      <c r="F70" s="17" t="s">
        <v>13</v>
      </c>
      <c r="G70" s="18">
        <v>0</v>
      </c>
      <c r="H70" s="16" t="s">
        <v>12</v>
      </c>
    </row>
    <row r="71" spans="1:8" x14ac:dyDescent="0.2">
      <c r="A71" s="14"/>
      <c r="B71" s="14"/>
      <c r="C71" s="19"/>
      <c r="D71" s="14"/>
      <c r="E71" s="14"/>
      <c r="F71" s="20"/>
      <c r="G71" s="20"/>
      <c r="H71" s="16" t="s">
        <v>12</v>
      </c>
    </row>
    <row r="72" spans="1:8" x14ac:dyDescent="0.2">
      <c r="A72" s="14"/>
      <c r="B72" s="14"/>
      <c r="C72" s="15" t="s">
        <v>93</v>
      </c>
      <c r="D72" s="14"/>
      <c r="E72" s="14"/>
      <c r="F72" s="20"/>
      <c r="G72" s="20"/>
      <c r="H72" s="16" t="s">
        <v>12</v>
      </c>
    </row>
    <row r="73" spans="1:8" x14ac:dyDescent="0.2">
      <c r="A73" s="14"/>
      <c r="B73" s="14"/>
      <c r="C73" s="15" t="s">
        <v>11</v>
      </c>
      <c r="D73" s="14"/>
      <c r="E73" s="14" t="s">
        <v>12</v>
      </c>
      <c r="F73" s="17" t="s">
        <v>13</v>
      </c>
      <c r="G73" s="18">
        <v>0</v>
      </c>
      <c r="H73" s="16" t="s">
        <v>12</v>
      </c>
    </row>
    <row r="74" spans="1:8" x14ac:dyDescent="0.2">
      <c r="A74" s="14"/>
      <c r="B74" s="14"/>
      <c r="C74" s="19"/>
      <c r="D74" s="14"/>
      <c r="E74" s="14"/>
      <c r="F74" s="20"/>
      <c r="G74" s="20"/>
      <c r="H74" s="16" t="s">
        <v>12</v>
      </c>
    </row>
    <row r="75" spans="1:8" x14ac:dyDescent="0.2">
      <c r="A75" s="14"/>
      <c r="B75" s="14"/>
      <c r="C75" s="15" t="s">
        <v>94</v>
      </c>
      <c r="D75" s="14"/>
      <c r="E75" s="14"/>
      <c r="F75" s="20"/>
      <c r="G75" s="20"/>
      <c r="H75" s="16" t="s">
        <v>12</v>
      </c>
    </row>
    <row r="76" spans="1:8" x14ac:dyDescent="0.2">
      <c r="A76" s="22">
        <v>1</v>
      </c>
      <c r="B76" s="23"/>
      <c r="C76" s="23" t="s">
        <v>95</v>
      </c>
      <c r="D76" s="23"/>
      <c r="E76" s="27"/>
      <c r="F76" s="25">
        <v>1707.181874396</v>
      </c>
      <c r="G76" s="26">
        <v>4.8774199999999997E-2</v>
      </c>
      <c r="H76" s="16">
        <v>6.24</v>
      </c>
    </row>
    <row r="77" spans="1:8" x14ac:dyDescent="0.2">
      <c r="A77" s="14"/>
      <c r="B77" s="14"/>
      <c r="C77" s="15" t="s">
        <v>11</v>
      </c>
      <c r="D77" s="14"/>
      <c r="E77" s="14" t="s">
        <v>12</v>
      </c>
      <c r="F77" s="21">
        <v>1707.181874396</v>
      </c>
      <c r="G77" s="18">
        <v>4.8774199999999997E-2</v>
      </c>
      <c r="H77" s="16" t="s">
        <v>12</v>
      </c>
    </row>
    <row r="78" spans="1:8" x14ac:dyDescent="0.2">
      <c r="A78" s="14"/>
      <c r="B78" s="14"/>
      <c r="C78" s="19"/>
      <c r="D78" s="14"/>
      <c r="E78" s="14"/>
      <c r="F78" s="20"/>
      <c r="G78" s="20"/>
      <c r="H78" s="16" t="s">
        <v>12</v>
      </c>
    </row>
    <row r="79" spans="1:8" x14ac:dyDescent="0.2">
      <c r="A79" s="14"/>
      <c r="B79" s="14"/>
      <c r="C79" s="15" t="s">
        <v>96</v>
      </c>
      <c r="D79" s="14"/>
      <c r="E79" s="14"/>
      <c r="F79" s="21">
        <v>2175.334874396</v>
      </c>
      <c r="G79" s="18">
        <v>6.2149339999999997E-2</v>
      </c>
      <c r="H79" s="16" t="s">
        <v>12</v>
      </c>
    </row>
    <row r="80" spans="1:8" x14ac:dyDescent="0.2">
      <c r="A80" s="14"/>
      <c r="B80" s="14"/>
      <c r="C80" s="20"/>
      <c r="D80" s="14"/>
      <c r="E80" s="14"/>
      <c r="F80" s="14"/>
      <c r="G80" s="14"/>
      <c r="H80" s="16" t="s">
        <v>12</v>
      </c>
    </row>
    <row r="81" spans="1:17" x14ac:dyDescent="0.2">
      <c r="A81" s="14"/>
      <c r="B81" s="14"/>
      <c r="C81" s="15" t="s">
        <v>97</v>
      </c>
      <c r="D81" s="14"/>
      <c r="E81" s="14"/>
      <c r="F81" s="14"/>
      <c r="G81" s="14"/>
      <c r="H81" s="16" t="s">
        <v>12</v>
      </c>
    </row>
    <row r="82" spans="1:17" x14ac:dyDescent="0.2">
      <c r="A82" s="14"/>
      <c r="B82" s="14"/>
      <c r="C82" s="15" t="s">
        <v>98</v>
      </c>
      <c r="D82" s="14"/>
      <c r="E82" s="14"/>
      <c r="F82" s="14"/>
      <c r="G82" s="14"/>
      <c r="H82" s="16" t="s">
        <v>12</v>
      </c>
    </row>
    <row r="83" spans="1:17" x14ac:dyDescent="0.2">
      <c r="A83" s="14"/>
      <c r="B83" s="14"/>
      <c r="C83" s="15" t="s">
        <v>11</v>
      </c>
      <c r="D83" s="14"/>
      <c r="E83" s="14" t="s">
        <v>12</v>
      </c>
      <c r="F83" s="17" t="s">
        <v>13</v>
      </c>
      <c r="G83" s="18">
        <v>0</v>
      </c>
      <c r="H83" s="16" t="s">
        <v>12</v>
      </c>
    </row>
    <row r="84" spans="1:17" x14ac:dyDescent="0.2">
      <c r="A84" s="28"/>
      <c r="B84" s="28"/>
      <c r="C84" s="29"/>
      <c r="D84" s="28"/>
      <c r="E84" s="28"/>
      <c r="F84" s="30"/>
      <c r="G84" s="30"/>
      <c r="H84" s="16" t="s">
        <v>12</v>
      </c>
    </row>
    <row r="85" spans="1:17" ht="25.5" x14ac:dyDescent="0.2">
      <c r="A85" s="28"/>
      <c r="B85" s="28"/>
      <c r="C85" s="32" t="s">
        <v>541</v>
      </c>
      <c r="D85" s="28"/>
      <c r="E85" s="28"/>
      <c r="F85" s="30"/>
      <c r="G85" s="30"/>
      <c r="H85" s="16" t="s">
        <v>12</v>
      </c>
      <c r="K85" s="34"/>
      <c r="L85" s="34"/>
      <c r="M85" s="34"/>
      <c r="N85" s="34"/>
      <c r="O85" s="35"/>
      <c r="P85" s="35"/>
      <c r="Q85" s="35"/>
    </row>
    <row r="86" spans="1:17" ht="25.5" x14ac:dyDescent="0.2">
      <c r="A86" s="36">
        <v>1</v>
      </c>
      <c r="B86" s="37" t="s">
        <v>99</v>
      </c>
      <c r="C86" s="37" t="s">
        <v>100</v>
      </c>
      <c r="D86" s="37"/>
      <c r="E86" s="38">
        <v>1138.2429999999999</v>
      </c>
      <c r="F86" s="33">
        <v>125.155463535</v>
      </c>
      <c r="G86" s="39">
        <v>3.5756899999999999E-3</v>
      </c>
      <c r="H86" s="16"/>
    </row>
    <row r="87" spans="1:17" x14ac:dyDescent="0.2">
      <c r="A87" s="28"/>
      <c r="B87" s="28"/>
      <c r="C87" s="32" t="s">
        <v>11</v>
      </c>
      <c r="D87" s="28"/>
      <c r="E87" s="28" t="s">
        <v>12</v>
      </c>
      <c r="F87" s="40">
        <f>SUM(F86)</f>
        <v>125.155463535</v>
      </c>
      <c r="G87" s="41">
        <f>SUM(G86)</f>
        <v>3.5756899999999999E-3</v>
      </c>
      <c r="H87" s="16" t="s">
        <v>12</v>
      </c>
    </row>
    <row r="88" spans="1:17" x14ac:dyDescent="0.2">
      <c r="A88" s="14"/>
      <c r="B88" s="14"/>
      <c r="C88" s="19"/>
      <c r="D88" s="14"/>
      <c r="E88" s="14"/>
      <c r="F88" s="20"/>
      <c r="G88" s="20"/>
      <c r="H88" s="16" t="s">
        <v>12</v>
      </c>
    </row>
    <row r="89" spans="1:17" x14ac:dyDescent="0.2">
      <c r="A89" s="14"/>
      <c r="B89" s="14"/>
      <c r="C89" s="15" t="s">
        <v>101</v>
      </c>
      <c r="D89" s="14"/>
      <c r="E89" s="14"/>
      <c r="F89" s="14"/>
      <c r="G89" s="14"/>
      <c r="H89" s="16" t="s">
        <v>12</v>
      </c>
    </row>
    <row r="90" spans="1:17" x14ac:dyDescent="0.2">
      <c r="A90" s="14"/>
      <c r="B90" s="14"/>
      <c r="C90" s="15" t="s">
        <v>102</v>
      </c>
      <c r="D90" s="14"/>
      <c r="E90" s="14"/>
      <c r="F90" s="14"/>
      <c r="G90" s="14"/>
      <c r="H90" s="16" t="s">
        <v>12</v>
      </c>
    </row>
    <row r="91" spans="1:17" x14ac:dyDescent="0.2">
      <c r="A91" s="14"/>
      <c r="B91" s="14"/>
      <c r="C91" s="15" t="s">
        <v>11</v>
      </c>
      <c r="D91" s="14"/>
      <c r="E91" s="14" t="s">
        <v>12</v>
      </c>
      <c r="F91" s="17" t="s">
        <v>13</v>
      </c>
      <c r="G91" s="18">
        <v>0</v>
      </c>
      <c r="H91" s="16" t="s">
        <v>12</v>
      </c>
    </row>
    <row r="92" spans="1:17" x14ac:dyDescent="0.2">
      <c r="A92" s="14"/>
      <c r="B92" s="14"/>
      <c r="C92" s="19"/>
      <c r="D92" s="14"/>
      <c r="E92" s="14"/>
      <c r="F92" s="20"/>
      <c r="G92" s="20"/>
      <c r="H92" s="16" t="s">
        <v>12</v>
      </c>
    </row>
    <row r="93" spans="1:17" ht="25.5" x14ac:dyDescent="0.2">
      <c r="A93" s="14"/>
      <c r="B93" s="14"/>
      <c r="C93" s="15" t="s">
        <v>103</v>
      </c>
      <c r="D93" s="14"/>
      <c r="E93" s="14"/>
      <c r="F93" s="20"/>
      <c r="G93" s="20"/>
      <c r="H93" s="16" t="s">
        <v>12</v>
      </c>
    </row>
    <row r="94" spans="1:17" x14ac:dyDescent="0.2">
      <c r="A94" s="14"/>
      <c r="B94" s="14"/>
      <c r="C94" s="15" t="s">
        <v>11</v>
      </c>
      <c r="D94" s="14"/>
      <c r="E94" s="14" t="s">
        <v>12</v>
      </c>
      <c r="F94" s="17" t="s">
        <v>13</v>
      </c>
      <c r="G94" s="18">
        <v>0</v>
      </c>
      <c r="H94" s="16" t="s">
        <v>12</v>
      </c>
    </row>
    <row r="95" spans="1:17" x14ac:dyDescent="0.2">
      <c r="A95" s="14"/>
      <c r="B95" s="14"/>
      <c r="C95" s="19"/>
      <c r="D95" s="14"/>
      <c r="E95" s="14"/>
      <c r="F95" s="20"/>
      <c r="G95" s="20"/>
      <c r="H95" s="16" t="s">
        <v>12</v>
      </c>
    </row>
    <row r="96" spans="1:17" x14ac:dyDescent="0.2">
      <c r="A96" s="27"/>
      <c r="B96" s="23"/>
      <c r="C96" s="23" t="s">
        <v>104</v>
      </c>
      <c r="D96" s="23"/>
      <c r="E96" s="27"/>
      <c r="F96" s="25">
        <f>775.64956274-0.000277210998535156</f>
        <v>775.64928552900142</v>
      </c>
      <c r="G96" s="26">
        <v>2.2160320000000001E-2</v>
      </c>
      <c r="H96" s="16" t="s">
        <v>12</v>
      </c>
    </row>
    <row r="97" spans="1:8" x14ac:dyDescent="0.2">
      <c r="A97" s="19"/>
      <c r="B97" s="19"/>
      <c r="C97" s="15" t="s">
        <v>105</v>
      </c>
      <c r="D97" s="20"/>
      <c r="E97" s="20"/>
      <c r="F97" s="21">
        <f>35001.737150671-0.000277210998535156</f>
        <v>35001.736873459995</v>
      </c>
      <c r="G97" s="42">
        <v>1</v>
      </c>
      <c r="H97" s="16" t="s">
        <v>12</v>
      </c>
    </row>
    <row r="98" spans="1:8" x14ac:dyDescent="0.2">
      <c r="A98" s="43"/>
      <c r="B98" s="43"/>
      <c r="C98" s="43"/>
      <c r="D98" s="44"/>
      <c r="E98" s="44"/>
      <c r="F98" s="44"/>
      <c r="G98" s="44"/>
    </row>
    <row r="99" spans="1:8" x14ac:dyDescent="0.2">
      <c r="A99" s="45"/>
      <c r="B99" s="164" t="s">
        <v>542</v>
      </c>
      <c r="C99" s="164"/>
      <c r="D99" s="164"/>
      <c r="E99" s="164"/>
      <c r="F99" s="164"/>
      <c r="G99" s="164"/>
      <c r="H99" s="164"/>
    </row>
    <row r="100" spans="1:8" x14ac:dyDescent="0.2">
      <c r="A100" s="45"/>
      <c r="B100" s="164" t="s">
        <v>543</v>
      </c>
      <c r="C100" s="164"/>
      <c r="D100" s="164"/>
      <c r="E100" s="164"/>
      <c r="F100" s="164"/>
      <c r="G100" s="164"/>
      <c r="H100" s="164"/>
    </row>
    <row r="101" spans="1:8" x14ac:dyDescent="0.2">
      <c r="A101" s="45"/>
      <c r="B101" s="164" t="s">
        <v>544</v>
      </c>
      <c r="C101" s="164"/>
      <c r="D101" s="164"/>
      <c r="E101" s="164"/>
      <c r="F101" s="164"/>
      <c r="G101" s="164"/>
      <c r="H101" s="164"/>
    </row>
    <row r="102" spans="1:8" x14ac:dyDescent="0.2">
      <c r="A102" s="47"/>
      <c r="B102" s="47"/>
      <c r="C102" s="47"/>
      <c r="D102" s="48"/>
      <c r="E102" s="48"/>
      <c r="F102" s="48"/>
      <c r="G102" s="48"/>
    </row>
    <row r="103" spans="1:8" x14ac:dyDescent="0.2">
      <c r="A103" s="47"/>
      <c r="B103" s="157" t="s">
        <v>106</v>
      </c>
      <c r="C103" s="158"/>
      <c r="D103" s="159"/>
      <c r="E103" s="49"/>
      <c r="F103" s="48"/>
      <c r="G103" s="48"/>
    </row>
    <row r="104" spans="1:8" x14ac:dyDescent="0.2">
      <c r="A104" s="47"/>
      <c r="B104" s="160" t="s">
        <v>107</v>
      </c>
      <c r="C104" s="161"/>
      <c r="D104" s="15" t="s">
        <v>108</v>
      </c>
      <c r="E104" s="49"/>
      <c r="F104" s="48"/>
      <c r="G104" s="48"/>
    </row>
    <row r="105" spans="1:8" x14ac:dyDescent="0.2">
      <c r="A105" s="47"/>
      <c r="B105" s="160" t="s">
        <v>109</v>
      </c>
      <c r="C105" s="161"/>
      <c r="D105" s="15" t="s">
        <v>108</v>
      </c>
      <c r="E105" s="49"/>
      <c r="F105" s="48"/>
      <c r="G105" s="48"/>
    </row>
    <row r="106" spans="1:8" x14ac:dyDescent="0.2">
      <c r="A106" s="47"/>
      <c r="B106" s="160" t="s">
        <v>110</v>
      </c>
      <c r="C106" s="161"/>
      <c r="D106" s="20" t="s">
        <v>12</v>
      </c>
      <c r="E106" s="49"/>
      <c r="F106" s="48"/>
      <c r="G106" s="48"/>
    </row>
    <row r="107" spans="1:8" x14ac:dyDescent="0.2">
      <c r="A107" s="50"/>
      <c r="B107" s="51" t="s">
        <v>12</v>
      </c>
      <c r="C107" s="51" t="s">
        <v>545</v>
      </c>
      <c r="D107" s="51" t="s">
        <v>111</v>
      </c>
      <c r="E107" s="50"/>
      <c r="F107" s="50"/>
      <c r="G107" s="50"/>
    </row>
    <row r="108" spans="1:8" x14ac:dyDescent="0.2">
      <c r="A108" s="50"/>
      <c r="B108" s="52" t="s">
        <v>112</v>
      </c>
      <c r="C108" s="53">
        <v>45716</v>
      </c>
      <c r="D108" s="53">
        <v>45731</v>
      </c>
      <c r="E108" s="50"/>
      <c r="F108" s="50"/>
      <c r="G108" s="50"/>
    </row>
    <row r="109" spans="1:8" x14ac:dyDescent="0.2">
      <c r="A109" s="54"/>
      <c r="B109" s="23" t="s">
        <v>113</v>
      </c>
      <c r="C109" s="55">
        <v>42.1419</v>
      </c>
      <c r="D109" s="55">
        <v>42.287999999999997</v>
      </c>
      <c r="E109" s="54"/>
      <c r="F109" s="56"/>
      <c r="G109" s="57"/>
    </row>
    <row r="110" spans="1:8" x14ac:dyDescent="0.2">
      <c r="A110" s="54"/>
      <c r="B110" s="23" t="s">
        <v>144</v>
      </c>
      <c r="C110" s="55">
        <v>21.0823</v>
      </c>
      <c r="D110" s="55">
        <v>21.1553</v>
      </c>
      <c r="E110" s="54"/>
      <c r="F110" s="56"/>
      <c r="G110" s="57"/>
    </row>
    <row r="111" spans="1:8" ht="25.5" x14ac:dyDescent="0.2">
      <c r="A111" s="54"/>
      <c r="B111" s="23" t="s">
        <v>651</v>
      </c>
      <c r="C111" s="55">
        <v>11.5169</v>
      </c>
      <c r="D111" s="55">
        <v>11.556800000000001</v>
      </c>
      <c r="E111" s="54"/>
      <c r="F111" s="56"/>
      <c r="G111" s="57"/>
    </row>
    <row r="112" spans="1:8" x14ac:dyDescent="0.2">
      <c r="A112" s="54"/>
      <c r="B112" s="23" t="s">
        <v>114</v>
      </c>
      <c r="C112" s="55">
        <v>41.572000000000003</v>
      </c>
      <c r="D112" s="55">
        <v>41.7136</v>
      </c>
      <c r="E112" s="54"/>
      <c r="F112" s="56"/>
      <c r="G112" s="57"/>
    </row>
    <row r="113" spans="1:15" x14ac:dyDescent="0.2">
      <c r="A113" s="54"/>
      <c r="B113" s="23" t="s">
        <v>145</v>
      </c>
      <c r="C113" s="55">
        <v>20.9636</v>
      </c>
      <c r="D113" s="55">
        <v>21.035</v>
      </c>
      <c r="E113" s="54"/>
      <c r="F113" s="56"/>
      <c r="G113" s="57"/>
    </row>
    <row r="114" spans="1:15" ht="25.5" x14ac:dyDescent="0.2">
      <c r="A114" s="54"/>
      <c r="B114" s="23" t="s">
        <v>655</v>
      </c>
      <c r="C114" s="55">
        <v>11.5693</v>
      </c>
      <c r="D114" s="55">
        <v>11.608700000000001</v>
      </c>
      <c r="E114" s="54"/>
      <c r="F114" s="56"/>
      <c r="G114" s="57"/>
    </row>
    <row r="115" spans="1:15" x14ac:dyDescent="0.2">
      <c r="A115" s="54"/>
      <c r="B115" s="54"/>
      <c r="C115" s="54"/>
      <c r="D115" s="54"/>
      <c r="E115" s="54"/>
      <c r="F115" s="54"/>
      <c r="G115" s="54"/>
    </row>
    <row r="116" spans="1:15" x14ac:dyDescent="0.2">
      <c r="A116" s="54"/>
      <c r="B116" s="160" t="s">
        <v>622</v>
      </c>
      <c r="C116" s="161"/>
      <c r="D116" s="32" t="s">
        <v>108</v>
      </c>
      <c r="E116" s="54"/>
      <c r="F116" s="54"/>
      <c r="G116" s="54"/>
    </row>
    <row r="117" spans="1:15" x14ac:dyDescent="0.2">
      <c r="A117" s="54"/>
      <c r="B117" s="64"/>
      <c r="C117" s="64"/>
      <c r="D117" s="64"/>
      <c r="E117" s="54"/>
      <c r="F117" s="54"/>
      <c r="G117" s="54"/>
    </row>
    <row r="118" spans="1:15" s="65" customFormat="1" x14ac:dyDescent="0.2">
      <c r="A118" s="75"/>
      <c r="B118" s="162" t="s">
        <v>558</v>
      </c>
      <c r="C118" s="163"/>
      <c r="D118" s="32" t="s">
        <v>108</v>
      </c>
      <c r="E118" s="75"/>
      <c r="F118" s="46"/>
      <c r="G118" s="75"/>
      <c r="I118"/>
      <c r="J118"/>
      <c r="K118" s="34"/>
      <c r="L118" s="34"/>
      <c r="M118" s="34"/>
      <c r="N118" s="34"/>
      <c r="O118" s="71"/>
    </row>
    <row r="119" spans="1:15" x14ac:dyDescent="0.2">
      <c r="A119" s="50"/>
      <c r="B119" s="162" t="s">
        <v>559</v>
      </c>
      <c r="C119" s="163"/>
      <c r="D119" s="32" t="s">
        <v>108</v>
      </c>
      <c r="E119" s="63"/>
      <c r="F119" s="50"/>
      <c r="G119" s="50"/>
    </row>
    <row r="120" spans="1:15" x14ac:dyDescent="0.2">
      <c r="A120" s="50"/>
      <c r="B120" s="162" t="s">
        <v>560</v>
      </c>
      <c r="C120" s="163"/>
      <c r="D120" s="32" t="s">
        <v>108</v>
      </c>
      <c r="E120" s="63"/>
      <c r="F120" s="50"/>
      <c r="G120" s="50"/>
    </row>
    <row r="121" spans="1:15" x14ac:dyDescent="0.2">
      <c r="A121" s="50"/>
      <c r="B121" s="162" t="s">
        <v>561</v>
      </c>
      <c r="C121" s="163"/>
      <c r="D121" s="32" t="s">
        <v>108</v>
      </c>
      <c r="E121" s="63"/>
      <c r="F121" s="50"/>
      <c r="G121" s="50"/>
    </row>
    <row r="122" spans="1:15" x14ac:dyDescent="0.2">
      <c r="A122" s="64"/>
      <c r="B122" s="64"/>
      <c r="C122" s="64"/>
      <c r="D122" s="64"/>
      <c r="E122" s="64"/>
      <c r="F122" s="64"/>
      <c r="G122" s="64"/>
    </row>
    <row r="123" spans="1:15" s="65" customFormat="1" x14ac:dyDescent="0.2">
      <c r="B123" s="165" t="s">
        <v>547</v>
      </c>
      <c r="C123" s="166"/>
      <c r="D123" s="167"/>
      <c r="I123"/>
      <c r="J123" s="76"/>
      <c r="K123" s="34"/>
      <c r="L123" s="34"/>
      <c r="M123" s="34"/>
      <c r="N123" s="34"/>
      <c r="O123" s="71"/>
    </row>
    <row r="124" spans="1:15" s="65" customFormat="1" ht="38.25" x14ac:dyDescent="0.2">
      <c r="B124" s="155" t="s">
        <v>548</v>
      </c>
      <c r="C124" s="155"/>
      <c r="D124" s="66" t="s">
        <v>120</v>
      </c>
      <c r="I124"/>
      <c r="J124" s="76"/>
      <c r="K124" s="34"/>
      <c r="L124" s="34"/>
      <c r="M124" s="34"/>
      <c r="N124" s="34"/>
      <c r="O124" s="71"/>
    </row>
    <row r="125" spans="1:15" s="65" customFormat="1" x14ac:dyDescent="0.2">
      <c r="B125" s="168" t="s">
        <v>549</v>
      </c>
      <c r="C125" s="168"/>
      <c r="D125" s="67"/>
      <c r="I125"/>
      <c r="J125" s="76"/>
      <c r="K125" s="34"/>
      <c r="L125" s="34"/>
      <c r="M125" s="34"/>
      <c r="N125" s="34"/>
      <c r="O125" s="71"/>
    </row>
    <row r="126" spans="1:15" s="65" customFormat="1" x14ac:dyDescent="0.2">
      <c r="B126" s="168"/>
      <c r="C126" s="168"/>
      <c r="D126" s="68"/>
      <c r="I126"/>
      <c r="J126"/>
      <c r="K126" s="34"/>
      <c r="L126" s="34"/>
      <c r="M126" s="34"/>
      <c r="N126" s="34"/>
      <c r="O126" s="71"/>
    </row>
    <row r="127" spans="1:15" s="65" customFormat="1" x14ac:dyDescent="0.2">
      <c r="B127" s="168" t="s">
        <v>550</v>
      </c>
      <c r="C127" s="168"/>
      <c r="D127" s="69">
        <v>7.3</v>
      </c>
      <c r="I127"/>
      <c r="J127"/>
      <c r="K127" s="34"/>
      <c r="L127" s="34"/>
      <c r="M127" s="34"/>
      <c r="N127" s="34"/>
      <c r="O127" s="71"/>
    </row>
    <row r="128" spans="1:15" s="65" customFormat="1" x14ac:dyDescent="0.2">
      <c r="B128" s="168"/>
      <c r="C128" s="168"/>
      <c r="D128" s="68"/>
      <c r="I128"/>
      <c r="J128" s="76"/>
      <c r="K128" s="34"/>
      <c r="L128" s="34"/>
      <c r="M128" s="34"/>
      <c r="N128" s="34"/>
      <c r="O128" s="71"/>
    </row>
    <row r="129" spans="2:18" s="65" customFormat="1" x14ac:dyDescent="0.2">
      <c r="B129" s="168" t="s">
        <v>551</v>
      </c>
      <c r="C129" s="168"/>
      <c r="D129" s="69">
        <v>3.6814193728662921</v>
      </c>
      <c r="I129"/>
      <c r="J129" s="76"/>
      <c r="K129" s="34"/>
      <c r="L129" s="34"/>
      <c r="M129" s="34"/>
      <c r="N129" s="34"/>
      <c r="O129" s="71"/>
    </row>
    <row r="130" spans="2:18" s="65" customFormat="1" x14ac:dyDescent="0.2">
      <c r="B130" s="168" t="s">
        <v>552</v>
      </c>
      <c r="C130" s="168"/>
      <c r="D130" s="69">
        <v>5.3262821533340539</v>
      </c>
      <c r="I130"/>
      <c r="J130" s="76"/>
      <c r="K130" s="34"/>
      <c r="L130" s="34"/>
      <c r="M130" s="34"/>
      <c r="N130" s="34"/>
      <c r="O130" s="71"/>
    </row>
    <row r="131" spans="2:18" s="65" customFormat="1" x14ac:dyDescent="0.2">
      <c r="B131" s="168"/>
      <c r="C131" s="168"/>
      <c r="D131" s="68"/>
      <c r="I131"/>
      <c r="J131" s="76"/>
      <c r="K131" s="34"/>
      <c r="L131" s="34"/>
      <c r="M131" s="34"/>
      <c r="N131" s="34"/>
      <c r="O131" s="71"/>
      <c r="R131"/>
    </row>
    <row r="132" spans="2:18" s="65" customFormat="1" x14ac:dyDescent="0.2">
      <c r="B132" s="168" t="s">
        <v>553</v>
      </c>
      <c r="C132" s="168"/>
      <c r="D132" s="70" t="s">
        <v>645</v>
      </c>
      <c r="I132"/>
      <c r="J132" s="76"/>
      <c r="K132" s="34"/>
      <c r="L132" s="34"/>
      <c r="M132" s="34"/>
      <c r="N132" s="34"/>
      <c r="O132" s="71"/>
    </row>
    <row r="133" spans="2:18" s="65" customFormat="1" x14ac:dyDescent="0.2">
      <c r="B133" s="169" t="s">
        <v>554</v>
      </c>
      <c r="C133" s="171"/>
      <c r="D133" s="170"/>
      <c r="I133"/>
      <c r="J133" s="76"/>
      <c r="K133" s="34"/>
      <c r="L133" s="34"/>
      <c r="M133" s="34"/>
      <c r="N133" s="34"/>
      <c r="O133" s="71"/>
      <c r="R133"/>
    </row>
    <row r="134" spans="2:18" x14ac:dyDescent="0.2">
      <c r="J134" s="76"/>
    </row>
    <row r="135" spans="2:18" x14ac:dyDescent="0.2">
      <c r="B135" s="72" t="s">
        <v>555</v>
      </c>
    </row>
    <row r="137" spans="2:18" ht="153.75" customHeight="1" x14ac:dyDescent="0.2"/>
    <row r="140" spans="2:18" x14ac:dyDescent="0.2">
      <c r="B140" s="73" t="s">
        <v>556</v>
      </c>
      <c r="C140" s="74"/>
      <c r="D140" s="73"/>
    </row>
    <row r="141" spans="2:18" x14ac:dyDescent="0.2">
      <c r="B141" s="73" t="s">
        <v>562</v>
      </c>
      <c r="D141" s="73"/>
    </row>
    <row r="142" spans="2:18" ht="165" customHeight="1" x14ac:dyDescent="0.2"/>
    <row r="143" spans="2:18" x14ac:dyDescent="0.2">
      <c r="J143" s="76"/>
    </row>
    <row r="144" spans="2:18" x14ac:dyDescent="0.2">
      <c r="J144" s="76"/>
    </row>
    <row r="145" spans="10:10" x14ac:dyDescent="0.2">
      <c r="J145" s="76"/>
    </row>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sheetData>
  <mergeCells count="26">
    <mergeCell ref="B121:C121"/>
    <mergeCell ref="B124:C124"/>
    <mergeCell ref="B125:C125"/>
    <mergeCell ref="B123:D123"/>
    <mergeCell ref="B131:C131"/>
    <mergeCell ref="B132:C132"/>
    <mergeCell ref="B133:D133"/>
    <mergeCell ref="B126:C126"/>
    <mergeCell ref="B127:C127"/>
    <mergeCell ref="B128:C128"/>
    <mergeCell ref="B129:C129"/>
    <mergeCell ref="B130:C130"/>
    <mergeCell ref="A1:H1"/>
    <mergeCell ref="A2:H2"/>
    <mergeCell ref="A3:H3"/>
    <mergeCell ref="B103:D103"/>
    <mergeCell ref="B104:C104"/>
    <mergeCell ref="B105:C105"/>
    <mergeCell ref="B106:C106"/>
    <mergeCell ref="B116:C116"/>
    <mergeCell ref="B120:C120"/>
    <mergeCell ref="B99:H99"/>
    <mergeCell ref="B100:H100"/>
    <mergeCell ref="B101:H101"/>
    <mergeCell ref="B118:C118"/>
    <mergeCell ref="B119:C119"/>
  </mergeCells>
  <hyperlinks>
    <hyperlink ref="I1" location="Index!B2" display="Index" xr:uid="{78767CC5-DF87-4C93-A591-1AB70CADD7E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4CEEB-8B14-49F5-999E-3497E9A1044A}">
  <sheetPr>
    <outlinePr summaryBelow="0" summaryRight="0"/>
  </sheetPr>
  <dimension ref="A1:Q177"/>
  <sheetViews>
    <sheetView showGridLines="0" workbookViewId="0">
      <selection sqref="A1:H1"/>
    </sheetView>
  </sheetViews>
  <sheetFormatPr defaultRowHeight="12.75" x14ac:dyDescent="0.2"/>
  <cols>
    <col min="1" max="1" width="5.85546875" bestFit="1" customWidth="1"/>
    <col min="2" max="2" width="20.28515625" bestFit="1" customWidth="1"/>
    <col min="3" max="3" width="34.140625" bestFit="1" customWidth="1"/>
    <col min="4" max="4" width="12.42578125" customWidth="1"/>
    <col min="5" max="5" width="9.42578125" bestFit="1" customWidth="1"/>
    <col min="6" max="6" width="10.140625" bestFit="1" customWidth="1"/>
    <col min="7" max="7" width="14" bestFit="1" customWidth="1"/>
    <col min="8" max="8" width="10.7109375" customWidth="1"/>
  </cols>
  <sheetData>
    <row r="1" spans="1:9" ht="15" x14ac:dyDescent="0.2">
      <c r="A1" s="156" t="s">
        <v>0</v>
      </c>
      <c r="B1" s="156"/>
      <c r="C1" s="156"/>
      <c r="D1" s="156"/>
      <c r="E1" s="156"/>
      <c r="F1" s="156"/>
      <c r="G1" s="156"/>
      <c r="H1" s="156"/>
      <c r="I1" s="9" t="s">
        <v>658</v>
      </c>
    </row>
    <row r="2" spans="1:9" ht="15" x14ac:dyDescent="0.2">
      <c r="A2" s="156" t="s">
        <v>146</v>
      </c>
      <c r="B2" s="156"/>
      <c r="C2" s="156"/>
      <c r="D2" s="156"/>
      <c r="E2" s="156"/>
      <c r="F2" s="156"/>
      <c r="G2" s="156"/>
      <c r="H2" s="156"/>
    </row>
    <row r="3" spans="1:9" ht="15" x14ac:dyDescent="0.2">
      <c r="A3" s="156" t="s">
        <v>563</v>
      </c>
      <c r="B3" s="156"/>
      <c r="C3" s="156"/>
      <c r="D3" s="156"/>
      <c r="E3" s="156"/>
      <c r="F3" s="156"/>
      <c r="G3" s="156"/>
      <c r="H3" s="156"/>
    </row>
    <row r="4" spans="1:9" s="13" customFormat="1" ht="30" x14ac:dyDescent="0.2">
      <c r="A4" s="11" t="s">
        <v>2</v>
      </c>
      <c r="B4" s="11" t="s">
        <v>3</v>
      </c>
      <c r="C4" s="11" t="s">
        <v>4</v>
      </c>
      <c r="D4" s="11" t="s">
        <v>5</v>
      </c>
      <c r="E4" s="11" t="s">
        <v>6</v>
      </c>
      <c r="F4" s="11" t="s">
        <v>7</v>
      </c>
      <c r="G4" s="11" t="s">
        <v>8</v>
      </c>
      <c r="H4" s="12" t="s">
        <v>641</v>
      </c>
    </row>
    <row r="5" spans="1:9" x14ac:dyDescent="0.2">
      <c r="A5" s="14"/>
      <c r="B5" s="14"/>
      <c r="C5" s="15" t="s">
        <v>9</v>
      </c>
      <c r="D5" s="14"/>
      <c r="E5" s="14"/>
      <c r="F5" s="14"/>
      <c r="G5" s="14"/>
      <c r="H5" s="16" t="s">
        <v>12</v>
      </c>
    </row>
    <row r="6" spans="1:9" ht="25.5" x14ac:dyDescent="0.2">
      <c r="A6" s="14"/>
      <c r="B6" s="14"/>
      <c r="C6" s="15" t="s">
        <v>10</v>
      </c>
      <c r="D6" s="14"/>
      <c r="E6" s="14"/>
      <c r="F6" s="14"/>
      <c r="G6" s="14"/>
      <c r="H6" s="16" t="s">
        <v>12</v>
      </c>
    </row>
    <row r="7" spans="1:9" x14ac:dyDescent="0.2">
      <c r="A7" s="14"/>
      <c r="B7" s="14"/>
      <c r="C7" s="15" t="s">
        <v>11</v>
      </c>
      <c r="D7" s="14"/>
      <c r="E7" s="14" t="s">
        <v>12</v>
      </c>
      <c r="F7" s="17" t="s">
        <v>13</v>
      </c>
      <c r="G7" s="18">
        <v>0</v>
      </c>
      <c r="H7" s="16" t="s">
        <v>12</v>
      </c>
    </row>
    <row r="8" spans="1:9" x14ac:dyDescent="0.2">
      <c r="A8" s="14"/>
      <c r="B8" s="14"/>
      <c r="C8" s="19"/>
      <c r="D8" s="14"/>
      <c r="E8" s="14"/>
      <c r="F8" s="20"/>
      <c r="G8" s="20"/>
      <c r="H8" s="16" t="s">
        <v>12</v>
      </c>
    </row>
    <row r="9" spans="1:9" x14ac:dyDescent="0.2">
      <c r="A9" s="14"/>
      <c r="B9" s="14"/>
      <c r="C9" s="15" t="s">
        <v>14</v>
      </c>
      <c r="D9" s="14"/>
      <c r="E9" s="14"/>
      <c r="F9" s="14"/>
      <c r="G9" s="14"/>
      <c r="H9" s="16" t="s">
        <v>12</v>
      </c>
    </row>
    <row r="10" spans="1:9" x14ac:dyDescent="0.2">
      <c r="A10" s="14"/>
      <c r="B10" s="14"/>
      <c r="C10" s="15" t="s">
        <v>11</v>
      </c>
      <c r="D10" s="14"/>
      <c r="E10" s="14" t="s">
        <v>12</v>
      </c>
      <c r="F10" s="17" t="s">
        <v>13</v>
      </c>
      <c r="G10" s="18">
        <v>0</v>
      </c>
      <c r="H10" s="16" t="s">
        <v>12</v>
      </c>
    </row>
    <row r="11" spans="1:9" x14ac:dyDescent="0.2">
      <c r="A11" s="14"/>
      <c r="B11" s="14"/>
      <c r="C11" s="19"/>
      <c r="D11" s="14"/>
      <c r="E11" s="14"/>
      <c r="F11" s="20"/>
      <c r="G11" s="20"/>
      <c r="H11" s="16" t="s">
        <v>12</v>
      </c>
    </row>
    <row r="12" spans="1:9" x14ac:dyDescent="0.2">
      <c r="A12" s="14"/>
      <c r="B12" s="14"/>
      <c r="C12" s="15" t="s">
        <v>15</v>
      </c>
      <c r="D12" s="14"/>
      <c r="E12" s="14"/>
      <c r="F12" s="14"/>
      <c r="G12" s="14"/>
      <c r="H12" s="16" t="s">
        <v>12</v>
      </c>
    </row>
    <row r="13" spans="1:9" x14ac:dyDescent="0.2">
      <c r="A13" s="14"/>
      <c r="B13" s="14"/>
      <c r="C13" s="15" t="s">
        <v>11</v>
      </c>
      <c r="D13" s="14"/>
      <c r="E13" s="14" t="s">
        <v>12</v>
      </c>
      <c r="F13" s="17" t="s">
        <v>13</v>
      </c>
      <c r="G13" s="18">
        <v>0</v>
      </c>
      <c r="H13" s="16" t="s">
        <v>12</v>
      </c>
    </row>
    <row r="14" spans="1:9" x14ac:dyDescent="0.2">
      <c r="A14" s="14"/>
      <c r="B14" s="14"/>
      <c r="C14" s="19"/>
      <c r="D14" s="14"/>
      <c r="E14" s="14"/>
      <c r="F14" s="20"/>
      <c r="G14" s="20"/>
      <c r="H14" s="16" t="s">
        <v>12</v>
      </c>
    </row>
    <row r="15" spans="1:9" x14ac:dyDescent="0.2">
      <c r="A15" s="14"/>
      <c r="B15" s="14"/>
      <c r="C15" s="15" t="s">
        <v>16</v>
      </c>
      <c r="D15" s="14"/>
      <c r="E15" s="14"/>
      <c r="F15" s="14"/>
      <c r="G15" s="14"/>
      <c r="H15" s="16" t="s">
        <v>12</v>
      </c>
    </row>
    <row r="16" spans="1:9" x14ac:dyDescent="0.2">
      <c r="A16" s="14"/>
      <c r="B16" s="14"/>
      <c r="C16" s="15" t="s">
        <v>11</v>
      </c>
      <c r="D16" s="14"/>
      <c r="E16" s="14" t="s">
        <v>12</v>
      </c>
      <c r="F16" s="17" t="s">
        <v>13</v>
      </c>
      <c r="G16" s="18">
        <v>0</v>
      </c>
      <c r="H16" s="16" t="s">
        <v>12</v>
      </c>
    </row>
    <row r="17" spans="1:8" x14ac:dyDescent="0.2">
      <c r="A17" s="14"/>
      <c r="B17" s="14"/>
      <c r="C17" s="19"/>
      <c r="D17" s="14"/>
      <c r="E17" s="14"/>
      <c r="F17" s="20"/>
      <c r="G17" s="20"/>
      <c r="H17" s="16" t="s">
        <v>12</v>
      </c>
    </row>
    <row r="18" spans="1:8" x14ac:dyDescent="0.2">
      <c r="A18" s="14"/>
      <c r="B18" s="14"/>
      <c r="C18" s="15" t="s">
        <v>17</v>
      </c>
      <c r="D18" s="14"/>
      <c r="E18" s="14"/>
      <c r="F18" s="20"/>
      <c r="G18" s="20"/>
      <c r="H18" s="16" t="s">
        <v>12</v>
      </c>
    </row>
    <row r="19" spans="1:8" x14ac:dyDescent="0.2">
      <c r="A19" s="14"/>
      <c r="B19" s="14"/>
      <c r="C19" s="15" t="s">
        <v>11</v>
      </c>
      <c r="D19" s="14"/>
      <c r="E19" s="14" t="s">
        <v>12</v>
      </c>
      <c r="F19" s="17" t="s">
        <v>13</v>
      </c>
      <c r="G19" s="18">
        <v>0</v>
      </c>
      <c r="H19" s="16" t="s">
        <v>12</v>
      </c>
    </row>
    <row r="20" spans="1:8" x14ac:dyDescent="0.2">
      <c r="A20" s="14"/>
      <c r="B20" s="14"/>
      <c r="C20" s="19"/>
      <c r="D20" s="14"/>
      <c r="E20" s="14"/>
      <c r="F20" s="20"/>
      <c r="G20" s="20"/>
      <c r="H20" s="16" t="s">
        <v>12</v>
      </c>
    </row>
    <row r="21" spans="1:8" x14ac:dyDescent="0.2">
      <c r="A21" s="14"/>
      <c r="B21" s="14"/>
      <c r="C21" s="15" t="s">
        <v>18</v>
      </c>
      <c r="D21" s="14"/>
      <c r="E21" s="14"/>
      <c r="F21" s="20"/>
      <c r="G21" s="20"/>
      <c r="H21" s="16" t="s">
        <v>12</v>
      </c>
    </row>
    <row r="22" spans="1:8" x14ac:dyDescent="0.2">
      <c r="A22" s="14"/>
      <c r="B22" s="14"/>
      <c r="C22" s="15" t="s">
        <v>11</v>
      </c>
      <c r="D22" s="14"/>
      <c r="E22" s="14" t="s">
        <v>12</v>
      </c>
      <c r="F22" s="17" t="s">
        <v>13</v>
      </c>
      <c r="G22" s="18">
        <v>0</v>
      </c>
      <c r="H22" s="16" t="s">
        <v>12</v>
      </c>
    </row>
    <row r="23" spans="1:8" x14ac:dyDescent="0.2">
      <c r="A23" s="14"/>
      <c r="B23" s="14"/>
      <c r="C23" s="19"/>
      <c r="D23" s="14"/>
      <c r="E23" s="14"/>
      <c r="F23" s="20"/>
      <c r="G23" s="20"/>
      <c r="H23" s="16" t="s">
        <v>12</v>
      </c>
    </row>
    <row r="24" spans="1:8" x14ac:dyDescent="0.2">
      <c r="A24" s="14"/>
      <c r="B24" s="14"/>
      <c r="C24" s="15" t="s">
        <v>19</v>
      </c>
      <c r="D24" s="14"/>
      <c r="E24" s="14"/>
      <c r="F24" s="21">
        <v>0</v>
      </c>
      <c r="G24" s="18">
        <v>0</v>
      </c>
      <c r="H24" s="16" t="s">
        <v>12</v>
      </c>
    </row>
    <row r="25" spans="1:8" x14ac:dyDescent="0.2">
      <c r="A25" s="14"/>
      <c r="B25" s="14"/>
      <c r="C25" s="19"/>
      <c r="D25" s="14"/>
      <c r="E25" s="14"/>
      <c r="F25" s="20"/>
      <c r="G25" s="20"/>
      <c r="H25" s="16" t="s">
        <v>12</v>
      </c>
    </row>
    <row r="26" spans="1:8" x14ac:dyDescent="0.2">
      <c r="A26" s="14"/>
      <c r="B26" s="14"/>
      <c r="C26" s="15" t="s">
        <v>20</v>
      </c>
      <c r="D26" s="14"/>
      <c r="E26" s="14"/>
      <c r="F26" s="20"/>
      <c r="G26" s="20"/>
      <c r="H26" s="16" t="s">
        <v>12</v>
      </c>
    </row>
    <row r="27" spans="1:8" ht="25.5" x14ac:dyDescent="0.2">
      <c r="A27" s="14"/>
      <c r="B27" s="14"/>
      <c r="C27" s="15" t="s">
        <v>10</v>
      </c>
      <c r="D27" s="14"/>
      <c r="E27" s="14"/>
      <c r="F27" s="20"/>
      <c r="G27" s="20"/>
      <c r="H27" s="16" t="s">
        <v>12</v>
      </c>
    </row>
    <row r="28" spans="1:8" x14ac:dyDescent="0.2">
      <c r="A28" s="14"/>
      <c r="B28" s="14"/>
      <c r="C28" s="15" t="s">
        <v>11</v>
      </c>
      <c r="D28" s="14"/>
      <c r="E28" s="14" t="s">
        <v>12</v>
      </c>
      <c r="F28" s="17" t="s">
        <v>13</v>
      </c>
      <c r="G28" s="18">
        <v>0</v>
      </c>
      <c r="H28" s="16" t="s">
        <v>12</v>
      </c>
    </row>
    <row r="29" spans="1:8" x14ac:dyDescent="0.2">
      <c r="A29" s="14"/>
      <c r="B29" s="14"/>
      <c r="C29" s="19"/>
      <c r="D29" s="14"/>
      <c r="E29" s="14"/>
      <c r="F29" s="20"/>
      <c r="G29" s="20"/>
      <c r="H29" s="16" t="s">
        <v>12</v>
      </c>
    </row>
    <row r="30" spans="1:8" x14ac:dyDescent="0.2">
      <c r="A30" s="14"/>
      <c r="B30" s="14"/>
      <c r="C30" s="15" t="s">
        <v>71</v>
      </c>
      <c r="D30" s="14"/>
      <c r="E30" s="14"/>
      <c r="F30" s="14"/>
      <c r="G30" s="14"/>
      <c r="H30" s="16" t="s">
        <v>12</v>
      </c>
    </row>
    <row r="31" spans="1:8" x14ac:dyDescent="0.2">
      <c r="A31" s="14"/>
      <c r="B31" s="14"/>
      <c r="C31" s="15" t="s">
        <v>11</v>
      </c>
      <c r="D31" s="14"/>
      <c r="E31" s="14" t="s">
        <v>12</v>
      </c>
      <c r="F31" s="17" t="s">
        <v>13</v>
      </c>
      <c r="G31" s="18">
        <v>0</v>
      </c>
      <c r="H31" s="16" t="s">
        <v>12</v>
      </c>
    </row>
    <row r="32" spans="1:8" x14ac:dyDescent="0.2">
      <c r="A32" s="14"/>
      <c r="B32" s="14"/>
      <c r="C32" s="19"/>
      <c r="D32" s="14"/>
      <c r="E32" s="14"/>
      <c r="F32" s="20"/>
      <c r="G32" s="20"/>
      <c r="H32" s="16" t="s">
        <v>12</v>
      </c>
    </row>
    <row r="33" spans="1:8" x14ac:dyDescent="0.2">
      <c r="A33" s="14"/>
      <c r="B33" s="14"/>
      <c r="C33" s="15" t="s">
        <v>72</v>
      </c>
      <c r="D33" s="14"/>
      <c r="E33" s="14"/>
      <c r="F33" s="14"/>
      <c r="G33" s="14"/>
      <c r="H33" s="16" t="s">
        <v>12</v>
      </c>
    </row>
    <row r="34" spans="1:8" x14ac:dyDescent="0.2">
      <c r="A34" s="14"/>
      <c r="B34" s="14"/>
      <c r="C34" s="15" t="s">
        <v>11</v>
      </c>
      <c r="D34" s="14"/>
      <c r="E34" s="14" t="s">
        <v>12</v>
      </c>
      <c r="F34" s="17" t="s">
        <v>13</v>
      </c>
      <c r="G34" s="18">
        <v>0</v>
      </c>
      <c r="H34" s="16" t="s">
        <v>12</v>
      </c>
    </row>
    <row r="35" spans="1:8" x14ac:dyDescent="0.2">
      <c r="A35" s="14"/>
      <c r="B35" s="14"/>
      <c r="C35" s="19"/>
      <c r="D35" s="14"/>
      <c r="E35" s="14"/>
      <c r="F35" s="20"/>
      <c r="G35" s="20"/>
      <c r="H35" s="16" t="s">
        <v>12</v>
      </c>
    </row>
    <row r="36" spans="1:8" x14ac:dyDescent="0.2">
      <c r="A36" s="14"/>
      <c r="B36" s="14"/>
      <c r="C36" s="15" t="s">
        <v>88</v>
      </c>
      <c r="D36" s="14"/>
      <c r="E36" s="14"/>
      <c r="F36" s="20"/>
      <c r="G36" s="20"/>
      <c r="H36" s="16" t="s">
        <v>12</v>
      </c>
    </row>
    <row r="37" spans="1:8" x14ac:dyDescent="0.2">
      <c r="A37" s="14"/>
      <c r="B37" s="14"/>
      <c r="C37" s="15" t="s">
        <v>11</v>
      </c>
      <c r="D37" s="14"/>
      <c r="E37" s="14" t="s">
        <v>12</v>
      </c>
      <c r="F37" s="17" t="s">
        <v>13</v>
      </c>
      <c r="G37" s="18">
        <v>0</v>
      </c>
      <c r="H37" s="16" t="s">
        <v>12</v>
      </c>
    </row>
    <row r="38" spans="1:8" x14ac:dyDescent="0.2">
      <c r="A38" s="14"/>
      <c r="B38" s="14"/>
      <c r="C38" s="19"/>
      <c r="D38" s="14"/>
      <c r="E38" s="14"/>
      <c r="F38" s="20"/>
      <c r="G38" s="20"/>
      <c r="H38" s="16" t="s">
        <v>12</v>
      </c>
    </row>
    <row r="39" spans="1:8" x14ac:dyDescent="0.2">
      <c r="A39" s="14"/>
      <c r="B39" s="14"/>
      <c r="C39" s="15" t="s">
        <v>89</v>
      </c>
      <c r="D39" s="14"/>
      <c r="E39" s="14"/>
      <c r="F39" s="21">
        <v>0</v>
      </c>
      <c r="G39" s="18">
        <v>0</v>
      </c>
      <c r="H39" s="16" t="s">
        <v>12</v>
      </c>
    </row>
    <row r="40" spans="1:8" x14ac:dyDescent="0.2">
      <c r="A40" s="14"/>
      <c r="B40" s="14"/>
      <c r="C40" s="19"/>
      <c r="D40" s="14"/>
      <c r="E40" s="14"/>
      <c r="F40" s="20"/>
      <c r="G40" s="20"/>
      <c r="H40" s="16" t="s">
        <v>12</v>
      </c>
    </row>
    <row r="41" spans="1:8" x14ac:dyDescent="0.2">
      <c r="A41" s="14"/>
      <c r="B41" s="14"/>
      <c r="C41" s="15" t="s">
        <v>90</v>
      </c>
      <c r="D41" s="14"/>
      <c r="E41" s="14"/>
      <c r="F41" s="20"/>
      <c r="G41" s="20"/>
      <c r="H41" s="16" t="s">
        <v>12</v>
      </c>
    </row>
    <row r="42" spans="1:8" x14ac:dyDescent="0.2">
      <c r="A42" s="14"/>
      <c r="B42" s="14"/>
      <c r="C42" s="15" t="s">
        <v>91</v>
      </c>
      <c r="D42" s="14"/>
      <c r="E42" s="14"/>
      <c r="F42" s="20"/>
      <c r="G42" s="20"/>
      <c r="H42" s="16" t="s">
        <v>12</v>
      </c>
    </row>
    <row r="43" spans="1:8" ht="25.5" x14ac:dyDescent="0.2">
      <c r="A43" s="22">
        <v>1</v>
      </c>
      <c r="B43" s="23" t="s">
        <v>147</v>
      </c>
      <c r="C43" s="23" t="s">
        <v>148</v>
      </c>
      <c r="D43" s="23" t="s">
        <v>143</v>
      </c>
      <c r="E43" s="24">
        <v>800</v>
      </c>
      <c r="F43" s="25">
        <v>3727.752</v>
      </c>
      <c r="G43" s="26">
        <v>5.5198700000000003E-2</v>
      </c>
      <c r="H43" s="16">
        <v>7.66</v>
      </c>
    </row>
    <row r="44" spans="1:8" ht="25.5" x14ac:dyDescent="0.2">
      <c r="A44" s="22">
        <v>2</v>
      </c>
      <c r="B44" s="23" t="s">
        <v>149</v>
      </c>
      <c r="C44" s="23" t="s">
        <v>150</v>
      </c>
      <c r="D44" s="23" t="s">
        <v>143</v>
      </c>
      <c r="E44" s="24">
        <v>800</v>
      </c>
      <c r="F44" s="25">
        <v>3727.424</v>
      </c>
      <c r="G44" s="26">
        <v>5.5193840000000001E-2</v>
      </c>
      <c r="H44" s="16">
        <v>7.6700999999999997</v>
      </c>
    </row>
    <row r="45" spans="1:8" ht="25.5" x14ac:dyDescent="0.2">
      <c r="A45" s="22">
        <v>3</v>
      </c>
      <c r="B45" s="23" t="s">
        <v>151</v>
      </c>
      <c r="C45" s="23" t="s">
        <v>152</v>
      </c>
      <c r="D45" s="23" t="s">
        <v>143</v>
      </c>
      <c r="E45" s="24">
        <v>500</v>
      </c>
      <c r="F45" s="25">
        <v>2381.5524999999998</v>
      </c>
      <c r="G45" s="26">
        <v>3.526485E-2</v>
      </c>
      <c r="H45" s="16">
        <v>8.0325000000000006</v>
      </c>
    </row>
    <row r="46" spans="1:8" x14ac:dyDescent="0.2">
      <c r="A46" s="22">
        <v>4</v>
      </c>
      <c r="B46" s="23" t="s">
        <v>153</v>
      </c>
      <c r="C46" s="23" t="s">
        <v>154</v>
      </c>
      <c r="D46" s="23" t="s">
        <v>143</v>
      </c>
      <c r="E46" s="24">
        <v>500</v>
      </c>
      <c r="F46" s="25">
        <v>2371.4299999999998</v>
      </c>
      <c r="G46" s="26">
        <v>3.5114960000000001E-2</v>
      </c>
      <c r="H46" s="16">
        <v>7.7</v>
      </c>
    </row>
    <row r="47" spans="1:8" x14ac:dyDescent="0.2">
      <c r="A47" s="22">
        <v>5</v>
      </c>
      <c r="B47" s="23" t="s">
        <v>155</v>
      </c>
      <c r="C47" s="23" t="s">
        <v>156</v>
      </c>
      <c r="D47" s="23" t="s">
        <v>143</v>
      </c>
      <c r="E47" s="24">
        <v>500</v>
      </c>
      <c r="F47" s="25">
        <v>2371.0925000000002</v>
      </c>
      <c r="G47" s="26">
        <v>3.5109960000000003E-2</v>
      </c>
      <c r="H47" s="16">
        <v>7.8125</v>
      </c>
    </row>
    <row r="48" spans="1:8" ht="25.5" x14ac:dyDescent="0.2">
      <c r="A48" s="22">
        <v>6</v>
      </c>
      <c r="B48" s="23" t="s">
        <v>157</v>
      </c>
      <c r="C48" s="23" t="s">
        <v>158</v>
      </c>
      <c r="D48" s="23" t="s">
        <v>143</v>
      </c>
      <c r="E48" s="24">
        <v>500</v>
      </c>
      <c r="F48" s="25">
        <v>2367.83</v>
      </c>
      <c r="G48" s="26">
        <v>3.506165E-2</v>
      </c>
      <c r="H48" s="16">
        <v>7.7175000000000002</v>
      </c>
    </row>
    <row r="49" spans="1:8" x14ac:dyDescent="0.2">
      <c r="A49" s="22">
        <v>7</v>
      </c>
      <c r="B49" s="23" t="s">
        <v>159</v>
      </c>
      <c r="C49" s="23" t="s">
        <v>160</v>
      </c>
      <c r="D49" s="23" t="s">
        <v>143</v>
      </c>
      <c r="E49" s="24">
        <v>500</v>
      </c>
      <c r="F49" s="25">
        <v>2366.5324999999998</v>
      </c>
      <c r="G49" s="26">
        <v>3.5042440000000001E-2</v>
      </c>
      <c r="H49" s="16">
        <v>7.7975000000000003</v>
      </c>
    </row>
    <row r="50" spans="1:8" x14ac:dyDescent="0.2">
      <c r="A50" s="22">
        <v>8</v>
      </c>
      <c r="B50" s="23" t="s">
        <v>161</v>
      </c>
      <c r="C50" s="23" t="s">
        <v>162</v>
      </c>
      <c r="D50" s="23" t="s">
        <v>143</v>
      </c>
      <c r="E50" s="24">
        <v>500</v>
      </c>
      <c r="F50" s="25">
        <v>2341.8074999999999</v>
      </c>
      <c r="G50" s="26">
        <v>3.4676319999999997E-2</v>
      </c>
      <c r="H50" s="16">
        <v>7.61</v>
      </c>
    </row>
    <row r="51" spans="1:8" x14ac:dyDescent="0.2">
      <c r="A51" s="22">
        <v>9</v>
      </c>
      <c r="B51" s="23" t="s">
        <v>163</v>
      </c>
      <c r="C51" s="23" t="s">
        <v>164</v>
      </c>
      <c r="D51" s="23" t="s">
        <v>143</v>
      </c>
      <c r="E51" s="24">
        <v>500</v>
      </c>
      <c r="F51" s="25">
        <v>2341.1950000000002</v>
      </c>
      <c r="G51" s="26">
        <v>3.4667249999999997E-2</v>
      </c>
      <c r="H51" s="16">
        <v>7.6180000000000003</v>
      </c>
    </row>
    <row r="52" spans="1:8" x14ac:dyDescent="0.2">
      <c r="A52" s="22">
        <v>10</v>
      </c>
      <c r="B52" s="23" t="s">
        <v>165</v>
      </c>
      <c r="C52" s="23" t="s">
        <v>166</v>
      </c>
      <c r="D52" s="23" t="s">
        <v>143</v>
      </c>
      <c r="E52" s="24">
        <v>500</v>
      </c>
      <c r="F52" s="25">
        <v>2335.5250000000001</v>
      </c>
      <c r="G52" s="26">
        <v>3.4583290000000003E-2</v>
      </c>
      <c r="H52" s="16">
        <v>7.5824999999999996</v>
      </c>
    </row>
    <row r="53" spans="1:8" ht="25.5" x14ac:dyDescent="0.2">
      <c r="A53" s="22">
        <v>11</v>
      </c>
      <c r="B53" s="23" t="s">
        <v>167</v>
      </c>
      <c r="C53" s="23" t="s">
        <v>168</v>
      </c>
      <c r="D53" s="23" t="s">
        <v>143</v>
      </c>
      <c r="E53" s="24">
        <v>500</v>
      </c>
      <c r="F53" s="25">
        <v>2334.21</v>
      </c>
      <c r="G53" s="26">
        <v>3.4563820000000002E-2</v>
      </c>
      <c r="H53" s="16">
        <v>7.6700999999999997</v>
      </c>
    </row>
    <row r="54" spans="1:8" x14ac:dyDescent="0.2">
      <c r="A54" s="22">
        <v>12</v>
      </c>
      <c r="B54" s="23" t="s">
        <v>169</v>
      </c>
      <c r="C54" s="23" t="s">
        <v>170</v>
      </c>
      <c r="D54" s="23" t="s">
        <v>143</v>
      </c>
      <c r="E54" s="24">
        <v>500</v>
      </c>
      <c r="F54" s="25">
        <v>2331.4524999999999</v>
      </c>
      <c r="G54" s="26">
        <v>3.4522990000000003E-2</v>
      </c>
      <c r="H54" s="16">
        <v>7.5824999999999996</v>
      </c>
    </row>
    <row r="55" spans="1:8" x14ac:dyDescent="0.2">
      <c r="A55" s="22">
        <v>13</v>
      </c>
      <c r="B55" s="23" t="s">
        <v>171</v>
      </c>
      <c r="C55" s="23" t="s">
        <v>172</v>
      </c>
      <c r="D55" s="23" t="s">
        <v>143</v>
      </c>
      <c r="E55" s="24">
        <v>500</v>
      </c>
      <c r="F55" s="25">
        <v>2329.7249999999999</v>
      </c>
      <c r="G55" s="26">
        <v>3.4497409999999999E-2</v>
      </c>
      <c r="H55" s="16">
        <v>7.7549999999999999</v>
      </c>
    </row>
    <row r="56" spans="1:8" x14ac:dyDescent="0.2">
      <c r="A56" s="22">
        <v>14</v>
      </c>
      <c r="B56" s="23" t="s">
        <v>173</v>
      </c>
      <c r="C56" s="23" t="s">
        <v>174</v>
      </c>
      <c r="D56" s="23" t="s">
        <v>143</v>
      </c>
      <c r="E56" s="24">
        <v>500</v>
      </c>
      <c r="F56" s="25">
        <v>2324.8775000000001</v>
      </c>
      <c r="G56" s="26">
        <v>3.4425629999999999E-2</v>
      </c>
      <c r="H56" s="16">
        <v>7.5949999999999998</v>
      </c>
    </row>
    <row r="57" spans="1:8" x14ac:dyDescent="0.2">
      <c r="A57" s="22">
        <v>15</v>
      </c>
      <c r="B57" s="23" t="s">
        <v>141</v>
      </c>
      <c r="C57" s="23" t="s">
        <v>142</v>
      </c>
      <c r="D57" s="23" t="s">
        <v>143</v>
      </c>
      <c r="E57" s="24">
        <v>400</v>
      </c>
      <c r="F57" s="25">
        <v>1872.6120000000001</v>
      </c>
      <c r="G57" s="26">
        <v>2.772871E-2</v>
      </c>
      <c r="H57" s="16">
        <v>7.64</v>
      </c>
    </row>
    <row r="58" spans="1:8" x14ac:dyDescent="0.2">
      <c r="A58" s="22">
        <v>16</v>
      </c>
      <c r="B58" s="23" t="s">
        <v>175</v>
      </c>
      <c r="C58" s="23" t="s">
        <v>176</v>
      </c>
      <c r="D58" s="23" t="s">
        <v>143</v>
      </c>
      <c r="E58" s="24">
        <v>300</v>
      </c>
      <c r="F58" s="25">
        <v>1406.6369999999999</v>
      </c>
      <c r="G58" s="26">
        <v>2.0828780000000002E-2</v>
      </c>
      <c r="H58" s="16">
        <v>7.7401</v>
      </c>
    </row>
    <row r="59" spans="1:8" x14ac:dyDescent="0.2">
      <c r="A59" s="22">
        <v>17</v>
      </c>
      <c r="B59" s="23" t="s">
        <v>177</v>
      </c>
      <c r="C59" s="23" t="s">
        <v>178</v>
      </c>
      <c r="D59" s="23" t="s">
        <v>143</v>
      </c>
      <c r="E59" s="24">
        <v>300</v>
      </c>
      <c r="F59" s="25">
        <v>1399.3454999999999</v>
      </c>
      <c r="G59" s="26">
        <v>2.0720809999999999E-2</v>
      </c>
      <c r="H59" s="16">
        <v>7.61</v>
      </c>
    </row>
    <row r="60" spans="1:8" x14ac:dyDescent="0.2">
      <c r="A60" s="22">
        <v>18</v>
      </c>
      <c r="B60" s="23" t="s">
        <v>179</v>
      </c>
      <c r="C60" s="23" t="s">
        <v>180</v>
      </c>
      <c r="D60" s="23" t="s">
        <v>143</v>
      </c>
      <c r="E60" s="24">
        <v>200</v>
      </c>
      <c r="F60" s="25">
        <v>949.30100000000004</v>
      </c>
      <c r="G60" s="26">
        <v>1.405678E-2</v>
      </c>
      <c r="H60" s="16">
        <v>7.7975000000000003</v>
      </c>
    </row>
    <row r="61" spans="1:8" x14ac:dyDescent="0.2">
      <c r="A61" s="22">
        <v>19</v>
      </c>
      <c r="B61" s="23" t="s">
        <v>181</v>
      </c>
      <c r="C61" s="23" t="s">
        <v>182</v>
      </c>
      <c r="D61" s="23" t="s">
        <v>183</v>
      </c>
      <c r="E61" s="24">
        <v>160</v>
      </c>
      <c r="F61" s="25">
        <v>778.59519999999998</v>
      </c>
      <c r="G61" s="26">
        <v>1.1529050000000001E-2</v>
      </c>
      <c r="H61" s="16">
        <v>7.66</v>
      </c>
    </row>
    <row r="62" spans="1:8" x14ac:dyDescent="0.2">
      <c r="A62" s="22">
        <v>20</v>
      </c>
      <c r="B62" s="23" t="s">
        <v>184</v>
      </c>
      <c r="C62" s="23" t="s">
        <v>185</v>
      </c>
      <c r="D62" s="23" t="s">
        <v>143</v>
      </c>
      <c r="E62" s="24">
        <v>100</v>
      </c>
      <c r="F62" s="25">
        <v>489.67649999999998</v>
      </c>
      <c r="G62" s="26">
        <v>7.2508900000000003E-3</v>
      </c>
      <c r="H62" s="16">
        <v>7.6950000000000003</v>
      </c>
    </row>
    <row r="63" spans="1:8" x14ac:dyDescent="0.2">
      <c r="A63" s="14"/>
      <c r="B63" s="14"/>
      <c r="C63" s="15" t="s">
        <v>11</v>
      </c>
      <c r="D63" s="14"/>
      <c r="E63" s="14" t="s">
        <v>12</v>
      </c>
      <c r="F63" s="21">
        <v>42548.573199999999</v>
      </c>
      <c r="G63" s="18">
        <v>0.63003812999999997</v>
      </c>
      <c r="H63" s="16" t="s">
        <v>12</v>
      </c>
    </row>
    <row r="64" spans="1:8" x14ac:dyDescent="0.2">
      <c r="A64" s="14"/>
      <c r="B64" s="14"/>
      <c r="C64" s="19"/>
      <c r="D64" s="14"/>
      <c r="E64" s="14"/>
      <c r="F64" s="20"/>
      <c r="G64" s="20"/>
      <c r="H64" s="16" t="s">
        <v>12</v>
      </c>
    </row>
    <row r="65" spans="1:8" x14ac:dyDescent="0.2">
      <c r="A65" s="14"/>
      <c r="B65" s="14"/>
      <c r="C65" s="15" t="s">
        <v>92</v>
      </c>
      <c r="D65" s="14"/>
      <c r="E65" s="14"/>
      <c r="F65" s="20"/>
      <c r="G65" s="20"/>
      <c r="H65" s="16" t="s">
        <v>12</v>
      </c>
    </row>
    <row r="66" spans="1:8" x14ac:dyDescent="0.2">
      <c r="A66" s="22">
        <v>1</v>
      </c>
      <c r="B66" s="23" t="s">
        <v>186</v>
      </c>
      <c r="C66" s="23" t="s">
        <v>187</v>
      </c>
      <c r="D66" s="23" t="s">
        <v>143</v>
      </c>
      <c r="E66" s="24">
        <v>800</v>
      </c>
      <c r="F66" s="25">
        <v>3715.58</v>
      </c>
      <c r="G66" s="26">
        <v>5.5018459999999998E-2</v>
      </c>
      <c r="H66" s="16">
        <v>7.9375</v>
      </c>
    </row>
    <row r="67" spans="1:8" x14ac:dyDescent="0.2">
      <c r="A67" s="22">
        <v>2</v>
      </c>
      <c r="B67" s="23" t="s">
        <v>188</v>
      </c>
      <c r="C67" s="23" t="s">
        <v>189</v>
      </c>
      <c r="D67" s="23" t="s">
        <v>143</v>
      </c>
      <c r="E67" s="24">
        <v>500</v>
      </c>
      <c r="F67" s="25">
        <v>2383.7399999999998</v>
      </c>
      <c r="G67" s="26">
        <v>3.5297240000000001E-2</v>
      </c>
      <c r="H67" s="16">
        <v>8.2799999999999994</v>
      </c>
    </row>
    <row r="68" spans="1:8" x14ac:dyDescent="0.2">
      <c r="A68" s="22">
        <v>3</v>
      </c>
      <c r="B68" s="23" t="s">
        <v>190</v>
      </c>
      <c r="C68" s="23" t="s">
        <v>191</v>
      </c>
      <c r="D68" s="23" t="s">
        <v>143</v>
      </c>
      <c r="E68" s="24">
        <v>500</v>
      </c>
      <c r="F68" s="25">
        <v>2333.2474999999999</v>
      </c>
      <c r="G68" s="26">
        <v>3.4549570000000002E-2</v>
      </c>
      <c r="H68" s="16">
        <v>7.6950000000000003</v>
      </c>
    </row>
    <row r="69" spans="1:8" ht="25.5" x14ac:dyDescent="0.2">
      <c r="A69" s="22">
        <v>4</v>
      </c>
      <c r="B69" s="23" t="s">
        <v>192</v>
      </c>
      <c r="C69" s="23" t="s">
        <v>193</v>
      </c>
      <c r="D69" s="23" t="s">
        <v>143</v>
      </c>
      <c r="E69" s="24">
        <v>500</v>
      </c>
      <c r="F69" s="25">
        <v>2317.5475000000001</v>
      </c>
      <c r="G69" s="26">
        <v>3.4317090000000001E-2</v>
      </c>
      <c r="H69" s="16">
        <v>8.3049999999999997</v>
      </c>
    </row>
    <row r="70" spans="1:8" ht="25.5" x14ac:dyDescent="0.2">
      <c r="A70" s="22">
        <v>5</v>
      </c>
      <c r="B70" s="23" t="s">
        <v>194</v>
      </c>
      <c r="C70" s="23" t="s">
        <v>195</v>
      </c>
      <c r="D70" s="23" t="s">
        <v>143</v>
      </c>
      <c r="E70" s="24">
        <v>300</v>
      </c>
      <c r="F70" s="25">
        <v>1469.5229999999999</v>
      </c>
      <c r="G70" s="26">
        <v>2.175997E-2</v>
      </c>
      <c r="H70" s="16">
        <v>8.14</v>
      </c>
    </row>
    <row r="71" spans="1:8" x14ac:dyDescent="0.2">
      <c r="A71" s="22">
        <v>6</v>
      </c>
      <c r="B71" s="23" t="s">
        <v>196</v>
      </c>
      <c r="C71" s="23" t="s">
        <v>197</v>
      </c>
      <c r="D71" s="23" t="s">
        <v>143</v>
      </c>
      <c r="E71" s="24">
        <v>300</v>
      </c>
      <c r="F71" s="25">
        <v>1439.8530000000001</v>
      </c>
      <c r="G71" s="26">
        <v>2.132063E-2</v>
      </c>
      <c r="H71" s="16">
        <v>7.9001000000000001</v>
      </c>
    </row>
    <row r="72" spans="1:8" ht="25.5" x14ac:dyDescent="0.2">
      <c r="A72" s="22">
        <v>7</v>
      </c>
      <c r="B72" s="23" t="s">
        <v>198</v>
      </c>
      <c r="C72" s="23" t="s">
        <v>199</v>
      </c>
      <c r="D72" s="23" t="s">
        <v>143</v>
      </c>
      <c r="E72" s="24">
        <v>200</v>
      </c>
      <c r="F72" s="25">
        <v>961.66800000000001</v>
      </c>
      <c r="G72" s="26">
        <v>1.42399E-2</v>
      </c>
      <c r="H72" s="16">
        <v>8.2199000000000009</v>
      </c>
    </row>
    <row r="73" spans="1:8" x14ac:dyDescent="0.2">
      <c r="A73" s="14"/>
      <c r="B73" s="14"/>
      <c r="C73" s="15" t="s">
        <v>11</v>
      </c>
      <c r="D73" s="14"/>
      <c r="E73" s="14" t="s">
        <v>12</v>
      </c>
      <c r="F73" s="21">
        <v>14621.159</v>
      </c>
      <c r="G73" s="18">
        <v>0.21650285999999999</v>
      </c>
      <c r="H73" s="16" t="s">
        <v>12</v>
      </c>
    </row>
    <row r="74" spans="1:8" x14ac:dyDescent="0.2">
      <c r="A74" s="14"/>
      <c r="B74" s="14"/>
      <c r="C74" s="19"/>
      <c r="D74" s="14"/>
      <c r="E74" s="14"/>
      <c r="F74" s="20"/>
      <c r="G74" s="20"/>
      <c r="H74" s="16" t="s">
        <v>12</v>
      </c>
    </row>
    <row r="75" spans="1:8" x14ac:dyDescent="0.2">
      <c r="A75" s="14"/>
      <c r="B75" s="14"/>
      <c r="C75" s="15" t="s">
        <v>93</v>
      </c>
      <c r="D75" s="14"/>
      <c r="E75" s="14"/>
      <c r="F75" s="20"/>
      <c r="G75" s="20"/>
      <c r="H75" s="16" t="s">
        <v>12</v>
      </c>
    </row>
    <row r="76" spans="1:8" x14ac:dyDescent="0.2">
      <c r="A76" s="22">
        <v>1</v>
      </c>
      <c r="B76" s="23" t="s">
        <v>200</v>
      </c>
      <c r="C76" s="23" t="s">
        <v>201</v>
      </c>
      <c r="D76" s="23" t="s">
        <v>75</v>
      </c>
      <c r="E76" s="24">
        <v>5000000</v>
      </c>
      <c r="F76" s="25">
        <v>4708.22</v>
      </c>
      <c r="G76" s="26">
        <v>6.9716979999999998E-2</v>
      </c>
      <c r="H76" s="16">
        <v>6.5</v>
      </c>
    </row>
    <row r="77" spans="1:8" x14ac:dyDescent="0.2">
      <c r="A77" s="22">
        <v>2</v>
      </c>
      <c r="B77" s="23" t="s">
        <v>202</v>
      </c>
      <c r="C77" s="23" t="s">
        <v>203</v>
      </c>
      <c r="D77" s="23" t="s">
        <v>75</v>
      </c>
      <c r="E77" s="24">
        <v>2500000</v>
      </c>
      <c r="F77" s="25">
        <v>2356.8775000000001</v>
      </c>
      <c r="G77" s="26">
        <v>3.4899470000000002E-2</v>
      </c>
      <c r="H77" s="16">
        <v>6.5</v>
      </c>
    </row>
    <row r="78" spans="1:8" x14ac:dyDescent="0.2">
      <c r="A78" s="14"/>
      <c r="B78" s="14"/>
      <c r="C78" s="15" t="s">
        <v>11</v>
      </c>
      <c r="D78" s="14"/>
      <c r="E78" s="14" t="s">
        <v>12</v>
      </c>
      <c r="F78" s="21">
        <v>7065.0974999999999</v>
      </c>
      <c r="G78" s="18">
        <v>0.10461645</v>
      </c>
      <c r="H78" s="16" t="s">
        <v>12</v>
      </c>
    </row>
    <row r="79" spans="1:8" x14ac:dyDescent="0.2">
      <c r="A79" s="14"/>
      <c r="B79" s="14"/>
      <c r="C79" s="19"/>
      <c r="D79" s="14"/>
      <c r="E79" s="14"/>
      <c r="F79" s="20"/>
      <c r="G79" s="20"/>
      <c r="H79" s="16" t="s">
        <v>12</v>
      </c>
    </row>
    <row r="80" spans="1:8" x14ac:dyDescent="0.2">
      <c r="A80" s="14"/>
      <c r="B80" s="14"/>
      <c r="C80" s="15" t="s">
        <v>94</v>
      </c>
      <c r="D80" s="14"/>
      <c r="E80" s="14"/>
      <c r="F80" s="20"/>
      <c r="G80" s="20"/>
      <c r="H80" s="16" t="s">
        <v>12</v>
      </c>
    </row>
    <row r="81" spans="1:17" x14ac:dyDescent="0.2">
      <c r="A81" s="22">
        <v>1</v>
      </c>
      <c r="B81" s="23"/>
      <c r="C81" s="23" t="s">
        <v>95</v>
      </c>
      <c r="D81" s="23"/>
      <c r="E81" s="27"/>
      <c r="F81" s="25">
        <v>2652.1255487869998</v>
      </c>
      <c r="G81" s="26">
        <v>3.9271359999999998E-2</v>
      </c>
      <c r="H81" s="16">
        <v>6.24</v>
      </c>
    </row>
    <row r="82" spans="1:17" x14ac:dyDescent="0.2">
      <c r="A82" s="14"/>
      <c r="B82" s="14"/>
      <c r="C82" s="15" t="s">
        <v>11</v>
      </c>
      <c r="D82" s="14"/>
      <c r="E82" s="14" t="s">
        <v>12</v>
      </c>
      <c r="F82" s="21">
        <v>2652.1255487869998</v>
      </c>
      <c r="G82" s="18">
        <v>3.9271359999999998E-2</v>
      </c>
      <c r="H82" s="16" t="s">
        <v>12</v>
      </c>
    </row>
    <row r="83" spans="1:17" x14ac:dyDescent="0.2">
      <c r="A83" s="14"/>
      <c r="B83" s="14"/>
      <c r="C83" s="19"/>
      <c r="D83" s="14"/>
      <c r="E83" s="14"/>
      <c r="F83" s="20"/>
      <c r="G83" s="20"/>
      <c r="H83" s="16" t="s">
        <v>12</v>
      </c>
    </row>
    <row r="84" spans="1:17" x14ac:dyDescent="0.2">
      <c r="A84" s="14"/>
      <c r="B84" s="14"/>
      <c r="C84" s="15" t="s">
        <v>96</v>
      </c>
      <c r="D84" s="14"/>
      <c r="E84" s="14"/>
      <c r="F84" s="21">
        <v>66886.955248786995</v>
      </c>
      <c r="G84" s="18">
        <v>0.9904288</v>
      </c>
      <c r="H84" s="16" t="s">
        <v>12</v>
      </c>
    </row>
    <row r="85" spans="1:17" x14ac:dyDescent="0.2">
      <c r="A85" s="14"/>
      <c r="B85" s="14"/>
      <c r="C85" s="20"/>
      <c r="D85" s="14"/>
      <c r="E85" s="14"/>
      <c r="F85" s="14"/>
      <c r="G85" s="14"/>
      <c r="H85" s="16" t="s">
        <v>12</v>
      </c>
    </row>
    <row r="86" spans="1:17" x14ac:dyDescent="0.2">
      <c r="A86" s="14"/>
      <c r="B86" s="14"/>
      <c r="C86" s="15" t="s">
        <v>97</v>
      </c>
      <c r="D86" s="14"/>
      <c r="E86" s="14"/>
      <c r="F86" s="14"/>
      <c r="G86" s="14"/>
      <c r="H86" s="16" t="s">
        <v>12</v>
      </c>
    </row>
    <row r="87" spans="1:17" x14ac:dyDescent="0.2">
      <c r="A87" s="14"/>
      <c r="B87" s="14"/>
      <c r="C87" s="15" t="s">
        <v>98</v>
      </c>
      <c r="D87" s="14"/>
      <c r="E87" s="14"/>
      <c r="F87" s="14"/>
      <c r="G87" s="14"/>
      <c r="H87" s="16" t="s">
        <v>12</v>
      </c>
    </row>
    <row r="88" spans="1:17" x14ac:dyDescent="0.2">
      <c r="A88" s="14"/>
      <c r="B88" s="14"/>
      <c r="C88" s="15" t="s">
        <v>11</v>
      </c>
      <c r="D88" s="14"/>
      <c r="E88" s="14" t="s">
        <v>12</v>
      </c>
      <c r="F88" s="17" t="s">
        <v>13</v>
      </c>
      <c r="G88" s="18">
        <v>0</v>
      </c>
      <c r="H88" s="16" t="s">
        <v>12</v>
      </c>
    </row>
    <row r="89" spans="1:17" x14ac:dyDescent="0.2">
      <c r="A89" s="28"/>
      <c r="B89" s="28"/>
      <c r="C89" s="29"/>
      <c r="D89" s="28"/>
      <c r="E89" s="28"/>
      <c r="F89" s="30"/>
      <c r="G89" s="30"/>
      <c r="H89" s="16" t="s">
        <v>12</v>
      </c>
    </row>
    <row r="90" spans="1:17" ht="25.5" x14ac:dyDescent="0.2">
      <c r="A90" s="28"/>
      <c r="B90" s="28"/>
      <c r="C90" s="32" t="s">
        <v>541</v>
      </c>
      <c r="D90" s="28"/>
      <c r="E90" s="28"/>
      <c r="F90" s="30"/>
      <c r="G90" s="30"/>
      <c r="H90" s="16" t="s">
        <v>12</v>
      </c>
      <c r="K90" s="34"/>
      <c r="L90" s="34"/>
      <c r="M90" s="34"/>
      <c r="N90" s="34"/>
      <c r="O90" s="35"/>
      <c r="P90" s="35"/>
      <c r="Q90" s="35"/>
    </row>
    <row r="91" spans="1:17" ht="25.5" x14ac:dyDescent="0.2">
      <c r="A91" s="36">
        <v>1</v>
      </c>
      <c r="B91" s="37" t="s">
        <v>99</v>
      </c>
      <c r="C91" s="37" t="s">
        <v>100</v>
      </c>
      <c r="D91" s="37"/>
      <c r="E91" s="38">
        <v>1363.741</v>
      </c>
      <c r="F91" s="33">
        <v>149.95008710499999</v>
      </c>
      <c r="G91" s="39">
        <v>2.22039E-3</v>
      </c>
      <c r="H91" s="16"/>
    </row>
    <row r="92" spans="1:17" x14ac:dyDescent="0.2">
      <c r="A92" s="28"/>
      <c r="B92" s="28"/>
      <c r="C92" s="32" t="s">
        <v>11</v>
      </c>
      <c r="D92" s="28"/>
      <c r="E92" s="28" t="s">
        <v>12</v>
      </c>
      <c r="F92" s="40">
        <f>SUM(F91)</f>
        <v>149.95008710499999</v>
      </c>
      <c r="G92" s="41">
        <f>SUM(G91)</f>
        <v>2.22039E-3</v>
      </c>
      <c r="H92" s="16" t="s">
        <v>12</v>
      </c>
    </row>
    <row r="93" spans="1:17" x14ac:dyDescent="0.2">
      <c r="A93" s="14"/>
      <c r="B93" s="14"/>
      <c r="C93" s="19"/>
      <c r="D93" s="14"/>
      <c r="E93" s="14"/>
      <c r="F93" s="20"/>
      <c r="G93" s="20"/>
      <c r="H93" s="16" t="s">
        <v>12</v>
      </c>
    </row>
    <row r="94" spans="1:17" x14ac:dyDescent="0.2">
      <c r="A94" s="14"/>
      <c r="B94" s="14"/>
      <c r="C94" s="15" t="s">
        <v>101</v>
      </c>
      <c r="D94" s="14"/>
      <c r="E94" s="14"/>
      <c r="F94" s="14"/>
      <c r="G94" s="14"/>
      <c r="H94" s="16" t="s">
        <v>12</v>
      </c>
    </row>
    <row r="95" spans="1:17" x14ac:dyDescent="0.2">
      <c r="A95" s="14"/>
      <c r="B95" s="14"/>
      <c r="C95" s="15" t="s">
        <v>102</v>
      </c>
      <c r="D95" s="14"/>
      <c r="E95" s="14"/>
      <c r="F95" s="14"/>
      <c r="G95" s="14"/>
      <c r="H95" s="16" t="s">
        <v>12</v>
      </c>
    </row>
    <row r="96" spans="1:17" x14ac:dyDescent="0.2">
      <c r="A96" s="14"/>
      <c r="B96" s="14"/>
      <c r="C96" s="15" t="s">
        <v>11</v>
      </c>
      <c r="D96" s="14"/>
      <c r="E96" s="14" t="s">
        <v>12</v>
      </c>
      <c r="F96" s="17" t="s">
        <v>13</v>
      </c>
      <c r="G96" s="18">
        <v>0</v>
      </c>
      <c r="H96" s="16" t="s">
        <v>12</v>
      </c>
    </row>
    <row r="97" spans="1:8" x14ac:dyDescent="0.2">
      <c r="A97" s="14"/>
      <c r="B97" s="14"/>
      <c r="C97" s="19"/>
      <c r="D97" s="14"/>
      <c r="E97" s="14"/>
      <c r="F97" s="20"/>
      <c r="G97" s="20"/>
      <c r="H97" s="16" t="s">
        <v>12</v>
      </c>
    </row>
    <row r="98" spans="1:8" ht="25.5" x14ac:dyDescent="0.2">
      <c r="A98" s="14"/>
      <c r="B98" s="14"/>
      <c r="C98" s="15" t="s">
        <v>103</v>
      </c>
      <c r="D98" s="14"/>
      <c r="E98" s="14"/>
      <c r="F98" s="20"/>
      <c r="G98" s="20"/>
      <c r="H98" s="16" t="s">
        <v>12</v>
      </c>
    </row>
    <row r="99" spans="1:8" x14ac:dyDescent="0.2">
      <c r="A99" s="14"/>
      <c r="B99" s="14"/>
      <c r="C99" s="15" t="s">
        <v>11</v>
      </c>
      <c r="D99" s="14"/>
      <c r="E99" s="14" t="s">
        <v>12</v>
      </c>
      <c r="F99" s="17" t="s">
        <v>13</v>
      </c>
      <c r="G99" s="18">
        <v>0</v>
      </c>
      <c r="H99" s="16" t="s">
        <v>12</v>
      </c>
    </row>
    <row r="100" spans="1:8" x14ac:dyDescent="0.2">
      <c r="A100" s="14"/>
      <c r="B100" s="23"/>
      <c r="C100" s="23"/>
      <c r="D100" s="15"/>
      <c r="E100" s="14"/>
      <c r="F100" s="23"/>
      <c r="G100" s="27"/>
      <c r="H100" s="16" t="s">
        <v>12</v>
      </c>
    </row>
    <row r="101" spans="1:8" x14ac:dyDescent="0.2">
      <c r="A101" s="27"/>
      <c r="B101" s="23"/>
      <c r="C101" s="23" t="s">
        <v>104</v>
      </c>
      <c r="D101" s="23"/>
      <c r="E101" s="27"/>
      <c r="F101" s="25">
        <v>496.42772302999998</v>
      </c>
      <c r="G101" s="26">
        <v>7.3508599999999999E-3</v>
      </c>
      <c r="H101" s="16" t="s">
        <v>12</v>
      </c>
    </row>
    <row r="102" spans="1:8" x14ac:dyDescent="0.2">
      <c r="A102" s="19"/>
      <c r="B102" s="19"/>
      <c r="C102" s="15" t="s">
        <v>105</v>
      </c>
      <c r="D102" s="20"/>
      <c r="E102" s="20"/>
      <c r="F102" s="21">
        <v>67533.333058921999</v>
      </c>
      <c r="G102" s="42">
        <v>1.0000000499999999</v>
      </c>
      <c r="H102" s="16" t="s">
        <v>12</v>
      </c>
    </row>
    <row r="103" spans="1:8" x14ac:dyDescent="0.2">
      <c r="A103" s="43"/>
      <c r="B103" s="43"/>
      <c r="C103" s="43"/>
      <c r="D103" s="44"/>
      <c r="E103" s="44"/>
      <c r="F103" s="44"/>
      <c r="G103" s="44"/>
    </row>
    <row r="104" spans="1:8" x14ac:dyDescent="0.2">
      <c r="A104" s="45"/>
      <c r="B104" s="164" t="s">
        <v>542</v>
      </c>
      <c r="C104" s="164"/>
      <c r="D104" s="164"/>
      <c r="E104" s="164"/>
      <c r="F104" s="164"/>
      <c r="G104" s="164"/>
      <c r="H104" s="164"/>
    </row>
    <row r="105" spans="1:8" x14ac:dyDescent="0.2">
      <c r="A105" s="45"/>
      <c r="B105" s="164" t="s">
        <v>543</v>
      </c>
      <c r="C105" s="164"/>
      <c r="D105" s="164"/>
      <c r="E105" s="164"/>
      <c r="F105" s="164"/>
      <c r="G105" s="164"/>
      <c r="H105" s="164"/>
    </row>
    <row r="106" spans="1:8" x14ac:dyDescent="0.2">
      <c r="A106" s="45"/>
      <c r="B106" s="164" t="s">
        <v>544</v>
      </c>
      <c r="C106" s="164"/>
      <c r="D106" s="164"/>
      <c r="E106" s="164"/>
      <c r="F106" s="164"/>
      <c r="G106" s="164"/>
      <c r="H106" s="164"/>
    </row>
    <row r="107" spans="1:8" x14ac:dyDescent="0.2">
      <c r="A107" s="77"/>
      <c r="B107" s="173" t="s">
        <v>650</v>
      </c>
      <c r="C107" s="174"/>
      <c r="D107" s="174"/>
      <c r="E107" s="174"/>
      <c r="F107" s="174"/>
      <c r="G107" s="174"/>
      <c r="H107" s="174"/>
    </row>
    <row r="108" spans="1:8" x14ac:dyDescent="0.2">
      <c r="A108" s="47"/>
      <c r="B108" s="47"/>
      <c r="C108" s="47"/>
      <c r="D108" s="48"/>
      <c r="E108" s="48"/>
      <c r="F108" s="48"/>
      <c r="G108" s="48"/>
    </row>
    <row r="109" spans="1:8" x14ac:dyDescent="0.2">
      <c r="A109" s="47"/>
      <c r="B109" s="157" t="s">
        <v>106</v>
      </c>
      <c r="C109" s="158"/>
      <c r="D109" s="159"/>
      <c r="E109" s="49"/>
      <c r="F109" s="48"/>
      <c r="G109" s="48"/>
    </row>
    <row r="110" spans="1:8" x14ac:dyDescent="0.2">
      <c r="A110" s="47"/>
      <c r="B110" s="160" t="s">
        <v>107</v>
      </c>
      <c r="C110" s="161"/>
      <c r="D110" s="15" t="s">
        <v>108</v>
      </c>
      <c r="E110" s="49"/>
      <c r="F110" s="48"/>
      <c r="G110" s="48"/>
    </row>
    <row r="111" spans="1:8" x14ac:dyDescent="0.2">
      <c r="A111" s="47"/>
      <c r="B111" s="160" t="s">
        <v>109</v>
      </c>
      <c r="C111" s="161"/>
      <c r="D111" s="15" t="s">
        <v>108</v>
      </c>
      <c r="E111" s="49"/>
      <c r="F111" s="48"/>
      <c r="G111" s="48"/>
    </row>
    <row r="112" spans="1:8" x14ac:dyDescent="0.2">
      <c r="A112" s="47"/>
      <c r="B112" s="160" t="s">
        <v>110</v>
      </c>
      <c r="C112" s="161"/>
      <c r="D112" s="20" t="s">
        <v>12</v>
      </c>
      <c r="E112" s="49"/>
      <c r="F112" s="48"/>
      <c r="G112" s="48"/>
    </row>
    <row r="113" spans="1:9" x14ac:dyDescent="0.2">
      <c r="A113" s="50"/>
      <c r="B113" s="51" t="s">
        <v>12</v>
      </c>
      <c r="C113" s="51" t="s">
        <v>545</v>
      </c>
      <c r="D113" s="51" t="s">
        <v>111</v>
      </c>
      <c r="E113" s="50"/>
      <c r="F113" s="50"/>
      <c r="G113" s="50"/>
    </row>
    <row r="114" spans="1:9" x14ac:dyDescent="0.2">
      <c r="A114" s="50"/>
      <c r="B114" s="52" t="s">
        <v>112</v>
      </c>
      <c r="C114" s="53">
        <v>45716</v>
      </c>
      <c r="D114" s="53">
        <v>45731</v>
      </c>
      <c r="E114" s="50"/>
      <c r="F114" s="50"/>
      <c r="G114" s="50"/>
    </row>
    <row r="115" spans="1:9" x14ac:dyDescent="0.2">
      <c r="A115" s="54"/>
      <c r="B115" s="23" t="s">
        <v>113</v>
      </c>
      <c r="C115" s="55">
        <v>14.673400000000001</v>
      </c>
      <c r="D115" s="55">
        <v>14.710900000000001</v>
      </c>
      <c r="E115" s="54"/>
      <c r="F115" s="56"/>
      <c r="G115" s="57"/>
    </row>
    <row r="116" spans="1:9" ht="25.5" x14ac:dyDescent="0.2">
      <c r="A116" s="54"/>
      <c r="B116" s="23" t="s">
        <v>651</v>
      </c>
      <c r="C116" s="55">
        <v>11.1776</v>
      </c>
      <c r="D116" s="55">
        <v>11.206200000000001</v>
      </c>
      <c r="E116" s="54"/>
      <c r="F116" s="56"/>
      <c r="G116" s="57"/>
    </row>
    <row r="117" spans="1:9" ht="25.5" x14ac:dyDescent="0.2">
      <c r="A117" s="54"/>
      <c r="B117" s="23" t="s">
        <v>652</v>
      </c>
      <c r="C117" s="55">
        <v>12.6266</v>
      </c>
      <c r="D117" s="55">
        <v>12.5838</v>
      </c>
      <c r="E117" s="54"/>
      <c r="F117" s="56"/>
      <c r="G117" s="57"/>
    </row>
    <row r="118" spans="1:9" x14ac:dyDescent="0.2">
      <c r="A118" s="54"/>
      <c r="B118" s="23" t="s">
        <v>114</v>
      </c>
      <c r="C118" s="55">
        <v>14.5839</v>
      </c>
      <c r="D118" s="55">
        <v>14.6191</v>
      </c>
      <c r="E118" s="54"/>
      <c r="F118" s="56"/>
      <c r="G118" s="57"/>
    </row>
    <row r="119" spans="1:9" ht="25.5" x14ac:dyDescent="0.2">
      <c r="A119" s="54"/>
      <c r="B119" s="23" t="s">
        <v>655</v>
      </c>
      <c r="C119" s="55">
        <v>11.155900000000001</v>
      </c>
      <c r="D119" s="55">
        <v>11.1828</v>
      </c>
      <c r="E119" s="54"/>
      <c r="F119" s="56"/>
      <c r="G119" s="57"/>
    </row>
    <row r="120" spans="1:9" ht="25.5" x14ac:dyDescent="0.2">
      <c r="A120" s="54"/>
      <c r="B120" s="23" t="s">
        <v>621</v>
      </c>
      <c r="C120" s="55">
        <v>12.5479</v>
      </c>
      <c r="D120" s="55">
        <v>12.5031</v>
      </c>
      <c r="E120" s="54"/>
      <c r="F120" s="56"/>
      <c r="G120" s="57"/>
    </row>
    <row r="121" spans="1:9" x14ac:dyDescent="0.2">
      <c r="A121" s="54"/>
      <c r="B121" s="54"/>
      <c r="C121" s="54"/>
      <c r="D121" s="54"/>
      <c r="E121" s="54"/>
      <c r="F121" s="54"/>
      <c r="G121" s="54"/>
    </row>
    <row r="122" spans="1:9" x14ac:dyDescent="0.2">
      <c r="A122" s="54"/>
      <c r="B122" s="160" t="s">
        <v>622</v>
      </c>
      <c r="C122" s="161"/>
      <c r="D122" s="15" t="s">
        <v>12</v>
      </c>
      <c r="E122" s="54"/>
      <c r="F122" s="54"/>
      <c r="G122" s="54"/>
    </row>
    <row r="123" spans="1:9" x14ac:dyDescent="0.2">
      <c r="A123" s="54"/>
      <c r="B123" s="58" t="s">
        <v>112</v>
      </c>
      <c r="C123" s="59" t="s">
        <v>115</v>
      </c>
      <c r="D123" s="59" t="s">
        <v>116</v>
      </c>
      <c r="E123" s="54"/>
      <c r="F123" s="54"/>
      <c r="G123" s="54"/>
    </row>
    <row r="124" spans="1:9" ht="25.5" x14ac:dyDescent="0.2">
      <c r="A124" s="54"/>
      <c r="B124" s="23" t="s">
        <v>652</v>
      </c>
      <c r="C124" s="60">
        <v>7.4999999999999997E-2</v>
      </c>
      <c r="D124" s="27" t="s">
        <v>117</v>
      </c>
      <c r="E124" s="54"/>
      <c r="F124" s="56"/>
      <c r="G124" s="57"/>
    </row>
    <row r="125" spans="1:9" ht="25.5" x14ac:dyDescent="0.2">
      <c r="A125" s="54"/>
      <c r="B125" s="23" t="s">
        <v>621</v>
      </c>
      <c r="C125" s="60">
        <v>7.4999999999999997E-2</v>
      </c>
      <c r="D125" s="27" t="s">
        <v>117</v>
      </c>
      <c r="E125" s="54"/>
      <c r="F125" s="56"/>
      <c r="G125" s="57"/>
    </row>
    <row r="126" spans="1:9" x14ac:dyDescent="0.2">
      <c r="A126" s="54"/>
      <c r="B126" s="61"/>
      <c r="C126" s="61"/>
      <c r="D126" s="62"/>
      <c r="E126" s="54"/>
      <c r="F126" s="56"/>
      <c r="G126" s="57"/>
    </row>
    <row r="127" spans="1:9" ht="29.25" customHeight="1" x14ac:dyDescent="0.2">
      <c r="A127" s="50"/>
      <c r="B127" s="162" t="s">
        <v>118</v>
      </c>
      <c r="C127" s="163"/>
      <c r="D127" s="32" t="s">
        <v>108</v>
      </c>
      <c r="E127" s="63"/>
      <c r="F127" s="50"/>
      <c r="G127" s="50"/>
      <c r="I127" s="78"/>
    </row>
    <row r="128" spans="1:9" ht="25.5" customHeight="1" x14ac:dyDescent="0.2">
      <c r="A128" s="50"/>
      <c r="B128" s="162" t="s">
        <v>119</v>
      </c>
      <c r="C128" s="163"/>
      <c r="D128" s="32" t="s">
        <v>108</v>
      </c>
      <c r="E128" s="63"/>
      <c r="F128" s="50"/>
      <c r="G128" s="50"/>
      <c r="I128" s="78"/>
    </row>
    <row r="129" spans="1:16" ht="26.25" customHeight="1" x14ac:dyDescent="0.2">
      <c r="A129" s="50"/>
      <c r="B129" s="162" t="s">
        <v>546</v>
      </c>
      <c r="C129" s="163"/>
      <c r="D129" s="32" t="s">
        <v>108</v>
      </c>
      <c r="E129" s="63"/>
      <c r="F129" s="50"/>
      <c r="G129" s="50"/>
      <c r="I129" s="78"/>
    </row>
    <row r="130" spans="1:16" x14ac:dyDescent="0.2">
      <c r="A130" s="64"/>
      <c r="B130" s="64"/>
      <c r="C130" s="64"/>
      <c r="D130" s="64"/>
      <c r="E130" s="64"/>
      <c r="F130" s="64"/>
      <c r="G130" s="64"/>
      <c r="I130" s="78"/>
    </row>
    <row r="131" spans="1:16" s="65" customFormat="1" x14ac:dyDescent="0.2">
      <c r="B131" s="165" t="s">
        <v>547</v>
      </c>
      <c r="C131" s="166"/>
      <c r="D131" s="167"/>
      <c r="I131" s="78"/>
      <c r="J131" s="34"/>
      <c r="K131" s="34"/>
      <c r="L131" s="34"/>
      <c r="M131" s="34"/>
      <c r="N131" s="71"/>
    </row>
    <row r="132" spans="1:16" s="65" customFormat="1" ht="38.25" x14ac:dyDescent="0.2">
      <c r="B132" s="175" t="s">
        <v>548</v>
      </c>
      <c r="C132" s="176"/>
      <c r="D132" s="66" t="s">
        <v>146</v>
      </c>
      <c r="I132" s="78"/>
      <c r="J132" s="34"/>
      <c r="K132" s="34"/>
      <c r="L132" s="34"/>
      <c r="M132" s="34"/>
      <c r="N132" s="71"/>
    </row>
    <row r="133" spans="1:16" s="65" customFormat="1" x14ac:dyDescent="0.2">
      <c r="B133" s="169" t="s">
        <v>549</v>
      </c>
      <c r="C133" s="170"/>
      <c r="D133" s="67"/>
      <c r="I133" s="78"/>
      <c r="J133" s="34"/>
      <c r="K133" s="34"/>
      <c r="L133" s="34"/>
      <c r="M133" s="34"/>
      <c r="N133" s="71"/>
    </row>
    <row r="134" spans="1:16" s="65" customFormat="1" x14ac:dyDescent="0.2">
      <c r="B134" s="169"/>
      <c r="C134" s="170"/>
      <c r="D134" s="68"/>
      <c r="I134" s="78"/>
      <c r="J134" s="34"/>
      <c r="K134" s="34"/>
      <c r="L134" s="34"/>
      <c r="M134" s="34"/>
      <c r="N134" s="71"/>
    </row>
    <row r="135" spans="1:16" s="65" customFormat="1" x14ac:dyDescent="0.2">
      <c r="B135" s="169" t="s">
        <v>550</v>
      </c>
      <c r="C135" s="172"/>
      <c r="D135" s="69">
        <v>7.5919237708650407</v>
      </c>
      <c r="I135" s="78"/>
      <c r="J135" s="34"/>
      <c r="K135" s="34"/>
      <c r="L135" s="34"/>
      <c r="M135" s="34"/>
      <c r="N135" s="71"/>
    </row>
    <row r="136" spans="1:16" s="65" customFormat="1" x14ac:dyDescent="0.2">
      <c r="B136" s="169"/>
      <c r="C136" s="170"/>
      <c r="D136" s="68"/>
      <c r="I136" s="78"/>
      <c r="J136" s="34"/>
      <c r="K136" s="34"/>
      <c r="L136" s="34"/>
      <c r="M136" s="34"/>
      <c r="N136" s="71"/>
    </row>
    <row r="137" spans="1:16" s="65" customFormat="1" x14ac:dyDescent="0.2">
      <c r="B137" s="169" t="s">
        <v>551</v>
      </c>
      <c r="C137" s="172"/>
      <c r="D137" s="69">
        <v>0.80356540459284453</v>
      </c>
      <c r="I137" s="78"/>
      <c r="J137" s="34"/>
      <c r="K137" s="34"/>
      <c r="L137" s="34"/>
      <c r="M137" s="34"/>
      <c r="N137" s="71"/>
    </row>
    <row r="138" spans="1:16" s="65" customFormat="1" x14ac:dyDescent="0.2">
      <c r="B138" s="169" t="s">
        <v>552</v>
      </c>
      <c r="C138" s="172"/>
      <c r="D138" s="69">
        <v>0.80356540459284453</v>
      </c>
      <c r="I138" s="78"/>
      <c r="J138" s="34"/>
      <c r="K138" s="34"/>
      <c r="L138" s="34"/>
      <c r="M138" s="34"/>
      <c r="N138" s="71"/>
    </row>
    <row r="139" spans="1:16" s="65" customFormat="1" x14ac:dyDescent="0.2">
      <c r="B139" s="169"/>
      <c r="C139" s="170"/>
      <c r="D139" s="68"/>
      <c r="I139" s="78"/>
      <c r="J139" s="34"/>
      <c r="K139" s="34"/>
      <c r="L139" s="34"/>
      <c r="M139" s="34"/>
      <c r="N139" s="71"/>
    </row>
    <row r="140" spans="1:16" s="65" customFormat="1" x14ac:dyDescent="0.2">
      <c r="B140" s="168" t="s">
        <v>553</v>
      </c>
      <c r="C140" s="168"/>
      <c r="D140" s="70" t="s">
        <v>645</v>
      </c>
      <c r="I140" s="78"/>
      <c r="J140" s="34"/>
      <c r="K140" s="34"/>
      <c r="L140" s="34"/>
      <c r="M140" s="34"/>
      <c r="N140" s="71"/>
    </row>
    <row r="141" spans="1:16" s="65" customFormat="1" x14ac:dyDescent="0.2">
      <c r="B141" s="169" t="s">
        <v>554</v>
      </c>
      <c r="C141" s="171"/>
      <c r="D141" s="170"/>
      <c r="I141" s="78"/>
      <c r="J141" s="34"/>
      <c r="K141" s="34"/>
      <c r="L141" s="34"/>
      <c r="M141" s="34"/>
      <c r="N141" s="71"/>
      <c r="O141"/>
      <c r="P141"/>
    </row>
    <row r="142" spans="1:16" x14ac:dyDescent="0.2">
      <c r="I142" s="78"/>
    </row>
    <row r="143" spans="1:16" ht="25.5" x14ac:dyDescent="0.2">
      <c r="B143" s="72" t="s">
        <v>555</v>
      </c>
      <c r="I143" s="78"/>
    </row>
    <row r="144" spans="1:16" x14ac:dyDescent="0.2">
      <c r="I144" s="78"/>
    </row>
    <row r="145" spans="2:9" ht="153.75" customHeight="1" x14ac:dyDescent="0.2">
      <c r="I145" s="78"/>
    </row>
    <row r="146" spans="2:9" x14ac:dyDescent="0.2">
      <c r="I146" s="78"/>
    </row>
    <row r="147" spans="2:9" x14ac:dyDescent="0.2">
      <c r="I147" s="78"/>
    </row>
    <row r="148" spans="2:9" x14ac:dyDescent="0.2">
      <c r="B148" s="73" t="s">
        <v>556</v>
      </c>
      <c r="C148" s="74"/>
      <c r="D148" s="73"/>
      <c r="I148" s="78"/>
    </row>
    <row r="149" spans="2:9" x14ac:dyDescent="0.2">
      <c r="B149" s="73" t="s">
        <v>564</v>
      </c>
      <c r="D149" s="73"/>
      <c r="I149" s="78"/>
    </row>
    <row r="150" spans="2:9" ht="165" customHeight="1" x14ac:dyDescent="0.2">
      <c r="I150" s="78"/>
    </row>
    <row r="151" spans="2:9" x14ac:dyDescent="0.2">
      <c r="I151" s="78"/>
    </row>
    <row r="152" spans="2:9" x14ac:dyDescent="0.2">
      <c r="I152" s="78"/>
    </row>
    <row r="153" spans="2:9" x14ac:dyDescent="0.2">
      <c r="I153" s="78"/>
    </row>
    <row r="154" spans="2:9" x14ac:dyDescent="0.2">
      <c r="I154" s="78"/>
    </row>
    <row r="155" spans="2:9" x14ac:dyDescent="0.2">
      <c r="I155" s="78"/>
    </row>
    <row r="156" spans="2:9" x14ac:dyDescent="0.2">
      <c r="I156" s="78"/>
    </row>
    <row r="157" spans="2:9" x14ac:dyDescent="0.2">
      <c r="I157" s="78"/>
    </row>
    <row r="158" spans="2:9" x14ac:dyDescent="0.2">
      <c r="I158" s="78"/>
    </row>
    <row r="159" spans="2:9" x14ac:dyDescent="0.2">
      <c r="I159" s="78"/>
    </row>
    <row r="160" spans="2:9" x14ac:dyDescent="0.2">
      <c r="I160" s="78"/>
    </row>
    <row r="161" spans="9:9" x14ac:dyDescent="0.2">
      <c r="I161" s="78"/>
    </row>
    <row r="162" spans="9:9" x14ac:dyDescent="0.2">
      <c r="I162" s="78"/>
    </row>
    <row r="163" spans="9:9" x14ac:dyDescent="0.2">
      <c r="I163" s="78"/>
    </row>
    <row r="164" spans="9:9" x14ac:dyDescent="0.2">
      <c r="I164" s="78"/>
    </row>
    <row r="165" spans="9:9" x14ac:dyDescent="0.2">
      <c r="I165" s="78"/>
    </row>
    <row r="166" spans="9:9" x14ac:dyDescent="0.2">
      <c r="I166" s="78"/>
    </row>
    <row r="167" spans="9:9" x14ac:dyDescent="0.2">
      <c r="I167" s="78"/>
    </row>
    <row r="168" spans="9:9" x14ac:dyDescent="0.2">
      <c r="I168" s="78"/>
    </row>
    <row r="169" spans="9:9" x14ac:dyDescent="0.2">
      <c r="I169" s="78"/>
    </row>
    <row r="170" spans="9:9" x14ac:dyDescent="0.2">
      <c r="I170" s="78"/>
    </row>
    <row r="171" spans="9:9" x14ac:dyDescent="0.2">
      <c r="I171" s="78"/>
    </row>
    <row r="172" spans="9:9" x14ac:dyDescent="0.2">
      <c r="I172" s="78"/>
    </row>
    <row r="173" spans="9:9" x14ac:dyDescent="0.2">
      <c r="I173" s="78"/>
    </row>
    <row r="174" spans="9:9" x14ac:dyDescent="0.2">
      <c r="I174" s="78"/>
    </row>
    <row r="175" spans="9:9" x14ac:dyDescent="0.2">
      <c r="I175" s="78"/>
    </row>
    <row r="176" spans="9:9" x14ac:dyDescent="0.2">
      <c r="I176" s="78"/>
    </row>
    <row r="177" spans="9:9" x14ac:dyDescent="0.2">
      <c r="I177" s="78"/>
    </row>
  </sheetData>
  <mergeCells count="26">
    <mergeCell ref="B138:C138"/>
    <mergeCell ref="B139:C139"/>
    <mergeCell ref="B140:C140"/>
    <mergeCell ref="B141:D141"/>
    <mergeCell ref="B107:H107"/>
    <mergeCell ref="B133:C133"/>
    <mergeCell ref="B134:C134"/>
    <mergeCell ref="B135:C135"/>
    <mergeCell ref="B136:C136"/>
    <mergeCell ref="B137:C137"/>
    <mergeCell ref="B132:C132"/>
    <mergeCell ref="B127:C127"/>
    <mergeCell ref="B131:D131"/>
    <mergeCell ref="B129:C129"/>
    <mergeCell ref="B111:C111"/>
    <mergeCell ref="B112:C112"/>
    <mergeCell ref="B122:C122"/>
    <mergeCell ref="B128:C128"/>
    <mergeCell ref="A1:H1"/>
    <mergeCell ref="A2:H2"/>
    <mergeCell ref="A3:H3"/>
    <mergeCell ref="B109:D109"/>
    <mergeCell ref="B110:C110"/>
    <mergeCell ref="B104:H104"/>
    <mergeCell ref="B105:H105"/>
    <mergeCell ref="B106:H106"/>
  </mergeCells>
  <hyperlinks>
    <hyperlink ref="I1" location="Index!B2" display="Index" xr:uid="{DF6F61E7-3DB7-414F-91C1-FC19E5A7917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B20BB-610B-4098-B65A-401E874D81CA}">
  <sheetPr>
    <outlinePr summaryBelow="0" summaryRight="0"/>
  </sheetPr>
  <dimension ref="A1:T184"/>
  <sheetViews>
    <sheetView showGridLines="0" workbookViewId="0">
      <selection sqref="A1:H1"/>
    </sheetView>
  </sheetViews>
  <sheetFormatPr defaultRowHeight="12.75" x14ac:dyDescent="0.2"/>
  <cols>
    <col min="1" max="1" width="5.85546875" bestFit="1" customWidth="1"/>
    <col min="2" max="2" width="21.85546875" customWidth="1"/>
    <col min="3" max="3" width="34" bestFit="1" customWidth="1"/>
    <col min="4" max="4" width="13" customWidth="1"/>
    <col min="5" max="5" width="12" customWidth="1"/>
    <col min="6" max="6" width="13.28515625" customWidth="1"/>
    <col min="7" max="7" width="14" bestFit="1" customWidth="1"/>
    <col min="8" max="9" width="10.7109375" customWidth="1"/>
    <col min="10" max="10" width="11" customWidth="1"/>
  </cols>
  <sheetData>
    <row r="1" spans="1:9" ht="15" x14ac:dyDescent="0.2">
      <c r="A1" s="156" t="s">
        <v>0</v>
      </c>
      <c r="B1" s="156"/>
      <c r="C1" s="156"/>
      <c r="D1" s="156"/>
      <c r="E1" s="156"/>
      <c r="F1" s="156"/>
      <c r="G1" s="156"/>
      <c r="H1" s="156"/>
      <c r="I1" s="9" t="s">
        <v>658</v>
      </c>
    </row>
    <row r="2" spans="1:9" ht="15" x14ac:dyDescent="0.2">
      <c r="A2" s="156" t="s">
        <v>204</v>
      </c>
      <c r="B2" s="156"/>
      <c r="C2" s="156"/>
      <c r="D2" s="156"/>
      <c r="E2" s="156"/>
      <c r="F2" s="156"/>
      <c r="G2" s="156"/>
      <c r="H2" s="156"/>
    </row>
    <row r="3" spans="1:9" ht="15" x14ac:dyDescent="0.2">
      <c r="A3" s="156" t="s">
        <v>563</v>
      </c>
      <c r="B3" s="156"/>
      <c r="C3" s="156"/>
      <c r="D3" s="156"/>
      <c r="E3" s="156"/>
      <c r="F3" s="156"/>
      <c r="G3" s="156"/>
      <c r="H3" s="156"/>
    </row>
    <row r="4" spans="1:9" s="13" customFormat="1" ht="30" x14ac:dyDescent="0.2">
      <c r="A4" s="11" t="s">
        <v>2</v>
      </c>
      <c r="B4" s="11" t="s">
        <v>3</v>
      </c>
      <c r="C4" s="11" t="s">
        <v>4</v>
      </c>
      <c r="D4" s="11" t="s">
        <v>5</v>
      </c>
      <c r="E4" s="11" t="s">
        <v>6</v>
      </c>
      <c r="F4" s="11" t="s">
        <v>7</v>
      </c>
      <c r="G4" s="11" t="s">
        <v>8</v>
      </c>
      <c r="H4" s="12" t="s">
        <v>527</v>
      </c>
    </row>
    <row r="5" spans="1:9" x14ac:dyDescent="0.2">
      <c r="A5" s="14"/>
      <c r="B5" s="14"/>
      <c r="C5" s="15" t="s">
        <v>9</v>
      </c>
      <c r="D5" s="14"/>
      <c r="E5" s="14"/>
      <c r="F5" s="14"/>
      <c r="G5" s="14"/>
      <c r="H5" s="16" t="s">
        <v>12</v>
      </c>
    </row>
    <row r="6" spans="1:9" ht="25.5" x14ac:dyDescent="0.2">
      <c r="A6" s="14"/>
      <c r="B6" s="14"/>
      <c r="C6" s="15" t="s">
        <v>10</v>
      </c>
      <c r="D6" s="14"/>
      <c r="E6" s="14"/>
      <c r="F6" s="14"/>
      <c r="G6" s="14"/>
      <c r="H6" s="16" t="s">
        <v>12</v>
      </c>
    </row>
    <row r="7" spans="1:9" x14ac:dyDescent="0.2">
      <c r="A7" s="14"/>
      <c r="B7" s="14"/>
      <c r="C7" s="15" t="s">
        <v>11</v>
      </c>
      <c r="D7" s="14"/>
      <c r="E7" s="14" t="s">
        <v>12</v>
      </c>
      <c r="F7" s="17" t="s">
        <v>13</v>
      </c>
      <c r="G7" s="18">
        <v>0</v>
      </c>
      <c r="H7" s="16" t="s">
        <v>12</v>
      </c>
    </row>
    <row r="8" spans="1:9" x14ac:dyDescent="0.2">
      <c r="A8" s="14"/>
      <c r="B8" s="14"/>
      <c r="C8" s="19"/>
      <c r="D8" s="14"/>
      <c r="E8" s="14"/>
      <c r="F8" s="20"/>
      <c r="G8" s="20"/>
      <c r="H8" s="16" t="s">
        <v>12</v>
      </c>
    </row>
    <row r="9" spans="1:9" x14ac:dyDescent="0.2">
      <c r="A9" s="14"/>
      <c r="B9" s="14"/>
      <c r="C9" s="15" t="s">
        <v>14</v>
      </c>
      <c r="D9" s="14"/>
      <c r="E9" s="14"/>
      <c r="F9" s="14"/>
      <c r="G9" s="14"/>
      <c r="H9" s="16" t="s">
        <v>12</v>
      </c>
    </row>
    <row r="10" spans="1:9" x14ac:dyDescent="0.2">
      <c r="A10" s="14"/>
      <c r="B10" s="14"/>
      <c r="C10" s="15" t="s">
        <v>11</v>
      </c>
      <c r="D10" s="14"/>
      <c r="E10" s="14" t="s">
        <v>12</v>
      </c>
      <c r="F10" s="17" t="s">
        <v>13</v>
      </c>
      <c r="G10" s="18">
        <v>0</v>
      </c>
      <c r="H10" s="16" t="s">
        <v>12</v>
      </c>
    </row>
    <row r="11" spans="1:9" x14ac:dyDescent="0.2">
      <c r="A11" s="14"/>
      <c r="B11" s="14"/>
      <c r="C11" s="19"/>
      <c r="D11" s="14"/>
      <c r="E11" s="14"/>
      <c r="F11" s="20"/>
      <c r="G11" s="20"/>
      <c r="H11" s="16" t="s">
        <v>12</v>
      </c>
    </row>
    <row r="12" spans="1:9" x14ac:dyDescent="0.2">
      <c r="A12" s="14"/>
      <c r="B12" s="14"/>
      <c r="C12" s="15" t="s">
        <v>15</v>
      </c>
      <c r="D12" s="14"/>
      <c r="E12" s="14"/>
      <c r="F12" s="14"/>
      <c r="G12" s="14"/>
      <c r="H12" s="16" t="s">
        <v>12</v>
      </c>
    </row>
    <row r="13" spans="1:9" x14ac:dyDescent="0.2">
      <c r="A13" s="14"/>
      <c r="B13" s="14"/>
      <c r="C13" s="15" t="s">
        <v>11</v>
      </c>
      <c r="D13" s="14"/>
      <c r="E13" s="14" t="s">
        <v>12</v>
      </c>
      <c r="F13" s="17" t="s">
        <v>13</v>
      </c>
      <c r="G13" s="18">
        <v>0</v>
      </c>
      <c r="H13" s="16" t="s">
        <v>12</v>
      </c>
    </row>
    <row r="14" spans="1:9" x14ac:dyDescent="0.2">
      <c r="A14" s="14"/>
      <c r="B14" s="14"/>
      <c r="C14" s="19"/>
      <c r="D14" s="14"/>
      <c r="E14" s="14"/>
      <c r="F14" s="20"/>
      <c r="G14" s="20"/>
      <c r="H14" s="16" t="s">
        <v>12</v>
      </c>
    </row>
    <row r="15" spans="1:9" x14ac:dyDescent="0.2">
      <c r="A15" s="14"/>
      <c r="B15" s="14"/>
      <c r="C15" s="15" t="s">
        <v>16</v>
      </c>
      <c r="D15" s="14"/>
      <c r="E15" s="14"/>
      <c r="F15" s="14"/>
      <c r="G15" s="14"/>
      <c r="H15" s="16" t="s">
        <v>12</v>
      </c>
    </row>
    <row r="16" spans="1:9" x14ac:dyDescent="0.2">
      <c r="A16" s="14"/>
      <c r="B16" s="14"/>
      <c r="C16" s="15" t="s">
        <v>11</v>
      </c>
      <c r="D16" s="14"/>
      <c r="E16" s="14" t="s">
        <v>12</v>
      </c>
      <c r="F16" s="17" t="s">
        <v>13</v>
      </c>
      <c r="G16" s="18">
        <v>0</v>
      </c>
      <c r="H16" s="16" t="s">
        <v>12</v>
      </c>
    </row>
    <row r="17" spans="1:8" x14ac:dyDescent="0.2">
      <c r="A17" s="14"/>
      <c r="B17" s="14"/>
      <c r="C17" s="19"/>
      <c r="D17" s="14"/>
      <c r="E17" s="14"/>
      <c r="F17" s="20"/>
      <c r="G17" s="20"/>
      <c r="H17" s="16" t="s">
        <v>12</v>
      </c>
    </row>
    <row r="18" spans="1:8" x14ac:dyDescent="0.2">
      <c r="A18" s="14"/>
      <c r="B18" s="14"/>
      <c r="C18" s="15" t="s">
        <v>17</v>
      </c>
      <c r="D18" s="14"/>
      <c r="E18" s="14"/>
      <c r="F18" s="20"/>
      <c r="G18" s="20"/>
      <c r="H18" s="16" t="s">
        <v>12</v>
      </c>
    </row>
    <row r="19" spans="1:8" x14ac:dyDescent="0.2">
      <c r="A19" s="14"/>
      <c r="B19" s="14"/>
      <c r="C19" s="15" t="s">
        <v>11</v>
      </c>
      <c r="D19" s="14"/>
      <c r="E19" s="14" t="s">
        <v>12</v>
      </c>
      <c r="F19" s="17" t="s">
        <v>13</v>
      </c>
      <c r="G19" s="18">
        <v>0</v>
      </c>
      <c r="H19" s="16" t="s">
        <v>12</v>
      </c>
    </row>
    <row r="20" spans="1:8" x14ac:dyDescent="0.2">
      <c r="A20" s="14"/>
      <c r="B20" s="14"/>
      <c r="C20" s="19"/>
      <c r="D20" s="14"/>
      <c r="E20" s="14"/>
      <c r="F20" s="20"/>
      <c r="G20" s="20"/>
      <c r="H20" s="16" t="s">
        <v>12</v>
      </c>
    </row>
    <row r="21" spans="1:8" x14ac:dyDescent="0.2">
      <c r="A21" s="14"/>
      <c r="B21" s="14"/>
      <c r="C21" s="15" t="s">
        <v>18</v>
      </c>
      <c r="D21" s="14"/>
      <c r="E21" s="14"/>
      <c r="F21" s="20"/>
      <c r="G21" s="20"/>
      <c r="H21" s="16" t="s">
        <v>12</v>
      </c>
    </row>
    <row r="22" spans="1:8" x14ac:dyDescent="0.2">
      <c r="A22" s="14"/>
      <c r="B22" s="14"/>
      <c r="C22" s="15" t="s">
        <v>11</v>
      </c>
      <c r="D22" s="14"/>
      <c r="E22" s="14" t="s">
        <v>12</v>
      </c>
      <c r="F22" s="17" t="s">
        <v>13</v>
      </c>
      <c r="G22" s="18">
        <v>0</v>
      </c>
      <c r="H22" s="16" t="s">
        <v>12</v>
      </c>
    </row>
    <row r="23" spans="1:8" x14ac:dyDescent="0.2">
      <c r="A23" s="14"/>
      <c r="B23" s="14"/>
      <c r="C23" s="19"/>
      <c r="D23" s="14"/>
      <c r="E23" s="14"/>
      <c r="F23" s="20"/>
      <c r="G23" s="20"/>
      <c r="H23" s="16" t="s">
        <v>12</v>
      </c>
    </row>
    <row r="24" spans="1:8" x14ac:dyDescent="0.2">
      <c r="A24" s="14"/>
      <c r="B24" s="14"/>
      <c r="C24" s="15" t="s">
        <v>19</v>
      </c>
      <c r="D24" s="14"/>
      <c r="E24" s="14"/>
      <c r="F24" s="21">
        <v>0</v>
      </c>
      <c r="G24" s="18">
        <v>0</v>
      </c>
      <c r="H24" s="16" t="s">
        <v>12</v>
      </c>
    </row>
    <row r="25" spans="1:8" x14ac:dyDescent="0.2">
      <c r="A25" s="14"/>
      <c r="B25" s="14"/>
      <c r="C25" s="19"/>
      <c r="D25" s="14"/>
      <c r="E25" s="14"/>
      <c r="F25" s="20"/>
      <c r="G25" s="20"/>
      <c r="H25" s="16" t="s">
        <v>12</v>
      </c>
    </row>
    <row r="26" spans="1:8" x14ac:dyDescent="0.2">
      <c r="A26" s="14"/>
      <c r="B26" s="14"/>
      <c r="C26" s="15" t="s">
        <v>20</v>
      </c>
      <c r="D26" s="14"/>
      <c r="E26" s="14"/>
      <c r="F26" s="20"/>
      <c r="G26" s="20"/>
      <c r="H26" s="16" t="s">
        <v>12</v>
      </c>
    </row>
    <row r="27" spans="1:8" ht="25.5" x14ac:dyDescent="0.2">
      <c r="A27" s="14"/>
      <c r="B27" s="14"/>
      <c r="C27" s="15" t="s">
        <v>10</v>
      </c>
      <c r="D27" s="14"/>
      <c r="E27" s="14"/>
      <c r="F27" s="20"/>
      <c r="G27" s="20"/>
      <c r="H27" s="16" t="s">
        <v>12</v>
      </c>
    </row>
    <row r="28" spans="1:8" ht="25.5" x14ac:dyDescent="0.2">
      <c r="A28" s="22">
        <v>1</v>
      </c>
      <c r="B28" s="23" t="s">
        <v>205</v>
      </c>
      <c r="C28" s="23" t="s">
        <v>206</v>
      </c>
      <c r="D28" s="23" t="s">
        <v>207</v>
      </c>
      <c r="E28" s="24">
        <v>1500</v>
      </c>
      <c r="F28" s="25">
        <v>1506.4604999999999</v>
      </c>
      <c r="G28" s="26">
        <v>3.9853079999999999E-2</v>
      </c>
      <c r="H28" s="16">
        <v>8.0950000000000006</v>
      </c>
    </row>
    <row r="29" spans="1:8" ht="25.5" x14ac:dyDescent="0.2">
      <c r="A29" s="22">
        <v>2</v>
      </c>
      <c r="B29" s="23" t="s">
        <v>208</v>
      </c>
      <c r="C29" s="23" t="s">
        <v>209</v>
      </c>
      <c r="D29" s="23" t="s">
        <v>210</v>
      </c>
      <c r="E29" s="24">
        <v>1500</v>
      </c>
      <c r="F29" s="25">
        <v>1505.598</v>
      </c>
      <c r="G29" s="26">
        <v>3.9830259999999999E-2</v>
      </c>
      <c r="H29" s="16">
        <v>8.8000000000000007</v>
      </c>
    </row>
    <row r="30" spans="1:8" x14ac:dyDescent="0.2">
      <c r="A30" s="22">
        <v>3</v>
      </c>
      <c r="B30" s="23" t="s">
        <v>211</v>
      </c>
      <c r="C30" s="23" t="s">
        <v>212</v>
      </c>
      <c r="D30" s="23" t="s">
        <v>23</v>
      </c>
      <c r="E30" s="24">
        <v>1500</v>
      </c>
      <c r="F30" s="25">
        <v>1496.4314999999999</v>
      </c>
      <c r="G30" s="26">
        <v>3.958776E-2</v>
      </c>
      <c r="H30" s="16">
        <v>7.7117000000000004</v>
      </c>
    </row>
    <row r="31" spans="1:8" x14ac:dyDescent="0.2">
      <c r="A31" s="22">
        <v>4</v>
      </c>
      <c r="B31" s="23" t="s">
        <v>213</v>
      </c>
      <c r="C31" s="23" t="s">
        <v>214</v>
      </c>
      <c r="D31" s="23" t="s">
        <v>210</v>
      </c>
      <c r="E31" s="24">
        <v>1200</v>
      </c>
      <c r="F31" s="25">
        <v>1202.8751999999999</v>
      </c>
      <c r="G31" s="26">
        <v>3.1821790000000003E-2</v>
      </c>
      <c r="H31" s="16">
        <v>8.34</v>
      </c>
    </row>
    <row r="32" spans="1:8" ht="25.5" x14ac:dyDescent="0.2">
      <c r="A32" s="22">
        <v>5</v>
      </c>
      <c r="B32" s="23" t="s">
        <v>67</v>
      </c>
      <c r="C32" s="23" t="s">
        <v>68</v>
      </c>
      <c r="D32" s="23" t="s">
        <v>23</v>
      </c>
      <c r="E32" s="24">
        <v>1000</v>
      </c>
      <c r="F32" s="25">
        <v>1003.438</v>
      </c>
      <c r="G32" s="26">
        <v>2.654573E-2</v>
      </c>
      <c r="H32" s="16">
        <v>7.5404999999999998</v>
      </c>
    </row>
    <row r="33" spans="1:8" ht="25.5" x14ac:dyDescent="0.2">
      <c r="A33" s="22">
        <v>6</v>
      </c>
      <c r="B33" s="23" t="s">
        <v>215</v>
      </c>
      <c r="C33" s="23" t="s">
        <v>216</v>
      </c>
      <c r="D33" s="23" t="s">
        <v>207</v>
      </c>
      <c r="E33" s="24">
        <v>1000</v>
      </c>
      <c r="F33" s="25">
        <v>1001.413</v>
      </c>
      <c r="G33" s="26">
        <v>2.6492160000000001E-2</v>
      </c>
      <c r="H33" s="16">
        <v>8.07</v>
      </c>
    </row>
    <row r="34" spans="1:8" ht="25.5" x14ac:dyDescent="0.2">
      <c r="A34" s="22">
        <v>7</v>
      </c>
      <c r="B34" s="23" t="s">
        <v>217</v>
      </c>
      <c r="C34" s="23" t="s">
        <v>218</v>
      </c>
      <c r="D34" s="23" t="s">
        <v>219</v>
      </c>
      <c r="E34" s="24">
        <v>1000</v>
      </c>
      <c r="F34" s="25">
        <v>998.50800000000004</v>
      </c>
      <c r="G34" s="26">
        <v>2.6415310000000001E-2</v>
      </c>
      <c r="H34" s="16">
        <v>9.34</v>
      </c>
    </row>
    <row r="35" spans="1:8" x14ac:dyDescent="0.2">
      <c r="A35" s="22">
        <v>8</v>
      </c>
      <c r="B35" s="23" t="s">
        <v>220</v>
      </c>
      <c r="C35" s="23" t="s">
        <v>221</v>
      </c>
      <c r="D35" s="23" t="s">
        <v>23</v>
      </c>
      <c r="E35" s="24">
        <v>1000</v>
      </c>
      <c r="F35" s="25">
        <v>998.46299999999997</v>
      </c>
      <c r="G35" s="26">
        <v>2.6414119999999999E-2</v>
      </c>
      <c r="H35" s="16">
        <v>7.72</v>
      </c>
    </row>
    <row r="36" spans="1:8" ht="25.5" x14ac:dyDescent="0.2">
      <c r="A36" s="22">
        <v>9</v>
      </c>
      <c r="B36" s="23" t="s">
        <v>222</v>
      </c>
      <c r="C36" s="23" t="s">
        <v>223</v>
      </c>
      <c r="D36" s="23" t="s">
        <v>210</v>
      </c>
      <c r="E36" s="24">
        <v>100</v>
      </c>
      <c r="F36" s="25">
        <v>998.125</v>
      </c>
      <c r="G36" s="26">
        <v>2.6405169999999999E-2</v>
      </c>
      <c r="H36" s="16">
        <v>8.4149999999999991</v>
      </c>
    </row>
    <row r="37" spans="1:8" ht="25.5" x14ac:dyDescent="0.2">
      <c r="A37" s="22">
        <v>10</v>
      </c>
      <c r="B37" s="23" t="s">
        <v>224</v>
      </c>
      <c r="C37" s="23" t="s">
        <v>225</v>
      </c>
      <c r="D37" s="23" t="s">
        <v>23</v>
      </c>
      <c r="E37" s="24">
        <v>100</v>
      </c>
      <c r="F37" s="25">
        <v>997.31899999999996</v>
      </c>
      <c r="G37" s="26">
        <v>2.638385E-2</v>
      </c>
      <c r="H37" s="16">
        <v>7.82</v>
      </c>
    </row>
    <row r="38" spans="1:8" ht="25.5" x14ac:dyDescent="0.2">
      <c r="A38" s="22">
        <v>11</v>
      </c>
      <c r="B38" s="23" t="s">
        <v>41</v>
      </c>
      <c r="C38" s="23" t="s">
        <v>42</v>
      </c>
      <c r="D38" s="23" t="s">
        <v>23</v>
      </c>
      <c r="E38" s="24">
        <v>1000</v>
      </c>
      <c r="F38" s="25">
        <v>995.59400000000005</v>
      </c>
      <c r="G38" s="26">
        <v>2.6338219999999999E-2</v>
      </c>
      <c r="H38" s="16">
        <v>7.5624000000000002</v>
      </c>
    </row>
    <row r="39" spans="1:8" ht="25.5" x14ac:dyDescent="0.2">
      <c r="A39" s="22">
        <v>12</v>
      </c>
      <c r="B39" s="23" t="s">
        <v>63</v>
      </c>
      <c r="C39" s="23" t="s">
        <v>64</v>
      </c>
      <c r="D39" s="23" t="s">
        <v>23</v>
      </c>
      <c r="E39" s="24">
        <v>1000</v>
      </c>
      <c r="F39" s="25">
        <v>995.31399999999996</v>
      </c>
      <c r="G39" s="26">
        <v>2.633081E-2</v>
      </c>
      <c r="H39" s="16">
        <v>7.73</v>
      </c>
    </row>
    <row r="40" spans="1:8" ht="25.5" x14ac:dyDescent="0.2">
      <c r="A40" s="22">
        <v>13</v>
      </c>
      <c r="B40" s="23" t="s">
        <v>226</v>
      </c>
      <c r="C40" s="23" t="s">
        <v>227</v>
      </c>
      <c r="D40" s="23" t="s">
        <v>210</v>
      </c>
      <c r="E40" s="24">
        <v>900</v>
      </c>
      <c r="F40" s="25">
        <v>901.18529999999998</v>
      </c>
      <c r="G40" s="26">
        <v>2.384066E-2</v>
      </c>
      <c r="H40" s="16">
        <v>8.1988000000000003</v>
      </c>
    </row>
    <row r="41" spans="1:8" ht="25.5" x14ac:dyDescent="0.2">
      <c r="A41" s="22">
        <v>14</v>
      </c>
      <c r="B41" s="23" t="s">
        <v>228</v>
      </c>
      <c r="C41" s="23" t="s">
        <v>229</v>
      </c>
      <c r="D41" s="23" t="s">
        <v>34</v>
      </c>
      <c r="E41" s="24">
        <v>900</v>
      </c>
      <c r="F41" s="25">
        <v>899.69309999999996</v>
      </c>
      <c r="G41" s="26">
        <v>2.3801180000000002E-2</v>
      </c>
      <c r="H41" s="16">
        <v>8.1300000000000008</v>
      </c>
    </row>
    <row r="42" spans="1:8" ht="25.5" x14ac:dyDescent="0.2">
      <c r="A42" s="22">
        <v>15</v>
      </c>
      <c r="B42" s="23" t="s">
        <v>230</v>
      </c>
      <c r="C42" s="23" t="s">
        <v>231</v>
      </c>
      <c r="D42" s="23" t="s">
        <v>210</v>
      </c>
      <c r="E42" s="24">
        <v>500</v>
      </c>
      <c r="F42" s="25">
        <v>501.49299999999999</v>
      </c>
      <c r="G42" s="26">
        <v>1.326689E-2</v>
      </c>
      <c r="H42" s="16">
        <v>8.6417000000000002</v>
      </c>
    </row>
    <row r="43" spans="1:8" x14ac:dyDescent="0.2">
      <c r="A43" s="22">
        <v>16</v>
      </c>
      <c r="B43" s="23" t="s">
        <v>232</v>
      </c>
      <c r="C43" s="23" t="s">
        <v>233</v>
      </c>
      <c r="D43" s="23" t="s">
        <v>34</v>
      </c>
      <c r="E43" s="24">
        <v>500</v>
      </c>
      <c r="F43" s="25">
        <v>500.42149999999998</v>
      </c>
      <c r="G43" s="26">
        <v>1.323854E-2</v>
      </c>
      <c r="H43" s="16">
        <v>7.49</v>
      </c>
    </row>
    <row r="44" spans="1:8" x14ac:dyDescent="0.2">
      <c r="A44" s="22">
        <v>17</v>
      </c>
      <c r="B44" s="23" t="s">
        <v>55</v>
      </c>
      <c r="C44" s="23" t="s">
        <v>56</v>
      </c>
      <c r="D44" s="23" t="s">
        <v>23</v>
      </c>
      <c r="E44" s="24">
        <v>500</v>
      </c>
      <c r="F44" s="25">
        <v>500.13400000000001</v>
      </c>
      <c r="G44" s="26">
        <v>1.323093E-2</v>
      </c>
      <c r="H44" s="16">
        <v>7.7</v>
      </c>
    </row>
    <row r="45" spans="1:8" ht="25.5" x14ac:dyDescent="0.2">
      <c r="A45" s="22">
        <v>18</v>
      </c>
      <c r="B45" s="23" t="s">
        <v>234</v>
      </c>
      <c r="C45" s="23" t="s">
        <v>235</v>
      </c>
      <c r="D45" s="23" t="s">
        <v>236</v>
      </c>
      <c r="E45" s="24">
        <v>50</v>
      </c>
      <c r="F45" s="25">
        <v>499.93650000000002</v>
      </c>
      <c r="G45" s="26">
        <v>1.322571E-2</v>
      </c>
      <c r="H45" s="16">
        <v>8.25</v>
      </c>
    </row>
    <row r="46" spans="1:8" ht="25.5" x14ac:dyDescent="0.2">
      <c r="A46" s="22">
        <v>19</v>
      </c>
      <c r="B46" s="23" t="s">
        <v>61</v>
      </c>
      <c r="C46" s="23" t="s">
        <v>62</v>
      </c>
      <c r="D46" s="23" t="s">
        <v>23</v>
      </c>
      <c r="E46" s="24">
        <v>500</v>
      </c>
      <c r="F46" s="25">
        <v>499.76400000000001</v>
      </c>
      <c r="G46" s="26">
        <v>1.3221149999999999E-2</v>
      </c>
      <c r="H46" s="16">
        <v>8.2349999999999994</v>
      </c>
    </row>
    <row r="47" spans="1:8" ht="25.5" x14ac:dyDescent="0.2">
      <c r="A47" s="22">
        <v>20</v>
      </c>
      <c r="B47" s="23" t="s">
        <v>237</v>
      </c>
      <c r="C47" s="23" t="s">
        <v>238</v>
      </c>
      <c r="D47" s="23" t="s">
        <v>210</v>
      </c>
      <c r="E47" s="24">
        <v>350</v>
      </c>
      <c r="F47" s="25">
        <v>350.12705</v>
      </c>
      <c r="G47" s="26">
        <v>9.2625299999999997E-3</v>
      </c>
      <c r="H47" s="16">
        <v>8.6199999999999992</v>
      </c>
    </row>
    <row r="48" spans="1:8" x14ac:dyDescent="0.2">
      <c r="A48" s="14"/>
      <c r="B48" s="14"/>
      <c r="C48" s="15" t="s">
        <v>11</v>
      </c>
      <c r="D48" s="14"/>
      <c r="E48" s="14" t="s">
        <v>12</v>
      </c>
      <c r="F48" s="21">
        <v>18352.29365</v>
      </c>
      <c r="G48" s="18">
        <v>0.48550585000000002</v>
      </c>
      <c r="H48" s="16" t="s">
        <v>12</v>
      </c>
    </row>
    <row r="49" spans="1:8" x14ac:dyDescent="0.2">
      <c r="A49" s="14"/>
      <c r="B49" s="14"/>
      <c r="C49" s="19"/>
      <c r="D49" s="14"/>
      <c r="E49" s="14"/>
      <c r="F49" s="20"/>
      <c r="G49" s="20"/>
      <c r="H49" s="16" t="s">
        <v>12</v>
      </c>
    </row>
    <row r="50" spans="1:8" x14ac:dyDescent="0.2">
      <c r="A50" s="14"/>
      <c r="B50" s="14"/>
      <c r="C50" s="15" t="s">
        <v>71</v>
      </c>
      <c r="D50" s="14"/>
      <c r="E50" s="14"/>
      <c r="F50" s="14"/>
      <c r="G50" s="14"/>
      <c r="H50" s="16" t="s">
        <v>12</v>
      </c>
    </row>
    <row r="51" spans="1:8" x14ac:dyDescent="0.2">
      <c r="A51" s="14"/>
      <c r="B51" s="14"/>
      <c r="C51" s="15" t="s">
        <v>11</v>
      </c>
      <c r="D51" s="14"/>
      <c r="E51" s="14" t="s">
        <v>12</v>
      </c>
      <c r="F51" s="17" t="s">
        <v>13</v>
      </c>
      <c r="G51" s="18">
        <v>0</v>
      </c>
      <c r="H51" s="16" t="s">
        <v>12</v>
      </c>
    </row>
    <row r="52" spans="1:8" x14ac:dyDescent="0.2">
      <c r="A52" s="14"/>
      <c r="B52" s="14"/>
      <c r="C52" s="19"/>
      <c r="D52" s="14"/>
      <c r="E52" s="14"/>
      <c r="F52" s="20"/>
      <c r="G52" s="20"/>
      <c r="H52" s="16" t="s">
        <v>12</v>
      </c>
    </row>
    <row r="53" spans="1:8" x14ac:dyDescent="0.2">
      <c r="A53" s="14"/>
      <c r="B53" s="14"/>
      <c r="C53" s="15" t="s">
        <v>72</v>
      </c>
      <c r="D53" s="14"/>
      <c r="E53" s="14"/>
      <c r="F53" s="14"/>
      <c r="G53" s="14"/>
      <c r="H53" s="16" t="s">
        <v>12</v>
      </c>
    </row>
    <row r="54" spans="1:8" ht="25.5" x14ac:dyDescent="0.2">
      <c r="A54" s="22">
        <v>1</v>
      </c>
      <c r="B54" s="23" t="s">
        <v>239</v>
      </c>
      <c r="C54" s="23" t="s">
        <v>240</v>
      </c>
      <c r="D54" s="23" t="s">
        <v>75</v>
      </c>
      <c r="E54" s="24">
        <v>1000000</v>
      </c>
      <c r="F54" s="25">
        <v>1016.994</v>
      </c>
      <c r="G54" s="26">
        <v>2.690435E-2</v>
      </c>
      <c r="H54" s="16">
        <v>6.6597</v>
      </c>
    </row>
    <row r="55" spans="1:8" ht="25.5" x14ac:dyDescent="0.2">
      <c r="A55" s="22">
        <v>2</v>
      </c>
      <c r="B55" s="23" t="s">
        <v>76</v>
      </c>
      <c r="C55" s="23" t="s">
        <v>77</v>
      </c>
      <c r="D55" s="23" t="s">
        <v>75</v>
      </c>
      <c r="E55" s="24">
        <v>500000</v>
      </c>
      <c r="F55" s="25">
        <v>515.20500000000004</v>
      </c>
      <c r="G55" s="26">
        <v>1.362963E-2</v>
      </c>
      <c r="H55" s="16">
        <v>6.7721999999999998</v>
      </c>
    </row>
    <row r="56" spans="1:8" ht="25.5" x14ac:dyDescent="0.2">
      <c r="A56" s="22">
        <v>3</v>
      </c>
      <c r="B56" s="23" t="s">
        <v>241</v>
      </c>
      <c r="C56" s="23" t="s">
        <v>242</v>
      </c>
      <c r="D56" s="23" t="s">
        <v>75</v>
      </c>
      <c r="E56" s="24">
        <v>400000</v>
      </c>
      <c r="F56" s="25">
        <v>406.16359999999997</v>
      </c>
      <c r="G56" s="26">
        <v>1.074497E-2</v>
      </c>
      <c r="H56" s="16">
        <v>6.7202999999999999</v>
      </c>
    </row>
    <row r="57" spans="1:8" x14ac:dyDescent="0.2">
      <c r="A57" s="14"/>
      <c r="B57" s="14"/>
      <c r="C57" s="15" t="s">
        <v>11</v>
      </c>
      <c r="D57" s="14"/>
      <c r="E57" s="14" t="s">
        <v>12</v>
      </c>
      <c r="F57" s="21">
        <v>1938.3625999999999</v>
      </c>
      <c r="G57" s="18">
        <v>5.1278949999999997E-2</v>
      </c>
      <c r="H57" s="16" t="s">
        <v>12</v>
      </c>
    </row>
    <row r="58" spans="1:8" x14ac:dyDescent="0.2">
      <c r="A58" s="14"/>
      <c r="B58" s="14"/>
      <c r="C58" s="19"/>
      <c r="D58" s="14"/>
      <c r="E58" s="14"/>
      <c r="F58" s="20"/>
      <c r="G58" s="20"/>
      <c r="H58" s="16" t="s">
        <v>12</v>
      </c>
    </row>
    <row r="59" spans="1:8" x14ac:dyDescent="0.2">
      <c r="A59" s="14"/>
      <c r="B59" s="14"/>
      <c r="C59" s="15" t="s">
        <v>88</v>
      </c>
      <c r="D59" s="14"/>
      <c r="E59" s="14"/>
      <c r="F59" s="20"/>
      <c r="G59" s="20"/>
      <c r="H59" s="16" t="s">
        <v>12</v>
      </c>
    </row>
    <row r="60" spans="1:8" x14ac:dyDescent="0.2">
      <c r="A60" s="14"/>
      <c r="B60" s="14"/>
      <c r="C60" s="15" t="s">
        <v>11</v>
      </c>
      <c r="D60" s="14"/>
      <c r="E60" s="14" t="s">
        <v>12</v>
      </c>
      <c r="F60" s="17" t="s">
        <v>13</v>
      </c>
      <c r="G60" s="18">
        <v>0</v>
      </c>
      <c r="H60" s="16" t="s">
        <v>12</v>
      </c>
    </row>
    <row r="61" spans="1:8" x14ac:dyDescent="0.2">
      <c r="A61" s="14"/>
      <c r="B61" s="14"/>
      <c r="C61" s="19"/>
      <c r="D61" s="14"/>
      <c r="E61" s="14"/>
      <c r="F61" s="20"/>
      <c r="G61" s="20"/>
      <c r="H61" s="16" t="s">
        <v>12</v>
      </c>
    </row>
    <row r="62" spans="1:8" x14ac:dyDescent="0.2">
      <c r="A62" s="14"/>
      <c r="B62" s="14"/>
      <c r="C62" s="15" t="s">
        <v>89</v>
      </c>
      <c r="D62" s="14"/>
      <c r="E62" s="14"/>
      <c r="F62" s="21">
        <v>20290.65625</v>
      </c>
      <c r="G62" s="18">
        <v>0.53678479999999995</v>
      </c>
      <c r="H62" s="16" t="s">
        <v>12</v>
      </c>
    </row>
    <row r="63" spans="1:8" x14ac:dyDescent="0.2">
      <c r="A63" s="14"/>
      <c r="B63" s="14"/>
      <c r="C63" s="19"/>
      <c r="D63" s="14"/>
      <c r="E63" s="14"/>
      <c r="F63" s="20"/>
      <c r="G63" s="20"/>
      <c r="H63" s="16" t="s">
        <v>12</v>
      </c>
    </row>
    <row r="64" spans="1:8" x14ac:dyDescent="0.2">
      <c r="A64" s="14"/>
      <c r="B64" s="14"/>
      <c r="C64" s="15" t="s">
        <v>90</v>
      </c>
      <c r="D64" s="14"/>
      <c r="E64" s="14"/>
      <c r="F64" s="20"/>
      <c r="G64" s="20"/>
      <c r="H64" s="16" t="s">
        <v>12</v>
      </c>
    </row>
    <row r="65" spans="1:8" x14ac:dyDescent="0.2">
      <c r="A65" s="14"/>
      <c r="B65" s="14"/>
      <c r="C65" s="15" t="s">
        <v>91</v>
      </c>
      <c r="D65" s="14"/>
      <c r="E65" s="14"/>
      <c r="F65" s="20"/>
      <c r="G65" s="20"/>
      <c r="H65" s="16" t="s">
        <v>12</v>
      </c>
    </row>
    <row r="66" spans="1:8" x14ac:dyDescent="0.2">
      <c r="A66" s="22">
        <v>1</v>
      </c>
      <c r="B66" s="23" t="s">
        <v>243</v>
      </c>
      <c r="C66" s="23" t="s">
        <v>244</v>
      </c>
      <c r="D66" s="23" t="s">
        <v>143</v>
      </c>
      <c r="E66" s="24">
        <v>500</v>
      </c>
      <c r="F66" s="25">
        <v>2462.2849999999999</v>
      </c>
      <c r="G66" s="26">
        <v>6.5139199999999994E-2</v>
      </c>
      <c r="H66" s="16">
        <v>7.7649999999999997</v>
      </c>
    </row>
    <row r="67" spans="1:8" x14ac:dyDescent="0.2">
      <c r="A67" s="22">
        <v>2</v>
      </c>
      <c r="B67" s="23" t="s">
        <v>245</v>
      </c>
      <c r="C67" s="23" t="s">
        <v>246</v>
      </c>
      <c r="D67" s="23" t="s">
        <v>143</v>
      </c>
      <c r="E67" s="24">
        <v>500</v>
      </c>
      <c r="F67" s="25">
        <v>2461.855</v>
      </c>
      <c r="G67" s="26">
        <v>6.5127820000000003E-2</v>
      </c>
      <c r="H67" s="16">
        <v>7.8550000000000004</v>
      </c>
    </row>
    <row r="68" spans="1:8" ht="25.5" x14ac:dyDescent="0.2">
      <c r="A68" s="22">
        <v>3</v>
      </c>
      <c r="B68" s="23" t="s">
        <v>247</v>
      </c>
      <c r="C68" s="23" t="s">
        <v>248</v>
      </c>
      <c r="D68" s="23" t="s">
        <v>143</v>
      </c>
      <c r="E68" s="24">
        <v>500</v>
      </c>
      <c r="F68" s="25">
        <v>2395.11</v>
      </c>
      <c r="G68" s="26">
        <v>6.3362100000000005E-2</v>
      </c>
      <c r="H68" s="16">
        <v>8.0325000000000006</v>
      </c>
    </row>
    <row r="69" spans="1:8" x14ac:dyDescent="0.2">
      <c r="A69" s="22">
        <v>4</v>
      </c>
      <c r="B69" s="23" t="s">
        <v>179</v>
      </c>
      <c r="C69" s="23" t="s">
        <v>180</v>
      </c>
      <c r="D69" s="23" t="s">
        <v>143</v>
      </c>
      <c r="E69" s="24">
        <v>300</v>
      </c>
      <c r="F69" s="25">
        <v>1423.9514999999999</v>
      </c>
      <c r="G69" s="26">
        <v>3.767032E-2</v>
      </c>
      <c r="H69" s="16">
        <v>7.7975000000000003</v>
      </c>
    </row>
    <row r="70" spans="1:8" ht="25.5" x14ac:dyDescent="0.2">
      <c r="A70" s="22">
        <v>5</v>
      </c>
      <c r="B70" s="23" t="s">
        <v>147</v>
      </c>
      <c r="C70" s="23" t="s">
        <v>148</v>
      </c>
      <c r="D70" s="23" t="s">
        <v>143</v>
      </c>
      <c r="E70" s="24">
        <v>200</v>
      </c>
      <c r="F70" s="25">
        <v>931.93799999999999</v>
      </c>
      <c r="G70" s="26">
        <v>2.4654209999999999E-2</v>
      </c>
      <c r="H70" s="16">
        <v>7.66</v>
      </c>
    </row>
    <row r="71" spans="1:8" ht="25.5" x14ac:dyDescent="0.2">
      <c r="A71" s="22">
        <v>6</v>
      </c>
      <c r="B71" s="23" t="s">
        <v>149</v>
      </c>
      <c r="C71" s="23" t="s">
        <v>150</v>
      </c>
      <c r="D71" s="23" t="s">
        <v>143</v>
      </c>
      <c r="E71" s="24">
        <v>200</v>
      </c>
      <c r="F71" s="25">
        <v>931.85599999999999</v>
      </c>
      <c r="G71" s="26">
        <v>2.465204E-2</v>
      </c>
      <c r="H71" s="16">
        <v>7.6700999999999997</v>
      </c>
    </row>
    <row r="72" spans="1:8" x14ac:dyDescent="0.2">
      <c r="A72" s="14"/>
      <c r="B72" s="14"/>
      <c r="C72" s="15" t="s">
        <v>11</v>
      </c>
      <c r="D72" s="14"/>
      <c r="E72" s="14" t="s">
        <v>12</v>
      </c>
      <c r="F72" s="21">
        <v>10606.995500000001</v>
      </c>
      <c r="G72" s="18">
        <v>0.28060569000000002</v>
      </c>
      <c r="H72" s="16" t="s">
        <v>12</v>
      </c>
    </row>
    <row r="73" spans="1:8" x14ac:dyDescent="0.2">
      <c r="A73" s="14"/>
      <c r="B73" s="14"/>
      <c r="C73" s="19"/>
      <c r="D73" s="14"/>
      <c r="E73" s="14"/>
      <c r="F73" s="20"/>
      <c r="G73" s="20"/>
      <c r="H73" s="16" t="s">
        <v>12</v>
      </c>
    </row>
    <row r="74" spans="1:8" x14ac:dyDescent="0.2">
      <c r="A74" s="14"/>
      <c r="B74" s="14"/>
      <c r="C74" s="15" t="s">
        <v>92</v>
      </c>
      <c r="D74" s="14"/>
      <c r="E74" s="14"/>
      <c r="F74" s="20"/>
      <c r="G74" s="20"/>
      <c r="H74" s="16" t="s">
        <v>12</v>
      </c>
    </row>
    <row r="75" spans="1:8" ht="25.5" x14ac:dyDescent="0.2">
      <c r="A75" s="22">
        <v>1</v>
      </c>
      <c r="B75" s="23" t="s">
        <v>194</v>
      </c>
      <c r="C75" s="23" t="s">
        <v>195</v>
      </c>
      <c r="D75" s="23" t="s">
        <v>143</v>
      </c>
      <c r="E75" s="24">
        <v>200</v>
      </c>
      <c r="F75" s="25">
        <v>979.68200000000002</v>
      </c>
      <c r="G75" s="26">
        <v>2.5917269999999999E-2</v>
      </c>
      <c r="H75" s="16">
        <v>8.14</v>
      </c>
    </row>
    <row r="76" spans="1:8" x14ac:dyDescent="0.2">
      <c r="A76" s="14"/>
      <c r="B76" s="14"/>
      <c r="C76" s="15" t="s">
        <v>11</v>
      </c>
      <c r="D76" s="14"/>
      <c r="E76" s="14" t="s">
        <v>12</v>
      </c>
      <c r="F76" s="21">
        <v>979.68200000000002</v>
      </c>
      <c r="G76" s="18">
        <v>2.5917269999999999E-2</v>
      </c>
      <c r="H76" s="16" t="s">
        <v>12</v>
      </c>
    </row>
    <row r="77" spans="1:8" x14ac:dyDescent="0.2">
      <c r="A77" s="14"/>
      <c r="B77" s="14"/>
      <c r="C77" s="19"/>
      <c r="D77" s="14"/>
      <c r="E77" s="14"/>
      <c r="F77" s="20"/>
      <c r="G77" s="20"/>
      <c r="H77" s="16" t="s">
        <v>12</v>
      </c>
    </row>
    <row r="78" spans="1:8" x14ac:dyDescent="0.2">
      <c r="A78" s="14"/>
      <c r="B78" s="14"/>
      <c r="C78" s="15" t="s">
        <v>93</v>
      </c>
      <c r="D78" s="14"/>
      <c r="E78" s="14"/>
      <c r="F78" s="20"/>
      <c r="G78" s="20"/>
      <c r="H78" s="16" t="s">
        <v>12</v>
      </c>
    </row>
    <row r="79" spans="1:8" x14ac:dyDescent="0.2">
      <c r="A79" s="14"/>
      <c r="B79" s="14"/>
      <c r="C79" s="15" t="s">
        <v>11</v>
      </c>
      <c r="D79" s="14"/>
      <c r="E79" s="14" t="s">
        <v>12</v>
      </c>
      <c r="F79" s="17" t="s">
        <v>13</v>
      </c>
      <c r="G79" s="18">
        <v>0</v>
      </c>
      <c r="H79" s="16" t="s">
        <v>12</v>
      </c>
    </row>
    <row r="80" spans="1:8" x14ac:dyDescent="0.2">
      <c r="A80" s="14"/>
      <c r="B80" s="14"/>
      <c r="C80" s="19"/>
      <c r="D80" s="14"/>
      <c r="E80" s="14"/>
      <c r="F80" s="20"/>
      <c r="G80" s="20"/>
      <c r="H80" s="16" t="s">
        <v>12</v>
      </c>
    </row>
    <row r="81" spans="1:17" x14ac:dyDescent="0.2">
      <c r="A81" s="14"/>
      <c r="B81" s="14"/>
      <c r="C81" s="15" t="s">
        <v>94</v>
      </c>
      <c r="D81" s="14"/>
      <c r="E81" s="14"/>
      <c r="F81" s="20"/>
      <c r="G81" s="20"/>
      <c r="H81" s="16" t="s">
        <v>12</v>
      </c>
    </row>
    <row r="82" spans="1:17" x14ac:dyDescent="0.2">
      <c r="A82" s="22">
        <v>1</v>
      </c>
      <c r="B82" s="23"/>
      <c r="C82" s="23" t="s">
        <v>95</v>
      </c>
      <c r="D82" s="23"/>
      <c r="E82" s="27"/>
      <c r="F82" s="25">
        <v>5095.4773636059999</v>
      </c>
      <c r="G82" s="26">
        <v>0.13479970999999999</v>
      </c>
      <c r="H82" s="16">
        <v>6.24</v>
      </c>
    </row>
    <row r="83" spans="1:17" x14ac:dyDescent="0.2">
      <c r="A83" s="14"/>
      <c r="B83" s="14"/>
      <c r="C83" s="15" t="s">
        <v>11</v>
      </c>
      <c r="D83" s="14"/>
      <c r="E83" s="14" t="s">
        <v>12</v>
      </c>
      <c r="F83" s="21">
        <v>5095.4773636059999</v>
      </c>
      <c r="G83" s="18">
        <v>0.13479970999999999</v>
      </c>
      <c r="H83" s="16" t="s">
        <v>12</v>
      </c>
    </row>
    <row r="84" spans="1:17" x14ac:dyDescent="0.2">
      <c r="A84" s="14"/>
      <c r="B84" s="14"/>
      <c r="C84" s="19"/>
      <c r="D84" s="14"/>
      <c r="E84" s="14"/>
      <c r="F84" s="20"/>
      <c r="G84" s="20"/>
      <c r="H84" s="16" t="s">
        <v>12</v>
      </c>
    </row>
    <row r="85" spans="1:17" x14ac:dyDescent="0.2">
      <c r="A85" s="14"/>
      <c r="B85" s="14"/>
      <c r="C85" s="15" t="s">
        <v>96</v>
      </c>
      <c r="D85" s="14"/>
      <c r="E85" s="14"/>
      <c r="F85" s="21">
        <v>16682.154863606</v>
      </c>
      <c r="G85" s="18">
        <v>0.44132266999999997</v>
      </c>
      <c r="H85" s="16" t="s">
        <v>12</v>
      </c>
    </row>
    <row r="86" spans="1:17" x14ac:dyDescent="0.2">
      <c r="A86" s="14"/>
      <c r="B86" s="14"/>
      <c r="C86" s="20"/>
      <c r="D86" s="14"/>
      <c r="E86" s="14"/>
      <c r="F86" s="14"/>
      <c r="G86" s="14"/>
      <c r="H86" s="16" t="s">
        <v>12</v>
      </c>
    </row>
    <row r="87" spans="1:17" x14ac:dyDescent="0.2">
      <c r="A87" s="14"/>
      <c r="B87" s="14"/>
      <c r="C87" s="15" t="s">
        <v>97</v>
      </c>
      <c r="D87" s="14"/>
      <c r="E87" s="14"/>
      <c r="F87" s="14"/>
      <c r="G87" s="14"/>
      <c r="H87" s="16" t="s">
        <v>12</v>
      </c>
    </row>
    <row r="88" spans="1:17" x14ac:dyDescent="0.2">
      <c r="A88" s="14"/>
      <c r="B88" s="14"/>
      <c r="C88" s="15" t="s">
        <v>98</v>
      </c>
      <c r="D88" s="14"/>
      <c r="E88" s="14"/>
      <c r="F88" s="14"/>
      <c r="G88" s="14"/>
      <c r="H88" s="16" t="s">
        <v>12</v>
      </c>
    </row>
    <row r="89" spans="1:17" x14ac:dyDescent="0.2">
      <c r="A89" s="14"/>
      <c r="B89" s="14"/>
      <c r="C89" s="15" t="s">
        <v>11</v>
      </c>
      <c r="D89" s="14"/>
      <c r="E89" s="14" t="s">
        <v>12</v>
      </c>
      <c r="F89" s="17" t="s">
        <v>13</v>
      </c>
      <c r="G89" s="18">
        <v>0</v>
      </c>
      <c r="H89" s="16" t="s">
        <v>12</v>
      </c>
    </row>
    <row r="90" spans="1:17" x14ac:dyDescent="0.2">
      <c r="A90" s="28"/>
      <c r="B90" s="28"/>
      <c r="C90" s="29"/>
      <c r="D90" s="28"/>
      <c r="E90" s="28"/>
      <c r="F90" s="30"/>
      <c r="G90" s="30"/>
      <c r="H90" s="16" t="s">
        <v>12</v>
      </c>
    </row>
    <row r="91" spans="1:17" ht="25.5" x14ac:dyDescent="0.2">
      <c r="A91" s="28"/>
      <c r="B91" s="28"/>
      <c r="C91" s="32" t="s">
        <v>541</v>
      </c>
      <c r="D91" s="28"/>
      <c r="E91" s="28"/>
      <c r="F91" s="30"/>
      <c r="G91" s="30"/>
      <c r="H91" s="16" t="s">
        <v>12</v>
      </c>
      <c r="K91" s="34"/>
      <c r="L91" s="34"/>
      <c r="M91" s="34"/>
      <c r="N91" s="34"/>
      <c r="O91" s="35"/>
      <c r="P91" s="35"/>
      <c r="Q91" s="35"/>
    </row>
    <row r="92" spans="1:17" ht="25.5" x14ac:dyDescent="0.2">
      <c r="A92" s="36">
        <v>1</v>
      </c>
      <c r="B92" s="37" t="s">
        <v>99</v>
      </c>
      <c r="C92" s="37" t="s">
        <v>100</v>
      </c>
      <c r="D92" s="37"/>
      <c r="E92" s="38">
        <v>1043.4449999999999</v>
      </c>
      <c r="F92" s="33">
        <v>114.731953237</v>
      </c>
      <c r="G92" s="39">
        <v>3.03521E-3</v>
      </c>
      <c r="H92" s="16"/>
    </row>
    <row r="93" spans="1:17" x14ac:dyDescent="0.2">
      <c r="A93" s="28"/>
      <c r="B93" s="28"/>
      <c r="C93" s="32" t="s">
        <v>11</v>
      </c>
      <c r="D93" s="28"/>
      <c r="E93" s="28" t="s">
        <v>12</v>
      </c>
      <c r="F93" s="40">
        <f>SUM(F92)</f>
        <v>114.731953237</v>
      </c>
      <c r="G93" s="41">
        <f>SUM(G92)</f>
        <v>3.03521E-3</v>
      </c>
      <c r="H93" s="16" t="s">
        <v>12</v>
      </c>
    </row>
    <row r="94" spans="1:17" x14ac:dyDescent="0.2">
      <c r="A94" s="14"/>
      <c r="B94" s="14"/>
      <c r="C94" s="19"/>
      <c r="D94" s="14"/>
      <c r="E94" s="14"/>
      <c r="F94" s="20"/>
      <c r="G94" s="20"/>
      <c r="H94" s="16" t="s">
        <v>12</v>
      </c>
    </row>
    <row r="95" spans="1:17" x14ac:dyDescent="0.2">
      <c r="A95" s="14"/>
      <c r="B95" s="14"/>
      <c r="C95" s="15" t="s">
        <v>101</v>
      </c>
      <c r="D95" s="14"/>
      <c r="E95" s="14"/>
      <c r="F95" s="14"/>
      <c r="G95" s="14"/>
      <c r="H95" s="16" t="s">
        <v>12</v>
      </c>
    </row>
    <row r="96" spans="1:17" x14ac:dyDescent="0.2">
      <c r="A96" s="14"/>
      <c r="B96" s="14"/>
      <c r="C96" s="15" t="s">
        <v>102</v>
      </c>
      <c r="D96" s="14"/>
      <c r="E96" s="14"/>
      <c r="F96" s="14"/>
      <c r="G96" s="14"/>
      <c r="H96" s="16" t="s">
        <v>12</v>
      </c>
    </row>
    <row r="97" spans="1:8" x14ac:dyDescent="0.2">
      <c r="A97" s="14"/>
      <c r="B97" s="14"/>
      <c r="C97" s="15" t="s">
        <v>11</v>
      </c>
      <c r="D97" s="14"/>
      <c r="E97" s="14" t="s">
        <v>12</v>
      </c>
      <c r="F97" s="17" t="s">
        <v>13</v>
      </c>
      <c r="G97" s="18">
        <v>0</v>
      </c>
      <c r="H97" s="16" t="s">
        <v>12</v>
      </c>
    </row>
    <row r="98" spans="1:8" x14ac:dyDescent="0.2">
      <c r="A98" s="14"/>
      <c r="B98" s="14"/>
      <c r="C98" s="19"/>
      <c r="D98" s="14"/>
      <c r="E98" s="14"/>
      <c r="F98" s="20"/>
      <c r="G98" s="20"/>
      <c r="H98" s="16" t="s">
        <v>12</v>
      </c>
    </row>
    <row r="99" spans="1:8" ht="25.5" x14ac:dyDescent="0.2">
      <c r="A99" s="14"/>
      <c r="B99" s="14"/>
      <c r="C99" s="15" t="s">
        <v>103</v>
      </c>
      <c r="D99" s="14"/>
      <c r="E99" s="14"/>
      <c r="F99" s="20"/>
      <c r="G99" s="20"/>
      <c r="H99" s="16" t="s">
        <v>12</v>
      </c>
    </row>
    <row r="100" spans="1:8" x14ac:dyDescent="0.2">
      <c r="A100" s="14"/>
      <c r="B100" s="14"/>
      <c r="C100" s="15" t="s">
        <v>11</v>
      </c>
      <c r="D100" s="14"/>
      <c r="E100" s="14" t="s">
        <v>12</v>
      </c>
      <c r="F100" s="17" t="s">
        <v>13</v>
      </c>
      <c r="G100" s="18">
        <v>0</v>
      </c>
      <c r="H100" s="16" t="s">
        <v>12</v>
      </c>
    </row>
    <row r="101" spans="1:8" x14ac:dyDescent="0.2">
      <c r="A101" s="14"/>
      <c r="B101" s="23"/>
      <c r="C101" s="23"/>
      <c r="D101" s="15"/>
      <c r="E101" s="14"/>
      <c r="F101" s="23"/>
      <c r="G101" s="27"/>
      <c r="H101" s="16" t="s">
        <v>12</v>
      </c>
    </row>
    <row r="102" spans="1:8" x14ac:dyDescent="0.2">
      <c r="A102" s="27"/>
      <c r="B102" s="23"/>
      <c r="C102" s="23" t="s">
        <v>104</v>
      </c>
      <c r="D102" s="23"/>
      <c r="E102" s="27"/>
      <c r="F102" s="25">
        <f>712.81417234+0.0000246169948577881</f>
        <v>712.81419695699492</v>
      </c>
      <c r="G102" s="26">
        <v>1.885734E-2</v>
      </c>
      <c r="H102" s="16" t="s">
        <v>12</v>
      </c>
    </row>
    <row r="103" spans="1:8" x14ac:dyDescent="0.2">
      <c r="A103" s="19"/>
      <c r="B103" s="19"/>
      <c r="C103" s="15" t="s">
        <v>105</v>
      </c>
      <c r="D103" s="20"/>
      <c r="E103" s="20"/>
      <c r="F103" s="21">
        <f>37800.357239183+0.0000246169948577881</f>
        <v>37800.357263799997</v>
      </c>
      <c r="G103" s="42">
        <v>1.0000000200000001</v>
      </c>
      <c r="H103" s="16" t="s">
        <v>12</v>
      </c>
    </row>
    <row r="104" spans="1:8" x14ac:dyDescent="0.2">
      <c r="A104" s="43"/>
      <c r="B104" s="43"/>
      <c r="C104" s="43"/>
      <c r="D104" s="44"/>
      <c r="E104" s="44"/>
      <c r="F104" s="44"/>
      <c r="G104" s="44"/>
    </row>
    <row r="105" spans="1:8" x14ac:dyDescent="0.2">
      <c r="A105" s="45"/>
      <c r="B105" s="164" t="s">
        <v>542</v>
      </c>
      <c r="C105" s="164"/>
      <c r="D105" s="164"/>
      <c r="E105" s="164"/>
      <c r="F105" s="164"/>
      <c r="G105" s="164"/>
      <c r="H105" s="164"/>
    </row>
    <row r="106" spans="1:8" x14ac:dyDescent="0.2">
      <c r="A106" s="45"/>
      <c r="B106" s="164" t="s">
        <v>543</v>
      </c>
      <c r="C106" s="164"/>
      <c r="D106" s="164"/>
      <c r="E106" s="164"/>
      <c r="F106" s="164"/>
      <c r="G106" s="164"/>
      <c r="H106" s="164"/>
    </row>
    <row r="107" spans="1:8" x14ac:dyDescent="0.2">
      <c r="A107" s="45"/>
      <c r="B107" s="164" t="s">
        <v>544</v>
      </c>
      <c r="C107" s="164"/>
      <c r="D107" s="164"/>
      <c r="E107" s="164"/>
      <c r="F107" s="164"/>
      <c r="G107" s="164"/>
      <c r="H107" s="164"/>
    </row>
    <row r="108" spans="1:8" x14ac:dyDescent="0.2">
      <c r="A108" s="47"/>
      <c r="B108" s="47"/>
      <c r="C108" s="47"/>
      <c r="D108" s="48"/>
      <c r="E108" s="48"/>
      <c r="F108" s="48"/>
      <c r="G108" s="48"/>
    </row>
    <row r="109" spans="1:8" x14ac:dyDescent="0.2">
      <c r="A109" s="47"/>
      <c r="B109" s="157" t="s">
        <v>106</v>
      </c>
      <c r="C109" s="158"/>
      <c r="D109" s="159"/>
      <c r="E109" s="49"/>
      <c r="F109" s="48"/>
      <c r="G109" s="48"/>
    </row>
    <row r="110" spans="1:8" ht="25.5" x14ac:dyDescent="0.2">
      <c r="A110" s="47"/>
      <c r="B110" s="160" t="s">
        <v>107</v>
      </c>
      <c r="C110" s="161"/>
      <c r="D110" s="32" t="s">
        <v>565</v>
      </c>
      <c r="E110" s="49"/>
      <c r="F110" s="48"/>
      <c r="G110" s="48"/>
    </row>
    <row r="111" spans="1:8" x14ac:dyDescent="0.2">
      <c r="A111" s="47"/>
      <c r="B111" s="160" t="s">
        <v>109</v>
      </c>
      <c r="C111" s="161"/>
      <c r="D111" s="15" t="s">
        <v>108</v>
      </c>
      <c r="E111" s="49"/>
      <c r="F111" s="48"/>
      <c r="G111" s="48"/>
    </row>
    <row r="112" spans="1:8" x14ac:dyDescent="0.2">
      <c r="A112" s="47"/>
      <c r="B112" s="160" t="s">
        <v>110</v>
      </c>
      <c r="C112" s="161"/>
      <c r="D112" s="20" t="s">
        <v>12</v>
      </c>
      <c r="E112" s="49"/>
      <c r="F112" s="48"/>
      <c r="G112" s="48"/>
    </row>
    <row r="113" spans="1:15" x14ac:dyDescent="0.2">
      <c r="A113" s="50"/>
      <c r="B113" s="51" t="s">
        <v>12</v>
      </c>
      <c r="C113" s="51" t="s">
        <v>545</v>
      </c>
      <c r="D113" s="51" t="s">
        <v>111</v>
      </c>
      <c r="E113" s="50"/>
      <c r="F113" s="50"/>
      <c r="G113" s="50"/>
    </row>
    <row r="114" spans="1:15" x14ac:dyDescent="0.2">
      <c r="A114" s="50"/>
      <c r="B114" s="52" t="s">
        <v>112</v>
      </c>
      <c r="C114" s="53">
        <v>45716</v>
      </c>
      <c r="D114" s="53">
        <v>45731</v>
      </c>
      <c r="E114" s="50"/>
      <c r="F114" s="50"/>
      <c r="G114" s="50"/>
    </row>
    <row r="115" spans="1:15" x14ac:dyDescent="0.2">
      <c r="A115" s="54"/>
      <c r="B115" s="23" t="s">
        <v>113</v>
      </c>
      <c r="C115" s="55">
        <v>3602.3492000000001</v>
      </c>
      <c r="D115" s="55">
        <v>3612.6062999999999</v>
      </c>
      <c r="E115" s="54"/>
      <c r="F115" s="56"/>
      <c r="G115" s="57"/>
    </row>
    <row r="116" spans="1:15" ht="25.5" x14ac:dyDescent="0.2">
      <c r="A116" s="54"/>
      <c r="B116" s="23" t="s">
        <v>651</v>
      </c>
      <c r="C116" s="55">
        <v>1097.2773999999999</v>
      </c>
      <c r="D116" s="55">
        <v>1100.4019000000001</v>
      </c>
      <c r="E116" s="54"/>
      <c r="F116" s="56"/>
      <c r="G116" s="57"/>
    </row>
    <row r="117" spans="1:15" ht="25.5" x14ac:dyDescent="0.2">
      <c r="A117" s="54"/>
      <c r="B117" s="23" t="s">
        <v>652</v>
      </c>
      <c r="C117" s="55">
        <v>1245.9368999999999</v>
      </c>
      <c r="D117" s="55">
        <v>1241.9718</v>
      </c>
      <c r="E117" s="54"/>
      <c r="F117" s="56"/>
      <c r="G117" s="57"/>
    </row>
    <row r="118" spans="1:15" x14ac:dyDescent="0.2">
      <c r="A118" s="54"/>
      <c r="B118" s="23" t="s">
        <v>114</v>
      </c>
      <c r="C118" s="55">
        <v>3368.4367999999999</v>
      </c>
      <c r="D118" s="55">
        <v>3376.8479000000002</v>
      </c>
      <c r="E118" s="54"/>
      <c r="F118" s="56"/>
      <c r="G118" s="57"/>
    </row>
    <row r="119" spans="1:15" x14ac:dyDescent="0.2">
      <c r="A119" s="54"/>
      <c r="B119" s="23" t="s">
        <v>145</v>
      </c>
      <c r="C119" s="55">
        <v>1304.5020999999999</v>
      </c>
      <c r="D119" s="55">
        <v>1307.7594999999999</v>
      </c>
      <c r="E119" s="54"/>
      <c r="F119" s="56"/>
      <c r="G119" s="57"/>
    </row>
    <row r="120" spans="1:15" ht="25.5" x14ac:dyDescent="0.2">
      <c r="A120" s="54"/>
      <c r="B120" s="23" t="s">
        <v>655</v>
      </c>
      <c r="C120" s="55">
        <v>1087.2787000000001</v>
      </c>
      <c r="D120" s="55">
        <v>1089.9938</v>
      </c>
      <c r="E120" s="54"/>
      <c r="F120" s="56"/>
      <c r="G120" s="57"/>
    </row>
    <row r="121" spans="1:15" ht="25.5" x14ac:dyDescent="0.2">
      <c r="A121" s="54"/>
      <c r="B121" s="23" t="s">
        <v>621</v>
      </c>
      <c r="C121" s="55">
        <v>1204.6085</v>
      </c>
      <c r="D121" s="55">
        <v>1200.1066000000001</v>
      </c>
      <c r="E121" s="54"/>
      <c r="F121" s="56"/>
      <c r="G121" s="57"/>
    </row>
    <row r="122" spans="1:15" x14ac:dyDescent="0.2">
      <c r="A122" s="54"/>
      <c r="B122" s="54"/>
      <c r="C122" s="54"/>
      <c r="D122" s="54"/>
      <c r="E122" s="54"/>
      <c r="F122" s="54"/>
      <c r="G122" s="54"/>
    </row>
    <row r="123" spans="1:15" x14ac:dyDescent="0.2">
      <c r="A123" s="54"/>
      <c r="B123" s="160" t="s">
        <v>622</v>
      </c>
      <c r="C123" s="161"/>
      <c r="D123" s="15" t="s">
        <v>12</v>
      </c>
      <c r="E123" s="54"/>
      <c r="F123" s="54"/>
      <c r="G123" s="54"/>
    </row>
    <row r="124" spans="1:15" x14ac:dyDescent="0.2">
      <c r="A124" s="54"/>
      <c r="B124" s="58" t="s">
        <v>112</v>
      </c>
      <c r="C124" s="59" t="s">
        <v>115</v>
      </c>
      <c r="D124" s="59" t="s">
        <v>116</v>
      </c>
      <c r="E124" s="54"/>
      <c r="F124" s="54"/>
      <c r="G124" s="54"/>
    </row>
    <row r="125" spans="1:15" ht="25.5" x14ac:dyDescent="0.2">
      <c r="A125" s="54"/>
      <c r="B125" s="23" t="s">
        <v>652</v>
      </c>
      <c r="C125" s="60">
        <v>7.5</v>
      </c>
      <c r="D125" s="60">
        <v>7.5</v>
      </c>
      <c r="E125" s="54"/>
      <c r="F125" s="56"/>
      <c r="G125" s="57"/>
    </row>
    <row r="126" spans="1:15" ht="25.5" x14ac:dyDescent="0.2">
      <c r="A126" s="54"/>
      <c r="B126" s="23" t="s">
        <v>621</v>
      </c>
      <c r="C126" s="60">
        <v>7.5</v>
      </c>
      <c r="D126" s="60">
        <v>7.5</v>
      </c>
      <c r="E126" s="54"/>
      <c r="F126" s="56"/>
      <c r="G126" s="57"/>
    </row>
    <row r="127" spans="1:15" x14ac:dyDescent="0.2">
      <c r="A127" s="54"/>
      <c r="B127" s="61"/>
      <c r="C127" s="61"/>
      <c r="D127" s="62"/>
      <c r="E127" s="54"/>
      <c r="F127" s="56"/>
      <c r="G127" s="57"/>
    </row>
    <row r="128" spans="1:15" s="65" customFormat="1" x14ac:dyDescent="0.2">
      <c r="A128" s="75"/>
      <c r="B128" s="162" t="s">
        <v>558</v>
      </c>
      <c r="C128" s="163"/>
      <c r="D128" s="32" t="s">
        <v>108</v>
      </c>
      <c r="G128" s="75"/>
      <c r="I128"/>
      <c r="J128" s="76"/>
      <c r="K128" s="34"/>
      <c r="L128" s="34"/>
      <c r="M128" s="34"/>
      <c r="N128" s="34"/>
      <c r="O128" s="71"/>
    </row>
    <row r="129" spans="1:20" ht="25.5" customHeight="1" x14ac:dyDescent="0.2">
      <c r="A129" s="50"/>
      <c r="B129" s="162" t="s">
        <v>559</v>
      </c>
      <c r="C129" s="163"/>
      <c r="D129" s="32" t="s">
        <v>108</v>
      </c>
      <c r="E129" s="63"/>
      <c r="F129" s="50"/>
      <c r="G129" s="50"/>
      <c r="J129" s="76"/>
    </row>
    <row r="130" spans="1:20" ht="26.25" customHeight="1" x14ac:dyDescent="0.2">
      <c r="A130" s="50"/>
      <c r="B130" s="162" t="s">
        <v>560</v>
      </c>
      <c r="C130" s="163"/>
      <c r="D130" s="32" t="s">
        <v>108</v>
      </c>
      <c r="E130" s="63"/>
      <c r="F130" s="50"/>
      <c r="G130" s="50"/>
      <c r="J130" s="76"/>
    </row>
    <row r="131" spans="1:20" x14ac:dyDescent="0.2">
      <c r="A131" s="50"/>
      <c r="B131" s="162" t="s">
        <v>561</v>
      </c>
      <c r="C131" s="163"/>
      <c r="D131" s="32" t="s">
        <v>108</v>
      </c>
      <c r="E131" s="63"/>
      <c r="F131" s="50"/>
      <c r="G131" s="50"/>
      <c r="J131" s="76"/>
    </row>
    <row r="132" spans="1:20" x14ac:dyDescent="0.2">
      <c r="A132" s="50"/>
      <c r="B132" s="46"/>
      <c r="C132" s="46"/>
      <c r="D132" s="79"/>
      <c r="E132" s="50"/>
      <c r="F132" s="50"/>
      <c r="G132" s="50"/>
      <c r="J132" s="76"/>
    </row>
    <row r="133" spans="1:20" s="65" customFormat="1" x14ac:dyDescent="0.2">
      <c r="B133" s="165" t="s">
        <v>547</v>
      </c>
      <c r="C133" s="166"/>
      <c r="D133" s="167"/>
      <c r="I133"/>
      <c r="J133" s="76"/>
      <c r="K133" s="34"/>
      <c r="L133" s="34"/>
      <c r="M133" s="34"/>
      <c r="N133" s="34"/>
      <c r="O133" s="71"/>
    </row>
    <row r="134" spans="1:20" s="65" customFormat="1" ht="25.5" x14ac:dyDescent="0.2">
      <c r="B134" s="155" t="s">
        <v>548</v>
      </c>
      <c r="C134" s="155"/>
      <c r="D134" s="66" t="s">
        <v>204</v>
      </c>
      <c r="I134"/>
      <c r="J134" s="76"/>
      <c r="K134" s="34"/>
      <c r="L134" s="34"/>
      <c r="M134" s="34"/>
      <c r="N134" s="34"/>
      <c r="O134" s="71"/>
    </row>
    <row r="135" spans="1:20" s="65" customFormat="1" x14ac:dyDescent="0.2">
      <c r="B135" s="168" t="s">
        <v>549</v>
      </c>
      <c r="C135" s="168"/>
      <c r="D135" s="67"/>
      <c r="I135"/>
      <c r="J135" s="76"/>
      <c r="K135" s="34"/>
      <c r="L135" s="34"/>
      <c r="M135" s="34"/>
      <c r="N135" s="34"/>
      <c r="O135" s="71"/>
    </row>
    <row r="136" spans="1:20" s="65" customFormat="1" x14ac:dyDescent="0.2">
      <c r="B136" s="168"/>
      <c r="C136" s="168"/>
      <c r="D136" s="68"/>
      <c r="I136"/>
      <c r="J136" s="76"/>
      <c r="K136" s="34"/>
      <c r="L136" s="34"/>
      <c r="M136" s="34"/>
      <c r="N136" s="34"/>
      <c r="O136" s="71"/>
    </row>
    <row r="137" spans="1:20" s="65" customFormat="1" x14ac:dyDescent="0.2">
      <c r="B137" s="168" t="s">
        <v>550</v>
      </c>
      <c r="C137" s="168"/>
      <c r="D137" s="69">
        <v>7.717913848977541</v>
      </c>
      <c r="I137"/>
      <c r="J137" s="76"/>
      <c r="K137" s="34"/>
      <c r="L137" s="34"/>
      <c r="M137" s="34"/>
      <c r="N137" s="34"/>
      <c r="O137" s="71"/>
    </row>
    <row r="138" spans="1:20" s="65" customFormat="1" x14ac:dyDescent="0.2">
      <c r="B138" s="168"/>
      <c r="C138" s="168"/>
      <c r="D138" s="68"/>
      <c r="I138"/>
      <c r="J138" s="76"/>
      <c r="K138" s="34"/>
      <c r="L138" s="34"/>
      <c r="M138" s="34"/>
      <c r="N138" s="34"/>
      <c r="O138" s="71"/>
      <c r="P138"/>
      <c r="Q138"/>
    </row>
    <row r="139" spans="1:20" s="65" customFormat="1" x14ac:dyDescent="0.2">
      <c r="B139" s="168" t="s">
        <v>551</v>
      </c>
      <c r="C139" s="168"/>
      <c r="D139" s="69">
        <v>0.94783345557718945</v>
      </c>
      <c r="I139"/>
      <c r="J139" s="76"/>
      <c r="K139" s="34"/>
      <c r="L139" s="34"/>
      <c r="M139" s="34"/>
      <c r="N139" s="34"/>
      <c r="O139" s="71"/>
      <c r="P139"/>
      <c r="Q139"/>
    </row>
    <row r="140" spans="1:20" s="65" customFormat="1" x14ac:dyDescent="0.2">
      <c r="B140" s="168" t="s">
        <v>566</v>
      </c>
      <c r="C140" s="168"/>
      <c r="D140" s="69">
        <v>1.021176428093727</v>
      </c>
      <c r="I140"/>
      <c r="J140" s="76"/>
      <c r="K140" s="34"/>
      <c r="L140" s="34"/>
      <c r="M140" s="34"/>
      <c r="N140" s="34"/>
      <c r="O140"/>
      <c r="P140"/>
      <c r="Q140"/>
    </row>
    <row r="141" spans="1:20" s="65" customFormat="1" x14ac:dyDescent="0.2">
      <c r="B141" s="168"/>
      <c r="C141" s="168"/>
      <c r="D141" s="68"/>
      <c r="I141"/>
      <c r="J141" s="76"/>
      <c r="K141" s="34"/>
      <c r="L141" s="34"/>
      <c r="M141" s="34"/>
      <c r="N141" s="34"/>
      <c r="O141"/>
      <c r="P141"/>
      <c r="Q141"/>
    </row>
    <row r="142" spans="1:20" s="65" customFormat="1" x14ac:dyDescent="0.2">
      <c r="B142" s="168" t="s">
        <v>553</v>
      </c>
      <c r="C142" s="168"/>
      <c r="D142" s="70" t="s">
        <v>645</v>
      </c>
      <c r="I142"/>
      <c r="J142" s="76"/>
      <c r="K142" s="34"/>
      <c r="L142" s="34"/>
      <c r="M142" s="34"/>
      <c r="N142" s="34"/>
      <c r="O142" s="71"/>
    </row>
    <row r="143" spans="1:20" s="65" customFormat="1" x14ac:dyDescent="0.2">
      <c r="B143" s="169" t="s">
        <v>554</v>
      </c>
      <c r="C143" s="171"/>
      <c r="D143" s="170"/>
      <c r="I143"/>
      <c r="J143" s="76"/>
      <c r="K143" s="34"/>
      <c r="L143" s="34"/>
      <c r="M143" s="34"/>
      <c r="N143" s="34"/>
      <c r="O143"/>
      <c r="P143"/>
      <c r="Q143"/>
      <c r="R143"/>
      <c r="S143"/>
      <c r="T143"/>
    </row>
    <row r="144" spans="1:20" x14ac:dyDescent="0.2">
      <c r="A144" s="64"/>
      <c r="B144" s="64"/>
      <c r="C144" s="64"/>
      <c r="D144" s="64"/>
      <c r="E144" s="64"/>
      <c r="F144" s="64"/>
      <c r="G144" s="64"/>
      <c r="J144" s="76"/>
    </row>
    <row r="145" spans="2:16" s="65" customFormat="1" x14ac:dyDescent="0.2">
      <c r="B145" s="80" t="s">
        <v>646</v>
      </c>
      <c r="C145" s="80"/>
      <c r="D145" s="80"/>
      <c r="E145" s="80"/>
      <c r="F145" s="80"/>
      <c r="G145" s="80"/>
      <c r="H145" s="80"/>
      <c r="I145"/>
      <c r="J145" s="76"/>
      <c r="K145" s="34"/>
      <c r="L145" s="34"/>
      <c r="M145" s="34"/>
      <c r="N145" s="34"/>
      <c r="O145" s="71"/>
    </row>
    <row r="146" spans="2:16" s="65" customFormat="1" x14ac:dyDescent="0.2">
      <c r="B146" s="80"/>
      <c r="C146" s="80"/>
      <c r="D146" s="80"/>
      <c r="E146" s="80"/>
      <c r="F146" s="80"/>
      <c r="G146" s="80"/>
      <c r="H146" s="80"/>
      <c r="I146"/>
      <c r="J146" s="76"/>
      <c r="K146" s="34"/>
      <c r="L146" s="34"/>
      <c r="M146" s="34"/>
      <c r="N146" s="34"/>
      <c r="O146" s="71"/>
    </row>
    <row r="147" spans="2:16" ht="13.5" x14ac:dyDescent="0.25">
      <c r="B147" s="81" t="s">
        <v>571</v>
      </c>
      <c r="C147" s="81" t="s">
        <v>572</v>
      </c>
      <c r="D147" s="184" t="s">
        <v>567</v>
      </c>
      <c r="E147" s="184"/>
      <c r="F147" s="184"/>
      <c r="G147" s="185" t="s">
        <v>568</v>
      </c>
      <c r="H147" s="185"/>
      <c r="J147" s="76"/>
      <c r="K147" s="34"/>
      <c r="L147" s="34"/>
      <c r="M147" s="34"/>
      <c r="N147" s="34"/>
      <c r="P147" s="34"/>
    </row>
    <row r="148" spans="2:16" ht="27" x14ac:dyDescent="0.25">
      <c r="B148" s="82" t="s">
        <v>573</v>
      </c>
      <c r="C148" s="83" t="s">
        <v>574</v>
      </c>
      <c r="D148" s="186">
        <v>0</v>
      </c>
      <c r="E148" s="186"/>
      <c r="F148" s="186"/>
      <c r="G148" s="186">
        <v>0</v>
      </c>
      <c r="H148" s="186"/>
      <c r="J148" s="76"/>
      <c r="K148" s="34"/>
      <c r="L148" s="34"/>
      <c r="M148" s="34"/>
      <c r="N148" s="34"/>
      <c r="P148" s="34"/>
    </row>
    <row r="149" spans="2:16" ht="27" x14ac:dyDescent="0.25">
      <c r="B149" s="82" t="s">
        <v>575</v>
      </c>
      <c r="C149" s="83" t="s">
        <v>576</v>
      </c>
      <c r="D149" s="186">
        <v>0</v>
      </c>
      <c r="E149" s="186"/>
      <c r="F149" s="186"/>
      <c r="G149" s="186">
        <v>0</v>
      </c>
      <c r="H149" s="186"/>
      <c r="J149" s="76"/>
      <c r="K149" s="34"/>
      <c r="L149" s="34"/>
      <c r="M149" s="34"/>
      <c r="N149" s="34"/>
      <c r="P149" s="34"/>
    </row>
    <row r="150" spans="2:16" ht="27" x14ac:dyDescent="0.25">
      <c r="B150" s="82" t="s">
        <v>577</v>
      </c>
      <c r="C150" s="83" t="s">
        <v>578</v>
      </c>
      <c r="D150" s="186">
        <v>0</v>
      </c>
      <c r="E150" s="186"/>
      <c r="F150" s="186"/>
      <c r="G150" s="186">
        <v>0</v>
      </c>
      <c r="H150" s="186"/>
      <c r="J150" s="76"/>
      <c r="K150" s="34"/>
      <c r="L150" s="34"/>
      <c r="M150" s="34"/>
      <c r="N150" s="34"/>
      <c r="P150" s="34"/>
    </row>
    <row r="151" spans="2:16" ht="13.5" x14ac:dyDescent="0.25">
      <c r="B151" s="82"/>
      <c r="C151" s="82"/>
      <c r="D151" s="188"/>
      <c r="E151" s="188"/>
      <c r="F151" s="188"/>
      <c r="G151" s="188"/>
      <c r="H151" s="188"/>
      <c r="J151" s="76"/>
      <c r="K151" s="34"/>
      <c r="L151" s="34"/>
      <c r="M151" s="34"/>
      <c r="N151" s="34"/>
      <c r="P151" s="34"/>
    </row>
    <row r="152" spans="2:16" ht="13.5" x14ac:dyDescent="0.25">
      <c r="B152" s="185" t="s">
        <v>579</v>
      </c>
      <c r="C152" s="185"/>
      <c r="D152" s="185"/>
      <c r="E152" s="185"/>
      <c r="F152" s="185"/>
      <c r="G152" s="185"/>
      <c r="H152" s="185"/>
      <c r="J152" s="76"/>
      <c r="K152" s="34"/>
      <c r="L152" s="34"/>
      <c r="M152" s="34"/>
      <c r="N152" s="34"/>
      <c r="P152" s="34"/>
    </row>
    <row r="153" spans="2:16" ht="13.5" customHeight="1" x14ac:dyDescent="0.2">
      <c r="B153" s="190" t="s">
        <v>571</v>
      </c>
      <c r="C153" s="190" t="s">
        <v>572</v>
      </c>
      <c r="D153" s="190" t="s">
        <v>664</v>
      </c>
      <c r="E153" s="190"/>
      <c r="F153" s="190"/>
      <c r="G153" s="190"/>
      <c r="H153" s="191" t="s">
        <v>669</v>
      </c>
      <c r="I153" s="191" t="s">
        <v>670</v>
      </c>
      <c r="J153" s="189" t="s">
        <v>671</v>
      </c>
      <c r="K153" s="34"/>
      <c r="L153" s="34"/>
      <c r="M153" s="34"/>
      <c r="N153" s="34"/>
      <c r="O153" s="34"/>
      <c r="P153" s="34"/>
    </row>
    <row r="154" spans="2:16" ht="94.5" customHeight="1" x14ac:dyDescent="0.2">
      <c r="B154" s="190"/>
      <c r="C154" s="190"/>
      <c r="D154" s="85" t="s">
        <v>666</v>
      </c>
      <c r="E154" s="85" t="s">
        <v>665</v>
      </c>
      <c r="F154" s="85" t="s">
        <v>667</v>
      </c>
      <c r="G154" s="85" t="s">
        <v>668</v>
      </c>
      <c r="H154" s="191"/>
      <c r="I154" s="191"/>
      <c r="J154" s="183"/>
      <c r="K154" s="34"/>
      <c r="L154" s="34"/>
      <c r="M154" s="34"/>
      <c r="N154" s="34"/>
      <c r="O154" s="34"/>
      <c r="P154" s="34"/>
    </row>
    <row r="155" spans="2:16" ht="27" x14ac:dyDescent="0.25">
      <c r="B155" s="82" t="s">
        <v>573</v>
      </c>
      <c r="C155" s="83" t="s">
        <v>574</v>
      </c>
      <c r="D155" s="86">
        <v>1500</v>
      </c>
      <c r="E155" s="86">
        <v>99.850684900000005</v>
      </c>
      <c r="F155" s="87">
        <v>36.275342200000004</v>
      </c>
      <c r="G155" s="88">
        <v>1636.1260271000001</v>
      </c>
      <c r="H155" s="7">
        <v>726.67232000000001</v>
      </c>
      <c r="I155" s="7">
        <f>1250521/10^5</f>
        <v>12.50521</v>
      </c>
      <c r="J155" s="7">
        <f>H155+I155</f>
        <v>739.17753000000005</v>
      </c>
      <c r="K155" s="34"/>
      <c r="L155" s="34"/>
      <c r="M155" s="34"/>
      <c r="N155" s="34"/>
      <c r="O155" s="34"/>
      <c r="P155" s="34"/>
    </row>
    <row r="156" spans="2:16" ht="27" x14ac:dyDescent="0.25">
      <c r="B156" s="82" t="s">
        <v>575</v>
      </c>
      <c r="C156" s="83" t="s">
        <v>576</v>
      </c>
      <c r="D156" s="86">
        <v>2517.2199999999998</v>
      </c>
      <c r="E156" s="86">
        <v>183.25361600000002</v>
      </c>
      <c r="F156" s="87">
        <v>45.813405699999997</v>
      </c>
      <c r="G156" s="88">
        <v>2746.2870217</v>
      </c>
      <c r="H156" s="7">
        <v>1225.53333</v>
      </c>
      <c r="I156" s="7">
        <f>2109013/10^5</f>
        <v>21.090129999999998</v>
      </c>
      <c r="J156" s="7">
        <f>H156+I156</f>
        <v>1246.62346</v>
      </c>
      <c r="K156" s="34"/>
      <c r="L156" s="34"/>
      <c r="M156" s="34"/>
      <c r="N156" s="34"/>
      <c r="O156" s="34"/>
      <c r="P156" s="34"/>
    </row>
    <row r="157" spans="2:16" ht="27" x14ac:dyDescent="0.25">
      <c r="B157" s="82" t="s">
        <v>577</v>
      </c>
      <c r="C157" s="83" t="s">
        <v>578</v>
      </c>
      <c r="D157" s="86">
        <v>4882.25</v>
      </c>
      <c r="E157" s="86">
        <v>323.21163799999999</v>
      </c>
      <c r="F157" s="87">
        <v>117.42144879999999</v>
      </c>
      <c r="G157" s="88">
        <v>5322.8830868000005</v>
      </c>
      <c r="H157" s="7">
        <v>2364.0489899999998</v>
      </c>
      <c r="I157" s="7">
        <f>4068280/10^5</f>
        <v>40.6828</v>
      </c>
      <c r="J157" s="7">
        <f>H157+I157</f>
        <v>2404.7317899999998</v>
      </c>
      <c r="K157" s="34"/>
      <c r="L157" s="34"/>
      <c r="M157" s="34"/>
      <c r="N157" s="34"/>
      <c r="O157" s="34"/>
      <c r="P157" s="34"/>
    </row>
    <row r="158" spans="2:16" ht="13.5" x14ac:dyDescent="0.25">
      <c r="B158" s="89"/>
      <c r="C158" s="90"/>
      <c r="D158" s="91"/>
      <c r="E158" s="91"/>
      <c r="F158" s="10"/>
      <c r="G158" s="92"/>
      <c r="H158" s="8"/>
      <c r="I158" s="8"/>
      <c r="J158" s="8"/>
      <c r="K158" s="34"/>
      <c r="L158" s="34"/>
      <c r="M158" s="34"/>
      <c r="N158" s="34"/>
      <c r="O158" s="34"/>
      <c r="P158" s="34"/>
    </row>
    <row r="159" spans="2:16" ht="13.5" customHeight="1" x14ac:dyDescent="0.2">
      <c r="B159" s="192" t="s">
        <v>571</v>
      </c>
      <c r="C159" s="192" t="s">
        <v>572</v>
      </c>
      <c r="D159" s="195" t="s">
        <v>664</v>
      </c>
      <c r="E159" s="196"/>
      <c r="F159" s="197"/>
      <c r="G159" s="177" t="s">
        <v>674</v>
      </c>
      <c r="H159" s="178"/>
      <c r="I159" s="181" t="s">
        <v>673</v>
      </c>
      <c r="J159" s="34"/>
      <c r="K159" s="34"/>
      <c r="L159" s="34"/>
      <c r="M159" s="34"/>
      <c r="N159" s="34"/>
      <c r="O159" s="34"/>
    </row>
    <row r="160" spans="2:16" ht="46.5" customHeight="1" x14ac:dyDescent="0.2">
      <c r="B160" s="193"/>
      <c r="C160" s="193"/>
      <c r="D160" s="181" t="s">
        <v>663</v>
      </c>
      <c r="E160" s="181" t="s">
        <v>662</v>
      </c>
      <c r="F160" s="181" t="s">
        <v>672</v>
      </c>
      <c r="G160" s="179"/>
      <c r="H160" s="180"/>
      <c r="I160" s="182"/>
      <c r="J160" s="34"/>
      <c r="K160" s="34"/>
      <c r="L160" s="34"/>
      <c r="M160" s="34"/>
      <c r="N160" s="34"/>
      <c r="O160" s="34"/>
    </row>
    <row r="161" spans="2:16" ht="21" customHeight="1" x14ac:dyDescent="0.2">
      <c r="B161" s="194"/>
      <c r="C161" s="194"/>
      <c r="D161" s="183"/>
      <c r="E161" s="183"/>
      <c r="F161" s="183"/>
      <c r="G161" s="93" t="s">
        <v>659</v>
      </c>
      <c r="H161" s="93" t="s">
        <v>660</v>
      </c>
      <c r="I161" s="183"/>
      <c r="J161" s="34"/>
      <c r="K161" s="34"/>
      <c r="L161" s="34"/>
      <c r="M161" s="34"/>
      <c r="N161" s="34"/>
      <c r="O161" s="34"/>
    </row>
    <row r="162" spans="2:16" ht="13.5" x14ac:dyDescent="0.25">
      <c r="B162" s="82" t="s">
        <v>569</v>
      </c>
      <c r="C162" s="83" t="s">
        <v>570</v>
      </c>
      <c r="D162" s="94">
        <v>293.30880000000002</v>
      </c>
      <c r="E162" s="87">
        <v>6.6912000000000003</v>
      </c>
      <c r="F162" s="88">
        <f>D162+E162</f>
        <v>300</v>
      </c>
      <c r="G162" s="7">
        <v>13</v>
      </c>
      <c r="H162" s="7">
        <v>8</v>
      </c>
      <c r="I162" s="7">
        <f>G162+H162</f>
        <v>21</v>
      </c>
      <c r="J162" s="34"/>
      <c r="K162" s="34"/>
      <c r="L162" s="34"/>
      <c r="M162" s="34"/>
      <c r="N162" s="34"/>
      <c r="O162" s="34"/>
    </row>
    <row r="163" spans="2:16" ht="6.75" customHeight="1" x14ac:dyDescent="0.25">
      <c r="B163" s="89"/>
      <c r="C163" s="90"/>
      <c r="D163" s="95"/>
      <c r="E163" s="10"/>
      <c r="F163" s="92"/>
      <c r="G163" s="8"/>
      <c r="H163" s="8"/>
      <c r="I163" s="8"/>
      <c r="J163" s="34"/>
      <c r="K163" s="34"/>
      <c r="L163" s="34"/>
      <c r="M163" s="34"/>
      <c r="N163" s="34"/>
      <c r="O163" s="34"/>
    </row>
    <row r="164" spans="2:16" ht="42" customHeight="1" x14ac:dyDescent="0.2">
      <c r="B164" s="187" t="s">
        <v>675</v>
      </c>
      <c r="C164" s="187"/>
      <c r="D164" s="187"/>
      <c r="E164" s="187"/>
      <c r="F164" s="187"/>
      <c r="G164" s="187"/>
      <c r="H164" s="187"/>
      <c r="I164" s="187"/>
      <c r="J164" s="187"/>
      <c r="K164" s="34"/>
      <c r="L164" s="34"/>
      <c r="M164" s="34"/>
      <c r="N164" s="34"/>
      <c r="O164" s="34"/>
    </row>
    <row r="165" spans="2:16" x14ac:dyDescent="0.2">
      <c r="I165" s="34"/>
      <c r="J165" s="76"/>
      <c r="K165" s="34"/>
      <c r="L165" s="34"/>
      <c r="M165" s="34"/>
      <c r="N165" s="34"/>
      <c r="O165" s="34"/>
      <c r="P165" s="34"/>
    </row>
    <row r="166" spans="2:16" x14ac:dyDescent="0.2">
      <c r="I166" s="34"/>
      <c r="J166" s="76"/>
      <c r="K166" s="34"/>
      <c r="L166" s="34"/>
      <c r="M166" s="34"/>
      <c r="N166" s="34"/>
      <c r="O166" s="34"/>
      <c r="P166" s="34"/>
    </row>
    <row r="167" spans="2:16" ht="13.5" x14ac:dyDescent="0.25">
      <c r="B167" s="96" t="s">
        <v>587</v>
      </c>
      <c r="I167" s="34"/>
      <c r="J167" s="76"/>
      <c r="K167" s="34"/>
      <c r="L167" s="34"/>
      <c r="M167" s="34"/>
      <c r="N167" s="34"/>
      <c r="O167" s="34"/>
      <c r="P167" s="34"/>
    </row>
    <row r="168" spans="2:16" x14ac:dyDescent="0.2">
      <c r="B168" s="34"/>
      <c r="C168" s="34"/>
      <c r="D168" s="34"/>
      <c r="E168" s="34"/>
      <c r="F168" s="34"/>
      <c r="G168" s="34"/>
      <c r="H168" s="34"/>
      <c r="I168" s="34"/>
      <c r="J168" s="76"/>
      <c r="K168" s="34"/>
      <c r="L168" s="34"/>
      <c r="M168" s="34"/>
      <c r="N168" s="34"/>
      <c r="O168" s="34"/>
      <c r="P168" s="34"/>
    </row>
    <row r="169" spans="2:16" x14ac:dyDescent="0.2">
      <c r="B169" s="97" t="s">
        <v>588</v>
      </c>
      <c r="C169" s="34"/>
      <c r="D169" s="34"/>
      <c r="E169" s="34"/>
      <c r="F169" s="34"/>
      <c r="G169" s="34"/>
      <c r="H169" s="34"/>
      <c r="I169" s="34"/>
      <c r="J169" s="76"/>
      <c r="K169" s="34"/>
      <c r="L169" s="34"/>
      <c r="M169" s="34"/>
      <c r="N169" s="34"/>
      <c r="O169" s="34"/>
      <c r="P169" s="34"/>
    </row>
    <row r="170" spans="2:16" x14ac:dyDescent="0.2">
      <c r="B170" s="34"/>
      <c r="C170" s="34"/>
      <c r="D170" s="34"/>
      <c r="E170" s="34"/>
      <c r="F170" s="34"/>
      <c r="G170" s="34"/>
      <c r="H170" s="34"/>
      <c r="I170" s="34"/>
      <c r="J170" s="76"/>
      <c r="K170" s="34"/>
      <c r="L170" s="34"/>
      <c r="M170" s="34"/>
      <c r="N170" s="34"/>
      <c r="O170" s="34"/>
      <c r="P170" s="34"/>
    </row>
    <row r="171" spans="2:16" x14ac:dyDescent="0.2">
      <c r="B171" s="97" t="s">
        <v>589</v>
      </c>
      <c r="C171" s="34"/>
      <c r="D171" s="34"/>
      <c r="E171" s="34"/>
      <c r="F171" s="34"/>
      <c r="G171" s="34"/>
      <c r="H171" s="34"/>
      <c r="I171" s="34"/>
      <c r="J171" s="76"/>
      <c r="K171" s="34"/>
      <c r="L171" s="34"/>
      <c r="M171" s="34"/>
      <c r="N171" s="34"/>
      <c r="O171" s="34"/>
      <c r="P171" s="34"/>
    </row>
    <row r="172" spans="2:16" x14ac:dyDescent="0.2">
      <c r="J172" s="76"/>
    </row>
    <row r="173" spans="2:16" x14ac:dyDescent="0.2">
      <c r="B173" s="97" t="s">
        <v>590</v>
      </c>
      <c r="J173" s="76"/>
      <c r="K173" s="34"/>
      <c r="L173" s="34"/>
      <c r="M173" s="34"/>
      <c r="N173" s="34"/>
      <c r="O173" s="34"/>
    </row>
    <row r="174" spans="2:16" x14ac:dyDescent="0.2">
      <c r="B174" s="97"/>
      <c r="J174" s="76"/>
      <c r="K174" s="34"/>
      <c r="L174" s="34"/>
      <c r="M174" s="34"/>
      <c r="N174" s="34"/>
      <c r="O174" s="34"/>
    </row>
    <row r="175" spans="2:16" x14ac:dyDescent="0.2">
      <c r="B175" s="97" t="s">
        <v>661</v>
      </c>
      <c r="J175" s="76"/>
      <c r="K175" s="34"/>
      <c r="L175" s="34"/>
      <c r="M175" s="34"/>
      <c r="N175" s="34"/>
      <c r="O175" s="34"/>
    </row>
    <row r="176" spans="2:16" x14ac:dyDescent="0.2">
      <c r="J176" s="76"/>
    </row>
    <row r="177" spans="2:4" x14ac:dyDescent="0.2">
      <c r="B177" s="72" t="s">
        <v>555</v>
      </c>
    </row>
    <row r="179" spans="2:4" ht="153.75" customHeight="1" x14ac:dyDescent="0.2"/>
    <row r="182" spans="2:4" x14ac:dyDescent="0.2">
      <c r="B182" s="73" t="s">
        <v>556</v>
      </c>
      <c r="C182" s="74"/>
      <c r="D182" s="73"/>
    </row>
    <row r="183" spans="2:4" x14ac:dyDescent="0.2">
      <c r="B183" s="73" t="s">
        <v>591</v>
      </c>
      <c r="D183" s="73"/>
    </row>
    <row r="184" spans="2:4" ht="165" customHeight="1" x14ac:dyDescent="0.2"/>
  </sheetData>
  <mergeCells count="52">
    <mergeCell ref="D159:F159"/>
    <mergeCell ref="D149:F149"/>
    <mergeCell ref="G149:H149"/>
    <mergeCell ref="D150:F150"/>
    <mergeCell ref="G150:H150"/>
    <mergeCell ref="B164:J164"/>
    <mergeCell ref="D151:F151"/>
    <mergeCell ref="G151:H151"/>
    <mergeCell ref="B152:H152"/>
    <mergeCell ref="J153:J154"/>
    <mergeCell ref="B153:B154"/>
    <mergeCell ref="C153:C154"/>
    <mergeCell ref="D153:G153"/>
    <mergeCell ref="H153:H154"/>
    <mergeCell ref="I153:I154"/>
    <mergeCell ref="C159:C161"/>
    <mergeCell ref="B159:B161"/>
    <mergeCell ref="B142:C142"/>
    <mergeCell ref="B143:D143"/>
    <mergeCell ref="D147:F147"/>
    <mergeCell ref="G147:H147"/>
    <mergeCell ref="D148:F148"/>
    <mergeCell ref="G148:H148"/>
    <mergeCell ref="B137:C137"/>
    <mergeCell ref="B138:C138"/>
    <mergeCell ref="B139:C139"/>
    <mergeCell ref="B140:C140"/>
    <mergeCell ref="B141:C141"/>
    <mergeCell ref="A1:H1"/>
    <mergeCell ref="A2:H2"/>
    <mergeCell ref="A3:H3"/>
    <mergeCell ref="B109:D109"/>
    <mergeCell ref="B110:C110"/>
    <mergeCell ref="B105:H105"/>
    <mergeCell ref="B106:H106"/>
    <mergeCell ref="B107:H107"/>
    <mergeCell ref="B111:C111"/>
    <mergeCell ref="G159:H160"/>
    <mergeCell ref="I159:I161"/>
    <mergeCell ref="F160:F161"/>
    <mergeCell ref="E160:E161"/>
    <mergeCell ref="D160:D161"/>
    <mergeCell ref="B112:C112"/>
    <mergeCell ref="B123:C123"/>
    <mergeCell ref="B129:C129"/>
    <mergeCell ref="B134:C134"/>
    <mergeCell ref="B135:C135"/>
    <mergeCell ref="B128:C128"/>
    <mergeCell ref="B133:D133"/>
    <mergeCell ref="B130:C130"/>
    <mergeCell ref="B131:C131"/>
    <mergeCell ref="B136:C136"/>
  </mergeCells>
  <hyperlinks>
    <hyperlink ref="B169" r:id="rId1" xr:uid="{0709537B-9FFA-4BDF-B401-E35F3CC302D8}"/>
    <hyperlink ref="B171" r:id="rId2" xr:uid="{54363678-09E4-420C-A8CF-C5B2D8C3EA4E}"/>
    <hyperlink ref="B173" r:id="rId3" xr:uid="{C408B9E6-DFEF-4355-872F-43C9AF17D60F}"/>
    <hyperlink ref="I1" location="Index!B2" display="Index" xr:uid="{AA8EAADE-2418-4E0E-99BF-820F3B9CA059}"/>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919FB-3C9C-4BA0-879D-7D6B68719CAC}">
  <sheetPr>
    <outlinePr summaryBelow="0" summaryRight="0"/>
  </sheetPr>
  <dimension ref="A1:R218"/>
  <sheetViews>
    <sheetView showGridLines="0" workbookViewId="0">
      <selection activeCell="A2" sqref="A2:H2"/>
    </sheetView>
  </sheetViews>
  <sheetFormatPr defaultRowHeight="12.75" x14ac:dyDescent="0.2"/>
  <cols>
    <col min="1" max="1" width="5.85546875" bestFit="1" customWidth="1"/>
    <col min="2" max="2" width="20.28515625" bestFit="1" customWidth="1"/>
    <col min="3" max="3" width="33.140625" bestFit="1" customWidth="1"/>
    <col min="4" max="4" width="13.42578125" customWidth="1"/>
    <col min="5" max="5" width="10.42578125" bestFit="1" customWidth="1"/>
    <col min="6" max="6" width="13" customWidth="1"/>
    <col min="7" max="7" width="14" bestFit="1" customWidth="1"/>
    <col min="8" max="8" width="10.7109375" customWidth="1"/>
  </cols>
  <sheetData>
    <row r="1" spans="1:9" ht="15" x14ac:dyDescent="0.2">
      <c r="A1" s="156" t="s">
        <v>0</v>
      </c>
      <c r="B1" s="156"/>
      <c r="C1" s="156"/>
      <c r="D1" s="156"/>
      <c r="E1" s="156"/>
      <c r="F1" s="156"/>
      <c r="G1" s="156"/>
      <c r="H1" s="156"/>
      <c r="I1" s="9" t="s">
        <v>658</v>
      </c>
    </row>
    <row r="2" spans="1:9" ht="15" x14ac:dyDescent="0.2">
      <c r="A2" s="156" t="s">
        <v>249</v>
      </c>
      <c r="B2" s="156"/>
      <c r="C2" s="156"/>
      <c r="D2" s="156"/>
      <c r="E2" s="156"/>
      <c r="F2" s="156"/>
      <c r="G2" s="156"/>
      <c r="H2" s="156"/>
    </row>
    <row r="3" spans="1:9" ht="15" x14ac:dyDescent="0.2">
      <c r="A3" s="156" t="s">
        <v>563</v>
      </c>
      <c r="B3" s="156"/>
      <c r="C3" s="156"/>
      <c r="D3" s="156"/>
      <c r="E3" s="156"/>
      <c r="F3" s="156"/>
      <c r="G3" s="156"/>
      <c r="H3" s="156"/>
    </row>
    <row r="4" spans="1:9" s="13" customFormat="1" ht="30" x14ac:dyDescent="0.2">
      <c r="A4" s="11" t="s">
        <v>2</v>
      </c>
      <c r="B4" s="11" t="s">
        <v>3</v>
      </c>
      <c r="C4" s="11" t="s">
        <v>4</v>
      </c>
      <c r="D4" s="11" t="s">
        <v>5</v>
      </c>
      <c r="E4" s="11" t="s">
        <v>6</v>
      </c>
      <c r="F4" s="11" t="s">
        <v>7</v>
      </c>
      <c r="G4" s="11" t="s">
        <v>8</v>
      </c>
      <c r="H4" s="12" t="s">
        <v>641</v>
      </c>
    </row>
    <row r="5" spans="1:9" x14ac:dyDescent="0.2">
      <c r="A5" s="14"/>
      <c r="B5" s="14"/>
      <c r="C5" s="15" t="s">
        <v>9</v>
      </c>
      <c r="D5" s="14"/>
      <c r="E5" s="14"/>
      <c r="F5" s="14"/>
      <c r="G5" s="14"/>
      <c r="H5" s="16" t="s">
        <v>12</v>
      </c>
    </row>
    <row r="6" spans="1:9" ht="25.5" x14ac:dyDescent="0.2">
      <c r="A6" s="14"/>
      <c r="B6" s="14"/>
      <c r="C6" s="15" t="s">
        <v>10</v>
      </c>
      <c r="D6" s="14"/>
      <c r="E6" s="14"/>
      <c r="F6" s="14"/>
      <c r="G6" s="14"/>
      <c r="H6" s="16" t="s">
        <v>12</v>
      </c>
    </row>
    <row r="7" spans="1:9" x14ac:dyDescent="0.2">
      <c r="A7" s="14"/>
      <c r="B7" s="14"/>
      <c r="C7" s="15" t="s">
        <v>11</v>
      </c>
      <c r="D7" s="14"/>
      <c r="E7" s="14" t="s">
        <v>12</v>
      </c>
      <c r="F7" s="17" t="s">
        <v>13</v>
      </c>
      <c r="G7" s="18">
        <v>0</v>
      </c>
      <c r="H7" s="16" t="s">
        <v>12</v>
      </c>
    </row>
    <row r="8" spans="1:9" x14ac:dyDescent="0.2">
      <c r="A8" s="14"/>
      <c r="B8" s="14"/>
      <c r="C8" s="19"/>
      <c r="D8" s="14"/>
      <c r="E8" s="14"/>
      <c r="F8" s="20"/>
      <c r="G8" s="20"/>
      <c r="H8" s="16" t="s">
        <v>12</v>
      </c>
    </row>
    <row r="9" spans="1:9" x14ac:dyDescent="0.2">
      <c r="A9" s="14"/>
      <c r="B9" s="14"/>
      <c r="C9" s="15" t="s">
        <v>14</v>
      </c>
      <c r="D9" s="14"/>
      <c r="E9" s="14"/>
      <c r="F9" s="14"/>
      <c r="G9" s="14"/>
      <c r="H9" s="16" t="s">
        <v>12</v>
      </c>
    </row>
    <row r="10" spans="1:9" x14ac:dyDescent="0.2">
      <c r="A10" s="14"/>
      <c r="B10" s="14"/>
      <c r="C10" s="15" t="s">
        <v>11</v>
      </c>
      <c r="D10" s="14"/>
      <c r="E10" s="14" t="s">
        <v>12</v>
      </c>
      <c r="F10" s="17" t="s">
        <v>13</v>
      </c>
      <c r="G10" s="18">
        <v>0</v>
      </c>
      <c r="H10" s="16" t="s">
        <v>12</v>
      </c>
    </row>
    <row r="11" spans="1:9" x14ac:dyDescent="0.2">
      <c r="A11" s="14"/>
      <c r="B11" s="14"/>
      <c r="C11" s="19"/>
      <c r="D11" s="14"/>
      <c r="E11" s="14"/>
      <c r="F11" s="20"/>
      <c r="G11" s="20"/>
      <c r="H11" s="16" t="s">
        <v>12</v>
      </c>
    </row>
    <row r="12" spans="1:9" x14ac:dyDescent="0.2">
      <c r="A12" s="14"/>
      <c r="B12" s="14"/>
      <c r="C12" s="15" t="s">
        <v>15</v>
      </c>
      <c r="D12" s="14"/>
      <c r="E12" s="14"/>
      <c r="F12" s="14"/>
      <c r="G12" s="14"/>
      <c r="H12" s="16" t="s">
        <v>12</v>
      </c>
    </row>
    <row r="13" spans="1:9" x14ac:dyDescent="0.2">
      <c r="A13" s="14"/>
      <c r="B13" s="14"/>
      <c r="C13" s="15" t="s">
        <v>11</v>
      </c>
      <c r="D13" s="14"/>
      <c r="E13" s="14" t="s">
        <v>12</v>
      </c>
      <c r="F13" s="17" t="s">
        <v>13</v>
      </c>
      <c r="G13" s="18">
        <v>0</v>
      </c>
      <c r="H13" s="16" t="s">
        <v>12</v>
      </c>
    </row>
    <row r="14" spans="1:9" x14ac:dyDescent="0.2">
      <c r="A14" s="14"/>
      <c r="B14" s="14"/>
      <c r="C14" s="19"/>
      <c r="D14" s="14"/>
      <c r="E14" s="14"/>
      <c r="F14" s="20"/>
      <c r="G14" s="20"/>
      <c r="H14" s="16" t="s">
        <v>12</v>
      </c>
    </row>
    <row r="15" spans="1:9" x14ac:dyDescent="0.2">
      <c r="A15" s="14"/>
      <c r="B15" s="14"/>
      <c r="C15" s="15" t="s">
        <v>16</v>
      </c>
      <c r="D15" s="14"/>
      <c r="E15" s="14"/>
      <c r="F15" s="14"/>
      <c r="G15" s="14"/>
      <c r="H15" s="16" t="s">
        <v>12</v>
      </c>
    </row>
    <row r="16" spans="1:9" x14ac:dyDescent="0.2">
      <c r="A16" s="14"/>
      <c r="B16" s="14"/>
      <c r="C16" s="15" t="s">
        <v>11</v>
      </c>
      <c r="D16" s="14"/>
      <c r="E16" s="14" t="s">
        <v>12</v>
      </c>
      <c r="F16" s="17" t="s">
        <v>13</v>
      </c>
      <c r="G16" s="18">
        <v>0</v>
      </c>
      <c r="H16" s="16" t="s">
        <v>12</v>
      </c>
    </row>
    <row r="17" spans="1:8" x14ac:dyDescent="0.2">
      <c r="A17" s="14"/>
      <c r="B17" s="14"/>
      <c r="C17" s="19"/>
      <c r="D17" s="14"/>
      <c r="E17" s="14"/>
      <c r="F17" s="20"/>
      <c r="G17" s="20"/>
      <c r="H17" s="16" t="s">
        <v>12</v>
      </c>
    </row>
    <row r="18" spans="1:8" x14ac:dyDescent="0.2">
      <c r="A18" s="14"/>
      <c r="B18" s="14"/>
      <c r="C18" s="15" t="s">
        <v>17</v>
      </c>
      <c r="D18" s="14"/>
      <c r="E18" s="14"/>
      <c r="F18" s="20"/>
      <c r="G18" s="20"/>
      <c r="H18" s="16" t="s">
        <v>12</v>
      </c>
    </row>
    <row r="19" spans="1:8" x14ac:dyDescent="0.2">
      <c r="A19" s="14"/>
      <c r="B19" s="14"/>
      <c r="C19" s="15" t="s">
        <v>11</v>
      </c>
      <c r="D19" s="14"/>
      <c r="E19" s="14" t="s">
        <v>12</v>
      </c>
      <c r="F19" s="17" t="s">
        <v>13</v>
      </c>
      <c r="G19" s="18">
        <v>0</v>
      </c>
      <c r="H19" s="16" t="s">
        <v>12</v>
      </c>
    </row>
    <row r="20" spans="1:8" x14ac:dyDescent="0.2">
      <c r="A20" s="14"/>
      <c r="B20" s="14"/>
      <c r="C20" s="19"/>
      <c r="D20" s="14"/>
      <c r="E20" s="14"/>
      <c r="F20" s="20"/>
      <c r="G20" s="20"/>
      <c r="H20" s="16" t="s">
        <v>12</v>
      </c>
    </row>
    <row r="21" spans="1:8" x14ac:dyDescent="0.2">
      <c r="A21" s="14"/>
      <c r="B21" s="14"/>
      <c r="C21" s="15" t="s">
        <v>18</v>
      </c>
      <c r="D21" s="14"/>
      <c r="E21" s="14"/>
      <c r="F21" s="20"/>
      <c r="G21" s="20"/>
      <c r="H21" s="16" t="s">
        <v>12</v>
      </c>
    </row>
    <row r="22" spans="1:8" x14ac:dyDescent="0.2">
      <c r="A22" s="14"/>
      <c r="B22" s="14"/>
      <c r="C22" s="15" t="s">
        <v>11</v>
      </c>
      <c r="D22" s="14"/>
      <c r="E22" s="14" t="s">
        <v>12</v>
      </c>
      <c r="F22" s="17" t="s">
        <v>13</v>
      </c>
      <c r="G22" s="18">
        <v>0</v>
      </c>
      <c r="H22" s="16" t="s">
        <v>12</v>
      </c>
    </row>
    <row r="23" spans="1:8" x14ac:dyDescent="0.2">
      <c r="A23" s="14"/>
      <c r="B23" s="14"/>
      <c r="C23" s="19"/>
      <c r="D23" s="14"/>
      <c r="E23" s="14"/>
      <c r="F23" s="20"/>
      <c r="G23" s="20"/>
      <c r="H23" s="16" t="s">
        <v>12</v>
      </c>
    </row>
    <row r="24" spans="1:8" x14ac:dyDescent="0.2">
      <c r="A24" s="14"/>
      <c r="B24" s="14"/>
      <c r="C24" s="15" t="s">
        <v>19</v>
      </c>
      <c r="D24" s="14"/>
      <c r="E24" s="14"/>
      <c r="F24" s="21">
        <v>0</v>
      </c>
      <c r="G24" s="18">
        <v>0</v>
      </c>
      <c r="H24" s="16" t="s">
        <v>12</v>
      </c>
    </row>
    <row r="25" spans="1:8" x14ac:dyDescent="0.2">
      <c r="A25" s="14"/>
      <c r="B25" s="14"/>
      <c r="C25" s="19"/>
      <c r="D25" s="14"/>
      <c r="E25" s="14"/>
      <c r="F25" s="20"/>
      <c r="G25" s="20"/>
      <c r="H25" s="16" t="s">
        <v>12</v>
      </c>
    </row>
    <row r="26" spans="1:8" x14ac:dyDescent="0.2">
      <c r="A26" s="14"/>
      <c r="B26" s="14"/>
      <c r="C26" s="15" t="s">
        <v>20</v>
      </c>
      <c r="D26" s="14"/>
      <c r="E26" s="14"/>
      <c r="F26" s="20"/>
      <c r="G26" s="20"/>
      <c r="H26" s="16" t="s">
        <v>12</v>
      </c>
    </row>
    <row r="27" spans="1:8" ht="25.5" x14ac:dyDescent="0.2">
      <c r="A27" s="14"/>
      <c r="B27" s="14"/>
      <c r="C27" s="15" t="s">
        <v>10</v>
      </c>
      <c r="D27" s="14"/>
      <c r="E27" s="14"/>
      <c r="F27" s="20"/>
      <c r="G27" s="20"/>
      <c r="H27" s="16" t="s">
        <v>12</v>
      </c>
    </row>
    <row r="28" spans="1:8" x14ac:dyDescent="0.2">
      <c r="A28" s="14"/>
      <c r="B28" s="14"/>
      <c r="C28" s="15" t="s">
        <v>11</v>
      </c>
      <c r="D28" s="14"/>
      <c r="E28" s="14" t="s">
        <v>12</v>
      </c>
      <c r="F28" s="17" t="s">
        <v>13</v>
      </c>
      <c r="G28" s="18">
        <v>0</v>
      </c>
      <c r="H28" s="16" t="s">
        <v>12</v>
      </c>
    </row>
    <row r="29" spans="1:8" x14ac:dyDescent="0.2">
      <c r="A29" s="14"/>
      <c r="B29" s="14"/>
      <c r="C29" s="19"/>
      <c r="D29" s="14"/>
      <c r="E29" s="14"/>
      <c r="F29" s="20"/>
      <c r="G29" s="20"/>
      <c r="H29" s="16" t="s">
        <v>12</v>
      </c>
    </row>
    <row r="30" spans="1:8" x14ac:dyDescent="0.2">
      <c r="A30" s="14"/>
      <c r="B30" s="14"/>
      <c r="C30" s="15" t="s">
        <v>71</v>
      </c>
      <c r="D30" s="14"/>
      <c r="E30" s="14"/>
      <c r="F30" s="14"/>
      <c r="G30" s="14"/>
      <c r="H30" s="16" t="s">
        <v>12</v>
      </c>
    </row>
    <row r="31" spans="1:8" x14ac:dyDescent="0.2">
      <c r="A31" s="14"/>
      <c r="B31" s="14"/>
      <c r="C31" s="15" t="s">
        <v>11</v>
      </c>
      <c r="D31" s="14"/>
      <c r="E31" s="14" t="s">
        <v>12</v>
      </c>
      <c r="F31" s="17" t="s">
        <v>13</v>
      </c>
      <c r="G31" s="18">
        <v>0</v>
      </c>
      <c r="H31" s="16" t="s">
        <v>12</v>
      </c>
    </row>
    <row r="32" spans="1:8" x14ac:dyDescent="0.2">
      <c r="A32" s="14"/>
      <c r="B32" s="14"/>
      <c r="C32" s="19"/>
      <c r="D32" s="14"/>
      <c r="E32" s="14"/>
      <c r="F32" s="20"/>
      <c r="G32" s="20"/>
      <c r="H32" s="16" t="s">
        <v>12</v>
      </c>
    </row>
    <row r="33" spans="1:8" x14ac:dyDescent="0.2">
      <c r="A33" s="14"/>
      <c r="B33" s="14"/>
      <c r="C33" s="15" t="s">
        <v>72</v>
      </c>
      <c r="D33" s="14"/>
      <c r="E33" s="14"/>
      <c r="F33" s="14"/>
      <c r="G33" s="14"/>
      <c r="H33" s="16" t="s">
        <v>12</v>
      </c>
    </row>
    <row r="34" spans="1:8" x14ac:dyDescent="0.2">
      <c r="A34" s="14"/>
      <c r="B34" s="14"/>
      <c r="C34" s="15" t="s">
        <v>11</v>
      </c>
      <c r="D34" s="14"/>
      <c r="E34" s="14" t="s">
        <v>12</v>
      </c>
      <c r="F34" s="17" t="s">
        <v>13</v>
      </c>
      <c r="G34" s="18">
        <v>0</v>
      </c>
      <c r="H34" s="16" t="s">
        <v>12</v>
      </c>
    </row>
    <row r="35" spans="1:8" x14ac:dyDescent="0.2">
      <c r="A35" s="14"/>
      <c r="B35" s="14"/>
      <c r="C35" s="19"/>
      <c r="D35" s="14"/>
      <c r="E35" s="14"/>
      <c r="F35" s="20"/>
      <c r="G35" s="20"/>
      <c r="H35" s="16" t="s">
        <v>12</v>
      </c>
    </row>
    <row r="36" spans="1:8" x14ac:dyDescent="0.2">
      <c r="A36" s="14"/>
      <c r="B36" s="14"/>
      <c r="C36" s="15" t="s">
        <v>88</v>
      </c>
      <c r="D36" s="14"/>
      <c r="E36" s="14"/>
      <c r="F36" s="20"/>
      <c r="G36" s="20"/>
      <c r="H36" s="16" t="s">
        <v>12</v>
      </c>
    </row>
    <row r="37" spans="1:8" x14ac:dyDescent="0.2">
      <c r="A37" s="14"/>
      <c r="B37" s="14"/>
      <c r="C37" s="15" t="s">
        <v>11</v>
      </c>
      <c r="D37" s="14"/>
      <c r="E37" s="14" t="s">
        <v>12</v>
      </c>
      <c r="F37" s="17" t="s">
        <v>13</v>
      </c>
      <c r="G37" s="18">
        <v>0</v>
      </c>
      <c r="H37" s="16" t="s">
        <v>12</v>
      </c>
    </row>
    <row r="38" spans="1:8" x14ac:dyDescent="0.2">
      <c r="A38" s="14"/>
      <c r="B38" s="14"/>
      <c r="C38" s="19"/>
      <c r="D38" s="14"/>
      <c r="E38" s="14"/>
      <c r="F38" s="20"/>
      <c r="G38" s="20"/>
      <c r="H38" s="16" t="s">
        <v>12</v>
      </c>
    </row>
    <row r="39" spans="1:8" x14ac:dyDescent="0.2">
      <c r="A39" s="14"/>
      <c r="B39" s="14"/>
      <c r="C39" s="15" t="s">
        <v>89</v>
      </c>
      <c r="D39" s="14"/>
      <c r="E39" s="14"/>
      <c r="F39" s="21">
        <v>0</v>
      </c>
      <c r="G39" s="18">
        <v>0</v>
      </c>
      <c r="H39" s="16" t="s">
        <v>12</v>
      </c>
    </row>
    <row r="40" spans="1:8" x14ac:dyDescent="0.2">
      <c r="A40" s="14"/>
      <c r="B40" s="14"/>
      <c r="C40" s="19"/>
      <c r="D40" s="14"/>
      <c r="E40" s="14"/>
      <c r="F40" s="20"/>
      <c r="G40" s="20"/>
      <c r="H40" s="16" t="s">
        <v>12</v>
      </c>
    </row>
    <row r="41" spans="1:8" x14ac:dyDescent="0.2">
      <c r="A41" s="14"/>
      <c r="B41" s="14"/>
      <c r="C41" s="15" t="s">
        <v>90</v>
      </c>
      <c r="D41" s="14"/>
      <c r="E41" s="14"/>
      <c r="F41" s="20"/>
      <c r="G41" s="20"/>
      <c r="H41" s="16" t="s">
        <v>12</v>
      </c>
    </row>
    <row r="42" spans="1:8" x14ac:dyDescent="0.2">
      <c r="A42" s="14"/>
      <c r="B42" s="14"/>
      <c r="C42" s="15" t="s">
        <v>91</v>
      </c>
      <c r="D42" s="14"/>
      <c r="E42" s="14"/>
      <c r="F42" s="20"/>
      <c r="G42" s="20"/>
      <c r="H42" s="16" t="s">
        <v>12</v>
      </c>
    </row>
    <row r="43" spans="1:8" x14ac:dyDescent="0.2">
      <c r="A43" s="22">
        <v>1</v>
      </c>
      <c r="B43" s="23" t="s">
        <v>250</v>
      </c>
      <c r="C43" s="23" t="s">
        <v>251</v>
      </c>
      <c r="D43" s="23" t="s">
        <v>143</v>
      </c>
      <c r="E43" s="24">
        <v>4500</v>
      </c>
      <c r="F43" s="25">
        <v>22100.962500000001</v>
      </c>
      <c r="G43" s="26">
        <v>2.6164E-2</v>
      </c>
      <c r="H43" s="16">
        <v>7.5750000000000002</v>
      </c>
    </row>
    <row r="44" spans="1:8" x14ac:dyDescent="0.2">
      <c r="A44" s="22">
        <v>2</v>
      </c>
      <c r="B44" s="23" t="s">
        <v>252</v>
      </c>
      <c r="C44" s="23" t="s">
        <v>253</v>
      </c>
      <c r="D44" s="23" t="s">
        <v>143</v>
      </c>
      <c r="E44" s="24">
        <v>4000</v>
      </c>
      <c r="F44" s="25">
        <v>19958.5</v>
      </c>
      <c r="G44" s="26">
        <v>2.362767E-2</v>
      </c>
      <c r="H44" s="16">
        <v>6.9005999999999998</v>
      </c>
    </row>
    <row r="45" spans="1:8" x14ac:dyDescent="0.2">
      <c r="A45" s="22">
        <v>3</v>
      </c>
      <c r="B45" s="23" t="s">
        <v>254</v>
      </c>
      <c r="C45" s="23" t="s">
        <v>255</v>
      </c>
      <c r="D45" s="23" t="s">
        <v>256</v>
      </c>
      <c r="E45" s="24">
        <v>4000</v>
      </c>
      <c r="F45" s="25">
        <v>19786.8</v>
      </c>
      <c r="G45" s="26">
        <v>2.3424400000000001E-2</v>
      </c>
      <c r="H45" s="16">
        <v>7.8657000000000004</v>
      </c>
    </row>
    <row r="46" spans="1:8" x14ac:dyDescent="0.2">
      <c r="A46" s="22">
        <v>4</v>
      </c>
      <c r="B46" s="23" t="s">
        <v>257</v>
      </c>
      <c r="C46" s="23" t="s">
        <v>258</v>
      </c>
      <c r="D46" s="23" t="s">
        <v>143</v>
      </c>
      <c r="E46" s="24">
        <v>3000</v>
      </c>
      <c r="F46" s="25">
        <v>14837.594999999999</v>
      </c>
      <c r="G46" s="26">
        <v>1.7565339999999999E-2</v>
      </c>
      <c r="H46" s="16">
        <v>7.8338000000000001</v>
      </c>
    </row>
    <row r="47" spans="1:8" x14ac:dyDescent="0.2">
      <c r="A47" s="22">
        <v>5</v>
      </c>
      <c r="B47" s="23" t="s">
        <v>259</v>
      </c>
      <c r="C47" s="23" t="s">
        <v>260</v>
      </c>
      <c r="D47" s="23" t="s">
        <v>143</v>
      </c>
      <c r="E47" s="24">
        <v>3000</v>
      </c>
      <c r="F47" s="25">
        <v>14806.38</v>
      </c>
      <c r="G47" s="26">
        <v>1.752838E-2</v>
      </c>
      <c r="H47" s="16">
        <v>7.8250999999999999</v>
      </c>
    </row>
    <row r="48" spans="1:8" ht="25.5" x14ac:dyDescent="0.2">
      <c r="A48" s="22">
        <v>6</v>
      </c>
      <c r="B48" s="23" t="s">
        <v>261</v>
      </c>
      <c r="C48" s="23" t="s">
        <v>262</v>
      </c>
      <c r="D48" s="23" t="s">
        <v>143</v>
      </c>
      <c r="E48" s="24">
        <v>3000</v>
      </c>
      <c r="F48" s="25">
        <v>14736.12</v>
      </c>
      <c r="G48" s="26">
        <v>1.7445209999999999E-2</v>
      </c>
      <c r="H48" s="16">
        <v>7.6</v>
      </c>
    </row>
    <row r="49" spans="1:8" x14ac:dyDescent="0.2">
      <c r="A49" s="22">
        <v>7</v>
      </c>
      <c r="B49" s="23" t="s">
        <v>263</v>
      </c>
      <c r="C49" s="23" t="s">
        <v>264</v>
      </c>
      <c r="D49" s="23" t="s">
        <v>183</v>
      </c>
      <c r="E49" s="24">
        <v>2000</v>
      </c>
      <c r="F49" s="25">
        <v>9981.0300000000007</v>
      </c>
      <c r="G49" s="26">
        <v>1.181594E-2</v>
      </c>
      <c r="H49" s="16">
        <v>6.9394</v>
      </c>
    </row>
    <row r="50" spans="1:8" x14ac:dyDescent="0.2">
      <c r="A50" s="22">
        <v>8</v>
      </c>
      <c r="B50" s="23" t="s">
        <v>265</v>
      </c>
      <c r="C50" s="23" t="s">
        <v>266</v>
      </c>
      <c r="D50" s="23" t="s">
        <v>143</v>
      </c>
      <c r="E50" s="24">
        <v>2000</v>
      </c>
      <c r="F50" s="25">
        <v>9887.8700000000008</v>
      </c>
      <c r="G50" s="26">
        <v>1.170565E-2</v>
      </c>
      <c r="H50" s="16">
        <v>7.81</v>
      </c>
    </row>
    <row r="51" spans="1:8" x14ac:dyDescent="0.2">
      <c r="A51" s="22">
        <v>9</v>
      </c>
      <c r="B51" s="23" t="s">
        <v>267</v>
      </c>
      <c r="C51" s="23" t="s">
        <v>268</v>
      </c>
      <c r="D51" s="23" t="s">
        <v>143</v>
      </c>
      <c r="E51" s="24">
        <v>2000</v>
      </c>
      <c r="F51" s="25">
        <v>9887.44</v>
      </c>
      <c r="G51" s="26">
        <v>1.1705149999999999E-2</v>
      </c>
      <c r="H51" s="16">
        <v>7.84</v>
      </c>
    </row>
    <row r="52" spans="1:8" x14ac:dyDescent="0.2">
      <c r="A52" s="22">
        <v>10</v>
      </c>
      <c r="B52" s="23" t="s">
        <v>269</v>
      </c>
      <c r="C52" s="23" t="s">
        <v>270</v>
      </c>
      <c r="D52" s="23" t="s">
        <v>143</v>
      </c>
      <c r="E52" s="24">
        <v>2000</v>
      </c>
      <c r="F52" s="25">
        <v>9886.3799999999992</v>
      </c>
      <c r="G52" s="26">
        <v>1.170389E-2</v>
      </c>
      <c r="H52" s="16">
        <v>7.915</v>
      </c>
    </row>
    <row r="53" spans="1:8" x14ac:dyDescent="0.2">
      <c r="A53" s="22">
        <v>11</v>
      </c>
      <c r="B53" s="23" t="s">
        <v>271</v>
      </c>
      <c r="C53" s="23" t="s">
        <v>272</v>
      </c>
      <c r="D53" s="23" t="s">
        <v>143</v>
      </c>
      <c r="E53" s="24">
        <v>2000</v>
      </c>
      <c r="F53" s="25">
        <v>9865.44</v>
      </c>
      <c r="G53" s="26">
        <v>1.16791E-2</v>
      </c>
      <c r="H53" s="16">
        <v>7.7788000000000004</v>
      </c>
    </row>
    <row r="54" spans="1:8" x14ac:dyDescent="0.2">
      <c r="A54" s="22">
        <v>12</v>
      </c>
      <c r="B54" s="23" t="s">
        <v>273</v>
      </c>
      <c r="C54" s="23" t="s">
        <v>274</v>
      </c>
      <c r="D54" s="23" t="s">
        <v>143</v>
      </c>
      <c r="E54" s="24">
        <v>2000</v>
      </c>
      <c r="F54" s="25">
        <v>9855.14</v>
      </c>
      <c r="G54" s="26">
        <v>1.1666910000000001E-2</v>
      </c>
      <c r="H54" s="16">
        <v>7.89</v>
      </c>
    </row>
    <row r="55" spans="1:8" x14ac:dyDescent="0.2">
      <c r="A55" s="22">
        <v>13</v>
      </c>
      <c r="B55" s="23" t="s">
        <v>243</v>
      </c>
      <c r="C55" s="23" t="s">
        <v>244</v>
      </c>
      <c r="D55" s="23" t="s">
        <v>143</v>
      </c>
      <c r="E55" s="24">
        <v>2000</v>
      </c>
      <c r="F55" s="25">
        <v>9849.14</v>
      </c>
      <c r="G55" s="26">
        <v>1.16598E-2</v>
      </c>
      <c r="H55" s="16">
        <v>7.7649999999999997</v>
      </c>
    </row>
    <row r="56" spans="1:8" x14ac:dyDescent="0.2">
      <c r="A56" s="22">
        <v>14</v>
      </c>
      <c r="B56" s="23" t="s">
        <v>275</v>
      </c>
      <c r="C56" s="23" t="s">
        <v>276</v>
      </c>
      <c r="D56" s="23" t="s">
        <v>143</v>
      </c>
      <c r="E56" s="24">
        <v>2000</v>
      </c>
      <c r="F56" s="25">
        <v>9841.01</v>
      </c>
      <c r="G56" s="26">
        <v>1.165018E-2</v>
      </c>
      <c r="H56" s="16">
        <v>7.56</v>
      </c>
    </row>
    <row r="57" spans="1:8" x14ac:dyDescent="0.2">
      <c r="A57" s="22">
        <v>15</v>
      </c>
      <c r="B57" s="23" t="s">
        <v>277</v>
      </c>
      <c r="C57" s="23" t="s">
        <v>278</v>
      </c>
      <c r="D57" s="23" t="s">
        <v>143</v>
      </c>
      <c r="E57" s="24">
        <v>2000</v>
      </c>
      <c r="F57" s="25">
        <v>9835.24</v>
      </c>
      <c r="G57" s="26">
        <v>1.164335E-2</v>
      </c>
      <c r="H57" s="16">
        <v>7.5488</v>
      </c>
    </row>
    <row r="58" spans="1:8" x14ac:dyDescent="0.2">
      <c r="A58" s="22">
        <v>16</v>
      </c>
      <c r="B58" s="23" t="s">
        <v>279</v>
      </c>
      <c r="C58" s="23" t="s">
        <v>280</v>
      </c>
      <c r="D58" s="23" t="s">
        <v>256</v>
      </c>
      <c r="E58" s="24">
        <v>2000</v>
      </c>
      <c r="F58" s="25">
        <v>9825.66</v>
      </c>
      <c r="G58" s="26">
        <v>1.163201E-2</v>
      </c>
      <c r="H58" s="16">
        <v>7.6195000000000004</v>
      </c>
    </row>
    <row r="59" spans="1:8" x14ac:dyDescent="0.2">
      <c r="A59" s="22">
        <v>17</v>
      </c>
      <c r="B59" s="23" t="s">
        <v>281</v>
      </c>
      <c r="C59" s="23" t="s">
        <v>282</v>
      </c>
      <c r="D59" s="23" t="s">
        <v>256</v>
      </c>
      <c r="E59" s="24">
        <v>2000</v>
      </c>
      <c r="F59" s="25">
        <v>9823.64</v>
      </c>
      <c r="G59" s="26">
        <v>1.162962E-2</v>
      </c>
      <c r="H59" s="16">
        <v>7.6195000000000004</v>
      </c>
    </row>
    <row r="60" spans="1:8" x14ac:dyDescent="0.2">
      <c r="A60" s="22">
        <v>18</v>
      </c>
      <c r="B60" s="23" t="s">
        <v>283</v>
      </c>
      <c r="C60" s="23" t="s">
        <v>284</v>
      </c>
      <c r="D60" s="23" t="s">
        <v>183</v>
      </c>
      <c r="E60" s="24">
        <v>2000</v>
      </c>
      <c r="F60" s="25">
        <v>9820.5300000000007</v>
      </c>
      <c r="G60" s="26">
        <v>1.162593E-2</v>
      </c>
      <c r="H60" s="16">
        <v>7.5800999999999998</v>
      </c>
    </row>
    <row r="61" spans="1:8" x14ac:dyDescent="0.2">
      <c r="A61" s="22">
        <v>19</v>
      </c>
      <c r="B61" s="23" t="s">
        <v>285</v>
      </c>
      <c r="C61" s="23" t="s">
        <v>286</v>
      </c>
      <c r="D61" s="23" t="s">
        <v>143</v>
      </c>
      <c r="E61" s="24">
        <v>2000</v>
      </c>
      <c r="F61" s="25">
        <v>9819.3700000000008</v>
      </c>
      <c r="G61" s="26">
        <v>1.1624560000000001E-2</v>
      </c>
      <c r="H61" s="16">
        <v>7.63</v>
      </c>
    </row>
    <row r="62" spans="1:8" x14ac:dyDescent="0.2">
      <c r="A62" s="22">
        <v>20</v>
      </c>
      <c r="B62" s="23" t="s">
        <v>287</v>
      </c>
      <c r="C62" s="23" t="s">
        <v>288</v>
      </c>
      <c r="D62" s="23" t="s">
        <v>143</v>
      </c>
      <c r="E62" s="24">
        <v>1500</v>
      </c>
      <c r="F62" s="25">
        <v>7495.7475000000004</v>
      </c>
      <c r="G62" s="26">
        <v>8.8737599999999996E-3</v>
      </c>
      <c r="H62" s="16">
        <v>6.9065000000000003</v>
      </c>
    </row>
    <row r="63" spans="1:8" x14ac:dyDescent="0.2">
      <c r="A63" s="22">
        <v>21</v>
      </c>
      <c r="B63" s="23" t="s">
        <v>289</v>
      </c>
      <c r="C63" s="23" t="s">
        <v>290</v>
      </c>
      <c r="D63" s="23" t="s">
        <v>143</v>
      </c>
      <c r="E63" s="24">
        <v>1500</v>
      </c>
      <c r="F63" s="25">
        <v>7494.33</v>
      </c>
      <c r="G63" s="26">
        <v>8.8720899999999991E-3</v>
      </c>
      <c r="H63" s="16">
        <v>6.9024000000000001</v>
      </c>
    </row>
    <row r="64" spans="1:8" ht="25.5" x14ac:dyDescent="0.2">
      <c r="A64" s="22">
        <v>22</v>
      </c>
      <c r="B64" s="23" t="s">
        <v>291</v>
      </c>
      <c r="C64" s="23" t="s">
        <v>292</v>
      </c>
      <c r="D64" s="23" t="s">
        <v>143</v>
      </c>
      <c r="E64" s="24">
        <v>1500</v>
      </c>
      <c r="F64" s="25">
        <v>7488.6450000000004</v>
      </c>
      <c r="G64" s="26">
        <v>8.8653599999999992E-3</v>
      </c>
      <c r="H64" s="16">
        <v>6.9204999999999997</v>
      </c>
    </row>
    <row r="65" spans="1:8" ht="25.5" x14ac:dyDescent="0.2">
      <c r="A65" s="22">
        <v>23</v>
      </c>
      <c r="B65" s="23" t="s">
        <v>293</v>
      </c>
      <c r="C65" s="23" t="s">
        <v>294</v>
      </c>
      <c r="D65" s="23" t="s">
        <v>143</v>
      </c>
      <c r="E65" s="24">
        <v>1500</v>
      </c>
      <c r="F65" s="25">
        <v>7485.8249999999998</v>
      </c>
      <c r="G65" s="26">
        <v>8.86202E-3</v>
      </c>
      <c r="H65" s="16">
        <v>6.9145000000000003</v>
      </c>
    </row>
    <row r="66" spans="1:8" x14ac:dyDescent="0.2">
      <c r="A66" s="22">
        <v>24</v>
      </c>
      <c r="B66" s="23" t="s">
        <v>295</v>
      </c>
      <c r="C66" s="23" t="s">
        <v>296</v>
      </c>
      <c r="D66" s="23" t="s">
        <v>256</v>
      </c>
      <c r="E66" s="24">
        <v>1500</v>
      </c>
      <c r="F66" s="25">
        <v>7449.8774999999996</v>
      </c>
      <c r="G66" s="26">
        <v>8.8194599999999995E-3</v>
      </c>
      <c r="H66" s="16">
        <v>7.6749000000000001</v>
      </c>
    </row>
    <row r="67" spans="1:8" x14ac:dyDescent="0.2">
      <c r="A67" s="22">
        <v>25</v>
      </c>
      <c r="B67" s="23" t="s">
        <v>297</v>
      </c>
      <c r="C67" s="23" t="s">
        <v>298</v>
      </c>
      <c r="D67" s="23" t="s">
        <v>183</v>
      </c>
      <c r="E67" s="24">
        <v>1500</v>
      </c>
      <c r="F67" s="25">
        <v>7418.7150000000001</v>
      </c>
      <c r="G67" s="26">
        <v>8.78257E-3</v>
      </c>
      <c r="H67" s="16">
        <v>7.8414000000000001</v>
      </c>
    </row>
    <row r="68" spans="1:8" x14ac:dyDescent="0.2">
      <c r="A68" s="22">
        <v>26</v>
      </c>
      <c r="B68" s="23" t="s">
        <v>299</v>
      </c>
      <c r="C68" s="23" t="s">
        <v>300</v>
      </c>
      <c r="D68" s="23" t="s">
        <v>183</v>
      </c>
      <c r="E68" s="24">
        <v>1000</v>
      </c>
      <c r="F68" s="25">
        <v>4928.4399999999996</v>
      </c>
      <c r="G68" s="26">
        <v>5.8344800000000004E-3</v>
      </c>
      <c r="H68" s="16">
        <v>7.7937000000000003</v>
      </c>
    </row>
    <row r="69" spans="1:8" x14ac:dyDescent="0.2">
      <c r="A69" s="22">
        <v>27</v>
      </c>
      <c r="B69" s="23" t="s">
        <v>301</v>
      </c>
      <c r="C69" s="23" t="s">
        <v>302</v>
      </c>
      <c r="D69" s="23" t="s">
        <v>183</v>
      </c>
      <c r="E69" s="24">
        <v>1000</v>
      </c>
      <c r="F69" s="25">
        <v>4918.29</v>
      </c>
      <c r="G69" s="26">
        <v>5.8224699999999997E-3</v>
      </c>
      <c r="H69" s="16">
        <v>7.5800999999999998</v>
      </c>
    </row>
    <row r="70" spans="1:8" x14ac:dyDescent="0.2">
      <c r="A70" s="22">
        <v>28</v>
      </c>
      <c r="B70" s="23" t="s">
        <v>303</v>
      </c>
      <c r="C70" s="23" t="s">
        <v>304</v>
      </c>
      <c r="D70" s="23" t="s">
        <v>143</v>
      </c>
      <c r="E70" s="24">
        <v>1000</v>
      </c>
      <c r="F70" s="25">
        <v>4913.72</v>
      </c>
      <c r="G70" s="26">
        <v>5.8170599999999998E-3</v>
      </c>
      <c r="H70" s="16">
        <v>7.54</v>
      </c>
    </row>
    <row r="71" spans="1:8" ht="25.5" x14ac:dyDescent="0.2">
      <c r="A71" s="22">
        <v>29</v>
      </c>
      <c r="B71" s="23" t="s">
        <v>305</v>
      </c>
      <c r="C71" s="23" t="s">
        <v>306</v>
      </c>
      <c r="D71" s="23" t="s">
        <v>143</v>
      </c>
      <c r="E71" s="24">
        <v>500</v>
      </c>
      <c r="F71" s="25">
        <v>2499.0549999999998</v>
      </c>
      <c r="G71" s="26">
        <v>2.9584799999999999E-3</v>
      </c>
      <c r="H71" s="16">
        <v>6.9145000000000003</v>
      </c>
    </row>
    <row r="72" spans="1:8" x14ac:dyDescent="0.2">
      <c r="A72" s="22">
        <v>30</v>
      </c>
      <c r="B72" s="23" t="s">
        <v>307</v>
      </c>
      <c r="C72" s="23" t="s">
        <v>308</v>
      </c>
      <c r="D72" s="23" t="s">
        <v>143</v>
      </c>
      <c r="E72" s="24">
        <v>500</v>
      </c>
      <c r="F72" s="25">
        <v>2471.39</v>
      </c>
      <c r="G72" s="26">
        <v>2.9257300000000001E-3</v>
      </c>
      <c r="H72" s="16">
        <v>7.8250000000000002</v>
      </c>
    </row>
    <row r="73" spans="1:8" x14ac:dyDescent="0.2">
      <c r="A73" s="22">
        <v>31</v>
      </c>
      <c r="B73" s="23" t="s">
        <v>309</v>
      </c>
      <c r="C73" s="23" t="s">
        <v>310</v>
      </c>
      <c r="D73" s="23" t="s">
        <v>256</v>
      </c>
      <c r="E73" s="24">
        <v>500</v>
      </c>
      <c r="F73" s="25">
        <v>2457.9299999999998</v>
      </c>
      <c r="G73" s="26">
        <v>2.9098000000000001E-3</v>
      </c>
      <c r="H73" s="16">
        <v>7.6189</v>
      </c>
    </row>
    <row r="74" spans="1:8" x14ac:dyDescent="0.2">
      <c r="A74" s="14"/>
      <c r="B74" s="14"/>
      <c r="C74" s="15" t="s">
        <v>11</v>
      </c>
      <c r="D74" s="14"/>
      <c r="E74" s="14" t="s">
        <v>12</v>
      </c>
      <c r="F74" s="21">
        <v>301426.21250000002</v>
      </c>
      <c r="G74" s="18">
        <v>0.35684037000000002</v>
      </c>
      <c r="H74" s="16" t="s">
        <v>12</v>
      </c>
    </row>
    <row r="75" spans="1:8" x14ac:dyDescent="0.2">
      <c r="A75" s="14"/>
      <c r="B75" s="14"/>
      <c r="C75" s="19"/>
      <c r="D75" s="14"/>
      <c r="E75" s="14"/>
      <c r="F75" s="20"/>
      <c r="G75" s="20"/>
      <c r="H75" s="16" t="s">
        <v>12</v>
      </c>
    </row>
    <row r="76" spans="1:8" x14ac:dyDescent="0.2">
      <c r="A76" s="14"/>
      <c r="B76" s="14"/>
      <c r="C76" s="15" t="s">
        <v>92</v>
      </c>
      <c r="D76" s="14"/>
      <c r="E76" s="14"/>
      <c r="F76" s="20"/>
      <c r="G76" s="20"/>
      <c r="H76" s="16" t="s">
        <v>12</v>
      </c>
    </row>
    <row r="77" spans="1:8" x14ac:dyDescent="0.2">
      <c r="A77" s="22">
        <v>1</v>
      </c>
      <c r="B77" s="23" t="s">
        <v>311</v>
      </c>
      <c r="C77" s="23" t="s">
        <v>312</v>
      </c>
      <c r="D77" s="23" t="s">
        <v>143</v>
      </c>
      <c r="E77" s="24">
        <v>4000</v>
      </c>
      <c r="F77" s="25">
        <v>19769.62</v>
      </c>
      <c r="G77" s="26">
        <v>2.3404060000000001E-2</v>
      </c>
      <c r="H77" s="16">
        <v>8.0250000000000004</v>
      </c>
    </row>
    <row r="78" spans="1:8" ht="25.5" x14ac:dyDescent="0.2">
      <c r="A78" s="22">
        <v>2</v>
      </c>
      <c r="B78" s="23" t="s">
        <v>313</v>
      </c>
      <c r="C78" s="23" t="s">
        <v>314</v>
      </c>
      <c r="D78" s="23" t="s">
        <v>143</v>
      </c>
      <c r="E78" s="24">
        <v>3000</v>
      </c>
      <c r="F78" s="25">
        <v>14832.434999999999</v>
      </c>
      <c r="G78" s="26">
        <v>1.7559229999999999E-2</v>
      </c>
      <c r="H78" s="16">
        <v>7.9298999999999999</v>
      </c>
    </row>
    <row r="79" spans="1:8" ht="25.5" x14ac:dyDescent="0.2">
      <c r="A79" s="22">
        <v>3</v>
      </c>
      <c r="B79" s="23" t="s">
        <v>315</v>
      </c>
      <c r="C79" s="23" t="s">
        <v>316</v>
      </c>
      <c r="D79" s="23" t="s">
        <v>143</v>
      </c>
      <c r="E79" s="24">
        <v>3000</v>
      </c>
      <c r="F79" s="25">
        <v>14772.99</v>
      </c>
      <c r="G79" s="26">
        <v>1.748885E-2</v>
      </c>
      <c r="H79" s="16">
        <v>7.79</v>
      </c>
    </row>
    <row r="80" spans="1:8" x14ac:dyDescent="0.2">
      <c r="A80" s="22">
        <v>4</v>
      </c>
      <c r="B80" s="23" t="s">
        <v>317</v>
      </c>
      <c r="C80" s="23" t="s">
        <v>318</v>
      </c>
      <c r="D80" s="23" t="s">
        <v>143</v>
      </c>
      <c r="E80" s="24">
        <v>2000</v>
      </c>
      <c r="F80" s="25">
        <v>9991.77</v>
      </c>
      <c r="G80" s="26">
        <v>1.182866E-2</v>
      </c>
      <c r="H80" s="16">
        <v>7.5149999999999997</v>
      </c>
    </row>
    <row r="81" spans="1:8" ht="25.5" x14ac:dyDescent="0.2">
      <c r="A81" s="22">
        <v>5</v>
      </c>
      <c r="B81" s="23" t="s">
        <v>319</v>
      </c>
      <c r="C81" s="23" t="s">
        <v>320</v>
      </c>
      <c r="D81" s="23" t="s">
        <v>143</v>
      </c>
      <c r="E81" s="24">
        <v>2000</v>
      </c>
      <c r="F81" s="25">
        <v>9909.8799999999992</v>
      </c>
      <c r="G81" s="26">
        <v>1.1731709999999999E-2</v>
      </c>
      <c r="H81" s="16">
        <v>7.7199</v>
      </c>
    </row>
    <row r="82" spans="1:8" ht="25.5" x14ac:dyDescent="0.2">
      <c r="A82" s="22">
        <v>6</v>
      </c>
      <c r="B82" s="23" t="s">
        <v>321</v>
      </c>
      <c r="C82" s="23" t="s">
        <v>322</v>
      </c>
      <c r="D82" s="23" t="s">
        <v>143</v>
      </c>
      <c r="E82" s="24">
        <v>2000</v>
      </c>
      <c r="F82" s="25">
        <v>9889.4</v>
      </c>
      <c r="G82" s="26">
        <v>1.1707469999999999E-2</v>
      </c>
      <c r="H82" s="16">
        <v>7.85</v>
      </c>
    </row>
    <row r="83" spans="1:8" x14ac:dyDescent="0.2">
      <c r="A83" s="22">
        <v>7</v>
      </c>
      <c r="B83" s="23" t="s">
        <v>323</v>
      </c>
      <c r="C83" s="23" t="s">
        <v>324</v>
      </c>
      <c r="D83" s="23" t="s">
        <v>143</v>
      </c>
      <c r="E83" s="24">
        <v>2000</v>
      </c>
      <c r="F83" s="25">
        <v>9885.7800000000007</v>
      </c>
      <c r="G83" s="26">
        <v>1.1703180000000001E-2</v>
      </c>
      <c r="H83" s="16">
        <v>8.11</v>
      </c>
    </row>
    <row r="84" spans="1:8" x14ac:dyDescent="0.2">
      <c r="A84" s="22">
        <v>8</v>
      </c>
      <c r="B84" s="23" t="s">
        <v>325</v>
      </c>
      <c r="C84" s="23" t="s">
        <v>326</v>
      </c>
      <c r="D84" s="23" t="s">
        <v>143</v>
      </c>
      <c r="E84" s="24">
        <v>2000</v>
      </c>
      <c r="F84" s="25">
        <v>9883.83</v>
      </c>
      <c r="G84" s="26">
        <v>1.170087E-2</v>
      </c>
      <c r="H84" s="16">
        <v>8.0949000000000009</v>
      </c>
    </row>
    <row r="85" spans="1:8" x14ac:dyDescent="0.2">
      <c r="A85" s="22">
        <v>9</v>
      </c>
      <c r="B85" s="23" t="s">
        <v>327</v>
      </c>
      <c r="C85" s="23" t="s">
        <v>328</v>
      </c>
      <c r="D85" s="23" t="s">
        <v>143</v>
      </c>
      <c r="E85" s="24">
        <v>2000</v>
      </c>
      <c r="F85" s="25">
        <v>9869.3700000000008</v>
      </c>
      <c r="G85" s="26">
        <v>1.168375E-2</v>
      </c>
      <c r="H85" s="16">
        <v>7.92</v>
      </c>
    </row>
    <row r="86" spans="1:8" ht="25.5" x14ac:dyDescent="0.2">
      <c r="A86" s="22">
        <v>10</v>
      </c>
      <c r="B86" s="23" t="s">
        <v>329</v>
      </c>
      <c r="C86" s="23" t="s">
        <v>330</v>
      </c>
      <c r="D86" s="23" t="s">
        <v>143</v>
      </c>
      <c r="E86" s="24">
        <v>2000</v>
      </c>
      <c r="F86" s="25">
        <v>9849.7199999999993</v>
      </c>
      <c r="G86" s="26">
        <v>1.1660490000000001E-2</v>
      </c>
      <c r="H86" s="16">
        <v>8.19</v>
      </c>
    </row>
    <row r="87" spans="1:8" x14ac:dyDescent="0.2">
      <c r="A87" s="22">
        <v>11</v>
      </c>
      <c r="B87" s="23" t="s">
        <v>331</v>
      </c>
      <c r="C87" s="23" t="s">
        <v>332</v>
      </c>
      <c r="D87" s="23" t="s">
        <v>183</v>
      </c>
      <c r="E87" s="24">
        <v>2000</v>
      </c>
      <c r="F87" s="25">
        <v>9841.48</v>
      </c>
      <c r="G87" s="26">
        <v>1.165074E-2</v>
      </c>
      <c r="H87" s="16">
        <v>7.9450000000000003</v>
      </c>
    </row>
    <row r="88" spans="1:8" x14ac:dyDescent="0.2">
      <c r="A88" s="22">
        <v>12</v>
      </c>
      <c r="B88" s="23" t="s">
        <v>333</v>
      </c>
      <c r="C88" s="23" t="s">
        <v>334</v>
      </c>
      <c r="D88" s="23" t="s">
        <v>143</v>
      </c>
      <c r="E88" s="24">
        <v>2000</v>
      </c>
      <c r="F88" s="25">
        <v>9814.9500000000007</v>
      </c>
      <c r="G88" s="26">
        <v>1.1619330000000001E-2</v>
      </c>
      <c r="H88" s="16">
        <v>7.8201999999999998</v>
      </c>
    </row>
    <row r="89" spans="1:8" x14ac:dyDescent="0.2">
      <c r="A89" s="22">
        <v>13</v>
      </c>
      <c r="B89" s="23" t="s">
        <v>335</v>
      </c>
      <c r="C89" s="23" t="s">
        <v>336</v>
      </c>
      <c r="D89" s="23" t="s">
        <v>143</v>
      </c>
      <c r="E89" s="24">
        <v>1500</v>
      </c>
      <c r="F89" s="25">
        <v>7494.12</v>
      </c>
      <c r="G89" s="26">
        <v>8.8718400000000006E-3</v>
      </c>
      <c r="H89" s="16">
        <v>7.1646999999999998</v>
      </c>
    </row>
    <row r="90" spans="1:8" ht="25.5" x14ac:dyDescent="0.2">
      <c r="A90" s="22">
        <v>14</v>
      </c>
      <c r="B90" s="23" t="s">
        <v>337</v>
      </c>
      <c r="C90" s="23" t="s">
        <v>338</v>
      </c>
      <c r="D90" s="23" t="s">
        <v>143</v>
      </c>
      <c r="E90" s="24">
        <v>1500</v>
      </c>
      <c r="F90" s="25">
        <v>7493.8424999999997</v>
      </c>
      <c r="G90" s="26">
        <v>8.8715100000000009E-3</v>
      </c>
      <c r="H90" s="16">
        <v>7.4988999999999999</v>
      </c>
    </row>
    <row r="91" spans="1:8" ht="25.5" x14ac:dyDescent="0.2">
      <c r="A91" s="22">
        <v>15</v>
      </c>
      <c r="B91" s="23" t="s">
        <v>339</v>
      </c>
      <c r="C91" s="23" t="s">
        <v>340</v>
      </c>
      <c r="D91" s="23" t="s">
        <v>143</v>
      </c>
      <c r="E91" s="24">
        <v>1500</v>
      </c>
      <c r="F91" s="25">
        <v>7437.09</v>
      </c>
      <c r="G91" s="26">
        <v>8.8043199999999992E-3</v>
      </c>
      <c r="H91" s="16">
        <v>8.3451000000000004</v>
      </c>
    </row>
    <row r="92" spans="1:8" ht="25.5" x14ac:dyDescent="0.2">
      <c r="A92" s="22">
        <v>16</v>
      </c>
      <c r="B92" s="23" t="s">
        <v>341</v>
      </c>
      <c r="C92" s="23" t="s">
        <v>342</v>
      </c>
      <c r="D92" s="23" t="s">
        <v>143</v>
      </c>
      <c r="E92" s="24">
        <v>1500</v>
      </c>
      <c r="F92" s="25">
        <v>7417.8074999999999</v>
      </c>
      <c r="G92" s="26">
        <v>8.7814999999999994E-3</v>
      </c>
      <c r="H92" s="16">
        <v>7.9298999999999999</v>
      </c>
    </row>
    <row r="93" spans="1:8" x14ac:dyDescent="0.2">
      <c r="A93" s="22">
        <v>17</v>
      </c>
      <c r="B93" s="23" t="s">
        <v>343</v>
      </c>
      <c r="C93" s="23" t="s">
        <v>344</v>
      </c>
      <c r="D93" s="23" t="s">
        <v>143</v>
      </c>
      <c r="E93" s="24">
        <v>1500</v>
      </c>
      <c r="F93" s="25">
        <v>7412.6549999999997</v>
      </c>
      <c r="G93" s="26">
        <v>8.7753999999999992E-3</v>
      </c>
      <c r="H93" s="16">
        <v>7.9649999999999999</v>
      </c>
    </row>
    <row r="94" spans="1:8" ht="25.5" x14ac:dyDescent="0.2">
      <c r="A94" s="22">
        <v>18</v>
      </c>
      <c r="B94" s="23" t="s">
        <v>345</v>
      </c>
      <c r="C94" s="23" t="s">
        <v>262</v>
      </c>
      <c r="D94" s="23" t="s">
        <v>143</v>
      </c>
      <c r="E94" s="24">
        <v>1500</v>
      </c>
      <c r="F94" s="25">
        <v>7367.91</v>
      </c>
      <c r="G94" s="26">
        <v>8.7224299999999998E-3</v>
      </c>
      <c r="H94" s="16">
        <v>7.6087999999999996</v>
      </c>
    </row>
    <row r="95" spans="1:8" ht="25.5" x14ac:dyDescent="0.2">
      <c r="A95" s="22">
        <v>19</v>
      </c>
      <c r="B95" s="23" t="s">
        <v>346</v>
      </c>
      <c r="C95" s="23" t="s">
        <v>347</v>
      </c>
      <c r="D95" s="23" t="s">
        <v>143</v>
      </c>
      <c r="E95" s="24">
        <v>1500</v>
      </c>
      <c r="F95" s="25">
        <v>7364.1750000000002</v>
      </c>
      <c r="G95" s="26">
        <v>8.7180000000000001E-3</v>
      </c>
      <c r="H95" s="16">
        <v>7.65</v>
      </c>
    </row>
    <row r="96" spans="1:8" ht="25.5" x14ac:dyDescent="0.2">
      <c r="A96" s="22">
        <v>20</v>
      </c>
      <c r="B96" s="23" t="s">
        <v>348</v>
      </c>
      <c r="C96" s="23" t="s">
        <v>349</v>
      </c>
      <c r="D96" s="23" t="s">
        <v>143</v>
      </c>
      <c r="E96" s="24">
        <v>1500</v>
      </c>
      <c r="F96" s="25">
        <v>7363.4775</v>
      </c>
      <c r="G96" s="26">
        <v>8.7171799999999997E-3</v>
      </c>
      <c r="H96" s="16">
        <v>7.69</v>
      </c>
    </row>
    <row r="97" spans="1:8" x14ac:dyDescent="0.2">
      <c r="A97" s="22">
        <v>21</v>
      </c>
      <c r="B97" s="23" t="s">
        <v>350</v>
      </c>
      <c r="C97" s="23" t="s">
        <v>351</v>
      </c>
      <c r="D97" s="23" t="s">
        <v>143</v>
      </c>
      <c r="E97" s="24">
        <v>1500</v>
      </c>
      <c r="F97" s="25">
        <v>7362.0150000000003</v>
      </c>
      <c r="G97" s="26">
        <v>8.7154499999999996E-3</v>
      </c>
      <c r="H97" s="16">
        <v>7.9550000000000001</v>
      </c>
    </row>
    <row r="98" spans="1:8" x14ac:dyDescent="0.2">
      <c r="A98" s="22">
        <v>22</v>
      </c>
      <c r="B98" s="23" t="s">
        <v>352</v>
      </c>
      <c r="C98" s="23" t="s">
        <v>353</v>
      </c>
      <c r="D98" s="23" t="s">
        <v>143</v>
      </c>
      <c r="E98" s="24">
        <v>1000</v>
      </c>
      <c r="F98" s="25">
        <v>4998.09</v>
      </c>
      <c r="G98" s="26">
        <v>5.9169399999999999E-3</v>
      </c>
      <c r="H98" s="16">
        <v>6.99</v>
      </c>
    </row>
    <row r="99" spans="1:8" x14ac:dyDescent="0.2">
      <c r="A99" s="22">
        <v>23</v>
      </c>
      <c r="B99" s="23" t="s">
        <v>354</v>
      </c>
      <c r="C99" s="23" t="s">
        <v>355</v>
      </c>
      <c r="D99" s="23" t="s">
        <v>143</v>
      </c>
      <c r="E99" s="24">
        <v>1000</v>
      </c>
      <c r="F99" s="25">
        <v>4998.04</v>
      </c>
      <c r="G99" s="26">
        <v>5.9168800000000002E-3</v>
      </c>
      <c r="H99" s="16">
        <v>7.1651999999999996</v>
      </c>
    </row>
    <row r="100" spans="1:8" x14ac:dyDescent="0.2">
      <c r="A100" s="22">
        <v>24</v>
      </c>
      <c r="B100" s="23" t="s">
        <v>356</v>
      </c>
      <c r="C100" s="23" t="s">
        <v>357</v>
      </c>
      <c r="D100" s="23" t="s">
        <v>143</v>
      </c>
      <c r="E100" s="24">
        <v>1000</v>
      </c>
      <c r="F100" s="25">
        <v>4995.83</v>
      </c>
      <c r="G100" s="26">
        <v>5.9142600000000002E-3</v>
      </c>
      <c r="H100" s="16">
        <v>7.6196999999999999</v>
      </c>
    </row>
    <row r="101" spans="1:8" x14ac:dyDescent="0.2">
      <c r="A101" s="22">
        <v>25</v>
      </c>
      <c r="B101" s="23" t="s">
        <v>358</v>
      </c>
      <c r="C101" s="23" t="s">
        <v>359</v>
      </c>
      <c r="D101" s="23" t="s">
        <v>143</v>
      </c>
      <c r="E101" s="24">
        <v>1000</v>
      </c>
      <c r="F101" s="25">
        <v>4959.2299999999996</v>
      </c>
      <c r="G101" s="26">
        <v>5.8709299999999999E-3</v>
      </c>
      <c r="H101" s="16">
        <v>8.11</v>
      </c>
    </row>
    <row r="102" spans="1:8" x14ac:dyDescent="0.2">
      <c r="A102" s="22">
        <v>26</v>
      </c>
      <c r="B102" s="23" t="s">
        <v>360</v>
      </c>
      <c r="C102" s="23" t="s">
        <v>361</v>
      </c>
      <c r="D102" s="23" t="s">
        <v>143</v>
      </c>
      <c r="E102" s="24">
        <v>1000</v>
      </c>
      <c r="F102" s="25">
        <v>4942.9949999999999</v>
      </c>
      <c r="G102" s="26">
        <v>5.8517100000000004E-3</v>
      </c>
      <c r="H102" s="16">
        <v>8.0949000000000009</v>
      </c>
    </row>
    <row r="103" spans="1:8" ht="25.5" x14ac:dyDescent="0.2">
      <c r="A103" s="22">
        <v>27</v>
      </c>
      <c r="B103" s="23" t="s">
        <v>362</v>
      </c>
      <c r="C103" s="23" t="s">
        <v>363</v>
      </c>
      <c r="D103" s="23" t="s">
        <v>143</v>
      </c>
      <c r="E103" s="24">
        <v>1000</v>
      </c>
      <c r="F103" s="25">
        <v>4941.6949999999997</v>
      </c>
      <c r="G103" s="26">
        <v>5.85018E-3</v>
      </c>
      <c r="H103" s="16">
        <v>7.9749999999999996</v>
      </c>
    </row>
    <row r="104" spans="1:8" ht="25.5" x14ac:dyDescent="0.2">
      <c r="A104" s="22">
        <v>28</v>
      </c>
      <c r="B104" s="23" t="s">
        <v>364</v>
      </c>
      <c r="C104" s="23" t="s">
        <v>365</v>
      </c>
      <c r="D104" s="23" t="s">
        <v>143</v>
      </c>
      <c r="E104" s="24">
        <v>1000</v>
      </c>
      <c r="F104" s="25">
        <v>4941.2550000000001</v>
      </c>
      <c r="G104" s="26">
        <v>5.8496499999999996E-3</v>
      </c>
      <c r="H104" s="16">
        <v>8.3451000000000004</v>
      </c>
    </row>
    <row r="105" spans="1:8" x14ac:dyDescent="0.2">
      <c r="A105" s="22">
        <v>29</v>
      </c>
      <c r="B105" s="23" t="s">
        <v>366</v>
      </c>
      <c r="C105" s="23" t="s">
        <v>367</v>
      </c>
      <c r="D105" s="23" t="s">
        <v>143</v>
      </c>
      <c r="E105" s="24">
        <v>1000</v>
      </c>
      <c r="F105" s="25">
        <v>4939.42</v>
      </c>
      <c r="G105" s="26">
        <v>5.8474800000000004E-3</v>
      </c>
      <c r="H105" s="16">
        <v>8.2899999999999991</v>
      </c>
    </row>
    <row r="106" spans="1:8" ht="25.5" x14ac:dyDescent="0.2">
      <c r="A106" s="22">
        <v>30</v>
      </c>
      <c r="B106" s="23" t="s">
        <v>368</v>
      </c>
      <c r="C106" s="23" t="s">
        <v>369</v>
      </c>
      <c r="D106" s="23" t="s">
        <v>143</v>
      </c>
      <c r="E106" s="24">
        <v>1000</v>
      </c>
      <c r="F106" s="25">
        <v>4929.42</v>
      </c>
      <c r="G106" s="26">
        <v>5.8356399999999996E-3</v>
      </c>
      <c r="H106" s="16">
        <v>7.8</v>
      </c>
    </row>
    <row r="107" spans="1:8" x14ac:dyDescent="0.2">
      <c r="A107" s="22">
        <v>31</v>
      </c>
      <c r="B107" s="23" t="s">
        <v>370</v>
      </c>
      <c r="C107" s="23" t="s">
        <v>371</v>
      </c>
      <c r="D107" s="23" t="s">
        <v>143</v>
      </c>
      <c r="E107" s="24">
        <v>1000</v>
      </c>
      <c r="F107" s="25">
        <v>4926.8</v>
      </c>
      <c r="G107" s="26">
        <v>5.8325399999999998E-3</v>
      </c>
      <c r="H107" s="16">
        <v>7.9749999999999996</v>
      </c>
    </row>
    <row r="108" spans="1:8" x14ac:dyDescent="0.2">
      <c r="A108" s="22">
        <v>32</v>
      </c>
      <c r="B108" s="23" t="s">
        <v>372</v>
      </c>
      <c r="C108" s="23" t="s">
        <v>373</v>
      </c>
      <c r="D108" s="23" t="s">
        <v>143</v>
      </c>
      <c r="E108" s="24">
        <v>1000</v>
      </c>
      <c r="F108" s="25">
        <v>4923.62</v>
      </c>
      <c r="G108" s="26">
        <v>5.8287800000000004E-3</v>
      </c>
      <c r="H108" s="16">
        <v>7.9749999999999996</v>
      </c>
    </row>
    <row r="109" spans="1:8" ht="25.5" x14ac:dyDescent="0.2">
      <c r="A109" s="22">
        <v>33</v>
      </c>
      <c r="B109" s="23" t="s">
        <v>374</v>
      </c>
      <c r="C109" s="23" t="s">
        <v>375</v>
      </c>
      <c r="D109" s="23" t="s">
        <v>143</v>
      </c>
      <c r="E109" s="24">
        <v>1000</v>
      </c>
      <c r="F109" s="25">
        <v>4921.03</v>
      </c>
      <c r="G109" s="26">
        <v>5.8257099999999996E-3</v>
      </c>
      <c r="H109" s="16">
        <v>8.1349999999999998</v>
      </c>
    </row>
    <row r="110" spans="1:8" ht="25.5" x14ac:dyDescent="0.2">
      <c r="A110" s="22">
        <v>34</v>
      </c>
      <c r="B110" s="23" t="s">
        <v>376</v>
      </c>
      <c r="C110" s="23" t="s">
        <v>377</v>
      </c>
      <c r="D110" s="23" t="s">
        <v>143</v>
      </c>
      <c r="E110" s="24">
        <v>1000</v>
      </c>
      <c r="F110" s="25">
        <v>4920.7</v>
      </c>
      <c r="G110" s="26">
        <v>5.8253200000000002E-3</v>
      </c>
      <c r="H110" s="16">
        <v>8.17</v>
      </c>
    </row>
    <row r="111" spans="1:8" x14ac:dyDescent="0.2">
      <c r="A111" s="22">
        <v>35</v>
      </c>
      <c r="B111" s="23" t="s">
        <v>378</v>
      </c>
      <c r="C111" s="23" t="s">
        <v>379</v>
      </c>
      <c r="D111" s="23" t="s">
        <v>143</v>
      </c>
      <c r="E111" s="24">
        <v>1000</v>
      </c>
      <c r="F111" s="25">
        <v>4918.75</v>
      </c>
      <c r="G111" s="26">
        <v>5.82301E-3</v>
      </c>
      <c r="H111" s="16">
        <v>7.73</v>
      </c>
    </row>
    <row r="112" spans="1:8" x14ac:dyDescent="0.2">
      <c r="A112" s="22">
        <v>36</v>
      </c>
      <c r="B112" s="23" t="s">
        <v>380</v>
      </c>
      <c r="C112" s="23" t="s">
        <v>381</v>
      </c>
      <c r="D112" s="23" t="s">
        <v>143</v>
      </c>
      <c r="E112" s="24">
        <v>1000</v>
      </c>
      <c r="F112" s="25">
        <v>4906.55</v>
      </c>
      <c r="G112" s="26">
        <v>5.8085699999999999E-3</v>
      </c>
      <c r="H112" s="16">
        <v>7.8998999999999997</v>
      </c>
    </row>
    <row r="113" spans="1:8" x14ac:dyDescent="0.2">
      <c r="A113" s="22">
        <v>37</v>
      </c>
      <c r="B113" s="23" t="s">
        <v>382</v>
      </c>
      <c r="C113" s="23" t="s">
        <v>383</v>
      </c>
      <c r="D113" s="23" t="s">
        <v>143</v>
      </c>
      <c r="E113" s="24">
        <v>500</v>
      </c>
      <c r="F113" s="25">
        <v>2497.9549999999999</v>
      </c>
      <c r="G113" s="26">
        <v>2.9571799999999998E-3</v>
      </c>
      <c r="H113" s="16">
        <v>7.4702000000000002</v>
      </c>
    </row>
    <row r="114" spans="1:8" x14ac:dyDescent="0.2">
      <c r="A114" s="22">
        <v>38</v>
      </c>
      <c r="B114" s="23" t="s">
        <v>384</v>
      </c>
      <c r="C114" s="23" t="s">
        <v>385</v>
      </c>
      <c r="D114" s="23" t="s">
        <v>143</v>
      </c>
      <c r="E114" s="24">
        <v>500</v>
      </c>
      <c r="F114" s="25">
        <v>2497.44</v>
      </c>
      <c r="G114" s="26">
        <v>2.9565699999999999E-3</v>
      </c>
      <c r="H114" s="16">
        <v>7.4844999999999997</v>
      </c>
    </row>
    <row r="115" spans="1:8" x14ac:dyDescent="0.2">
      <c r="A115" s="14"/>
      <c r="B115" s="14"/>
      <c r="C115" s="15" t="s">
        <v>11</v>
      </c>
      <c r="D115" s="14"/>
      <c r="E115" s="14" t="s">
        <v>12</v>
      </c>
      <c r="F115" s="21">
        <v>284183.13750000001</v>
      </c>
      <c r="G115" s="18">
        <v>0.33642731999999997</v>
      </c>
      <c r="H115" s="16" t="s">
        <v>12</v>
      </c>
    </row>
    <row r="116" spans="1:8" x14ac:dyDescent="0.2">
      <c r="A116" s="14"/>
      <c r="B116" s="14"/>
      <c r="C116" s="19"/>
      <c r="D116" s="14"/>
      <c r="E116" s="14"/>
      <c r="F116" s="20"/>
      <c r="G116" s="20"/>
      <c r="H116" s="16" t="s">
        <v>12</v>
      </c>
    </row>
    <row r="117" spans="1:8" x14ac:dyDescent="0.2">
      <c r="A117" s="14"/>
      <c r="B117" s="14"/>
      <c r="C117" s="15" t="s">
        <v>93</v>
      </c>
      <c r="D117" s="14"/>
      <c r="E117" s="14"/>
      <c r="F117" s="20"/>
      <c r="G117" s="20"/>
      <c r="H117" s="16" t="s">
        <v>12</v>
      </c>
    </row>
    <row r="118" spans="1:8" x14ac:dyDescent="0.2">
      <c r="A118" s="22">
        <v>1</v>
      </c>
      <c r="B118" s="23" t="s">
        <v>386</v>
      </c>
      <c r="C118" s="23" t="s">
        <v>387</v>
      </c>
      <c r="D118" s="23" t="s">
        <v>75</v>
      </c>
      <c r="E118" s="24">
        <v>20000000</v>
      </c>
      <c r="F118" s="25">
        <v>19811.580000000002</v>
      </c>
      <c r="G118" s="26">
        <v>2.3453740000000001E-2</v>
      </c>
      <c r="H118" s="16">
        <v>6.55</v>
      </c>
    </row>
    <row r="119" spans="1:8" x14ac:dyDescent="0.2">
      <c r="A119" s="22">
        <v>2</v>
      </c>
      <c r="B119" s="23" t="s">
        <v>388</v>
      </c>
      <c r="C119" s="23" t="s">
        <v>389</v>
      </c>
      <c r="D119" s="23" t="s">
        <v>75</v>
      </c>
      <c r="E119" s="24">
        <v>10000000</v>
      </c>
      <c r="F119" s="25">
        <v>9992.99</v>
      </c>
      <c r="G119" s="26">
        <v>1.18301E-2</v>
      </c>
      <c r="H119" s="16">
        <v>6.4</v>
      </c>
    </row>
    <row r="120" spans="1:8" x14ac:dyDescent="0.2">
      <c r="A120" s="22">
        <v>3</v>
      </c>
      <c r="B120" s="23" t="s">
        <v>390</v>
      </c>
      <c r="C120" s="23" t="s">
        <v>391</v>
      </c>
      <c r="D120" s="23" t="s">
        <v>75</v>
      </c>
      <c r="E120" s="24">
        <v>10000000</v>
      </c>
      <c r="F120" s="25">
        <v>9931.5499999999993</v>
      </c>
      <c r="G120" s="26">
        <v>1.175736E-2</v>
      </c>
      <c r="H120" s="16">
        <v>6.45</v>
      </c>
    </row>
    <row r="121" spans="1:8" x14ac:dyDescent="0.2">
      <c r="A121" s="22">
        <v>4</v>
      </c>
      <c r="B121" s="23" t="s">
        <v>392</v>
      </c>
      <c r="C121" s="23" t="s">
        <v>393</v>
      </c>
      <c r="D121" s="23" t="s">
        <v>75</v>
      </c>
      <c r="E121" s="24">
        <v>10000000</v>
      </c>
      <c r="F121" s="25">
        <v>9918.19</v>
      </c>
      <c r="G121" s="26">
        <v>1.174155E-2</v>
      </c>
      <c r="H121" s="16">
        <v>6.5467000000000004</v>
      </c>
    </row>
    <row r="122" spans="1:8" x14ac:dyDescent="0.2">
      <c r="A122" s="22">
        <v>5</v>
      </c>
      <c r="B122" s="23" t="s">
        <v>394</v>
      </c>
      <c r="C122" s="23" t="s">
        <v>395</v>
      </c>
      <c r="D122" s="23" t="s">
        <v>75</v>
      </c>
      <c r="E122" s="24">
        <v>10000000</v>
      </c>
      <c r="F122" s="25">
        <v>9893.5300000000007</v>
      </c>
      <c r="G122" s="26">
        <v>1.171236E-2</v>
      </c>
      <c r="H122" s="16">
        <v>6.5467000000000004</v>
      </c>
    </row>
    <row r="123" spans="1:8" x14ac:dyDescent="0.2">
      <c r="A123" s="22">
        <v>6</v>
      </c>
      <c r="B123" s="23" t="s">
        <v>396</v>
      </c>
      <c r="C123" s="23" t="s">
        <v>397</v>
      </c>
      <c r="D123" s="23" t="s">
        <v>75</v>
      </c>
      <c r="E123" s="24">
        <v>10000000</v>
      </c>
      <c r="F123" s="25">
        <v>9858.7800000000007</v>
      </c>
      <c r="G123" s="26">
        <v>1.167122E-2</v>
      </c>
      <c r="H123" s="16">
        <v>6.4574999999999996</v>
      </c>
    </row>
    <row r="124" spans="1:8" x14ac:dyDescent="0.2">
      <c r="A124" s="22">
        <v>7</v>
      </c>
      <c r="B124" s="23" t="s">
        <v>398</v>
      </c>
      <c r="C124" s="23" t="s">
        <v>399</v>
      </c>
      <c r="D124" s="23" t="s">
        <v>75</v>
      </c>
      <c r="E124" s="24">
        <v>7500000</v>
      </c>
      <c r="F124" s="25">
        <v>7385.2425000000003</v>
      </c>
      <c r="G124" s="26">
        <v>8.7429399999999994E-3</v>
      </c>
      <c r="H124" s="16">
        <v>6.4474999999999998</v>
      </c>
    </row>
    <row r="125" spans="1:8" x14ac:dyDescent="0.2">
      <c r="A125" s="22">
        <v>8</v>
      </c>
      <c r="B125" s="23" t="s">
        <v>400</v>
      </c>
      <c r="C125" s="23" t="s">
        <v>401</v>
      </c>
      <c r="D125" s="23" t="s">
        <v>75</v>
      </c>
      <c r="E125" s="24">
        <v>3803600</v>
      </c>
      <c r="F125" s="25">
        <v>3753.8489119999999</v>
      </c>
      <c r="G125" s="26">
        <v>4.4439600000000003E-3</v>
      </c>
      <c r="H125" s="16">
        <v>6.45</v>
      </c>
    </row>
    <row r="126" spans="1:8" x14ac:dyDescent="0.2">
      <c r="A126" s="22">
        <v>9</v>
      </c>
      <c r="B126" s="23" t="s">
        <v>402</v>
      </c>
      <c r="C126" s="23" t="s">
        <v>403</v>
      </c>
      <c r="D126" s="23" t="s">
        <v>75</v>
      </c>
      <c r="E126" s="24">
        <v>2500000</v>
      </c>
      <c r="F126" s="25">
        <v>2488.6550000000002</v>
      </c>
      <c r="G126" s="26">
        <v>2.9461700000000001E-3</v>
      </c>
      <c r="H126" s="16">
        <v>6.4</v>
      </c>
    </row>
    <row r="127" spans="1:8" x14ac:dyDescent="0.2">
      <c r="A127" s="14"/>
      <c r="B127" s="14"/>
      <c r="C127" s="15" t="s">
        <v>11</v>
      </c>
      <c r="D127" s="14"/>
      <c r="E127" s="14" t="s">
        <v>12</v>
      </c>
      <c r="F127" s="21">
        <v>83034.366412000003</v>
      </c>
      <c r="G127" s="18">
        <v>9.8299399999999995E-2</v>
      </c>
      <c r="H127" s="16" t="s">
        <v>12</v>
      </c>
    </row>
    <row r="128" spans="1:8" x14ac:dyDescent="0.2">
      <c r="A128" s="14"/>
      <c r="B128" s="14"/>
      <c r="C128" s="19"/>
      <c r="D128" s="14"/>
      <c r="E128" s="14"/>
      <c r="F128" s="20"/>
      <c r="G128" s="20"/>
      <c r="H128" s="16" t="s">
        <v>12</v>
      </c>
    </row>
    <row r="129" spans="1:17" x14ac:dyDescent="0.2">
      <c r="A129" s="14"/>
      <c r="B129" s="14"/>
      <c r="C129" s="15" t="s">
        <v>94</v>
      </c>
      <c r="D129" s="14"/>
      <c r="E129" s="14"/>
      <c r="F129" s="20"/>
      <c r="G129" s="20"/>
      <c r="H129" s="16" t="s">
        <v>12</v>
      </c>
    </row>
    <row r="130" spans="1:17" x14ac:dyDescent="0.2">
      <c r="A130" s="22">
        <v>1</v>
      </c>
      <c r="B130" s="23"/>
      <c r="C130" s="23" t="s">
        <v>404</v>
      </c>
      <c r="D130" s="23"/>
      <c r="E130" s="27"/>
      <c r="F130" s="25">
        <v>107463.1691667</v>
      </c>
      <c r="G130" s="26">
        <v>0.12721917999999999</v>
      </c>
      <c r="H130" s="16">
        <v>6.42</v>
      </c>
    </row>
    <row r="131" spans="1:17" x14ac:dyDescent="0.2">
      <c r="A131" s="22">
        <v>2</v>
      </c>
      <c r="B131" s="23"/>
      <c r="C131" s="23" t="s">
        <v>95</v>
      </c>
      <c r="D131" s="23"/>
      <c r="E131" s="27"/>
      <c r="F131" s="25">
        <v>66988.242941606994</v>
      </c>
      <c r="G131" s="26">
        <v>7.9303349999999995E-2</v>
      </c>
      <c r="H131" s="16">
        <v>6.24</v>
      </c>
    </row>
    <row r="132" spans="1:17" x14ac:dyDescent="0.2">
      <c r="A132" s="14"/>
      <c r="B132" s="14"/>
      <c r="C132" s="15" t="s">
        <v>11</v>
      </c>
      <c r="D132" s="14"/>
      <c r="E132" s="14" t="s">
        <v>12</v>
      </c>
      <c r="F132" s="21">
        <v>174451.41210830701</v>
      </c>
      <c r="G132" s="18">
        <v>0.20652253000000001</v>
      </c>
      <c r="H132" s="16" t="s">
        <v>12</v>
      </c>
    </row>
    <row r="133" spans="1:17" x14ac:dyDescent="0.2">
      <c r="A133" s="14"/>
      <c r="B133" s="14"/>
      <c r="C133" s="19"/>
      <c r="D133" s="14"/>
      <c r="E133" s="14"/>
      <c r="F133" s="20"/>
      <c r="G133" s="20"/>
      <c r="H133" s="16" t="s">
        <v>12</v>
      </c>
    </row>
    <row r="134" spans="1:17" x14ac:dyDescent="0.2">
      <c r="A134" s="14"/>
      <c r="B134" s="14"/>
      <c r="C134" s="15" t="s">
        <v>96</v>
      </c>
      <c r="D134" s="14"/>
      <c r="E134" s="14"/>
      <c r="F134" s="21">
        <v>843095.12852030701</v>
      </c>
      <c r="G134" s="18">
        <v>0.99808962000000001</v>
      </c>
      <c r="H134" s="16" t="s">
        <v>12</v>
      </c>
    </row>
    <row r="135" spans="1:17" x14ac:dyDescent="0.2">
      <c r="A135" s="14"/>
      <c r="B135" s="14"/>
      <c r="C135" s="20"/>
      <c r="D135" s="14"/>
      <c r="E135" s="14"/>
      <c r="F135" s="14"/>
      <c r="G135" s="14"/>
      <c r="H135" s="16" t="s">
        <v>12</v>
      </c>
    </row>
    <row r="136" spans="1:17" x14ac:dyDescent="0.2">
      <c r="A136" s="14"/>
      <c r="B136" s="14"/>
      <c r="C136" s="15" t="s">
        <v>97</v>
      </c>
      <c r="D136" s="14"/>
      <c r="E136" s="14"/>
      <c r="F136" s="14"/>
      <c r="G136" s="14"/>
      <c r="H136" s="16" t="s">
        <v>12</v>
      </c>
    </row>
    <row r="137" spans="1:17" x14ac:dyDescent="0.2">
      <c r="A137" s="14"/>
      <c r="B137" s="14"/>
      <c r="C137" s="15" t="s">
        <v>98</v>
      </c>
      <c r="D137" s="14"/>
      <c r="E137" s="14"/>
      <c r="F137" s="14"/>
      <c r="G137" s="14"/>
      <c r="H137" s="16" t="s">
        <v>12</v>
      </c>
    </row>
    <row r="138" spans="1:17" x14ac:dyDescent="0.2">
      <c r="A138" s="14"/>
      <c r="B138" s="14"/>
      <c r="C138" s="15" t="s">
        <v>11</v>
      </c>
      <c r="D138" s="14"/>
      <c r="E138" s="14" t="s">
        <v>12</v>
      </c>
      <c r="F138" s="17" t="s">
        <v>13</v>
      </c>
      <c r="G138" s="18">
        <v>0</v>
      </c>
      <c r="H138" s="16" t="s">
        <v>12</v>
      </c>
    </row>
    <row r="139" spans="1:17" x14ac:dyDescent="0.2">
      <c r="A139" s="28"/>
      <c r="B139" s="28"/>
      <c r="C139" s="29"/>
      <c r="D139" s="28"/>
      <c r="E139" s="28"/>
      <c r="F139" s="30"/>
      <c r="G139" s="30"/>
      <c r="H139" s="16" t="s">
        <v>12</v>
      </c>
    </row>
    <row r="140" spans="1:17" ht="25.5" x14ac:dyDescent="0.2">
      <c r="A140" s="28"/>
      <c r="B140" s="28"/>
      <c r="C140" s="32" t="s">
        <v>541</v>
      </c>
      <c r="D140" s="28"/>
      <c r="E140" s="28"/>
      <c r="F140" s="30"/>
      <c r="G140" s="30"/>
      <c r="H140" s="16" t="s">
        <v>12</v>
      </c>
      <c r="K140" s="34"/>
      <c r="L140" s="34"/>
      <c r="M140" s="34"/>
      <c r="N140" s="34"/>
      <c r="O140" s="35"/>
      <c r="P140" s="35"/>
      <c r="Q140" s="35"/>
    </row>
    <row r="141" spans="1:17" ht="25.5" x14ac:dyDescent="0.2">
      <c r="A141" s="36">
        <v>1</v>
      </c>
      <c r="B141" s="37" t="s">
        <v>99</v>
      </c>
      <c r="C141" s="37" t="s">
        <v>100</v>
      </c>
      <c r="D141" s="37"/>
      <c r="E141" s="38">
        <v>13489.8614</v>
      </c>
      <c r="F141" s="33">
        <v>1483.2771706430001</v>
      </c>
      <c r="G141" s="39">
        <v>1.75596E-3</v>
      </c>
      <c r="H141" s="16">
        <v>0</v>
      </c>
    </row>
    <row r="142" spans="1:17" x14ac:dyDescent="0.2">
      <c r="A142" s="28"/>
      <c r="B142" s="28"/>
      <c r="C142" s="32" t="s">
        <v>11</v>
      </c>
      <c r="D142" s="28"/>
      <c r="E142" s="28" t="s">
        <v>12</v>
      </c>
      <c r="F142" s="40">
        <f>SUM(F141)</f>
        <v>1483.2771706430001</v>
      </c>
      <c r="G142" s="41">
        <f>SUM(G141)</f>
        <v>1.75596E-3</v>
      </c>
      <c r="H142" s="16" t="s">
        <v>12</v>
      </c>
    </row>
    <row r="143" spans="1:17" x14ac:dyDescent="0.2">
      <c r="A143" s="14"/>
      <c r="B143" s="14"/>
      <c r="C143" s="19"/>
      <c r="D143" s="14"/>
      <c r="E143" s="14"/>
      <c r="F143" s="20"/>
      <c r="G143" s="20"/>
      <c r="H143" s="16" t="s">
        <v>12</v>
      </c>
    </row>
    <row r="144" spans="1:17" x14ac:dyDescent="0.2">
      <c r="A144" s="14"/>
      <c r="B144" s="14"/>
      <c r="C144" s="15" t="s">
        <v>101</v>
      </c>
      <c r="D144" s="14"/>
      <c r="E144" s="14"/>
      <c r="F144" s="14"/>
      <c r="G144" s="14"/>
      <c r="H144" s="16" t="s">
        <v>12</v>
      </c>
    </row>
    <row r="145" spans="1:9" x14ac:dyDescent="0.2">
      <c r="A145" s="14"/>
      <c r="B145" s="14"/>
      <c r="C145" s="15" t="s">
        <v>102</v>
      </c>
      <c r="D145" s="14"/>
      <c r="E145" s="14"/>
      <c r="F145" s="14"/>
      <c r="G145" s="14"/>
      <c r="H145" s="16" t="s">
        <v>12</v>
      </c>
    </row>
    <row r="146" spans="1:9" x14ac:dyDescent="0.2">
      <c r="A146" s="14"/>
      <c r="B146" s="14"/>
      <c r="C146" s="15" t="s">
        <v>11</v>
      </c>
      <c r="D146" s="14"/>
      <c r="E146" s="14" t="s">
        <v>12</v>
      </c>
      <c r="F146" s="17" t="s">
        <v>13</v>
      </c>
      <c r="G146" s="18">
        <v>0</v>
      </c>
      <c r="H146" s="16" t="s">
        <v>12</v>
      </c>
    </row>
    <row r="147" spans="1:9" x14ac:dyDescent="0.2">
      <c r="A147" s="14"/>
      <c r="B147" s="14"/>
      <c r="C147" s="19"/>
      <c r="D147" s="14"/>
      <c r="E147" s="14"/>
      <c r="F147" s="20"/>
      <c r="G147" s="20"/>
      <c r="H147" s="16" t="s">
        <v>12</v>
      </c>
    </row>
    <row r="148" spans="1:9" ht="25.5" x14ac:dyDescent="0.2">
      <c r="A148" s="14"/>
      <c r="B148" s="14"/>
      <c r="C148" s="15" t="s">
        <v>103</v>
      </c>
      <c r="D148" s="14"/>
      <c r="E148" s="14"/>
      <c r="F148" s="20"/>
      <c r="G148" s="20"/>
      <c r="H148" s="16" t="s">
        <v>12</v>
      </c>
    </row>
    <row r="149" spans="1:9" x14ac:dyDescent="0.2">
      <c r="A149" s="14"/>
      <c r="B149" s="14"/>
      <c r="C149" s="15" t="s">
        <v>11</v>
      </c>
      <c r="D149" s="14"/>
      <c r="E149" s="14" t="s">
        <v>12</v>
      </c>
      <c r="F149" s="17" t="s">
        <v>13</v>
      </c>
      <c r="G149" s="18">
        <v>0</v>
      </c>
      <c r="H149" s="16" t="s">
        <v>12</v>
      </c>
    </row>
    <row r="150" spans="1:9" x14ac:dyDescent="0.2">
      <c r="A150" s="14"/>
      <c r="B150" s="23"/>
      <c r="C150" s="23"/>
      <c r="D150" s="15"/>
      <c r="E150" s="14"/>
      <c r="F150" s="23"/>
      <c r="G150" s="27"/>
      <c r="H150" s="16" t="s">
        <v>12</v>
      </c>
    </row>
    <row r="151" spans="1:9" x14ac:dyDescent="0.2">
      <c r="A151" s="27"/>
      <c r="B151" s="23"/>
      <c r="C151" s="23" t="s">
        <v>104</v>
      </c>
      <c r="D151" s="23"/>
      <c r="E151" s="27"/>
      <c r="F151" s="25">
        <f>130.46635225-0.000820749816894531</f>
        <v>130.46553150018312</v>
      </c>
      <c r="G151" s="26">
        <v>1.5444999999999999E-4</v>
      </c>
      <c r="H151" s="16" t="s">
        <v>12</v>
      </c>
    </row>
    <row r="152" spans="1:9" x14ac:dyDescent="0.2">
      <c r="A152" s="19"/>
      <c r="B152" s="19"/>
      <c r="C152" s="15" t="s">
        <v>105</v>
      </c>
      <c r="D152" s="20"/>
      <c r="E152" s="20"/>
      <c r="F152" s="21">
        <f>844708.8720432-0.000820749816894531</f>
        <v>844708.87122245017</v>
      </c>
      <c r="G152" s="42">
        <v>1.00000003</v>
      </c>
      <c r="H152" s="16" t="s">
        <v>12</v>
      </c>
    </row>
    <row r="153" spans="1:9" x14ac:dyDescent="0.2">
      <c r="A153" s="43"/>
      <c r="B153" s="43"/>
      <c r="C153" s="43"/>
      <c r="D153" s="44"/>
      <c r="E153" s="44"/>
      <c r="F153" s="44"/>
      <c r="G153" s="44"/>
    </row>
    <row r="154" spans="1:9" x14ac:dyDescent="0.2">
      <c r="A154" s="45"/>
      <c r="B154" s="164" t="s">
        <v>542</v>
      </c>
      <c r="C154" s="164"/>
      <c r="D154" s="164"/>
      <c r="E154" s="164"/>
      <c r="F154" s="164"/>
      <c r="G154" s="164"/>
      <c r="H154" s="164"/>
    </row>
    <row r="155" spans="1:9" x14ac:dyDescent="0.2">
      <c r="A155" s="45"/>
      <c r="B155" s="164" t="s">
        <v>543</v>
      </c>
      <c r="C155" s="164"/>
      <c r="D155" s="164"/>
      <c r="E155" s="164"/>
      <c r="F155" s="164"/>
      <c r="G155" s="164"/>
      <c r="H155" s="164"/>
    </row>
    <row r="156" spans="1:9" x14ac:dyDescent="0.2">
      <c r="A156" s="45"/>
      <c r="B156" s="164" t="s">
        <v>544</v>
      </c>
      <c r="C156" s="164"/>
      <c r="D156" s="164"/>
      <c r="E156" s="164"/>
      <c r="F156" s="164"/>
      <c r="G156" s="164"/>
      <c r="H156" s="164"/>
    </row>
    <row r="157" spans="1:9" x14ac:dyDescent="0.2">
      <c r="A157" s="45"/>
      <c r="B157" s="198" t="s">
        <v>620</v>
      </c>
      <c r="C157" s="164"/>
      <c r="D157" s="164"/>
      <c r="E157" s="164"/>
      <c r="F157" s="164"/>
      <c r="G157" s="164"/>
      <c r="H157" s="164"/>
      <c r="I157" s="78"/>
    </row>
    <row r="158" spans="1:9" x14ac:dyDescent="0.2">
      <c r="A158" s="47"/>
      <c r="B158" s="47"/>
      <c r="C158" s="47"/>
      <c r="D158" s="48"/>
      <c r="E158" s="48"/>
      <c r="F158" s="48"/>
      <c r="G158" s="48"/>
    </row>
    <row r="159" spans="1:9" x14ac:dyDescent="0.2">
      <c r="A159" s="47"/>
      <c r="B159" s="157" t="s">
        <v>106</v>
      </c>
      <c r="C159" s="158"/>
      <c r="D159" s="159"/>
      <c r="E159" s="49"/>
      <c r="F159" s="48"/>
      <c r="G159" s="48"/>
    </row>
    <row r="160" spans="1:9" ht="25.5" x14ac:dyDescent="0.2">
      <c r="A160" s="47"/>
      <c r="B160" s="160" t="s">
        <v>107</v>
      </c>
      <c r="C160" s="161"/>
      <c r="D160" s="32" t="s">
        <v>565</v>
      </c>
      <c r="E160" s="49"/>
      <c r="F160" s="48"/>
      <c r="G160" s="48"/>
    </row>
    <row r="161" spans="1:7" x14ac:dyDescent="0.2">
      <c r="A161" s="47"/>
      <c r="B161" s="160" t="s">
        <v>109</v>
      </c>
      <c r="C161" s="161"/>
      <c r="D161" s="15" t="s">
        <v>108</v>
      </c>
      <c r="E161" s="49"/>
      <c r="F161" s="48"/>
      <c r="G161" s="48"/>
    </row>
    <row r="162" spans="1:7" x14ac:dyDescent="0.2">
      <c r="A162" s="47"/>
      <c r="B162" s="160" t="s">
        <v>110</v>
      </c>
      <c r="C162" s="161"/>
      <c r="D162" s="20" t="s">
        <v>12</v>
      </c>
      <c r="E162" s="49"/>
      <c r="F162" s="48"/>
      <c r="G162" s="48"/>
    </row>
    <row r="163" spans="1:7" x14ac:dyDescent="0.2">
      <c r="A163" s="50"/>
      <c r="B163" s="51" t="s">
        <v>12</v>
      </c>
      <c r="C163" s="51" t="s">
        <v>545</v>
      </c>
      <c r="D163" s="51" t="s">
        <v>111</v>
      </c>
      <c r="E163" s="50"/>
      <c r="F163" s="50"/>
      <c r="G163" s="50"/>
    </row>
    <row r="164" spans="1:7" x14ac:dyDescent="0.2">
      <c r="A164" s="50"/>
      <c r="B164" s="52" t="s">
        <v>112</v>
      </c>
      <c r="C164" s="53">
        <v>45716</v>
      </c>
      <c r="D164" s="53">
        <v>45731</v>
      </c>
      <c r="E164" s="50"/>
      <c r="F164" s="50"/>
      <c r="G164" s="50"/>
    </row>
    <row r="165" spans="1:7" x14ac:dyDescent="0.2">
      <c r="A165" s="54"/>
      <c r="B165" s="23" t="s">
        <v>113</v>
      </c>
      <c r="C165" s="55">
        <v>2275.6008999999999</v>
      </c>
      <c r="D165" s="55">
        <v>2282.3287</v>
      </c>
      <c r="E165" s="54"/>
      <c r="F165" s="56"/>
      <c r="G165" s="57"/>
    </row>
    <row r="166" spans="1:7" x14ac:dyDescent="0.2">
      <c r="A166" s="54"/>
      <c r="B166" s="23" t="s">
        <v>144</v>
      </c>
      <c r="C166" s="55">
        <v>1251.3658</v>
      </c>
      <c r="D166" s="55">
        <v>1255.0649000000001</v>
      </c>
      <c r="E166" s="54"/>
      <c r="F166" s="56"/>
      <c r="G166" s="57"/>
    </row>
    <row r="167" spans="1:7" ht="25.5" x14ac:dyDescent="0.2">
      <c r="A167" s="54"/>
      <c r="B167" s="23" t="s">
        <v>651</v>
      </c>
      <c r="C167" s="55">
        <v>1026.27</v>
      </c>
      <c r="D167" s="55">
        <v>1029.3044</v>
      </c>
      <c r="E167" s="54"/>
      <c r="F167" s="56"/>
      <c r="G167" s="57"/>
    </row>
    <row r="168" spans="1:7" ht="25.5" x14ac:dyDescent="0.2">
      <c r="A168" s="54"/>
      <c r="B168" s="23" t="s">
        <v>652</v>
      </c>
      <c r="C168" s="55">
        <v>1150.8009999999999</v>
      </c>
      <c r="D168" s="55">
        <v>1146.6887999999999</v>
      </c>
      <c r="E168" s="54"/>
      <c r="F168" s="56"/>
      <c r="G168" s="57"/>
    </row>
    <row r="169" spans="1:7" x14ac:dyDescent="0.2">
      <c r="A169" s="54"/>
      <c r="B169" s="23" t="s">
        <v>114</v>
      </c>
      <c r="C169" s="55">
        <v>2250.9232000000002</v>
      </c>
      <c r="D169" s="55">
        <v>2257.3274999999999</v>
      </c>
      <c r="E169" s="54"/>
      <c r="F169" s="56"/>
      <c r="G169" s="57"/>
    </row>
    <row r="170" spans="1:7" x14ac:dyDescent="0.2">
      <c r="A170" s="54"/>
      <c r="B170" s="23" t="s">
        <v>145</v>
      </c>
      <c r="C170" s="55">
        <v>1245.9544000000001</v>
      </c>
      <c r="D170" s="55">
        <v>1249.4993999999999</v>
      </c>
      <c r="E170" s="54"/>
      <c r="F170" s="56"/>
      <c r="G170" s="57"/>
    </row>
    <row r="171" spans="1:7" ht="25.5" x14ac:dyDescent="0.2">
      <c r="A171" s="54"/>
      <c r="B171" s="23" t="s">
        <v>655</v>
      </c>
      <c r="C171" s="55">
        <v>1026.1311000000001</v>
      </c>
      <c r="D171" s="55">
        <v>1029.0507</v>
      </c>
      <c r="E171" s="54"/>
      <c r="F171" s="56"/>
      <c r="G171" s="57"/>
    </row>
    <row r="172" spans="1:7" ht="25.5" x14ac:dyDescent="0.2">
      <c r="A172" s="54"/>
      <c r="B172" s="23" t="s">
        <v>621</v>
      </c>
      <c r="C172" s="55">
        <v>1146.04</v>
      </c>
      <c r="D172" s="55">
        <v>1141.79</v>
      </c>
      <c r="E172" s="54"/>
      <c r="F172" s="56"/>
      <c r="G172" s="57"/>
    </row>
    <row r="173" spans="1:7" x14ac:dyDescent="0.2">
      <c r="A173" s="54"/>
      <c r="B173" s="54"/>
      <c r="C173" s="54"/>
      <c r="D173" s="54"/>
      <c r="E173" s="54"/>
      <c r="F173" s="54"/>
      <c r="G173" s="54"/>
    </row>
    <row r="174" spans="1:7" x14ac:dyDescent="0.2">
      <c r="A174" s="54"/>
      <c r="B174" s="160" t="s">
        <v>622</v>
      </c>
      <c r="C174" s="161"/>
      <c r="D174" s="15" t="s">
        <v>12</v>
      </c>
      <c r="E174" s="54"/>
      <c r="F174" s="54"/>
      <c r="G174" s="54"/>
    </row>
    <row r="175" spans="1:7" x14ac:dyDescent="0.2">
      <c r="A175" s="54"/>
      <c r="B175" s="58" t="s">
        <v>112</v>
      </c>
      <c r="C175" s="59" t="s">
        <v>115</v>
      </c>
      <c r="D175" s="59" t="s">
        <v>116</v>
      </c>
      <c r="E175" s="54"/>
      <c r="F175" s="54"/>
      <c r="G175" s="54"/>
    </row>
    <row r="176" spans="1:7" ht="25.5" x14ac:dyDescent="0.2">
      <c r="A176" s="54"/>
      <c r="B176" s="23" t="s">
        <v>652</v>
      </c>
      <c r="C176" s="60">
        <v>7.5</v>
      </c>
      <c r="D176" s="27" t="s">
        <v>117</v>
      </c>
      <c r="E176" s="54"/>
      <c r="F176" s="56"/>
      <c r="G176" s="57"/>
    </row>
    <row r="177" spans="1:17" ht="25.5" x14ac:dyDescent="0.2">
      <c r="A177" s="54"/>
      <c r="B177" s="23" t="s">
        <v>621</v>
      </c>
      <c r="C177" s="60">
        <v>7.5</v>
      </c>
      <c r="D177" s="27" t="s">
        <v>117</v>
      </c>
      <c r="E177" s="54"/>
      <c r="F177" s="56"/>
      <c r="G177" s="57"/>
    </row>
    <row r="178" spans="1:17" x14ac:dyDescent="0.2">
      <c r="A178" s="54"/>
      <c r="B178" s="61"/>
      <c r="C178" s="61"/>
      <c r="D178" s="62"/>
      <c r="E178" s="54"/>
      <c r="F178" s="56"/>
      <c r="G178" s="57"/>
    </row>
    <row r="179" spans="1:17" s="65" customFormat="1" x14ac:dyDescent="0.2">
      <c r="A179" s="75"/>
      <c r="B179" s="162" t="s">
        <v>558</v>
      </c>
      <c r="C179" s="163"/>
      <c r="D179" s="32" t="s">
        <v>108</v>
      </c>
      <c r="E179" s="75"/>
      <c r="F179" s="75"/>
      <c r="G179" s="75"/>
      <c r="I179" s="78"/>
      <c r="J179" s="76"/>
      <c r="K179" s="34"/>
      <c r="L179" s="34"/>
      <c r="M179" s="34"/>
      <c r="N179" s="34"/>
      <c r="O179" s="71"/>
      <c r="P179"/>
      <c r="Q179"/>
    </row>
    <row r="180" spans="1:17" ht="27.75" customHeight="1" x14ac:dyDescent="0.2">
      <c r="A180" s="50"/>
      <c r="B180" s="162" t="s">
        <v>559</v>
      </c>
      <c r="C180" s="163"/>
      <c r="D180" s="32" t="s">
        <v>108</v>
      </c>
      <c r="E180" s="63"/>
      <c r="F180" s="50"/>
      <c r="G180" s="50"/>
      <c r="I180" s="78"/>
      <c r="J180" s="76"/>
    </row>
    <row r="181" spans="1:17" ht="26.25" customHeight="1" x14ac:dyDescent="0.2">
      <c r="A181" s="50"/>
      <c r="B181" s="162" t="s">
        <v>560</v>
      </c>
      <c r="C181" s="163"/>
      <c r="D181" s="32" t="s">
        <v>108</v>
      </c>
      <c r="E181" s="63"/>
      <c r="F181" s="50"/>
      <c r="G181" s="50"/>
      <c r="I181" s="78"/>
      <c r="J181" s="76"/>
    </row>
    <row r="182" spans="1:17" x14ac:dyDescent="0.2">
      <c r="A182" s="50"/>
      <c r="B182" s="162" t="s">
        <v>561</v>
      </c>
      <c r="C182" s="163"/>
      <c r="D182" s="32" t="s">
        <v>108</v>
      </c>
      <c r="E182" s="63"/>
      <c r="F182" s="50"/>
      <c r="G182" s="50"/>
      <c r="I182" s="78"/>
      <c r="J182" s="76"/>
    </row>
    <row r="183" spans="1:17" x14ac:dyDescent="0.2">
      <c r="A183" s="64"/>
      <c r="B183" s="64"/>
      <c r="C183" s="64"/>
      <c r="D183" s="64"/>
      <c r="E183" s="64"/>
      <c r="F183" s="64"/>
      <c r="G183" s="64"/>
      <c r="I183" s="78"/>
      <c r="J183" s="76"/>
    </row>
    <row r="184" spans="1:17" s="65" customFormat="1" x14ac:dyDescent="0.2">
      <c r="B184" s="80" t="s">
        <v>646</v>
      </c>
      <c r="C184" s="80"/>
      <c r="D184" s="80"/>
      <c r="E184" s="80"/>
      <c r="F184" s="80"/>
      <c r="G184" s="80"/>
      <c r="I184" s="78"/>
      <c r="J184" s="76"/>
      <c r="K184" s="34"/>
      <c r="L184" s="34"/>
      <c r="M184" s="34"/>
      <c r="N184" s="34"/>
      <c r="O184"/>
    </row>
    <row r="185" spans="1:17" ht="13.5" x14ac:dyDescent="0.25">
      <c r="B185" s="89"/>
      <c r="C185" s="90"/>
      <c r="D185" s="91"/>
      <c r="E185" s="91"/>
      <c r="F185" s="10"/>
      <c r="G185" s="92"/>
      <c r="H185" s="8"/>
      <c r="I185" s="8"/>
      <c r="J185" s="8"/>
      <c r="K185" s="34"/>
      <c r="L185" s="34"/>
      <c r="M185" s="34"/>
      <c r="N185" s="34"/>
      <c r="O185" s="34"/>
      <c r="P185" s="34"/>
    </row>
    <row r="186" spans="1:17" ht="13.5" customHeight="1" x14ac:dyDescent="0.2">
      <c r="B186" s="192" t="s">
        <v>571</v>
      </c>
      <c r="C186" s="192" t="s">
        <v>572</v>
      </c>
      <c r="D186" s="195" t="s">
        <v>664</v>
      </c>
      <c r="E186" s="196"/>
      <c r="F186" s="197"/>
      <c r="G186" s="177" t="s">
        <v>674</v>
      </c>
      <c r="H186" s="178"/>
      <c r="I186" s="181" t="s">
        <v>673</v>
      </c>
      <c r="J186" s="34"/>
      <c r="K186" s="34"/>
      <c r="L186" s="34"/>
      <c r="M186" s="34"/>
      <c r="N186" s="34"/>
      <c r="O186" s="34"/>
    </row>
    <row r="187" spans="1:17" ht="46.5" customHeight="1" x14ac:dyDescent="0.2">
      <c r="B187" s="193"/>
      <c r="C187" s="193"/>
      <c r="D187" s="181" t="s">
        <v>663</v>
      </c>
      <c r="E187" s="181" t="s">
        <v>662</v>
      </c>
      <c r="F187" s="181" t="s">
        <v>672</v>
      </c>
      <c r="G187" s="179"/>
      <c r="H187" s="180"/>
      <c r="I187" s="182"/>
      <c r="J187" s="34"/>
      <c r="K187" s="34"/>
      <c r="L187" s="34"/>
      <c r="M187" s="34"/>
      <c r="N187" s="34"/>
      <c r="O187" s="34"/>
    </row>
    <row r="188" spans="1:17" ht="21" customHeight="1" x14ac:dyDescent="0.2">
      <c r="B188" s="194"/>
      <c r="C188" s="194"/>
      <c r="D188" s="183"/>
      <c r="E188" s="183"/>
      <c r="F188" s="183"/>
      <c r="G188" s="93" t="s">
        <v>659</v>
      </c>
      <c r="H188" s="93" t="s">
        <v>660</v>
      </c>
      <c r="I188" s="183"/>
      <c r="J188" s="34"/>
      <c r="K188" s="34"/>
      <c r="L188" s="34"/>
      <c r="M188" s="34"/>
      <c r="N188" s="34"/>
      <c r="O188" s="34"/>
    </row>
    <row r="189" spans="1:17" ht="13.5" x14ac:dyDescent="0.25">
      <c r="B189" s="82" t="s">
        <v>569</v>
      </c>
      <c r="C189" s="83" t="s">
        <v>570</v>
      </c>
      <c r="D189" s="94">
        <v>5523.9823999999999</v>
      </c>
      <c r="E189" s="87">
        <v>126.0176</v>
      </c>
      <c r="F189" s="88">
        <f>D189+E189</f>
        <v>5650</v>
      </c>
      <c r="G189" s="7">
        <v>239</v>
      </c>
      <c r="H189" s="7">
        <v>151</v>
      </c>
      <c r="I189" s="7">
        <f>G189+H189</f>
        <v>390</v>
      </c>
      <c r="J189" s="34"/>
      <c r="K189" s="34"/>
      <c r="L189" s="34"/>
      <c r="M189" s="34"/>
      <c r="N189" s="34"/>
      <c r="O189" s="34"/>
    </row>
    <row r="190" spans="1:17" ht="6.75" customHeight="1" x14ac:dyDescent="0.25">
      <c r="B190" s="89"/>
      <c r="C190" s="90"/>
      <c r="D190" s="95"/>
      <c r="E190" s="10"/>
      <c r="F190" s="92"/>
      <c r="G190" s="8"/>
      <c r="H190" s="8"/>
      <c r="I190" s="8"/>
      <c r="J190" s="34"/>
      <c r="K190" s="34"/>
      <c r="L190" s="34"/>
      <c r="M190" s="34"/>
      <c r="N190" s="34"/>
      <c r="O190" s="34"/>
    </row>
    <row r="191" spans="1:17" ht="42" customHeight="1" x14ac:dyDescent="0.2">
      <c r="B191" s="187" t="s">
        <v>675</v>
      </c>
      <c r="C191" s="187"/>
      <c r="D191" s="187"/>
      <c r="E191" s="187"/>
      <c r="F191" s="187"/>
      <c r="G191" s="187"/>
      <c r="H191" s="187"/>
      <c r="I191" s="187"/>
      <c r="J191" s="187"/>
      <c r="K191" s="34"/>
      <c r="L191" s="34"/>
      <c r="M191" s="34"/>
      <c r="N191" s="34"/>
      <c r="O191" s="34"/>
    </row>
    <row r="192" spans="1:17" ht="13.5" x14ac:dyDescent="0.25">
      <c r="B192" s="89"/>
      <c r="C192" s="90"/>
      <c r="D192" s="95"/>
      <c r="E192" s="10"/>
      <c r="F192" s="10"/>
      <c r="G192" s="92"/>
      <c r="H192" s="8"/>
      <c r="I192" s="8"/>
      <c r="J192" s="8"/>
      <c r="K192" s="34"/>
      <c r="L192" s="34"/>
      <c r="M192" s="34"/>
      <c r="N192" s="34"/>
      <c r="O192" s="34"/>
      <c r="P192" s="34"/>
    </row>
    <row r="193" spans="2:18" ht="13.5" x14ac:dyDescent="0.25">
      <c r="B193" s="96" t="s">
        <v>587</v>
      </c>
      <c r="I193" s="34"/>
      <c r="J193" s="76"/>
      <c r="K193" s="34"/>
      <c r="L193" s="34"/>
      <c r="M193" s="34"/>
      <c r="N193" s="34"/>
      <c r="O193" s="34"/>
      <c r="P193" s="34"/>
    </row>
    <row r="194" spans="2:18" x14ac:dyDescent="0.2">
      <c r="B194" s="97"/>
      <c r="J194" s="76"/>
      <c r="K194" s="34"/>
      <c r="L194" s="34"/>
      <c r="M194" s="34"/>
      <c r="N194" s="34"/>
      <c r="O194" s="34"/>
    </row>
    <row r="195" spans="2:18" x14ac:dyDescent="0.2">
      <c r="B195" s="97" t="s">
        <v>661</v>
      </c>
      <c r="J195" s="76"/>
      <c r="K195" s="34"/>
      <c r="L195" s="34"/>
      <c r="M195" s="34"/>
      <c r="N195" s="34"/>
      <c r="O195" s="34"/>
    </row>
    <row r="196" spans="2:18" s="65" customFormat="1" x14ac:dyDescent="0.2">
      <c r="I196" s="78"/>
      <c r="J196" s="76"/>
      <c r="K196" s="34"/>
      <c r="L196" s="34"/>
      <c r="M196" s="34"/>
      <c r="N196" s="34"/>
      <c r="O196"/>
      <c r="R196"/>
    </row>
    <row r="197" spans="2:18" s="65" customFormat="1" x14ac:dyDescent="0.2">
      <c r="B197" s="165" t="s">
        <v>547</v>
      </c>
      <c r="C197" s="166"/>
      <c r="D197" s="167"/>
      <c r="I197" s="78"/>
      <c r="J197" s="76"/>
      <c r="K197" s="34"/>
      <c r="L197" s="34"/>
      <c r="M197" s="34"/>
      <c r="N197" s="34"/>
      <c r="O197"/>
      <c r="R197"/>
    </row>
    <row r="198" spans="2:18" s="65" customFormat="1" ht="25.5" x14ac:dyDescent="0.2">
      <c r="B198" s="155" t="s">
        <v>548</v>
      </c>
      <c r="C198" s="155"/>
      <c r="D198" s="66" t="s">
        <v>249</v>
      </c>
      <c r="I198" s="78"/>
      <c r="J198" s="76"/>
      <c r="K198" s="34"/>
      <c r="L198" s="34"/>
      <c r="M198" s="34"/>
      <c r="N198" s="34"/>
      <c r="O198"/>
      <c r="R198"/>
    </row>
    <row r="199" spans="2:18" s="65" customFormat="1" x14ac:dyDescent="0.2">
      <c r="B199" s="168" t="s">
        <v>549</v>
      </c>
      <c r="C199" s="168"/>
      <c r="D199" s="67"/>
      <c r="I199" s="78"/>
      <c r="J199" s="76"/>
      <c r="K199" s="34"/>
      <c r="L199" s="34"/>
      <c r="M199" s="34"/>
      <c r="N199" s="34"/>
      <c r="O199"/>
      <c r="R199"/>
    </row>
    <row r="200" spans="2:18" s="65" customFormat="1" x14ac:dyDescent="0.2">
      <c r="B200" s="168"/>
      <c r="C200" s="168"/>
      <c r="D200" s="68"/>
      <c r="I200" s="78"/>
      <c r="J200" s="76"/>
      <c r="K200" s="34"/>
      <c r="L200" s="34"/>
      <c r="M200" s="34"/>
      <c r="N200" s="34"/>
      <c r="O200"/>
      <c r="R200"/>
    </row>
    <row r="201" spans="2:18" s="65" customFormat="1" x14ac:dyDescent="0.2">
      <c r="B201" s="168" t="s">
        <v>550</v>
      </c>
      <c r="C201" s="168"/>
      <c r="D201" s="69">
        <v>7.2923815083056516</v>
      </c>
      <c r="I201" s="78"/>
      <c r="J201" s="76"/>
      <c r="K201" s="34"/>
      <c r="L201" s="34"/>
      <c r="M201" s="34"/>
      <c r="N201" s="34"/>
      <c r="O201"/>
      <c r="R201"/>
    </row>
    <row r="202" spans="2:18" s="65" customFormat="1" x14ac:dyDescent="0.2">
      <c r="B202" s="168"/>
      <c r="C202" s="168"/>
      <c r="D202" s="68"/>
      <c r="I202" s="78"/>
      <c r="J202" s="76"/>
      <c r="K202" s="34"/>
      <c r="L202" s="34"/>
      <c r="M202" s="34"/>
      <c r="N202" s="34"/>
      <c r="O202"/>
      <c r="R202"/>
    </row>
    <row r="203" spans="2:18" s="65" customFormat="1" x14ac:dyDescent="0.2">
      <c r="B203" s="168" t="s">
        <v>551</v>
      </c>
      <c r="C203" s="168"/>
      <c r="D203" s="69">
        <v>0.12108234838616548</v>
      </c>
      <c r="I203" s="78"/>
      <c r="J203" s="76"/>
      <c r="K203" s="34"/>
      <c r="L203" s="34"/>
      <c r="M203" s="34"/>
      <c r="N203" s="34"/>
      <c r="O203"/>
      <c r="R203"/>
    </row>
    <row r="204" spans="2:18" s="65" customFormat="1" x14ac:dyDescent="0.2">
      <c r="B204" s="168" t="s">
        <v>552</v>
      </c>
      <c r="C204" s="168"/>
      <c r="D204" s="69">
        <v>0.12108234838616548</v>
      </c>
      <c r="I204" s="78"/>
      <c r="J204" s="76"/>
      <c r="K204" s="34"/>
      <c r="L204" s="34"/>
      <c r="M204" s="34"/>
      <c r="N204" s="34"/>
      <c r="O204"/>
      <c r="R204"/>
    </row>
    <row r="205" spans="2:18" s="65" customFormat="1" x14ac:dyDescent="0.2">
      <c r="B205" s="168"/>
      <c r="C205" s="168"/>
      <c r="D205" s="68"/>
      <c r="I205" s="78"/>
      <c r="J205" s="76"/>
      <c r="K205" s="34"/>
      <c r="L205" s="34"/>
      <c r="M205" s="34"/>
      <c r="N205" s="34"/>
      <c r="O205"/>
      <c r="P205"/>
      <c r="Q205"/>
      <c r="R205"/>
    </row>
    <row r="206" spans="2:18" s="65" customFormat="1" x14ac:dyDescent="0.2">
      <c r="B206" s="168" t="s">
        <v>553</v>
      </c>
      <c r="C206" s="168"/>
      <c r="D206" s="70" t="s">
        <v>645</v>
      </c>
      <c r="I206" s="78"/>
      <c r="J206" s="76"/>
      <c r="K206" s="34"/>
      <c r="L206" s="34"/>
      <c r="M206" s="34"/>
      <c r="N206" s="34"/>
      <c r="O206" s="71"/>
    </row>
    <row r="207" spans="2:18" s="65" customFormat="1" x14ac:dyDescent="0.2">
      <c r="B207" s="169" t="s">
        <v>554</v>
      </c>
      <c r="C207" s="171"/>
      <c r="D207" s="170"/>
      <c r="I207" s="78"/>
      <c r="J207" s="76"/>
      <c r="K207" s="34"/>
      <c r="L207" s="34"/>
      <c r="M207" s="34"/>
      <c r="N207" s="34"/>
      <c r="O207"/>
      <c r="P207"/>
      <c r="Q207"/>
      <c r="R207"/>
    </row>
    <row r="208" spans="2:18" x14ac:dyDescent="0.2">
      <c r="I208" s="78"/>
      <c r="J208" s="76"/>
    </row>
    <row r="209" spans="2:10" ht="25.5" x14ac:dyDescent="0.2">
      <c r="B209" s="72" t="s">
        <v>555</v>
      </c>
      <c r="I209" s="78"/>
    </row>
    <row r="210" spans="2:10" x14ac:dyDescent="0.2">
      <c r="I210" s="78"/>
    </row>
    <row r="211" spans="2:10" ht="153.75" customHeight="1" x14ac:dyDescent="0.2">
      <c r="I211" s="78"/>
    </row>
    <row r="212" spans="2:10" x14ac:dyDescent="0.2">
      <c r="I212" s="78"/>
    </row>
    <row r="213" spans="2:10" x14ac:dyDescent="0.2">
      <c r="I213" s="78"/>
    </row>
    <row r="214" spans="2:10" x14ac:dyDescent="0.2">
      <c r="B214" s="73" t="s">
        <v>556</v>
      </c>
      <c r="C214" s="74"/>
      <c r="D214" s="73"/>
      <c r="I214" s="78"/>
    </row>
    <row r="215" spans="2:10" x14ac:dyDescent="0.2">
      <c r="B215" s="73" t="s">
        <v>592</v>
      </c>
      <c r="D215" s="73"/>
      <c r="I215" s="78"/>
    </row>
    <row r="216" spans="2:10" ht="165" customHeight="1" x14ac:dyDescent="0.2">
      <c r="I216" s="78"/>
    </row>
    <row r="217" spans="2:10" x14ac:dyDescent="0.2">
      <c r="I217" s="78"/>
    </row>
    <row r="218" spans="2:10" x14ac:dyDescent="0.2">
      <c r="I218" s="78"/>
      <c r="J218" s="76"/>
    </row>
  </sheetData>
  <mergeCells count="36">
    <mergeCell ref="B191:J191"/>
    <mergeCell ref="B207:D207"/>
    <mergeCell ref="B202:C202"/>
    <mergeCell ref="B203:C203"/>
    <mergeCell ref="B204:C204"/>
    <mergeCell ref="B205:C205"/>
    <mergeCell ref="B206:C206"/>
    <mergeCell ref="B197:D197"/>
    <mergeCell ref="B198:C198"/>
    <mergeCell ref="B199:C199"/>
    <mergeCell ref="B200:C200"/>
    <mergeCell ref="B201:C201"/>
    <mergeCell ref="B181:C181"/>
    <mergeCell ref="B182:C182"/>
    <mergeCell ref="A1:H1"/>
    <mergeCell ref="A2:H2"/>
    <mergeCell ref="A3:H3"/>
    <mergeCell ref="B159:D159"/>
    <mergeCell ref="B160:C160"/>
    <mergeCell ref="B161:C161"/>
    <mergeCell ref="B162:C162"/>
    <mergeCell ref="B174:C174"/>
    <mergeCell ref="B180:C180"/>
    <mergeCell ref="B154:H154"/>
    <mergeCell ref="B155:H155"/>
    <mergeCell ref="B156:H156"/>
    <mergeCell ref="B157:H157"/>
    <mergeCell ref="B179:C179"/>
    <mergeCell ref="B186:B188"/>
    <mergeCell ref="C186:C188"/>
    <mergeCell ref="D186:F186"/>
    <mergeCell ref="G186:H187"/>
    <mergeCell ref="I186:I188"/>
    <mergeCell ref="D187:D188"/>
    <mergeCell ref="E187:E188"/>
    <mergeCell ref="F187:F188"/>
  </mergeCells>
  <hyperlinks>
    <hyperlink ref="I1" location="Index!B2" display="Index" xr:uid="{FE21A2AD-D607-4903-8354-0EC4C12291E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E7B7-62A4-4757-8AED-2DF3D7E3E77C}">
  <sheetPr>
    <outlinePr summaryBelow="0" summaryRight="0"/>
  </sheetPr>
  <dimension ref="A1:S180"/>
  <sheetViews>
    <sheetView showGridLines="0" workbookViewId="0">
      <selection sqref="A1:H1"/>
    </sheetView>
  </sheetViews>
  <sheetFormatPr defaultRowHeight="12.75" x14ac:dyDescent="0.2"/>
  <cols>
    <col min="1" max="1" width="5.85546875" bestFit="1" customWidth="1"/>
    <col min="2" max="2" width="20.28515625" bestFit="1" customWidth="1"/>
    <col min="3" max="3" width="34" bestFit="1" customWidth="1"/>
    <col min="4" max="4" width="11.85546875" customWidth="1"/>
    <col min="5" max="5" width="8.7109375" bestFit="1" customWidth="1"/>
    <col min="6" max="6" width="10.140625" bestFit="1" customWidth="1"/>
    <col min="7" max="7" width="14" bestFit="1" customWidth="1"/>
    <col min="8" max="8" width="10.7109375" customWidth="1"/>
  </cols>
  <sheetData>
    <row r="1" spans="1:9" ht="15" x14ac:dyDescent="0.2">
      <c r="A1" s="156" t="s">
        <v>0</v>
      </c>
      <c r="B1" s="156"/>
      <c r="C1" s="156"/>
      <c r="D1" s="156"/>
      <c r="E1" s="156"/>
      <c r="F1" s="156"/>
      <c r="G1" s="156"/>
      <c r="H1" s="156"/>
      <c r="I1" s="9" t="s">
        <v>658</v>
      </c>
    </row>
    <row r="2" spans="1:9" ht="15" x14ac:dyDescent="0.2">
      <c r="A2" s="156" t="s">
        <v>405</v>
      </c>
      <c r="B2" s="156"/>
      <c r="C2" s="156"/>
      <c r="D2" s="156"/>
      <c r="E2" s="156"/>
      <c r="F2" s="156"/>
      <c r="G2" s="156"/>
      <c r="H2" s="156"/>
    </row>
    <row r="3" spans="1:9" ht="15" x14ac:dyDescent="0.2">
      <c r="A3" s="156" t="s">
        <v>563</v>
      </c>
      <c r="B3" s="156"/>
      <c r="C3" s="156"/>
      <c r="D3" s="156"/>
      <c r="E3" s="156"/>
      <c r="F3" s="156"/>
      <c r="G3" s="156"/>
      <c r="H3" s="156"/>
    </row>
    <row r="4" spans="1:9" s="13" customFormat="1" ht="30" x14ac:dyDescent="0.2">
      <c r="A4" s="11" t="s">
        <v>2</v>
      </c>
      <c r="B4" s="11" t="s">
        <v>3</v>
      </c>
      <c r="C4" s="11" t="s">
        <v>4</v>
      </c>
      <c r="D4" s="11" t="s">
        <v>5</v>
      </c>
      <c r="E4" s="11" t="s">
        <v>6</v>
      </c>
      <c r="F4" s="11" t="s">
        <v>7</v>
      </c>
      <c r="G4" s="11" t="s">
        <v>8</v>
      </c>
      <c r="H4" s="12" t="s">
        <v>527</v>
      </c>
    </row>
    <row r="5" spans="1:9" x14ac:dyDescent="0.2">
      <c r="A5" s="14"/>
      <c r="B5" s="14"/>
      <c r="C5" s="15" t="s">
        <v>9</v>
      </c>
      <c r="D5" s="14"/>
      <c r="E5" s="14"/>
      <c r="F5" s="14"/>
      <c r="G5" s="14"/>
      <c r="H5" s="16" t="s">
        <v>12</v>
      </c>
    </row>
    <row r="6" spans="1:9" ht="25.5" x14ac:dyDescent="0.2">
      <c r="A6" s="14"/>
      <c r="B6" s="14"/>
      <c r="C6" s="15" t="s">
        <v>10</v>
      </c>
      <c r="D6" s="14"/>
      <c r="E6" s="14"/>
      <c r="F6" s="14"/>
      <c r="G6" s="14"/>
      <c r="H6" s="16" t="s">
        <v>12</v>
      </c>
    </row>
    <row r="7" spans="1:9" x14ac:dyDescent="0.2">
      <c r="A7" s="14"/>
      <c r="B7" s="14"/>
      <c r="C7" s="15" t="s">
        <v>11</v>
      </c>
      <c r="D7" s="14"/>
      <c r="E7" s="14" t="s">
        <v>12</v>
      </c>
      <c r="F7" s="17" t="s">
        <v>13</v>
      </c>
      <c r="G7" s="18">
        <v>0</v>
      </c>
      <c r="H7" s="16" t="s">
        <v>12</v>
      </c>
    </row>
    <row r="8" spans="1:9" x14ac:dyDescent="0.2">
      <c r="A8" s="14"/>
      <c r="B8" s="14"/>
      <c r="C8" s="19"/>
      <c r="D8" s="14"/>
      <c r="E8" s="14"/>
      <c r="F8" s="20"/>
      <c r="G8" s="20"/>
      <c r="H8" s="16" t="s">
        <v>12</v>
      </c>
    </row>
    <row r="9" spans="1:9" x14ac:dyDescent="0.2">
      <c r="A9" s="14"/>
      <c r="B9" s="14"/>
      <c r="C9" s="15" t="s">
        <v>14</v>
      </c>
      <c r="D9" s="14"/>
      <c r="E9" s="14"/>
      <c r="F9" s="14"/>
      <c r="G9" s="14"/>
      <c r="H9" s="16" t="s">
        <v>12</v>
      </c>
    </row>
    <row r="10" spans="1:9" x14ac:dyDescent="0.2">
      <c r="A10" s="14"/>
      <c r="B10" s="14"/>
      <c r="C10" s="15" t="s">
        <v>11</v>
      </c>
      <c r="D10" s="14"/>
      <c r="E10" s="14" t="s">
        <v>12</v>
      </c>
      <c r="F10" s="17" t="s">
        <v>13</v>
      </c>
      <c r="G10" s="18">
        <v>0</v>
      </c>
      <c r="H10" s="16" t="s">
        <v>12</v>
      </c>
    </row>
    <row r="11" spans="1:9" x14ac:dyDescent="0.2">
      <c r="A11" s="14"/>
      <c r="B11" s="14"/>
      <c r="C11" s="19"/>
      <c r="D11" s="14"/>
      <c r="E11" s="14"/>
      <c r="F11" s="20"/>
      <c r="G11" s="20"/>
      <c r="H11" s="16" t="s">
        <v>12</v>
      </c>
    </row>
    <row r="12" spans="1:9" x14ac:dyDescent="0.2">
      <c r="A12" s="14"/>
      <c r="B12" s="14"/>
      <c r="C12" s="15" t="s">
        <v>15</v>
      </c>
      <c r="D12" s="14"/>
      <c r="E12" s="14"/>
      <c r="F12" s="14"/>
      <c r="G12" s="14"/>
      <c r="H12" s="16" t="s">
        <v>12</v>
      </c>
    </row>
    <row r="13" spans="1:9" x14ac:dyDescent="0.2">
      <c r="A13" s="14"/>
      <c r="B13" s="14"/>
      <c r="C13" s="15" t="s">
        <v>11</v>
      </c>
      <c r="D13" s="14"/>
      <c r="E13" s="14" t="s">
        <v>12</v>
      </c>
      <c r="F13" s="17" t="s">
        <v>13</v>
      </c>
      <c r="G13" s="18">
        <v>0</v>
      </c>
      <c r="H13" s="16" t="s">
        <v>12</v>
      </c>
    </row>
    <row r="14" spans="1:9" x14ac:dyDescent="0.2">
      <c r="A14" s="14"/>
      <c r="B14" s="14"/>
      <c r="C14" s="19"/>
      <c r="D14" s="14"/>
      <c r="E14" s="14"/>
      <c r="F14" s="20"/>
      <c r="G14" s="20"/>
      <c r="H14" s="16" t="s">
        <v>12</v>
      </c>
    </row>
    <row r="15" spans="1:9" x14ac:dyDescent="0.2">
      <c r="A15" s="14"/>
      <c r="B15" s="14"/>
      <c r="C15" s="15" t="s">
        <v>16</v>
      </c>
      <c r="D15" s="14"/>
      <c r="E15" s="14"/>
      <c r="F15" s="14"/>
      <c r="G15" s="14"/>
      <c r="H15" s="16" t="s">
        <v>12</v>
      </c>
    </row>
    <row r="16" spans="1:9" x14ac:dyDescent="0.2">
      <c r="A16" s="14"/>
      <c r="B16" s="14"/>
      <c r="C16" s="15" t="s">
        <v>11</v>
      </c>
      <c r="D16" s="14"/>
      <c r="E16" s="14" t="s">
        <v>12</v>
      </c>
      <c r="F16" s="17" t="s">
        <v>13</v>
      </c>
      <c r="G16" s="18">
        <v>0</v>
      </c>
      <c r="H16" s="16" t="s">
        <v>12</v>
      </c>
    </row>
    <row r="17" spans="1:8" x14ac:dyDescent="0.2">
      <c r="A17" s="14"/>
      <c r="B17" s="14"/>
      <c r="C17" s="19"/>
      <c r="D17" s="14"/>
      <c r="E17" s="14"/>
      <c r="F17" s="20"/>
      <c r="G17" s="20"/>
      <c r="H17" s="16" t="s">
        <v>12</v>
      </c>
    </row>
    <row r="18" spans="1:8" x14ac:dyDescent="0.2">
      <c r="A18" s="14"/>
      <c r="B18" s="14"/>
      <c r="C18" s="15" t="s">
        <v>17</v>
      </c>
      <c r="D18" s="14"/>
      <c r="E18" s="14"/>
      <c r="F18" s="20"/>
      <c r="G18" s="20"/>
      <c r="H18" s="16" t="s">
        <v>12</v>
      </c>
    </row>
    <row r="19" spans="1:8" x14ac:dyDescent="0.2">
      <c r="A19" s="14"/>
      <c r="B19" s="14"/>
      <c r="C19" s="15" t="s">
        <v>11</v>
      </c>
      <c r="D19" s="14"/>
      <c r="E19" s="14" t="s">
        <v>12</v>
      </c>
      <c r="F19" s="17" t="s">
        <v>13</v>
      </c>
      <c r="G19" s="18">
        <v>0</v>
      </c>
      <c r="H19" s="16" t="s">
        <v>12</v>
      </c>
    </row>
    <row r="20" spans="1:8" x14ac:dyDescent="0.2">
      <c r="A20" s="14"/>
      <c r="B20" s="14"/>
      <c r="C20" s="19"/>
      <c r="D20" s="14"/>
      <c r="E20" s="14"/>
      <c r="F20" s="20"/>
      <c r="G20" s="20"/>
      <c r="H20" s="16" t="s">
        <v>12</v>
      </c>
    </row>
    <row r="21" spans="1:8" x14ac:dyDescent="0.2">
      <c r="A21" s="14"/>
      <c r="B21" s="14"/>
      <c r="C21" s="15" t="s">
        <v>18</v>
      </c>
      <c r="D21" s="14"/>
      <c r="E21" s="14"/>
      <c r="F21" s="20"/>
      <c r="G21" s="20"/>
      <c r="H21" s="16" t="s">
        <v>12</v>
      </c>
    </row>
    <row r="22" spans="1:8" x14ac:dyDescent="0.2">
      <c r="A22" s="14"/>
      <c r="B22" s="14"/>
      <c r="C22" s="15" t="s">
        <v>11</v>
      </c>
      <c r="D22" s="14"/>
      <c r="E22" s="14" t="s">
        <v>12</v>
      </c>
      <c r="F22" s="17" t="s">
        <v>13</v>
      </c>
      <c r="G22" s="18">
        <v>0</v>
      </c>
      <c r="H22" s="16" t="s">
        <v>12</v>
      </c>
    </row>
    <row r="23" spans="1:8" x14ac:dyDescent="0.2">
      <c r="A23" s="14"/>
      <c r="B23" s="14"/>
      <c r="C23" s="19"/>
      <c r="D23" s="14"/>
      <c r="E23" s="14"/>
      <c r="F23" s="20"/>
      <c r="G23" s="20"/>
      <c r="H23" s="16" t="s">
        <v>12</v>
      </c>
    </row>
    <row r="24" spans="1:8" x14ac:dyDescent="0.2">
      <c r="A24" s="14"/>
      <c r="B24" s="14"/>
      <c r="C24" s="15" t="s">
        <v>19</v>
      </c>
      <c r="D24" s="14"/>
      <c r="E24" s="14"/>
      <c r="F24" s="21">
        <v>0</v>
      </c>
      <c r="G24" s="18">
        <v>0</v>
      </c>
      <c r="H24" s="16" t="s">
        <v>12</v>
      </c>
    </row>
    <row r="25" spans="1:8" x14ac:dyDescent="0.2">
      <c r="A25" s="14"/>
      <c r="B25" s="14"/>
      <c r="C25" s="19"/>
      <c r="D25" s="14"/>
      <c r="E25" s="14"/>
      <c r="F25" s="20"/>
      <c r="G25" s="20"/>
      <c r="H25" s="16" t="s">
        <v>12</v>
      </c>
    </row>
    <row r="26" spans="1:8" x14ac:dyDescent="0.2">
      <c r="A26" s="14"/>
      <c r="B26" s="14"/>
      <c r="C26" s="15" t="s">
        <v>20</v>
      </c>
      <c r="D26" s="14"/>
      <c r="E26" s="14"/>
      <c r="F26" s="20"/>
      <c r="G26" s="20"/>
      <c r="H26" s="16" t="s">
        <v>12</v>
      </c>
    </row>
    <row r="27" spans="1:8" ht="25.5" x14ac:dyDescent="0.2">
      <c r="A27" s="14"/>
      <c r="B27" s="14"/>
      <c r="C27" s="15" t="s">
        <v>10</v>
      </c>
      <c r="D27" s="14"/>
      <c r="E27" s="14"/>
      <c r="F27" s="20"/>
      <c r="G27" s="20"/>
      <c r="H27" s="16" t="s">
        <v>12</v>
      </c>
    </row>
    <row r="28" spans="1:8" x14ac:dyDescent="0.2">
      <c r="A28" s="22">
        <v>1</v>
      </c>
      <c r="B28" s="23" t="s">
        <v>213</v>
      </c>
      <c r="C28" s="23" t="s">
        <v>214</v>
      </c>
      <c r="D28" s="23" t="s">
        <v>210</v>
      </c>
      <c r="E28" s="24">
        <v>1100</v>
      </c>
      <c r="F28" s="25">
        <v>1102.6356000000001</v>
      </c>
      <c r="G28" s="26">
        <v>5.287795E-2</v>
      </c>
      <c r="H28" s="16">
        <v>8.34</v>
      </c>
    </row>
    <row r="29" spans="1:8" ht="25.5" x14ac:dyDescent="0.2">
      <c r="A29" s="22">
        <v>2</v>
      </c>
      <c r="B29" s="23" t="s">
        <v>406</v>
      </c>
      <c r="C29" s="23" t="s">
        <v>407</v>
      </c>
      <c r="D29" s="23" t="s">
        <v>23</v>
      </c>
      <c r="E29" s="24">
        <v>1000</v>
      </c>
      <c r="F29" s="25">
        <v>1007.973</v>
      </c>
      <c r="G29" s="26">
        <v>4.8338310000000002E-2</v>
      </c>
      <c r="H29" s="16">
        <v>7.47</v>
      </c>
    </row>
    <row r="30" spans="1:8" ht="25.5" x14ac:dyDescent="0.2">
      <c r="A30" s="22">
        <v>3</v>
      </c>
      <c r="B30" s="23" t="s">
        <v>35</v>
      </c>
      <c r="C30" s="23" t="s">
        <v>36</v>
      </c>
      <c r="D30" s="23" t="s">
        <v>23</v>
      </c>
      <c r="E30" s="24">
        <v>1000</v>
      </c>
      <c r="F30" s="25">
        <v>1003.62</v>
      </c>
      <c r="G30" s="26">
        <v>4.8129560000000002E-2</v>
      </c>
      <c r="H30" s="16">
        <v>7.5049999999999999</v>
      </c>
    </row>
    <row r="31" spans="1:8" ht="25.5" x14ac:dyDescent="0.2">
      <c r="A31" s="22">
        <v>4</v>
      </c>
      <c r="B31" s="23" t="s">
        <v>131</v>
      </c>
      <c r="C31" s="23" t="s">
        <v>132</v>
      </c>
      <c r="D31" s="23" t="s">
        <v>23</v>
      </c>
      <c r="E31" s="24">
        <v>1000</v>
      </c>
      <c r="F31" s="25">
        <v>1001.953</v>
      </c>
      <c r="G31" s="26">
        <v>4.8049620000000001E-2</v>
      </c>
      <c r="H31" s="16">
        <v>7.29</v>
      </c>
    </row>
    <row r="32" spans="1:8" ht="25.5" x14ac:dyDescent="0.2">
      <c r="A32" s="22">
        <v>5</v>
      </c>
      <c r="B32" s="23" t="s">
        <v>215</v>
      </c>
      <c r="C32" s="23" t="s">
        <v>216</v>
      </c>
      <c r="D32" s="23" t="s">
        <v>207</v>
      </c>
      <c r="E32" s="24">
        <v>1000</v>
      </c>
      <c r="F32" s="25">
        <v>1001.413</v>
      </c>
      <c r="G32" s="26">
        <v>4.8023719999999999E-2</v>
      </c>
      <c r="H32" s="16">
        <v>8.07</v>
      </c>
    </row>
    <row r="33" spans="1:8" ht="25.5" x14ac:dyDescent="0.2">
      <c r="A33" s="22">
        <v>6</v>
      </c>
      <c r="B33" s="23" t="s">
        <v>408</v>
      </c>
      <c r="C33" s="23" t="s">
        <v>409</v>
      </c>
      <c r="D33" s="23" t="s">
        <v>236</v>
      </c>
      <c r="E33" s="24">
        <v>500</v>
      </c>
      <c r="F33" s="25">
        <v>503.89249999999998</v>
      </c>
      <c r="G33" s="26">
        <v>2.4164649999999999E-2</v>
      </c>
      <c r="H33" s="16">
        <v>8.3000000000000007</v>
      </c>
    </row>
    <row r="34" spans="1:8" ht="25.5" x14ac:dyDescent="0.2">
      <c r="A34" s="22">
        <v>7</v>
      </c>
      <c r="B34" s="23" t="s">
        <v>59</v>
      </c>
      <c r="C34" s="23" t="s">
        <v>60</v>
      </c>
      <c r="D34" s="23" t="s">
        <v>23</v>
      </c>
      <c r="E34" s="24">
        <v>50</v>
      </c>
      <c r="F34" s="25">
        <v>502.70499999999998</v>
      </c>
      <c r="G34" s="26">
        <v>2.4107699999999999E-2</v>
      </c>
      <c r="H34" s="16">
        <v>7.72</v>
      </c>
    </row>
    <row r="35" spans="1:8" ht="25.5" x14ac:dyDescent="0.2">
      <c r="A35" s="22">
        <v>8</v>
      </c>
      <c r="B35" s="23" t="s">
        <v>125</v>
      </c>
      <c r="C35" s="23" t="s">
        <v>126</v>
      </c>
      <c r="D35" s="23" t="s">
        <v>23</v>
      </c>
      <c r="E35" s="24">
        <v>500</v>
      </c>
      <c r="F35" s="25">
        <v>501.86649999999997</v>
      </c>
      <c r="G35" s="26">
        <v>2.406749E-2</v>
      </c>
      <c r="H35" s="16">
        <v>7.4</v>
      </c>
    </row>
    <row r="36" spans="1:8" ht="25.5" x14ac:dyDescent="0.2">
      <c r="A36" s="22">
        <v>9</v>
      </c>
      <c r="B36" s="23" t="s">
        <v>208</v>
      </c>
      <c r="C36" s="23" t="s">
        <v>209</v>
      </c>
      <c r="D36" s="23" t="s">
        <v>210</v>
      </c>
      <c r="E36" s="24">
        <v>500</v>
      </c>
      <c r="F36" s="25">
        <v>501.86599999999999</v>
      </c>
      <c r="G36" s="26">
        <v>2.4067470000000001E-2</v>
      </c>
      <c r="H36" s="16">
        <v>8.8000000000000007</v>
      </c>
    </row>
    <row r="37" spans="1:8" ht="25.5" x14ac:dyDescent="0.2">
      <c r="A37" s="22">
        <v>10</v>
      </c>
      <c r="B37" s="23" t="s">
        <v>410</v>
      </c>
      <c r="C37" s="23" t="s">
        <v>411</v>
      </c>
      <c r="D37" s="23" t="s">
        <v>34</v>
      </c>
      <c r="E37" s="24">
        <v>500</v>
      </c>
      <c r="F37" s="25">
        <v>501.78699999999998</v>
      </c>
      <c r="G37" s="26">
        <v>2.406368E-2</v>
      </c>
      <c r="H37" s="16">
        <v>7.6</v>
      </c>
    </row>
    <row r="38" spans="1:8" ht="25.5" x14ac:dyDescent="0.2">
      <c r="A38" s="22">
        <v>11</v>
      </c>
      <c r="B38" s="23" t="s">
        <v>237</v>
      </c>
      <c r="C38" s="23" t="s">
        <v>238</v>
      </c>
      <c r="D38" s="23" t="s">
        <v>210</v>
      </c>
      <c r="E38" s="24">
        <v>500</v>
      </c>
      <c r="F38" s="25">
        <v>500.18150000000003</v>
      </c>
      <c r="G38" s="26">
        <v>2.398668E-2</v>
      </c>
      <c r="H38" s="16">
        <v>8.6199999999999992</v>
      </c>
    </row>
    <row r="39" spans="1:8" ht="25.5" x14ac:dyDescent="0.2">
      <c r="A39" s="22">
        <v>12</v>
      </c>
      <c r="B39" s="23" t="s">
        <v>228</v>
      </c>
      <c r="C39" s="23" t="s">
        <v>229</v>
      </c>
      <c r="D39" s="23" t="s">
        <v>34</v>
      </c>
      <c r="E39" s="24">
        <v>500</v>
      </c>
      <c r="F39" s="25">
        <v>499.8295</v>
      </c>
      <c r="G39" s="26">
        <v>2.3969799999999999E-2</v>
      </c>
      <c r="H39" s="16">
        <v>8.1300000000000008</v>
      </c>
    </row>
    <row r="40" spans="1:8" ht="25.5" x14ac:dyDescent="0.2">
      <c r="A40" s="22">
        <v>13</v>
      </c>
      <c r="B40" s="23" t="s">
        <v>61</v>
      </c>
      <c r="C40" s="23" t="s">
        <v>62</v>
      </c>
      <c r="D40" s="23" t="s">
        <v>23</v>
      </c>
      <c r="E40" s="24">
        <v>500</v>
      </c>
      <c r="F40" s="25">
        <v>499.76400000000001</v>
      </c>
      <c r="G40" s="26">
        <v>2.3966660000000001E-2</v>
      </c>
      <c r="H40" s="16">
        <v>8.2349999999999994</v>
      </c>
    </row>
    <row r="41" spans="1:8" x14ac:dyDescent="0.2">
      <c r="A41" s="22">
        <v>14</v>
      </c>
      <c r="B41" s="23" t="s">
        <v>220</v>
      </c>
      <c r="C41" s="23" t="s">
        <v>221</v>
      </c>
      <c r="D41" s="23" t="s">
        <v>23</v>
      </c>
      <c r="E41" s="24">
        <v>500</v>
      </c>
      <c r="F41" s="25">
        <v>499.23149999999998</v>
      </c>
      <c r="G41" s="26">
        <v>2.3941130000000001E-2</v>
      </c>
      <c r="H41" s="16">
        <v>7.72</v>
      </c>
    </row>
    <row r="42" spans="1:8" x14ac:dyDescent="0.2">
      <c r="A42" s="22">
        <v>15</v>
      </c>
      <c r="B42" s="23" t="s">
        <v>211</v>
      </c>
      <c r="C42" s="23" t="s">
        <v>212</v>
      </c>
      <c r="D42" s="23" t="s">
        <v>23</v>
      </c>
      <c r="E42" s="24">
        <v>500</v>
      </c>
      <c r="F42" s="25">
        <v>498.81049999999999</v>
      </c>
      <c r="G42" s="26">
        <v>2.3920940000000002E-2</v>
      </c>
      <c r="H42" s="16">
        <v>7.7117000000000004</v>
      </c>
    </row>
    <row r="43" spans="1:8" x14ac:dyDescent="0.2">
      <c r="A43" s="22">
        <v>16</v>
      </c>
      <c r="B43" s="23" t="s">
        <v>412</v>
      </c>
      <c r="C43" s="23" t="s">
        <v>413</v>
      </c>
      <c r="D43" s="23" t="s">
        <v>23</v>
      </c>
      <c r="E43" s="24">
        <v>500</v>
      </c>
      <c r="F43" s="25">
        <v>498.476</v>
      </c>
      <c r="G43" s="26">
        <v>2.39049E-2</v>
      </c>
      <c r="H43" s="16">
        <v>7.7</v>
      </c>
    </row>
    <row r="44" spans="1:8" ht="25.5" x14ac:dyDescent="0.2">
      <c r="A44" s="22">
        <v>17</v>
      </c>
      <c r="B44" s="23" t="s">
        <v>63</v>
      </c>
      <c r="C44" s="23" t="s">
        <v>64</v>
      </c>
      <c r="D44" s="23" t="s">
        <v>23</v>
      </c>
      <c r="E44" s="24">
        <v>500</v>
      </c>
      <c r="F44" s="25">
        <v>497.65699999999998</v>
      </c>
      <c r="G44" s="26">
        <v>2.3865620000000001E-2</v>
      </c>
      <c r="H44" s="16">
        <v>7.73</v>
      </c>
    </row>
    <row r="45" spans="1:8" ht="25.5" x14ac:dyDescent="0.2">
      <c r="A45" s="22">
        <v>18</v>
      </c>
      <c r="B45" s="23" t="s">
        <v>414</v>
      </c>
      <c r="C45" s="23" t="s">
        <v>415</v>
      </c>
      <c r="D45" s="23" t="s">
        <v>23</v>
      </c>
      <c r="E45" s="24">
        <v>50</v>
      </c>
      <c r="F45" s="25">
        <v>496.6155</v>
      </c>
      <c r="G45" s="26">
        <v>2.3815670000000001E-2</v>
      </c>
      <c r="H45" s="16">
        <v>7.65</v>
      </c>
    </row>
    <row r="46" spans="1:8" ht="25.5" x14ac:dyDescent="0.2">
      <c r="A46" s="22">
        <v>19</v>
      </c>
      <c r="B46" s="23" t="s">
        <v>416</v>
      </c>
      <c r="C46" s="23" t="s">
        <v>417</v>
      </c>
      <c r="D46" s="23" t="s">
        <v>23</v>
      </c>
      <c r="E46" s="24">
        <v>50</v>
      </c>
      <c r="F46" s="25">
        <v>489.19650000000001</v>
      </c>
      <c r="G46" s="26">
        <v>2.3459890000000001E-2</v>
      </c>
      <c r="H46" s="16">
        <v>7.74</v>
      </c>
    </row>
    <row r="47" spans="1:8" ht="25.5" x14ac:dyDescent="0.2">
      <c r="A47" s="22">
        <v>20</v>
      </c>
      <c r="B47" s="23" t="s">
        <v>205</v>
      </c>
      <c r="C47" s="23" t="s">
        <v>206</v>
      </c>
      <c r="D47" s="23" t="s">
        <v>207</v>
      </c>
      <c r="E47" s="24">
        <v>300</v>
      </c>
      <c r="F47" s="25">
        <v>301.2921</v>
      </c>
      <c r="G47" s="26">
        <v>1.444875E-2</v>
      </c>
      <c r="H47" s="16">
        <v>8.0950000000000006</v>
      </c>
    </row>
    <row r="48" spans="1:8" x14ac:dyDescent="0.2">
      <c r="A48" s="14"/>
      <c r="B48" s="14"/>
      <c r="C48" s="15" t="s">
        <v>11</v>
      </c>
      <c r="D48" s="14"/>
      <c r="E48" s="14" t="s">
        <v>12</v>
      </c>
      <c r="F48" s="21">
        <v>12410.7657</v>
      </c>
      <c r="G48" s="18">
        <v>0.59517019000000004</v>
      </c>
      <c r="H48" s="16" t="s">
        <v>12</v>
      </c>
    </row>
    <row r="49" spans="1:8" x14ac:dyDescent="0.2">
      <c r="A49" s="14"/>
      <c r="B49" s="14"/>
      <c r="C49" s="19"/>
      <c r="D49" s="14"/>
      <c r="E49" s="14"/>
      <c r="F49" s="20"/>
      <c r="G49" s="20"/>
      <c r="H49" s="16" t="s">
        <v>12</v>
      </c>
    </row>
    <row r="50" spans="1:8" x14ac:dyDescent="0.2">
      <c r="A50" s="14"/>
      <c r="B50" s="14"/>
      <c r="C50" s="15" t="s">
        <v>71</v>
      </c>
      <c r="D50" s="14"/>
      <c r="E50" s="14"/>
      <c r="F50" s="14"/>
      <c r="G50" s="14"/>
      <c r="H50" s="16" t="s">
        <v>12</v>
      </c>
    </row>
    <row r="51" spans="1:8" x14ac:dyDescent="0.2">
      <c r="A51" s="14"/>
      <c r="B51" s="14"/>
      <c r="C51" s="15" t="s">
        <v>11</v>
      </c>
      <c r="D51" s="14"/>
      <c r="E51" s="14" t="s">
        <v>12</v>
      </c>
      <c r="F51" s="17" t="s">
        <v>13</v>
      </c>
      <c r="G51" s="18">
        <v>0</v>
      </c>
      <c r="H51" s="16" t="s">
        <v>12</v>
      </c>
    </row>
    <row r="52" spans="1:8" x14ac:dyDescent="0.2">
      <c r="A52" s="14"/>
      <c r="B52" s="14"/>
      <c r="C52" s="19"/>
      <c r="D52" s="14"/>
      <c r="E52" s="14"/>
      <c r="F52" s="20"/>
      <c r="G52" s="20"/>
      <c r="H52" s="16" t="s">
        <v>12</v>
      </c>
    </row>
    <row r="53" spans="1:8" x14ac:dyDescent="0.2">
      <c r="A53" s="14"/>
      <c r="B53" s="14"/>
      <c r="C53" s="15" t="s">
        <v>72</v>
      </c>
      <c r="D53" s="14"/>
      <c r="E53" s="14"/>
      <c r="F53" s="14"/>
      <c r="G53" s="14"/>
      <c r="H53" s="16" t="s">
        <v>12</v>
      </c>
    </row>
    <row r="54" spans="1:8" ht="25.5" x14ac:dyDescent="0.2">
      <c r="A54" s="22">
        <v>1</v>
      </c>
      <c r="B54" s="23" t="s">
        <v>73</v>
      </c>
      <c r="C54" s="23" t="s">
        <v>74</v>
      </c>
      <c r="D54" s="23" t="s">
        <v>75</v>
      </c>
      <c r="E54" s="24">
        <v>2500000</v>
      </c>
      <c r="F54" s="25">
        <v>2558.145</v>
      </c>
      <c r="G54" s="26">
        <v>0.1226783</v>
      </c>
      <c r="H54" s="16">
        <v>6.8678999999999997</v>
      </c>
    </row>
    <row r="55" spans="1:8" ht="25.5" x14ac:dyDescent="0.2">
      <c r="A55" s="22">
        <v>2</v>
      </c>
      <c r="B55" s="23" t="s">
        <v>86</v>
      </c>
      <c r="C55" s="23" t="s">
        <v>87</v>
      </c>
      <c r="D55" s="23" t="s">
        <v>75</v>
      </c>
      <c r="E55" s="24">
        <v>1500000</v>
      </c>
      <c r="F55" s="25">
        <v>1537.173</v>
      </c>
      <c r="G55" s="26">
        <v>7.3716610000000002E-2</v>
      </c>
      <c r="H55" s="16">
        <v>6.6906999999999996</v>
      </c>
    </row>
    <row r="56" spans="1:8" ht="25.5" x14ac:dyDescent="0.2">
      <c r="A56" s="22">
        <v>3</v>
      </c>
      <c r="B56" s="23" t="s">
        <v>239</v>
      </c>
      <c r="C56" s="23" t="s">
        <v>240</v>
      </c>
      <c r="D56" s="23" t="s">
        <v>75</v>
      </c>
      <c r="E56" s="24">
        <v>1000000</v>
      </c>
      <c r="F56" s="25">
        <v>1016.994</v>
      </c>
      <c r="G56" s="26">
        <v>4.8770929999999997E-2</v>
      </c>
      <c r="H56" s="16">
        <v>6.6597</v>
      </c>
    </row>
    <row r="57" spans="1:8" ht="25.5" x14ac:dyDescent="0.2">
      <c r="A57" s="22">
        <v>4</v>
      </c>
      <c r="B57" s="23" t="s">
        <v>76</v>
      </c>
      <c r="C57" s="23" t="s">
        <v>77</v>
      </c>
      <c r="D57" s="23" t="s">
        <v>75</v>
      </c>
      <c r="E57" s="24">
        <v>500000</v>
      </c>
      <c r="F57" s="25">
        <v>515.20500000000004</v>
      </c>
      <c r="G57" s="26">
        <v>2.4707150000000001E-2</v>
      </c>
      <c r="H57" s="16">
        <v>6.7721999999999998</v>
      </c>
    </row>
    <row r="58" spans="1:8" ht="25.5" x14ac:dyDescent="0.2">
      <c r="A58" s="22">
        <v>5</v>
      </c>
      <c r="B58" s="23" t="s">
        <v>84</v>
      </c>
      <c r="C58" s="23" t="s">
        <v>85</v>
      </c>
      <c r="D58" s="23" t="s">
        <v>75</v>
      </c>
      <c r="E58" s="24">
        <v>500000</v>
      </c>
      <c r="F58" s="25">
        <v>513.67550000000006</v>
      </c>
      <c r="G58" s="26">
        <v>2.4633800000000001E-2</v>
      </c>
      <c r="H58" s="16">
        <v>6.9621000000000004</v>
      </c>
    </row>
    <row r="59" spans="1:8" ht="25.5" x14ac:dyDescent="0.2">
      <c r="A59" s="22">
        <v>6</v>
      </c>
      <c r="B59" s="23" t="s">
        <v>418</v>
      </c>
      <c r="C59" s="23" t="s">
        <v>419</v>
      </c>
      <c r="D59" s="23" t="s">
        <v>75</v>
      </c>
      <c r="E59" s="24">
        <v>500000</v>
      </c>
      <c r="F59" s="25">
        <v>508.84</v>
      </c>
      <c r="G59" s="26">
        <v>2.4401909999999999E-2</v>
      </c>
      <c r="H59" s="16">
        <v>7.2986000000000004</v>
      </c>
    </row>
    <row r="60" spans="1:8" x14ac:dyDescent="0.2">
      <c r="A60" s="14"/>
      <c r="B60" s="14"/>
      <c r="C60" s="15" t="s">
        <v>11</v>
      </c>
      <c r="D60" s="14"/>
      <c r="E60" s="14" t="s">
        <v>12</v>
      </c>
      <c r="F60" s="21">
        <v>6650.0325000000003</v>
      </c>
      <c r="G60" s="18">
        <v>0.31890869999999999</v>
      </c>
      <c r="H60" s="16" t="s">
        <v>12</v>
      </c>
    </row>
    <row r="61" spans="1:8" x14ac:dyDescent="0.2">
      <c r="A61" s="14"/>
      <c r="B61" s="14"/>
      <c r="C61" s="19"/>
      <c r="D61" s="14"/>
      <c r="E61" s="14"/>
      <c r="F61" s="20"/>
      <c r="G61" s="20"/>
      <c r="H61" s="16" t="s">
        <v>12</v>
      </c>
    </row>
    <row r="62" spans="1:8" x14ac:dyDescent="0.2">
      <c r="A62" s="14"/>
      <c r="B62" s="14"/>
      <c r="C62" s="15" t="s">
        <v>88</v>
      </c>
      <c r="D62" s="14"/>
      <c r="E62" s="14"/>
      <c r="F62" s="20"/>
      <c r="G62" s="20"/>
      <c r="H62" s="16" t="s">
        <v>12</v>
      </c>
    </row>
    <row r="63" spans="1:8" x14ac:dyDescent="0.2">
      <c r="A63" s="14"/>
      <c r="B63" s="14"/>
      <c r="C63" s="15" t="s">
        <v>11</v>
      </c>
      <c r="D63" s="14"/>
      <c r="E63" s="14" t="s">
        <v>12</v>
      </c>
      <c r="F63" s="17" t="s">
        <v>13</v>
      </c>
      <c r="G63" s="18">
        <v>0</v>
      </c>
      <c r="H63" s="16" t="s">
        <v>12</v>
      </c>
    </row>
    <row r="64" spans="1:8" x14ac:dyDescent="0.2">
      <c r="A64" s="14"/>
      <c r="B64" s="14"/>
      <c r="C64" s="19"/>
      <c r="D64" s="14"/>
      <c r="E64" s="14"/>
      <c r="F64" s="20"/>
      <c r="G64" s="20"/>
      <c r="H64" s="16" t="s">
        <v>12</v>
      </c>
    </row>
    <row r="65" spans="1:8" x14ac:dyDescent="0.2">
      <c r="A65" s="14"/>
      <c r="B65" s="14"/>
      <c r="C65" s="15" t="s">
        <v>89</v>
      </c>
      <c r="D65" s="14"/>
      <c r="E65" s="14"/>
      <c r="F65" s="21">
        <v>19060.798200000001</v>
      </c>
      <c r="G65" s="18">
        <v>0.91407888999999998</v>
      </c>
      <c r="H65" s="16" t="s">
        <v>12</v>
      </c>
    </row>
    <row r="66" spans="1:8" x14ac:dyDescent="0.2">
      <c r="A66" s="14"/>
      <c r="B66" s="14"/>
      <c r="C66" s="19"/>
      <c r="D66" s="14"/>
      <c r="E66" s="14"/>
      <c r="F66" s="20"/>
      <c r="G66" s="20"/>
      <c r="H66" s="16" t="s">
        <v>12</v>
      </c>
    </row>
    <row r="67" spans="1:8" x14ac:dyDescent="0.2">
      <c r="A67" s="14"/>
      <c r="B67" s="14"/>
      <c r="C67" s="15" t="s">
        <v>90</v>
      </c>
      <c r="D67" s="14"/>
      <c r="E67" s="14"/>
      <c r="F67" s="20"/>
      <c r="G67" s="20"/>
      <c r="H67" s="16" t="s">
        <v>12</v>
      </c>
    </row>
    <row r="68" spans="1:8" x14ac:dyDescent="0.2">
      <c r="A68" s="14"/>
      <c r="B68" s="14"/>
      <c r="C68" s="15" t="s">
        <v>91</v>
      </c>
      <c r="D68" s="14"/>
      <c r="E68" s="14"/>
      <c r="F68" s="20"/>
      <c r="G68" s="20"/>
      <c r="H68" s="16" t="s">
        <v>12</v>
      </c>
    </row>
    <row r="69" spans="1:8" x14ac:dyDescent="0.2">
      <c r="A69" s="14"/>
      <c r="B69" s="14"/>
      <c r="C69" s="15" t="s">
        <v>11</v>
      </c>
      <c r="D69" s="14"/>
      <c r="E69" s="14" t="s">
        <v>12</v>
      </c>
      <c r="F69" s="17" t="s">
        <v>13</v>
      </c>
      <c r="G69" s="18">
        <v>0</v>
      </c>
      <c r="H69" s="16" t="s">
        <v>12</v>
      </c>
    </row>
    <row r="70" spans="1:8" x14ac:dyDescent="0.2">
      <c r="A70" s="14"/>
      <c r="B70" s="14"/>
      <c r="C70" s="19"/>
      <c r="D70" s="14"/>
      <c r="E70" s="14"/>
      <c r="F70" s="20"/>
      <c r="G70" s="20"/>
      <c r="H70" s="16" t="s">
        <v>12</v>
      </c>
    </row>
    <row r="71" spans="1:8" x14ac:dyDescent="0.2">
      <c r="A71" s="14"/>
      <c r="B71" s="14"/>
      <c r="C71" s="15" t="s">
        <v>92</v>
      </c>
      <c r="D71" s="14"/>
      <c r="E71" s="14"/>
      <c r="F71" s="20"/>
      <c r="G71" s="20"/>
      <c r="H71" s="16" t="s">
        <v>12</v>
      </c>
    </row>
    <row r="72" spans="1:8" x14ac:dyDescent="0.2">
      <c r="A72" s="14"/>
      <c r="B72" s="14"/>
      <c r="C72" s="15" t="s">
        <v>11</v>
      </c>
      <c r="D72" s="14"/>
      <c r="E72" s="14" t="s">
        <v>12</v>
      </c>
      <c r="F72" s="17" t="s">
        <v>13</v>
      </c>
      <c r="G72" s="18">
        <v>0</v>
      </c>
      <c r="H72" s="16" t="s">
        <v>12</v>
      </c>
    </row>
    <row r="73" spans="1:8" x14ac:dyDescent="0.2">
      <c r="A73" s="14"/>
      <c r="B73" s="14"/>
      <c r="C73" s="19"/>
      <c r="D73" s="14"/>
      <c r="E73" s="14"/>
      <c r="F73" s="20"/>
      <c r="G73" s="20"/>
      <c r="H73" s="16" t="s">
        <v>12</v>
      </c>
    </row>
    <row r="74" spans="1:8" x14ac:dyDescent="0.2">
      <c r="A74" s="14"/>
      <c r="B74" s="14"/>
      <c r="C74" s="15" t="s">
        <v>93</v>
      </c>
      <c r="D74" s="14"/>
      <c r="E74" s="14"/>
      <c r="F74" s="20"/>
      <c r="G74" s="20"/>
      <c r="H74" s="16" t="s">
        <v>12</v>
      </c>
    </row>
    <row r="75" spans="1:8" x14ac:dyDescent="0.2">
      <c r="A75" s="14"/>
      <c r="B75" s="14"/>
      <c r="C75" s="15" t="s">
        <v>11</v>
      </c>
      <c r="D75" s="14"/>
      <c r="E75" s="14" t="s">
        <v>12</v>
      </c>
      <c r="F75" s="17" t="s">
        <v>13</v>
      </c>
      <c r="G75" s="18">
        <v>0</v>
      </c>
      <c r="H75" s="16" t="s">
        <v>12</v>
      </c>
    </row>
    <row r="76" spans="1:8" x14ac:dyDescent="0.2">
      <c r="A76" s="14"/>
      <c r="B76" s="14"/>
      <c r="C76" s="19"/>
      <c r="D76" s="14"/>
      <c r="E76" s="14"/>
      <c r="F76" s="20"/>
      <c r="G76" s="20"/>
      <c r="H76" s="16" t="s">
        <v>12</v>
      </c>
    </row>
    <row r="77" spans="1:8" x14ac:dyDescent="0.2">
      <c r="A77" s="14"/>
      <c r="B77" s="14"/>
      <c r="C77" s="15" t="s">
        <v>94</v>
      </c>
      <c r="D77" s="14"/>
      <c r="E77" s="14"/>
      <c r="F77" s="20"/>
      <c r="G77" s="20"/>
      <c r="H77" s="16" t="s">
        <v>12</v>
      </c>
    </row>
    <row r="78" spans="1:8" x14ac:dyDescent="0.2">
      <c r="A78" s="22">
        <v>1</v>
      </c>
      <c r="B78" s="23"/>
      <c r="C78" s="23" t="s">
        <v>95</v>
      </c>
      <c r="D78" s="23"/>
      <c r="E78" s="27"/>
      <c r="F78" s="25">
        <v>1052.7246289970001</v>
      </c>
      <c r="G78" s="26">
        <v>5.0484420000000002E-2</v>
      </c>
      <c r="H78" s="16">
        <v>6.24</v>
      </c>
    </row>
    <row r="79" spans="1:8" x14ac:dyDescent="0.2">
      <c r="A79" s="14"/>
      <c r="B79" s="14"/>
      <c r="C79" s="15" t="s">
        <v>11</v>
      </c>
      <c r="D79" s="14"/>
      <c r="E79" s="14" t="s">
        <v>12</v>
      </c>
      <c r="F79" s="21">
        <v>1052.7246289970001</v>
      </c>
      <c r="G79" s="18">
        <v>5.0484420000000002E-2</v>
      </c>
      <c r="H79" s="16" t="s">
        <v>12</v>
      </c>
    </row>
    <row r="80" spans="1:8" x14ac:dyDescent="0.2">
      <c r="A80" s="14"/>
      <c r="B80" s="14"/>
      <c r="C80" s="19"/>
      <c r="D80" s="14"/>
      <c r="E80" s="14"/>
      <c r="F80" s="20"/>
      <c r="G80" s="20"/>
      <c r="H80" s="16" t="s">
        <v>12</v>
      </c>
    </row>
    <row r="81" spans="1:17" x14ac:dyDescent="0.2">
      <c r="A81" s="14"/>
      <c r="B81" s="14"/>
      <c r="C81" s="15" t="s">
        <v>96</v>
      </c>
      <c r="D81" s="14"/>
      <c r="E81" s="14"/>
      <c r="F81" s="21">
        <v>1052.7246289970001</v>
      </c>
      <c r="G81" s="18">
        <v>5.0484420000000002E-2</v>
      </c>
      <c r="H81" s="16" t="s">
        <v>12</v>
      </c>
    </row>
    <row r="82" spans="1:17" x14ac:dyDescent="0.2">
      <c r="A82" s="14"/>
      <c r="B82" s="14"/>
      <c r="C82" s="20"/>
      <c r="D82" s="14"/>
      <c r="E82" s="14"/>
      <c r="F82" s="14"/>
      <c r="G82" s="14"/>
      <c r="H82" s="16" t="s">
        <v>12</v>
      </c>
    </row>
    <row r="83" spans="1:17" x14ac:dyDescent="0.2">
      <c r="A83" s="14"/>
      <c r="B83" s="14"/>
      <c r="C83" s="15" t="s">
        <v>97</v>
      </c>
      <c r="D83" s="14"/>
      <c r="E83" s="14"/>
      <c r="F83" s="14"/>
      <c r="G83" s="14"/>
      <c r="H83" s="16" t="s">
        <v>12</v>
      </c>
    </row>
    <row r="84" spans="1:17" x14ac:dyDescent="0.2">
      <c r="A84" s="14"/>
      <c r="B84" s="14"/>
      <c r="C84" s="15" t="s">
        <v>98</v>
      </c>
      <c r="D84" s="14"/>
      <c r="E84" s="14"/>
      <c r="F84" s="14"/>
      <c r="G84" s="14"/>
      <c r="H84" s="16" t="s">
        <v>12</v>
      </c>
    </row>
    <row r="85" spans="1:17" x14ac:dyDescent="0.2">
      <c r="A85" s="14"/>
      <c r="B85" s="14"/>
      <c r="C85" s="15" t="s">
        <v>11</v>
      </c>
      <c r="D85" s="14"/>
      <c r="E85" s="14" t="s">
        <v>12</v>
      </c>
      <c r="F85" s="17" t="s">
        <v>13</v>
      </c>
      <c r="G85" s="18">
        <v>0</v>
      </c>
      <c r="H85" s="16" t="s">
        <v>12</v>
      </c>
    </row>
    <row r="86" spans="1:17" x14ac:dyDescent="0.2">
      <c r="A86" s="28"/>
      <c r="B86" s="28"/>
      <c r="C86" s="29"/>
      <c r="D86" s="28"/>
      <c r="E86" s="28"/>
      <c r="F86" s="30"/>
      <c r="G86" s="30"/>
      <c r="H86" s="16" t="s">
        <v>12</v>
      </c>
    </row>
    <row r="87" spans="1:17" ht="25.5" x14ac:dyDescent="0.2">
      <c r="A87" s="28"/>
      <c r="B87" s="28"/>
      <c r="C87" s="32" t="s">
        <v>541</v>
      </c>
      <c r="D87" s="28"/>
      <c r="E87" s="28"/>
      <c r="F87" s="30"/>
      <c r="G87" s="30"/>
      <c r="H87" s="16" t="s">
        <v>12</v>
      </c>
      <c r="K87" s="34"/>
      <c r="L87" s="34"/>
      <c r="M87" s="34"/>
      <c r="N87" s="34"/>
      <c r="O87" s="35"/>
      <c r="P87" s="35"/>
      <c r="Q87" s="35"/>
    </row>
    <row r="88" spans="1:17" ht="25.5" x14ac:dyDescent="0.2">
      <c r="A88" s="36">
        <v>1</v>
      </c>
      <c r="B88" s="37" t="s">
        <v>99</v>
      </c>
      <c r="C88" s="37" t="s">
        <v>100</v>
      </c>
      <c r="D88" s="37"/>
      <c r="E88" s="38">
        <v>543.85400000000004</v>
      </c>
      <c r="F88" s="33">
        <v>59.799444815999998</v>
      </c>
      <c r="G88" s="39">
        <v>2.8677400000000001E-3</v>
      </c>
      <c r="H88" s="16">
        <v>0</v>
      </c>
    </row>
    <row r="89" spans="1:17" x14ac:dyDescent="0.2">
      <c r="A89" s="28"/>
      <c r="B89" s="28"/>
      <c r="C89" s="32" t="s">
        <v>11</v>
      </c>
      <c r="D89" s="28"/>
      <c r="E89" s="28" t="s">
        <v>12</v>
      </c>
      <c r="F89" s="40">
        <f>SUM(F88)</f>
        <v>59.799444815999998</v>
      </c>
      <c r="G89" s="41">
        <f>SUM(G88)</f>
        <v>2.8677400000000001E-3</v>
      </c>
      <c r="H89" s="16" t="s">
        <v>12</v>
      </c>
    </row>
    <row r="90" spans="1:17" x14ac:dyDescent="0.2">
      <c r="A90" s="14"/>
      <c r="B90" s="14"/>
      <c r="C90" s="19"/>
      <c r="D90" s="14"/>
      <c r="E90" s="14"/>
      <c r="F90" s="20"/>
      <c r="G90" s="20"/>
      <c r="H90" s="16" t="s">
        <v>12</v>
      </c>
    </row>
    <row r="91" spans="1:17" x14ac:dyDescent="0.2">
      <c r="A91" s="14"/>
      <c r="B91" s="14"/>
      <c r="C91" s="15" t="s">
        <v>101</v>
      </c>
      <c r="D91" s="14"/>
      <c r="E91" s="14"/>
      <c r="F91" s="14"/>
      <c r="G91" s="14"/>
      <c r="H91" s="16" t="s">
        <v>12</v>
      </c>
    </row>
    <row r="92" spans="1:17" x14ac:dyDescent="0.2">
      <c r="A92" s="14"/>
      <c r="B92" s="14"/>
      <c r="C92" s="15" t="s">
        <v>102</v>
      </c>
      <c r="D92" s="14"/>
      <c r="E92" s="14"/>
      <c r="F92" s="14"/>
      <c r="G92" s="14"/>
      <c r="H92" s="16" t="s">
        <v>12</v>
      </c>
    </row>
    <row r="93" spans="1:17" x14ac:dyDescent="0.2">
      <c r="A93" s="14"/>
      <c r="B93" s="14"/>
      <c r="C93" s="15" t="s">
        <v>11</v>
      </c>
      <c r="D93" s="14"/>
      <c r="E93" s="14" t="s">
        <v>12</v>
      </c>
      <c r="F93" s="17" t="s">
        <v>13</v>
      </c>
      <c r="G93" s="18">
        <v>0</v>
      </c>
      <c r="H93" s="16" t="s">
        <v>12</v>
      </c>
    </row>
    <row r="94" spans="1:17" x14ac:dyDescent="0.2">
      <c r="A94" s="14"/>
      <c r="B94" s="14"/>
      <c r="C94" s="19"/>
      <c r="D94" s="14"/>
      <c r="E94" s="14"/>
      <c r="F94" s="20"/>
      <c r="G94" s="20"/>
      <c r="H94" s="16" t="s">
        <v>12</v>
      </c>
    </row>
    <row r="95" spans="1:17" ht="25.5" x14ac:dyDescent="0.2">
      <c r="A95" s="14"/>
      <c r="B95" s="14"/>
      <c r="C95" s="15" t="s">
        <v>103</v>
      </c>
      <c r="D95" s="14"/>
      <c r="E95" s="14"/>
      <c r="F95" s="20"/>
      <c r="G95" s="20"/>
      <c r="H95" s="16" t="s">
        <v>12</v>
      </c>
    </row>
    <row r="96" spans="1:17" x14ac:dyDescent="0.2">
      <c r="A96" s="14"/>
      <c r="B96" s="14"/>
      <c r="C96" s="15" t="s">
        <v>11</v>
      </c>
      <c r="D96" s="14"/>
      <c r="E96" s="14" t="s">
        <v>12</v>
      </c>
      <c r="F96" s="17" t="s">
        <v>13</v>
      </c>
      <c r="G96" s="18">
        <v>0</v>
      </c>
      <c r="H96" s="16" t="s">
        <v>12</v>
      </c>
    </row>
    <row r="97" spans="1:8" x14ac:dyDescent="0.2">
      <c r="A97" s="14"/>
      <c r="B97" s="14"/>
      <c r="C97" s="19"/>
      <c r="D97" s="14"/>
      <c r="E97" s="14"/>
      <c r="F97" s="20"/>
      <c r="G97" s="20"/>
      <c r="H97" s="16" t="s">
        <v>12</v>
      </c>
    </row>
    <row r="98" spans="1:8" x14ac:dyDescent="0.2">
      <c r="A98" s="27"/>
      <c r="B98" s="23"/>
      <c r="C98" s="23" t="s">
        <v>104</v>
      </c>
      <c r="D98" s="23"/>
      <c r="E98" s="27"/>
      <c r="F98" s="25">
        <f>679.14277187+0.0000500270056724548</f>
        <v>679.14282189700577</v>
      </c>
      <c r="G98" s="26">
        <v>3.2568939999999998E-2</v>
      </c>
      <c r="H98" s="16" t="s">
        <v>12</v>
      </c>
    </row>
    <row r="99" spans="1:8" x14ac:dyDescent="0.2">
      <c r="A99" s="19"/>
      <c r="B99" s="19"/>
      <c r="C99" s="15" t="s">
        <v>105</v>
      </c>
      <c r="D99" s="20"/>
      <c r="E99" s="20"/>
      <c r="F99" s="21">
        <f>20852.465045683+0.0000500270056724548</f>
        <v>20852.465095710006</v>
      </c>
      <c r="G99" s="42">
        <v>0.99999998999999995</v>
      </c>
      <c r="H99" s="16" t="s">
        <v>12</v>
      </c>
    </row>
    <row r="100" spans="1:8" x14ac:dyDescent="0.2">
      <c r="A100" s="43"/>
      <c r="B100" s="43"/>
      <c r="C100" s="43"/>
      <c r="D100" s="44"/>
      <c r="E100" s="44"/>
      <c r="F100" s="44"/>
      <c r="G100" s="44"/>
    </row>
    <row r="101" spans="1:8" x14ac:dyDescent="0.2">
      <c r="A101" s="45"/>
      <c r="B101" s="164" t="s">
        <v>542</v>
      </c>
      <c r="C101" s="164"/>
      <c r="D101" s="164"/>
      <c r="E101" s="164"/>
      <c r="F101" s="164"/>
      <c r="G101" s="164"/>
      <c r="H101" s="164"/>
    </row>
    <row r="102" spans="1:8" x14ac:dyDescent="0.2">
      <c r="A102" s="45"/>
      <c r="B102" s="164" t="s">
        <v>543</v>
      </c>
      <c r="C102" s="164"/>
      <c r="D102" s="164"/>
      <c r="E102" s="164"/>
      <c r="F102" s="164"/>
      <c r="G102" s="164"/>
      <c r="H102" s="164"/>
    </row>
    <row r="103" spans="1:8" x14ac:dyDescent="0.2">
      <c r="A103" s="45"/>
      <c r="B103" s="164" t="s">
        <v>544</v>
      </c>
      <c r="C103" s="164"/>
      <c r="D103" s="164"/>
      <c r="E103" s="164"/>
      <c r="F103" s="164"/>
      <c r="G103" s="164"/>
      <c r="H103" s="164"/>
    </row>
    <row r="104" spans="1:8" x14ac:dyDescent="0.2">
      <c r="A104" s="47"/>
      <c r="B104" s="47"/>
      <c r="C104" s="47"/>
      <c r="D104" s="48"/>
      <c r="E104" s="48"/>
      <c r="F104" s="48"/>
      <c r="G104" s="48"/>
    </row>
    <row r="105" spans="1:8" x14ac:dyDescent="0.2">
      <c r="A105" s="47"/>
      <c r="B105" s="157" t="s">
        <v>106</v>
      </c>
      <c r="C105" s="158"/>
      <c r="D105" s="159"/>
      <c r="E105" s="49"/>
      <c r="F105" s="48"/>
      <c r="G105" s="48"/>
    </row>
    <row r="106" spans="1:8" ht="25.5" x14ac:dyDescent="0.2">
      <c r="A106" s="47"/>
      <c r="B106" s="160" t="s">
        <v>107</v>
      </c>
      <c r="C106" s="161"/>
      <c r="D106" s="15" t="s">
        <v>565</v>
      </c>
      <c r="E106" s="49"/>
      <c r="F106" s="48"/>
      <c r="G106" s="48"/>
    </row>
    <row r="107" spans="1:8" x14ac:dyDescent="0.2">
      <c r="A107" s="47"/>
      <c r="B107" s="160" t="s">
        <v>109</v>
      </c>
      <c r="C107" s="161"/>
      <c r="D107" s="15" t="s">
        <v>108</v>
      </c>
      <c r="E107" s="49"/>
      <c r="F107" s="48"/>
      <c r="G107" s="48"/>
    </row>
    <row r="108" spans="1:8" x14ac:dyDescent="0.2">
      <c r="A108" s="47"/>
      <c r="B108" s="160" t="s">
        <v>110</v>
      </c>
      <c r="C108" s="161"/>
      <c r="D108" s="20" t="s">
        <v>12</v>
      </c>
      <c r="E108" s="49"/>
      <c r="F108" s="48"/>
      <c r="G108" s="48"/>
    </row>
    <row r="109" spans="1:8" x14ac:dyDescent="0.2">
      <c r="A109" s="50"/>
      <c r="B109" s="51" t="s">
        <v>12</v>
      </c>
      <c r="C109" s="51" t="s">
        <v>545</v>
      </c>
      <c r="D109" s="51" t="s">
        <v>111</v>
      </c>
      <c r="E109" s="50"/>
      <c r="F109" s="50"/>
      <c r="G109" s="50"/>
    </row>
    <row r="110" spans="1:8" x14ac:dyDescent="0.2">
      <c r="A110" s="50"/>
      <c r="B110" s="52" t="s">
        <v>112</v>
      </c>
      <c r="C110" s="53">
        <v>45716</v>
      </c>
      <c r="D110" s="53">
        <v>45731</v>
      </c>
      <c r="E110" s="50"/>
      <c r="F110" s="50"/>
      <c r="G110" s="50"/>
    </row>
    <row r="111" spans="1:8" x14ac:dyDescent="0.2">
      <c r="A111" s="54"/>
      <c r="B111" s="23" t="s">
        <v>113</v>
      </c>
      <c r="C111" s="55">
        <v>46.302100000000003</v>
      </c>
      <c r="D111" s="55">
        <v>46.441699999999997</v>
      </c>
      <c r="E111" s="54"/>
      <c r="F111" s="56"/>
      <c r="G111" s="57"/>
    </row>
    <row r="112" spans="1:8" ht="25.5" x14ac:dyDescent="0.2">
      <c r="A112" s="54"/>
      <c r="B112" s="23" t="s">
        <v>651</v>
      </c>
      <c r="C112" s="55">
        <v>12.9057</v>
      </c>
      <c r="D112" s="55">
        <v>12.944599999999999</v>
      </c>
      <c r="E112" s="54"/>
      <c r="F112" s="56"/>
      <c r="G112" s="57"/>
    </row>
    <row r="113" spans="1:17" ht="25.5" x14ac:dyDescent="0.2">
      <c r="A113" s="54"/>
      <c r="B113" s="23" t="s">
        <v>652</v>
      </c>
      <c r="C113" s="55">
        <v>14.8909</v>
      </c>
      <c r="D113" s="55">
        <v>14.8607</v>
      </c>
      <c r="E113" s="54"/>
      <c r="F113" s="56"/>
      <c r="G113" s="57"/>
    </row>
    <row r="114" spans="1:17" ht="25.5" x14ac:dyDescent="0.2">
      <c r="A114" s="54"/>
      <c r="B114" s="23" t="s">
        <v>653</v>
      </c>
      <c r="C114" s="55">
        <v>14.793200000000001</v>
      </c>
      <c r="D114" s="55">
        <v>14.8378</v>
      </c>
      <c r="E114" s="54"/>
      <c r="F114" s="56"/>
      <c r="G114" s="57"/>
    </row>
    <row r="115" spans="1:17" ht="25.5" x14ac:dyDescent="0.2">
      <c r="A115" s="54"/>
      <c r="B115" s="23" t="s">
        <v>654</v>
      </c>
      <c r="C115" s="55">
        <v>14.7951</v>
      </c>
      <c r="D115" s="55">
        <v>14.8398</v>
      </c>
      <c r="E115" s="54"/>
      <c r="F115" s="56"/>
      <c r="G115" s="57"/>
    </row>
    <row r="116" spans="1:17" x14ac:dyDescent="0.2">
      <c r="A116" s="54"/>
      <c r="B116" s="23" t="s">
        <v>114</v>
      </c>
      <c r="C116" s="55">
        <v>42.876800000000003</v>
      </c>
      <c r="D116" s="55">
        <v>42.991399999999999</v>
      </c>
      <c r="E116" s="54"/>
      <c r="F116" s="56"/>
      <c r="G116" s="57"/>
    </row>
    <row r="117" spans="1:17" x14ac:dyDescent="0.2">
      <c r="A117" s="54"/>
      <c r="B117" s="23" t="s">
        <v>145</v>
      </c>
      <c r="C117" s="55">
        <v>15.488200000000001</v>
      </c>
      <c r="D117" s="55">
        <v>15.5296</v>
      </c>
      <c r="E117" s="54"/>
      <c r="F117" s="56"/>
      <c r="G117" s="57"/>
    </row>
    <row r="118" spans="1:17" ht="25.5" x14ac:dyDescent="0.2">
      <c r="A118" s="54"/>
      <c r="B118" s="23" t="s">
        <v>655</v>
      </c>
      <c r="C118" s="55">
        <v>12.867699999999999</v>
      </c>
      <c r="D118" s="55">
        <v>12.902100000000001</v>
      </c>
      <c r="E118" s="54"/>
      <c r="F118" s="56"/>
      <c r="G118" s="57"/>
    </row>
    <row r="119" spans="1:17" ht="25.5" x14ac:dyDescent="0.2">
      <c r="A119" s="54"/>
      <c r="B119" s="23" t="s">
        <v>621</v>
      </c>
      <c r="C119" s="55">
        <v>14.5738</v>
      </c>
      <c r="D119" s="55">
        <v>14.537599999999999</v>
      </c>
      <c r="E119" s="54"/>
      <c r="F119" s="56"/>
      <c r="G119" s="57"/>
    </row>
    <row r="120" spans="1:17" ht="25.5" x14ac:dyDescent="0.2">
      <c r="A120" s="54"/>
      <c r="B120" s="23" t="s">
        <v>656</v>
      </c>
      <c r="C120" s="55">
        <v>14.476599999999999</v>
      </c>
      <c r="D120" s="55">
        <v>14.5153</v>
      </c>
      <c r="E120" s="54"/>
      <c r="F120" s="56"/>
      <c r="G120" s="57"/>
    </row>
    <row r="121" spans="1:17" ht="25.5" x14ac:dyDescent="0.2">
      <c r="A121" s="54"/>
      <c r="B121" s="23" t="s">
        <v>657</v>
      </c>
      <c r="C121" s="55">
        <v>14.476699999999999</v>
      </c>
      <c r="D121" s="55">
        <v>14.5154</v>
      </c>
      <c r="E121" s="54"/>
      <c r="F121" s="56"/>
      <c r="G121" s="57"/>
    </row>
    <row r="122" spans="1:17" x14ac:dyDescent="0.2">
      <c r="A122" s="54"/>
      <c r="B122" s="54"/>
      <c r="C122" s="54"/>
      <c r="D122" s="54"/>
      <c r="E122" s="54"/>
      <c r="F122" s="54"/>
      <c r="G122" s="54"/>
    </row>
    <row r="123" spans="1:17" x14ac:dyDescent="0.2">
      <c r="A123" s="54"/>
      <c r="B123" s="160" t="s">
        <v>622</v>
      </c>
      <c r="C123" s="161"/>
      <c r="D123" s="15" t="s">
        <v>12</v>
      </c>
      <c r="E123" s="54"/>
      <c r="F123" s="54"/>
      <c r="G123" s="54"/>
    </row>
    <row r="124" spans="1:17" x14ac:dyDescent="0.2">
      <c r="A124" s="54"/>
      <c r="B124" s="58" t="s">
        <v>112</v>
      </c>
      <c r="C124" s="59" t="s">
        <v>115</v>
      </c>
      <c r="D124" s="59" t="s">
        <v>116</v>
      </c>
      <c r="E124" s="54"/>
      <c r="F124" s="54"/>
      <c r="G124" s="54"/>
    </row>
    <row r="125" spans="1:17" ht="25.5" x14ac:dyDescent="0.2">
      <c r="A125" s="54"/>
      <c r="B125" s="23" t="s">
        <v>652</v>
      </c>
      <c r="C125" s="60">
        <v>7.4999999999999997E-2</v>
      </c>
      <c r="D125" s="27" t="s">
        <v>117</v>
      </c>
      <c r="E125" s="54"/>
      <c r="F125" s="56"/>
      <c r="G125" s="57"/>
    </row>
    <row r="126" spans="1:17" ht="25.5" x14ac:dyDescent="0.2">
      <c r="A126" s="54"/>
      <c r="B126" s="23" t="s">
        <v>621</v>
      </c>
      <c r="C126" s="60">
        <v>7.4999999999999997E-2</v>
      </c>
      <c r="D126" s="27" t="s">
        <v>117</v>
      </c>
      <c r="E126" s="54"/>
      <c r="F126" s="56"/>
      <c r="G126" s="57"/>
    </row>
    <row r="127" spans="1:17" x14ac:dyDescent="0.2">
      <c r="A127" s="54"/>
      <c r="B127" s="61"/>
      <c r="C127" s="61"/>
      <c r="D127" s="62"/>
      <c r="E127" s="54"/>
      <c r="F127" s="56"/>
      <c r="G127" s="57"/>
    </row>
    <row r="128" spans="1:17" s="65" customFormat="1" x14ac:dyDescent="0.2">
      <c r="A128" s="75"/>
      <c r="B128" s="162" t="s">
        <v>558</v>
      </c>
      <c r="C128" s="163"/>
      <c r="D128" s="32" t="s">
        <v>108</v>
      </c>
      <c r="E128" s="75"/>
      <c r="F128" s="75"/>
      <c r="G128" s="75"/>
      <c r="I128"/>
      <c r="J128" s="76"/>
      <c r="K128"/>
      <c r="L128" s="34"/>
      <c r="M128" s="34"/>
      <c r="N128" s="34"/>
      <c r="O128" s="71"/>
      <c r="P128"/>
      <c r="Q128"/>
    </row>
    <row r="129" spans="1:19" x14ac:dyDescent="0.2">
      <c r="A129" s="50"/>
      <c r="B129" s="162" t="s">
        <v>559</v>
      </c>
      <c r="C129" s="163"/>
      <c r="D129" s="32" t="s">
        <v>108</v>
      </c>
      <c r="E129" s="63"/>
      <c r="F129" s="50"/>
      <c r="G129" s="50"/>
      <c r="J129" s="76"/>
    </row>
    <row r="130" spans="1:19" x14ac:dyDescent="0.2">
      <c r="A130" s="50"/>
      <c r="B130" s="162" t="s">
        <v>560</v>
      </c>
      <c r="C130" s="163"/>
      <c r="D130" s="32" t="s">
        <v>108</v>
      </c>
      <c r="E130" s="63"/>
      <c r="F130" s="50"/>
      <c r="G130" s="50"/>
      <c r="J130" s="76"/>
    </row>
    <row r="131" spans="1:19" x14ac:dyDescent="0.2">
      <c r="A131" s="50"/>
      <c r="B131" s="162" t="s">
        <v>561</v>
      </c>
      <c r="C131" s="163"/>
      <c r="D131" s="32" t="s">
        <v>108</v>
      </c>
      <c r="E131" s="63"/>
      <c r="F131" s="50"/>
      <c r="G131" s="50"/>
      <c r="J131" s="76"/>
    </row>
    <row r="132" spans="1:19" x14ac:dyDescent="0.2">
      <c r="A132" s="64"/>
      <c r="B132" s="64"/>
      <c r="C132" s="64"/>
      <c r="D132" s="64"/>
      <c r="E132" s="64"/>
      <c r="F132" s="64"/>
      <c r="G132" s="64"/>
      <c r="J132" s="76"/>
    </row>
    <row r="133" spans="1:19" s="65" customFormat="1" x14ac:dyDescent="0.2">
      <c r="B133" s="165" t="s">
        <v>547</v>
      </c>
      <c r="C133" s="166"/>
      <c r="D133" s="167"/>
      <c r="I133"/>
      <c r="J133" s="76"/>
      <c r="K133"/>
      <c r="L133" s="34"/>
      <c r="M133" s="34"/>
      <c r="N133" s="34"/>
      <c r="O133" s="71"/>
      <c r="R133"/>
      <c r="S133"/>
    </row>
    <row r="134" spans="1:19" s="65" customFormat="1" ht="51" x14ac:dyDescent="0.2">
      <c r="B134" s="155" t="s">
        <v>548</v>
      </c>
      <c r="C134" s="155"/>
      <c r="D134" s="66" t="s">
        <v>405</v>
      </c>
      <c r="I134"/>
      <c r="J134" s="76"/>
      <c r="K134"/>
      <c r="L134" s="34"/>
      <c r="M134" s="34"/>
      <c r="N134" s="34"/>
      <c r="O134" s="71"/>
      <c r="R134"/>
      <c r="S134"/>
    </row>
    <row r="135" spans="1:19" s="65" customFormat="1" x14ac:dyDescent="0.2">
      <c r="B135" s="168" t="s">
        <v>549</v>
      </c>
      <c r="C135" s="168"/>
      <c r="D135" s="67"/>
      <c r="I135"/>
      <c r="J135" s="76"/>
      <c r="K135"/>
      <c r="L135" s="34"/>
      <c r="M135" s="34"/>
      <c r="N135" s="34"/>
      <c r="O135" s="71"/>
      <c r="R135"/>
      <c r="S135"/>
    </row>
    <row r="136" spans="1:19" s="65" customFormat="1" x14ac:dyDescent="0.2">
      <c r="B136" s="168"/>
      <c r="C136" s="168"/>
      <c r="D136" s="68"/>
      <c r="I136"/>
      <c r="J136" s="76"/>
      <c r="K136"/>
      <c r="L136" s="34"/>
      <c r="M136" s="34"/>
      <c r="N136" s="34"/>
      <c r="O136" s="71"/>
      <c r="R136"/>
      <c r="S136"/>
    </row>
    <row r="137" spans="1:19" s="65" customFormat="1" x14ac:dyDescent="0.2">
      <c r="B137" s="168" t="s">
        <v>550</v>
      </c>
      <c r="C137" s="168"/>
      <c r="D137" s="69">
        <v>7.4396017562277352</v>
      </c>
      <c r="I137"/>
      <c r="J137" s="76"/>
      <c r="K137"/>
      <c r="L137" s="34"/>
      <c r="M137" s="34"/>
      <c r="N137" s="34"/>
      <c r="O137" s="71"/>
    </row>
    <row r="138" spans="1:19" s="65" customFormat="1" x14ac:dyDescent="0.2">
      <c r="B138" s="168"/>
      <c r="C138" s="168"/>
      <c r="D138" s="68"/>
      <c r="I138"/>
      <c r="J138" s="76"/>
      <c r="K138"/>
      <c r="L138" s="34"/>
      <c r="M138" s="34"/>
      <c r="N138" s="34"/>
      <c r="O138" s="71"/>
    </row>
    <row r="139" spans="1:19" s="65" customFormat="1" x14ac:dyDescent="0.2">
      <c r="B139" s="168" t="s">
        <v>551</v>
      </c>
      <c r="C139" s="168"/>
      <c r="D139" s="69">
        <v>2.8996042500372217</v>
      </c>
      <c r="I139"/>
      <c r="J139" s="76"/>
      <c r="K139"/>
      <c r="L139" s="34"/>
      <c r="M139" s="34"/>
      <c r="N139" s="34"/>
      <c r="O139" s="71"/>
    </row>
    <row r="140" spans="1:19" s="65" customFormat="1" x14ac:dyDescent="0.2">
      <c r="B140" s="168" t="s">
        <v>566</v>
      </c>
      <c r="C140" s="168"/>
      <c r="D140" s="69">
        <v>3.5714733758991279</v>
      </c>
      <c r="I140"/>
      <c r="J140" s="76"/>
      <c r="K140"/>
      <c r="L140" s="34"/>
      <c r="M140" s="34"/>
      <c r="N140" s="34"/>
      <c r="O140" s="71"/>
    </row>
    <row r="141" spans="1:19" s="65" customFormat="1" x14ac:dyDescent="0.2">
      <c r="B141" s="168"/>
      <c r="C141" s="168"/>
      <c r="D141" s="68"/>
      <c r="I141"/>
      <c r="J141" s="76"/>
      <c r="K141"/>
      <c r="L141" s="34"/>
      <c r="M141" s="34"/>
      <c r="N141" s="34"/>
      <c r="O141" s="71"/>
    </row>
    <row r="142" spans="1:19" s="65" customFormat="1" x14ac:dyDescent="0.2">
      <c r="B142" s="168" t="s">
        <v>553</v>
      </c>
      <c r="C142" s="168"/>
      <c r="D142" s="70" t="s">
        <v>645</v>
      </c>
      <c r="I142"/>
      <c r="J142" s="76"/>
      <c r="K142" s="34"/>
      <c r="L142" s="34"/>
      <c r="M142" s="34"/>
      <c r="N142" s="34"/>
      <c r="O142" s="71"/>
    </row>
    <row r="143" spans="1:19" s="65" customFormat="1" x14ac:dyDescent="0.2">
      <c r="B143" s="169" t="s">
        <v>554</v>
      </c>
      <c r="C143" s="171"/>
      <c r="D143" s="170"/>
      <c r="I143"/>
      <c r="J143" s="76"/>
      <c r="K143"/>
      <c r="L143" s="34"/>
      <c r="M143" s="34"/>
      <c r="N143" s="34"/>
      <c r="O143" s="71"/>
    </row>
    <row r="144" spans="1:19" x14ac:dyDescent="0.2">
      <c r="J144" s="76"/>
    </row>
    <row r="145" spans="2:15" ht="13.5" x14ac:dyDescent="0.2">
      <c r="B145" s="199" t="s">
        <v>646</v>
      </c>
      <c r="C145" s="199"/>
      <c r="D145" s="199"/>
      <c r="E145" s="199"/>
      <c r="F145" s="199"/>
      <c r="G145" s="199"/>
      <c r="H145" s="199"/>
    </row>
    <row r="146" spans="2:15" ht="13.5" x14ac:dyDescent="0.2">
      <c r="B146" s="98"/>
      <c r="C146" s="98"/>
      <c r="D146" s="98"/>
      <c r="E146" s="98"/>
      <c r="F146" s="98"/>
      <c r="G146" s="98"/>
      <c r="H146" s="98"/>
      <c r="J146" s="34"/>
      <c r="K146" s="34"/>
      <c r="L146" s="34"/>
      <c r="M146" s="34"/>
      <c r="N146" s="34"/>
      <c r="O146" s="34"/>
    </row>
    <row r="147" spans="2:15" ht="13.5" x14ac:dyDescent="0.25">
      <c r="B147" s="81" t="s">
        <v>571</v>
      </c>
      <c r="C147" s="81" t="s">
        <v>572</v>
      </c>
      <c r="D147" s="200" t="s">
        <v>567</v>
      </c>
      <c r="E147" s="201"/>
      <c r="F147" s="202"/>
      <c r="G147" s="203" t="s">
        <v>568</v>
      </c>
      <c r="H147" s="204"/>
      <c r="J147" s="34"/>
      <c r="K147" s="34"/>
      <c r="L147" s="34"/>
      <c r="M147" s="34"/>
      <c r="N147" s="34"/>
      <c r="O147" s="34"/>
    </row>
    <row r="148" spans="2:15" ht="27" x14ac:dyDescent="0.25">
      <c r="B148" s="82" t="s">
        <v>577</v>
      </c>
      <c r="C148" s="83" t="s">
        <v>593</v>
      </c>
      <c r="D148" s="205">
        <v>0</v>
      </c>
      <c r="E148" s="206"/>
      <c r="F148" s="207"/>
      <c r="G148" s="205">
        <v>0</v>
      </c>
      <c r="H148" s="207"/>
      <c r="J148" s="34"/>
      <c r="K148" s="34"/>
      <c r="L148" s="34"/>
      <c r="M148" s="34"/>
      <c r="N148" s="34"/>
      <c r="O148" s="34"/>
    </row>
    <row r="149" spans="2:15" ht="27" x14ac:dyDescent="0.25">
      <c r="B149" s="82" t="s">
        <v>573</v>
      </c>
      <c r="C149" s="83" t="s">
        <v>594</v>
      </c>
      <c r="D149" s="205">
        <v>0</v>
      </c>
      <c r="E149" s="206"/>
      <c r="F149" s="207"/>
      <c r="G149" s="205">
        <v>0</v>
      </c>
      <c r="H149" s="207"/>
      <c r="J149" s="34"/>
      <c r="K149" s="34"/>
      <c r="L149" s="34"/>
      <c r="M149" s="34"/>
      <c r="N149" s="34"/>
      <c r="O149" s="34"/>
    </row>
    <row r="150" spans="2:15" ht="27" x14ac:dyDescent="0.25">
      <c r="B150" s="82" t="s">
        <v>595</v>
      </c>
      <c r="C150" s="83" t="s">
        <v>596</v>
      </c>
      <c r="D150" s="205">
        <v>0</v>
      </c>
      <c r="E150" s="206"/>
      <c r="F150" s="207"/>
      <c r="G150" s="205">
        <v>0</v>
      </c>
      <c r="H150" s="207"/>
      <c r="J150" s="34"/>
      <c r="K150" s="34"/>
      <c r="L150" s="34"/>
      <c r="M150" s="34"/>
      <c r="N150" s="34"/>
      <c r="O150" s="34"/>
    </row>
    <row r="151" spans="2:15" ht="27" x14ac:dyDescent="0.25">
      <c r="B151" s="82" t="s">
        <v>575</v>
      </c>
      <c r="C151" s="83" t="s">
        <v>597</v>
      </c>
      <c r="D151" s="186">
        <v>0</v>
      </c>
      <c r="E151" s="186"/>
      <c r="F151" s="186"/>
      <c r="G151" s="186">
        <v>0</v>
      </c>
      <c r="H151" s="186"/>
      <c r="J151" s="34"/>
      <c r="K151" s="34"/>
      <c r="L151" s="34"/>
      <c r="M151" s="34"/>
      <c r="N151" s="34"/>
      <c r="O151" s="34"/>
    </row>
    <row r="152" spans="2:15" ht="13.5" x14ac:dyDescent="0.25">
      <c r="B152" s="89"/>
      <c r="C152" s="89"/>
      <c r="D152" s="208"/>
      <c r="E152" s="208"/>
      <c r="F152" s="208"/>
      <c r="G152" s="208"/>
      <c r="H152" s="208"/>
      <c r="J152" s="34"/>
      <c r="K152" s="34"/>
      <c r="L152" s="34"/>
      <c r="M152" s="34"/>
      <c r="N152" s="34"/>
      <c r="O152" s="34"/>
    </row>
    <row r="153" spans="2:15" ht="13.5" x14ac:dyDescent="0.25">
      <c r="B153" s="209" t="s">
        <v>579</v>
      </c>
      <c r="C153" s="209"/>
      <c r="D153" s="209"/>
      <c r="E153" s="209"/>
      <c r="F153" s="209"/>
      <c r="G153" s="209"/>
      <c r="H153" s="209"/>
      <c r="J153" s="34"/>
      <c r="K153" s="34"/>
      <c r="L153" s="34"/>
      <c r="M153" s="34"/>
      <c r="N153" s="34"/>
      <c r="O153" s="34"/>
    </row>
    <row r="154" spans="2:15" ht="13.5" x14ac:dyDescent="0.2">
      <c r="B154" s="190" t="s">
        <v>571</v>
      </c>
      <c r="C154" s="190" t="s">
        <v>572</v>
      </c>
      <c r="D154" s="190" t="s">
        <v>580</v>
      </c>
      <c r="E154" s="190"/>
      <c r="F154" s="190"/>
      <c r="G154" s="190"/>
      <c r="H154" s="191" t="s">
        <v>581</v>
      </c>
      <c r="I154" s="191" t="s">
        <v>598</v>
      </c>
      <c r="J154" s="191" t="s">
        <v>582</v>
      </c>
      <c r="K154" s="34"/>
      <c r="L154" s="34"/>
      <c r="M154" s="34"/>
      <c r="N154" s="34"/>
      <c r="O154" s="34"/>
    </row>
    <row r="155" spans="2:15" ht="121.5" x14ac:dyDescent="0.2">
      <c r="B155" s="190"/>
      <c r="C155" s="190"/>
      <c r="D155" s="85" t="s">
        <v>583</v>
      </c>
      <c r="E155" s="85" t="s">
        <v>584</v>
      </c>
      <c r="F155" s="85" t="s">
        <v>585</v>
      </c>
      <c r="G155" s="85" t="s">
        <v>599</v>
      </c>
      <c r="H155" s="191"/>
      <c r="I155" s="191"/>
      <c r="J155" s="191"/>
      <c r="K155" s="34"/>
      <c r="L155" s="34"/>
      <c r="M155" s="34"/>
      <c r="N155" s="34"/>
      <c r="O155" s="34"/>
    </row>
    <row r="156" spans="2:15" ht="27" x14ac:dyDescent="0.25">
      <c r="B156" s="82" t="s">
        <v>577</v>
      </c>
      <c r="C156" s="83" t="s">
        <v>593</v>
      </c>
      <c r="D156" s="86">
        <v>3000</v>
      </c>
      <c r="E156" s="86">
        <v>198.60410960000002</v>
      </c>
      <c r="F156" s="87">
        <v>72.152053199999997</v>
      </c>
      <c r="G156" s="88">
        <v>3270.7561627999999</v>
      </c>
      <c r="H156" s="7">
        <v>1452.6372699999999</v>
      </c>
      <c r="I156" s="7">
        <f>2499839/10^5</f>
        <v>24.998390000000001</v>
      </c>
      <c r="J156" s="7">
        <f>H156+I156</f>
        <v>1477.6356599999999</v>
      </c>
      <c r="K156" s="34"/>
      <c r="L156" s="34"/>
      <c r="M156" s="34"/>
      <c r="N156" s="34"/>
      <c r="O156" s="34"/>
    </row>
    <row r="157" spans="2:15" ht="27" x14ac:dyDescent="0.25">
      <c r="B157" s="82" t="s">
        <v>573</v>
      </c>
      <c r="C157" s="83" t="s">
        <v>594</v>
      </c>
      <c r="D157" s="86">
        <v>500</v>
      </c>
      <c r="E157" s="86">
        <v>33.283561599999999</v>
      </c>
      <c r="F157" s="87">
        <v>12.091777499999999</v>
      </c>
      <c r="G157" s="88">
        <f>D157+E157+F157</f>
        <v>545.37533910000002</v>
      </c>
      <c r="H157" s="7">
        <v>242.22076999999999</v>
      </c>
      <c r="I157" s="7">
        <f>416840/10^5</f>
        <v>4.1684000000000001</v>
      </c>
      <c r="J157" s="7">
        <f>H157+I157</f>
        <v>246.38916999999998</v>
      </c>
      <c r="K157" s="34"/>
      <c r="L157" s="34"/>
      <c r="M157" s="34"/>
      <c r="N157" s="34"/>
      <c r="O157" s="34"/>
    </row>
    <row r="158" spans="2:15" ht="27" x14ac:dyDescent="0.25">
      <c r="B158" s="82" t="s">
        <v>595</v>
      </c>
      <c r="C158" s="83" t="s">
        <v>600</v>
      </c>
      <c r="D158" s="86">
        <v>2000</v>
      </c>
      <c r="E158" s="86">
        <v>39.762295099999996</v>
      </c>
      <c r="F158" s="87">
        <v>64.029485721917808</v>
      </c>
      <c r="G158" s="88">
        <v>2103.7917808219199</v>
      </c>
      <c r="H158" s="7">
        <v>933.64715000000001</v>
      </c>
      <c r="I158" s="7">
        <f>1606686/10^5</f>
        <v>16.066859999999998</v>
      </c>
      <c r="J158" s="7">
        <f>H158+I158</f>
        <v>949.71401000000003</v>
      </c>
      <c r="K158" s="34"/>
      <c r="L158" s="34"/>
      <c r="M158" s="34"/>
      <c r="N158" s="34"/>
      <c r="O158" s="34"/>
    </row>
    <row r="159" spans="2:15" ht="27" x14ac:dyDescent="0.25">
      <c r="B159" s="82" t="s">
        <v>575</v>
      </c>
      <c r="C159" s="83" t="s">
        <v>597</v>
      </c>
      <c r="D159" s="86">
        <v>1882.78</v>
      </c>
      <c r="E159" s="86">
        <v>137.066384</v>
      </c>
      <c r="F159" s="87">
        <v>34.266601500000007</v>
      </c>
      <c r="G159" s="88">
        <v>2054.1129854999999</v>
      </c>
      <c r="H159" s="7">
        <v>916.65184999999997</v>
      </c>
      <c r="I159" s="7">
        <f>1577458/10^5</f>
        <v>15.77458</v>
      </c>
      <c r="J159" s="7">
        <f>H159+I159</f>
        <v>932.42642999999998</v>
      </c>
      <c r="K159" s="34"/>
      <c r="L159" s="34"/>
      <c r="M159" s="34"/>
      <c r="N159" s="34"/>
      <c r="O159" s="34"/>
    </row>
    <row r="160" spans="2:15" ht="13.5" x14ac:dyDescent="0.25">
      <c r="B160" s="89"/>
      <c r="C160" s="90"/>
      <c r="D160" s="91"/>
      <c r="E160" s="91"/>
      <c r="F160" s="10"/>
      <c r="G160" s="92"/>
      <c r="H160" s="8"/>
      <c r="J160" s="76"/>
      <c r="K160" s="34"/>
      <c r="L160" s="34"/>
      <c r="M160" s="34"/>
      <c r="N160" s="34"/>
      <c r="O160" s="34"/>
    </row>
    <row r="161" spans="2:15" ht="51" customHeight="1" x14ac:dyDescent="0.2">
      <c r="B161" s="187" t="s">
        <v>601</v>
      </c>
      <c r="C161" s="187"/>
      <c r="D161" s="187"/>
      <c r="E161" s="187"/>
      <c r="F161" s="187"/>
      <c r="G161" s="187"/>
      <c r="H161" s="187"/>
      <c r="I161" s="187"/>
      <c r="J161" s="76"/>
      <c r="K161" s="34"/>
      <c r="L161" s="34"/>
      <c r="M161" s="34"/>
      <c r="N161" s="34"/>
      <c r="O161" s="34"/>
    </row>
    <row r="162" spans="2:15" x14ac:dyDescent="0.2">
      <c r="B162" s="34"/>
      <c r="C162" s="34"/>
      <c r="D162" s="34"/>
      <c r="E162" s="34"/>
      <c r="F162" s="34"/>
      <c r="G162" s="34"/>
      <c r="H162" s="34"/>
      <c r="J162" s="76"/>
      <c r="K162" s="34"/>
      <c r="L162" s="34"/>
      <c r="M162" s="34"/>
      <c r="N162" s="34"/>
      <c r="O162" s="34"/>
    </row>
    <row r="163" spans="2:15" ht="13.5" x14ac:dyDescent="0.25">
      <c r="B163" s="96" t="s">
        <v>587</v>
      </c>
      <c r="C163" s="34"/>
      <c r="D163" s="34"/>
      <c r="E163" s="34"/>
      <c r="F163" s="34"/>
      <c r="G163" s="34"/>
      <c r="H163" s="34"/>
      <c r="J163" s="76"/>
      <c r="K163" s="34"/>
      <c r="L163" s="34"/>
      <c r="M163" s="34"/>
      <c r="N163" s="34"/>
      <c r="O163" s="34"/>
    </row>
    <row r="164" spans="2:15" x14ac:dyDescent="0.2">
      <c r="B164" s="34"/>
      <c r="C164" s="34"/>
      <c r="D164" s="34"/>
      <c r="E164" s="34"/>
      <c r="F164" s="34"/>
      <c r="G164" s="34"/>
      <c r="H164" s="34"/>
      <c r="I164" s="34"/>
      <c r="J164" s="76"/>
      <c r="K164" s="34"/>
      <c r="L164" s="34"/>
      <c r="M164" s="34"/>
      <c r="N164" s="34"/>
      <c r="O164" s="34"/>
    </row>
    <row r="165" spans="2:15" x14ac:dyDescent="0.2">
      <c r="B165" s="97" t="s">
        <v>588</v>
      </c>
      <c r="C165" s="34"/>
      <c r="D165" s="34"/>
      <c r="E165" s="34"/>
      <c r="F165" s="34"/>
      <c r="G165" s="34"/>
      <c r="H165" s="34"/>
      <c r="I165" s="34"/>
      <c r="J165" s="76"/>
      <c r="K165" s="34"/>
      <c r="L165" s="34"/>
      <c r="M165" s="34"/>
      <c r="N165" s="34"/>
      <c r="O165" s="34"/>
    </row>
    <row r="166" spans="2:15" x14ac:dyDescent="0.2">
      <c r="B166" s="34"/>
      <c r="C166" s="34"/>
      <c r="D166" s="34"/>
      <c r="E166" s="34"/>
      <c r="F166" s="34"/>
      <c r="G166" s="34"/>
      <c r="H166" s="34"/>
      <c r="I166" s="34"/>
      <c r="J166" s="76"/>
      <c r="K166" s="34"/>
      <c r="L166" s="34"/>
      <c r="M166" s="34"/>
      <c r="N166" s="34"/>
      <c r="O166" s="34"/>
    </row>
    <row r="167" spans="2:15" x14ac:dyDescent="0.2">
      <c r="B167" s="97" t="s">
        <v>589</v>
      </c>
      <c r="C167" s="34"/>
      <c r="D167" s="34"/>
      <c r="E167" s="34"/>
      <c r="F167" s="34"/>
      <c r="G167" s="34"/>
      <c r="H167" s="34"/>
      <c r="I167" s="34"/>
      <c r="J167" s="76"/>
      <c r="K167" s="34"/>
      <c r="L167" s="34"/>
      <c r="M167" s="34"/>
      <c r="N167" s="34"/>
      <c r="O167" s="34"/>
    </row>
    <row r="168" spans="2:15" x14ac:dyDescent="0.2">
      <c r="I168" s="34"/>
      <c r="J168" s="76"/>
      <c r="K168" s="34"/>
      <c r="L168" s="34"/>
      <c r="M168" s="34"/>
      <c r="N168" s="34"/>
      <c r="O168" s="34"/>
    </row>
    <row r="169" spans="2:15" x14ac:dyDescent="0.2">
      <c r="B169" s="97" t="s">
        <v>590</v>
      </c>
      <c r="J169" s="76"/>
      <c r="K169" s="34"/>
      <c r="L169" s="34"/>
      <c r="M169" s="34"/>
      <c r="N169" s="34"/>
      <c r="O169" s="34"/>
    </row>
    <row r="170" spans="2:15" x14ac:dyDescent="0.2">
      <c r="I170" s="34"/>
      <c r="J170" s="76"/>
      <c r="K170" s="34"/>
      <c r="L170" s="34"/>
      <c r="M170" s="34"/>
      <c r="N170" s="34"/>
      <c r="O170" s="34"/>
    </row>
    <row r="171" spans="2:15" ht="25.5" x14ac:dyDescent="0.2">
      <c r="B171" s="72" t="s">
        <v>555</v>
      </c>
    </row>
    <row r="173" spans="2:15" ht="153.75" customHeight="1" x14ac:dyDescent="0.2"/>
    <row r="176" spans="2:15" x14ac:dyDescent="0.2">
      <c r="B176" s="73" t="s">
        <v>556</v>
      </c>
      <c r="C176" s="74"/>
      <c r="D176" s="73"/>
    </row>
    <row r="177" spans="2:10" x14ac:dyDescent="0.2">
      <c r="B177" s="73" t="s">
        <v>602</v>
      </c>
      <c r="D177" s="73"/>
    </row>
    <row r="178" spans="2:10" ht="165" customHeight="1" x14ac:dyDescent="0.2"/>
    <row r="180" spans="2:10" x14ac:dyDescent="0.2">
      <c r="J180" s="76"/>
    </row>
  </sheetData>
  <mergeCells count="47">
    <mergeCell ref="I154:I155"/>
    <mergeCell ref="J154:J155"/>
    <mergeCell ref="B161:I161"/>
    <mergeCell ref="D152:F152"/>
    <mergeCell ref="G152:H152"/>
    <mergeCell ref="B153:H153"/>
    <mergeCell ref="B154:B155"/>
    <mergeCell ref="C154:C155"/>
    <mergeCell ref="D154:G154"/>
    <mergeCell ref="H154:H155"/>
    <mergeCell ref="D149:F149"/>
    <mergeCell ref="G149:H149"/>
    <mergeCell ref="D150:F150"/>
    <mergeCell ref="G150:H150"/>
    <mergeCell ref="D151:F151"/>
    <mergeCell ref="G151:H151"/>
    <mergeCell ref="B145:H145"/>
    <mergeCell ref="D147:F147"/>
    <mergeCell ref="G147:H147"/>
    <mergeCell ref="D148:F148"/>
    <mergeCell ref="G148:H148"/>
    <mergeCell ref="B139:C139"/>
    <mergeCell ref="B140:C140"/>
    <mergeCell ref="B141:C141"/>
    <mergeCell ref="B142:C142"/>
    <mergeCell ref="B143:D143"/>
    <mergeCell ref="B134:C134"/>
    <mergeCell ref="B135:C135"/>
    <mergeCell ref="B136:C136"/>
    <mergeCell ref="B137:C137"/>
    <mergeCell ref="B138:C138"/>
    <mergeCell ref="B128:C128"/>
    <mergeCell ref="B133:D133"/>
    <mergeCell ref="B130:C130"/>
    <mergeCell ref="B131:C131"/>
    <mergeCell ref="B107:C107"/>
    <mergeCell ref="B108:C108"/>
    <mergeCell ref="B123:C123"/>
    <mergeCell ref="B129:C129"/>
    <mergeCell ref="A1:H1"/>
    <mergeCell ref="A2:H2"/>
    <mergeCell ref="A3:H3"/>
    <mergeCell ref="B105:D105"/>
    <mergeCell ref="B106:C106"/>
    <mergeCell ref="B101:H101"/>
    <mergeCell ref="B102:H102"/>
    <mergeCell ref="B103:H103"/>
  </mergeCells>
  <hyperlinks>
    <hyperlink ref="B165" r:id="rId1" xr:uid="{B075DA69-F144-4C82-9CE1-335D63E21060}"/>
    <hyperlink ref="B167" r:id="rId2" xr:uid="{9418BEEB-4798-4D42-8183-1ADC2390E5E1}"/>
    <hyperlink ref="B169" r:id="rId3" xr:uid="{908192D7-89E7-4C4F-A53B-D094397E042A}"/>
    <hyperlink ref="I1" location="Index!B2" display="Index" xr:uid="{031FA1C2-FB21-4B91-AEDB-E40BB609A38E}"/>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65B2A-1810-45A7-9CE8-CD40A5DE5FED}">
  <sheetPr>
    <outlinePr summaryBelow="0" summaryRight="0"/>
  </sheetPr>
  <dimension ref="A1:Q217"/>
  <sheetViews>
    <sheetView showGridLines="0" workbookViewId="0">
      <selection sqref="A1:H1"/>
    </sheetView>
  </sheetViews>
  <sheetFormatPr defaultRowHeight="12.75" x14ac:dyDescent="0.2"/>
  <cols>
    <col min="1" max="1" width="5.85546875" bestFit="1" customWidth="1"/>
    <col min="2" max="2" width="20.28515625" bestFit="1" customWidth="1"/>
    <col min="3" max="3" width="34.140625" bestFit="1" customWidth="1"/>
    <col min="4" max="4" width="12.28515625" customWidth="1"/>
    <col min="5" max="5" width="10.7109375" customWidth="1"/>
    <col min="6" max="6" width="13" customWidth="1"/>
    <col min="7" max="7" width="14" bestFit="1" customWidth="1"/>
    <col min="8" max="8" width="10.7109375" customWidth="1"/>
    <col min="9" max="9" width="11.140625" customWidth="1"/>
  </cols>
  <sheetData>
    <row r="1" spans="1:9" ht="15" x14ac:dyDescent="0.2">
      <c r="A1" s="156" t="s">
        <v>0</v>
      </c>
      <c r="B1" s="156"/>
      <c r="C1" s="156"/>
      <c r="D1" s="156"/>
      <c r="E1" s="156"/>
      <c r="F1" s="156"/>
      <c r="G1" s="156"/>
      <c r="H1" s="156"/>
      <c r="I1" s="9" t="s">
        <v>658</v>
      </c>
    </row>
    <row r="2" spans="1:9" ht="15" x14ac:dyDescent="0.2">
      <c r="A2" s="156" t="s">
        <v>420</v>
      </c>
      <c r="B2" s="156"/>
      <c r="C2" s="156"/>
      <c r="D2" s="156"/>
      <c r="E2" s="156"/>
      <c r="F2" s="156"/>
      <c r="G2" s="156"/>
      <c r="H2" s="156"/>
    </row>
    <row r="3" spans="1:9" ht="15" x14ac:dyDescent="0.2">
      <c r="A3" s="156" t="s">
        <v>563</v>
      </c>
      <c r="B3" s="156"/>
      <c r="C3" s="156"/>
      <c r="D3" s="156"/>
      <c r="E3" s="156"/>
      <c r="F3" s="156"/>
      <c r="G3" s="156"/>
      <c r="H3" s="156"/>
    </row>
    <row r="4" spans="1:9" s="13" customFormat="1" ht="30" x14ac:dyDescent="0.2">
      <c r="A4" s="11" t="s">
        <v>2</v>
      </c>
      <c r="B4" s="11" t="s">
        <v>3</v>
      </c>
      <c r="C4" s="11" t="s">
        <v>4</v>
      </c>
      <c r="D4" s="11" t="s">
        <v>5</v>
      </c>
      <c r="E4" s="11" t="s">
        <v>6</v>
      </c>
      <c r="F4" s="11" t="s">
        <v>7</v>
      </c>
      <c r="G4" s="11" t="s">
        <v>8</v>
      </c>
      <c r="H4" s="12" t="s">
        <v>641</v>
      </c>
    </row>
    <row r="5" spans="1:9" x14ac:dyDescent="0.2">
      <c r="A5" s="14"/>
      <c r="B5" s="14"/>
      <c r="C5" s="15" t="s">
        <v>9</v>
      </c>
      <c r="D5" s="14"/>
      <c r="E5" s="14"/>
      <c r="F5" s="14"/>
      <c r="G5" s="14"/>
      <c r="H5" s="16" t="s">
        <v>12</v>
      </c>
    </row>
    <row r="6" spans="1:9" ht="25.5" x14ac:dyDescent="0.2">
      <c r="A6" s="14"/>
      <c r="B6" s="14"/>
      <c r="C6" s="15" t="s">
        <v>10</v>
      </c>
      <c r="D6" s="14"/>
      <c r="E6" s="14"/>
      <c r="F6" s="14"/>
      <c r="G6" s="14"/>
      <c r="H6" s="16" t="s">
        <v>12</v>
      </c>
    </row>
    <row r="7" spans="1:9" x14ac:dyDescent="0.2">
      <c r="A7" s="14"/>
      <c r="B7" s="14"/>
      <c r="C7" s="15" t="s">
        <v>11</v>
      </c>
      <c r="D7" s="14"/>
      <c r="E7" s="14" t="s">
        <v>12</v>
      </c>
      <c r="F7" s="17" t="s">
        <v>13</v>
      </c>
      <c r="G7" s="18">
        <v>0</v>
      </c>
      <c r="H7" s="16" t="s">
        <v>12</v>
      </c>
    </row>
    <row r="8" spans="1:9" x14ac:dyDescent="0.2">
      <c r="A8" s="14"/>
      <c r="B8" s="14"/>
      <c r="C8" s="19"/>
      <c r="D8" s="14"/>
      <c r="E8" s="14"/>
      <c r="F8" s="20"/>
      <c r="G8" s="20"/>
      <c r="H8" s="16" t="s">
        <v>12</v>
      </c>
    </row>
    <row r="9" spans="1:9" x14ac:dyDescent="0.2">
      <c r="A9" s="14"/>
      <c r="B9" s="14"/>
      <c r="C9" s="15" t="s">
        <v>14</v>
      </c>
      <c r="D9" s="14"/>
      <c r="E9" s="14"/>
      <c r="F9" s="14"/>
      <c r="G9" s="14"/>
      <c r="H9" s="16" t="s">
        <v>12</v>
      </c>
    </row>
    <row r="10" spans="1:9" x14ac:dyDescent="0.2">
      <c r="A10" s="14"/>
      <c r="B10" s="14"/>
      <c r="C10" s="15" t="s">
        <v>11</v>
      </c>
      <c r="D10" s="14"/>
      <c r="E10" s="14" t="s">
        <v>12</v>
      </c>
      <c r="F10" s="17" t="s">
        <v>13</v>
      </c>
      <c r="G10" s="18">
        <v>0</v>
      </c>
      <c r="H10" s="16" t="s">
        <v>12</v>
      </c>
    </row>
    <row r="11" spans="1:9" x14ac:dyDescent="0.2">
      <c r="A11" s="14"/>
      <c r="B11" s="14"/>
      <c r="C11" s="19"/>
      <c r="D11" s="14"/>
      <c r="E11" s="14"/>
      <c r="F11" s="20"/>
      <c r="G11" s="20"/>
      <c r="H11" s="16" t="s">
        <v>12</v>
      </c>
    </row>
    <row r="12" spans="1:9" x14ac:dyDescent="0.2">
      <c r="A12" s="14"/>
      <c r="B12" s="14"/>
      <c r="C12" s="15" t="s">
        <v>15</v>
      </c>
      <c r="D12" s="14"/>
      <c r="E12" s="14"/>
      <c r="F12" s="14"/>
      <c r="G12" s="14"/>
      <c r="H12" s="16" t="s">
        <v>12</v>
      </c>
    </row>
    <row r="13" spans="1:9" x14ac:dyDescent="0.2">
      <c r="A13" s="14"/>
      <c r="B13" s="14"/>
      <c r="C13" s="15" t="s">
        <v>11</v>
      </c>
      <c r="D13" s="14"/>
      <c r="E13" s="14" t="s">
        <v>12</v>
      </c>
      <c r="F13" s="17" t="s">
        <v>13</v>
      </c>
      <c r="G13" s="18">
        <v>0</v>
      </c>
      <c r="H13" s="16" t="s">
        <v>12</v>
      </c>
    </row>
    <row r="14" spans="1:9" x14ac:dyDescent="0.2">
      <c r="A14" s="14"/>
      <c r="B14" s="14"/>
      <c r="C14" s="19"/>
      <c r="D14" s="14"/>
      <c r="E14" s="14"/>
      <c r="F14" s="20"/>
      <c r="G14" s="20"/>
      <c r="H14" s="16" t="s">
        <v>12</v>
      </c>
    </row>
    <row r="15" spans="1:9" x14ac:dyDescent="0.2">
      <c r="A15" s="14"/>
      <c r="B15" s="14"/>
      <c r="C15" s="15" t="s">
        <v>16</v>
      </c>
      <c r="D15" s="14"/>
      <c r="E15" s="14"/>
      <c r="F15" s="14"/>
      <c r="G15" s="14"/>
      <c r="H15" s="16" t="s">
        <v>12</v>
      </c>
    </row>
    <row r="16" spans="1:9" x14ac:dyDescent="0.2">
      <c r="A16" s="14"/>
      <c r="B16" s="14"/>
      <c r="C16" s="15" t="s">
        <v>11</v>
      </c>
      <c r="D16" s="14"/>
      <c r="E16" s="14" t="s">
        <v>12</v>
      </c>
      <c r="F16" s="17" t="s">
        <v>13</v>
      </c>
      <c r="G16" s="18">
        <v>0</v>
      </c>
      <c r="H16" s="16" t="s">
        <v>12</v>
      </c>
    </row>
    <row r="17" spans="1:8" x14ac:dyDescent="0.2">
      <c r="A17" s="14"/>
      <c r="B17" s="14"/>
      <c r="C17" s="19"/>
      <c r="D17" s="14"/>
      <c r="E17" s="14"/>
      <c r="F17" s="20"/>
      <c r="G17" s="20"/>
      <c r="H17" s="16" t="s">
        <v>12</v>
      </c>
    </row>
    <row r="18" spans="1:8" x14ac:dyDescent="0.2">
      <c r="A18" s="14"/>
      <c r="B18" s="14"/>
      <c r="C18" s="15" t="s">
        <v>17</v>
      </c>
      <c r="D18" s="14"/>
      <c r="E18" s="14"/>
      <c r="F18" s="20"/>
      <c r="G18" s="20"/>
      <c r="H18" s="16" t="s">
        <v>12</v>
      </c>
    </row>
    <row r="19" spans="1:8" x14ac:dyDescent="0.2">
      <c r="A19" s="14"/>
      <c r="B19" s="14"/>
      <c r="C19" s="15" t="s">
        <v>11</v>
      </c>
      <c r="D19" s="14"/>
      <c r="E19" s="14" t="s">
        <v>12</v>
      </c>
      <c r="F19" s="17" t="s">
        <v>13</v>
      </c>
      <c r="G19" s="18">
        <v>0</v>
      </c>
      <c r="H19" s="16" t="s">
        <v>12</v>
      </c>
    </row>
    <row r="20" spans="1:8" x14ac:dyDescent="0.2">
      <c r="A20" s="14"/>
      <c r="B20" s="14"/>
      <c r="C20" s="19"/>
      <c r="D20" s="14"/>
      <c r="E20" s="14"/>
      <c r="F20" s="20"/>
      <c r="G20" s="20"/>
      <c r="H20" s="16" t="s">
        <v>12</v>
      </c>
    </row>
    <row r="21" spans="1:8" x14ac:dyDescent="0.2">
      <c r="A21" s="14"/>
      <c r="B21" s="14"/>
      <c r="C21" s="15" t="s">
        <v>18</v>
      </c>
      <c r="D21" s="14"/>
      <c r="E21" s="14"/>
      <c r="F21" s="20"/>
      <c r="G21" s="20"/>
      <c r="H21" s="16" t="s">
        <v>12</v>
      </c>
    </row>
    <row r="22" spans="1:8" x14ac:dyDescent="0.2">
      <c r="A22" s="14"/>
      <c r="B22" s="14"/>
      <c r="C22" s="15" t="s">
        <v>11</v>
      </c>
      <c r="D22" s="14"/>
      <c r="E22" s="14" t="s">
        <v>12</v>
      </c>
      <c r="F22" s="17" t="s">
        <v>13</v>
      </c>
      <c r="G22" s="18">
        <v>0</v>
      </c>
      <c r="H22" s="16" t="s">
        <v>12</v>
      </c>
    </row>
    <row r="23" spans="1:8" x14ac:dyDescent="0.2">
      <c r="A23" s="14"/>
      <c r="B23" s="14"/>
      <c r="C23" s="19"/>
      <c r="D23" s="14"/>
      <c r="E23" s="14"/>
      <c r="F23" s="20"/>
      <c r="G23" s="20"/>
      <c r="H23" s="16" t="s">
        <v>12</v>
      </c>
    </row>
    <row r="24" spans="1:8" x14ac:dyDescent="0.2">
      <c r="A24" s="14"/>
      <c r="B24" s="14"/>
      <c r="C24" s="15" t="s">
        <v>19</v>
      </c>
      <c r="D24" s="14"/>
      <c r="E24" s="14"/>
      <c r="F24" s="21">
        <v>0</v>
      </c>
      <c r="G24" s="18">
        <v>0</v>
      </c>
      <c r="H24" s="16" t="s">
        <v>12</v>
      </c>
    </row>
    <row r="25" spans="1:8" x14ac:dyDescent="0.2">
      <c r="A25" s="14"/>
      <c r="B25" s="14"/>
      <c r="C25" s="19"/>
      <c r="D25" s="14"/>
      <c r="E25" s="14"/>
      <c r="F25" s="20"/>
      <c r="G25" s="20"/>
      <c r="H25" s="16" t="s">
        <v>12</v>
      </c>
    </row>
    <row r="26" spans="1:8" x14ac:dyDescent="0.2">
      <c r="A26" s="14"/>
      <c r="B26" s="14"/>
      <c r="C26" s="15" t="s">
        <v>20</v>
      </c>
      <c r="D26" s="14"/>
      <c r="E26" s="14"/>
      <c r="F26" s="20"/>
      <c r="G26" s="20"/>
      <c r="H26" s="16" t="s">
        <v>12</v>
      </c>
    </row>
    <row r="27" spans="1:8" ht="25.5" x14ac:dyDescent="0.2">
      <c r="A27" s="14"/>
      <c r="B27" s="14"/>
      <c r="C27" s="15" t="s">
        <v>10</v>
      </c>
      <c r="D27" s="14"/>
      <c r="E27" s="14"/>
      <c r="F27" s="20"/>
      <c r="G27" s="20"/>
      <c r="H27" s="16" t="s">
        <v>12</v>
      </c>
    </row>
    <row r="28" spans="1:8" x14ac:dyDescent="0.2">
      <c r="A28" s="22">
        <v>1</v>
      </c>
      <c r="B28" s="23" t="s">
        <v>213</v>
      </c>
      <c r="C28" s="23" t="s">
        <v>214</v>
      </c>
      <c r="D28" s="23" t="s">
        <v>210</v>
      </c>
      <c r="E28" s="24">
        <v>7000</v>
      </c>
      <c r="F28" s="25">
        <v>7016.7719999999999</v>
      </c>
      <c r="G28" s="26">
        <v>3.0946959999999999E-2</v>
      </c>
      <c r="H28" s="16">
        <v>8.34</v>
      </c>
    </row>
    <row r="29" spans="1:8" x14ac:dyDescent="0.2">
      <c r="A29" s="22">
        <v>2</v>
      </c>
      <c r="B29" s="23" t="s">
        <v>211</v>
      </c>
      <c r="C29" s="23" t="s">
        <v>212</v>
      </c>
      <c r="D29" s="23" t="s">
        <v>23</v>
      </c>
      <c r="E29" s="24">
        <v>5500</v>
      </c>
      <c r="F29" s="25">
        <v>5486.9155000000001</v>
      </c>
      <c r="G29" s="26">
        <v>2.4199640000000001E-2</v>
      </c>
      <c r="H29" s="16">
        <v>7.7117000000000004</v>
      </c>
    </row>
    <row r="30" spans="1:8" ht="25.5" x14ac:dyDescent="0.2">
      <c r="A30" s="22">
        <v>3</v>
      </c>
      <c r="B30" s="23" t="s">
        <v>208</v>
      </c>
      <c r="C30" s="23" t="s">
        <v>209</v>
      </c>
      <c r="D30" s="23" t="s">
        <v>210</v>
      </c>
      <c r="E30" s="24">
        <v>3000</v>
      </c>
      <c r="F30" s="25">
        <v>3011.1959999999999</v>
      </c>
      <c r="G30" s="26">
        <v>1.328066E-2</v>
      </c>
      <c r="H30" s="16">
        <v>8.8000000000000007</v>
      </c>
    </row>
    <row r="31" spans="1:8" ht="25.5" x14ac:dyDescent="0.2">
      <c r="A31" s="22">
        <v>4</v>
      </c>
      <c r="B31" s="23" t="s">
        <v>57</v>
      </c>
      <c r="C31" s="23" t="s">
        <v>58</v>
      </c>
      <c r="D31" s="23" t="s">
        <v>23</v>
      </c>
      <c r="E31" s="24">
        <v>2500</v>
      </c>
      <c r="F31" s="25">
        <v>2492.9875000000002</v>
      </c>
      <c r="G31" s="26">
        <v>1.099514E-2</v>
      </c>
      <c r="H31" s="16">
        <v>7.75</v>
      </c>
    </row>
    <row r="32" spans="1:8" ht="25.5" x14ac:dyDescent="0.2">
      <c r="A32" s="22">
        <v>5</v>
      </c>
      <c r="B32" s="23" t="s">
        <v>421</v>
      </c>
      <c r="C32" s="23" t="s">
        <v>422</v>
      </c>
      <c r="D32" s="23" t="s">
        <v>23</v>
      </c>
      <c r="E32" s="24">
        <v>250</v>
      </c>
      <c r="F32" s="25">
        <v>2489.0949999999998</v>
      </c>
      <c r="G32" s="26">
        <v>1.097797E-2</v>
      </c>
      <c r="H32" s="16">
        <v>8.08</v>
      </c>
    </row>
    <row r="33" spans="1:8" ht="25.5" x14ac:dyDescent="0.2">
      <c r="A33" s="22">
        <v>6</v>
      </c>
      <c r="B33" s="23" t="s">
        <v>423</v>
      </c>
      <c r="C33" s="23" t="s">
        <v>424</v>
      </c>
      <c r="D33" s="23" t="s">
        <v>23</v>
      </c>
      <c r="E33" s="24">
        <v>250</v>
      </c>
      <c r="F33" s="25">
        <v>2478.1350000000002</v>
      </c>
      <c r="G33" s="26">
        <v>1.0929629999999999E-2</v>
      </c>
      <c r="H33" s="16">
        <v>7.82</v>
      </c>
    </row>
    <row r="34" spans="1:8" ht="25.5" x14ac:dyDescent="0.2">
      <c r="A34" s="22">
        <v>7</v>
      </c>
      <c r="B34" s="23" t="s">
        <v>234</v>
      </c>
      <c r="C34" s="23" t="s">
        <v>235</v>
      </c>
      <c r="D34" s="23" t="s">
        <v>236</v>
      </c>
      <c r="E34" s="24">
        <v>200</v>
      </c>
      <c r="F34" s="25">
        <v>1999.7460000000001</v>
      </c>
      <c r="G34" s="26">
        <v>8.8197299999999996E-3</v>
      </c>
      <c r="H34" s="16">
        <v>8.25</v>
      </c>
    </row>
    <row r="35" spans="1:8" ht="25.5" x14ac:dyDescent="0.2">
      <c r="A35" s="22">
        <v>8</v>
      </c>
      <c r="B35" s="23" t="s">
        <v>205</v>
      </c>
      <c r="C35" s="23" t="s">
        <v>206</v>
      </c>
      <c r="D35" s="23" t="s">
        <v>207</v>
      </c>
      <c r="E35" s="24">
        <v>1600</v>
      </c>
      <c r="F35" s="25">
        <v>1606.8912</v>
      </c>
      <c r="G35" s="26">
        <v>7.0870799999999999E-3</v>
      </c>
      <c r="H35" s="16">
        <v>8.0950000000000006</v>
      </c>
    </row>
    <row r="36" spans="1:8" ht="25.5" x14ac:dyDescent="0.2">
      <c r="A36" s="22">
        <v>9</v>
      </c>
      <c r="B36" s="23" t="s">
        <v>237</v>
      </c>
      <c r="C36" s="23" t="s">
        <v>238</v>
      </c>
      <c r="D36" s="23" t="s">
        <v>210</v>
      </c>
      <c r="E36" s="24">
        <v>1500</v>
      </c>
      <c r="F36" s="25">
        <v>1500.5445</v>
      </c>
      <c r="G36" s="26">
        <v>6.6180400000000004E-3</v>
      </c>
      <c r="H36" s="16">
        <v>8.6199999999999992</v>
      </c>
    </row>
    <row r="37" spans="1:8" ht="25.5" x14ac:dyDescent="0.2">
      <c r="A37" s="22">
        <v>10</v>
      </c>
      <c r="B37" s="23" t="s">
        <v>61</v>
      </c>
      <c r="C37" s="23" t="s">
        <v>62</v>
      </c>
      <c r="D37" s="23" t="s">
        <v>23</v>
      </c>
      <c r="E37" s="24">
        <v>1500</v>
      </c>
      <c r="F37" s="25">
        <v>1499.2919999999999</v>
      </c>
      <c r="G37" s="26">
        <v>6.6125200000000002E-3</v>
      </c>
      <c r="H37" s="16">
        <v>8.2349999999999994</v>
      </c>
    </row>
    <row r="38" spans="1:8" ht="25.5" x14ac:dyDescent="0.2">
      <c r="A38" s="22">
        <v>11</v>
      </c>
      <c r="B38" s="23" t="s">
        <v>63</v>
      </c>
      <c r="C38" s="23" t="s">
        <v>64</v>
      </c>
      <c r="D38" s="23" t="s">
        <v>23</v>
      </c>
      <c r="E38" s="24">
        <v>1000</v>
      </c>
      <c r="F38" s="25">
        <v>995.31399999999996</v>
      </c>
      <c r="G38" s="26">
        <v>4.3897600000000004E-3</v>
      </c>
      <c r="H38" s="16">
        <v>7.73</v>
      </c>
    </row>
    <row r="39" spans="1:8" x14ac:dyDescent="0.2">
      <c r="A39" s="14"/>
      <c r="B39" s="14"/>
      <c r="C39" s="15" t="s">
        <v>11</v>
      </c>
      <c r="D39" s="14"/>
      <c r="E39" s="14" t="s">
        <v>12</v>
      </c>
      <c r="F39" s="21">
        <v>30576.8887</v>
      </c>
      <c r="G39" s="18">
        <v>0.13485712999999999</v>
      </c>
      <c r="H39" s="16" t="s">
        <v>12</v>
      </c>
    </row>
    <row r="40" spans="1:8" x14ac:dyDescent="0.2">
      <c r="A40" s="14"/>
      <c r="B40" s="14"/>
      <c r="C40" s="19"/>
      <c r="D40" s="14"/>
      <c r="E40" s="14"/>
      <c r="F40" s="20"/>
      <c r="G40" s="20"/>
      <c r="H40" s="16" t="s">
        <v>12</v>
      </c>
    </row>
    <row r="41" spans="1:8" x14ac:dyDescent="0.2">
      <c r="A41" s="14"/>
      <c r="B41" s="14"/>
      <c r="C41" s="15" t="s">
        <v>71</v>
      </c>
      <c r="D41" s="14"/>
      <c r="E41" s="14"/>
      <c r="F41" s="14"/>
      <c r="G41" s="14"/>
      <c r="H41" s="16" t="s">
        <v>12</v>
      </c>
    </row>
    <row r="42" spans="1:8" x14ac:dyDescent="0.2">
      <c r="A42" s="14"/>
      <c r="B42" s="14"/>
      <c r="C42" s="15" t="s">
        <v>11</v>
      </c>
      <c r="D42" s="14"/>
      <c r="E42" s="14" t="s">
        <v>12</v>
      </c>
      <c r="F42" s="17" t="s">
        <v>13</v>
      </c>
      <c r="G42" s="18">
        <v>0</v>
      </c>
      <c r="H42" s="16" t="s">
        <v>12</v>
      </c>
    </row>
    <row r="43" spans="1:8" x14ac:dyDescent="0.2">
      <c r="A43" s="14"/>
      <c r="B43" s="14"/>
      <c r="C43" s="19"/>
      <c r="D43" s="14"/>
      <c r="E43" s="14"/>
      <c r="F43" s="20"/>
      <c r="G43" s="20"/>
      <c r="H43" s="16" t="s">
        <v>12</v>
      </c>
    </row>
    <row r="44" spans="1:8" x14ac:dyDescent="0.2">
      <c r="A44" s="14"/>
      <c r="B44" s="14"/>
      <c r="C44" s="15" t="s">
        <v>72</v>
      </c>
      <c r="D44" s="14"/>
      <c r="E44" s="14"/>
      <c r="F44" s="14"/>
      <c r="G44" s="14"/>
      <c r="H44" s="16" t="s">
        <v>12</v>
      </c>
    </row>
    <row r="45" spans="1:8" x14ac:dyDescent="0.2">
      <c r="A45" s="14"/>
      <c r="B45" s="14"/>
      <c r="C45" s="15" t="s">
        <v>11</v>
      </c>
      <c r="D45" s="14"/>
      <c r="E45" s="14" t="s">
        <v>12</v>
      </c>
      <c r="F45" s="17" t="s">
        <v>13</v>
      </c>
      <c r="G45" s="18">
        <v>0</v>
      </c>
      <c r="H45" s="16" t="s">
        <v>12</v>
      </c>
    </row>
    <row r="46" spans="1:8" x14ac:dyDescent="0.2">
      <c r="A46" s="14"/>
      <c r="B46" s="14"/>
      <c r="C46" s="19"/>
      <c r="D46" s="14"/>
      <c r="E46" s="14"/>
      <c r="F46" s="20"/>
      <c r="G46" s="20"/>
      <c r="H46" s="16" t="s">
        <v>12</v>
      </c>
    </row>
    <row r="47" spans="1:8" x14ac:dyDescent="0.2">
      <c r="A47" s="14"/>
      <c r="B47" s="14"/>
      <c r="C47" s="15" t="s">
        <v>88</v>
      </c>
      <c r="D47" s="14"/>
      <c r="E47" s="14"/>
      <c r="F47" s="20"/>
      <c r="G47" s="20"/>
      <c r="H47" s="16" t="s">
        <v>12</v>
      </c>
    </row>
    <row r="48" spans="1:8" x14ac:dyDescent="0.2">
      <c r="A48" s="14"/>
      <c r="B48" s="14"/>
      <c r="C48" s="15" t="s">
        <v>11</v>
      </c>
      <c r="D48" s="14"/>
      <c r="E48" s="14" t="s">
        <v>12</v>
      </c>
      <c r="F48" s="17" t="s">
        <v>13</v>
      </c>
      <c r="G48" s="18">
        <v>0</v>
      </c>
      <c r="H48" s="16" t="s">
        <v>12</v>
      </c>
    </row>
    <row r="49" spans="1:8" x14ac:dyDescent="0.2">
      <c r="A49" s="14"/>
      <c r="B49" s="14"/>
      <c r="C49" s="19"/>
      <c r="D49" s="14"/>
      <c r="E49" s="14"/>
      <c r="F49" s="20"/>
      <c r="G49" s="20"/>
      <c r="H49" s="16" t="s">
        <v>12</v>
      </c>
    </row>
    <row r="50" spans="1:8" x14ac:dyDescent="0.2">
      <c r="A50" s="14"/>
      <c r="B50" s="14"/>
      <c r="C50" s="15" t="s">
        <v>89</v>
      </c>
      <c r="D50" s="14"/>
      <c r="E50" s="14"/>
      <c r="F50" s="21">
        <v>30576.8887</v>
      </c>
      <c r="G50" s="18">
        <v>0.13485712999999999</v>
      </c>
      <c r="H50" s="16" t="s">
        <v>12</v>
      </c>
    </row>
    <row r="51" spans="1:8" x14ac:dyDescent="0.2">
      <c r="A51" s="14"/>
      <c r="B51" s="14"/>
      <c r="C51" s="19"/>
      <c r="D51" s="14"/>
      <c r="E51" s="14"/>
      <c r="F51" s="20"/>
      <c r="G51" s="20"/>
      <c r="H51" s="16" t="s">
        <v>12</v>
      </c>
    </row>
    <row r="52" spans="1:8" x14ac:dyDescent="0.2">
      <c r="A52" s="14"/>
      <c r="B52" s="14"/>
      <c r="C52" s="15" t="s">
        <v>90</v>
      </c>
      <c r="D52" s="14"/>
      <c r="E52" s="14"/>
      <c r="F52" s="20"/>
      <c r="G52" s="20"/>
      <c r="H52" s="16" t="s">
        <v>12</v>
      </c>
    </row>
    <row r="53" spans="1:8" x14ac:dyDescent="0.2">
      <c r="A53" s="14"/>
      <c r="B53" s="14"/>
      <c r="C53" s="15" t="s">
        <v>91</v>
      </c>
      <c r="D53" s="14"/>
      <c r="E53" s="14"/>
      <c r="F53" s="20"/>
      <c r="G53" s="20"/>
      <c r="H53" s="16" t="s">
        <v>12</v>
      </c>
    </row>
    <row r="54" spans="1:8" x14ac:dyDescent="0.2">
      <c r="A54" s="22">
        <v>1</v>
      </c>
      <c r="B54" s="23" t="s">
        <v>309</v>
      </c>
      <c r="C54" s="23" t="s">
        <v>310</v>
      </c>
      <c r="D54" s="23" t="s">
        <v>256</v>
      </c>
      <c r="E54" s="24">
        <v>2000</v>
      </c>
      <c r="F54" s="25">
        <v>9831.7199999999993</v>
      </c>
      <c r="G54" s="26">
        <v>4.3362079999999997E-2</v>
      </c>
      <c r="H54" s="16">
        <v>7.6189</v>
      </c>
    </row>
    <row r="55" spans="1:8" x14ac:dyDescent="0.2">
      <c r="A55" s="22">
        <v>2</v>
      </c>
      <c r="B55" s="23" t="s">
        <v>425</v>
      </c>
      <c r="C55" s="23" t="s">
        <v>426</v>
      </c>
      <c r="D55" s="23" t="s">
        <v>256</v>
      </c>
      <c r="E55" s="24">
        <v>1000</v>
      </c>
      <c r="F55" s="25">
        <v>4928.59</v>
      </c>
      <c r="G55" s="26">
        <v>2.1737179999999998E-2</v>
      </c>
      <c r="H55" s="16">
        <v>7.7773000000000003</v>
      </c>
    </row>
    <row r="56" spans="1:8" x14ac:dyDescent="0.2">
      <c r="A56" s="22">
        <v>3</v>
      </c>
      <c r="B56" s="23" t="s">
        <v>243</v>
      </c>
      <c r="C56" s="23" t="s">
        <v>244</v>
      </c>
      <c r="D56" s="23" t="s">
        <v>143</v>
      </c>
      <c r="E56" s="24">
        <v>1000</v>
      </c>
      <c r="F56" s="25">
        <v>4924.57</v>
      </c>
      <c r="G56" s="26">
        <v>2.1719450000000001E-2</v>
      </c>
      <c r="H56" s="16">
        <v>7.7649999999999997</v>
      </c>
    </row>
    <row r="57" spans="1:8" x14ac:dyDescent="0.2">
      <c r="A57" s="22">
        <v>4</v>
      </c>
      <c r="B57" s="23" t="s">
        <v>427</v>
      </c>
      <c r="C57" s="23" t="s">
        <v>428</v>
      </c>
      <c r="D57" s="23" t="s">
        <v>143</v>
      </c>
      <c r="E57" s="24">
        <v>1000</v>
      </c>
      <c r="F57" s="25">
        <v>4917.07</v>
      </c>
      <c r="G57" s="26">
        <v>2.1686380000000002E-2</v>
      </c>
      <c r="H57" s="16">
        <v>7.6001000000000003</v>
      </c>
    </row>
    <row r="58" spans="1:8" x14ac:dyDescent="0.2">
      <c r="A58" s="22">
        <v>5</v>
      </c>
      <c r="B58" s="23" t="s">
        <v>285</v>
      </c>
      <c r="C58" s="23" t="s">
        <v>286</v>
      </c>
      <c r="D58" s="23" t="s">
        <v>143</v>
      </c>
      <c r="E58" s="24">
        <v>1000</v>
      </c>
      <c r="F58" s="25">
        <v>4909.6850000000004</v>
      </c>
      <c r="G58" s="26">
        <v>2.1653809999999999E-2</v>
      </c>
      <c r="H58" s="16">
        <v>7.63</v>
      </c>
    </row>
    <row r="59" spans="1:8" x14ac:dyDescent="0.2">
      <c r="A59" s="22">
        <v>6</v>
      </c>
      <c r="B59" s="23" t="s">
        <v>429</v>
      </c>
      <c r="C59" s="23" t="s">
        <v>430</v>
      </c>
      <c r="D59" s="23" t="s">
        <v>183</v>
      </c>
      <c r="E59" s="24">
        <v>1000</v>
      </c>
      <c r="F59" s="25">
        <v>4739.1149999999998</v>
      </c>
      <c r="G59" s="26">
        <v>2.090152E-2</v>
      </c>
      <c r="H59" s="16">
        <v>7.64</v>
      </c>
    </row>
    <row r="60" spans="1:8" x14ac:dyDescent="0.2">
      <c r="A60" s="22">
        <v>7</v>
      </c>
      <c r="B60" s="23" t="s">
        <v>159</v>
      </c>
      <c r="C60" s="23" t="s">
        <v>160</v>
      </c>
      <c r="D60" s="23" t="s">
        <v>143</v>
      </c>
      <c r="E60" s="24">
        <v>1000</v>
      </c>
      <c r="F60" s="25">
        <v>4733.0649999999996</v>
      </c>
      <c r="G60" s="26">
        <v>2.0874839999999999E-2</v>
      </c>
      <c r="H60" s="16">
        <v>7.7975000000000003</v>
      </c>
    </row>
    <row r="61" spans="1:8" x14ac:dyDescent="0.2">
      <c r="A61" s="22">
        <v>8</v>
      </c>
      <c r="B61" s="23" t="s">
        <v>161</v>
      </c>
      <c r="C61" s="23" t="s">
        <v>162</v>
      </c>
      <c r="D61" s="23" t="s">
        <v>143</v>
      </c>
      <c r="E61" s="24">
        <v>1000</v>
      </c>
      <c r="F61" s="25">
        <v>4683.6149999999998</v>
      </c>
      <c r="G61" s="26">
        <v>2.065674E-2</v>
      </c>
      <c r="H61" s="16">
        <v>7.61</v>
      </c>
    </row>
    <row r="62" spans="1:8" x14ac:dyDescent="0.2">
      <c r="A62" s="22">
        <v>9</v>
      </c>
      <c r="B62" s="23" t="s">
        <v>163</v>
      </c>
      <c r="C62" s="23" t="s">
        <v>164</v>
      </c>
      <c r="D62" s="23" t="s">
        <v>143</v>
      </c>
      <c r="E62" s="24">
        <v>1000</v>
      </c>
      <c r="F62" s="25">
        <v>4682.3900000000003</v>
      </c>
      <c r="G62" s="26">
        <v>2.0651340000000001E-2</v>
      </c>
      <c r="H62" s="16">
        <v>7.6180000000000003</v>
      </c>
    </row>
    <row r="63" spans="1:8" x14ac:dyDescent="0.2">
      <c r="A63" s="22">
        <v>10</v>
      </c>
      <c r="B63" s="23" t="s">
        <v>431</v>
      </c>
      <c r="C63" s="23" t="s">
        <v>432</v>
      </c>
      <c r="D63" s="23" t="s">
        <v>143</v>
      </c>
      <c r="E63" s="24">
        <v>1000</v>
      </c>
      <c r="F63" s="25">
        <v>4676.8500000000004</v>
      </c>
      <c r="G63" s="26">
        <v>2.06269E-2</v>
      </c>
      <c r="H63" s="16">
        <v>7.76</v>
      </c>
    </row>
    <row r="64" spans="1:8" x14ac:dyDescent="0.2">
      <c r="A64" s="22">
        <v>11</v>
      </c>
      <c r="B64" s="23" t="s">
        <v>165</v>
      </c>
      <c r="C64" s="23" t="s">
        <v>166</v>
      </c>
      <c r="D64" s="23" t="s">
        <v>143</v>
      </c>
      <c r="E64" s="24">
        <v>1000</v>
      </c>
      <c r="F64" s="25">
        <v>4671.05</v>
      </c>
      <c r="G64" s="26">
        <v>2.0601319999999999E-2</v>
      </c>
      <c r="H64" s="16">
        <v>7.5824999999999996</v>
      </c>
    </row>
    <row r="65" spans="1:8" x14ac:dyDescent="0.2">
      <c r="A65" s="22">
        <v>12</v>
      </c>
      <c r="B65" s="23" t="s">
        <v>181</v>
      </c>
      <c r="C65" s="23" t="s">
        <v>182</v>
      </c>
      <c r="D65" s="23" t="s">
        <v>183</v>
      </c>
      <c r="E65" s="24">
        <v>840</v>
      </c>
      <c r="F65" s="25">
        <v>4087.6248000000001</v>
      </c>
      <c r="G65" s="26">
        <v>1.802817E-2</v>
      </c>
      <c r="H65" s="16">
        <v>7.66</v>
      </c>
    </row>
    <row r="66" spans="1:8" x14ac:dyDescent="0.2">
      <c r="A66" s="22">
        <v>13</v>
      </c>
      <c r="B66" s="23" t="s">
        <v>175</v>
      </c>
      <c r="C66" s="23" t="s">
        <v>176</v>
      </c>
      <c r="D66" s="23" t="s">
        <v>143</v>
      </c>
      <c r="E66" s="24">
        <v>700</v>
      </c>
      <c r="F66" s="25">
        <v>3282.1529999999998</v>
      </c>
      <c r="G66" s="26">
        <v>1.4475699999999999E-2</v>
      </c>
      <c r="H66" s="16">
        <v>7.7401</v>
      </c>
    </row>
    <row r="67" spans="1:8" x14ac:dyDescent="0.2">
      <c r="A67" s="22">
        <v>14</v>
      </c>
      <c r="B67" s="23" t="s">
        <v>177</v>
      </c>
      <c r="C67" s="23" t="s">
        <v>178</v>
      </c>
      <c r="D67" s="23" t="s">
        <v>143</v>
      </c>
      <c r="E67" s="24">
        <v>700</v>
      </c>
      <c r="F67" s="25">
        <v>3265.1395000000002</v>
      </c>
      <c r="G67" s="26">
        <v>1.4400659999999999E-2</v>
      </c>
      <c r="H67" s="16">
        <v>7.61</v>
      </c>
    </row>
    <row r="68" spans="1:8" x14ac:dyDescent="0.2">
      <c r="A68" s="22">
        <v>15</v>
      </c>
      <c r="B68" s="23" t="s">
        <v>433</v>
      </c>
      <c r="C68" s="23" t="s">
        <v>434</v>
      </c>
      <c r="D68" s="23" t="s">
        <v>143</v>
      </c>
      <c r="E68" s="24">
        <v>500</v>
      </c>
      <c r="F68" s="25">
        <v>2466.165</v>
      </c>
      <c r="G68" s="26">
        <v>1.087684E-2</v>
      </c>
      <c r="H68" s="16">
        <v>7.8250999999999999</v>
      </c>
    </row>
    <row r="69" spans="1:8" x14ac:dyDescent="0.2">
      <c r="A69" s="22">
        <v>16</v>
      </c>
      <c r="B69" s="23" t="s">
        <v>245</v>
      </c>
      <c r="C69" s="23" t="s">
        <v>246</v>
      </c>
      <c r="D69" s="23" t="s">
        <v>143</v>
      </c>
      <c r="E69" s="24">
        <v>500</v>
      </c>
      <c r="F69" s="25">
        <v>2461.855</v>
      </c>
      <c r="G69" s="26">
        <v>1.0857830000000001E-2</v>
      </c>
      <c r="H69" s="16">
        <v>7.8550000000000004</v>
      </c>
    </row>
    <row r="70" spans="1:8" x14ac:dyDescent="0.2">
      <c r="A70" s="22">
        <v>17</v>
      </c>
      <c r="B70" s="23" t="s">
        <v>435</v>
      </c>
      <c r="C70" s="23" t="s">
        <v>436</v>
      </c>
      <c r="D70" s="23" t="s">
        <v>143</v>
      </c>
      <c r="E70" s="24">
        <v>500</v>
      </c>
      <c r="F70" s="25">
        <v>2461.5025000000001</v>
      </c>
      <c r="G70" s="26">
        <v>1.0856279999999999E-2</v>
      </c>
      <c r="H70" s="16">
        <v>7.82</v>
      </c>
    </row>
    <row r="71" spans="1:8" ht="25.5" x14ac:dyDescent="0.2">
      <c r="A71" s="22">
        <v>18</v>
      </c>
      <c r="B71" s="23" t="s">
        <v>261</v>
      </c>
      <c r="C71" s="23" t="s">
        <v>262</v>
      </c>
      <c r="D71" s="23" t="s">
        <v>143</v>
      </c>
      <c r="E71" s="24">
        <v>500</v>
      </c>
      <c r="F71" s="25">
        <v>2456.02</v>
      </c>
      <c r="G71" s="26">
        <v>1.0832100000000001E-2</v>
      </c>
      <c r="H71" s="16">
        <v>7.6</v>
      </c>
    </row>
    <row r="72" spans="1:8" x14ac:dyDescent="0.2">
      <c r="A72" s="22">
        <v>19</v>
      </c>
      <c r="B72" s="23" t="s">
        <v>437</v>
      </c>
      <c r="C72" s="23" t="s">
        <v>438</v>
      </c>
      <c r="D72" s="23" t="s">
        <v>143</v>
      </c>
      <c r="E72" s="24">
        <v>500</v>
      </c>
      <c r="F72" s="25">
        <v>2418.9949999999999</v>
      </c>
      <c r="G72" s="26">
        <v>1.0668800000000001E-2</v>
      </c>
      <c r="H72" s="16">
        <v>7.835</v>
      </c>
    </row>
    <row r="73" spans="1:8" x14ac:dyDescent="0.2">
      <c r="A73" s="22">
        <v>20</v>
      </c>
      <c r="B73" s="23" t="s">
        <v>439</v>
      </c>
      <c r="C73" s="23" t="s">
        <v>440</v>
      </c>
      <c r="D73" s="23" t="s">
        <v>143</v>
      </c>
      <c r="E73" s="24">
        <v>500</v>
      </c>
      <c r="F73" s="25">
        <v>2418.7649999999999</v>
      </c>
      <c r="G73" s="26">
        <v>1.066779E-2</v>
      </c>
      <c r="H73" s="16">
        <v>7.71</v>
      </c>
    </row>
    <row r="74" spans="1:8" x14ac:dyDescent="0.2">
      <c r="A74" s="22">
        <v>21</v>
      </c>
      <c r="B74" s="23" t="s">
        <v>179</v>
      </c>
      <c r="C74" s="23" t="s">
        <v>180</v>
      </c>
      <c r="D74" s="23" t="s">
        <v>143</v>
      </c>
      <c r="E74" s="24">
        <v>500</v>
      </c>
      <c r="F74" s="25">
        <v>2373.2525000000001</v>
      </c>
      <c r="G74" s="26">
        <v>1.046706E-2</v>
      </c>
      <c r="H74" s="16">
        <v>7.7975000000000003</v>
      </c>
    </row>
    <row r="75" spans="1:8" x14ac:dyDescent="0.2">
      <c r="A75" s="22">
        <v>22</v>
      </c>
      <c r="B75" s="23" t="s">
        <v>153</v>
      </c>
      <c r="C75" s="23" t="s">
        <v>154</v>
      </c>
      <c r="D75" s="23" t="s">
        <v>143</v>
      </c>
      <c r="E75" s="24">
        <v>500</v>
      </c>
      <c r="F75" s="25">
        <v>2371.4299999999998</v>
      </c>
      <c r="G75" s="26">
        <v>1.0459019999999999E-2</v>
      </c>
      <c r="H75" s="16">
        <v>7.7</v>
      </c>
    </row>
    <row r="76" spans="1:8" x14ac:dyDescent="0.2">
      <c r="A76" s="22">
        <v>23</v>
      </c>
      <c r="B76" s="23" t="s">
        <v>155</v>
      </c>
      <c r="C76" s="23" t="s">
        <v>156</v>
      </c>
      <c r="D76" s="23" t="s">
        <v>143</v>
      </c>
      <c r="E76" s="24">
        <v>500</v>
      </c>
      <c r="F76" s="25">
        <v>2371.0925000000002</v>
      </c>
      <c r="G76" s="26">
        <v>1.045753E-2</v>
      </c>
      <c r="H76" s="16">
        <v>7.8125</v>
      </c>
    </row>
    <row r="77" spans="1:8" x14ac:dyDescent="0.2">
      <c r="A77" s="22">
        <v>24</v>
      </c>
      <c r="B77" s="23" t="s">
        <v>441</v>
      </c>
      <c r="C77" s="23" t="s">
        <v>442</v>
      </c>
      <c r="D77" s="23" t="s">
        <v>143</v>
      </c>
      <c r="E77" s="24">
        <v>500</v>
      </c>
      <c r="F77" s="25">
        <v>2368.87</v>
      </c>
      <c r="G77" s="26">
        <v>1.0447730000000001E-2</v>
      </c>
      <c r="H77" s="16">
        <v>7.6825000000000001</v>
      </c>
    </row>
    <row r="78" spans="1:8" ht="25.5" x14ac:dyDescent="0.2">
      <c r="A78" s="22">
        <v>25</v>
      </c>
      <c r="B78" s="23" t="s">
        <v>157</v>
      </c>
      <c r="C78" s="23" t="s">
        <v>158</v>
      </c>
      <c r="D78" s="23" t="s">
        <v>143</v>
      </c>
      <c r="E78" s="24">
        <v>500</v>
      </c>
      <c r="F78" s="25">
        <v>2367.83</v>
      </c>
      <c r="G78" s="26">
        <v>1.044314E-2</v>
      </c>
      <c r="H78" s="16">
        <v>7.7175000000000002</v>
      </c>
    </row>
    <row r="79" spans="1:8" ht="25.5" x14ac:dyDescent="0.2">
      <c r="A79" s="22">
        <v>26</v>
      </c>
      <c r="B79" s="23" t="s">
        <v>443</v>
      </c>
      <c r="C79" s="23" t="s">
        <v>444</v>
      </c>
      <c r="D79" s="23" t="s">
        <v>143</v>
      </c>
      <c r="E79" s="24">
        <v>500</v>
      </c>
      <c r="F79" s="25">
        <v>2350.1675</v>
      </c>
      <c r="G79" s="26">
        <v>1.036524E-2</v>
      </c>
      <c r="H79" s="16">
        <v>7.68</v>
      </c>
    </row>
    <row r="80" spans="1:8" x14ac:dyDescent="0.2">
      <c r="A80" s="22">
        <v>27</v>
      </c>
      <c r="B80" s="23" t="s">
        <v>445</v>
      </c>
      <c r="C80" s="23" t="s">
        <v>446</v>
      </c>
      <c r="D80" s="23" t="s">
        <v>143</v>
      </c>
      <c r="E80" s="24">
        <v>500</v>
      </c>
      <c r="F80" s="25">
        <v>2343.06</v>
      </c>
      <c r="G80" s="26">
        <v>1.033389E-2</v>
      </c>
      <c r="H80" s="16">
        <v>7.64</v>
      </c>
    </row>
    <row r="81" spans="1:8" x14ac:dyDescent="0.2">
      <c r="A81" s="22">
        <v>28</v>
      </c>
      <c r="B81" s="23" t="s">
        <v>171</v>
      </c>
      <c r="C81" s="23" t="s">
        <v>172</v>
      </c>
      <c r="D81" s="23" t="s">
        <v>143</v>
      </c>
      <c r="E81" s="24">
        <v>500</v>
      </c>
      <c r="F81" s="25">
        <v>2329.7249999999999</v>
      </c>
      <c r="G81" s="26">
        <v>1.0275080000000001E-2</v>
      </c>
      <c r="H81" s="16">
        <v>7.7549999999999999</v>
      </c>
    </row>
    <row r="82" spans="1:8" x14ac:dyDescent="0.2">
      <c r="A82" s="22">
        <v>29</v>
      </c>
      <c r="B82" s="23" t="s">
        <v>173</v>
      </c>
      <c r="C82" s="23" t="s">
        <v>174</v>
      </c>
      <c r="D82" s="23" t="s">
        <v>143</v>
      </c>
      <c r="E82" s="24">
        <v>500</v>
      </c>
      <c r="F82" s="25">
        <v>2324.8775000000001</v>
      </c>
      <c r="G82" s="26">
        <v>1.0253699999999999E-2</v>
      </c>
      <c r="H82" s="16">
        <v>7.5949999999999998</v>
      </c>
    </row>
    <row r="83" spans="1:8" ht="25.5" x14ac:dyDescent="0.2">
      <c r="A83" s="22">
        <v>30</v>
      </c>
      <c r="B83" s="23" t="s">
        <v>447</v>
      </c>
      <c r="C83" s="23" t="s">
        <v>448</v>
      </c>
      <c r="D83" s="23" t="s">
        <v>143</v>
      </c>
      <c r="E83" s="24">
        <v>500</v>
      </c>
      <c r="F83" s="25">
        <v>2324.8449999999998</v>
      </c>
      <c r="G83" s="26">
        <v>1.025356E-2</v>
      </c>
      <c r="H83" s="16">
        <v>7.66</v>
      </c>
    </row>
    <row r="84" spans="1:8" ht="25.5" x14ac:dyDescent="0.2">
      <c r="A84" s="22">
        <v>31</v>
      </c>
      <c r="B84" s="23" t="s">
        <v>449</v>
      </c>
      <c r="C84" s="23" t="s">
        <v>450</v>
      </c>
      <c r="D84" s="23" t="s">
        <v>143</v>
      </c>
      <c r="E84" s="24">
        <v>500</v>
      </c>
      <c r="F84" s="25">
        <v>2324.2725</v>
      </c>
      <c r="G84" s="26">
        <v>1.025103E-2</v>
      </c>
      <c r="H84" s="16">
        <v>7.6656000000000004</v>
      </c>
    </row>
    <row r="85" spans="1:8" x14ac:dyDescent="0.2">
      <c r="A85" s="14"/>
      <c r="B85" s="14"/>
      <c r="C85" s="15" t="s">
        <v>11</v>
      </c>
      <c r="D85" s="14"/>
      <c r="E85" s="14" t="s">
        <v>12</v>
      </c>
      <c r="F85" s="21">
        <v>108865.36229999999</v>
      </c>
      <c r="G85" s="18">
        <v>0.48014270999999997</v>
      </c>
      <c r="H85" s="16" t="s">
        <v>12</v>
      </c>
    </row>
    <row r="86" spans="1:8" x14ac:dyDescent="0.2">
      <c r="A86" s="14"/>
      <c r="B86" s="14"/>
      <c r="C86" s="19"/>
      <c r="D86" s="14"/>
      <c r="E86" s="14"/>
      <c r="F86" s="20"/>
      <c r="G86" s="20"/>
      <c r="H86" s="16" t="s">
        <v>12</v>
      </c>
    </row>
    <row r="87" spans="1:8" x14ac:dyDescent="0.2">
      <c r="A87" s="14"/>
      <c r="B87" s="14"/>
      <c r="C87" s="15" t="s">
        <v>92</v>
      </c>
      <c r="D87" s="14"/>
      <c r="E87" s="14"/>
      <c r="F87" s="20"/>
      <c r="G87" s="20"/>
      <c r="H87" s="16" t="s">
        <v>12</v>
      </c>
    </row>
    <row r="88" spans="1:8" ht="25.5" x14ac:dyDescent="0.2">
      <c r="A88" s="22">
        <v>1</v>
      </c>
      <c r="B88" s="23" t="s">
        <v>451</v>
      </c>
      <c r="C88" s="23" t="s">
        <v>452</v>
      </c>
      <c r="D88" s="23" t="s">
        <v>143</v>
      </c>
      <c r="E88" s="24">
        <v>1000</v>
      </c>
      <c r="F88" s="25">
        <v>4919.0600000000004</v>
      </c>
      <c r="G88" s="26">
        <v>2.169515E-2</v>
      </c>
      <c r="H88" s="16">
        <v>7.6025</v>
      </c>
    </row>
    <row r="89" spans="1:8" ht="25.5" x14ac:dyDescent="0.2">
      <c r="A89" s="22">
        <v>2</v>
      </c>
      <c r="B89" s="23" t="s">
        <v>453</v>
      </c>
      <c r="C89" s="23" t="s">
        <v>454</v>
      </c>
      <c r="D89" s="23" t="s">
        <v>143</v>
      </c>
      <c r="E89" s="24">
        <v>1000</v>
      </c>
      <c r="F89" s="25">
        <v>4914.43</v>
      </c>
      <c r="G89" s="26">
        <v>2.167473E-2</v>
      </c>
      <c r="H89" s="16">
        <v>8.0449999999999999</v>
      </c>
    </row>
    <row r="90" spans="1:8" x14ac:dyDescent="0.2">
      <c r="A90" s="22">
        <v>3</v>
      </c>
      <c r="B90" s="23" t="s">
        <v>455</v>
      </c>
      <c r="C90" s="23" t="s">
        <v>456</v>
      </c>
      <c r="D90" s="23" t="s">
        <v>143</v>
      </c>
      <c r="E90" s="24">
        <v>1000</v>
      </c>
      <c r="F90" s="25">
        <v>4815.7849999999999</v>
      </c>
      <c r="G90" s="26">
        <v>2.1239669999999999E-2</v>
      </c>
      <c r="H90" s="16">
        <v>7.8</v>
      </c>
    </row>
    <row r="91" spans="1:8" ht="25.5" x14ac:dyDescent="0.2">
      <c r="A91" s="22">
        <v>4</v>
      </c>
      <c r="B91" s="23" t="s">
        <v>198</v>
      </c>
      <c r="C91" s="23" t="s">
        <v>199</v>
      </c>
      <c r="D91" s="23" t="s">
        <v>143</v>
      </c>
      <c r="E91" s="24">
        <v>800</v>
      </c>
      <c r="F91" s="25">
        <v>3846.672</v>
      </c>
      <c r="G91" s="26">
        <v>1.6965460000000002E-2</v>
      </c>
      <c r="H91" s="16">
        <v>8.2199000000000009</v>
      </c>
    </row>
    <row r="92" spans="1:8" x14ac:dyDescent="0.2">
      <c r="A92" s="22">
        <v>5</v>
      </c>
      <c r="B92" s="23" t="s">
        <v>196</v>
      </c>
      <c r="C92" s="23" t="s">
        <v>197</v>
      </c>
      <c r="D92" s="23" t="s">
        <v>143</v>
      </c>
      <c r="E92" s="24">
        <v>700</v>
      </c>
      <c r="F92" s="25">
        <v>3359.6570000000002</v>
      </c>
      <c r="G92" s="26">
        <v>1.4817520000000001E-2</v>
      </c>
      <c r="H92" s="16">
        <v>7.9001000000000001</v>
      </c>
    </row>
    <row r="93" spans="1:8" ht="25.5" x14ac:dyDescent="0.2">
      <c r="A93" s="22">
        <v>6</v>
      </c>
      <c r="B93" s="23" t="s">
        <v>457</v>
      </c>
      <c r="C93" s="23" t="s">
        <v>458</v>
      </c>
      <c r="D93" s="23" t="s">
        <v>143</v>
      </c>
      <c r="E93" s="24">
        <v>500</v>
      </c>
      <c r="F93" s="25">
        <v>2497.3924999999999</v>
      </c>
      <c r="G93" s="26">
        <v>1.101457E-2</v>
      </c>
      <c r="H93" s="16">
        <v>7.625</v>
      </c>
    </row>
    <row r="94" spans="1:8" ht="25.5" x14ac:dyDescent="0.2">
      <c r="A94" s="22">
        <v>7</v>
      </c>
      <c r="B94" s="23" t="s">
        <v>376</v>
      </c>
      <c r="C94" s="23" t="s">
        <v>377</v>
      </c>
      <c r="D94" s="23" t="s">
        <v>143</v>
      </c>
      <c r="E94" s="24">
        <v>500</v>
      </c>
      <c r="F94" s="25">
        <v>2460.35</v>
      </c>
      <c r="G94" s="26">
        <v>1.085119E-2</v>
      </c>
      <c r="H94" s="16">
        <v>8.17</v>
      </c>
    </row>
    <row r="95" spans="1:8" ht="25.5" x14ac:dyDescent="0.2">
      <c r="A95" s="22">
        <v>8</v>
      </c>
      <c r="B95" s="23" t="s">
        <v>194</v>
      </c>
      <c r="C95" s="23" t="s">
        <v>195</v>
      </c>
      <c r="D95" s="23" t="s">
        <v>143</v>
      </c>
      <c r="E95" s="24">
        <v>500</v>
      </c>
      <c r="F95" s="25">
        <v>2449.2049999999999</v>
      </c>
      <c r="G95" s="26">
        <v>1.0802040000000001E-2</v>
      </c>
      <c r="H95" s="16">
        <v>8.14</v>
      </c>
    </row>
    <row r="96" spans="1:8" x14ac:dyDescent="0.2">
      <c r="A96" s="22">
        <v>9</v>
      </c>
      <c r="B96" s="23" t="s">
        <v>190</v>
      </c>
      <c r="C96" s="23" t="s">
        <v>191</v>
      </c>
      <c r="D96" s="23" t="s">
        <v>143</v>
      </c>
      <c r="E96" s="24">
        <v>500</v>
      </c>
      <c r="F96" s="25">
        <v>2333.2474999999999</v>
      </c>
      <c r="G96" s="26">
        <v>1.029062E-2</v>
      </c>
      <c r="H96" s="16">
        <v>7.6950000000000003</v>
      </c>
    </row>
    <row r="97" spans="1:8" ht="25.5" x14ac:dyDescent="0.2">
      <c r="A97" s="22">
        <v>10</v>
      </c>
      <c r="B97" s="23" t="s">
        <v>192</v>
      </c>
      <c r="C97" s="23" t="s">
        <v>193</v>
      </c>
      <c r="D97" s="23" t="s">
        <v>143</v>
      </c>
      <c r="E97" s="24">
        <v>500</v>
      </c>
      <c r="F97" s="25">
        <v>2317.5475000000001</v>
      </c>
      <c r="G97" s="26">
        <v>1.022137E-2</v>
      </c>
      <c r="H97" s="16">
        <v>8.3049999999999997</v>
      </c>
    </row>
    <row r="98" spans="1:8" x14ac:dyDescent="0.2">
      <c r="A98" s="22">
        <v>11</v>
      </c>
      <c r="B98" s="23" t="s">
        <v>186</v>
      </c>
      <c r="C98" s="23" t="s">
        <v>187</v>
      </c>
      <c r="D98" s="23" t="s">
        <v>143</v>
      </c>
      <c r="E98" s="24">
        <v>200</v>
      </c>
      <c r="F98" s="25">
        <v>928.89499999999998</v>
      </c>
      <c r="G98" s="26">
        <v>4.0968200000000001E-3</v>
      </c>
      <c r="H98" s="16">
        <v>7.9375</v>
      </c>
    </row>
    <row r="99" spans="1:8" x14ac:dyDescent="0.2">
      <c r="A99" s="14"/>
      <c r="B99" s="14"/>
      <c r="C99" s="15" t="s">
        <v>11</v>
      </c>
      <c r="D99" s="14"/>
      <c r="E99" s="14" t="s">
        <v>12</v>
      </c>
      <c r="F99" s="21">
        <v>34842.241499999996</v>
      </c>
      <c r="G99" s="18">
        <v>0.15366914000000001</v>
      </c>
      <c r="H99" s="16" t="s">
        <v>12</v>
      </c>
    </row>
    <row r="100" spans="1:8" x14ac:dyDescent="0.2">
      <c r="A100" s="14"/>
      <c r="B100" s="14"/>
      <c r="C100" s="19"/>
      <c r="D100" s="14"/>
      <c r="E100" s="14"/>
      <c r="F100" s="20"/>
      <c r="G100" s="20"/>
      <c r="H100" s="16" t="s">
        <v>12</v>
      </c>
    </row>
    <row r="101" spans="1:8" x14ac:dyDescent="0.2">
      <c r="A101" s="14"/>
      <c r="B101" s="14"/>
      <c r="C101" s="15" t="s">
        <v>93</v>
      </c>
      <c r="D101" s="14"/>
      <c r="E101" s="14"/>
      <c r="F101" s="20"/>
      <c r="G101" s="20"/>
      <c r="H101" s="16" t="s">
        <v>12</v>
      </c>
    </row>
    <row r="102" spans="1:8" x14ac:dyDescent="0.2">
      <c r="A102" s="22">
        <v>1</v>
      </c>
      <c r="B102" s="23" t="s">
        <v>459</v>
      </c>
      <c r="C102" s="23" t="s">
        <v>460</v>
      </c>
      <c r="D102" s="23" t="s">
        <v>75</v>
      </c>
      <c r="E102" s="24">
        <v>4000000</v>
      </c>
      <c r="F102" s="25">
        <v>3952.4479999999999</v>
      </c>
      <c r="G102" s="26">
        <v>1.743198E-2</v>
      </c>
      <c r="H102" s="16">
        <v>6.4581999999999997</v>
      </c>
    </row>
    <row r="103" spans="1:8" x14ac:dyDescent="0.2">
      <c r="A103" s="22">
        <v>2</v>
      </c>
      <c r="B103" s="23" t="s">
        <v>392</v>
      </c>
      <c r="C103" s="23" t="s">
        <v>393</v>
      </c>
      <c r="D103" s="23" t="s">
        <v>75</v>
      </c>
      <c r="E103" s="24">
        <v>2500000</v>
      </c>
      <c r="F103" s="25">
        <v>2479.5475000000001</v>
      </c>
      <c r="G103" s="26">
        <v>1.093586E-2</v>
      </c>
      <c r="H103" s="16">
        <v>6.5467000000000004</v>
      </c>
    </row>
    <row r="104" spans="1:8" x14ac:dyDescent="0.2">
      <c r="A104" s="14"/>
      <c r="B104" s="14"/>
      <c r="C104" s="15" t="s">
        <v>11</v>
      </c>
      <c r="D104" s="14"/>
      <c r="E104" s="14" t="s">
        <v>12</v>
      </c>
      <c r="F104" s="21">
        <v>6431.9955</v>
      </c>
      <c r="G104" s="18">
        <v>2.8367839999999998E-2</v>
      </c>
      <c r="H104" s="16" t="s">
        <v>12</v>
      </c>
    </row>
    <row r="105" spans="1:8" x14ac:dyDescent="0.2">
      <c r="A105" s="14"/>
      <c r="B105" s="14"/>
      <c r="C105" s="19"/>
      <c r="D105" s="14"/>
      <c r="E105" s="14"/>
      <c r="F105" s="20"/>
      <c r="G105" s="20"/>
      <c r="H105" s="16" t="s">
        <v>12</v>
      </c>
    </row>
    <row r="106" spans="1:8" x14ac:dyDescent="0.2">
      <c r="A106" s="14"/>
      <c r="B106" s="14"/>
      <c r="C106" s="15" t="s">
        <v>94</v>
      </c>
      <c r="D106" s="14"/>
      <c r="E106" s="14"/>
      <c r="F106" s="20"/>
      <c r="G106" s="20"/>
      <c r="H106" s="16" t="s">
        <v>12</v>
      </c>
    </row>
    <row r="107" spans="1:8" x14ac:dyDescent="0.2">
      <c r="A107" s="22">
        <v>1</v>
      </c>
      <c r="B107" s="23"/>
      <c r="C107" s="23" t="s">
        <v>404</v>
      </c>
      <c r="D107" s="23"/>
      <c r="E107" s="27"/>
      <c r="F107" s="25">
        <v>27609.198925000001</v>
      </c>
      <c r="G107" s="26">
        <v>0.12176834</v>
      </c>
      <c r="H107" s="16">
        <v>6.46</v>
      </c>
    </row>
    <row r="108" spans="1:8" x14ac:dyDescent="0.2">
      <c r="A108" s="22">
        <v>2</v>
      </c>
      <c r="B108" s="23"/>
      <c r="C108" s="23" t="s">
        <v>95</v>
      </c>
      <c r="D108" s="23"/>
      <c r="E108" s="27"/>
      <c r="F108" s="25">
        <v>17405.594430254001</v>
      </c>
      <c r="G108" s="26">
        <v>7.6766100000000004E-2</v>
      </c>
      <c r="H108" s="16">
        <v>6.24</v>
      </c>
    </row>
    <row r="109" spans="1:8" x14ac:dyDescent="0.2">
      <c r="A109" s="14"/>
      <c r="B109" s="14"/>
      <c r="C109" s="15" t="s">
        <v>11</v>
      </c>
      <c r="D109" s="14"/>
      <c r="E109" s="14" t="s">
        <v>12</v>
      </c>
      <c r="F109" s="21">
        <v>45014.793355253998</v>
      </c>
      <c r="G109" s="18">
        <v>0.19853444000000001</v>
      </c>
      <c r="H109" s="16" t="s">
        <v>12</v>
      </c>
    </row>
    <row r="110" spans="1:8" x14ac:dyDescent="0.2">
      <c r="A110" s="14"/>
      <c r="B110" s="14"/>
      <c r="C110" s="19"/>
      <c r="D110" s="14"/>
      <c r="E110" s="14"/>
      <c r="F110" s="20"/>
      <c r="G110" s="20"/>
      <c r="H110" s="16" t="s">
        <v>12</v>
      </c>
    </row>
    <row r="111" spans="1:8" x14ac:dyDescent="0.2">
      <c r="A111" s="14"/>
      <c r="B111" s="14"/>
      <c r="C111" s="15" t="s">
        <v>96</v>
      </c>
      <c r="D111" s="14"/>
      <c r="E111" s="14"/>
      <c r="F111" s="21">
        <v>195154.39265525399</v>
      </c>
      <c r="G111" s="18">
        <v>0.86071412999999997</v>
      </c>
      <c r="H111" s="16" t="s">
        <v>12</v>
      </c>
    </row>
    <row r="112" spans="1:8" x14ac:dyDescent="0.2">
      <c r="A112" s="14"/>
      <c r="B112" s="14"/>
      <c r="C112" s="20"/>
      <c r="D112" s="14"/>
      <c r="E112" s="14"/>
      <c r="F112" s="14"/>
      <c r="G112" s="14"/>
      <c r="H112" s="16" t="s">
        <v>12</v>
      </c>
    </row>
    <row r="113" spans="1:17" x14ac:dyDescent="0.2">
      <c r="A113" s="14"/>
      <c r="B113" s="14"/>
      <c r="C113" s="15" t="s">
        <v>97</v>
      </c>
      <c r="D113" s="14"/>
      <c r="E113" s="14"/>
      <c r="F113" s="14"/>
      <c r="G113" s="14"/>
      <c r="H113" s="16" t="s">
        <v>12</v>
      </c>
    </row>
    <row r="114" spans="1:17" x14ac:dyDescent="0.2">
      <c r="A114" s="14"/>
      <c r="B114" s="14"/>
      <c r="C114" s="15" t="s">
        <v>98</v>
      </c>
      <c r="D114" s="14"/>
      <c r="E114" s="14"/>
      <c r="F114" s="14"/>
      <c r="G114" s="14"/>
      <c r="H114" s="16" t="s">
        <v>12</v>
      </c>
    </row>
    <row r="115" spans="1:17" x14ac:dyDescent="0.2">
      <c r="A115" s="14"/>
      <c r="B115" s="14"/>
      <c r="C115" s="15" t="s">
        <v>11</v>
      </c>
      <c r="D115" s="14"/>
      <c r="E115" s="14" t="s">
        <v>12</v>
      </c>
      <c r="F115" s="17" t="s">
        <v>13</v>
      </c>
      <c r="G115" s="18">
        <v>0</v>
      </c>
      <c r="H115" s="16" t="s">
        <v>12</v>
      </c>
    </row>
    <row r="116" spans="1:17" x14ac:dyDescent="0.2">
      <c r="A116" s="28"/>
      <c r="B116" s="28"/>
      <c r="C116" s="29"/>
      <c r="D116" s="28"/>
      <c r="E116" s="28"/>
      <c r="F116" s="30"/>
      <c r="G116" s="30"/>
      <c r="H116" s="16" t="s">
        <v>12</v>
      </c>
    </row>
    <row r="117" spans="1:17" ht="25.5" x14ac:dyDescent="0.2">
      <c r="A117" s="28"/>
      <c r="B117" s="28"/>
      <c r="C117" s="32" t="s">
        <v>541</v>
      </c>
      <c r="D117" s="28"/>
      <c r="E117" s="28"/>
      <c r="F117" s="30"/>
      <c r="G117" s="30"/>
      <c r="H117" s="16" t="s">
        <v>12</v>
      </c>
      <c r="K117" s="34"/>
      <c r="L117" s="34"/>
      <c r="M117" s="34"/>
      <c r="N117" s="34"/>
      <c r="O117" s="35"/>
      <c r="P117" s="35"/>
      <c r="Q117" s="35"/>
    </row>
    <row r="118" spans="1:17" ht="25.5" x14ac:dyDescent="0.2">
      <c r="A118" s="36">
        <v>1</v>
      </c>
      <c r="B118" s="37" t="s">
        <v>99</v>
      </c>
      <c r="C118" s="37" t="s">
        <v>100</v>
      </c>
      <c r="D118" s="37"/>
      <c r="E118" s="38">
        <v>5151.0829999999996</v>
      </c>
      <c r="F118" s="33">
        <v>566.38712522200001</v>
      </c>
      <c r="G118" s="39">
        <v>2.4980100000000002E-3</v>
      </c>
      <c r="H118" s="16">
        <v>0</v>
      </c>
    </row>
    <row r="119" spans="1:17" x14ac:dyDescent="0.2">
      <c r="A119" s="28"/>
      <c r="B119" s="28"/>
      <c r="C119" s="32" t="s">
        <v>11</v>
      </c>
      <c r="D119" s="28"/>
      <c r="E119" s="28" t="s">
        <v>12</v>
      </c>
      <c r="F119" s="40">
        <f>SUM(F118)</f>
        <v>566.38712522200001</v>
      </c>
      <c r="G119" s="41">
        <f>SUM(G118)</f>
        <v>2.4980100000000002E-3</v>
      </c>
      <c r="H119" s="16" t="s">
        <v>12</v>
      </c>
    </row>
    <row r="120" spans="1:17" x14ac:dyDescent="0.2">
      <c r="A120" s="14"/>
      <c r="B120" s="14"/>
      <c r="C120" s="19"/>
      <c r="D120" s="14"/>
      <c r="E120" s="14"/>
      <c r="F120" s="20"/>
      <c r="G120" s="20"/>
      <c r="H120" s="16" t="s">
        <v>12</v>
      </c>
    </row>
    <row r="121" spans="1:17" x14ac:dyDescent="0.2">
      <c r="A121" s="14"/>
      <c r="B121" s="14"/>
      <c r="C121" s="15" t="s">
        <v>101</v>
      </c>
      <c r="D121" s="14"/>
      <c r="E121" s="14"/>
      <c r="F121" s="14"/>
      <c r="G121" s="14"/>
      <c r="H121" s="16" t="s">
        <v>12</v>
      </c>
    </row>
    <row r="122" spans="1:17" x14ac:dyDescent="0.2">
      <c r="A122" s="14"/>
      <c r="B122" s="14"/>
      <c r="C122" s="15" t="s">
        <v>102</v>
      </c>
      <c r="D122" s="14"/>
      <c r="E122" s="14"/>
      <c r="F122" s="14"/>
      <c r="G122" s="14"/>
      <c r="H122" s="16" t="s">
        <v>12</v>
      </c>
    </row>
    <row r="123" spans="1:17" x14ac:dyDescent="0.2">
      <c r="A123" s="14"/>
      <c r="B123" s="14"/>
      <c r="C123" s="15" t="s">
        <v>11</v>
      </c>
      <c r="D123" s="14"/>
      <c r="E123" s="14" t="s">
        <v>12</v>
      </c>
      <c r="F123" s="17" t="s">
        <v>13</v>
      </c>
      <c r="G123" s="18">
        <v>0</v>
      </c>
      <c r="H123" s="16" t="s">
        <v>12</v>
      </c>
    </row>
    <row r="124" spans="1:17" x14ac:dyDescent="0.2">
      <c r="A124" s="14"/>
      <c r="B124" s="14"/>
      <c r="C124" s="19"/>
      <c r="D124" s="14"/>
      <c r="E124" s="14"/>
      <c r="F124" s="20"/>
      <c r="G124" s="20"/>
      <c r="H124" s="16" t="s">
        <v>12</v>
      </c>
    </row>
    <row r="125" spans="1:17" ht="25.5" x14ac:dyDescent="0.2">
      <c r="A125" s="14"/>
      <c r="B125" s="14"/>
      <c r="C125" s="15" t="s">
        <v>103</v>
      </c>
      <c r="D125" s="14"/>
      <c r="E125" s="14"/>
      <c r="F125" s="20"/>
      <c r="G125" s="20"/>
      <c r="H125" s="16" t="s">
        <v>12</v>
      </c>
    </row>
    <row r="126" spans="1:17" x14ac:dyDescent="0.2">
      <c r="A126" s="14"/>
      <c r="B126" s="14"/>
      <c r="C126" s="15" t="s">
        <v>11</v>
      </c>
      <c r="D126" s="14"/>
      <c r="E126" s="14" t="s">
        <v>12</v>
      </c>
      <c r="F126" s="17" t="s">
        <v>13</v>
      </c>
      <c r="G126" s="18">
        <v>0</v>
      </c>
      <c r="H126" s="16" t="s">
        <v>12</v>
      </c>
    </row>
    <row r="127" spans="1:17" x14ac:dyDescent="0.2">
      <c r="A127" s="14"/>
      <c r="B127" s="14"/>
      <c r="C127" s="19"/>
      <c r="D127" s="14"/>
      <c r="E127" s="14"/>
      <c r="F127" s="20"/>
      <c r="G127" s="20"/>
      <c r="H127" s="31" t="s">
        <v>12</v>
      </c>
      <c r="I127" s="78"/>
    </row>
    <row r="128" spans="1:17" x14ac:dyDescent="0.2">
      <c r="A128" s="99"/>
      <c r="B128" s="99"/>
      <c r="C128" s="100" t="s">
        <v>603</v>
      </c>
      <c r="D128" s="101"/>
      <c r="E128" s="102"/>
      <c r="F128" s="102"/>
      <c r="G128" s="101"/>
      <c r="H128" s="102"/>
      <c r="I128" s="78"/>
    </row>
    <row r="129" spans="1:9" ht="21.75" x14ac:dyDescent="0.2">
      <c r="A129" s="99"/>
      <c r="B129" s="99"/>
      <c r="C129" s="103" t="s">
        <v>604</v>
      </c>
      <c r="D129" s="101"/>
      <c r="E129" s="104">
        <v>2500000</v>
      </c>
      <c r="F129" s="31">
        <f>-249750/10^5</f>
        <v>-2.4975000000000001</v>
      </c>
      <c r="G129" s="105" t="s">
        <v>605</v>
      </c>
      <c r="H129" s="102"/>
      <c r="I129" s="78"/>
    </row>
    <row r="130" spans="1:9" ht="21.75" x14ac:dyDescent="0.2">
      <c r="A130" s="99"/>
      <c r="B130" s="99"/>
      <c r="C130" s="103" t="s">
        <v>607</v>
      </c>
      <c r="D130" s="101"/>
      <c r="E130" s="104">
        <v>2500000</v>
      </c>
      <c r="F130" s="31">
        <f>-208000/10^5</f>
        <v>-2.08</v>
      </c>
      <c r="G130" s="105" t="s">
        <v>605</v>
      </c>
      <c r="H130" s="102"/>
      <c r="I130" s="78"/>
    </row>
    <row r="131" spans="1:9" x14ac:dyDescent="0.2">
      <c r="A131" s="14"/>
      <c r="B131" s="14"/>
      <c r="C131" s="19"/>
      <c r="D131" s="14"/>
      <c r="E131" s="14"/>
      <c r="F131" s="20"/>
      <c r="G131" s="20"/>
      <c r="H131" s="16" t="s">
        <v>12</v>
      </c>
      <c r="I131" s="78"/>
    </row>
    <row r="132" spans="1:9" x14ac:dyDescent="0.2">
      <c r="A132" s="27"/>
      <c r="B132" s="23"/>
      <c r="C132" s="23" t="s">
        <v>104</v>
      </c>
      <c r="D132" s="23"/>
      <c r="E132" s="27"/>
      <c r="F132" s="25">
        <f>-4557.64890779+2500+2500+0.0000158539962768555</f>
        <v>442.35110806399666</v>
      </c>
      <c r="G132" s="26">
        <f>F132/F133</f>
        <v>1.950957044868437E-3</v>
      </c>
      <c r="H132" s="16" t="s">
        <v>12</v>
      </c>
    </row>
    <row r="133" spans="1:9" x14ac:dyDescent="0.2">
      <c r="A133" s="19"/>
      <c r="B133" s="19"/>
      <c r="C133" s="15" t="s">
        <v>105</v>
      </c>
      <c r="D133" s="20"/>
      <c r="E133" s="20"/>
      <c r="F133" s="21">
        <f>F132+F129+F119+F111+F50+F24+F130</f>
        <v>226735.44208854</v>
      </c>
      <c r="G133" s="42">
        <f>G132+G119+G111+G50+G24</f>
        <v>1.0000202270448684</v>
      </c>
      <c r="H133" s="16" t="s">
        <v>12</v>
      </c>
    </row>
    <row r="134" spans="1:9" x14ac:dyDescent="0.2">
      <c r="A134" s="43"/>
      <c r="B134" s="43"/>
      <c r="C134" s="43"/>
      <c r="D134" s="44"/>
      <c r="E134" s="44"/>
      <c r="F134" s="44"/>
      <c r="G134" s="44"/>
    </row>
    <row r="135" spans="1:9" x14ac:dyDescent="0.2">
      <c r="A135" s="45"/>
      <c r="B135" s="164" t="s">
        <v>542</v>
      </c>
      <c r="C135" s="164"/>
      <c r="D135" s="164"/>
      <c r="E135" s="164"/>
      <c r="F135" s="164"/>
      <c r="G135" s="164"/>
      <c r="H135" s="164"/>
    </row>
    <row r="136" spans="1:9" x14ac:dyDescent="0.2">
      <c r="A136" s="45"/>
      <c r="B136" s="164" t="s">
        <v>543</v>
      </c>
      <c r="C136" s="164"/>
      <c r="D136" s="164"/>
      <c r="E136" s="164"/>
      <c r="F136" s="164"/>
      <c r="G136" s="164"/>
      <c r="H136" s="164"/>
    </row>
    <row r="137" spans="1:9" x14ac:dyDescent="0.2">
      <c r="A137" s="45"/>
      <c r="B137" s="164" t="s">
        <v>544</v>
      </c>
      <c r="C137" s="164"/>
      <c r="D137" s="164"/>
      <c r="E137" s="164"/>
      <c r="F137" s="164"/>
      <c r="G137" s="164"/>
      <c r="H137" s="164"/>
    </row>
    <row r="138" spans="1:9" ht="67.5" customHeight="1" x14ac:dyDescent="0.2">
      <c r="A138" s="45"/>
      <c r="B138" s="210" t="s">
        <v>606</v>
      </c>
      <c r="C138" s="210"/>
      <c r="D138" s="210"/>
      <c r="E138" s="210"/>
      <c r="F138" s="210"/>
      <c r="G138" s="210"/>
      <c r="H138" s="210"/>
      <c r="I138" s="78"/>
    </row>
    <row r="139" spans="1:9" x14ac:dyDescent="0.2">
      <c r="A139" s="47"/>
      <c r="B139" s="47"/>
      <c r="C139" s="47"/>
      <c r="D139" s="48"/>
      <c r="E139" s="48"/>
      <c r="F139" s="48"/>
      <c r="G139" s="48"/>
    </row>
    <row r="140" spans="1:9" x14ac:dyDescent="0.2">
      <c r="A140" s="47"/>
      <c r="B140" s="157" t="s">
        <v>106</v>
      </c>
      <c r="C140" s="158"/>
      <c r="D140" s="159"/>
      <c r="E140" s="49"/>
      <c r="F140" s="48"/>
      <c r="G140" s="48"/>
    </row>
    <row r="141" spans="1:9" ht="25.5" x14ac:dyDescent="0.2">
      <c r="A141" s="47"/>
      <c r="B141" s="160" t="s">
        <v>107</v>
      </c>
      <c r="C141" s="161"/>
      <c r="D141" s="32" t="s">
        <v>565</v>
      </c>
      <c r="E141" s="49"/>
      <c r="F141" s="48"/>
      <c r="G141" s="48"/>
    </row>
    <row r="142" spans="1:9" x14ac:dyDescent="0.2">
      <c r="A142" s="47"/>
      <c r="B142" s="160" t="s">
        <v>109</v>
      </c>
      <c r="C142" s="161"/>
      <c r="D142" s="15" t="s">
        <v>108</v>
      </c>
      <c r="E142" s="49"/>
      <c r="F142" s="48"/>
      <c r="G142" s="48"/>
    </row>
    <row r="143" spans="1:9" x14ac:dyDescent="0.2">
      <c r="A143" s="47"/>
      <c r="B143" s="160" t="s">
        <v>110</v>
      </c>
      <c r="C143" s="161"/>
      <c r="D143" s="20" t="s">
        <v>12</v>
      </c>
      <c r="E143" s="49"/>
      <c r="F143" s="48"/>
      <c r="G143" s="48"/>
    </row>
    <row r="144" spans="1:9" x14ac:dyDescent="0.2">
      <c r="A144" s="50"/>
      <c r="B144" s="51" t="s">
        <v>12</v>
      </c>
      <c r="C144" s="51" t="s">
        <v>545</v>
      </c>
      <c r="D144" s="51" t="s">
        <v>111</v>
      </c>
      <c r="E144" s="50"/>
      <c r="F144" s="50"/>
      <c r="G144" s="50"/>
    </row>
    <row r="145" spans="1:10" x14ac:dyDescent="0.2">
      <c r="A145" s="50"/>
      <c r="B145" s="52" t="s">
        <v>112</v>
      </c>
      <c r="C145" s="53">
        <v>45716</v>
      </c>
      <c r="D145" s="53">
        <v>45731</v>
      </c>
      <c r="E145" s="50"/>
      <c r="F145" s="50"/>
      <c r="G145" s="50"/>
    </row>
    <row r="146" spans="1:10" x14ac:dyDescent="0.2">
      <c r="A146" s="54"/>
      <c r="B146" s="23" t="s">
        <v>113</v>
      </c>
      <c r="C146" s="55">
        <v>2850.4103</v>
      </c>
      <c r="D146" s="55">
        <v>2857.8429000000001</v>
      </c>
      <c r="E146" s="54"/>
      <c r="F146" s="56"/>
      <c r="G146" s="57"/>
    </row>
    <row r="147" spans="1:10" ht="25.5" x14ac:dyDescent="0.2">
      <c r="A147" s="54"/>
      <c r="B147" s="23" t="s">
        <v>651</v>
      </c>
      <c r="C147" s="55">
        <v>1062.6242</v>
      </c>
      <c r="D147" s="55">
        <v>1065.3956000000001</v>
      </c>
      <c r="E147" s="54"/>
      <c r="F147" s="56"/>
      <c r="G147" s="57"/>
    </row>
    <row r="148" spans="1:10" ht="25.5" x14ac:dyDescent="0.2">
      <c r="A148" s="54"/>
      <c r="B148" s="23" t="s">
        <v>652</v>
      </c>
      <c r="C148" s="55">
        <v>1201.3456000000001</v>
      </c>
      <c r="D148" s="55">
        <v>1196.8704</v>
      </c>
      <c r="E148" s="54"/>
      <c r="F148" s="56"/>
      <c r="G148" s="57"/>
    </row>
    <row r="149" spans="1:10" x14ac:dyDescent="0.2">
      <c r="A149" s="54"/>
      <c r="B149" s="23" t="s">
        <v>114</v>
      </c>
      <c r="C149" s="55">
        <v>2624.4081999999999</v>
      </c>
      <c r="D149" s="55">
        <v>2629.8903</v>
      </c>
      <c r="E149" s="54"/>
      <c r="F149" s="56"/>
      <c r="G149" s="57"/>
    </row>
    <row r="150" spans="1:10" ht="25.5" x14ac:dyDescent="0.2">
      <c r="A150" s="54"/>
      <c r="B150" s="23" t="s">
        <v>655</v>
      </c>
      <c r="C150" s="55">
        <v>1061.8235999999999</v>
      </c>
      <c r="D150" s="55">
        <v>1064.0417</v>
      </c>
      <c r="E150" s="54"/>
      <c r="F150" s="56"/>
      <c r="G150" s="57"/>
    </row>
    <row r="151" spans="1:10" ht="25.5" x14ac:dyDescent="0.2">
      <c r="A151" s="54"/>
      <c r="B151" s="23" t="s">
        <v>621</v>
      </c>
      <c r="C151" s="55">
        <v>1153.6084000000001</v>
      </c>
      <c r="D151" s="55">
        <v>1148.5083</v>
      </c>
      <c r="E151" s="54"/>
      <c r="F151" s="56"/>
      <c r="G151" s="57"/>
    </row>
    <row r="152" spans="1:10" x14ac:dyDescent="0.2">
      <c r="A152" s="54"/>
      <c r="B152" s="54"/>
      <c r="C152" s="54"/>
      <c r="D152" s="54"/>
      <c r="E152" s="54"/>
      <c r="F152" s="54"/>
      <c r="G152" s="54"/>
    </row>
    <row r="153" spans="1:10" x14ac:dyDescent="0.2">
      <c r="A153" s="54"/>
      <c r="B153" s="160" t="s">
        <v>622</v>
      </c>
      <c r="C153" s="161"/>
      <c r="D153" s="15" t="s">
        <v>12</v>
      </c>
      <c r="E153" s="54"/>
      <c r="F153" s="54"/>
      <c r="G153" s="54"/>
    </row>
    <row r="154" spans="1:10" x14ac:dyDescent="0.2">
      <c r="A154" s="54"/>
      <c r="B154" s="58" t="s">
        <v>112</v>
      </c>
      <c r="C154" s="59" t="s">
        <v>115</v>
      </c>
      <c r="D154" s="59" t="s">
        <v>116</v>
      </c>
      <c r="E154" s="54"/>
      <c r="F154" s="54"/>
      <c r="G154" s="54"/>
    </row>
    <row r="155" spans="1:10" ht="25.5" x14ac:dyDescent="0.2">
      <c r="A155" s="54"/>
      <c r="B155" s="23" t="s">
        <v>652</v>
      </c>
      <c r="C155" s="60">
        <v>7.5</v>
      </c>
      <c r="D155" s="27" t="s">
        <v>117</v>
      </c>
      <c r="E155" s="54"/>
      <c r="F155" s="56"/>
      <c r="G155" s="57"/>
    </row>
    <row r="156" spans="1:10" ht="25.5" x14ac:dyDescent="0.2">
      <c r="A156" s="54"/>
      <c r="B156" s="23" t="s">
        <v>621</v>
      </c>
      <c r="C156" s="60">
        <v>7.5</v>
      </c>
      <c r="D156" s="27" t="s">
        <v>117</v>
      </c>
      <c r="E156" s="54"/>
      <c r="F156" s="56"/>
      <c r="G156" s="57"/>
    </row>
    <row r="157" spans="1:10" x14ac:dyDescent="0.2">
      <c r="A157" s="54"/>
      <c r="B157" s="61"/>
      <c r="C157" s="61"/>
      <c r="D157" s="62"/>
      <c r="E157" s="54"/>
      <c r="F157" s="56"/>
      <c r="G157" s="57"/>
    </row>
    <row r="158" spans="1:10" ht="25.5" x14ac:dyDescent="0.2">
      <c r="A158" s="50"/>
      <c r="B158" s="162" t="s">
        <v>118</v>
      </c>
      <c r="C158" s="163"/>
      <c r="D158" s="32" t="s">
        <v>608</v>
      </c>
      <c r="E158" s="63"/>
      <c r="F158" s="50"/>
      <c r="G158" s="50"/>
      <c r="I158" s="78"/>
    </row>
    <row r="159" spans="1:10" ht="27" customHeight="1" x14ac:dyDescent="0.2">
      <c r="A159" s="50"/>
      <c r="B159" s="162" t="s">
        <v>119</v>
      </c>
      <c r="C159" s="163"/>
      <c r="D159" s="32" t="s">
        <v>108</v>
      </c>
      <c r="E159" s="63"/>
      <c r="F159" s="50"/>
      <c r="G159" s="50"/>
      <c r="I159" s="78"/>
    </row>
    <row r="160" spans="1:10" ht="27.75" customHeight="1" x14ac:dyDescent="0.2">
      <c r="A160" s="50"/>
      <c r="B160" s="162" t="s">
        <v>546</v>
      </c>
      <c r="C160" s="163"/>
      <c r="D160" s="32" t="s">
        <v>108</v>
      </c>
      <c r="E160" s="63"/>
      <c r="F160" s="50"/>
      <c r="G160" s="50"/>
      <c r="I160" s="78"/>
      <c r="J160" s="76"/>
    </row>
    <row r="161" spans="1:16" ht="12.75" customHeight="1" x14ac:dyDescent="0.2">
      <c r="A161" s="64"/>
      <c r="B161" s="64"/>
      <c r="C161" s="64"/>
      <c r="D161" s="64"/>
      <c r="E161" s="64"/>
      <c r="F161" s="64"/>
      <c r="G161" s="64"/>
      <c r="I161" s="78"/>
      <c r="J161" s="76"/>
    </row>
    <row r="162" spans="1:16" ht="13.5" x14ac:dyDescent="0.25">
      <c r="A162" s="64"/>
      <c r="B162" s="106" t="s">
        <v>647</v>
      </c>
      <c r="C162" s="64"/>
      <c r="D162" s="64"/>
      <c r="E162" s="64"/>
      <c r="F162" s="64"/>
      <c r="G162" s="64"/>
      <c r="H162" s="64"/>
      <c r="I162" s="78"/>
      <c r="J162" s="76"/>
    </row>
    <row r="163" spans="1:16" s="76" customFormat="1" ht="38.25" x14ac:dyDescent="0.2">
      <c r="A163" s="107"/>
      <c r="B163" s="108" t="s">
        <v>609</v>
      </c>
      <c r="C163" s="108" t="s">
        <v>610</v>
      </c>
      <c r="D163" s="109" t="s">
        <v>611</v>
      </c>
      <c r="E163" s="109" t="s">
        <v>612</v>
      </c>
      <c r="F163" s="108" t="s">
        <v>613</v>
      </c>
      <c r="G163" s="108" t="s">
        <v>614</v>
      </c>
      <c r="H163" s="108" t="s">
        <v>8</v>
      </c>
      <c r="I163" s="110"/>
    </row>
    <row r="164" spans="1:16" s="71" customFormat="1" ht="25.5" x14ac:dyDescent="0.2">
      <c r="A164" s="111"/>
      <c r="B164" s="112" t="s">
        <v>615</v>
      </c>
      <c r="C164" s="112" t="s">
        <v>616</v>
      </c>
      <c r="D164" s="113" t="s">
        <v>617</v>
      </c>
      <c r="E164" s="114" t="s">
        <v>618</v>
      </c>
      <c r="F164" s="115">
        <v>2500</v>
      </c>
      <c r="G164" s="116">
        <v>46002</v>
      </c>
      <c r="H164" s="39">
        <f>F164/F133</f>
        <v>1.1026066224899026E-2</v>
      </c>
      <c r="I164" s="117"/>
      <c r="J164" s="76"/>
    </row>
    <row r="165" spans="1:16" s="71" customFormat="1" ht="25.5" x14ac:dyDescent="0.2">
      <c r="A165" s="111"/>
      <c r="B165" s="112" t="s">
        <v>615</v>
      </c>
      <c r="C165" s="112" t="s">
        <v>676</v>
      </c>
      <c r="D165" s="113" t="s">
        <v>617</v>
      </c>
      <c r="E165" s="114" t="s">
        <v>618</v>
      </c>
      <c r="F165" s="115">
        <v>2500</v>
      </c>
      <c r="G165" s="116">
        <v>46087</v>
      </c>
      <c r="H165" s="39">
        <f>F165/F133</f>
        <v>1.1026066224899026E-2</v>
      </c>
      <c r="I165" s="117"/>
      <c r="J165" s="76"/>
    </row>
    <row r="166" spans="1:16" s="74" customFormat="1" x14ac:dyDescent="0.2">
      <c r="A166" s="64"/>
      <c r="B166" s="64"/>
      <c r="C166" s="64"/>
      <c r="D166" s="64"/>
      <c r="E166" s="64"/>
      <c r="F166" s="64"/>
      <c r="G166" s="64"/>
      <c r="H166"/>
      <c r="I166" s="118"/>
      <c r="J166" s="119"/>
      <c r="K166" s="119"/>
      <c r="L166" s="119"/>
      <c r="M166" s="119"/>
      <c r="N166" s="119"/>
      <c r="O166" s="119"/>
    </row>
    <row r="167" spans="1:16" x14ac:dyDescent="0.2">
      <c r="A167" s="65"/>
      <c r="B167" s="80" t="s">
        <v>646</v>
      </c>
      <c r="C167" s="80"/>
      <c r="D167" s="80"/>
      <c r="E167" s="80"/>
      <c r="F167" s="80"/>
      <c r="G167" s="80"/>
      <c r="H167" s="65"/>
      <c r="I167" s="78"/>
      <c r="J167" s="76"/>
    </row>
    <row r="168" spans="1:16" x14ac:dyDescent="0.2">
      <c r="A168" s="65"/>
      <c r="B168" s="80"/>
      <c r="C168" s="80"/>
      <c r="D168" s="80"/>
      <c r="E168" s="80"/>
      <c r="F168" s="80"/>
      <c r="G168" s="80"/>
      <c r="H168" s="65"/>
      <c r="I168" s="78"/>
      <c r="J168" s="76"/>
    </row>
    <row r="169" spans="1:16" ht="13.5" customHeight="1" x14ac:dyDescent="0.2">
      <c r="B169" s="192" t="s">
        <v>571</v>
      </c>
      <c r="C169" s="192" t="s">
        <v>572</v>
      </c>
      <c r="D169" s="195" t="s">
        <v>664</v>
      </c>
      <c r="E169" s="196"/>
      <c r="F169" s="197"/>
      <c r="G169" s="177" t="s">
        <v>674</v>
      </c>
      <c r="H169" s="178"/>
      <c r="I169" s="181" t="s">
        <v>673</v>
      </c>
      <c r="J169" s="34"/>
      <c r="K169" s="34"/>
      <c r="L169" s="34"/>
      <c r="M169" s="34"/>
      <c r="N169" s="34"/>
      <c r="O169" s="34"/>
    </row>
    <row r="170" spans="1:16" ht="51" customHeight="1" x14ac:dyDescent="0.2">
      <c r="B170" s="193"/>
      <c r="C170" s="193"/>
      <c r="D170" s="181" t="s">
        <v>663</v>
      </c>
      <c r="E170" s="181" t="s">
        <v>662</v>
      </c>
      <c r="F170" s="181" t="s">
        <v>672</v>
      </c>
      <c r="G170" s="179"/>
      <c r="H170" s="180"/>
      <c r="I170" s="182"/>
      <c r="J170" s="34"/>
      <c r="K170" s="34"/>
      <c r="L170" s="34"/>
      <c r="M170" s="34"/>
      <c r="N170" s="34"/>
      <c r="O170" s="34"/>
    </row>
    <row r="171" spans="1:16" ht="21" customHeight="1" x14ac:dyDescent="0.2">
      <c r="B171" s="194"/>
      <c r="C171" s="194"/>
      <c r="D171" s="183"/>
      <c r="E171" s="183"/>
      <c r="F171" s="183"/>
      <c r="G171" s="93" t="s">
        <v>659</v>
      </c>
      <c r="H171" s="93" t="s">
        <v>660</v>
      </c>
      <c r="I171" s="183"/>
      <c r="J171" s="34"/>
      <c r="K171" s="34"/>
      <c r="L171" s="34"/>
      <c r="M171" s="34"/>
      <c r="N171" s="34"/>
      <c r="O171" s="34"/>
    </row>
    <row r="172" spans="1:16" ht="13.5" x14ac:dyDescent="0.25">
      <c r="B172" s="82" t="s">
        <v>569</v>
      </c>
      <c r="C172" s="83" t="s">
        <v>570</v>
      </c>
      <c r="D172" s="94">
        <v>488.84800000000001</v>
      </c>
      <c r="E172" s="87">
        <v>11.151999999999999</v>
      </c>
      <c r="F172" s="88">
        <f>D172+E172</f>
        <v>500</v>
      </c>
      <c r="G172" s="7">
        <v>21</v>
      </c>
      <c r="H172" s="7">
        <v>13</v>
      </c>
      <c r="I172" s="7">
        <f>G172+H172</f>
        <v>34</v>
      </c>
      <c r="J172" s="34"/>
      <c r="K172" s="34"/>
      <c r="L172" s="34"/>
      <c r="M172" s="34"/>
      <c r="N172" s="34"/>
      <c r="O172" s="34"/>
    </row>
    <row r="173" spans="1:16" ht="6.75" customHeight="1" x14ac:dyDescent="0.25">
      <c r="B173" s="89"/>
      <c r="C173" s="90"/>
      <c r="D173" s="95"/>
      <c r="E173" s="10"/>
      <c r="F173" s="92"/>
      <c r="G173" s="8"/>
      <c r="H173" s="8"/>
      <c r="I173" s="8"/>
      <c r="J173" s="34"/>
      <c r="K173" s="34"/>
      <c r="L173" s="34"/>
      <c r="M173" s="34"/>
      <c r="N173" s="34"/>
      <c r="O173" s="34"/>
    </row>
    <row r="174" spans="1:16" ht="42" customHeight="1" x14ac:dyDescent="0.2">
      <c r="B174" s="187" t="s">
        <v>675</v>
      </c>
      <c r="C174" s="187"/>
      <c r="D174" s="187"/>
      <c r="E174" s="187"/>
      <c r="F174" s="187"/>
      <c r="G174" s="187"/>
      <c r="H174" s="187"/>
      <c r="I174" s="187"/>
      <c r="J174" s="187"/>
      <c r="K174" s="34"/>
      <c r="L174" s="34"/>
      <c r="M174" s="34"/>
      <c r="N174" s="34"/>
      <c r="O174" s="34"/>
    </row>
    <row r="175" spans="1:16" ht="13.5" x14ac:dyDescent="0.25">
      <c r="B175" s="89"/>
      <c r="C175" s="90"/>
      <c r="D175" s="95"/>
      <c r="E175" s="10"/>
      <c r="F175" s="10"/>
      <c r="G175" s="92"/>
      <c r="H175" s="8"/>
      <c r="I175" s="8"/>
      <c r="J175" s="8"/>
      <c r="K175" s="34"/>
      <c r="L175" s="34"/>
      <c r="M175" s="34"/>
      <c r="N175" s="34"/>
      <c r="O175" s="34"/>
      <c r="P175" s="34"/>
    </row>
    <row r="176" spans="1:16" ht="13.5" x14ac:dyDescent="0.25">
      <c r="B176" s="96" t="s">
        <v>587</v>
      </c>
      <c r="I176" s="34"/>
      <c r="J176" s="76"/>
      <c r="K176" s="34"/>
      <c r="L176" s="34"/>
      <c r="M176" s="34"/>
      <c r="N176" s="34"/>
      <c r="O176" s="34"/>
      <c r="P176" s="34"/>
    </row>
    <row r="177" spans="1:17" ht="7.5" customHeight="1" x14ac:dyDescent="0.2">
      <c r="B177" s="97"/>
      <c r="J177" s="76"/>
      <c r="K177" s="34"/>
      <c r="L177" s="34"/>
      <c r="M177" s="34"/>
      <c r="N177" s="34"/>
      <c r="O177" s="34"/>
    </row>
    <row r="178" spans="1:17" x14ac:dyDescent="0.2">
      <c r="B178" s="97" t="s">
        <v>661</v>
      </c>
      <c r="J178" s="76"/>
      <c r="K178" s="34"/>
      <c r="L178" s="34"/>
      <c r="M178" s="34"/>
      <c r="N178" s="34"/>
      <c r="O178" s="34"/>
    </row>
    <row r="179" spans="1:17" s="65" customFormat="1" x14ac:dyDescent="0.2">
      <c r="I179" s="78"/>
      <c r="J179" s="76"/>
      <c r="K179" s="34"/>
      <c r="L179" s="34"/>
      <c r="M179" s="34"/>
      <c r="N179" s="34"/>
      <c r="O179" s="71"/>
    </row>
    <row r="180" spans="1:17" s="65" customFormat="1" x14ac:dyDescent="0.2">
      <c r="B180" s="165" t="s">
        <v>547</v>
      </c>
      <c r="C180" s="211"/>
      <c r="D180" s="212"/>
      <c r="I180" s="78"/>
      <c r="J180" s="76"/>
      <c r="K180" s="34"/>
      <c r="L180" s="34"/>
      <c r="M180" s="34"/>
      <c r="N180" s="34"/>
      <c r="O180" s="71"/>
    </row>
    <row r="181" spans="1:17" s="65" customFormat="1" ht="38.25" x14ac:dyDescent="0.2">
      <c r="B181" s="213" t="s">
        <v>548</v>
      </c>
      <c r="C181" s="213"/>
      <c r="D181" s="120" t="s">
        <v>420</v>
      </c>
      <c r="I181" s="78"/>
      <c r="J181" s="76"/>
      <c r="K181" s="34"/>
      <c r="L181" s="34"/>
      <c r="M181" s="34"/>
      <c r="N181" s="34"/>
      <c r="O181" s="71"/>
    </row>
    <row r="182" spans="1:17" s="65" customFormat="1" x14ac:dyDescent="0.2">
      <c r="B182" s="214" t="s">
        <v>549</v>
      </c>
      <c r="C182" s="214"/>
      <c r="D182" s="121"/>
      <c r="I182" s="78"/>
      <c r="J182" s="76"/>
      <c r="K182" s="34"/>
      <c r="L182" s="34"/>
      <c r="M182" s="34"/>
      <c r="N182" s="34"/>
      <c r="O182" s="71"/>
    </row>
    <row r="183" spans="1:17" s="65" customFormat="1" x14ac:dyDescent="0.2">
      <c r="B183" s="214"/>
      <c r="C183" s="214"/>
      <c r="D183" s="122"/>
      <c r="I183" s="78"/>
      <c r="J183" s="76"/>
      <c r="K183" s="34"/>
      <c r="L183" s="34"/>
      <c r="M183" s="34"/>
      <c r="N183" s="34"/>
      <c r="O183" s="71"/>
    </row>
    <row r="184" spans="1:17" s="65" customFormat="1" x14ac:dyDescent="0.2">
      <c r="B184" s="214" t="s">
        <v>550</v>
      </c>
      <c r="C184" s="214"/>
      <c r="D184" s="69">
        <v>7.4827760282110747</v>
      </c>
      <c r="I184" s="78"/>
      <c r="J184" s="76"/>
      <c r="K184" s="34"/>
      <c r="L184" s="34"/>
      <c r="M184" s="34"/>
      <c r="N184" s="34"/>
      <c r="O184" s="71"/>
    </row>
    <row r="185" spans="1:17" s="65" customFormat="1" x14ac:dyDescent="0.2">
      <c r="B185" s="168"/>
      <c r="C185" s="168"/>
      <c r="D185" s="68"/>
      <c r="I185" s="78"/>
      <c r="J185" s="76"/>
      <c r="K185" s="34"/>
      <c r="L185" s="34"/>
      <c r="M185" s="34"/>
      <c r="N185" s="34"/>
      <c r="O185" s="71"/>
    </row>
    <row r="186" spans="1:17" s="65" customFormat="1" x14ac:dyDescent="0.2">
      <c r="B186" s="168" t="s">
        <v>551</v>
      </c>
      <c r="C186" s="168"/>
      <c r="D186" s="69">
        <v>0.48434186609361757</v>
      </c>
      <c r="I186" s="78"/>
      <c r="J186" s="76"/>
      <c r="K186" s="34"/>
      <c r="L186" s="34"/>
      <c r="M186" s="34"/>
      <c r="N186" s="34"/>
      <c r="O186" s="71"/>
    </row>
    <row r="187" spans="1:17" s="65" customFormat="1" x14ac:dyDescent="0.2">
      <c r="B187" s="168" t="s">
        <v>552</v>
      </c>
      <c r="C187" s="168"/>
      <c r="D187" s="69">
        <v>0.49049412633533951</v>
      </c>
      <c r="I187" s="78"/>
      <c r="J187" s="76"/>
      <c r="K187" s="34"/>
      <c r="L187" s="34"/>
      <c r="M187" s="34"/>
      <c r="N187" s="34"/>
      <c r="O187" s="71"/>
    </row>
    <row r="188" spans="1:17" s="65" customFormat="1" x14ac:dyDescent="0.2">
      <c r="B188" s="168"/>
      <c r="C188" s="168"/>
      <c r="D188" s="68"/>
      <c r="I188" s="78"/>
      <c r="J188" s="76"/>
      <c r="K188" s="34"/>
      <c r="L188" s="34"/>
      <c r="M188" s="34"/>
      <c r="N188" s="34"/>
      <c r="O188" s="71"/>
    </row>
    <row r="189" spans="1:17" s="65" customFormat="1" x14ac:dyDescent="0.2">
      <c r="B189" s="168" t="s">
        <v>553</v>
      </c>
      <c r="C189" s="168"/>
      <c r="D189" s="70" t="s">
        <v>645</v>
      </c>
      <c r="I189" s="78"/>
      <c r="J189" s="76"/>
      <c r="K189" s="34"/>
      <c r="L189" s="34"/>
      <c r="M189" s="34"/>
      <c r="N189" s="34"/>
      <c r="O189" s="71"/>
    </row>
    <row r="190" spans="1:17" s="65" customFormat="1" x14ac:dyDescent="0.2">
      <c r="B190" s="169" t="s">
        <v>554</v>
      </c>
      <c r="C190" s="171"/>
      <c r="D190" s="170"/>
      <c r="I190" s="78"/>
      <c r="J190" s="76"/>
      <c r="K190" s="34"/>
      <c r="L190" s="34"/>
      <c r="M190" s="34"/>
      <c r="N190" s="34"/>
      <c r="O190" s="71"/>
    </row>
    <row r="191" spans="1:17" s="65" customFormat="1" x14ac:dyDescent="0.2">
      <c r="B191" s="46"/>
      <c r="C191" s="46"/>
      <c r="D191" s="46"/>
      <c r="I191" s="78"/>
      <c r="J191" s="76"/>
      <c r="K191" s="34"/>
      <c r="L191" s="34"/>
      <c r="M191" s="34"/>
      <c r="N191" s="34"/>
      <c r="O191" s="71"/>
    </row>
    <row r="192" spans="1:17" s="65" customFormat="1" ht="25.5" x14ac:dyDescent="0.2">
      <c r="A192"/>
      <c r="B192" s="72" t="s">
        <v>555</v>
      </c>
      <c r="C192"/>
      <c r="D192"/>
      <c r="E192"/>
      <c r="F192"/>
      <c r="G192"/>
      <c r="H192"/>
      <c r="I192" s="78"/>
      <c r="J192" s="76"/>
      <c r="K192" s="34"/>
      <c r="L192" s="34"/>
      <c r="M192" s="34"/>
      <c r="N192" s="34"/>
      <c r="O192" s="71"/>
      <c r="P192"/>
      <c r="Q192"/>
    </row>
    <row r="193" spans="2:10" x14ac:dyDescent="0.2">
      <c r="I193" s="78"/>
    </row>
    <row r="194" spans="2:10" ht="153.75" customHeight="1" x14ac:dyDescent="0.2">
      <c r="I194" s="78"/>
    </row>
    <row r="195" spans="2:10" ht="25.5" customHeight="1" x14ac:dyDescent="0.2">
      <c r="I195" s="78"/>
    </row>
    <row r="196" spans="2:10" x14ac:dyDescent="0.2">
      <c r="B196" s="73" t="s">
        <v>556</v>
      </c>
      <c r="C196" s="74"/>
      <c r="D196" s="73"/>
      <c r="I196" s="78"/>
    </row>
    <row r="197" spans="2:10" x14ac:dyDescent="0.2">
      <c r="B197" s="73" t="s">
        <v>619</v>
      </c>
      <c r="D197" s="73"/>
      <c r="I197" s="78"/>
    </row>
    <row r="198" spans="2:10" x14ac:dyDescent="0.2">
      <c r="I198" s="78"/>
    </row>
    <row r="199" spans="2:10" x14ac:dyDescent="0.2">
      <c r="I199" s="78"/>
    </row>
    <row r="200" spans="2:10" ht="165" customHeight="1" x14ac:dyDescent="0.2">
      <c r="I200" s="78"/>
    </row>
    <row r="201" spans="2:10" x14ac:dyDescent="0.2">
      <c r="I201" s="78"/>
    </row>
    <row r="202" spans="2:10" x14ac:dyDescent="0.2">
      <c r="I202" s="78"/>
      <c r="J202" s="76"/>
    </row>
    <row r="203" spans="2:10" x14ac:dyDescent="0.2">
      <c r="I203" s="78"/>
    </row>
    <row r="204" spans="2:10" x14ac:dyDescent="0.2">
      <c r="I204" s="78"/>
    </row>
    <row r="205" spans="2:10" x14ac:dyDescent="0.2">
      <c r="I205" s="78"/>
    </row>
    <row r="206" spans="2:10" x14ac:dyDescent="0.2">
      <c r="I206" s="78"/>
    </row>
    <row r="207" spans="2:10" x14ac:dyDescent="0.2">
      <c r="I207" s="78"/>
    </row>
    <row r="208" spans="2:10" x14ac:dyDescent="0.2">
      <c r="I208" s="78"/>
    </row>
    <row r="209" spans="9:9" x14ac:dyDescent="0.2">
      <c r="I209" s="78"/>
    </row>
    <row r="210" spans="9:9" x14ac:dyDescent="0.2">
      <c r="I210" s="78"/>
    </row>
    <row r="211" spans="9:9" x14ac:dyDescent="0.2">
      <c r="I211" s="78"/>
    </row>
    <row r="212" spans="9:9" x14ac:dyDescent="0.2">
      <c r="I212" s="78"/>
    </row>
    <row r="213" spans="9:9" x14ac:dyDescent="0.2">
      <c r="I213" s="78"/>
    </row>
    <row r="214" spans="9:9" x14ac:dyDescent="0.2">
      <c r="I214" s="78"/>
    </row>
    <row r="215" spans="9:9" x14ac:dyDescent="0.2">
      <c r="I215" s="78"/>
    </row>
    <row r="216" spans="9:9" x14ac:dyDescent="0.2">
      <c r="I216" s="78"/>
    </row>
    <row r="217" spans="9:9" x14ac:dyDescent="0.2">
      <c r="I217" s="78"/>
    </row>
  </sheetData>
  <mergeCells count="35">
    <mergeCell ref="B174:J174"/>
    <mergeCell ref="B190:D190"/>
    <mergeCell ref="B185:C185"/>
    <mergeCell ref="B186:C186"/>
    <mergeCell ref="B187:C187"/>
    <mergeCell ref="B188:C188"/>
    <mergeCell ref="B189:C189"/>
    <mergeCell ref="B180:D180"/>
    <mergeCell ref="B181:C181"/>
    <mergeCell ref="B182:C182"/>
    <mergeCell ref="B183:C183"/>
    <mergeCell ref="B184:C184"/>
    <mergeCell ref="B160:C160"/>
    <mergeCell ref="A1:H1"/>
    <mergeCell ref="A2:H2"/>
    <mergeCell ref="A3:H3"/>
    <mergeCell ref="B140:D140"/>
    <mergeCell ref="B141:C141"/>
    <mergeCell ref="B142:C142"/>
    <mergeCell ref="B143:C143"/>
    <mergeCell ref="B153:C153"/>
    <mergeCell ref="B159:C159"/>
    <mergeCell ref="B135:H135"/>
    <mergeCell ref="B136:H136"/>
    <mergeCell ref="B137:H137"/>
    <mergeCell ref="B138:H138"/>
    <mergeCell ref="B158:C158"/>
    <mergeCell ref="B169:B171"/>
    <mergeCell ref="C169:C171"/>
    <mergeCell ref="D169:F169"/>
    <mergeCell ref="G169:H170"/>
    <mergeCell ref="I169:I171"/>
    <mergeCell ref="D170:D171"/>
    <mergeCell ref="E170:E171"/>
    <mergeCell ref="F170:F171"/>
  </mergeCells>
  <hyperlinks>
    <hyperlink ref="I1" location="Index!B2" display="Index" xr:uid="{9792B6EA-1EE6-44F8-A570-637BEE3A24C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041-0BB8-4DFD-84F9-066464BE51B4}">
  <sheetPr>
    <outlinePr summaryBelow="0" summaryRight="0"/>
  </sheetPr>
  <dimension ref="A1:Q141"/>
  <sheetViews>
    <sheetView showGridLines="0" topLeftCell="A85" workbookViewId="0">
      <selection activeCell="B107" sqref="B107"/>
    </sheetView>
  </sheetViews>
  <sheetFormatPr defaultRowHeight="12.75" x14ac:dyDescent="0.2"/>
  <cols>
    <col min="1" max="1" width="5.85546875" bestFit="1" customWidth="1"/>
    <col min="2" max="2" width="24.28515625" customWidth="1"/>
    <col min="3" max="3" width="34" bestFit="1" customWidth="1"/>
    <col min="4" max="4" width="13.85546875" customWidth="1"/>
    <col min="5" max="5" width="8.7109375" bestFit="1" customWidth="1"/>
    <col min="6" max="6" width="10.140625" bestFit="1" customWidth="1"/>
    <col min="7" max="7" width="14" bestFit="1" customWidth="1"/>
    <col min="8" max="8" width="10.7109375" customWidth="1"/>
  </cols>
  <sheetData>
    <row r="1" spans="1:9" ht="15" x14ac:dyDescent="0.2">
      <c r="A1" s="156" t="s">
        <v>0</v>
      </c>
      <c r="B1" s="156"/>
      <c r="C1" s="156"/>
      <c r="D1" s="156"/>
      <c r="E1" s="156"/>
      <c r="F1" s="156"/>
      <c r="G1" s="156"/>
      <c r="H1" s="156"/>
      <c r="I1" s="9" t="s">
        <v>658</v>
      </c>
    </row>
    <row r="2" spans="1:9" ht="15" x14ac:dyDescent="0.2">
      <c r="A2" s="156" t="s">
        <v>461</v>
      </c>
      <c r="B2" s="156"/>
      <c r="C2" s="156"/>
      <c r="D2" s="156"/>
      <c r="E2" s="156"/>
      <c r="F2" s="156"/>
      <c r="G2" s="156"/>
      <c r="H2" s="156"/>
    </row>
    <row r="3" spans="1:9" ht="15" x14ac:dyDescent="0.2">
      <c r="A3" s="156" t="s">
        <v>563</v>
      </c>
      <c r="B3" s="156"/>
      <c r="C3" s="156"/>
      <c r="D3" s="156"/>
      <c r="E3" s="156"/>
      <c r="F3" s="156"/>
      <c r="G3" s="156"/>
      <c r="H3" s="156"/>
    </row>
    <row r="4" spans="1:9" s="13" customFormat="1" ht="30" x14ac:dyDescent="0.2">
      <c r="A4" s="11" t="s">
        <v>2</v>
      </c>
      <c r="B4" s="11" t="s">
        <v>3</v>
      </c>
      <c r="C4" s="11" t="s">
        <v>4</v>
      </c>
      <c r="D4" s="11" t="s">
        <v>5</v>
      </c>
      <c r="E4" s="11" t="s">
        <v>6</v>
      </c>
      <c r="F4" s="11" t="s">
        <v>7</v>
      </c>
      <c r="G4" s="11" t="s">
        <v>8</v>
      </c>
      <c r="H4" s="12" t="s">
        <v>527</v>
      </c>
    </row>
    <row r="5" spans="1:9" x14ac:dyDescent="0.2">
      <c r="A5" s="14"/>
      <c r="B5" s="14"/>
      <c r="C5" s="15" t="s">
        <v>9</v>
      </c>
      <c r="D5" s="14"/>
      <c r="E5" s="14"/>
      <c r="F5" s="14"/>
      <c r="G5" s="14"/>
      <c r="H5" s="16" t="s">
        <v>12</v>
      </c>
    </row>
    <row r="6" spans="1:9" ht="25.5" x14ac:dyDescent="0.2">
      <c r="A6" s="14"/>
      <c r="B6" s="14"/>
      <c r="C6" s="15" t="s">
        <v>10</v>
      </c>
      <c r="D6" s="14"/>
      <c r="E6" s="14"/>
      <c r="F6" s="14"/>
      <c r="G6" s="14"/>
      <c r="H6" s="16" t="s">
        <v>12</v>
      </c>
    </row>
    <row r="7" spans="1:9" x14ac:dyDescent="0.2">
      <c r="A7" s="14"/>
      <c r="B7" s="14"/>
      <c r="C7" s="15" t="s">
        <v>11</v>
      </c>
      <c r="D7" s="14"/>
      <c r="E7" s="14" t="s">
        <v>12</v>
      </c>
      <c r="F7" s="17" t="s">
        <v>13</v>
      </c>
      <c r="G7" s="18">
        <v>0</v>
      </c>
      <c r="H7" s="16" t="s">
        <v>12</v>
      </c>
    </row>
    <row r="8" spans="1:9" x14ac:dyDescent="0.2">
      <c r="A8" s="14"/>
      <c r="B8" s="14"/>
      <c r="C8" s="19"/>
      <c r="D8" s="14"/>
      <c r="E8" s="14"/>
      <c r="F8" s="20"/>
      <c r="G8" s="20"/>
      <c r="H8" s="16" t="s">
        <v>12</v>
      </c>
    </row>
    <row r="9" spans="1:9" x14ac:dyDescent="0.2">
      <c r="A9" s="14"/>
      <c r="B9" s="14"/>
      <c r="C9" s="15" t="s">
        <v>14</v>
      </c>
      <c r="D9" s="14"/>
      <c r="E9" s="14"/>
      <c r="F9" s="14"/>
      <c r="G9" s="14"/>
      <c r="H9" s="16" t="s">
        <v>12</v>
      </c>
    </row>
    <row r="10" spans="1:9" x14ac:dyDescent="0.2">
      <c r="A10" s="14"/>
      <c r="B10" s="14"/>
      <c r="C10" s="15" t="s">
        <v>11</v>
      </c>
      <c r="D10" s="14"/>
      <c r="E10" s="14" t="s">
        <v>12</v>
      </c>
      <c r="F10" s="17" t="s">
        <v>13</v>
      </c>
      <c r="G10" s="18">
        <v>0</v>
      </c>
      <c r="H10" s="16" t="s">
        <v>12</v>
      </c>
    </row>
    <row r="11" spans="1:9" x14ac:dyDescent="0.2">
      <c r="A11" s="14"/>
      <c r="B11" s="14"/>
      <c r="C11" s="19"/>
      <c r="D11" s="14"/>
      <c r="E11" s="14"/>
      <c r="F11" s="20"/>
      <c r="G11" s="20"/>
      <c r="H11" s="16" t="s">
        <v>12</v>
      </c>
    </row>
    <row r="12" spans="1:9" x14ac:dyDescent="0.2">
      <c r="A12" s="14"/>
      <c r="B12" s="14"/>
      <c r="C12" s="15" t="s">
        <v>15</v>
      </c>
      <c r="D12" s="14"/>
      <c r="E12" s="14"/>
      <c r="F12" s="14"/>
      <c r="G12" s="14"/>
      <c r="H12" s="16" t="s">
        <v>12</v>
      </c>
    </row>
    <row r="13" spans="1:9" x14ac:dyDescent="0.2">
      <c r="A13" s="14"/>
      <c r="B13" s="14"/>
      <c r="C13" s="15" t="s">
        <v>11</v>
      </c>
      <c r="D13" s="14"/>
      <c r="E13" s="14" t="s">
        <v>12</v>
      </c>
      <c r="F13" s="17" t="s">
        <v>13</v>
      </c>
      <c r="G13" s="18">
        <v>0</v>
      </c>
      <c r="H13" s="16" t="s">
        <v>12</v>
      </c>
    </row>
    <row r="14" spans="1:9" x14ac:dyDescent="0.2">
      <c r="A14" s="14"/>
      <c r="B14" s="14"/>
      <c r="C14" s="19"/>
      <c r="D14" s="14"/>
      <c r="E14" s="14"/>
      <c r="F14" s="20"/>
      <c r="G14" s="20"/>
      <c r="H14" s="16" t="s">
        <v>12</v>
      </c>
    </row>
    <row r="15" spans="1:9" x14ac:dyDescent="0.2">
      <c r="A15" s="14"/>
      <c r="B15" s="14"/>
      <c r="C15" s="15" t="s">
        <v>16</v>
      </c>
      <c r="D15" s="14"/>
      <c r="E15" s="14"/>
      <c r="F15" s="14"/>
      <c r="G15" s="14"/>
      <c r="H15" s="16" t="s">
        <v>12</v>
      </c>
    </row>
    <row r="16" spans="1:9" x14ac:dyDescent="0.2">
      <c r="A16" s="14"/>
      <c r="B16" s="14"/>
      <c r="C16" s="15" t="s">
        <v>11</v>
      </c>
      <c r="D16" s="14"/>
      <c r="E16" s="14" t="s">
        <v>12</v>
      </c>
      <c r="F16" s="17" t="s">
        <v>13</v>
      </c>
      <c r="G16" s="18">
        <v>0</v>
      </c>
      <c r="H16" s="16" t="s">
        <v>12</v>
      </c>
    </row>
    <row r="17" spans="1:8" x14ac:dyDescent="0.2">
      <c r="A17" s="14"/>
      <c r="B17" s="14"/>
      <c r="C17" s="19"/>
      <c r="D17" s="14"/>
      <c r="E17" s="14"/>
      <c r="F17" s="20"/>
      <c r="G17" s="20"/>
      <c r="H17" s="16" t="s">
        <v>12</v>
      </c>
    </row>
    <row r="18" spans="1:8" x14ac:dyDescent="0.2">
      <c r="A18" s="14"/>
      <c r="B18" s="14"/>
      <c r="C18" s="15" t="s">
        <v>17</v>
      </c>
      <c r="D18" s="14"/>
      <c r="E18" s="14"/>
      <c r="F18" s="20"/>
      <c r="G18" s="20"/>
      <c r="H18" s="16" t="s">
        <v>12</v>
      </c>
    </row>
    <row r="19" spans="1:8" x14ac:dyDescent="0.2">
      <c r="A19" s="14"/>
      <c r="B19" s="14"/>
      <c r="C19" s="15" t="s">
        <v>11</v>
      </c>
      <c r="D19" s="14"/>
      <c r="E19" s="14" t="s">
        <v>12</v>
      </c>
      <c r="F19" s="17" t="s">
        <v>13</v>
      </c>
      <c r="G19" s="18">
        <v>0</v>
      </c>
      <c r="H19" s="16" t="s">
        <v>12</v>
      </c>
    </row>
    <row r="20" spans="1:8" x14ac:dyDescent="0.2">
      <c r="A20" s="14"/>
      <c r="B20" s="14"/>
      <c r="C20" s="19"/>
      <c r="D20" s="14"/>
      <c r="E20" s="14"/>
      <c r="F20" s="20"/>
      <c r="G20" s="20"/>
      <c r="H20" s="16" t="s">
        <v>12</v>
      </c>
    </row>
    <row r="21" spans="1:8" x14ac:dyDescent="0.2">
      <c r="A21" s="14"/>
      <c r="B21" s="14"/>
      <c r="C21" s="15" t="s">
        <v>18</v>
      </c>
      <c r="D21" s="14"/>
      <c r="E21" s="14"/>
      <c r="F21" s="20"/>
      <c r="G21" s="20"/>
      <c r="H21" s="16" t="s">
        <v>12</v>
      </c>
    </row>
    <row r="22" spans="1:8" x14ac:dyDescent="0.2">
      <c r="A22" s="14"/>
      <c r="B22" s="14"/>
      <c r="C22" s="15" t="s">
        <v>11</v>
      </c>
      <c r="D22" s="14"/>
      <c r="E22" s="14" t="s">
        <v>12</v>
      </c>
      <c r="F22" s="17" t="s">
        <v>13</v>
      </c>
      <c r="G22" s="18">
        <v>0</v>
      </c>
      <c r="H22" s="16" t="s">
        <v>12</v>
      </c>
    </row>
    <row r="23" spans="1:8" x14ac:dyDescent="0.2">
      <c r="A23" s="14"/>
      <c r="B23" s="14"/>
      <c r="C23" s="19"/>
      <c r="D23" s="14"/>
      <c r="E23" s="14"/>
      <c r="F23" s="20"/>
      <c r="G23" s="20"/>
      <c r="H23" s="16" t="s">
        <v>12</v>
      </c>
    </row>
    <row r="24" spans="1:8" x14ac:dyDescent="0.2">
      <c r="A24" s="14"/>
      <c r="B24" s="14"/>
      <c r="C24" s="15" t="s">
        <v>19</v>
      </c>
      <c r="D24" s="14"/>
      <c r="E24" s="14"/>
      <c r="F24" s="21">
        <v>0</v>
      </c>
      <c r="G24" s="18">
        <v>0</v>
      </c>
      <c r="H24" s="16" t="s">
        <v>12</v>
      </c>
    </row>
    <row r="25" spans="1:8" x14ac:dyDescent="0.2">
      <c r="A25" s="14"/>
      <c r="B25" s="14"/>
      <c r="C25" s="19"/>
      <c r="D25" s="14"/>
      <c r="E25" s="14"/>
      <c r="F25" s="20"/>
      <c r="G25" s="20"/>
      <c r="H25" s="16" t="s">
        <v>12</v>
      </c>
    </row>
    <row r="26" spans="1:8" x14ac:dyDescent="0.2">
      <c r="A26" s="14"/>
      <c r="B26" s="14"/>
      <c r="C26" s="15" t="s">
        <v>20</v>
      </c>
      <c r="D26" s="14"/>
      <c r="E26" s="14"/>
      <c r="F26" s="20"/>
      <c r="G26" s="20"/>
      <c r="H26" s="16" t="s">
        <v>12</v>
      </c>
    </row>
    <row r="27" spans="1:8" ht="25.5" x14ac:dyDescent="0.2">
      <c r="A27" s="14"/>
      <c r="B27" s="14"/>
      <c r="C27" s="15" t="s">
        <v>10</v>
      </c>
      <c r="D27" s="14"/>
      <c r="E27" s="14"/>
      <c r="F27" s="20"/>
      <c r="G27" s="20"/>
      <c r="H27" s="16" t="s">
        <v>12</v>
      </c>
    </row>
    <row r="28" spans="1:8" x14ac:dyDescent="0.2">
      <c r="A28" s="22">
        <v>1</v>
      </c>
      <c r="B28" s="23" t="s">
        <v>213</v>
      </c>
      <c r="C28" s="23" t="s">
        <v>214</v>
      </c>
      <c r="D28" s="23" t="s">
        <v>210</v>
      </c>
      <c r="E28" s="24">
        <v>200</v>
      </c>
      <c r="F28" s="25">
        <v>200.47919999999999</v>
      </c>
      <c r="G28" s="26">
        <v>4.6458649999999997E-2</v>
      </c>
      <c r="H28" s="16">
        <v>8.34</v>
      </c>
    </row>
    <row r="29" spans="1:8" ht="25.5" x14ac:dyDescent="0.2">
      <c r="A29" s="22">
        <v>2</v>
      </c>
      <c r="B29" s="23" t="s">
        <v>237</v>
      </c>
      <c r="C29" s="23" t="s">
        <v>238</v>
      </c>
      <c r="D29" s="23" t="s">
        <v>210</v>
      </c>
      <c r="E29" s="24">
        <v>150</v>
      </c>
      <c r="F29" s="25">
        <v>150.05445</v>
      </c>
      <c r="G29" s="26">
        <v>3.4773320000000003E-2</v>
      </c>
      <c r="H29" s="16">
        <v>8.6199999999999992</v>
      </c>
    </row>
    <row r="30" spans="1:8" ht="25.5" x14ac:dyDescent="0.2">
      <c r="A30" s="22">
        <v>3</v>
      </c>
      <c r="B30" s="23" t="s">
        <v>205</v>
      </c>
      <c r="C30" s="23" t="s">
        <v>206</v>
      </c>
      <c r="D30" s="23" t="s">
        <v>207</v>
      </c>
      <c r="E30" s="24">
        <v>100</v>
      </c>
      <c r="F30" s="25">
        <v>100.4307</v>
      </c>
      <c r="G30" s="26">
        <v>2.327361E-2</v>
      </c>
      <c r="H30" s="16">
        <v>8.0950000000000006</v>
      </c>
    </row>
    <row r="31" spans="1:8" ht="25.5" x14ac:dyDescent="0.2">
      <c r="A31" s="22">
        <v>4</v>
      </c>
      <c r="B31" s="23" t="s">
        <v>226</v>
      </c>
      <c r="C31" s="23" t="s">
        <v>227</v>
      </c>
      <c r="D31" s="23" t="s">
        <v>210</v>
      </c>
      <c r="E31" s="24">
        <v>100</v>
      </c>
      <c r="F31" s="25">
        <v>100.1317</v>
      </c>
      <c r="G31" s="26">
        <v>2.3204320000000001E-2</v>
      </c>
      <c r="H31" s="16">
        <v>8.1988000000000003</v>
      </c>
    </row>
    <row r="32" spans="1:8" ht="25.5" x14ac:dyDescent="0.2">
      <c r="A32" s="22">
        <v>5</v>
      </c>
      <c r="B32" s="23" t="s">
        <v>228</v>
      </c>
      <c r="C32" s="23" t="s">
        <v>229</v>
      </c>
      <c r="D32" s="23" t="s">
        <v>34</v>
      </c>
      <c r="E32" s="24">
        <v>100</v>
      </c>
      <c r="F32" s="25">
        <v>99.965900000000005</v>
      </c>
      <c r="G32" s="26">
        <v>2.31659E-2</v>
      </c>
      <c r="H32" s="16">
        <v>8.1300000000000008</v>
      </c>
    </row>
    <row r="33" spans="1:8" x14ac:dyDescent="0.2">
      <c r="A33" s="14"/>
      <c r="B33" s="14"/>
      <c r="C33" s="15" t="s">
        <v>11</v>
      </c>
      <c r="D33" s="14"/>
      <c r="E33" s="14" t="s">
        <v>12</v>
      </c>
      <c r="F33" s="21">
        <v>651.06195000000002</v>
      </c>
      <c r="G33" s="18">
        <v>0.1508758</v>
      </c>
      <c r="H33" s="16" t="s">
        <v>12</v>
      </c>
    </row>
    <row r="34" spans="1:8" x14ac:dyDescent="0.2">
      <c r="A34" s="14"/>
      <c r="B34" s="14"/>
      <c r="C34" s="19"/>
      <c r="D34" s="14"/>
      <c r="E34" s="14"/>
      <c r="F34" s="20"/>
      <c r="G34" s="20"/>
      <c r="H34" s="16" t="s">
        <v>12</v>
      </c>
    </row>
    <row r="35" spans="1:8" x14ac:dyDescent="0.2">
      <c r="A35" s="14"/>
      <c r="B35" s="14"/>
      <c r="C35" s="15" t="s">
        <v>71</v>
      </c>
      <c r="D35" s="14"/>
      <c r="E35" s="14"/>
      <c r="F35" s="14"/>
      <c r="G35" s="14"/>
      <c r="H35" s="16" t="s">
        <v>12</v>
      </c>
    </row>
    <row r="36" spans="1:8" x14ac:dyDescent="0.2">
      <c r="A36" s="14"/>
      <c r="B36" s="14"/>
      <c r="C36" s="15" t="s">
        <v>11</v>
      </c>
      <c r="D36" s="14"/>
      <c r="E36" s="14" t="s">
        <v>12</v>
      </c>
      <c r="F36" s="17" t="s">
        <v>13</v>
      </c>
      <c r="G36" s="18">
        <v>0</v>
      </c>
      <c r="H36" s="16" t="s">
        <v>12</v>
      </c>
    </row>
    <row r="37" spans="1:8" x14ac:dyDescent="0.2">
      <c r="A37" s="14"/>
      <c r="B37" s="14"/>
      <c r="C37" s="19"/>
      <c r="D37" s="14"/>
      <c r="E37" s="14"/>
      <c r="F37" s="20"/>
      <c r="G37" s="20"/>
      <c r="H37" s="16" t="s">
        <v>12</v>
      </c>
    </row>
    <row r="38" spans="1:8" x14ac:dyDescent="0.2">
      <c r="A38" s="14"/>
      <c r="B38" s="14"/>
      <c r="C38" s="15" t="s">
        <v>72</v>
      </c>
      <c r="D38" s="14"/>
      <c r="E38" s="14"/>
      <c r="F38" s="14"/>
      <c r="G38" s="14"/>
      <c r="H38" s="16" t="s">
        <v>12</v>
      </c>
    </row>
    <row r="39" spans="1:8" ht="25.5" x14ac:dyDescent="0.2">
      <c r="A39" s="22">
        <v>1</v>
      </c>
      <c r="B39" s="23" t="s">
        <v>73</v>
      </c>
      <c r="C39" s="23" t="s">
        <v>74</v>
      </c>
      <c r="D39" s="23" t="s">
        <v>75</v>
      </c>
      <c r="E39" s="24">
        <v>1500000</v>
      </c>
      <c r="F39" s="25">
        <v>1534.8869999999999</v>
      </c>
      <c r="G39" s="26">
        <v>0.35569161999999999</v>
      </c>
      <c r="H39" s="16">
        <v>6.8678999999999997</v>
      </c>
    </row>
    <row r="40" spans="1:8" ht="25.5" x14ac:dyDescent="0.2">
      <c r="A40" s="22">
        <v>2</v>
      </c>
      <c r="B40" s="23" t="s">
        <v>462</v>
      </c>
      <c r="C40" s="23" t="s">
        <v>463</v>
      </c>
      <c r="D40" s="23" t="s">
        <v>75</v>
      </c>
      <c r="E40" s="24">
        <v>1000000</v>
      </c>
      <c r="F40" s="25">
        <v>987.029</v>
      </c>
      <c r="G40" s="26">
        <v>0.22873210999999999</v>
      </c>
      <c r="H40" s="16">
        <v>6.6784999999999997</v>
      </c>
    </row>
    <row r="41" spans="1:8" ht="25.5" x14ac:dyDescent="0.2">
      <c r="A41" s="22">
        <v>3</v>
      </c>
      <c r="B41" s="23" t="s">
        <v>86</v>
      </c>
      <c r="C41" s="23" t="s">
        <v>87</v>
      </c>
      <c r="D41" s="23" t="s">
        <v>75</v>
      </c>
      <c r="E41" s="24">
        <v>500000</v>
      </c>
      <c r="F41" s="25">
        <v>512.39099999999996</v>
      </c>
      <c r="G41" s="26">
        <v>0.11874046000000001</v>
      </c>
      <c r="H41" s="16">
        <v>6.6906999999999996</v>
      </c>
    </row>
    <row r="42" spans="1:8" ht="25.5" x14ac:dyDescent="0.2">
      <c r="A42" s="22">
        <v>4</v>
      </c>
      <c r="B42" s="23" t="s">
        <v>418</v>
      </c>
      <c r="C42" s="23" t="s">
        <v>419</v>
      </c>
      <c r="D42" s="23" t="s">
        <v>75</v>
      </c>
      <c r="E42" s="24">
        <v>230000</v>
      </c>
      <c r="F42" s="25">
        <v>234.06639999999999</v>
      </c>
      <c r="G42" s="26">
        <v>5.4242079999999998E-2</v>
      </c>
      <c r="H42" s="16">
        <v>7.2986000000000004</v>
      </c>
    </row>
    <row r="43" spans="1:8" ht="25.5" x14ac:dyDescent="0.2">
      <c r="A43" s="22">
        <v>5</v>
      </c>
      <c r="B43" s="23" t="s">
        <v>241</v>
      </c>
      <c r="C43" s="23" t="s">
        <v>242</v>
      </c>
      <c r="D43" s="23" t="s">
        <v>75</v>
      </c>
      <c r="E43" s="24">
        <v>100000</v>
      </c>
      <c r="F43" s="25">
        <v>101.54089999999999</v>
      </c>
      <c r="G43" s="26">
        <v>2.3530880000000001E-2</v>
      </c>
      <c r="H43" s="16">
        <v>6.7202999999999999</v>
      </c>
    </row>
    <row r="44" spans="1:8" x14ac:dyDescent="0.2">
      <c r="A44" s="14"/>
      <c r="B44" s="14"/>
      <c r="C44" s="15" t="s">
        <v>11</v>
      </c>
      <c r="D44" s="14"/>
      <c r="E44" s="14" t="s">
        <v>12</v>
      </c>
      <c r="F44" s="21">
        <v>3369.9142999999999</v>
      </c>
      <c r="G44" s="18">
        <v>0.78093714999999997</v>
      </c>
      <c r="H44" s="16" t="s">
        <v>12</v>
      </c>
    </row>
    <row r="45" spans="1:8" x14ac:dyDescent="0.2">
      <c r="A45" s="14"/>
      <c r="B45" s="14"/>
      <c r="C45" s="19"/>
      <c r="D45" s="14"/>
      <c r="E45" s="14"/>
      <c r="F45" s="20"/>
      <c r="G45" s="20"/>
      <c r="H45" s="16" t="s">
        <v>12</v>
      </c>
    </row>
    <row r="46" spans="1:8" x14ac:dyDescent="0.2">
      <c r="A46" s="14"/>
      <c r="B46" s="14"/>
      <c r="C46" s="15" t="s">
        <v>88</v>
      </c>
      <c r="D46" s="14"/>
      <c r="E46" s="14"/>
      <c r="F46" s="20"/>
      <c r="G46" s="20"/>
      <c r="H46" s="16" t="s">
        <v>12</v>
      </c>
    </row>
    <row r="47" spans="1:8" x14ac:dyDescent="0.2">
      <c r="A47" s="14"/>
      <c r="B47" s="14"/>
      <c r="C47" s="15" t="s">
        <v>11</v>
      </c>
      <c r="D47" s="14"/>
      <c r="E47" s="14" t="s">
        <v>12</v>
      </c>
      <c r="F47" s="17" t="s">
        <v>13</v>
      </c>
      <c r="G47" s="18">
        <v>0</v>
      </c>
      <c r="H47" s="16" t="s">
        <v>12</v>
      </c>
    </row>
    <row r="48" spans="1:8" x14ac:dyDescent="0.2">
      <c r="A48" s="14"/>
      <c r="B48" s="14"/>
      <c r="C48" s="19"/>
      <c r="D48" s="14"/>
      <c r="E48" s="14"/>
      <c r="F48" s="20"/>
      <c r="G48" s="20"/>
      <c r="H48" s="16" t="s">
        <v>12</v>
      </c>
    </row>
    <row r="49" spans="1:8" x14ac:dyDescent="0.2">
      <c r="A49" s="14"/>
      <c r="B49" s="14"/>
      <c r="C49" s="15" t="s">
        <v>89</v>
      </c>
      <c r="D49" s="14"/>
      <c r="E49" s="14"/>
      <c r="F49" s="21">
        <v>4020.9762500000002</v>
      </c>
      <c r="G49" s="18">
        <v>0.93181294999999997</v>
      </c>
      <c r="H49" s="16" t="s">
        <v>12</v>
      </c>
    </row>
    <row r="50" spans="1:8" x14ac:dyDescent="0.2">
      <c r="A50" s="14"/>
      <c r="B50" s="14"/>
      <c r="C50" s="19"/>
      <c r="D50" s="14"/>
      <c r="E50" s="14"/>
      <c r="F50" s="20"/>
      <c r="G50" s="20"/>
      <c r="H50" s="16" t="s">
        <v>12</v>
      </c>
    </row>
    <row r="51" spans="1:8" x14ac:dyDescent="0.2">
      <c r="A51" s="14"/>
      <c r="B51" s="14"/>
      <c r="C51" s="15" t="s">
        <v>90</v>
      </c>
      <c r="D51" s="14"/>
      <c r="E51" s="14"/>
      <c r="F51" s="20"/>
      <c r="G51" s="20"/>
      <c r="H51" s="16" t="s">
        <v>12</v>
      </c>
    </row>
    <row r="52" spans="1:8" x14ac:dyDescent="0.2">
      <c r="A52" s="14"/>
      <c r="B52" s="14"/>
      <c r="C52" s="15" t="s">
        <v>91</v>
      </c>
      <c r="D52" s="14"/>
      <c r="E52" s="14"/>
      <c r="F52" s="20"/>
      <c r="G52" s="20"/>
      <c r="H52" s="16" t="s">
        <v>12</v>
      </c>
    </row>
    <row r="53" spans="1:8" x14ac:dyDescent="0.2">
      <c r="A53" s="14"/>
      <c r="B53" s="14"/>
      <c r="C53" s="15" t="s">
        <v>11</v>
      </c>
      <c r="D53" s="14"/>
      <c r="E53" s="14" t="s">
        <v>12</v>
      </c>
      <c r="F53" s="17" t="s">
        <v>13</v>
      </c>
      <c r="G53" s="18">
        <v>0</v>
      </c>
      <c r="H53" s="16" t="s">
        <v>12</v>
      </c>
    </row>
    <row r="54" spans="1:8" x14ac:dyDescent="0.2">
      <c r="A54" s="14"/>
      <c r="B54" s="14"/>
      <c r="C54" s="19"/>
      <c r="D54" s="14"/>
      <c r="E54" s="14"/>
      <c r="F54" s="20"/>
      <c r="G54" s="20"/>
      <c r="H54" s="16" t="s">
        <v>12</v>
      </c>
    </row>
    <row r="55" spans="1:8" x14ac:dyDescent="0.2">
      <c r="A55" s="14"/>
      <c r="B55" s="14"/>
      <c r="C55" s="15" t="s">
        <v>92</v>
      </c>
      <c r="D55" s="14"/>
      <c r="E55" s="14"/>
      <c r="F55" s="20"/>
      <c r="G55" s="20"/>
      <c r="H55" s="16" t="s">
        <v>12</v>
      </c>
    </row>
    <row r="56" spans="1:8" x14ac:dyDescent="0.2">
      <c r="A56" s="14"/>
      <c r="B56" s="14"/>
      <c r="C56" s="15" t="s">
        <v>11</v>
      </c>
      <c r="D56" s="14"/>
      <c r="E56" s="14" t="s">
        <v>12</v>
      </c>
      <c r="F56" s="17" t="s">
        <v>13</v>
      </c>
      <c r="G56" s="18">
        <v>0</v>
      </c>
      <c r="H56" s="16" t="s">
        <v>12</v>
      </c>
    </row>
    <row r="57" spans="1:8" x14ac:dyDescent="0.2">
      <c r="A57" s="14"/>
      <c r="B57" s="14"/>
      <c r="C57" s="19"/>
      <c r="D57" s="14"/>
      <c r="E57" s="14"/>
      <c r="F57" s="20"/>
      <c r="G57" s="20"/>
      <c r="H57" s="16" t="s">
        <v>12</v>
      </c>
    </row>
    <row r="58" spans="1:8" x14ac:dyDescent="0.2">
      <c r="A58" s="14"/>
      <c r="B58" s="14"/>
      <c r="C58" s="15" t="s">
        <v>93</v>
      </c>
      <c r="D58" s="14"/>
      <c r="E58" s="14"/>
      <c r="F58" s="20"/>
      <c r="G58" s="20"/>
      <c r="H58" s="16" t="s">
        <v>12</v>
      </c>
    </row>
    <row r="59" spans="1:8" x14ac:dyDescent="0.2">
      <c r="A59" s="14"/>
      <c r="B59" s="14"/>
      <c r="C59" s="15" t="s">
        <v>11</v>
      </c>
      <c r="D59" s="14"/>
      <c r="E59" s="14" t="s">
        <v>12</v>
      </c>
      <c r="F59" s="17" t="s">
        <v>13</v>
      </c>
      <c r="G59" s="18">
        <v>0</v>
      </c>
      <c r="H59" s="16" t="s">
        <v>12</v>
      </c>
    </row>
    <row r="60" spans="1:8" x14ac:dyDescent="0.2">
      <c r="A60" s="14"/>
      <c r="B60" s="14"/>
      <c r="C60" s="19"/>
      <c r="D60" s="14"/>
      <c r="E60" s="14"/>
      <c r="F60" s="20"/>
      <c r="G60" s="20"/>
      <c r="H60" s="16" t="s">
        <v>12</v>
      </c>
    </row>
    <row r="61" spans="1:8" x14ac:dyDescent="0.2">
      <c r="A61" s="14"/>
      <c r="B61" s="14"/>
      <c r="C61" s="15" t="s">
        <v>94</v>
      </c>
      <c r="D61" s="14"/>
      <c r="E61" s="14"/>
      <c r="F61" s="20"/>
      <c r="G61" s="20"/>
      <c r="H61" s="16" t="s">
        <v>12</v>
      </c>
    </row>
    <row r="62" spans="1:8" x14ac:dyDescent="0.2">
      <c r="A62" s="22">
        <v>1</v>
      </c>
      <c r="B62" s="23"/>
      <c r="C62" s="23" t="s">
        <v>95</v>
      </c>
      <c r="D62" s="23"/>
      <c r="E62" s="27"/>
      <c r="F62" s="25">
        <v>177.65925149899999</v>
      </c>
      <c r="G62" s="26">
        <v>4.1170400000000003E-2</v>
      </c>
      <c r="H62" s="16">
        <v>6.24</v>
      </c>
    </row>
    <row r="63" spans="1:8" x14ac:dyDescent="0.2">
      <c r="A63" s="14"/>
      <c r="B63" s="14"/>
      <c r="C63" s="15" t="s">
        <v>11</v>
      </c>
      <c r="D63" s="14"/>
      <c r="E63" s="14" t="s">
        <v>12</v>
      </c>
      <c r="F63" s="21">
        <v>177.65925149899999</v>
      </c>
      <c r="G63" s="18">
        <v>4.1170400000000003E-2</v>
      </c>
      <c r="H63" s="16" t="s">
        <v>12</v>
      </c>
    </row>
    <row r="64" spans="1:8" x14ac:dyDescent="0.2">
      <c r="A64" s="14"/>
      <c r="B64" s="14"/>
      <c r="C64" s="19"/>
      <c r="D64" s="14"/>
      <c r="E64" s="14"/>
      <c r="F64" s="20"/>
      <c r="G64" s="20"/>
      <c r="H64" s="16" t="s">
        <v>12</v>
      </c>
    </row>
    <row r="65" spans="1:17" x14ac:dyDescent="0.2">
      <c r="A65" s="14"/>
      <c r="B65" s="14"/>
      <c r="C65" s="15" t="s">
        <v>96</v>
      </c>
      <c r="D65" s="14"/>
      <c r="E65" s="14"/>
      <c r="F65" s="21">
        <v>177.65925149899999</v>
      </c>
      <c r="G65" s="18">
        <v>4.1170400000000003E-2</v>
      </c>
      <c r="H65" s="16" t="s">
        <v>12</v>
      </c>
    </row>
    <row r="66" spans="1:17" x14ac:dyDescent="0.2">
      <c r="A66" s="14"/>
      <c r="B66" s="14"/>
      <c r="C66" s="20"/>
      <c r="D66" s="14"/>
      <c r="E66" s="14"/>
      <c r="F66" s="14"/>
      <c r="G66" s="14"/>
      <c r="H66" s="16" t="s">
        <v>12</v>
      </c>
    </row>
    <row r="67" spans="1:17" x14ac:dyDescent="0.2">
      <c r="A67" s="14"/>
      <c r="B67" s="14"/>
      <c r="C67" s="15" t="s">
        <v>97</v>
      </c>
      <c r="D67" s="14"/>
      <c r="E67" s="14"/>
      <c r="F67" s="14"/>
      <c r="G67" s="14"/>
      <c r="H67" s="16" t="s">
        <v>12</v>
      </c>
    </row>
    <row r="68" spans="1:17" x14ac:dyDescent="0.2">
      <c r="A68" s="14"/>
      <c r="B68" s="14"/>
      <c r="C68" s="15" t="s">
        <v>98</v>
      </c>
      <c r="D68" s="14"/>
      <c r="E68" s="14"/>
      <c r="F68" s="14"/>
      <c r="G68" s="14"/>
      <c r="H68" s="16" t="s">
        <v>12</v>
      </c>
    </row>
    <row r="69" spans="1:17" x14ac:dyDescent="0.2">
      <c r="A69" s="14"/>
      <c r="B69" s="14"/>
      <c r="C69" s="15" t="s">
        <v>11</v>
      </c>
      <c r="D69" s="14"/>
      <c r="E69" s="14" t="s">
        <v>12</v>
      </c>
      <c r="F69" s="17" t="s">
        <v>13</v>
      </c>
      <c r="G69" s="18">
        <v>0</v>
      </c>
      <c r="H69" s="16" t="s">
        <v>12</v>
      </c>
    </row>
    <row r="70" spans="1:17" x14ac:dyDescent="0.2">
      <c r="A70" s="28"/>
      <c r="B70" s="28"/>
      <c r="C70" s="29"/>
      <c r="D70" s="28"/>
      <c r="E70" s="28"/>
      <c r="F70" s="30"/>
      <c r="G70" s="30"/>
      <c r="H70" s="16" t="s">
        <v>12</v>
      </c>
    </row>
    <row r="71" spans="1:17" ht="25.5" x14ac:dyDescent="0.2">
      <c r="A71" s="28"/>
      <c r="B71" s="28"/>
      <c r="C71" s="32" t="s">
        <v>541</v>
      </c>
      <c r="D71" s="28"/>
      <c r="E71" s="28"/>
      <c r="F71" s="30"/>
      <c r="G71" s="30"/>
      <c r="H71" s="16" t="s">
        <v>12</v>
      </c>
      <c r="K71" s="34"/>
      <c r="L71" s="34"/>
      <c r="M71" s="34"/>
      <c r="N71" s="34"/>
      <c r="O71" s="35"/>
      <c r="P71" s="35"/>
      <c r="Q71" s="35"/>
    </row>
    <row r="72" spans="1:17" ht="25.5" x14ac:dyDescent="0.2">
      <c r="A72" s="36">
        <v>1</v>
      </c>
      <c r="B72" s="37" t="s">
        <v>99</v>
      </c>
      <c r="C72" s="37" t="s">
        <v>100</v>
      </c>
      <c r="D72" s="37"/>
      <c r="E72" s="38">
        <v>112.994</v>
      </c>
      <c r="F72" s="33">
        <v>12.424250750000001</v>
      </c>
      <c r="G72" s="39">
        <v>2.8791699999999999E-3</v>
      </c>
      <c r="H72" s="16"/>
    </row>
    <row r="73" spans="1:17" x14ac:dyDescent="0.2">
      <c r="A73" s="28"/>
      <c r="B73" s="28"/>
      <c r="C73" s="32" t="s">
        <v>11</v>
      </c>
      <c r="D73" s="28"/>
      <c r="E73" s="28" t="s">
        <v>12</v>
      </c>
      <c r="F73" s="40">
        <f>SUM(F72)</f>
        <v>12.424250750000001</v>
      </c>
      <c r="G73" s="41">
        <f>SUM(G72)</f>
        <v>2.8791699999999999E-3</v>
      </c>
      <c r="H73" s="16" t="s">
        <v>12</v>
      </c>
    </row>
    <row r="74" spans="1:17" x14ac:dyDescent="0.2">
      <c r="A74" s="14"/>
      <c r="B74" s="14"/>
      <c r="C74" s="19"/>
      <c r="D74" s="14"/>
      <c r="E74" s="14"/>
      <c r="F74" s="20"/>
      <c r="G74" s="20"/>
      <c r="H74" s="16" t="s">
        <v>12</v>
      </c>
    </row>
    <row r="75" spans="1:17" x14ac:dyDescent="0.2">
      <c r="A75" s="14"/>
      <c r="B75" s="14"/>
      <c r="C75" s="15" t="s">
        <v>101</v>
      </c>
      <c r="D75" s="14"/>
      <c r="E75" s="14"/>
      <c r="F75" s="14"/>
      <c r="G75" s="14"/>
      <c r="H75" s="16" t="s">
        <v>12</v>
      </c>
    </row>
    <row r="76" spans="1:17" x14ac:dyDescent="0.2">
      <c r="A76" s="14"/>
      <c r="B76" s="14"/>
      <c r="C76" s="15" t="s">
        <v>102</v>
      </c>
      <c r="D76" s="14"/>
      <c r="E76" s="14"/>
      <c r="F76" s="14"/>
      <c r="G76" s="14"/>
      <c r="H76" s="16" t="s">
        <v>12</v>
      </c>
    </row>
    <row r="77" spans="1:17" x14ac:dyDescent="0.2">
      <c r="A77" s="14"/>
      <c r="B77" s="14"/>
      <c r="C77" s="15" t="s">
        <v>11</v>
      </c>
      <c r="D77" s="14"/>
      <c r="E77" s="14" t="s">
        <v>12</v>
      </c>
      <c r="F77" s="17" t="s">
        <v>13</v>
      </c>
      <c r="G77" s="18">
        <v>0</v>
      </c>
      <c r="H77" s="16" t="s">
        <v>12</v>
      </c>
    </row>
    <row r="78" spans="1:17" x14ac:dyDescent="0.2">
      <c r="A78" s="14"/>
      <c r="B78" s="14"/>
      <c r="C78" s="19"/>
      <c r="D78" s="14"/>
      <c r="E78" s="14"/>
      <c r="F78" s="20"/>
      <c r="G78" s="20"/>
      <c r="H78" s="16" t="s">
        <v>12</v>
      </c>
    </row>
    <row r="79" spans="1:17" ht="25.5" x14ac:dyDescent="0.2">
      <c r="A79" s="14"/>
      <c r="B79" s="14"/>
      <c r="C79" s="15" t="s">
        <v>103</v>
      </c>
      <c r="D79" s="14"/>
      <c r="E79" s="14"/>
      <c r="F79" s="20"/>
      <c r="G79" s="20"/>
      <c r="H79" s="16" t="s">
        <v>12</v>
      </c>
    </row>
    <row r="80" spans="1:17" x14ac:dyDescent="0.2">
      <c r="A80" s="14"/>
      <c r="B80" s="14"/>
      <c r="C80" s="15" t="s">
        <v>11</v>
      </c>
      <c r="D80" s="14"/>
      <c r="E80" s="14" t="s">
        <v>12</v>
      </c>
      <c r="F80" s="17" t="s">
        <v>13</v>
      </c>
      <c r="G80" s="18">
        <v>0</v>
      </c>
      <c r="H80" s="16" t="s">
        <v>12</v>
      </c>
    </row>
    <row r="81" spans="1:8" x14ac:dyDescent="0.2">
      <c r="A81" s="14"/>
      <c r="B81" s="14"/>
      <c r="C81" s="19"/>
      <c r="D81" s="14"/>
      <c r="E81" s="14"/>
      <c r="F81" s="20"/>
      <c r="G81" s="20"/>
      <c r="H81" s="16" t="s">
        <v>12</v>
      </c>
    </row>
    <row r="82" spans="1:8" x14ac:dyDescent="0.2">
      <c r="A82" s="27"/>
      <c r="B82" s="23"/>
      <c r="C82" s="23" t="s">
        <v>104</v>
      </c>
      <c r="D82" s="23"/>
      <c r="E82" s="27"/>
      <c r="F82" s="25">
        <f>104.15857663+0.000556341000199318</f>
        <v>104.1591329710002</v>
      </c>
      <c r="G82" s="26">
        <v>2.4137499999999999E-2</v>
      </c>
      <c r="H82" s="16" t="s">
        <v>12</v>
      </c>
    </row>
    <row r="83" spans="1:8" x14ac:dyDescent="0.2">
      <c r="A83" s="19"/>
      <c r="B83" s="19"/>
      <c r="C83" s="15" t="s">
        <v>105</v>
      </c>
      <c r="D83" s="20"/>
      <c r="E83" s="20"/>
      <c r="F83" s="21">
        <f>4315.218328879+0.000556341000199318</f>
        <v>4315.2188852200006</v>
      </c>
      <c r="G83" s="42">
        <v>1.0000000200000001</v>
      </c>
      <c r="H83" s="16" t="s">
        <v>12</v>
      </c>
    </row>
    <row r="84" spans="1:8" x14ac:dyDescent="0.2">
      <c r="A84" s="43"/>
      <c r="B84" s="43"/>
      <c r="C84" s="43"/>
      <c r="D84" s="44"/>
      <c r="E84" s="44"/>
      <c r="F84" s="44"/>
      <c r="G84" s="44"/>
    </row>
    <row r="85" spans="1:8" x14ac:dyDescent="0.2">
      <c r="A85" s="45"/>
      <c r="B85" s="164" t="s">
        <v>542</v>
      </c>
      <c r="C85" s="164"/>
      <c r="D85" s="164"/>
      <c r="E85" s="164"/>
      <c r="F85" s="164"/>
      <c r="G85" s="164"/>
      <c r="H85" s="164"/>
    </row>
    <row r="86" spans="1:8" x14ac:dyDescent="0.2">
      <c r="A86" s="45"/>
      <c r="B86" s="164" t="s">
        <v>543</v>
      </c>
      <c r="C86" s="164"/>
      <c r="D86" s="164"/>
      <c r="E86" s="164"/>
      <c r="F86" s="164"/>
      <c r="G86" s="164"/>
      <c r="H86" s="164"/>
    </row>
    <row r="87" spans="1:8" x14ac:dyDescent="0.2">
      <c r="A87" s="45"/>
      <c r="B87" s="164" t="s">
        <v>544</v>
      </c>
      <c r="C87" s="164"/>
      <c r="D87" s="164"/>
      <c r="E87" s="164"/>
      <c r="F87" s="164"/>
      <c r="G87" s="164"/>
      <c r="H87" s="164"/>
    </row>
    <row r="88" spans="1:8" x14ac:dyDescent="0.2">
      <c r="A88" s="47"/>
      <c r="B88" s="47"/>
      <c r="C88" s="47"/>
      <c r="D88" s="48"/>
      <c r="E88" s="48"/>
      <c r="F88" s="48"/>
      <c r="G88" s="48"/>
    </row>
    <row r="89" spans="1:8" x14ac:dyDescent="0.2">
      <c r="A89" s="47"/>
      <c r="B89" s="157" t="s">
        <v>106</v>
      </c>
      <c r="C89" s="158"/>
      <c r="D89" s="159"/>
      <c r="E89" s="49"/>
      <c r="F89" s="48"/>
      <c r="G89" s="48"/>
    </row>
    <row r="90" spans="1:8" x14ac:dyDescent="0.2">
      <c r="A90" s="47"/>
      <c r="B90" s="160" t="s">
        <v>107</v>
      </c>
      <c r="C90" s="161"/>
      <c r="D90" s="15" t="s">
        <v>108</v>
      </c>
      <c r="E90" s="49"/>
      <c r="F90" s="48"/>
      <c r="G90" s="48"/>
    </row>
    <row r="91" spans="1:8" x14ac:dyDescent="0.2">
      <c r="A91" s="47"/>
      <c r="B91" s="160" t="s">
        <v>109</v>
      </c>
      <c r="C91" s="161"/>
      <c r="D91" s="15" t="s">
        <v>108</v>
      </c>
      <c r="E91" s="49"/>
      <c r="F91" s="48"/>
      <c r="G91" s="48"/>
    </row>
    <row r="92" spans="1:8" x14ac:dyDescent="0.2">
      <c r="A92" s="47"/>
      <c r="B92" s="160" t="s">
        <v>110</v>
      </c>
      <c r="C92" s="161"/>
      <c r="D92" s="20" t="s">
        <v>12</v>
      </c>
      <c r="E92" s="49"/>
      <c r="F92" s="48"/>
      <c r="G92" s="48"/>
    </row>
    <row r="93" spans="1:8" x14ac:dyDescent="0.2">
      <c r="A93" s="50"/>
      <c r="B93" s="51" t="s">
        <v>12</v>
      </c>
      <c r="C93" s="51" t="s">
        <v>545</v>
      </c>
      <c r="D93" s="51" t="s">
        <v>111</v>
      </c>
      <c r="E93" s="50"/>
      <c r="F93" s="50"/>
      <c r="G93" s="50"/>
    </row>
    <row r="94" spans="1:8" x14ac:dyDescent="0.2">
      <c r="A94" s="50"/>
      <c r="B94" s="52" t="s">
        <v>112</v>
      </c>
      <c r="C94" s="53">
        <v>45716</v>
      </c>
      <c r="D94" s="53">
        <v>45731</v>
      </c>
      <c r="E94" s="50"/>
      <c r="F94" s="50"/>
      <c r="G94" s="50"/>
    </row>
    <row r="95" spans="1:8" x14ac:dyDescent="0.2">
      <c r="A95" s="54"/>
      <c r="B95" s="23" t="s">
        <v>113</v>
      </c>
      <c r="C95" s="55">
        <v>74.674999999999997</v>
      </c>
      <c r="D95" s="55">
        <v>74.900199999999998</v>
      </c>
      <c r="E95" s="54"/>
      <c r="F95" s="56"/>
      <c r="G95" s="57"/>
    </row>
    <row r="96" spans="1:8" x14ac:dyDescent="0.2">
      <c r="A96" s="54"/>
      <c r="B96" s="23" t="s">
        <v>652</v>
      </c>
      <c r="C96" s="55">
        <v>26.729099999999999</v>
      </c>
      <c r="D96" s="55">
        <v>26.7346</v>
      </c>
      <c r="E96" s="54"/>
      <c r="F96" s="56"/>
      <c r="G96" s="57"/>
    </row>
    <row r="97" spans="1:14" x14ac:dyDescent="0.2">
      <c r="A97" s="54"/>
      <c r="B97" s="23" t="s">
        <v>654</v>
      </c>
      <c r="C97" s="55">
        <v>15.088100000000001</v>
      </c>
      <c r="D97" s="55">
        <v>15.133599999999999</v>
      </c>
      <c r="E97" s="54"/>
      <c r="F97" s="56"/>
      <c r="G97" s="57"/>
    </row>
    <row r="98" spans="1:14" x14ac:dyDescent="0.2">
      <c r="A98" s="54"/>
      <c r="B98" s="23" t="s">
        <v>114</v>
      </c>
      <c r="C98" s="55">
        <v>67.069400000000002</v>
      </c>
      <c r="D98" s="55">
        <v>67.249600000000001</v>
      </c>
      <c r="E98" s="54"/>
      <c r="F98" s="56"/>
      <c r="G98" s="57"/>
    </row>
    <row r="99" spans="1:14" x14ac:dyDescent="0.2">
      <c r="A99" s="54"/>
      <c r="B99" s="23" t="s">
        <v>145</v>
      </c>
      <c r="C99" s="55">
        <v>22.907900000000001</v>
      </c>
      <c r="D99" s="55">
        <v>22.9694</v>
      </c>
      <c r="E99" s="54"/>
      <c r="F99" s="56"/>
      <c r="G99" s="57"/>
    </row>
    <row r="100" spans="1:14" ht="25.5" x14ac:dyDescent="0.2">
      <c r="A100" s="54"/>
      <c r="B100" s="37" t="s">
        <v>621</v>
      </c>
      <c r="C100" s="55">
        <v>13.2164</v>
      </c>
      <c r="D100" s="55">
        <v>13.1769</v>
      </c>
      <c r="E100" s="54"/>
      <c r="F100" s="56"/>
      <c r="G100" s="57"/>
    </row>
    <row r="101" spans="1:14" ht="25.5" x14ac:dyDescent="0.2">
      <c r="A101" s="54"/>
      <c r="B101" s="23" t="s">
        <v>656</v>
      </c>
      <c r="C101" s="55">
        <v>13.5855</v>
      </c>
      <c r="D101" s="55">
        <v>13.622</v>
      </c>
      <c r="E101" s="54"/>
      <c r="F101" s="56"/>
      <c r="G101" s="57"/>
    </row>
    <row r="102" spans="1:14" x14ac:dyDescent="0.2">
      <c r="A102" s="54"/>
      <c r="B102" s="23" t="s">
        <v>657</v>
      </c>
      <c r="C102" s="55">
        <v>13.326000000000001</v>
      </c>
      <c r="D102" s="55">
        <v>13.361800000000001</v>
      </c>
      <c r="E102" s="54"/>
      <c r="F102" s="56"/>
      <c r="G102" s="57"/>
    </row>
    <row r="103" spans="1:14" x14ac:dyDescent="0.2">
      <c r="A103" s="54"/>
      <c r="B103" s="54"/>
      <c r="C103" s="54"/>
      <c r="D103" s="54"/>
      <c r="E103" s="54"/>
      <c r="F103" s="54"/>
      <c r="G103" s="54"/>
    </row>
    <row r="104" spans="1:14" x14ac:dyDescent="0.2">
      <c r="A104" s="54"/>
      <c r="B104" s="160" t="s">
        <v>622</v>
      </c>
      <c r="C104" s="161"/>
      <c r="D104" s="15" t="s">
        <v>12</v>
      </c>
      <c r="E104" s="54"/>
      <c r="F104" s="54"/>
      <c r="G104" s="54"/>
    </row>
    <row r="105" spans="1:14" x14ac:dyDescent="0.2">
      <c r="A105" s="54"/>
      <c r="B105" s="58" t="s">
        <v>112</v>
      </c>
      <c r="C105" s="59" t="s">
        <v>115</v>
      </c>
      <c r="D105" s="59" t="s">
        <v>116</v>
      </c>
      <c r="E105" s="54"/>
      <c r="F105" s="54"/>
      <c r="G105" s="54"/>
    </row>
    <row r="106" spans="1:14" x14ac:dyDescent="0.2">
      <c r="A106" s="54"/>
      <c r="B106" s="23" t="s">
        <v>652</v>
      </c>
      <c r="C106" s="60">
        <v>7.4999999999999997E-2</v>
      </c>
      <c r="D106" s="27" t="s">
        <v>117</v>
      </c>
      <c r="E106" s="54"/>
      <c r="F106" s="56"/>
      <c r="G106" s="57"/>
    </row>
    <row r="107" spans="1:14" ht="25.5" x14ac:dyDescent="0.2">
      <c r="A107" s="54"/>
      <c r="B107" s="37" t="s">
        <v>621</v>
      </c>
      <c r="C107" s="60">
        <v>7.4999999999999997E-2</v>
      </c>
      <c r="D107" s="60">
        <v>7.4999999999999997E-2</v>
      </c>
      <c r="E107" s="54"/>
      <c r="F107" s="56"/>
      <c r="G107" s="57"/>
    </row>
    <row r="108" spans="1:14" x14ac:dyDescent="0.2">
      <c r="A108" s="54"/>
      <c r="B108" s="61"/>
      <c r="C108" s="61"/>
      <c r="D108" s="62"/>
      <c r="E108" s="54"/>
      <c r="F108" s="56"/>
      <c r="G108" s="57"/>
    </row>
    <row r="109" spans="1:14" s="65" customFormat="1" ht="15" x14ac:dyDescent="0.25">
      <c r="A109" s="75"/>
      <c r="B109" s="215" t="s">
        <v>558</v>
      </c>
      <c r="C109" s="216"/>
      <c r="D109" s="123" t="s">
        <v>108</v>
      </c>
      <c r="E109" s="75"/>
      <c r="F109" s="46"/>
      <c r="G109" s="75"/>
      <c r="I109" s="124"/>
      <c r="J109" s="125"/>
      <c r="K109" s="125"/>
      <c r="L109" s="125"/>
      <c r="M109" s="125"/>
      <c r="N109"/>
    </row>
    <row r="110" spans="1:14" ht="26.25" customHeight="1" x14ac:dyDescent="0.25">
      <c r="A110" s="50"/>
      <c r="B110" s="215" t="s">
        <v>559</v>
      </c>
      <c r="C110" s="216"/>
      <c r="D110" s="123" t="s">
        <v>108</v>
      </c>
      <c r="E110" s="63"/>
      <c r="F110" s="50"/>
      <c r="G110" s="50"/>
      <c r="I110" s="126"/>
    </row>
    <row r="111" spans="1:14" ht="27.75" customHeight="1" x14ac:dyDescent="0.25">
      <c r="A111" s="50"/>
      <c r="B111" s="215" t="s">
        <v>560</v>
      </c>
      <c r="C111" s="216"/>
      <c r="D111" s="123" t="s">
        <v>108</v>
      </c>
      <c r="E111" s="63"/>
      <c r="F111" s="50"/>
      <c r="G111" s="50"/>
      <c r="I111" s="127"/>
    </row>
    <row r="112" spans="1:14" x14ac:dyDescent="0.2">
      <c r="A112" s="50"/>
      <c r="B112" s="215" t="s">
        <v>561</v>
      </c>
      <c r="C112" s="216"/>
      <c r="D112" s="123" t="s">
        <v>108</v>
      </c>
      <c r="E112" s="63"/>
      <c r="F112" s="50"/>
      <c r="G112" s="50"/>
    </row>
    <row r="113" spans="1:14" x14ac:dyDescent="0.2">
      <c r="A113" s="64"/>
      <c r="B113" s="64"/>
      <c r="C113" s="64"/>
      <c r="D113" s="64"/>
      <c r="E113" s="64"/>
      <c r="F113" s="64"/>
      <c r="G113" s="64"/>
    </row>
    <row r="114" spans="1:14" s="65" customFormat="1" ht="15" x14ac:dyDescent="0.25">
      <c r="B114" s="217" t="s">
        <v>646</v>
      </c>
      <c r="C114" s="218"/>
      <c r="D114" s="218"/>
      <c r="E114" s="218"/>
      <c r="F114" s="218"/>
      <c r="G114" s="219"/>
      <c r="I114"/>
      <c r="J114" s="125"/>
      <c r="K114" s="125"/>
      <c r="L114" s="125"/>
      <c r="M114" s="125"/>
      <c r="N114"/>
    </row>
    <row r="115" spans="1:14" s="65" customFormat="1" ht="45" customHeight="1" x14ac:dyDescent="0.25">
      <c r="B115" s="128" t="s">
        <v>571</v>
      </c>
      <c r="C115" s="128" t="s">
        <v>572</v>
      </c>
      <c r="D115" s="220" t="s">
        <v>567</v>
      </c>
      <c r="E115" s="221"/>
      <c r="F115" s="222" t="s">
        <v>568</v>
      </c>
      <c r="G115" s="222"/>
      <c r="H115" s="129"/>
      <c r="I115"/>
      <c r="J115" s="125"/>
      <c r="K115" s="125"/>
      <c r="L115" s="125"/>
      <c r="M115" s="125"/>
      <c r="N115"/>
    </row>
    <row r="116" spans="1:14" s="65" customFormat="1" ht="25.5" x14ac:dyDescent="0.25">
      <c r="B116" s="130" t="s">
        <v>623</v>
      </c>
      <c r="C116" s="131" t="s">
        <v>624</v>
      </c>
      <c r="D116" s="223">
        <v>0</v>
      </c>
      <c r="E116" s="224"/>
      <c r="F116" s="223">
        <v>0</v>
      </c>
      <c r="G116" s="224"/>
      <c r="H116" s="132"/>
      <c r="I116"/>
      <c r="J116" s="125"/>
      <c r="K116" s="125"/>
      <c r="L116" s="125"/>
      <c r="M116" s="125"/>
      <c r="N116"/>
    </row>
    <row r="117" spans="1:14" s="65" customFormat="1" ht="15" x14ac:dyDescent="0.25">
      <c r="B117" s="225" t="s">
        <v>625</v>
      </c>
      <c r="C117" s="226"/>
      <c r="D117" s="226"/>
      <c r="E117" s="226"/>
      <c r="F117" s="226"/>
      <c r="G117" s="227"/>
      <c r="H117" s="132"/>
      <c r="I117"/>
      <c r="J117" s="127"/>
      <c r="K117" s="127"/>
      <c r="L117" s="127"/>
      <c r="M117" s="125"/>
      <c r="N117"/>
    </row>
    <row r="118" spans="1:14" s="65" customFormat="1" ht="15" x14ac:dyDescent="0.25">
      <c r="B118" s="222" t="s">
        <v>571</v>
      </c>
      <c r="C118" s="222" t="s">
        <v>572</v>
      </c>
      <c r="D118" s="225" t="s">
        <v>580</v>
      </c>
      <c r="E118" s="226"/>
      <c r="F118" s="227"/>
      <c r="G118" s="130"/>
      <c r="H118" s="132"/>
      <c r="I118"/>
      <c r="J118" s="127"/>
      <c r="K118" s="127"/>
      <c r="L118" s="127"/>
      <c r="M118" s="125"/>
      <c r="N118"/>
    </row>
    <row r="119" spans="1:14" s="65" customFormat="1" ht="76.5" x14ac:dyDescent="0.25">
      <c r="B119" s="222"/>
      <c r="C119" s="222"/>
      <c r="D119" s="133" t="s">
        <v>583</v>
      </c>
      <c r="E119" s="133" t="s">
        <v>626</v>
      </c>
      <c r="F119" s="133" t="s">
        <v>586</v>
      </c>
      <c r="G119" s="133" t="s">
        <v>648</v>
      </c>
      <c r="H119" s="134"/>
      <c r="I119"/>
      <c r="J119" s="127"/>
      <c r="K119" s="127"/>
      <c r="L119" s="127"/>
      <c r="M119" s="125"/>
      <c r="N119"/>
    </row>
    <row r="120" spans="1:14" s="65" customFormat="1" ht="25.5" x14ac:dyDescent="0.2">
      <c r="B120" s="135" t="s">
        <v>623</v>
      </c>
      <c r="C120" s="131" t="s">
        <v>624</v>
      </c>
      <c r="D120" s="136">
        <v>200</v>
      </c>
      <c r="E120" s="136">
        <v>6.8852450999999997</v>
      </c>
      <c r="F120" s="136">
        <v>206.88524509999999</v>
      </c>
      <c r="G120" s="137">
        <f>F120/F83</f>
        <v>4.7943163626901965E-2</v>
      </c>
      <c r="H120" s="138"/>
      <c r="I120"/>
      <c r="J120"/>
      <c r="K120"/>
      <c r="L120"/>
      <c r="M120"/>
      <c r="N120"/>
    </row>
    <row r="121" spans="1:14" s="65" customFormat="1" ht="33" customHeight="1" x14ac:dyDescent="0.2">
      <c r="B121" s="228" t="s">
        <v>627</v>
      </c>
      <c r="C121" s="229"/>
      <c r="D121" s="229"/>
      <c r="E121" s="229"/>
      <c r="F121" s="229"/>
      <c r="G121" s="230"/>
      <c r="H121" s="139"/>
      <c r="I121"/>
      <c r="J121"/>
      <c r="K121"/>
      <c r="L121"/>
      <c r="M121"/>
      <c r="N121"/>
    </row>
    <row r="122" spans="1:14" s="65" customFormat="1" x14ac:dyDescent="0.2">
      <c r="H122" s="139"/>
      <c r="I122"/>
      <c r="J122"/>
      <c r="K122"/>
      <c r="L122"/>
      <c r="M122"/>
      <c r="N122"/>
    </row>
    <row r="123" spans="1:14" s="65" customFormat="1" x14ac:dyDescent="0.2">
      <c r="B123" s="165" t="s">
        <v>547</v>
      </c>
      <c r="C123" s="211"/>
      <c r="D123" s="167"/>
      <c r="I123"/>
      <c r="J123"/>
      <c r="K123"/>
      <c r="L123"/>
      <c r="M123"/>
      <c r="N123"/>
    </row>
    <row r="124" spans="1:14" s="65" customFormat="1" ht="38.25" x14ac:dyDescent="0.2">
      <c r="B124" s="155" t="s">
        <v>548</v>
      </c>
      <c r="C124" s="155"/>
      <c r="D124" s="66" t="s">
        <v>461</v>
      </c>
      <c r="I124"/>
      <c r="J124"/>
      <c r="K124"/>
      <c r="L124"/>
      <c r="M124"/>
      <c r="N124"/>
    </row>
    <row r="125" spans="1:14" s="65" customFormat="1" x14ac:dyDescent="0.2">
      <c r="B125" s="168" t="s">
        <v>549</v>
      </c>
      <c r="C125" s="168"/>
      <c r="D125" s="67"/>
      <c r="I125"/>
      <c r="J125"/>
      <c r="K125"/>
      <c r="L125"/>
      <c r="M125"/>
      <c r="N125"/>
    </row>
    <row r="126" spans="1:14" s="65" customFormat="1" x14ac:dyDescent="0.2">
      <c r="B126" s="168"/>
      <c r="C126" s="168"/>
      <c r="D126" s="68"/>
      <c r="I126"/>
      <c r="J126"/>
      <c r="K126"/>
      <c r="L126"/>
      <c r="M126"/>
      <c r="N126"/>
    </row>
    <row r="127" spans="1:14" s="65" customFormat="1" x14ac:dyDescent="0.2">
      <c r="B127" s="168" t="s">
        <v>550</v>
      </c>
      <c r="C127" s="168"/>
      <c r="D127" s="140">
        <v>7.0217639779263052</v>
      </c>
      <c r="I127"/>
      <c r="J127"/>
      <c r="K127"/>
      <c r="L127"/>
      <c r="M127"/>
      <c r="N127"/>
    </row>
    <row r="128" spans="1:14" s="65" customFormat="1" x14ac:dyDescent="0.2">
      <c r="B128" s="168"/>
      <c r="C128" s="168"/>
      <c r="D128" s="68"/>
      <c r="I128"/>
      <c r="J128"/>
      <c r="K128"/>
      <c r="L128"/>
      <c r="M128"/>
      <c r="N128"/>
    </row>
    <row r="129" spans="2:16" s="65" customFormat="1" x14ac:dyDescent="0.2">
      <c r="B129" s="168" t="s">
        <v>551</v>
      </c>
      <c r="C129" s="168"/>
      <c r="D129" s="140">
        <v>3.8881661220768478</v>
      </c>
      <c r="I129"/>
      <c r="J129"/>
      <c r="K129"/>
      <c r="L129"/>
      <c r="M129"/>
      <c r="N129"/>
    </row>
    <row r="130" spans="2:16" s="65" customFormat="1" x14ac:dyDescent="0.2">
      <c r="B130" s="168" t="s">
        <v>552</v>
      </c>
      <c r="C130" s="168"/>
      <c r="D130" s="140">
        <v>5.0179117833851885</v>
      </c>
      <c r="I130"/>
      <c r="J130"/>
      <c r="K130"/>
      <c r="L130"/>
      <c r="M130"/>
      <c r="N130"/>
    </row>
    <row r="131" spans="2:16" s="65" customFormat="1" x14ac:dyDescent="0.2">
      <c r="B131" s="168"/>
      <c r="C131" s="168"/>
      <c r="D131" s="68"/>
      <c r="I131"/>
      <c r="J131"/>
      <c r="K131"/>
      <c r="L131"/>
      <c r="M131"/>
      <c r="N131"/>
    </row>
    <row r="132" spans="2:16" s="65" customFormat="1" x14ac:dyDescent="0.2">
      <c r="B132" s="168" t="s">
        <v>553</v>
      </c>
      <c r="C132" s="168"/>
      <c r="D132" s="141" t="s">
        <v>645</v>
      </c>
      <c r="I132"/>
      <c r="J132" s="34"/>
      <c r="K132" s="34"/>
      <c r="L132" s="34"/>
      <c r="M132" s="34"/>
      <c r="N132" s="71"/>
    </row>
    <row r="133" spans="2:16" s="65" customFormat="1" x14ac:dyDescent="0.2">
      <c r="B133" s="169" t="s">
        <v>554</v>
      </c>
      <c r="C133" s="231"/>
      <c r="D133" s="170"/>
      <c r="I133"/>
      <c r="J133"/>
      <c r="K133"/>
      <c r="L133"/>
      <c r="M133"/>
      <c r="N133"/>
      <c r="O133"/>
      <c r="P133"/>
    </row>
    <row r="135" spans="2:16" x14ac:dyDescent="0.2">
      <c r="B135" s="72" t="s">
        <v>555</v>
      </c>
    </row>
    <row r="136" spans="2:16" ht="153.75" customHeight="1" x14ac:dyDescent="0.2"/>
    <row r="139" spans="2:16" x14ac:dyDescent="0.2">
      <c r="B139" s="73" t="s">
        <v>556</v>
      </c>
      <c r="C139" s="74"/>
      <c r="D139" s="73"/>
    </row>
    <row r="140" spans="2:16" x14ac:dyDescent="0.2">
      <c r="B140" s="73" t="s">
        <v>628</v>
      </c>
      <c r="D140" s="73"/>
    </row>
    <row r="141" spans="2:16" ht="165" customHeight="1" x14ac:dyDescent="0.2"/>
  </sheetData>
  <mergeCells count="36">
    <mergeCell ref="B133:D133"/>
    <mergeCell ref="B128:C128"/>
    <mergeCell ref="B129:C129"/>
    <mergeCell ref="B130:C130"/>
    <mergeCell ref="B131:C131"/>
    <mergeCell ref="B132:C132"/>
    <mergeCell ref="B123:D123"/>
    <mergeCell ref="B124:C124"/>
    <mergeCell ref="B125:C125"/>
    <mergeCell ref="B126:C126"/>
    <mergeCell ref="B127:C127"/>
    <mergeCell ref="B117:G117"/>
    <mergeCell ref="B118:B119"/>
    <mergeCell ref="C118:C119"/>
    <mergeCell ref="D118:F118"/>
    <mergeCell ref="B121:G121"/>
    <mergeCell ref="B114:G114"/>
    <mergeCell ref="D115:E115"/>
    <mergeCell ref="F115:G115"/>
    <mergeCell ref="D116:E116"/>
    <mergeCell ref="F116:G116"/>
    <mergeCell ref="B109:C109"/>
    <mergeCell ref="B110:C110"/>
    <mergeCell ref="B111:C111"/>
    <mergeCell ref="B112:C112"/>
    <mergeCell ref="A1:H1"/>
    <mergeCell ref="A2:H2"/>
    <mergeCell ref="A3:H3"/>
    <mergeCell ref="B89:D89"/>
    <mergeCell ref="B90:C90"/>
    <mergeCell ref="B91:C91"/>
    <mergeCell ref="B92:C92"/>
    <mergeCell ref="B104:C104"/>
    <mergeCell ref="B85:H85"/>
    <mergeCell ref="B86:H86"/>
    <mergeCell ref="B87:H87"/>
  </mergeCells>
  <hyperlinks>
    <hyperlink ref="I1" location="Index!B2" display="Index" xr:uid="{12B602C2-1BDA-4CAB-A5F7-D7DC69E2A92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046B9-B2CE-47F2-A1DA-E71728C9E0BB}">
  <sheetPr>
    <outlinePr summaryBelow="0" summaryRight="0"/>
  </sheetPr>
  <dimension ref="A1:R177"/>
  <sheetViews>
    <sheetView showGridLines="0" workbookViewId="0">
      <selection sqref="A1:H1"/>
    </sheetView>
  </sheetViews>
  <sheetFormatPr defaultRowHeight="12.75" x14ac:dyDescent="0.2"/>
  <cols>
    <col min="1" max="1" width="5.85546875" bestFit="1" customWidth="1"/>
    <col min="2" max="2" width="20.28515625" bestFit="1" customWidth="1"/>
    <col min="3" max="3" width="35.42578125" customWidth="1"/>
    <col min="4" max="4" width="16.5703125" bestFit="1" customWidth="1"/>
    <col min="5" max="5" width="8.7109375" bestFit="1" customWidth="1"/>
    <col min="6" max="6" width="10.140625" bestFit="1" customWidth="1"/>
    <col min="7" max="7" width="14" bestFit="1" customWidth="1"/>
    <col min="8" max="8" width="10.7109375" customWidth="1"/>
  </cols>
  <sheetData>
    <row r="1" spans="1:10" ht="15" x14ac:dyDescent="0.2">
      <c r="A1" s="156" t="s">
        <v>0</v>
      </c>
      <c r="B1" s="156"/>
      <c r="C1" s="156"/>
      <c r="D1" s="156"/>
      <c r="E1" s="156"/>
      <c r="F1" s="156"/>
      <c r="G1" s="156"/>
      <c r="H1" s="156"/>
      <c r="I1" s="9" t="s">
        <v>658</v>
      </c>
    </row>
    <row r="2" spans="1:10" ht="15" x14ac:dyDescent="0.2">
      <c r="A2" s="156" t="s">
        <v>464</v>
      </c>
      <c r="B2" s="156"/>
      <c r="C2" s="156"/>
      <c r="D2" s="156"/>
      <c r="E2" s="156"/>
      <c r="F2" s="156"/>
      <c r="G2" s="156"/>
      <c r="H2" s="156"/>
    </row>
    <row r="3" spans="1:10" ht="15" x14ac:dyDescent="0.2">
      <c r="A3" s="156" t="s">
        <v>563</v>
      </c>
      <c r="B3" s="156"/>
      <c r="C3" s="156"/>
      <c r="D3" s="156"/>
      <c r="E3" s="156"/>
      <c r="F3" s="156"/>
      <c r="G3" s="156"/>
      <c r="H3" s="156"/>
    </row>
    <row r="4" spans="1:10" s="13" customFormat="1" ht="30" x14ac:dyDescent="0.2">
      <c r="A4" s="11" t="s">
        <v>2</v>
      </c>
      <c r="B4" s="11" t="s">
        <v>3</v>
      </c>
      <c r="C4" s="11" t="s">
        <v>4</v>
      </c>
      <c r="D4" s="11" t="s">
        <v>5</v>
      </c>
      <c r="E4" s="11" t="s">
        <v>6</v>
      </c>
      <c r="F4" s="11" t="s">
        <v>7</v>
      </c>
      <c r="G4" s="11" t="s">
        <v>8</v>
      </c>
      <c r="H4" s="12" t="s">
        <v>527</v>
      </c>
    </row>
    <row r="5" spans="1:10" x14ac:dyDescent="0.2">
      <c r="A5" s="14"/>
      <c r="B5" s="14"/>
      <c r="C5" s="15" t="s">
        <v>9</v>
      </c>
      <c r="D5" s="14"/>
      <c r="E5" s="14"/>
      <c r="F5" s="14"/>
      <c r="G5" s="14"/>
      <c r="H5" s="16" t="s">
        <v>12</v>
      </c>
    </row>
    <row r="6" spans="1:10" ht="25.5" x14ac:dyDescent="0.2">
      <c r="A6" s="14"/>
      <c r="B6" s="14"/>
      <c r="C6" s="15" t="s">
        <v>10</v>
      </c>
      <c r="D6" s="14"/>
      <c r="E6" s="14"/>
      <c r="F6" s="14"/>
      <c r="G6" s="14"/>
      <c r="H6" s="16" t="s">
        <v>12</v>
      </c>
    </row>
    <row r="7" spans="1:10" x14ac:dyDescent="0.2">
      <c r="A7" s="22">
        <v>1</v>
      </c>
      <c r="B7" s="23" t="s">
        <v>465</v>
      </c>
      <c r="C7" s="23" t="s">
        <v>466</v>
      </c>
      <c r="D7" s="23" t="s">
        <v>467</v>
      </c>
      <c r="E7" s="24">
        <v>4250</v>
      </c>
      <c r="F7" s="25">
        <v>72.530500000000004</v>
      </c>
      <c r="G7" s="26">
        <v>2.7273439999999999E-2</v>
      </c>
      <c r="H7" s="16" t="s">
        <v>12</v>
      </c>
    </row>
    <row r="8" spans="1:10" x14ac:dyDescent="0.2">
      <c r="A8" s="22">
        <v>2</v>
      </c>
      <c r="B8" s="23" t="s">
        <v>468</v>
      </c>
      <c r="C8" s="23" t="s">
        <v>469</v>
      </c>
      <c r="D8" s="23" t="s">
        <v>467</v>
      </c>
      <c r="E8" s="24">
        <v>4200</v>
      </c>
      <c r="F8" s="25">
        <v>52.502099999999999</v>
      </c>
      <c r="G8" s="26">
        <v>1.9742220000000001E-2</v>
      </c>
      <c r="H8" s="16" t="s">
        <v>12</v>
      </c>
    </row>
    <row r="9" spans="1:10" x14ac:dyDescent="0.2">
      <c r="A9" s="22">
        <v>3</v>
      </c>
      <c r="B9" s="23" t="s">
        <v>470</v>
      </c>
      <c r="C9" s="23" t="s">
        <v>471</v>
      </c>
      <c r="D9" s="23" t="s">
        <v>472</v>
      </c>
      <c r="E9" s="24">
        <v>3400</v>
      </c>
      <c r="F9" s="25">
        <v>42.428600000000003</v>
      </c>
      <c r="G9" s="26">
        <v>1.5954309999999999E-2</v>
      </c>
      <c r="H9" s="16" t="s">
        <v>12</v>
      </c>
    </row>
    <row r="10" spans="1:10" x14ac:dyDescent="0.2">
      <c r="A10" s="22">
        <v>4</v>
      </c>
      <c r="B10" s="23" t="s">
        <v>473</v>
      </c>
      <c r="C10" s="23" t="s">
        <v>474</v>
      </c>
      <c r="D10" s="23" t="s">
        <v>475</v>
      </c>
      <c r="E10" s="24">
        <v>2500</v>
      </c>
      <c r="F10" s="25">
        <v>40.8125</v>
      </c>
      <c r="G10" s="26">
        <v>1.534661E-2</v>
      </c>
      <c r="H10" s="16" t="s">
        <v>12</v>
      </c>
    </row>
    <row r="11" spans="1:10" x14ac:dyDescent="0.2">
      <c r="A11" s="22">
        <v>5</v>
      </c>
      <c r="B11" s="23" t="s">
        <v>476</v>
      </c>
      <c r="C11" s="23" t="s">
        <v>477</v>
      </c>
      <c r="D11" s="23" t="s">
        <v>478</v>
      </c>
      <c r="E11" s="24">
        <v>1848</v>
      </c>
      <c r="F11" s="25">
        <v>28.362179999999999</v>
      </c>
      <c r="G11" s="26">
        <v>1.0664949999999999E-2</v>
      </c>
      <c r="H11" s="16" t="s">
        <v>12</v>
      </c>
    </row>
    <row r="12" spans="1:10" x14ac:dyDescent="0.2">
      <c r="A12" s="22">
        <v>6</v>
      </c>
      <c r="B12" s="23" t="s">
        <v>479</v>
      </c>
      <c r="C12" s="23" t="s">
        <v>480</v>
      </c>
      <c r="D12" s="23" t="s">
        <v>478</v>
      </c>
      <c r="E12" s="24">
        <v>1750</v>
      </c>
      <c r="F12" s="25">
        <v>27.647375</v>
      </c>
      <c r="G12" s="26">
        <v>1.039616E-2</v>
      </c>
      <c r="H12" s="16" t="s">
        <v>12</v>
      </c>
    </row>
    <row r="13" spans="1:10" ht="25.5" x14ac:dyDescent="0.2">
      <c r="A13" s="142">
        <v>7</v>
      </c>
      <c r="B13" s="143" t="s">
        <v>629</v>
      </c>
      <c r="C13" s="143" t="s">
        <v>630</v>
      </c>
      <c r="D13" s="143" t="s">
        <v>631</v>
      </c>
      <c r="E13" s="144">
        <v>30000</v>
      </c>
      <c r="F13" s="145">
        <f>2274000/10^5</f>
        <v>22.74</v>
      </c>
      <c r="G13" s="146">
        <f>F13/F99</f>
        <v>8.5508575145627451E-3</v>
      </c>
      <c r="H13" s="31" t="s">
        <v>12</v>
      </c>
      <c r="J13" s="147"/>
    </row>
    <row r="14" spans="1:10" x14ac:dyDescent="0.2">
      <c r="A14" s="22">
        <v>8</v>
      </c>
      <c r="B14" s="23" t="s">
        <v>481</v>
      </c>
      <c r="C14" s="23" t="s">
        <v>482</v>
      </c>
      <c r="D14" s="23" t="s">
        <v>467</v>
      </c>
      <c r="E14" s="24">
        <v>2000</v>
      </c>
      <c r="F14" s="25">
        <v>20.204000000000001</v>
      </c>
      <c r="G14" s="26">
        <v>7.5972499999999998E-3</v>
      </c>
      <c r="H14" s="16" t="s">
        <v>12</v>
      </c>
    </row>
    <row r="15" spans="1:10" x14ac:dyDescent="0.2">
      <c r="A15" s="22">
        <v>9</v>
      </c>
      <c r="B15" s="23" t="s">
        <v>483</v>
      </c>
      <c r="C15" s="23" t="s">
        <v>484</v>
      </c>
      <c r="D15" s="23" t="s">
        <v>467</v>
      </c>
      <c r="E15" s="24">
        <v>2600</v>
      </c>
      <c r="F15" s="25">
        <v>18.924099999999999</v>
      </c>
      <c r="G15" s="26">
        <v>7.11598E-3</v>
      </c>
      <c r="H15" s="16" t="s">
        <v>12</v>
      </c>
    </row>
    <row r="16" spans="1:10" x14ac:dyDescent="0.2">
      <c r="A16" s="22">
        <v>10</v>
      </c>
      <c r="B16" s="23" t="s">
        <v>485</v>
      </c>
      <c r="C16" s="23" t="s">
        <v>486</v>
      </c>
      <c r="D16" s="23" t="s">
        <v>487</v>
      </c>
      <c r="E16" s="24">
        <v>4000</v>
      </c>
      <c r="F16" s="25">
        <v>16.481999999999999</v>
      </c>
      <c r="G16" s="26">
        <v>6.1976799999999997E-3</v>
      </c>
      <c r="H16" s="16" t="s">
        <v>12</v>
      </c>
    </row>
    <row r="17" spans="1:8" x14ac:dyDescent="0.2">
      <c r="A17" s="22">
        <v>11</v>
      </c>
      <c r="B17" s="23" t="s">
        <v>488</v>
      </c>
      <c r="C17" s="23" t="s">
        <v>489</v>
      </c>
      <c r="D17" s="23" t="s">
        <v>467</v>
      </c>
      <c r="E17" s="24">
        <v>675</v>
      </c>
      <c r="F17" s="25">
        <v>13.399425000000001</v>
      </c>
      <c r="G17" s="26">
        <v>5.0385500000000001E-3</v>
      </c>
      <c r="H17" s="16" t="s">
        <v>12</v>
      </c>
    </row>
    <row r="18" spans="1:8" x14ac:dyDescent="0.2">
      <c r="A18" s="22">
        <v>12</v>
      </c>
      <c r="B18" s="23" t="s">
        <v>490</v>
      </c>
      <c r="C18" s="23" t="s">
        <v>491</v>
      </c>
      <c r="D18" s="23" t="s">
        <v>472</v>
      </c>
      <c r="E18" s="24">
        <v>5000</v>
      </c>
      <c r="F18" s="25">
        <v>13.220499999999999</v>
      </c>
      <c r="G18" s="26">
        <v>4.9712699999999999E-3</v>
      </c>
      <c r="H18" s="16" t="s">
        <v>12</v>
      </c>
    </row>
    <row r="19" spans="1:8" ht="25.5" x14ac:dyDescent="0.2">
      <c r="A19" s="22">
        <v>13</v>
      </c>
      <c r="B19" s="23" t="s">
        <v>492</v>
      </c>
      <c r="C19" s="23" t="s">
        <v>493</v>
      </c>
      <c r="D19" s="23" t="s">
        <v>494</v>
      </c>
      <c r="E19" s="24">
        <v>125</v>
      </c>
      <c r="F19" s="25">
        <v>13.065125</v>
      </c>
      <c r="G19" s="26">
        <v>4.9128399999999999E-3</v>
      </c>
      <c r="H19" s="16" t="s">
        <v>12</v>
      </c>
    </row>
    <row r="20" spans="1:8" x14ac:dyDescent="0.2">
      <c r="A20" s="22">
        <v>14</v>
      </c>
      <c r="B20" s="23" t="s">
        <v>495</v>
      </c>
      <c r="C20" s="23" t="s">
        <v>496</v>
      </c>
      <c r="D20" s="23" t="s">
        <v>497</v>
      </c>
      <c r="E20" s="24">
        <v>400</v>
      </c>
      <c r="F20" s="25">
        <v>12.7492</v>
      </c>
      <c r="G20" s="26">
        <v>4.7940500000000002E-3</v>
      </c>
      <c r="H20" s="16" t="s">
        <v>12</v>
      </c>
    </row>
    <row r="21" spans="1:8" x14ac:dyDescent="0.2">
      <c r="A21" s="22">
        <v>15</v>
      </c>
      <c r="B21" s="23" t="s">
        <v>498</v>
      </c>
      <c r="C21" s="23" t="s">
        <v>499</v>
      </c>
      <c r="D21" s="23" t="s">
        <v>500</v>
      </c>
      <c r="E21" s="24">
        <v>900</v>
      </c>
      <c r="F21" s="25">
        <v>12.183299999999999</v>
      </c>
      <c r="G21" s="26">
        <v>4.5812500000000003E-3</v>
      </c>
      <c r="H21" s="16" t="s">
        <v>12</v>
      </c>
    </row>
    <row r="22" spans="1:8" ht="25.5" x14ac:dyDescent="0.2">
      <c r="A22" s="22">
        <v>16</v>
      </c>
      <c r="B22" s="23" t="s">
        <v>501</v>
      </c>
      <c r="C22" s="23" t="s">
        <v>502</v>
      </c>
      <c r="D22" s="23" t="s">
        <v>503</v>
      </c>
      <c r="E22" s="24">
        <v>2000</v>
      </c>
      <c r="F22" s="25">
        <v>12.125999999999999</v>
      </c>
      <c r="G22" s="26">
        <v>4.5597099999999998E-3</v>
      </c>
      <c r="H22" s="16" t="s">
        <v>12</v>
      </c>
    </row>
    <row r="23" spans="1:8" x14ac:dyDescent="0.2">
      <c r="A23" s="22">
        <v>17</v>
      </c>
      <c r="B23" s="23" t="s">
        <v>504</v>
      </c>
      <c r="C23" s="23" t="s">
        <v>505</v>
      </c>
      <c r="D23" s="23" t="s">
        <v>506</v>
      </c>
      <c r="E23" s="24">
        <v>160</v>
      </c>
      <c r="F23" s="25">
        <v>12.00752</v>
      </c>
      <c r="G23" s="26">
        <v>4.5151499999999999E-3</v>
      </c>
      <c r="H23" s="16" t="s">
        <v>12</v>
      </c>
    </row>
    <row r="24" spans="1:8" x14ac:dyDescent="0.2">
      <c r="A24" s="22">
        <v>18</v>
      </c>
      <c r="B24" s="23" t="s">
        <v>507</v>
      </c>
      <c r="C24" s="23" t="s">
        <v>508</v>
      </c>
      <c r="D24" s="23" t="s">
        <v>509</v>
      </c>
      <c r="E24" s="24">
        <v>2000</v>
      </c>
      <c r="F24" s="25">
        <v>11.927</v>
      </c>
      <c r="G24" s="26">
        <v>4.4848800000000001E-3</v>
      </c>
      <c r="H24" s="16" t="s">
        <v>12</v>
      </c>
    </row>
    <row r="25" spans="1:8" ht="25.5" x14ac:dyDescent="0.2">
      <c r="A25" s="22">
        <v>19</v>
      </c>
      <c r="B25" s="23" t="s">
        <v>510</v>
      </c>
      <c r="C25" s="23" t="s">
        <v>511</v>
      </c>
      <c r="D25" s="23" t="s">
        <v>512</v>
      </c>
      <c r="E25" s="24">
        <v>250</v>
      </c>
      <c r="F25" s="25">
        <v>11.767374999999999</v>
      </c>
      <c r="G25" s="26">
        <v>4.4248500000000001E-3</v>
      </c>
      <c r="H25" s="16" t="s">
        <v>12</v>
      </c>
    </row>
    <row r="26" spans="1:8" x14ac:dyDescent="0.2">
      <c r="A26" s="22">
        <v>20</v>
      </c>
      <c r="B26" s="23" t="s">
        <v>513</v>
      </c>
      <c r="C26" s="23" t="s">
        <v>514</v>
      </c>
      <c r="D26" s="23" t="s">
        <v>506</v>
      </c>
      <c r="E26" s="24">
        <v>100</v>
      </c>
      <c r="F26" s="25">
        <v>11.5138</v>
      </c>
      <c r="G26" s="26">
        <v>4.3295E-3</v>
      </c>
      <c r="H26" s="16" t="s">
        <v>12</v>
      </c>
    </row>
    <row r="27" spans="1:8" ht="25.5" x14ac:dyDescent="0.2">
      <c r="A27" s="22">
        <v>21</v>
      </c>
      <c r="B27" s="23" t="s">
        <v>515</v>
      </c>
      <c r="C27" s="23" t="s">
        <v>516</v>
      </c>
      <c r="D27" s="23" t="s">
        <v>517</v>
      </c>
      <c r="E27" s="24">
        <v>2000</v>
      </c>
      <c r="F27" s="25">
        <v>10.731999999999999</v>
      </c>
      <c r="G27" s="26">
        <v>4.0355199999999999E-3</v>
      </c>
      <c r="H27" s="16" t="s">
        <v>12</v>
      </c>
    </row>
    <row r="28" spans="1:8" ht="25.5" x14ac:dyDescent="0.2">
      <c r="A28" s="22">
        <v>22</v>
      </c>
      <c r="B28" s="23" t="s">
        <v>518</v>
      </c>
      <c r="C28" s="23" t="s">
        <v>519</v>
      </c>
      <c r="D28" s="23" t="s">
        <v>494</v>
      </c>
      <c r="E28" s="24">
        <v>450</v>
      </c>
      <c r="F28" s="25">
        <v>10.665900000000001</v>
      </c>
      <c r="G28" s="26">
        <v>4.01067E-3</v>
      </c>
      <c r="H28" s="16" t="s">
        <v>12</v>
      </c>
    </row>
    <row r="29" spans="1:8" ht="25.5" x14ac:dyDescent="0.2">
      <c r="A29" s="22">
        <v>22</v>
      </c>
      <c r="B29" s="23" t="s">
        <v>520</v>
      </c>
      <c r="C29" s="23" t="s">
        <v>521</v>
      </c>
      <c r="D29" s="23" t="s">
        <v>522</v>
      </c>
      <c r="E29" s="24">
        <v>320</v>
      </c>
      <c r="F29" s="25">
        <v>10.551360000000001</v>
      </c>
      <c r="G29" s="26">
        <v>3.9675999999999999E-3</v>
      </c>
      <c r="H29" s="16" t="s">
        <v>12</v>
      </c>
    </row>
    <row r="30" spans="1:8" x14ac:dyDescent="0.2">
      <c r="A30" s="14"/>
      <c r="B30" s="14"/>
      <c r="C30" s="15" t="s">
        <v>11</v>
      </c>
      <c r="D30" s="14"/>
      <c r="E30" s="14" t="s">
        <v>12</v>
      </c>
      <c r="F30" s="21">
        <f>SUM(F7:F29)</f>
        <v>498.54186000000004</v>
      </c>
      <c r="G30" s="18">
        <f>SUM(G7:G29)</f>
        <v>0.1874652975145627</v>
      </c>
      <c r="H30" s="16" t="s">
        <v>12</v>
      </c>
    </row>
    <row r="31" spans="1:8" x14ac:dyDescent="0.2">
      <c r="A31" s="14"/>
      <c r="B31" s="14"/>
      <c r="C31" s="19"/>
      <c r="D31" s="14"/>
      <c r="E31" s="14"/>
      <c r="F31" s="20"/>
      <c r="G31" s="20"/>
      <c r="H31" s="16" t="s">
        <v>12</v>
      </c>
    </row>
    <row r="32" spans="1:8" x14ac:dyDescent="0.2">
      <c r="A32" s="14"/>
      <c r="B32" s="14"/>
      <c r="C32" s="15" t="s">
        <v>14</v>
      </c>
      <c r="D32" s="14"/>
      <c r="E32" s="14"/>
      <c r="F32" s="14"/>
      <c r="G32" s="14"/>
      <c r="H32" s="16" t="s">
        <v>12</v>
      </c>
    </row>
    <row r="33" spans="1:8" x14ac:dyDescent="0.2">
      <c r="A33" s="14"/>
      <c r="B33" s="14"/>
      <c r="C33" s="15" t="s">
        <v>11</v>
      </c>
      <c r="D33" s="14"/>
      <c r="E33" s="14" t="s">
        <v>12</v>
      </c>
      <c r="F33" s="17" t="s">
        <v>13</v>
      </c>
      <c r="G33" s="18">
        <v>0</v>
      </c>
      <c r="H33" s="16" t="s">
        <v>12</v>
      </c>
    </row>
    <row r="34" spans="1:8" x14ac:dyDescent="0.2">
      <c r="A34" s="14"/>
      <c r="B34" s="14"/>
      <c r="C34" s="19"/>
      <c r="D34" s="14"/>
      <c r="E34" s="14"/>
      <c r="F34" s="20"/>
      <c r="G34" s="20"/>
      <c r="H34" s="16" t="s">
        <v>12</v>
      </c>
    </row>
    <row r="35" spans="1:8" x14ac:dyDescent="0.2">
      <c r="A35" s="14"/>
      <c r="B35" s="14"/>
      <c r="C35" s="15" t="s">
        <v>15</v>
      </c>
      <c r="D35" s="14"/>
      <c r="E35" s="14"/>
      <c r="F35" s="14"/>
      <c r="G35" s="14"/>
      <c r="H35" s="16" t="s">
        <v>12</v>
      </c>
    </row>
    <row r="36" spans="1:8" x14ac:dyDescent="0.2">
      <c r="A36" s="14"/>
      <c r="B36" s="14"/>
      <c r="C36" s="15" t="s">
        <v>11</v>
      </c>
      <c r="D36" s="14"/>
      <c r="E36" s="14" t="s">
        <v>12</v>
      </c>
      <c r="F36" s="17" t="s">
        <v>13</v>
      </c>
      <c r="G36" s="18">
        <v>0</v>
      </c>
      <c r="H36" s="16" t="s">
        <v>12</v>
      </c>
    </row>
    <row r="37" spans="1:8" x14ac:dyDescent="0.2">
      <c r="A37" s="14"/>
      <c r="B37" s="14"/>
      <c r="C37" s="19"/>
      <c r="D37" s="14"/>
      <c r="E37" s="14"/>
      <c r="F37" s="20"/>
      <c r="G37" s="20"/>
      <c r="H37" s="16" t="s">
        <v>12</v>
      </c>
    </row>
    <row r="38" spans="1:8" x14ac:dyDescent="0.2">
      <c r="A38" s="14"/>
      <c r="B38" s="14"/>
      <c r="C38" s="15" t="s">
        <v>16</v>
      </c>
      <c r="D38" s="14"/>
      <c r="E38" s="14"/>
      <c r="F38" s="14"/>
      <c r="G38" s="14"/>
      <c r="H38" s="16" t="s">
        <v>12</v>
      </c>
    </row>
    <row r="39" spans="1:8" x14ac:dyDescent="0.2">
      <c r="A39" s="22">
        <v>1</v>
      </c>
      <c r="B39" s="23" t="s">
        <v>523</v>
      </c>
      <c r="C39" s="143" t="s">
        <v>632</v>
      </c>
      <c r="D39" s="23" t="s">
        <v>475</v>
      </c>
      <c r="E39" s="24">
        <v>218</v>
      </c>
      <c r="F39" s="25">
        <v>2.5703290000000001</v>
      </c>
      <c r="G39" s="26">
        <v>9.6650999999999996E-4</v>
      </c>
      <c r="H39" s="16" t="s">
        <v>12</v>
      </c>
    </row>
    <row r="40" spans="1:8" x14ac:dyDescent="0.2">
      <c r="A40" s="14"/>
      <c r="B40" s="14"/>
      <c r="C40" s="15" t="s">
        <v>11</v>
      </c>
      <c r="D40" s="14"/>
      <c r="E40" s="14" t="s">
        <v>12</v>
      </c>
      <c r="F40" s="21">
        <v>2.5703290000000001</v>
      </c>
      <c r="G40" s="18">
        <v>9.6650999999999996E-4</v>
      </c>
      <c r="H40" s="16" t="s">
        <v>12</v>
      </c>
    </row>
    <row r="41" spans="1:8" x14ac:dyDescent="0.2">
      <c r="A41" s="14"/>
      <c r="B41" s="14"/>
      <c r="C41" s="19"/>
      <c r="D41" s="14"/>
      <c r="E41" s="14"/>
      <c r="F41" s="20"/>
      <c r="G41" s="20"/>
      <c r="H41" s="16" t="s">
        <v>12</v>
      </c>
    </row>
    <row r="42" spans="1:8" x14ac:dyDescent="0.2">
      <c r="A42" s="14"/>
      <c r="B42" s="14"/>
      <c r="C42" s="15" t="s">
        <v>17</v>
      </c>
      <c r="D42" s="14"/>
      <c r="E42" s="14"/>
      <c r="F42" s="20"/>
      <c r="G42" s="20"/>
      <c r="H42" s="16" t="s">
        <v>12</v>
      </c>
    </row>
    <row r="43" spans="1:8" x14ac:dyDescent="0.2">
      <c r="A43" s="14"/>
      <c r="B43" s="14"/>
      <c r="C43" s="15" t="s">
        <v>11</v>
      </c>
      <c r="D43" s="14"/>
      <c r="E43" s="14" t="s">
        <v>12</v>
      </c>
      <c r="F43" s="17" t="s">
        <v>13</v>
      </c>
      <c r="G43" s="18">
        <v>0</v>
      </c>
      <c r="H43" s="16" t="s">
        <v>12</v>
      </c>
    </row>
    <row r="44" spans="1:8" x14ac:dyDescent="0.2">
      <c r="A44" s="14"/>
      <c r="B44" s="14"/>
      <c r="C44" s="19"/>
      <c r="D44" s="14"/>
      <c r="E44" s="14"/>
      <c r="F44" s="20"/>
      <c r="G44" s="20"/>
      <c r="H44" s="16" t="s">
        <v>12</v>
      </c>
    </row>
    <row r="45" spans="1:8" x14ac:dyDescent="0.2">
      <c r="A45" s="14"/>
      <c r="B45" s="14"/>
      <c r="C45" s="15" t="s">
        <v>18</v>
      </c>
      <c r="D45" s="14"/>
      <c r="E45" s="14"/>
      <c r="F45" s="20"/>
      <c r="G45" s="20"/>
      <c r="H45" s="16" t="s">
        <v>12</v>
      </c>
    </row>
    <row r="46" spans="1:8" x14ac:dyDescent="0.2">
      <c r="A46" s="14"/>
      <c r="B46" s="14"/>
      <c r="C46" s="15" t="s">
        <v>11</v>
      </c>
      <c r="D46" s="14"/>
      <c r="E46" s="14" t="s">
        <v>12</v>
      </c>
      <c r="F46" s="17" t="s">
        <v>13</v>
      </c>
      <c r="G46" s="18">
        <v>0</v>
      </c>
      <c r="H46" s="16" t="s">
        <v>12</v>
      </c>
    </row>
    <row r="47" spans="1:8" x14ac:dyDescent="0.2">
      <c r="A47" s="14"/>
      <c r="B47" s="14"/>
      <c r="C47" s="19"/>
      <c r="D47" s="14"/>
      <c r="E47" s="14"/>
      <c r="F47" s="20"/>
      <c r="G47" s="20"/>
      <c r="H47" s="16" t="s">
        <v>12</v>
      </c>
    </row>
    <row r="48" spans="1:8" x14ac:dyDescent="0.2">
      <c r="A48" s="14"/>
      <c r="B48" s="14"/>
      <c r="C48" s="15" t="s">
        <v>19</v>
      </c>
      <c r="D48" s="14"/>
      <c r="E48" s="14"/>
      <c r="F48" s="21">
        <f>F40+F30</f>
        <v>501.11218900000006</v>
      </c>
      <c r="G48" s="18">
        <f>G40+G30</f>
        <v>0.1884318075145627</v>
      </c>
      <c r="H48" s="16" t="s">
        <v>12</v>
      </c>
    </row>
    <row r="49" spans="1:8" x14ac:dyDescent="0.2">
      <c r="A49" s="14"/>
      <c r="B49" s="14"/>
      <c r="C49" s="19"/>
      <c r="D49" s="14"/>
      <c r="E49" s="14"/>
      <c r="F49" s="20"/>
      <c r="G49" s="20"/>
      <c r="H49" s="16" t="s">
        <v>12</v>
      </c>
    </row>
    <row r="50" spans="1:8" x14ac:dyDescent="0.2">
      <c r="A50" s="14"/>
      <c r="B50" s="14"/>
      <c r="C50" s="15" t="s">
        <v>20</v>
      </c>
      <c r="D50" s="14"/>
      <c r="E50" s="14"/>
      <c r="F50" s="20"/>
      <c r="G50" s="20"/>
      <c r="H50" s="16" t="s">
        <v>12</v>
      </c>
    </row>
    <row r="51" spans="1:8" ht="25.5" x14ac:dyDescent="0.2">
      <c r="A51" s="14"/>
      <c r="B51" s="14"/>
      <c r="C51" s="15" t="s">
        <v>10</v>
      </c>
      <c r="D51" s="14"/>
      <c r="E51" s="14"/>
      <c r="F51" s="20"/>
      <c r="G51" s="20"/>
      <c r="H51" s="16" t="s">
        <v>12</v>
      </c>
    </row>
    <row r="52" spans="1:8" x14ac:dyDescent="0.2">
      <c r="A52" s="14"/>
      <c r="B52" s="14"/>
      <c r="C52" s="15" t="s">
        <v>11</v>
      </c>
      <c r="D52" s="14"/>
      <c r="E52" s="14" t="s">
        <v>12</v>
      </c>
      <c r="F52" s="17" t="s">
        <v>13</v>
      </c>
      <c r="G52" s="18">
        <v>0</v>
      </c>
      <c r="H52" s="16" t="s">
        <v>12</v>
      </c>
    </row>
    <row r="53" spans="1:8" x14ac:dyDescent="0.2">
      <c r="A53" s="14"/>
      <c r="B53" s="14"/>
      <c r="C53" s="19"/>
      <c r="D53" s="14"/>
      <c r="E53" s="14"/>
      <c r="F53" s="20"/>
      <c r="G53" s="20"/>
      <c r="H53" s="16" t="s">
        <v>12</v>
      </c>
    </row>
    <row r="54" spans="1:8" x14ac:dyDescent="0.2">
      <c r="A54" s="14"/>
      <c r="B54" s="14"/>
      <c r="C54" s="15" t="s">
        <v>71</v>
      </c>
      <c r="D54" s="14"/>
      <c r="E54" s="14"/>
      <c r="F54" s="14"/>
      <c r="G54" s="14"/>
      <c r="H54" s="16" t="s">
        <v>12</v>
      </c>
    </row>
    <row r="55" spans="1:8" x14ac:dyDescent="0.2">
      <c r="A55" s="14"/>
      <c r="B55" s="14"/>
      <c r="C55" s="15" t="s">
        <v>11</v>
      </c>
      <c r="D55" s="14"/>
      <c r="E55" s="14" t="s">
        <v>12</v>
      </c>
      <c r="F55" s="17" t="s">
        <v>13</v>
      </c>
      <c r="G55" s="18">
        <v>0</v>
      </c>
      <c r="H55" s="16" t="s">
        <v>12</v>
      </c>
    </row>
    <row r="56" spans="1:8" x14ac:dyDescent="0.2">
      <c r="A56" s="14"/>
      <c r="B56" s="14"/>
      <c r="C56" s="19"/>
      <c r="D56" s="14"/>
      <c r="E56" s="14"/>
      <c r="F56" s="20"/>
      <c r="G56" s="20"/>
      <c r="H56" s="16" t="s">
        <v>12</v>
      </c>
    </row>
    <row r="57" spans="1:8" x14ac:dyDescent="0.2">
      <c r="A57" s="14"/>
      <c r="B57" s="14"/>
      <c r="C57" s="15" t="s">
        <v>72</v>
      </c>
      <c r="D57" s="14"/>
      <c r="E57" s="14"/>
      <c r="F57" s="14"/>
      <c r="G57" s="14"/>
      <c r="H57" s="16" t="s">
        <v>12</v>
      </c>
    </row>
    <row r="58" spans="1:8" ht="25.5" x14ac:dyDescent="0.2">
      <c r="A58" s="22">
        <v>1</v>
      </c>
      <c r="B58" s="23" t="s">
        <v>73</v>
      </c>
      <c r="C58" s="23" t="s">
        <v>74</v>
      </c>
      <c r="D58" s="23" t="s">
        <v>75</v>
      </c>
      <c r="E58" s="24">
        <v>1100000</v>
      </c>
      <c r="F58" s="25">
        <v>1125.5838000000001</v>
      </c>
      <c r="G58" s="26">
        <v>0.42325007999999997</v>
      </c>
      <c r="H58" s="16">
        <v>6.8678999999999997</v>
      </c>
    </row>
    <row r="59" spans="1:8" x14ac:dyDescent="0.2">
      <c r="A59" s="22">
        <v>2</v>
      </c>
      <c r="B59" s="23" t="s">
        <v>80</v>
      </c>
      <c r="C59" s="23" t="s">
        <v>81</v>
      </c>
      <c r="D59" s="23" t="s">
        <v>75</v>
      </c>
      <c r="E59" s="24">
        <v>500000</v>
      </c>
      <c r="F59" s="25">
        <v>516.85050000000001</v>
      </c>
      <c r="G59" s="26">
        <v>0.19434982000000001</v>
      </c>
      <c r="H59" s="16">
        <v>7.1481000000000003</v>
      </c>
    </row>
    <row r="60" spans="1:8" x14ac:dyDescent="0.2">
      <c r="A60" s="14"/>
      <c r="B60" s="14"/>
      <c r="C60" s="15" t="s">
        <v>11</v>
      </c>
      <c r="D60" s="14"/>
      <c r="E60" s="14" t="s">
        <v>12</v>
      </c>
      <c r="F60" s="21">
        <v>1642.4342999999999</v>
      </c>
      <c r="G60" s="18">
        <v>0.61759989999999998</v>
      </c>
      <c r="H60" s="16" t="s">
        <v>12</v>
      </c>
    </row>
    <row r="61" spans="1:8" x14ac:dyDescent="0.2">
      <c r="A61" s="14"/>
      <c r="B61" s="14"/>
      <c r="C61" s="19"/>
      <c r="D61" s="14"/>
      <c r="E61" s="14"/>
      <c r="F61" s="20"/>
      <c r="G61" s="20"/>
      <c r="H61" s="16" t="s">
        <v>12</v>
      </c>
    </row>
    <row r="62" spans="1:8" x14ac:dyDescent="0.2">
      <c r="A62" s="14"/>
      <c r="B62" s="14"/>
      <c r="C62" s="15" t="s">
        <v>88</v>
      </c>
      <c r="D62" s="14"/>
      <c r="E62" s="14"/>
      <c r="F62" s="20"/>
      <c r="G62" s="20"/>
      <c r="H62" s="16" t="s">
        <v>12</v>
      </c>
    </row>
    <row r="63" spans="1:8" x14ac:dyDescent="0.2">
      <c r="A63" s="14"/>
      <c r="B63" s="14"/>
      <c r="C63" s="15" t="s">
        <v>11</v>
      </c>
      <c r="D63" s="14"/>
      <c r="E63" s="14" t="s">
        <v>12</v>
      </c>
      <c r="F63" s="17" t="s">
        <v>13</v>
      </c>
      <c r="G63" s="18">
        <v>0</v>
      </c>
      <c r="H63" s="16" t="s">
        <v>12</v>
      </c>
    </row>
    <row r="64" spans="1:8" x14ac:dyDescent="0.2">
      <c r="A64" s="14"/>
      <c r="B64" s="14"/>
      <c r="C64" s="19"/>
      <c r="D64" s="14"/>
      <c r="E64" s="14"/>
      <c r="F64" s="20"/>
      <c r="G64" s="20"/>
      <c r="H64" s="16" t="s">
        <v>12</v>
      </c>
    </row>
    <row r="65" spans="1:8" x14ac:dyDescent="0.2">
      <c r="A65" s="14"/>
      <c r="B65" s="14"/>
      <c r="C65" s="15" t="s">
        <v>89</v>
      </c>
      <c r="D65" s="14"/>
      <c r="E65" s="14"/>
      <c r="F65" s="21">
        <v>1642.4342999999999</v>
      </c>
      <c r="G65" s="18">
        <v>0.61759989999999998</v>
      </c>
      <c r="H65" s="16" t="s">
        <v>12</v>
      </c>
    </row>
    <row r="66" spans="1:8" x14ac:dyDescent="0.2">
      <c r="A66" s="14"/>
      <c r="B66" s="14"/>
      <c r="C66" s="19"/>
      <c r="D66" s="14"/>
      <c r="E66" s="14"/>
      <c r="F66" s="20"/>
      <c r="G66" s="20"/>
      <c r="H66" s="16" t="s">
        <v>12</v>
      </c>
    </row>
    <row r="67" spans="1:8" x14ac:dyDescent="0.2">
      <c r="A67" s="14"/>
      <c r="B67" s="14"/>
      <c r="C67" s="15" t="s">
        <v>90</v>
      </c>
      <c r="D67" s="14"/>
      <c r="E67" s="14"/>
      <c r="F67" s="20"/>
      <c r="G67" s="20"/>
      <c r="H67" s="16" t="s">
        <v>12</v>
      </c>
    </row>
    <row r="68" spans="1:8" x14ac:dyDescent="0.2">
      <c r="A68" s="14"/>
      <c r="B68" s="14"/>
      <c r="C68" s="15" t="s">
        <v>91</v>
      </c>
      <c r="D68" s="14"/>
      <c r="E68" s="14"/>
      <c r="F68" s="20"/>
      <c r="G68" s="20"/>
      <c r="H68" s="16" t="s">
        <v>12</v>
      </c>
    </row>
    <row r="69" spans="1:8" x14ac:dyDescent="0.2">
      <c r="A69" s="14"/>
      <c r="B69" s="14"/>
      <c r="C69" s="15" t="s">
        <v>11</v>
      </c>
      <c r="D69" s="14"/>
      <c r="E69" s="14" t="s">
        <v>12</v>
      </c>
      <c r="F69" s="17" t="s">
        <v>13</v>
      </c>
      <c r="G69" s="18">
        <v>0</v>
      </c>
      <c r="H69" s="16" t="s">
        <v>12</v>
      </c>
    </row>
    <row r="70" spans="1:8" x14ac:dyDescent="0.2">
      <c r="A70" s="14"/>
      <c r="B70" s="14"/>
      <c r="C70" s="19"/>
      <c r="D70" s="14"/>
      <c r="E70" s="14"/>
      <c r="F70" s="20"/>
      <c r="G70" s="20"/>
      <c r="H70" s="16" t="s">
        <v>12</v>
      </c>
    </row>
    <row r="71" spans="1:8" x14ac:dyDescent="0.2">
      <c r="A71" s="14"/>
      <c r="B71" s="14"/>
      <c r="C71" s="15" t="s">
        <v>92</v>
      </c>
      <c r="D71" s="14"/>
      <c r="E71" s="14"/>
      <c r="F71" s="20"/>
      <c r="G71" s="20"/>
      <c r="H71" s="16" t="s">
        <v>12</v>
      </c>
    </row>
    <row r="72" spans="1:8" x14ac:dyDescent="0.2">
      <c r="A72" s="14"/>
      <c r="B72" s="14"/>
      <c r="C72" s="15" t="s">
        <v>11</v>
      </c>
      <c r="D72" s="14"/>
      <c r="E72" s="14" t="s">
        <v>12</v>
      </c>
      <c r="F72" s="17" t="s">
        <v>13</v>
      </c>
      <c r="G72" s="18">
        <v>0</v>
      </c>
      <c r="H72" s="16" t="s">
        <v>12</v>
      </c>
    </row>
    <row r="73" spans="1:8" x14ac:dyDescent="0.2">
      <c r="A73" s="14"/>
      <c r="B73" s="14"/>
      <c r="C73" s="19"/>
      <c r="D73" s="14"/>
      <c r="E73" s="14"/>
      <c r="F73" s="20"/>
      <c r="G73" s="20"/>
      <c r="H73" s="16" t="s">
        <v>12</v>
      </c>
    </row>
    <row r="74" spans="1:8" x14ac:dyDescent="0.2">
      <c r="A74" s="14"/>
      <c r="B74" s="14"/>
      <c r="C74" s="15" t="s">
        <v>93</v>
      </c>
      <c r="D74" s="14"/>
      <c r="E74" s="14"/>
      <c r="F74" s="20"/>
      <c r="G74" s="20"/>
      <c r="H74" s="16" t="s">
        <v>12</v>
      </c>
    </row>
    <row r="75" spans="1:8" x14ac:dyDescent="0.2">
      <c r="A75" s="14"/>
      <c r="B75" s="14"/>
      <c r="C75" s="15" t="s">
        <v>11</v>
      </c>
      <c r="D75" s="14"/>
      <c r="E75" s="14" t="s">
        <v>12</v>
      </c>
      <c r="F75" s="17" t="s">
        <v>13</v>
      </c>
      <c r="G75" s="18">
        <v>0</v>
      </c>
      <c r="H75" s="16" t="s">
        <v>12</v>
      </c>
    </row>
    <row r="76" spans="1:8" x14ac:dyDescent="0.2">
      <c r="A76" s="14"/>
      <c r="B76" s="14"/>
      <c r="C76" s="19"/>
      <c r="D76" s="14"/>
      <c r="E76" s="14"/>
      <c r="F76" s="20"/>
      <c r="G76" s="20"/>
      <c r="H76" s="16" t="s">
        <v>12</v>
      </c>
    </row>
    <row r="77" spans="1:8" x14ac:dyDescent="0.2">
      <c r="A77" s="14"/>
      <c r="B77" s="14"/>
      <c r="C77" s="15" t="s">
        <v>94</v>
      </c>
      <c r="D77" s="14"/>
      <c r="E77" s="14"/>
      <c r="F77" s="20"/>
      <c r="G77" s="20"/>
      <c r="H77" s="16" t="s">
        <v>12</v>
      </c>
    </row>
    <row r="78" spans="1:8" x14ac:dyDescent="0.2">
      <c r="A78" s="22">
        <v>1</v>
      </c>
      <c r="B78" s="23"/>
      <c r="C78" s="23" t="s">
        <v>95</v>
      </c>
      <c r="D78" s="23"/>
      <c r="E78" s="27"/>
      <c r="F78" s="25">
        <v>447.02275670199998</v>
      </c>
      <c r="G78" s="26">
        <v>0.16809270000000001</v>
      </c>
      <c r="H78" s="16">
        <v>6.24</v>
      </c>
    </row>
    <row r="79" spans="1:8" x14ac:dyDescent="0.2">
      <c r="A79" s="14"/>
      <c r="B79" s="14"/>
      <c r="C79" s="15" t="s">
        <v>11</v>
      </c>
      <c r="D79" s="14"/>
      <c r="E79" s="14" t="s">
        <v>12</v>
      </c>
      <c r="F79" s="21">
        <v>447.02275670199998</v>
      </c>
      <c r="G79" s="18">
        <v>0.16809270000000001</v>
      </c>
      <c r="H79" s="16" t="s">
        <v>12</v>
      </c>
    </row>
    <row r="80" spans="1:8" x14ac:dyDescent="0.2">
      <c r="A80" s="14"/>
      <c r="B80" s="14"/>
      <c r="C80" s="19"/>
      <c r="D80" s="14"/>
      <c r="E80" s="14"/>
      <c r="F80" s="20"/>
      <c r="G80" s="20"/>
      <c r="H80" s="16" t="s">
        <v>12</v>
      </c>
    </row>
    <row r="81" spans="1:17" x14ac:dyDescent="0.2">
      <c r="A81" s="14"/>
      <c r="B81" s="14"/>
      <c r="C81" s="15" t="s">
        <v>96</v>
      </c>
      <c r="D81" s="14"/>
      <c r="E81" s="14"/>
      <c r="F81" s="21">
        <v>447.02275670199998</v>
      </c>
      <c r="G81" s="18">
        <v>0.16809270000000001</v>
      </c>
      <c r="H81" s="16" t="s">
        <v>12</v>
      </c>
    </row>
    <row r="82" spans="1:17" x14ac:dyDescent="0.2">
      <c r="A82" s="14"/>
      <c r="B82" s="14"/>
      <c r="C82" s="20"/>
      <c r="D82" s="14"/>
      <c r="E82" s="14"/>
      <c r="F82" s="14"/>
      <c r="G82" s="14"/>
      <c r="H82" s="16" t="s">
        <v>12</v>
      </c>
    </row>
    <row r="83" spans="1:17" x14ac:dyDescent="0.2">
      <c r="A83" s="14"/>
      <c r="B83" s="14"/>
      <c r="C83" s="15" t="s">
        <v>97</v>
      </c>
      <c r="D83" s="14"/>
      <c r="E83" s="14"/>
      <c r="F83" s="14"/>
      <c r="G83" s="14"/>
      <c r="H83" s="16" t="s">
        <v>12</v>
      </c>
    </row>
    <row r="84" spans="1:17" x14ac:dyDescent="0.2">
      <c r="A84" s="14"/>
      <c r="B84" s="14"/>
      <c r="C84" s="15" t="s">
        <v>98</v>
      </c>
      <c r="D84" s="14"/>
      <c r="E84" s="14"/>
      <c r="F84" s="14"/>
      <c r="G84" s="14"/>
      <c r="H84" s="16" t="s">
        <v>12</v>
      </c>
    </row>
    <row r="85" spans="1:17" x14ac:dyDescent="0.2">
      <c r="A85" s="14"/>
      <c r="B85" s="14"/>
      <c r="C85" s="15" t="s">
        <v>11</v>
      </c>
      <c r="D85" s="14"/>
      <c r="E85" s="14" t="s">
        <v>12</v>
      </c>
      <c r="F85" s="17" t="s">
        <v>13</v>
      </c>
      <c r="G85" s="18">
        <v>0</v>
      </c>
      <c r="H85" s="16" t="s">
        <v>12</v>
      </c>
    </row>
    <row r="86" spans="1:17" x14ac:dyDescent="0.2">
      <c r="A86" s="28"/>
      <c r="B86" s="28"/>
      <c r="C86" s="29"/>
      <c r="D86" s="28"/>
      <c r="E86" s="28"/>
      <c r="F86" s="30"/>
      <c r="G86" s="30"/>
      <c r="H86" s="16" t="s">
        <v>12</v>
      </c>
    </row>
    <row r="87" spans="1:17" ht="25.5" x14ac:dyDescent="0.2">
      <c r="A87" s="28"/>
      <c r="B87" s="28"/>
      <c r="C87" s="32" t="s">
        <v>541</v>
      </c>
      <c r="D87" s="28"/>
      <c r="E87" s="28"/>
      <c r="F87" s="30"/>
      <c r="G87" s="30"/>
      <c r="H87" s="16" t="s">
        <v>12</v>
      </c>
      <c r="K87" s="34"/>
      <c r="L87" s="34"/>
      <c r="M87" s="34"/>
      <c r="N87" s="34"/>
      <c r="O87" s="35"/>
      <c r="P87" s="35"/>
      <c r="Q87" s="35"/>
    </row>
    <row r="88" spans="1:17" ht="25.5" x14ac:dyDescent="0.2">
      <c r="A88" s="36">
        <v>1</v>
      </c>
      <c r="B88" s="37" t="s">
        <v>99</v>
      </c>
      <c r="C88" s="37" t="s">
        <v>100</v>
      </c>
      <c r="D88" s="37"/>
      <c r="E88" s="38">
        <v>76.796000000000006</v>
      </c>
      <c r="F88" s="33">
        <v>8.4441011079999999</v>
      </c>
      <c r="G88" s="39">
        <v>3.1752099999999999E-3</v>
      </c>
      <c r="H88" s="16"/>
    </row>
    <row r="89" spans="1:17" x14ac:dyDescent="0.2">
      <c r="A89" s="28"/>
      <c r="B89" s="28"/>
      <c r="C89" s="32" t="s">
        <v>11</v>
      </c>
      <c r="D89" s="28"/>
      <c r="E89" s="28" t="s">
        <v>12</v>
      </c>
      <c r="F89" s="40">
        <f>SUM(F88)</f>
        <v>8.4441011079999999</v>
      </c>
      <c r="G89" s="41">
        <f>SUM(G88)</f>
        <v>3.1752099999999999E-3</v>
      </c>
      <c r="H89" s="16" t="s">
        <v>12</v>
      </c>
    </row>
    <row r="90" spans="1:17" x14ac:dyDescent="0.2">
      <c r="A90" s="14"/>
      <c r="B90" s="14"/>
      <c r="C90" s="19"/>
      <c r="D90" s="14"/>
      <c r="E90" s="14"/>
      <c r="F90" s="20"/>
      <c r="G90" s="20"/>
      <c r="H90" s="16" t="s">
        <v>12</v>
      </c>
    </row>
    <row r="91" spans="1:17" x14ac:dyDescent="0.2">
      <c r="A91" s="14"/>
      <c r="B91" s="14"/>
      <c r="C91" s="15" t="s">
        <v>101</v>
      </c>
      <c r="D91" s="14"/>
      <c r="E91" s="14"/>
      <c r="F91" s="14"/>
      <c r="G91" s="14"/>
      <c r="H91" s="16" t="s">
        <v>12</v>
      </c>
    </row>
    <row r="92" spans="1:17" x14ac:dyDescent="0.2">
      <c r="A92" s="14"/>
      <c r="B92" s="14"/>
      <c r="C92" s="15" t="s">
        <v>102</v>
      </c>
      <c r="D92" s="14"/>
      <c r="E92" s="14"/>
      <c r="F92" s="14"/>
      <c r="G92" s="14"/>
      <c r="H92" s="16" t="s">
        <v>12</v>
      </c>
    </row>
    <row r="93" spans="1:17" x14ac:dyDescent="0.2">
      <c r="A93" s="14"/>
      <c r="B93" s="14"/>
      <c r="C93" s="15" t="s">
        <v>11</v>
      </c>
      <c r="D93" s="14"/>
      <c r="E93" s="14" t="s">
        <v>12</v>
      </c>
      <c r="F93" s="17" t="s">
        <v>13</v>
      </c>
      <c r="G93" s="18">
        <v>0</v>
      </c>
      <c r="H93" s="16" t="s">
        <v>12</v>
      </c>
    </row>
    <row r="94" spans="1:17" x14ac:dyDescent="0.2">
      <c r="A94" s="14"/>
      <c r="B94" s="14"/>
      <c r="C94" s="19"/>
      <c r="D94" s="14"/>
      <c r="E94" s="14"/>
      <c r="F94" s="20"/>
      <c r="G94" s="20"/>
      <c r="H94" s="16" t="s">
        <v>12</v>
      </c>
    </row>
    <row r="95" spans="1:17" ht="25.5" x14ac:dyDescent="0.2">
      <c r="A95" s="14"/>
      <c r="B95" s="14"/>
      <c r="C95" s="15" t="s">
        <v>103</v>
      </c>
      <c r="D95" s="14"/>
      <c r="E95" s="14"/>
      <c r="F95" s="20"/>
      <c r="G95" s="20"/>
      <c r="H95" s="16" t="s">
        <v>12</v>
      </c>
    </row>
    <row r="96" spans="1:17" x14ac:dyDescent="0.2">
      <c r="A96" s="14"/>
      <c r="B96" s="14"/>
      <c r="C96" s="15" t="s">
        <v>11</v>
      </c>
      <c r="D96" s="14"/>
      <c r="E96" s="14" t="s">
        <v>12</v>
      </c>
      <c r="F96" s="17" t="s">
        <v>13</v>
      </c>
      <c r="G96" s="18">
        <v>0</v>
      </c>
      <c r="H96" s="16" t="s">
        <v>12</v>
      </c>
    </row>
    <row r="97" spans="1:8" x14ac:dyDescent="0.2">
      <c r="A97" s="14"/>
      <c r="B97" s="23"/>
      <c r="C97" s="23"/>
      <c r="D97" s="15"/>
      <c r="E97" s="14"/>
      <c r="F97" s="23"/>
      <c r="G97" s="27"/>
      <c r="H97" s="16" t="s">
        <v>12</v>
      </c>
    </row>
    <row r="98" spans="1:8" x14ac:dyDescent="0.2">
      <c r="A98" s="27"/>
      <c r="B98" s="23"/>
      <c r="C98" s="23" t="s">
        <v>104</v>
      </c>
      <c r="D98" s="23"/>
      <c r="E98" s="27"/>
      <c r="F98" s="25">
        <v>60.369055629999998</v>
      </c>
      <c r="G98" s="26">
        <v>2.2700399999999999E-2</v>
      </c>
      <c r="H98" s="16" t="s">
        <v>12</v>
      </c>
    </row>
    <row r="99" spans="1:8" x14ac:dyDescent="0.2">
      <c r="A99" s="19"/>
      <c r="B99" s="19"/>
      <c r="C99" s="15" t="s">
        <v>105</v>
      </c>
      <c r="D99" s="20"/>
      <c r="E99" s="20"/>
      <c r="F99" s="21">
        <f>F98+F89+F81+F65+F48</f>
        <v>2659.3824024399996</v>
      </c>
      <c r="G99" s="42">
        <f>G98+G89+G81+G65+G48</f>
        <v>1.0000000175145627</v>
      </c>
      <c r="H99" s="16" t="s">
        <v>12</v>
      </c>
    </row>
    <row r="100" spans="1:8" x14ac:dyDescent="0.2">
      <c r="A100" s="43"/>
      <c r="B100" s="43"/>
      <c r="C100" s="43"/>
      <c r="D100" s="44"/>
      <c r="E100" s="44"/>
      <c r="F100" s="44"/>
      <c r="G100" s="44"/>
    </row>
    <row r="101" spans="1:8" x14ac:dyDescent="0.2">
      <c r="A101" s="45"/>
      <c r="B101" s="164" t="s">
        <v>542</v>
      </c>
      <c r="C101" s="164"/>
      <c r="D101" s="164"/>
      <c r="E101" s="164"/>
      <c r="F101" s="164"/>
      <c r="G101" s="164"/>
      <c r="H101" s="164"/>
    </row>
    <row r="102" spans="1:8" x14ac:dyDescent="0.2">
      <c r="A102" s="45"/>
      <c r="B102" s="164" t="s">
        <v>543</v>
      </c>
      <c r="C102" s="164"/>
      <c r="D102" s="164"/>
      <c r="E102" s="164"/>
      <c r="F102" s="164"/>
      <c r="G102" s="164"/>
      <c r="H102" s="164"/>
    </row>
    <row r="103" spans="1:8" x14ac:dyDescent="0.2">
      <c r="A103" s="45"/>
      <c r="B103" s="164" t="s">
        <v>544</v>
      </c>
      <c r="C103" s="164"/>
      <c r="D103" s="164"/>
      <c r="E103" s="164"/>
      <c r="F103" s="164"/>
      <c r="G103" s="164"/>
      <c r="H103" s="164"/>
    </row>
    <row r="104" spans="1:8" x14ac:dyDescent="0.2">
      <c r="A104" s="47"/>
      <c r="B104" s="47"/>
      <c r="C104" s="47"/>
      <c r="D104" s="48"/>
      <c r="E104" s="48"/>
      <c r="F104" s="48"/>
      <c r="G104" s="48"/>
    </row>
    <row r="105" spans="1:8" x14ac:dyDescent="0.2">
      <c r="A105" s="47"/>
      <c r="B105" s="157" t="s">
        <v>106</v>
      </c>
      <c r="C105" s="158"/>
      <c r="D105" s="159"/>
      <c r="E105" s="49"/>
      <c r="F105" s="48"/>
      <c r="G105" s="48"/>
    </row>
    <row r="106" spans="1:8" ht="25.5" x14ac:dyDescent="0.2">
      <c r="A106" s="47"/>
      <c r="B106" s="160" t="s">
        <v>107</v>
      </c>
      <c r="C106" s="161"/>
      <c r="D106" s="123" t="s">
        <v>608</v>
      </c>
      <c r="E106" s="49"/>
      <c r="F106" s="48"/>
      <c r="G106" s="48"/>
    </row>
    <row r="107" spans="1:8" x14ac:dyDescent="0.2">
      <c r="A107" s="47"/>
      <c r="B107" s="160" t="s">
        <v>109</v>
      </c>
      <c r="C107" s="161"/>
      <c r="D107" s="15" t="s">
        <v>108</v>
      </c>
      <c r="E107" s="49"/>
      <c r="F107" s="48"/>
      <c r="G107" s="48"/>
    </row>
    <row r="108" spans="1:8" x14ac:dyDescent="0.2">
      <c r="A108" s="47"/>
      <c r="B108" s="160" t="s">
        <v>110</v>
      </c>
      <c r="C108" s="161"/>
      <c r="D108" s="20" t="s">
        <v>12</v>
      </c>
      <c r="E108" s="49"/>
      <c r="F108" s="48"/>
      <c r="G108" s="48"/>
    </row>
    <row r="109" spans="1:8" x14ac:dyDescent="0.2">
      <c r="A109" s="50"/>
      <c r="B109" s="51" t="s">
        <v>12</v>
      </c>
      <c r="C109" s="51" t="s">
        <v>545</v>
      </c>
      <c r="D109" s="51" t="s">
        <v>111</v>
      </c>
      <c r="E109" s="50"/>
      <c r="F109" s="50"/>
      <c r="G109" s="50"/>
    </row>
    <row r="110" spans="1:8" x14ac:dyDescent="0.2">
      <c r="A110" s="50"/>
      <c r="B110" s="52" t="s">
        <v>112</v>
      </c>
      <c r="C110" s="53">
        <v>45716</v>
      </c>
      <c r="D110" s="53">
        <v>45731</v>
      </c>
      <c r="E110" s="50"/>
      <c r="F110" s="50"/>
      <c r="G110" s="50"/>
    </row>
    <row r="111" spans="1:8" x14ac:dyDescent="0.2">
      <c r="A111" s="54"/>
      <c r="B111" s="23" t="s">
        <v>113</v>
      </c>
      <c r="C111" s="55">
        <v>31.094000000000001</v>
      </c>
      <c r="D111" s="55">
        <v>31.292000000000002</v>
      </c>
      <c r="E111" s="54"/>
      <c r="F111" s="56"/>
      <c r="G111" s="57"/>
    </row>
    <row r="112" spans="1:8" ht="25.5" x14ac:dyDescent="0.2">
      <c r="A112" s="54"/>
      <c r="B112" s="23" t="s">
        <v>651</v>
      </c>
      <c r="C112" s="55">
        <v>13.2523</v>
      </c>
      <c r="D112" s="55">
        <v>13.3367</v>
      </c>
      <c r="E112" s="54"/>
      <c r="F112" s="56"/>
      <c r="G112" s="57"/>
    </row>
    <row r="113" spans="1:18" ht="25.5" x14ac:dyDescent="0.2">
      <c r="A113" s="54"/>
      <c r="B113" s="23" t="s">
        <v>652</v>
      </c>
      <c r="C113" s="55">
        <v>20.4678</v>
      </c>
      <c r="D113" s="55">
        <v>20.598099999999999</v>
      </c>
      <c r="E113" s="54"/>
      <c r="F113" s="56"/>
      <c r="G113" s="57"/>
    </row>
    <row r="114" spans="1:18" ht="25.5" x14ac:dyDescent="0.2">
      <c r="A114" s="54"/>
      <c r="B114" s="23" t="s">
        <v>653</v>
      </c>
      <c r="C114" s="55">
        <v>20.376999999999999</v>
      </c>
      <c r="D114" s="55">
        <v>20.506699999999999</v>
      </c>
      <c r="E114" s="54"/>
      <c r="F114" s="56"/>
      <c r="G114" s="57"/>
    </row>
    <row r="115" spans="1:18" x14ac:dyDescent="0.2">
      <c r="A115" s="54"/>
      <c r="B115" s="23" t="s">
        <v>114</v>
      </c>
      <c r="C115" s="55">
        <v>28.295500000000001</v>
      </c>
      <c r="D115" s="55">
        <v>28.467700000000001</v>
      </c>
      <c r="E115" s="54"/>
      <c r="F115" s="56"/>
      <c r="G115" s="57"/>
    </row>
    <row r="116" spans="1:18" ht="25.5" x14ac:dyDescent="0.2">
      <c r="A116" s="54"/>
      <c r="B116" s="23" t="s">
        <v>655</v>
      </c>
      <c r="C116" s="55">
        <v>13.130599999999999</v>
      </c>
      <c r="D116" s="55">
        <v>13.2105</v>
      </c>
      <c r="E116" s="54"/>
      <c r="F116" s="56"/>
      <c r="G116" s="57"/>
    </row>
    <row r="117" spans="1:18" ht="25.5" x14ac:dyDescent="0.2">
      <c r="A117" s="54"/>
      <c r="B117" s="23" t="s">
        <v>621</v>
      </c>
      <c r="C117" s="55">
        <v>18.5167</v>
      </c>
      <c r="D117" s="55">
        <v>18.6294</v>
      </c>
      <c r="E117" s="54"/>
      <c r="F117" s="56"/>
      <c r="G117" s="57"/>
    </row>
    <row r="118" spans="1:18" ht="25.5" x14ac:dyDescent="0.2">
      <c r="A118" s="54"/>
      <c r="B118" s="23" t="s">
        <v>656</v>
      </c>
      <c r="C118" s="55">
        <v>18.356300000000001</v>
      </c>
      <c r="D118" s="55">
        <v>18.468</v>
      </c>
      <c r="E118" s="54"/>
      <c r="F118" s="56"/>
      <c r="G118" s="57"/>
    </row>
    <row r="119" spans="1:18" x14ac:dyDescent="0.2">
      <c r="A119" s="54"/>
      <c r="B119" s="54"/>
      <c r="C119" s="54"/>
      <c r="D119" s="54"/>
      <c r="E119" s="54"/>
      <c r="F119" s="54"/>
      <c r="G119" s="54"/>
    </row>
    <row r="120" spans="1:18" x14ac:dyDescent="0.2">
      <c r="A120" s="50"/>
      <c r="B120" s="215" t="s">
        <v>622</v>
      </c>
      <c r="C120" s="216"/>
      <c r="D120" s="123" t="s">
        <v>108</v>
      </c>
      <c r="E120" s="50"/>
      <c r="F120" s="50"/>
      <c r="G120" s="50"/>
    </row>
    <row r="121" spans="1:18" x14ac:dyDescent="0.2">
      <c r="A121" s="50"/>
      <c r="B121" s="64"/>
      <c r="C121" s="64"/>
      <c r="D121" s="64"/>
      <c r="E121" s="50"/>
      <c r="F121" s="50"/>
      <c r="G121" s="50"/>
    </row>
    <row r="122" spans="1:18" x14ac:dyDescent="0.2">
      <c r="A122" s="50"/>
      <c r="B122" s="215" t="s">
        <v>118</v>
      </c>
      <c r="C122" s="216"/>
      <c r="D122" s="123" t="s">
        <v>108</v>
      </c>
      <c r="E122" s="63"/>
      <c r="F122" s="50"/>
      <c r="G122" s="50"/>
      <c r="J122" s="76"/>
    </row>
    <row r="123" spans="1:18" x14ac:dyDescent="0.2">
      <c r="A123" s="50"/>
      <c r="B123" s="215" t="s">
        <v>119</v>
      </c>
      <c r="C123" s="216"/>
      <c r="D123" s="123" t="s">
        <v>108</v>
      </c>
      <c r="E123" s="63"/>
      <c r="F123" s="50"/>
      <c r="G123" s="50"/>
      <c r="J123" s="76"/>
    </row>
    <row r="124" spans="1:18" x14ac:dyDescent="0.2">
      <c r="A124" s="50"/>
      <c r="B124" s="215" t="s">
        <v>546</v>
      </c>
      <c r="C124" s="216"/>
      <c r="D124" s="123" t="s">
        <v>108</v>
      </c>
      <c r="E124" s="63"/>
      <c r="F124" s="50"/>
      <c r="G124" s="50"/>
      <c r="J124" s="76"/>
    </row>
    <row r="125" spans="1:18" x14ac:dyDescent="0.2">
      <c r="A125" s="64"/>
      <c r="B125" s="64"/>
      <c r="C125" s="64"/>
      <c r="D125" s="64"/>
      <c r="E125" s="64"/>
      <c r="F125" s="64"/>
      <c r="G125" s="64"/>
      <c r="J125" s="76"/>
    </row>
    <row r="126" spans="1:18" s="65" customFormat="1" x14ac:dyDescent="0.2">
      <c r="B126" s="165" t="s">
        <v>547</v>
      </c>
      <c r="C126" s="211"/>
      <c r="D126" s="167"/>
      <c r="I126"/>
      <c r="J126" s="76"/>
      <c r="K126" s="34"/>
      <c r="L126" s="34"/>
      <c r="M126" s="34"/>
      <c r="N126" s="34"/>
      <c r="O126"/>
      <c r="R126"/>
    </row>
    <row r="127" spans="1:18" s="65" customFormat="1" ht="38.25" x14ac:dyDescent="0.2">
      <c r="B127" s="155" t="s">
        <v>548</v>
      </c>
      <c r="C127" s="155"/>
      <c r="D127" s="66" t="s">
        <v>464</v>
      </c>
      <c r="I127"/>
      <c r="J127" s="76"/>
      <c r="K127" s="34"/>
      <c r="L127" s="34"/>
      <c r="M127" s="34"/>
      <c r="N127" s="34"/>
      <c r="O127"/>
      <c r="R127"/>
    </row>
    <row r="128" spans="1:18" s="65" customFormat="1" x14ac:dyDescent="0.2">
      <c r="B128" s="168" t="s">
        <v>549</v>
      </c>
      <c r="C128" s="168"/>
      <c r="D128" s="67"/>
      <c r="I128"/>
      <c r="J128" s="76"/>
      <c r="K128" s="34"/>
      <c r="L128" s="34"/>
      <c r="M128" s="34"/>
      <c r="N128" s="34"/>
      <c r="O128"/>
      <c r="R128"/>
    </row>
    <row r="129" spans="2:16" s="65" customFormat="1" x14ac:dyDescent="0.2">
      <c r="B129" s="168"/>
      <c r="C129" s="168"/>
      <c r="D129" s="68"/>
      <c r="I129"/>
      <c r="J129" s="76"/>
      <c r="K129" s="34"/>
      <c r="L129" s="34"/>
      <c r="M129" s="34"/>
      <c r="N129" s="34"/>
      <c r="O129"/>
    </row>
    <row r="130" spans="2:16" s="65" customFormat="1" x14ac:dyDescent="0.2">
      <c r="B130" s="168" t="s">
        <v>550</v>
      </c>
      <c r="C130" s="168"/>
      <c r="D130" s="140">
        <v>6.8137952064719629</v>
      </c>
      <c r="I130"/>
      <c r="J130" s="76"/>
      <c r="K130" s="34"/>
      <c r="L130" s="34"/>
      <c r="M130" s="34"/>
      <c r="N130" s="34"/>
      <c r="O130"/>
    </row>
    <row r="131" spans="2:16" s="65" customFormat="1" x14ac:dyDescent="0.2">
      <c r="B131" s="168"/>
      <c r="C131" s="168"/>
      <c r="D131" s="68"/>
      <c r="I131"/>
      <c r="J131" s="76"/>
      <c r="K131" s="34"/>
      <c r="L131" s="34"/>
      <c r="M131" s="34"/>
      <c r="N131" s="34"/>
      <c r="O131"/>
    </row>
    <row r="132" spans="2:16" s="65" customFormat="1" x14ac:dyDescent="0.2">
      <c r="B132" s="168" t="s">
        <v>633</v>
      </c>
      <c r="C132" s="168"/>
      <c r="D132" s="140">
        <v>6.6145286623226385</v>
      </c>
      <c r="I132"/>
      <c r="J132" s="76"/>
      <c r="K132" s="34"/>
      <c r="L132" s="34"/>
      <c r="M132" s="34"/>
      <c r="N132" s="34"/>
      <c r="O132"/>
    </row>
    <row r="133" spans="2:16" s="65" customFormat="1" x14ac:dyDescent="0.2">
      <c r="B133" s="168" t="s">
        <v>634</v>
      </c>
      <c r="C133" s="168"/>
      <c r="D133" s="140">
        <v>11.808361909754071</v>
      </c>
      <c r="I133"/>
      <c r="J133" s="76"/>
      <c r="K133" s="34"/>
      <c r="L133" s="34"/>
      <c r="M133" s="34"/>
      <c r="N133" s="34"/>
      <c r="O133"/>
    </row>
    <row r="134" spans="2:16" s="65" customFormat="1" x14ac:dyDescent="0.2">
      <c r="B134" s="168"/>
      <c r="C134" s="168"/>
      <c r="D134" s="68"/>
      <c r="I134"/>
      <c r="J134" s="76"/>
      <c r="K134" s="34"/>
      <c r="L134" s="34"/>
      <c r="M134" s="34"/>
      <c r="N134" s="34"/>
      <c r="O134"/>
    </row>
    <row r="135" spans="2:16" s="65" customFormat="1" x14ac:dyDescent="0.2">
      <c r="B135" s="168" t="s">
        <v>553</v>
      </c>
      <c r="C135" s="168"/>
      <c r="D135" s="148" t="s">
        <v>645</v>
      </c>
      <c r="I135"/>
      <c r="J135" s="76"/>
      <c r="K135" s="34"/>
      <c r="L135" s="34"/>
      <c r="M135" s="34"/>
      <c r="N135" s="34"/>
      <c r="O135"/>
    </row>
    <row r="136" spans="2:16" s="65" customFormat="1" x14ac:dyDescent="0.2">
      <c r="B136" s="169" t="s">
        <v>554</v>
      </c>
      <c r="C136" s="231"/>
      <c r="D136" s="170"/>
      <c r="I136"/>
      <c r="J136" s="76"/>
      <c r="K136" s="34"/>
      <c r="L136" s="34"/>
      <c r="M136" s="34"/>
      <c r="N136" s="34"/>
      <c r="O136"/>
    </row>
    <row r="137" spans="2:16" x14ac:dyDescent="0.2">
      <c r="J137" s="76"/>
    </row>
    <row r="138" spans="2:16" ht="13.5" x14ac:dyDescent="0.2">
      <c r="B138" s="232" t="s">
        <v>649</v>
      </c>
      <c r="C138" s="232"/>
      <c r="D138" s="232"/>
      <c r="E138" s="232"/>
      <c r="F138" s="232"/>
      <c r="G138" s="232"/>
      <c r="H138" s="232"/>
      <c r="I138" s="34"/>
      <c r="J138" s="76"/>
      <c r="K138" s="34"/>
      <c r="L138" s="34"/>
      <c r="M138" s="34"/>
      <c r="N138" s="34"/>
      <c r="O138" s="34"/>
      <c r="P138" s="34"/>
    </row>
    <row r="139" spans="2:16" s="71" customFormat="1" ht="26.25" customHeight="1" x14ac:dyDescent="0.2">
      <c r="B139" s="84" t="s">
        <v>571</v>
      </c>
      <c r="C139" s="84" t="s">
        <v>572</v>
      </c>
      <c r="D139" s="191" t="s">
        <v>635</v>
      </c>
      <c r="E139" s="191"/>
      <c r="F139" s="191"/>
      <c r="G139" s="190" t="s">
        <v>568</v>
      </c>
      <c r="H139" s="190"/>
      <c r="J139" s="76"/>
      <c r="K139" s="149"/>
      <c r="L139" s="149"/>
      <c r="M139" s="149"/>
      <c r="N139" s="149"/>
      <c r="O139" s="149"/>
      <c r="P139" s="149"/>
    </row>
    <row r="140" spans="2:16" ht="27" x14ac:dyDescent="0.25">
      <c r="B140" s="150" t="s">
        <v>595</v>
      </c>
      <c r="C140" s="83" t="s">
        <v>636</v>
      </c>
      <c r="D140" s="186">
        <v>0</v>
      </c>
      <c r="E140" s="186"/>
      <c r="F140" s="186"/>
      <c r="G140" s="186">
        <v>0</v>
      </c>
      <c r="H140" s="186"/>
      <c r="J140" s="76"/>
      <c r="K140" s="34"/>
      <c r="L140" s="34"/>
      <c r="M140" s="34"/>
      <c r="N140" s="34"/>
      <c r="O140" s="34"/>
      <c r="P140" s="34"/>
    </row>
    <row r="141" spans="2:16" ht="13.5" x14ac:dyDescent="0.25">
      <c r="B141" s="82"/>
      <c r="C141" s="82"/>
      <c r="D141" s="188"/>
      <c r="E141" s="188"/>
      <c r="F141" s="188"/>
      <c r="G141" s="188"/>
      <c r="H141" s="188"/>
      <c r="J141" s="76"/>
      <c r="K141" s="34"/>
      <c r="L141" s="34"/>
      <c r="M141" s="34"/>
      <c r="N141" s="34"/>
      <c r="O141" s="34"/>
      <c r="P141" s="34"/>
    </row>
    <row r="142" spans="2:16" ht="13.5" x14ac:dyDescent="0.25">
      <c r="B142" s="185" t="s">
        <v>579</v>
      </c>
      <c r="C142" s="185"/>
      <c r="D142" s="185"/>
      <c r="E142" s="185"/>
      <c r="F142" s="185"/>
      <c r="G142" s="185"/>
      <c r="H142" s="185"/>
      <c r="J142" s="76"/>
      <c r="K142" s="34"/>
      <c r="L142" s="34"/>
      <c r="M142" s="34"/>
      <c r="N142" s="34"/>
      <c r="O142" s="34"/>
      <c r="P142" s="34"/>
    </row>
    <row r="143" spans="2:16" ht="13.5" customHeight="1" x14ac:dyDescent="0.2">
      <c r="B143" s="190" t="s">
        <v>571</v>
      </c>
      <c r="C143" s="190" t="s">
        <v>572</v>
      </c>
      <c r="D143" s="190" t="s">
        <v>580</v>
      </c>
      <c r="E143" s="190"/>
      <c r="F143" s="190"/>
      <c r="G143" s="190"/>
      <c r="H143" s="191" t="s">
        <v>637</v>
      </c>
      <c r="I143" s="191" t="s">
        <v>638</v>
      </c>
      <c r="J143" s="191" t="s">
        <v>582</v>
      </c>
      <c r="K143" s="34"/>
      <c r="L143" s="34"/>
      <c r="M143" s="34"/>
      <c r="N143" s="34"/>
      <c r="O143" s="34"/>
      <c r="P143" s="34"/>
    </row>
    <row r="144" spans="2:16" ht="121.5" x14ac:dyDescent="0.2">
      <c r="B144" s="190"/>
      <c r="C144" s="190"/>
      <c r="D144" s="85" t="s">
        <v>583</v>
      </c>
      <c r="E144" s="85" t="s">
        <v>584</v>
      </c>
      <c r="F144" s="85" t="s">
        <v>585</v>
      </c>
      <c r="G144" s="85" t="s">
        <v>586</v>
      </c>
      <c r="H144" s="191"/>
      <c r="I144" s="191"/>
      <c r="J144" s="191"/>
      <c r="K144" s="34"/>
      <c r="L144" s="34"/>
      <c r="M144" s="34"/>
      <c r="N144" s="34"/>
      <c r="O144" s="34"/>
    </row>
    <row r="145" spans="2:16" ht="27" x14ac:dyDescent="0.25">
      <c r="B145" s="82" t="s">
        <v>595</v>
      </c>
      <c r="C145" s="83" t="s">
        <v>639</v>
      </c>
      <c r="D145" s="86">
        <v>500</v>
      </c>
      <c r="E145" s="86">
        <v>9.9405737999999992</v>
      </c>
      <c r="F145" s="151">
        <v>16.00737140547945</v>
      </c>
      <c r="G145" s="86">
        <v>525.94794520547941</v>
      </c>
      <c r="H145" s="7">
        <v>233.40679</v>
      </c>
      <c r="I145" s="7">
        <v>4.01</v>
      </c>
      <c r="J145" s="152">
        <f>H145+I145</f>
        <v>237.41678999999999</v>
      </c>
      <c r="K145" s="34"/>
      <c r="L145" s="34"/>
      <c r="M145" s="34"/>
      <c r="N145" s="34"/>
      <c r="O145" s="34"/>
      <c r="P145" s="34"/>
    </row>
    <row r="146" spans="2:16" x14ac:dyDescent="0.2">
      <c r="J146" s="76"/>
      <c r="P146" s="34"/>
    </row>
    <row r="147" spans="2:16" x14ac:dyDescent="0.2">
      <c r="J147" s="76"/>
      <c r="K147" s="34"/>
      <c r="L147" s="34"/>
      <c r="M147" s="34"/>
      <c r="N147" s="34"/>
      <c r="O147" s="34"/>
      <c r="P147" s="34"/>
    </row>
    <row r="148" spans="2:16" ht="13.5" x14ac:dyDescent="0.25">
      <c r="B148" s="96" t="s">
        <v>587</v>
      </c>
      <c r="J148" s="76"/>
      <c r="K148" s="34"/>
      <c r="L148" s="34"/>
      <c r="M148" s="34"/>
      <c r="N148" s="34"/>
      <c r="O148" s="34"/>
      <c r="P148" s="34"/>
    </row>
    <row r="149" spans="2:16" x14ac:dyDescent="0.2">
      <c r="B149" s="34"/>
      <c r="C149" s="34"/>
      <c r="D149" s="34"/>
      <c r="E149" s="34"/>
      <c r="F149" s="34"/>
      <c r="G149" s="34"/>
      <c r="H149" s="34"/>
      <c r="J149" s="76"/>
      <c r="K149" s="34"/>
      <c r="L149" s="34"/>
      <c r="M149" s="34"/>
      <c r="N149" s="34"/>
      <c r="O149" s="34"/>
      <c r="P149" s="34"/>
    </row>
    <row r="150" spans="2:16" x14ac:dyDescent="0.2">
      <c r="B150" s="97" t="s">
        <v>588</v>
      </c>
      <c r="C150" s="34"/>
      <c r="D150" s="34"/>
      <c r="E150" s="34"/>
      <c r="F150" s="34"/>
      <c r="G150" s="34"/>
      <c r="H150" s="34"/>
      <c r="J150" s="76"/>
      <c r="K150" s="34"/>
      <c r="L150" s="34"/>
      <c r="M150" s="34"/>
      <c r="N150" s="34"/>
      <c r="O150" s="34"/>
      <c r="P150" s="34"/>
    </row>
    <row r="151" spans="2:16" x14ac:dyDescent="0.2">
      <c r="B151" s="34"/>
      <c r="C151" s="34"/>
      <c r="D151" s="34"/>
      <c r="E151" s="34"/>
      <c r="F151" s="34"/>
      <c r="G151" s="34"/>
      <c r="H151" s="34"/>
      <c r="J151" s="76"/>
      <c r="K151" s="34"/>
      <c r="L151" s="34"/>
      <c r="M151" s="34"/>
      <c r="N151" s="34"/>
      <c r="O151" s="34"/>
      <c r="P151" s="34"/>
    </row>
    <row r="152" spans="2:16" x14ac:dyDescent="0.2">
      <c r="B152" s="97" t="s">
        <v>589</v>
      </c>
      <c r="C152" s="34"/>
      <c r="D152" s="34"/>
      <c r="E152" s="34"/>
      <c r="F152" s="34"/>
      <c r="G152" s="34"/>
      <c r="H152" s="34"/>
      <c r="J152" s="76"/>
      <c r="K152" s="34"/>
      <c r="L152" s="34"/>
      <c r="M152" s="34"/>
      <c r="N152" s="34"/>
      <c r="O152" s="34"/>
      <c r="P152" s="34"/>
    </row>
    <row r="153" spans="2:16" x14ac:dyDescent="0.2">
      <c r="J153" s="76"/>
      <c r="K153" s="34"/>
      <c r="L153" s="34"/>
      <c r="M153" s="34"/>
      <c r="N153" s="34"/>
      <c r="O153" s="34"/>
    </row>
    <row r="154" spans="2:16" x14ac:dyDescent="0.2">
      <c r="B154" s="97" t="s">
        <v>590</v>
      </c>
      <c r="J154" s="76"/>
      <c r="K154" s="34"/>
      <c r="L154" s="34"/>
      <c r="M154" s="34"/>
      <c r="N154" s="34"/>
      <c r="O154" s="34"/>
    </row>
    <row r="155" spans="2:16" x14ac:dyDescent="0.2">
      <c r="J155" s="76"/>
    </row>
    <row r="156" spans="2:16" ht="25.5" x14ac:dyDescent="0.2">
      <c r="B156" s="72" t="s">
        <v>555</v>
      </c>
    </row>
    <row r="158" spans="2:16" ht="153.75" customHeight="1" x14ac:dyDescent="0.2"/>
    <row r="161" spans="2:10" x14ac:dyDescent="0.2">
      <c r="B161" s="73" t="s">
        <v>556</v>
      </c>
      <c r="C161" s="74"/>
      <c r="D161" s="73"/>
    </row>
    <row r="162" spans="2:10" x14ac:dyDescent="0.2">
      <c r="B162" s="73" t="s">
        <v>640</v>
      </c>
      <c r="D162" s="73"/>
    </row>
    <row r="163" spans="2:10" ht="165" customHeight="1" x14ac:dyDescent="0.2"/>
    <row r="165" spans="2:10" x14ac:dyDescent="0.2">
      <c r="J165" s="76"/>
    </row>
    <row r="166" spans="2:10" x14ac:dyDescent="0.2">
      <c r="J166" s="76"/>
    </row>
    <row r="167" spans="2:10" x14ac:dyDescent="0.2">
      <c r="J167" s="76"/>
    </row>
    <row r="168" spans="2:10" x14ac:dyDescent="0.2">
      <c r="J168" s="76"/>
    </row>
    <row r="169" spans="2:10" x14ac:dyDescent="0.2">
      <c r="J169" s="76"/>
    </row>
    <row r="170" spans="2:10" x14ac:dyDescent="0.2">
      <c r="J170" s="76"/>
    </row>
    <row r="171" spans="2:10" x14ac:dyDescent="0.2">
      <c r="J171" s="76"/>
    </row>
    <row r="172" spans="2:10" x14ac:dyDescent="0.2">
      <c r="J172" s="76"/>
    </row>
    <row r="173" spans="2:10" x14ac:dyDescent="0.2">
      <c r="J173" s="76"/>
    </row>
    <row r="177" customFormat="1" x14ac:dyDescent="0.2"/>
  </sheetData>
  <mergeCells count="39">
    <mergeCell ref="I143:I144"/>
    <mergeCell ref="J143:J144"/>
    <mergeCell ref="B142:H142"/>
    <mergeCell ref="B143:B144"/>
    <mergeCell ref="C143:C144"/>
    <mergeCell ref="D143:G143"/>
    <mergeCell ref="H143:H144"/>
    <mergeCell ref="D139:F139"/>
    <mergeCell ref="G139:H139"/>
    <mergeCell ref="D140:F140"/>
    <mergeCell ref="G140:H140"/>
    <mergeCell ref="D141:F141"/>
    <mergeCell ref="G141:H141"/>
    <mergeCell ref="B133:C133"/>
    <mergeCell ref="B134:C134"/>
    <mergeCell ref="B135:C135"/>
    <mergeCell ref="B136:D136"/>
    <mergeCell ref="B138:H138"/>
    <mergeCell ref="B126:D126"/>
    <mergeCell ref="B129:C129"/>
    <mergeCell ref="B130:C130"/>
    <mergeCell ref="B131:C131"/>
    <mergeCell ref="B132:C132"/>
    <mergeCell ref="B127:C127"/>
    <mergeCell ref="B128:C128"/>
    <mergeCell ref="B124:C124"/>
    <mergeCell ref="A1:H1"/>
    <mergeCell ref="A2:H2"/>
    <mergeCell ref="A3:H3"/>
    <mergeCell ref="B105:D105"/>
    <mergeCell ref="B106:C106"/>
    <mergeCell ref="B101:H101"/>
    <mergeCell ref="B102:H102"/>
    <mergeCell ref="B103:H103"/>
    <mergeCell ref="B122:C122"/>
    <mergeCell ref="B123:C123"/>
    <mergeCell ref="B107:C107"/>
    <mergeCell ref="B108:C108"/>
    <mergeCell ref="B120:C120"/>
  </mergeCells>
  <hyperlinks>
    <hyperlink ref="B150" r:id="rId1" xr:uid="{675085D7-D68C-4BDE-803B-39C360A2DB86}"/>
    <hyperlink ref="B152" r:id="rId2" xr:uid="{6A1709ED-2657-457E-B895-E0B7F3CAE7EF}"/>
    <hyperlink ref="B154" r:id="rId3" xr:uid="{92FED24D-D831-4CD3-BF2F-6D4215E2D02C}"/>
    <hyperlink ref="I1" location="Index!B2" display="Index" xr:uid="{B5ABBAF9-2591-48AB-8C79-C12D7378BAAF}"/>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4CFDD-E8C2-438D-BC89-7F1DD6257005}">
  <sheetPr>
    <outlinePr summaryBelow="0" summaryRight="0"/>
  </sheetPr>
  <dimension ref="A1:U152"/>
  <sheetViews>
    <sheetView showGridLines="0" tabSelected="1" workbookViewId="0">
      <selection sqref="A1:H1"/>
    </sheetView>
  </sheetViews>
  <sheetFormatPr defaultRowHeight="12.75" x14ac:dyDescent="0.2"/>
  <cols>
    <col min="1" max="1" width="5.85546875" bestFit="1" customWidth="1"/>
    <col min="2" max="2" width="21.7109375" customWidth="1"/>
    <col min="3" max="3" width="30.42578125" bestFit="1" customWidth="1"/>
    <col min="4" max="4" width="11.28515625" bestFit="1" customWidth="1"/>
    <col min="5" max="5" width="8.7109375" bestFit="1" customWidth="1"/>
    <col min="6" max="6" width="10.140625" bestFit="1" customWidth="1"/>
    <col min="7" max="7" width="14" bestFit="1" customWidth="1"/>
    <col min="8" max="8" width="10.7109375" customWidth="1"/>
  </cols>
  <sheetData>
    <row r="1" spans="1:9" ht="15" x14ac:dyDescent="0.2">
      <c r="A1" s="156" t="s">
        <v>0</v>
      </c>
      <c r="B1" s="156"/>
      <c r="C1" s="156"/>
      <c r="D1" s="156"/>
      <c r="E1" s="156"/>
      <c r="F1" s="156"/>
      <c r="G1" s="156"/>
      <c r="H1" s="156"/>
      <c r="I1" s="9" t="s">
        <v>658</v>
      </c>
    </row>
    <row r="2" spans="1:9" ht="15" x14ac:dyDescent="0.2">
      <c r="A2" s="156" t="s">
        <v>524</v>
      </c>
      <c r="B2" s="156"/>
      <c r="C2" s="156"/>
      <c r="D2" s="156"/>
      <c r="E2" s="156"/>
      <c r="F2" s="156"/>
      <c r="G2" s="156"/>
      <c r="H2" s="156"/>
    </row>
    <row r="3" spans="1:9" ht="15" x14ac:dyDescent="0.2">
      <c r="A3" s="156" t="s">
        <v>563</v>
      </c>
      <c r="B3" s="156"/>
      <c r="C3" s="156"/>
      <c r="D3" s="156"/>
      <c r="E3" s="156"/>
      <c r="F3" s="156"/>
      <c r="G3" s="156"/>
      <c r="H3" s="156"/>
    </row>
    <row r="4" spans="1:9" s="13" customFormat="1" ht="30" x14ac:dyDescent="0.2">
      <c r="A4" s="11" t="s">
        <v>2</v>
      </c>
      <c r="B4" s="11" t="s">
        <v>3</v>
      </c>
      <c r="C4" s="11" t="s">
        <v>4</v>
      </c>
      <c r="D4" s="11" t="s">
        <v>5</v>
      </c>
      <c r="E4" s="11" t="s">
        <v>6</v>
      </c>
      <c r="F4" s="11" t="s">
        <v>7</v>
      </c>
      <c r="G4" s="11" t="s">
        <v>8</v>
      </c>
      <c r="H4" s="12" t="s">
        <v>641</v>
      </c>
    </row>
    <row r="5" spans="1:9" x14ac:dyDescent="0.2">
      <c r="A5" s="14"/>
      <c r="B5" s="14"/>
      <c r="C5" s="15" t="s">
        <v>9</v>
      </c>
      <c r="D5" s="14"/>
      <c r="E5" s="14"/>
      <c r="F5" s="14"/>
      <c r="G5" s="14"/>
      <c r="H5" s="16" t="s">
        <v>12</v>
      </c>
    </row>
    <row r="6" spans="1:9" ht="25.5" x14ac:dyDescent="0.2">
      <c r="A6" s="14"/>
      <c r="B6" s="14"/>
      <c r="C6" s="15" t="s">
        <v>10</v>
      </c>
      <c r="D6" s="14"/>
      <c r="E6" s="14"/>
      <c r="F6" s="14"/>
      <c r="G6" s="14"/>
      <c r="H6" s="16" t="s">
        <v>12</v>
      </c>
    </row>
    <row r="7" spans="1:9" x14ac:dyDescent="0.2">
      <c r="A7" s="14"/>
      <c r="B7" s="14"/>
      <c r="C7" s="15" t="s">
        <v>11</v>
      </c>
      <c r="D7" s="14"/>
      <c r="E7" s="14" t="s">
        <v>12</v>
      </c>
      <c r="F7" s="17" t="s">
        <v>13</v>
      </c>
      <c r="G7" s="18">
        <v>0</v>
      </c>
      <c r="H7" s="16" t="s">
        <v>12</v>
      </c>
    </row>
    <row r="8" spans="1:9" x14ac:dyDescent="0.2">
      <c r="A8" s="14"/>
      <c r="B8" s="14"/>
      <c r="C8" s="19"/>
      <c r="D8" s="14"/>
      <c r="E8" s="14"/>
      <c r="F8" s="20"/>
      <c r="G8" s="20"/>
      <c r="H8" s="16" t="s">
        <v>12</v>
      </c>
    </row>
    <row r="9" spans="1:9" x14ac:dyDescent="0.2">
      <c r="A9" s="14"/>
      <c r="B9" s="14"/>
      <c r="C9" s="15" t="s">
        <v>14</v>
      </c>
      <c r="D9" s="14"/>
      <c r="E9" s="14"/>
      <c r="F9" s="14"/>
      <c r="G9" s="14"/>
      <c r="H9" s="16" t="s">
        <v>12</v>
      </c>
    </row>
    <row r="10" spans="1:9" x14ac:dyDescent="0.2">
      <c r="A10" s="14"/>
      <c r="B10" s="14"/>
      <c r="C10" s="15" t="s">
        <v>11</v>
      </c>
      <c r="D10" s="14"/>
      <c r="E10" s="14" t="s">
        <v>12</v>
      </c>
      <c r="F10" s="17" t="s">
        <v>13</v>
      </c>
      <c r="G10" s="18">
        <v>0</v>
      </c>
      <c r="H10" s="16" t="s">
        <v>12</v>
      </c>
    </row>
    <row r="11" spans="1:9" x14ac:dyDescent="0.2">
      <c r="A11" s="14"/>
      <c r="B11" s="14"/>
      <c r="C11" s="19"/>
      <c r="D11" s="14"/>
      <c r="E11" s="14"/>
      <c r="F11" s="20"/>
      <c r="G11" s="20"/>
      <c r="H11" s="16" t="s">
        <v>12</v>
      </c>
    </row>
    <row r="12" spans="1:9" x14ac:dyDescent="0.2">
      <c r="A12" s="14"/>
      <c r="B12" s="14"/>
      <c r="C12" s="15" t="s">
        <v>15</v>
      </c>
      <c r="D12" s="14"/>
      <c r="E12" s="14"/>
      <c r="F12" s="14"/>
      <c r="G12" s="14"/>
      <c r="H12" s="16" t="s">
        <v>12</v>
      </c>
    </row>
    <row r="13" spans="1:9" x14ac:dyDescent="0.2">
      <c r="A13" s="14"/>
      <c r="B13" s="14"/>
      <c r="C13" s="15" t="s">
        <v>11</v>
      </c>
      <c r="D13" s="14"/>
      <c r="E13" s="14" t="s">
        <v>12</v>
      </c>
      <c r="F13" s="17" t="s">
        <v>13</v>
      </c>
      <c r="G13" s="18">
        <v>0</v>
      </c>
      <c r="H13" s="16" t="s">
        <v>12</v>
      </c>
    </row>
    <row r="14" spans="1:9" x14ac:dyDescent="0.2">
      <c r="A14" s="14"/>
      <c r="B14" s="14"/>
      <c r="C14" s="19"/>
      <c r="D14" s="14"/>
      <c r="E14" s="14"/>
      <c r="F14" s="20"/>
      <c r="G14" s="20"/>
      <c r="H14" s="16" t="s">
        <v>12</v>
      </c>
    </row>
    <row r="15" spans="1:9" x14ac:dyDescent="0.2">
      <c r="A15" s="14"/>
      <c r="B15" s="14"/>
      <c r="C15" s="15" t="s">
        <v>16</v>
      </c>
      <c r="D15" s="14"/>
      <c r="E15" s="14"/>
      <c r="F15" s="14"/>
      <c r="G15" s="14"/>
      <c r="H15" s="16" t="s">
        <v>12</v>
      </c>
    </row>
    <row r="16" spans="1:9" x14ac:dyDescent="0.2">
      <c r="A16" s="14"/>
      <c r="B16" s="14"/>
      <c r="C16" s="15" t="s">
        <v>11</v>
      </c>
      <c r="D16" s="14"/>
      <c r="E16" s="14" t="s">
        <v>12</v>
      </c>
      <c r="F16" s="17" t="s">
        <v>13</v>
      </c>
      <c r="G16" s="18">
        <v>0</v>
      </c>
      <c r="H16" s="16" t="s">
        <v>12</v>
      </c>
    </row>
    <row r="17" spans="1:8" x14ac:dyDescent="0.2">
      <c r="A17" s="14"/>
      <c r="B17" s="14"/>
      <c r="C17" s="19"/>
      <c r="D17" s="14"/>
      <c r="E17" s="14"/>
      <c r="F17" s="20"/>
      <c r="G17" s="20"/>
      <c r="H17" s="16" t="s">
        <v>12</v>
      </c>
    </row>
    <row r="18" spans="1:8" x14ac:dyDescent="0.2">
      <c r="A18" s="14"/>
      <c r="B18" s="14"/>
      <c r="C18" s="15" t="s">
        <v>17</v>
      </c>
      <c r="D18" s="14"/>
      <c r="E18" s="14"/>
      <c r="F18" s="20"/>
      <c r="G18" s="20"/>
      <c r="H18" s="16" t="s">
        <v>12</v>
      </c>
    </row>
    <row r="19" spans="1:8" x14ac:dyDescent="0.2">
      <c r="A19" s="14"/>
      <c r="B19" s="14"/>
      <c r="C19" s="15" t="s">
        <v>11</v>
      </c>
      <c r="D19" s="14"/>
      <c r="E19" s="14" t="s">
        <v>12</v>
      </c>
      <c r="F19" s="17" t="s">
        <v>13</v>
      </c>
      <c r="G19" s="18">
        <v>0</v>
      </c>
      <c r="H19" s="16" t="s">
        <v>12</v>
      </c>
    </row>
    <row r="20" spans="1:8" x14ac:dyDescent="0.2">
      <c r="A20" s="14"/>
      <c r="B20" s="14"/>
      <c r="C20" s="19"/>
      <c r="D20" s="14"/>
      <c r="E20" s="14"/>
      <c r="F20" s="20"/>
      <c r="G20" s="20"/>
      <c r="H20" s="16" t="s">
        <v>12</v>
      </c>
    </row>
    <row r="21" spans="1:8" x14ac:dyDescent="0.2">
      <c r="A21" s="14"/>
      <c r="B21" s="14"/>
      <c r="C21" s="15" t="s">
        <v>18</v>
      </c>
      <c r="D21" s="14"/>
      <c r="E21" s="14"/>
      <c r="F21" s="20"/>
      <c r="G21" s="20"/>
      <c r="H21" s="16" t="s">
        <v>12</v>
      </c>
    </row>
    <row r="22" spans="1:8" x14ac:dyDescent="0.2">
      <c r="A22" s="14"/>
      <c r="B22" s="14"/>
      <c r="C22" s="15" t="s">
        <v>11</v>
      </c>
      <c r="D22" s="14"/>
      <c r="E22" s="14" t="s">
        <v>12</v>
      </c>
      <c r="F22" s="17" t="s">
        <v>13</v>
      </c>
      <c r="G22" s="18">
        <v>0</v>
      </c>
      <c r="H22" s="16" t="s">
        <v>12</v>
      </c>
    </row>
    <row r="23" spans="1:8" x14ac:dyDescent="0.2">
      <c r="A23" s="14"/>
      <c r="B23" s="14"/>
      <c r="C23" s="19"/>
      <c r="D23" s="14"/>
      <c r="E23" s="14"/>
      <c r="F23" s="20"/>
      <c r="G23" s="20"/>
      <c r="H23" s="16" t="s">
        <v>12</v>
      </c>
    </row>
    <row r="24" spans="1:8" x14ac:dyDescent="0.2">
      <c r="A24" s="14"/>
      <c r="B24" s="14"/>
      <c r="C24" s="15" t="s">
        <v>19</v>
      </c>
      <c r="D24" s="14"/>
      <c r="E24" s="14"/>
      <c r="F24" s="21">
        <v>0</v>
      </c>
      <c r="G24" s="18">
        <v>0</v>
      </c>
      <c r="H24" s="16" t="s">
        <v>12</v>
      </c>
    </row>
    <row r="25" spans="1:8" x14ac:dyDescent="0.2">
      <c r="A25" s="14"/>
      <c r="B25" s="14"/>
      <c r="C25" s="19"/>
      <c r="D25" s="14"/>
      <c r="E25" s="14"/>
      <c r="F25" s="20"/>
      <c r="G25" s="20"/>
      <c r="H25" s="16" t="s">
        <v>12</v>
      </c>
    </row>
    <row r="26" spans="1:8" x14ac:dyDescent="0.2">
      <c r="A26" s="14"/>
      <c r="B26" s="14"/>
      <c r="C26" s="15" t="s">
        <v>20</v>
      </c>
      <c r="D26" s="14"/>
      <c r="E26" s="14"/>
      <c r="F26" s="20"/>
      <c r="G26" s="20"/>
      <c r="H26" s="16" t="s">
        <v>12</v>
      </c>
    </row>
    <row r="27" spans="1:8" ht="25.5" x14ac:dyDescent="0.2">
      <c r="A27" s="14"/>
      <c r="B27" s="14"/>
      <c r="C27" s="15" t="s">
        <v>10</v>
      </c>
      <c r="D27" s="14"/>
      <c r="E27" s="14"/>
      <c r="F27" s="20"/>
      <c r="G27" s="20"/>
      <c r="H27" s="16" t="s">
        <v>12</v>
      </c>
    </row>
    <row r="28" spans="1:8" x14ac:dyDescent="0.2">
      <c r="A28" s="14"/>
      <c r="B28" s="14"/>
      <c r="C28" s="15" t="s">
        <v>11</v>
      </c>
      <c r="D28" s="14"/>
      <c r="E28" s="14" t="s">
        <v>12</v>
      </c>
      <c r="F28" s="17" t="s">
        <v>13</v>
      </c>
      <c r="G28" s="18">
        <v>0</v>
      </c>
      <c r="H28" s="16" t="s">
        <v>12</v>
      </c>
    </row>
    <row r="29" spans="1:8" x14ac:dyDescent="0.2">
      <c r="A29" s="14"/>
      <c r="B29" s="14"/>
      <c r="C29" s="19"/>
      <c r="D29" s="14"/>
      <c r="E29" s="14"/>
      <c r="F29" s="20"/>
      <c r="G29" s="20"/>
      <c r="H29" s="16" t="s">
        <v>12</v>
      </c>
    </row>
    <row r="30" spans="1:8" x14ac:dyDescent="0.2">
      <c r="A30" s="14"/>
      <c r="B30" s="14"/>
      <c r="C30" s="15" t="s">
        <v>71</v>
      </c>
      <c r="D30" s="14"/>
      <c r="E30" s="14"/>
      <c r="F30" s="14"/>
      <c r="G30" s="14"/>
      <c r="H30" s="16" t="s">
        <v>12</v>
      </c>
    </row>
    <row r="31" spans="1:8" x14ac:dyDescent="0.2">
      <c r="A31" s="14"/>
      <c r="B31" s="14"/>
      <c r="C31" s="15" t="s">
        <v>11</v>
      </c>
      <c r="D31" s="14"/>
      <c r="E31" s="14" t="s">
        <v>12</v>
      </c>
      <c r="F31" s="17" t="s">
        <v>13</v>
      </c>
      <c r="G31" s="18">
        <v>0</v>
      </c>
      <c r="H31" s="16" t="s">
        <v>12</v>
      </c>
    </row>
    <row r="32" spans="1:8" x14ac:dyDescent="0.2">
      <c r="A32" s="14"/>
      <c r="B32" s="14"/>
      <c r="C32" s="19"/>
      <c r="D32" s="14"/>
      <c r="E32" s="14"/>
      <c r="F32" s="20"/>
      <c r="G32" s="20"/>
      <c r="H32" s="16" t="s">
        <v>12</v>
      </c>
    </row>
    <row r="33" spans="1:8" x14ac:dyDescent="0.2">
      <c r="A33" s="14"/>
      <c r="B33" s="14"/>
      <c r="C33" s="15" t="s">
        <v>72</v>
      </c>
      <c r="D33" s="14"/>
      <c r="E33" s="14"/>
      <c r="F33" s="14"/>
      <c r="G33" s="14"/>
      <c r="H33" s="16" t="s">
        <v>12</v>
      </c>
    </row>
    <row r="34" spans="1:8" x14ac:dyDescent="0.2">
      <c r="A34" s="14"/>
      <c r="B34" s="14"/>
      <c r="C34" s="15" t="s">
        <v>11</v>
      </c>
      <c r="D34" s="14"/>
      <c r="E34" s="14" t="s">
        <v>12</v>
      </c>
      <c r="F34" s="17" t="s">
        <v>13</v>
      </c>
      <c r="G34" s="18">
        <v>0</v>
      </c>
      <c r="H34" s="16" t="s">
        <v>12</v>
      </c>
    </row>
    <row r="35" spans="1:8" x14ac:dyDescent="0.2">
      <c r="A35" s="14"/>
      <c r="B35" s="14"/>
      <c r="C35" s="19"/>
      <c r="D35" s="14"/>
      <c r="E35" s="14"/>
      <c r="F35" s="20"/>
      <c r="G35" s="20"/>
      <c r="H35" s="16" t="s">
        <v>12</v>
      </c>
    </row>
    <row r="36" spans="1:8" x14ac:dyDescent="0.2">
      <c r="A36" s="14"/>
      <c r="B36" s="14"/>
      <c r="C36" s="15" t="s">
        <v>88</v>
      </c>
      <c r="D36" s="14"/>
      <c r="E36" s="14"/>
      <c r="F36" s="20"/>
      <c r="G36" s="20"/>
      <c r="H36" s="16" t="s">
        <v>12</v>
      </c>
    </row>
    <row r="37" spans="1:8" x14ac:dyDescent="0.2">
      <c r="A37" s="14"/>
      <c r="B37" s="14"/>
      <c r="C37" s="15" t="s">
        <v>11</v>
      </c>
      <c r="D37" s="14"/>
      <c r="E37" s="14" t="s">
        <v>12</v>
      </c>
      <c r="F37" s="17" t="s">
        <v>13</v>
      </c>
      <c r="G37" s="18">
        <v>0</v>
      </c>
      <c r="H37" s="16" t="s">
        <v>12</v>
      </c>
    </row>
    <row r="38" spans="1:8" x14ac:dyDescent="0.2">
      <c r="A38" s="14"/>
      <c r="B38" s="14"/>
      <c r="C38" s="19"/>
      <c r="D38" s="14"/>
      <c r="E38" s="14"/>
      <c r="F38" s="20"/>
      <c r="G38" s="20"/>
      <c r="H38" s="16" t="s">
        <v>12</v>
      </c>
    </row>
    <row r="39" spans="1:8" x14ac:dyDescent="0.2">
      <c r="A39" s="14"/>
      <c r="B39" s="14"/>
      <c r="C39" s="15" t="s">
        <v>89</v>
      </c>
      <c r="D39" s="14"/>
      <c r="E39" s="14"/>
      <c r="F39" s="21">
        <v>0</v>
      </c>
      <c r="G39" s="18">
        <v>0</v>
      </c>
      <c r="H39" s="16" t="s">
        <v>12</v>
      </c>
    </row>
    <row r="40" spans="1:8" x14ac:dyDescent="0.2">
      <c r="A40" s="14"/>
      <c r="B40" s="14"/>
      <c r="C40" s="19"/>
      <c r="D40" s="14"/>
      <c r="E40" s="14"/>
      <c r="F40" s="20"/>
      <c r="G40" s="20"/>
      <c r="H40" s="16" t="s">
        <v>12</v>
      </c>
    </row>
    <row r="41" spans="1:8" x14ac:dyDescent="0.2">
      <c r="A41" s="14"/>
      <c r="B41" s="14"/>
      <c r="C41" s="15" t="s">
        <v>90</v>
      </c>
      <c r="D41" s="14"/>
      <c r="E41" s="14"/>
      <c r="F41" s="20"/>
      <c r="G41" s="20"/>
      <c r="H41" s="16" t="s">
        <v>12</v>
      </c>
    </row>
    <row r="42" spans="1:8" x14ac:dyDescent="0.2">
      <c r="A42" s="14"/>
      <c r="B42" s="14"/>
      <c r="C42" s="15" t="s">
        <v>91</v>
      </c>
      <c r="D42" s="14"/>
      <c r="E42" s="14"/>
      <c r="F42" s="20"/>
      <c r="G42" s="20"/>
      <c r="H42" s="16" t="s">
        <v>12</v>
      </c>
    </row>
    <row r="43" spans="1:8" x14ac:dyDescent="0.2">
      <c r="A43" s="14"/>
      <c r="B43" s="14"/>
      <c r="C43" s="15" t="s">
        <v>11</v>
      </c>
      <c r="D43" s="14"/>
      <c r="E43" s="14" t="s">
        <v>12</v>
      </c>
      <c r="F43" s="17" t="s">
        <v>13</v>
      </c>
      <c r="G43" s="18">
        <v>0</v>
      </c>
      <c r="H43" s="16" t="s">
        <v>12</v>
      </c>
    </row>
    <row r="44" spans="1:8" x14ac:dyDescent="0.2">
      <c r="A44" s="14"/>
      <c r="B44" s="14"/>
      <c r="C44" s="19"/>
      <c r="D44" s="14"/>
      <c r="E44" s="14"/>
      <c r="F44" s="20"/>
      <c r="G44" s="20"/>
      <c r="H44" s="16" t="s">
        <v>12</v>
      </c>
    </row>
    <row r="45" spans="1:8" x14ac:dyDescent="0.2">
      <c r="A45" s="14"/>
      <c r="B45" s="14"/>
      <c r="C45" s="15" t="s">
        <v>92</v>
      </c>
      <c r="D45" s="14"/>
      <c r="E45" s="14"/>
      <c r="F45" s="20"/>
      <c r="G45" s="20"/>
      <c r="H45" s="16" t="s">
        <v>12</v>
      </c>
    </row>
    <row r="46" spans="1:8" x14ac:dyDescent="0.2">
      <c r="A46" s="14"/>
      <c r="B46" s="14"/>
      <c r="C46" s="15" t="s">
        <v>11</v>
      </c>
      <c r="D46" s="14"/>
      <c r="E46" s="14" t="s">
        <v>12</v>
      </c>
      <c r="F46" s="17" t="s">
        <v>13</v>
      </c>
      <c r="G46" s="18">
        <v>0</v>
      </c>
      <c r="H46" s="16" t="s">
        <v>12</v>
      </c>
    </row>
    <row r="47" spans="1:8" x14ac:dyDescent="0.2">
      <c r="A47" s="14"/>
      <c r="B47" s="14"/>
      <c r="C47" s="19"/>
      <c r="D47" s="14"/>
      <c r="E47" s="14"/>
      <c r="F47" s="20"/>
      <c r="G47" s="20"/>
      <c r="H47" s="16" t="s">
        <v>12</v>
      </c>
    </row>
    <row r="48" spans="1:8" x14ac:dyDescent="0.2">
      <c r="A48" s="14"/>
      <c r="B48" s="14"/>
      <c r="C48" s="15" t="s">
        <v>93</v>
      </c>
      <c r="D48" s="14"/>
      <c r="E48" s="14"/>
      <c r="F48" s="20"/>
      <c r="G48" s="20"/>
      <c r="H48" s="16" t="s">
        <v>12</v>
      </c>
    </row>
    <row r="49" spans="1:8" x14ac:dyDescent="0.2">
      <c r="A49" s="22">
        <v>1</v>
      </c>
      <c r="B49" s="23" t="s">
        <v>388</v>
      </c>
      <c r="C49" s="23" t="s">
        <v>389</v>
      </c>
      <c r="D49" s="23" t="s">
        <v>75</v>
      </c>
      <c r="E49" s="24">
        <v>1500000</v>
      </c>
      <c r="F49" s="25">
        <v>1498.9485</v>
      </c>
      <c r="G49" s="26">
        <v>1.6076429999999999E-2</v>
      </c>
      <c r="H49" s="16">
        <v>6.4</v>
      </c>
    </row>
    <row r="50" spans="1:8" x14ac:dyDescent="0.2">
      <c r="A50" s="22">
        <v>2</v>
      </c>
      <c r="B50" s="23" t="s">
        <v>525</v>
      </c>
      <c r="C50" s="23" t="s">
        <v>526</v>
      </c>
      <c r="D50" s="23" t="s">
        <v>75</v>
      </c>
      <c r="E50" s="24">
        <v>1500000</v>
      </c>
      <c r="F50" s="25">
        <v>1493.4884999999999</v>
      </c>
      <c r="G50" s="26">
        <v>1.601787E-2</v>
      </c>
      <c r="H50" s="16">
        <v>6.3677000000000001</v>
      </c>
    </row>
    <row r="51" spans="1:8" x14ac:dyDescent="0.2">
      <c r="A51" s="14"/>
      <c r="B51" s="14"/>
      <c r="C51" s="15" t="s">
        <v>11</v>
      </c>
      <c r="D51" s="14"/>
      <c r="E51" s="14" t="s">
        <v>12</v>
      </c>
      <c r="F51" s="21">
        <v>2992.4369999999999</v>
      </c>
      <c r="G51" s="18">
        <v>3.2094299999999999E-2</v>
      </c>
      <c r="H51" s="16" t="s">
        <v>12</v>
      </c>
    </row>
    <row r="52" spans="1:8" x14ac:dyDescent="0.2">
      <c r="A52" s="14"/>
      <c r="B52" s="14"/>
      <c r="C52" s="19"/>
      <c r="D52" s="14"/>
      <c r="E52" s="14"/>
      <c r="F52" s="20"/>
      <c r="G52" s="20"/>
      <c r="H52" s="16" t="s">
        <v>12</v>
      </c>
    </row>
    <row r="53" spans="1:8" x14ac:dyDescent="0.2">
      <c r="A53" s="14"/>
      <c r="B53" s="14"/>
      <c r="C53" s="15" t="s">
        <v>94</v>
      </c>
      <c r="D53" s="14"/>
      <c r="E53" s="14"/>
      <c r="F53" s="20"/>
      <c r="G53" s="20"/>
      <c r="H53" s="16" t="s">
        <v>12</v>
      </c>
    </row>
    <row r="54" spans="1:8" x14ac:dyDescent="0.2">
      <c r="A54" s="22">
        <v>1</v>
      </c>
      <c r="B54" s="23"/>
      <c r="C54" s="23" t="s">
        <v>404</v>
      </c>
      <c r="D54" s="23"/>
      <c r="E54" s="27"/>
      <c r="F54" s="25">
        <v>64926.123333299998</v>
      </c>
      <c r="G54" s="26">
        <v>0.69634161999999999</v>
      </c>
      <c r="H54" s="16">
        <v>6.42</v>
      </c>
    </row>
    <row r="55" spans="1:8" x14ac:dyDescent="0.2">
      <c r="A55" s="22">
        <v>2</v>
      </c>
      <c r="B55" s="23"/>
      <c r="C55" s="23" t="s">
        <v>95</v>
      </c>
      <c r="D55" s="23"/>
      <c r="E55" s="27"/>
      <c r="F55" s="25">
        <v>25148.286652471001</v>
      </c>
      <c r="G55" s="26">
        <v>0.26971884000000002</v>
      </c>
      <c r="H55" s="16">
        <v>6.24</v>
      </c>
    </row>
    <row r="56" spans="1:8" x14ac:dyDescent="0.2">
      <c r="A56" s="14"/>
      <c r="B56" s="14"/>
      <c r="C56" s="15" t="s">
        <v>11</v>
      </c>
      <c r="D56" s="14"/>
      <c r="E56" s="14" t="s">
        <v>12</v>
      </c>
      <c r="F56" s="21">
        <v>90074.409985770995</v>
      </c>
      <c r="G56" s="18">
        <v>0.96606046000000001</v>
      </c>
      <c r="H56" s="16" t="s">
        <v>12</v>
      </c>
    </row>
    <row r="57" spans="1:8" x14ac:dyDescent="0.2">
      <c r="A57" s="14"/>
      <c r="B57" s="14"/>
      <c r="C57" s="19"/>
      <c r="D57" s="14"/>
      <c r="E57" s="14"/>
      <c r="F57" s="20"/>
      <c r="G57" s="20"/>
      <c r="H57" s="16" t="s">
        <v>12</v>
      </c>
    </row>
    <row r="58" spans="1:8" x14ac:dyDescent="0.2">
      <c r="A58" s="14"/>
      <c r="B58" s="14"/>
      <c r="C58" s="15" t="s">
        <v>96</v>
      </c>
      <c r="D58" s="14"/>
      <c r="E58" s="14"/>
      <c r="F58" s="21">
        <v>93066.846985771001</v>
      </c>
      <c r="G58" s="18">
        <v>0.99815476000000003</v>
      </c>
      <c r="H58" s="16" t="s">
        <v>12</v>
      </c>
    </row>
    <row r="59" spans="1:8" x14ac:dyDescent="0.2">
      <c r="A59" s="14"/>
      <c r="B59" s="14"/>
      <c r="C59" s="20"/>
      <c r="D59" s="14"/>
      <c r="E59" s="14"/>
      <c r="F59" s="14"/>
      <c r="G59" s="14"/>
      <c r="H59" s="16" t="s">
        <v>12</v>
      </c>
    </row>
    <row r="60" spans="1:8" x14ac:dyDescent="0.2">
      <c r="A60" s="14"/>
      <c r="B60" s="14"/>
      <c r="C60" s="15" t="s">
        <v>97</v>
      </c>
      <c r="D60" s="14"/>
      <c r="E60" s="14"/>
      <c r="F60" s="14"/>
      <c r="G60" s="14"/>
      <c r="H60" s="16" t="s">
        <v>12</v>
      </c>
    </row>
    <row r="61" spans="1:8" x14ac:dyDescent="0.2">
      <c r="A61" s="14"/>
      <c r="B61" s="14"/>
      <c r="C61" s="15" t="s">
        <v>98</v>
      </c>
      <c r="D61" s="14"/>
      <c r="E61" s="14"/>
      <c r="F61" s="14"/>
      <c r="G61" s="14"/>
      <c r="H61" s="16" t="s">
        <v>12</v>
      </c>
    </row>
    <row r="62" spans="1:8" x14ac:dyDescent="0.2">
      <c r="A62" s="14"/>
      <c r="B62" s="14"/>
      <c r="C62" s="15" t="s">
        <v>11</v>
      </c>
      <c r="D62" s="14"/>
      <c r="E62" s="14" t="s">
        <v>12</v>
      </c>
      <c r="F62" s="17" t="s">
        <v>13</v>
      </c>
      <c r="G62" s="18">
        <v>0</v>
      </c>
      <c r="H62" s="16" t="s">
        <v>12</v>
      </c>
    </row>
    <row r="63" spans="1:8" x14ac:dyDescent="0.2">
      <c r="A63" s="14"/>
      <c r="B63" s="14"/>
      <c r="C63" s="19"/>
      <c r="D63" s="14"/>
      <c r="E63" s="14"/>
      <c r="F63" s="20"/>
      <c r="G63" s="20"/>
      <c r="H63" s="16" t="s">
        <v>12</v>
      </c>
    </row>
    <row r="64" spans="1:8" x14ac:dyDescent="0.2">
      <c r="A64" s="14"/>
      <c r="B64" s="14"/>
      <c r="C64" s="15" t="s">
        <v>101</v>
      </c>
      <c r="D64" s="14"/>
      <c r="E64" s="14"/>
      <c r="F64" s="14"/>
      <c r="G64" s="14"/>
      <c r="H64" s="16" t="s">
        <v>12</v>
      </c>
    </row>
    <row r="65" spans="1:8" x14ac:dyDescent="0.2">
      <c r="A65" s="14"/>
      <c r="B65" s="14"/>
      <c r="C65" s="15" t="s">
        <v>102</v>
      </c>
      <c r="D65" s="14"/>
      <c r="E65" s="14"/>
      <c r="F65" s="14"/>
      <c r="G65" s="14"/>
      <c r="H65" s="16" t="s">
        <v>12</v>
      </c>
    </row>
    <row r="66" spans="1:8" x14ac:dyDescent="0.2">
      <c r="A66" s="14"/>
      <c r="B66" s="14"/>
      <c r="C66" s="15" t="s">
        <v>11</v>
      </c>
      <c r="D66" s="14"/>
      <c r="E66" s="14" t="s">
        <v>12</v>
      </c>
      <c r="F66" s="17" t="s">
        <v>13</v>
      </c>
      <c r="G66" s="18">
        <v>0</v>
      </c>
      <c r="H66" s="16" t="s">
        <v>12</v>
      </c>
    </row>
    <row r="67" spans="1:8" x14ac:dyDescent="0.2">
      <c r="A67" s="14"/>
      <c r="B67" s="14"/>
      <c r="C67" s="19"/>
      <c r="D67" s="14"/>
      <c r="E67" s="14"/>
      <c r="F67" s="20"/>
      <c r="G67" s="20"/>
      <c r="H67" s="16" t="s">
        <v>12</v>
      </c>
    </row>
    <row r="68" spans="1:8" ht="25.5" x14ac:dyDescent="0.2">
      <c r="A68" s="14"/>
      <c r="B68" s="14"/>
      <c r="C68" s="15" t="s">
        <v>103</v>
      </c>
      <c r="D68" s="14"/>
      <c r="E68" s="14"/>
      <c r="F68" s="20"/>
      <c r="G68" s="20"/>
      <c r="H68" s="16" t="s">
        <v>12</v>
      </c>
    </row>
    <row r="69" spans="1:8" x14ac:dyDescent="0.2">
      <c r="A69" s="14"/>
      <c r="B69" s="14"/>
      <c r="C69" s="15" t="s">
        <v>11</v>
      </c>
      <c r="D69" s="14"/>
      <c r="E69" s="14" t="s">
        <v>12</v>
      </c>
      <c r="F69" s="17" t="s">
        <v>13</v>
      </c>
      <c r="G69" s="18">
        <v>0</v>
      </c>
      <c r="H69" s="16" t="s">
        <v>12</v>
      </c>
    </row>
    <row r="70" spans="1:8" x14ac:dyDescent="0.2">
      <c r="A70" s="14"/>
      <c r="B70" s="14"/>
      <c r="C70" s="19"/>
      <c r="D70" s="14"/>
      <c r="E70" s="14"/>
      <c r="F70" s="20"/>
      <c r="G70" s="20"/>
      <c r="H70" s="16" t="s">
        <v>12</v>
      </c>
    </row>
    <row r="71" spans="1:8" x14ac:dyDescent="0.2">
      <c r="A71" s="27"/>
      <c r="B71" s="23"/>
      <c r="C71" s="23" t="s">
        <v>104</v>
      </c>
      <c r="D71" s="23"/>
      <c r="E71" s="27"/>
      <c r="F71" s="25">
        <f>172.04769636+0.0000304490280151367</f>
        <v>172.04772680902801</v>
      </c>
      <c r="G71" s="26">
        <v>1.8452399999999999E-3</v>
      </c>
      <c r="H71" s="16" t="s">
        <v>12</v>
      </c>
    </row>
    <row r="72" spans="1:8" x14ac:dyDescent="0.2">
      <c r="A72" s="19"/>
      <c r="B72" s="19"/>
      <c r="C72" s="15" t="s">
        <v>105</v>
      </c>
      <c r="D72" s="20"/>
      <c r="E72" s="20"/>
      <c r="F72" s="21">
        <f>93238.894682131+0.0000304490280151367</f>
        <v>93238.894712580019</v>
      </c>
      <c r="G72" s="42">
        <v>1</v>
      </c>
      <c r="H72" s="16" t="s">
        <v>12</v>
      </c>
    </row>
    <row r="73" spans="1:8" x14ac:dyDescent="0.2">
      <c r="A73" s="43"/>
      <c r="B73" s="43"/>
      <c r="C73" s="43"/>
      <c r="D73" s="44"/>
      <c r="E73" s="44"/>
      <c r="F73" s="44"/>
      <c r="G73" s="44"/>
    </row>
    <row r="74" spans="1:8" x14ac:dyDescent="0.2">
      <c r="A74" s="45"/>
      <c r="B74" s="164" t="s">
        <v>542</v>
      </c>
      <c r="C74" s="164"/>
      <c r="D74" s="164"/>
      <c r="E74" s="164"/>
      <c r="F74" s="164"/>
      <c r="G74" s="164"/>
      <c r="H74" s="164"/>
    </row>
    <row r="75" spans="1:8" x14ac:dyDescent="0.2">
      <c r="A75" s="45"/>
      <c r="B75" s="164" t="s">
        <v>543</v>
      </c>
      <c r="C75" s="164"/>
      <c r="D75" s="164"/>
      <c r="E75" s="164"/>
      <c r="F75" s="164"/>
      <c r="G75" s="164"/>
      <c r="H75" s="164"/>
    </row>
    <row r="76" spans="1:8" x14ac:dyDescent="0.2">
      <c r="A76" s="45"/>
      <c r="B76" s="164" t="s">
        <v>544</v>
      </c>
      <c r="C76" s="164"/>
      <c r="D76" s="164"/>
      <c r="E76" s="164"/>
      <c r="F76" s="164"/>
      <c r="G76" s="164"/>
      <c r="H76" s="164"/>
    </row>
    <row r="77" spans="1:8" x14ac:dyDescent="0.2">
      <c r="A77" s="47"/>
      <c r="B77" s="47"/>
      <c r="C77" s="47"/>
      <c r="D77" s="48"/>
      <c r="E77" s="48"/>
      <c r="F77" s="48"/>
      <c r="G77" s="48"/>
    </row>
    <row r="78" spans="1:8" x14ac:dyDescent="0.2">
      <c r="A78" s="47"/>
      <c r="B78" s="157" t="s">
        <v>106</v>
      </c>
      <c r="C78" s="158"/>
      <c r="D78" s="159"/>
      <c r="E78" s="49"/>
      <c r="F78" s="48"/>
      <c r="G78" s="48"/>
    </row>
    <row r="79" spans="1:8" x14ac:dyDescent="0.2">
      <c r="A79" s="47"/>
      <c r="B79" s="160" t="s">
        <v>107</v>
      </c>
      <c r="C79" s="161"/>
      <c r="D79" s="15" t="s">
        <v>108</v>
      </c>
      <c r="E79" s="49"/>
      <c r="F79" s="48"/>
      <c r="G79" s="48"/>
    </row>
    <row r="80" spans="1:8" x14ac:dyDescent="0.2">
      <c r="A80" s="47"/>
      <c r="B80" s="160" t="s">
        <v>109</v>
      </c>
      <c r="C80" s="161"/>
      <c r="D80" s="15" t="s">
        <v>108</v>
      </c>
      <c r="E80" s="49"/>
      <c r="F80" s="48"/>
      <c r="G80" s="48"/>
    </row>
    <row r="81" spans="1:21" x14ac:dyDescent="0.2">
      <c r="A81" s="47"/>
      <c r="B81" s="160" t="s">
        <v>110</v>
      </c>
      <c r="C81" s="161"/>
      <c r="D81" s="20" t="s">
        <v>12</v>
      </c>
      <c r="E81" s="49"/>
      <c r="F81" s="48"/>
      <c r="G81" s="48"/>
    </row>
    <row r="82" spans="1:21" x14ac:dyDescent="0.2">
      <c r="A82" s="50"/>
      <c r="B82" s="51" t="s">
        <v>12</v>
      </c>
      <c r="C82" s="51" t="s">
        <v>545</v>
      </c>
      <c r="D82" s="51" t="s">
        <v>111</v>
      </c>
      <c r="E82" s="50"/>
      <c r="F82" s="50"/>
      <c r="G82" s="50"/>
    </row>
    <row r="83" spans="1:21" x14ac:dyDescent="0.2">
      <c r="A83" s="50"/>
      <c r="B83" s="52" t="s">
        <v>112</v>
      </c>
      <c r="C83" s="53">
        <v>45716</v>
      </c>
      <c r="D83" s="53">
        <v>45731</v>
      </c>
      <c r="E83" s="50"/>
      <c r="F83" s="50"/>
      <c r="G83" s="50"/>
    </row>
    <row r="84" spans="1:21" x14ac:dyDescent="0.2">
      <c r="A84" s="54"/>
      <c r="B84" s="23" t="s">
        <v>113</v>
      </c>
      <c r="C84" s="55">
        <v>1349.3623</v>
      </c>
      <c r="D84" s="55">
        <v>1352.7918999999999</v>
      </c>
      <c r="E84" s="54"/>
      <c r="F84" s="56"/>
      <c r="G84" s="57"/>
    </row>
    <row r="85" spans="1:21" ht="25.5" x14ac:dyDescent="0.2">
      <c r="A85" s="54"/>
      <c r="B85" s="23" t="s">
        <v>651</v>
      </c>
      <c r="C85" s="55">
        <v>1044.2646</v>
      </c>
      <c r="D85" s="55">
        <v>1046.9193</v>
      </c>
      <c r="E85" s="54"/>
      <c r="F85" s="56"/>
      <c r="G85" s="57"/>
    </row>
    <row r="86" spans="1:21" x14ac:dyDescent="0.2">
      <c r="A86" s="54"/>
      <c r="B86" s="23" t="s">
        <v>114</v>
      </c>
      <c r="C86" s="55">
        <v>1341.3812</v>
      </c>
      <c r="D86" s="55">
        <v>1344.7547</v>
      </c>
      <c r="E86" s="54"/>
      <c r="F86" s="56"/>
      <c r="G86" s="57"/>
    </row>
    <row r="87" spans="1:21" ht="25.5" x14ac:dyDescent="0.2">
      <c r="A87" s="54"/>
      <c r="B87" s="23" t="s">
        <v>655</v>
      </c>
      <c r="C87" s="55">
        <v>1040.5573999999999</v>
      </c>
      <c r="D87" s="55">
        <v>1043.1744000000001</v>
      </c>
      <c r="E87" s="54"/>
      <c r="F87" s="56"/>
      <c r="G87" s="57"/>
    </row>
    <row r="88" spans="1:21" x14ac:dyDescent="0.2">
      <c r="A88" s="54"/>
      <c r="B88" s="54"/>
      <c r="C88" s="54"/>
      <c r="D88" s="54"/>
      <c r="E88" s="54"/>
      <c r="F88" s="54"/>
      <c r="G88" s="54"/>
    </row>
    <row r="89" spans="1:21" x14ac:dyDescent="0.2">
      <c r="A89" s="54"/>
      <c r="B89" s="160" t="s">
        <v>622</v>
      </c>
      <c r="C89" s="161"/>
      <c r="D89" s="123" t="s">
        <v>108</v>
      </c>
      <c r="E89" s="54"/>
      <c r="F89" s="54"/>
      <c r="G89" s="54"/>
    </row>
    <row r="90" spans="1:21" x14ac:dyDescent="0.2">
      <c r="A90" s="54"/>
      <c r="B90" s="64"/>
      <c r="C90" s="64"/>
      <c r="D90" s="64"/>
      <c r="E90" s="54"/>
      <c r="F90" s="54"/>
      <c r="G90" s="54"/>
    </row>
    <row r="91" spans="1:21" x14ac:dyDescent="0.2">
      <c r="A91" s="50"/>
      <c r="B91" s="215" t="s">
        <v>118</v>
      </c>
      <c r="C91" s="216"/>
      <c r="D91" s="123" t="s">
        <v>108</v>
      </c>
      <c r="E91" s="63"/>
      <c r="F91" s="50"/>
      <c r="G91" s="50"/>
    </row>
    <row r="92" spans="1:21" x14ac:dyDescent="0.2">
      <c r="A92" s="50"/>
      <c r="B92" s="215" t="s">
        <v>119</v>
      </c>
      <c r="C92" s="216"/>
      <c r="D92" s="123" t="s">
        <v>108</v>
      </c>
      <c r="E92" s="63"/>
      <c r="F92" s="50"/>
      <c r="G92" s="50"/>
    </row>
    <row r="93" spans="1:21" x14ac:dyDescent="0.2">
      <c r="A93" s="50"/>
      <c r="B93" s="215" t="s">
        <v>546</v>
      </c>
      <c r="C93" s="216"/>
      <c r="D93" s="123" t="s">
        <v>108</v>
      </c>
      <c r="E93" s="63"/>
      <c r="F93" s="50"/>
      <c r="G93" s="50"/>
      <c r="I93" s="34"/>
    </row>
    <row r="94" spans="1:21" x14ac:dyDescent="0.2">
      <c r="A94" s="64"/>
      <c r="B94" s="64"/>
      <c r="C94" s="64"/>
      <c r="D94" s="64"/>
      <c r="E94" s="64"/>
      <c r="F94" s="64"/>
      <c r="G94" s="64"/>
      <c r="I94" s="34"/>
    </row>
    <row r="95" spans="1:21" s="65" customFormat="1" x14ac:dyDescent="0.2">
      <c r="B95" s="165" t="s">
        <v>547</v>
      </c>
      <c r="C95" s="211"/>
      <c r="D95" s="167"/>
      <c r="I95" s="34"/>
      <c r="J95"/>
      <c r="K95" s="34"/>
      <c r="L95" s="34"/>
      <c r="M95" s="34"/>
      <c r="N95" s="71"/>
      <c r="Q95"/>
      <c r="R95"/>
      <c r="S95"/>
      <c r="T95"/>
      <c r="U95"/>
    </row>
    <row r="96" spans="1:21" s="65" customFormat="1" ht="38.25" x14ac:dyDescent="0.2">
      <c r="B96" s="155" t="s">
        <v>548</v>
      </c>
      <c r="C96" s="155"/>
      <c r="D96" s="66" t="s">
        <v>524</v>
      </c>
      <c r="I96" s="34"/>
      <c r="J96"/>
      <c r="K96" s="34"/>
      <c r="L96" s="34"/>
      <c r="M96" s="34"/>
      <c r="N96" s="71"/>
      <c r="Q96"/>
      <c r="R96"/>
      <c r="S96"/>
      <c r="T96"/>
      <c r="U96"/>
    </row>
    <row r="97" spans="2:14" s="65" customFormat="1" x14ac:dyDescent="0.2">
      <c r="B97" s="168" t="s">
        <v>549</v>
      </c>
      <c r="C97" s="168"/>
      <c r="D97" s="67"/>
      <c r="I97" s="34"/>
      <c r="J97"/>
      <c r="K97" s="34"/>
      <c r="L97" s="34"/>
      <c r="M97" s="34"/>
      <c r="N97" s="71"/>
    </row>
    <row r="98" spans="2:14" s="65" customFormat="1" x14ac:dyDescent="0.2">
      <c r="B98" s="168"/>
      <c r="C98" s="168"/>
      <c r="D98" s="68"/>
      <c r="I98"/>
      <c r="J98"/>
      <c r="K98" s="34"/>
      <c r="L98" s="34"/>
      <c r="M98" s="34"/>
      <c r="N98" s="71"/>
    </row>
    <row r="99" spans="2:14" s="65" customFormat="1" x14ac:dyDescent="0.2">
      <c r="B99" s="168" t="s">
        <v>550</v>
      </c>
      <c r="C99" s="168"/>
      <c r="D99" s="140">
        <v>6.3026968580961515</v>
      </c>
      <c r="I99"/>
      <c r="J99"/>
      <c r="K99" s="34"/>
      <c r="L99" s="34"/>
      <c r="M99" s="34"/>
      <c r="N99" s="71"/>
    </row>
    <row r="100" spans="2:14" s="65" customFormat="1" x14ac:dyDescent="0.2">
      <c r="B100" s="168"/>
      <c r="C100" s="168"/>
      <c r="D100" s="68"/>
      <c r="I100"/>
      <c r="J100"/>
      <c r="K100" s="34"/>
      <c r="L100" s="34"/>
      <c r="M100" s="34"/>
      <c r="N100" s="71"/>
    </row>
    <row r="101" spans="2:14" s="65" customFormat="1" x14ac:dyDescent="0.2">
      <c r="B101" s="168" t="s">
        <v>642</v>
      </c>
      <c r="C101" s="168"/>
      <c r="D101" s="153">
        <v>2</v>
      </c>
      <c r="I101"/>
      <c r="J101"/>
      <c r="K101" s="34"/>
      <c r="L101" s="34"/>
      <c r="M101" s="34"/>
      <c r="N101" s="71"/>
    </row>
    <row r="102" spans="2:14" s="65" customFormat="1" x14ac:dyDescent="0.2">
      <c r="B102" s="168" t="s">
        <v>643</v>
      </c>
      <c r="C102" s="168"/>
      <c r="D102" s="153">
        <v>2</v>
      </c>
      <c r="I102"/>
      <c r="J102"/>
      <c r="K102" s="34"/>
      <c r="L102" s="34"/>
      <c r="M102" s="34"/>
      <c r="N102" s="71"/>
    </row>
    <row r="103" spans="2:14" s="65" customFormat="1" x14ac:dyDescent="0.2">
      <c r="B103" s="168"/>
      <c r="C103" s="168"/>
      <c r="D103" s="68"/>
      <c r="I103"/>
      <c r="J103"/>
      <c r="K103" s="34"/>
      <c r="L103" s="34"/>
      <c r="M103" s="34"/>
      <c r="N103" s="71"/>
    </row>
    <row r="104" spans="2:14" s="65" customFormat="1" x14ac:dyDescent="0.2">
      <c r="B104" s="168" t="s">
        <v>553</v>
      </c>
      <c r="C104" s="168"/>
      <c r="D104" s="141" t="s">
        <v>645</v>
      </c>
      <c r="I104"/>
      <c r="J104"/>
      <c r="K104" s="34"/>
      <c r="L104" s="34"/>
      <c r="M104" s="34"/>
      <c r="N104" s="71"/>
    </row>
    <row r="105" spans="2:14" s="65" customFormat="1" x14ac:dyDescent="0.2">
      <c r="B105" s="169" t="s">
        <v>554</v>
      </c>
      <c r="C105" s="231"/>
      <c r="D105" s="170"/>
      <c r="I105"/>
      <c r="J105"/>
      <c r="K105" s="34"/>
      <c r="L105" s="34"/>
      <c r="M105" s="34"/>
      <c r="N105" s="71"/>
    </row>
    <row r="106" spans="2:14" x14ac:dyDescent="0.2">
      <c r="H106" s="154"/>
    </row>
    <row r="107" spans="2:14" x14ac:dyDescent="0.2">
      <c r="B107" s="72" t="s">
        <v>555</v>
      </c>
    </row>
    <row r="108" spans="2:14" ht="7.5" customHeight="1" x14ac:dyDescent="0.2"/>
    <row r="109" spans="2:14" ht="153.75" customHeight="1" x14ac:dyDescent="0.2"/>
    <row r="112" spans="2:14" x14ac:dyDescent="0.2">
      <c r="B112" s="73" t="s">
        <v>556</v>
      </c>
      <c r="C112" s="74"/>
      <c r="D112" s="73"/>
    </row>
    <row r="113" spans="2:10" x14ac:dyDescent="0.2">
      <c r="B113" s="73" t="s">
        <v>644</v>
      </c>
      <c r="D113" s="73"/>
    </row>
    <row r="114" spans="2:10" ht="165" customHeight="1" x14ac:dyDescent="0.2"/>
    <row r="116" spans="2:10" x14ac:dyDescent="0.2">
      <c r="J116" s="76"/>
    </row>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sheetData>
  <mergeCells count="25">
    <mergeCell ref="B102:C102"/>
    <mergeCell ref="B103:C103"/>
    <mergeCell ref="B104:C104"/>
    <mergeCell ref="B105:D105"/>
    <mergeCell ref="B95:D95"/>
    <mergeCell ref="B98:C98"/>
    <mergeCell ref="B99:C99"/>
    <mergeCell ref="B100:C100"/>
    <mergeCell ref="B101:C101"/>
    <mergeCell ref="B96:C96"/>
    <mergeCell ref="B97:C97"/>
    <mergeCell ref="B93:C93"/>
    <mergeCell ref="A1:H1"/>
    <mergeCell ref="A2:H2"/>
    <mergeCell ref="A3:H3"/>
    <mergeCell ref="B78:D78"/>
    <mergeCell ref="B79:C79"/>
    <mergeCell ref="B74:H74"/>
    <mergeCell ref="B75:H75"/>
    <mergeCell ref="B76:H76"/>
    <mergeCell ref="B91:C91"/>
    <mergeCell ref="B92:C92"/>
    <mergeCell ref="B80:C80"/>
    <mergeCell ref="B81:C81"/>
    <mergeCell ref="B89:C89"/>
  </mergeCells>
  <hyperlinks>
    <hyperlink ref="I1" location="Index!B2" display="Index" xr:uid="{DBADC9B3-C923-43FA-9EE6-0599AB4F8001}"/>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2025-03-16T09:02:45Z</dcterms:created>
  <dcterms:modified xsi:type="dcterms:W3CDTF">2025-03-19T09:16:51Z</dcterms:modified>
</cp:coreProperties>
</file>