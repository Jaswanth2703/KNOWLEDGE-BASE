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T:\MCR Report\2024-2025\05. Aug 2024\Fortnightly Portfolio Statement as on 15.08.2024 &amp; 31.08.2024\15.08.2024\"/>
    </mc:Choice>
  </mc:AlternateContent>
  <xr:revisionPtr revIDLastSave="0" documentId="13_ncr:1_{78C8ABB0-B286-4129-BE03-E9A8AEE6CCB3}" xr6:coauthVersionLast="47" xr6:coauthVersionMax="47" xr10:uidLastSave="{00000000-0000-0000-0000-000000000000}"/>
  <bookViews>
    <workbookView xWindow="-120" yWindow="-120" windowWidth="24240" windowHeight="13020" tabRatio="857" xr2:uid="{4E7EFA78-739B-4057-ACCF-04A85BB7A8E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externalReferences>
    <externalReference r:id="rId1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4" i="9" l="1"/>
  <c r="G26" i="9" s="1"/>
  <c r="G43" i="9" s="1"/>
  <c r="G94" i="9" s="1"/>
  <c r="F43" i="9"/>
  <c r="F26" i="9"/>
  <c r="F15" i="9"/>
  <c r="G115" i="8"/>
  <c r="F79" i="8"/>
  <c r="F80" i="8"/>
  <c r="F131" i="7"/>
  <c r="F130" i="7"/>
  <c r="F92" i="6"/>
  <c r="F93" i="6"/>
  <c r="F141" i="5"/>
  <c r="F142" i="5"/>
  <c r="F107" i="4"/>
  <c r="F106" i="4"/>
  <c r="F95" i="2"/>
  <c r="F94" i="2"/>
  <c r="H86" i="2" l="1"/>
  <c r="H85" i="9"/>
  <c r="H71" i="8"/>
  <c r="H122" i="7"/>
  <c r="H84" i="6"/>
  <c r="H133" i="5"/>
  <c r="H98" i="4"/>
  <c r="H86" i="3"/>
  <c r="H92" i="1"/>
  <c r="H73" i="10"/>
  <c r="H72" i="10"/>
  <c r="H71" i="10"/>
  <c r="H70" i="10"/>
  <c r="H69" i="10"/>
  <c r="H68" i="10"/>
  <c r="H67" i="10"/>
  <c r="H66" i="10"/>
  <c r="H65" i="10"/>
  <c r="H64" i="10"/>
  <c r="H63" i="10"/>
  <c r="H62" i="10"/>
  <c r="H61" i="10"/>
  <c r="H60" i="10"/>
  <c r="H59" i="10"/>
  <c r="H58" i="10"/>
  <c r="H57"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6" i="10"/>
  <c r="H5" i="10"/>
  <c r="H94" i="9"/>
  <c r="H93" i="9"/>
  <c r="H92" i="9"/>
  <c r="H91" i="9"/>
  <c r="H90" i="9"/>
  <c r="H89" i="9"/>
  <c r="H88" i="9"/>
  <c r="H87" i="9"/>
  <c r="H86" i="9"/>
  <c r="H81" i="9"/>
  <c r="H80" i="9"/>
  <c r="H79" i="9"/>
  <c r="H78" i="9"/>
  <c r="H77" i="9"/>
  <c r="H76" i="9"/>
  <c r="H75" i="9"/>
  <c r="H74"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25" i="9"/>
  <c r="H34" i="9"/>
  <c r="H33" i="9"/>
  <c r="H32" i="9"/>
  <c r="H31" i="9"/>
  <c r="H30" i="9"/>
  <c r="H29" i="9"/>
  <c r="H28" i="9"/>
  <c r="H27" i="9"/>
  <c r="H26" i="9"/>
  <c r="H24" i="9"/>
  <c r="H23" i="9"/>
  <c r="H22" i="9"/>
  <c r="H21" i="9"/>
  <c r="H20" i="9"/>
  <c r="H19" i="9"/>
  <c r="H18" i="9"/>
  <c r="H17" i="9"/>
  <c r="H16" i="9"/>
  <c r="H14" i="9"/>
  <c r="H13" i="9"/>
  <c r="H12" i="9"/>
  <c r="H11" i="9"/>
  <c r="H10" i="9"/>
  <c r="H9" i="9"/>
  <c r="H8" i="9"/>
  <c r="H7" i="9"/>
  <c r="H6" i="9"/>
  <c r="H5" i="9"/>
  <c r="H80" i="8"/>
  <c r="H79" i="8"/>
  <c r="H78" i="8"/>
  <c r="H77" i="8"/>
  <c r="H76" i="8"/>
  <c r="H75" i="8"/>
  <c r="H74" i="8"/>
  <c r="H73" i="8"/>
  <c r="H72" i="8"/>
  <c r="H67" i="8"/>
  <c r="H66" i="8"/>
  <c r="H65" i="8"/>
  <c r="H64" i="8"/>
  <c r="H63" i="8"/>
  <c r="H62" i="8"/>
  <c r="H61" i="8"/>
  <c r="H60"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131" i="7"/>
  <c r="H130" i="7"/>
  <c r="H129" i="7"/>
  <c r="H128" i="7"/>
  <c r="H127" i="7"/>
  <c r="H126" i="7"/>
  <c r="H125" i="7"/>
  <c r="H124" i="7"/>
  <c r="H123" i="7"/>
  <c r="H118" i="7"/>
  <c r="H117" i="7"/>
  <c r="H116" i="7"/>
  <c r="H115" i="7"/>
  <c r="H114" i="7"/>
  <c r="H113" i="7"/>
  <c r="H112" i="7"/>
  <c r="H111" i="7"/>
  <c r="H109" i="7"/>
  <c r="H108" i="7"/>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H5" i="7"/>
  <c r="H93" i="6"/>
  <c r="H92" i="6"/>
  <c r="H91" i="6"/>
  <c r="H90" i="6"/>
  <c r="H89" i="6"/>
  <c r="H88" i="6"/>
  <c r="H87" i="6"/>
  <c r="H86" i="6"/>
  <c r="H85" i="6"/>
  <c r="H80" i="6"/>
  <c r="H79" i="6"/>
  <c r="H78" i="6"/>
  <c r="H77" i="6"/>
  <c r="H76" i="6"/>
  <c r="H75" i="6"/>
  <c r="H74" i="6"/>
  <c r="H73" i="6"/>
  <c r="H71" i="6"/>
  <c r="H70" i="6"/>
  <c r="H69" i="6"/>
  <c r="H68" i="6"/>
  <c r="H67" i="6"/>
  <c r="H66" i="6"/>
  <c r="H65" i="6"/>
  <c r="H64" i="6"/>
  <c r="H63" i="6"/>
  <c r="H62" i="6"/>
  <c r="H61" i="6"/>
  <c r="H60" i="6"/>
  <c r="H59" i="6"/>
  <c r="H58" i="6"/>
  <c r="H57" i="6"/>
  <c r="H56" i="6"/>
  <c r="H55" i="6"/>
  <c r="H54" i="6"/>
  <c r="H53" i="6"/>
  <c r="H52" i="6"/>
  <c r="H51"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142" i="5"/>
  <c r="H141" i="5"/>
  <c r="H140" i="5"/>
  <c r="H139" i="5"/>
  <c r="H138" i="5"/>
  <c r="H137" i="5"/>
  <c r="H136" i="5"/>
  <c r="H135" i="5"/>
  <c r="H134" i="5"/>
  <c r="H129" i="5"/>
  <c r="H128" i="5"/>
  <c r="H127" i="5"/>
  <c r="H126" i="5"/>
  <c r="H125" i="5"/>
  <c r="H124" i="5"/>
  <c r="H123" i="5"/>
  <c r="H122"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107" i="4"/>
  <c r="H106" i="4"/>
  <c r="H105" i="4"/>
  <c r="H104" i="4"/>
  <c r="H103" i="4"/>
  <c r="H102" i="4"/>
  <c r="H101" i="4"/>
  <c r="H100" i="4"/>
  <c r="H99" i="4"/>
  <c r="H94" i="4"/>
  <c r="H93" i="4"/>
  <c r="H92" i="4"/>
  <c r="H91" i="4"/>
  <c r="H90" i="4"/>
  <c r="H89" i="4"/>
  <c r="H88" i="4"/>
  <c r="H87"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95" i="3"/>
  <c r="H94" i="3"/>
  <c r="H93" i="3"/>
  <c r="H92" i="3"/>
  <c r="H91" i="3"/>
  <c r="H90" i="3"/>
  <c r="H89" i="3"/>
  <c r="H88" i="3"/>
  <c r="H87" i="3"/>
  <c r="H82" i="3"/>
  <c r="H81" i="3"/>
  <c r="H80" i="3"/>
  <c r="H79" i="3"/>
  <c r="H78" i="3"/>
  <c r="H77" i="3"/>
  <c r="H76" i="3"/>
  <c r="H75"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95" i="2"/>
  <c r="H94" i="2"/>
  <c r="H93" i="2"/>
  <c r="H92" i="2"/>
  <c r="H91" i="2"/>
  <c r="H90" i="2"/>
  <c r="H89" i="2"/>
  <c r="H88" i="2"/>
  <c r="H87" i="2"/>
  <c r="H82" i="2"/>
  <c r="H81" i="2"/>
  <c r="H80" i="2"/>
  <c r="H79" i="2"/>
  <c r="H78" i="2"/>
  <c r="H77" i="2"/>
  <c r="H76" i="2"/>
  <c r="H75"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101" i="1"/>
  <c r="H100" i="1"/>
  <c r="H99" i="1"/>
  <c r="H98" i="1"/>
  <c r="H97" i="1"/>
  <c r="H96" i="1"/>
  <c r="H95" i="1"/>
  <c r="H94" i="1"/>
  <c r="H93" i="1"/>
  <c r="H88" i="1"/>
  <c r="H87" i="1"/>
  <c r="H86" i="1"/>
  <c r="H85" i="1"/>
  <c r="H84" i="1"/>
  <c r="H83" i="1"/>
  <c r="H82" i="1"/>
  <c r="H81"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50" i="6"/>
</calcChain>
</file>

<file path=xl/sharedStrings.xml><?xml version="1.0" encoding="utf-8"?>
<sst xmlns="http://schemas.openxmlformats.org/spreadsheetml/2006/main" count="2341" uniqueCount="608">
  <si>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</si>
  <si>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</si>
  <si>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</si>
  <si>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</si>
  <si>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</si>
  <si>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</si>
  <si>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</si>
  <si>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</si>
  <si>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</si>
  <si>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</si>
  <si>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</si>
  <si>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</si>
  <si>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</si>
  <si>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</si>
  <si>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</si>
  <si>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</si>
  <si>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</si>
  <si>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</si>
  <si>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</si>
  <si>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</si>
  <si>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</si>
  <si>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</si>
  <si>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</si>
  <si>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</si>
  <si>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</si>
  <si>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</si>
  <si>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INE557F08FS6</t>
  </si>
  <si>
    <t>National Housing Bank  - 7.4% - 16/07/2026**</t>
  </si>
  <si>
    <t>INE115A07QJ2</t>
  </si>
  <si>
    <t>LIC Housing Finance Ltd - 7.7% - 16/05/2028**</t>
  </si>
  <si>
    <t>INE261F08EJ7</t>
  </si>
  <si>
    <t>National Bank for Agriculture &amp; Rural Development - 7.64% - 06/12/2029</t>
  </si>
  <si>
    <t>ICRA AAA</t>
  </si>
  <si>
    <t>INE261F08EH1</t>
  </si>
  <si>
    <t>National Bank for Agriculture &amp; Rural Development - 7.62% - 10/05/2029**</t>
  </si>
  <si>
    <t>INE040A08930</t>
  </si>
  <si>
    <t>HDFC Bank Ltd (Prev HDFC Ltd) - 7.65% - 25/05/2033**</t>
  </si>
  <si>
    <t>INE020B08EK4</t>
  </si>
  <si>
    <t>REC LTD - 7.46% - 30/06/2028**</t>
  </si>
  <si>
    <t>INE020B08EL2</t>
  </si>
  <si>
    <t>REC LTD - 7.44% - 30/04/2026**</t>
  </si>
  <si>
    <t>INE053F08304</t>
  </si>
  <si>
    <t>Indian Railway Finance Corporation Ltd - 7.23% - 15/10/2026**</t>
  </si>
  <si>
    <t>INE557F08FR8</t>
  </si>
  <si>
    <t>National Housing Bank  - 7.22% - 23/07/2026**</t>
  </si>
  <si>
    <t>INE134E08LP1</t>
  </si>
  <si>
    <t>Power Finance Corporation Ltd - 7.13% - 15/07/2026</t>
  </si>
  <si>
    <t>INE134E08MX3</t>
  </si>
  <si>
    <t>Power Finance Corporation Ltd - 7.6% - 13/04/2029**</t>
  </si>
  <si>
    <t>INE242A08544</t>
  </si>
  <si>
    <t>Indian Oil Corporation Ltd - 7.44% - 25/11/2027**</t>
  </si>
  <si>
    <t>INE296A07SV1</t>
  </si>
  <si>
    <t>Bajaj Finance Ltd - 7.82% - 31/01/2034**</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</si>
  <si>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</si>
  <si>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</si>
  <si>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</si>
  <si>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</si>
  <si>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</si>
  <si>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</si>
  <si>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</si>
  <si>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</si>
  <si>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</si>
  <si>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</si>
  <si>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</si>
  <si>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</si>
  <si>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INE134E08IO0</t>
  </si>
  <si>
    <t>Power Finance Corporation Ltd - 7.23% - 05/01/2027**</t>
  </si>
  <si>
    <t>(b) Privately Placed / Unlisted</t>
  </si>
  <si>
    <t>(c) Govt Security</t>
  </si>
  <si>
    <t>IN0020230085</t>
  </si>
  <si>
    <t>7.18%  Government Securities - 14/08/2033</t>
  </si>
  <si>
    <t>Sovereign</t>
  </si>
  <si>
    <t>IN0020230135</t>
  </si>
  <si>
    <t>7.32% Government Securities-13/11/2030</t>
  </si>
  <si>
    <t>IN0020230051</t>
  </si>
  <si>
    <t>7.30% Government Securities - 19/06/2053</t>
  </si>
  <si>
    <t>IN0020230101</t>
  </si>
  <si>
    <t>7.37% Government Securities-23/10/2028</t>
  </si>
  <si>
    <t>IN0020240019</t>
  </si>
  <si>
    <t>7.10% Central Government Securities 08/04/2034</t>
  </si>
  <si>
    <t>IN0020240035</t>
  </si>
  <si>
    <t>7.34% Central Government Securities 22/04/2064</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</si>
  <si>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</si>
  <si>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</si>
  <si>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</si>
  <si>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</si>
  <si>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</si>
  <si>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</si>
  <si>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</si>
  <si>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</si>
  <si>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</si>
  <si>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</si>
  <si>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</si>
  <si>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</si>
  <si>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</si>
  <si>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</si>
  <si>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</si>
  <si>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</si>
  <si>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</si>
  <si>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</si>
  <si>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</si>
  <si>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</si>
  <si>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</si>
  <si>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</si>
  <si>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</si>
  <si>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</si>
  <si>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</si>
  <si>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31/07/2024</t>
  </si>
  <si>
    <t>15/08/2024</t>
  </si>
  <si>
    <t>Direct Plan - Growth</t>
  </si>
  <si>
    <t>Regular Plan - Growth</t>
  </si>
  <si>
    <t>e) Total outstanding exposure in derivative instruments at the end of the period</t>
  </si>
  <si>
    <t>f) Total investments in foreign securities /ADR'S/GDR'S at the end of the period</t>
  </si>
  <si>
    <t>Sundaram Banking &amp; PSU Fund</t>
  </si>
  <si>
    <t>INE020B08EA5</t>
  </si>
  <si>
    <t>REC LTD - 7.55% - 31/03/2028**</t>
  </si>
  <si>
    <t>INE514E08FV4</t>
  </si>
  <si>
    <t>Export Import Bank of India - 5.85% - 12/09/2025**</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</si>
  <si>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</si>
  <si>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</si>
  <si>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</si>
  <si>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</si>
  <si>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</si>
  <si>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</si>
  <si>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</si>
  <si>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</si>
  <si>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</si>
  <si>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</si>
  <si>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INE053F08338</t>
  </si>
  <si>
    <t>Indian Railway Finance Corporation Ltd - 7.68% - 24/11/2026</t>
  </si>
  <si>
    <t>INE0KUG08035</t>
  </si>
  <si>
    <t>National Bank for Financing Infrastructure and Development - 7.43% - 04/07/2034**</t>
  </si>
  <si>
    <t>INE916DA7SL3</t>
  </si>
  <si>
    <t>Kotak Mahindra Prime Ltd - 8.09% - 09/11/2026**</t>
  </si>
  <si>
    <t>INE556F08KE8</t>
  </si>
  <si>
    <t>Small Industries Development Bank of India - 7.47% - 25/11/2025**</t>
  </si>
  <si>
    <t>IN0020240027</t>
  </si>
  <si>
    <t>7.23% Central Government Securities 15/04/2039</t>
  </si>
  <si>
    <t>Direct Plan - Bonus</t>
  </si>
  <si>
    <t>Regular Plan - Bonus</t>
  </si>
  <si>
    <t>Sundaram Money Market Fund</t>
  </si>
  <si>
    <t>INE160A16OM8</t>
  </si>
  <si>
    <t>Punjab National Bank - 25/02/2025**</t>
  </si>
  <si>
    <t>CRISIL A1+</t>
  </si>
  <si>
    <t>INE028A16EX5</t>
  </si>
  <si>
    <t>Bank of Baroda - 20/02/2025**</t>
  </si>
  <si>
    <t>IND A1+</t>
  </si>
  <si>
    <t>INE476A16YB0</t>
  </si>
  <si>
    <t>Canara Bank - 20/03/2025**</t>
  </si>
  <si>
    <t>INE562A16MZ1</t>
  </si>
  <si>
    <t>Indian Bank - 23/05/2025**</t>
  </si>
  <si>
    <t>INE237A164X3</t>
  </si>
  <si>
    <t>Kotak Mahindra Bank Ltd - 13/12/2024**</t>
  </si>
  <si>
    <t>INE261F16793</t>
  </si>
  <si>
    <t>National Bank for Agriculture &amp; Rural Development - 12/02/2025</t>
  </si>
  <si>
    <t>INE040A16EN1</t>
  </si>
  <si>
    <t>HDFC Bank Ltd - 20/02/2025</t>
  </si>
  <si>
    <t>INE01GA16228</t>
  </si>
  <si>
    <t>DBS BANK LTD - 07/03/2025**</t>
  </si>
  <si>
    <t>INE090AD6170</t>
  </si>
  <si>
    <t>ICICI Bank Ltd - 25/07/2025</t>
  </si>
  <si>
    <t>ICRA A1+</t>
  </si>
  <si>
    <t>INE092T16WB9</t>
  </si>
  <si>
    <t>IDFC First Bank Ltd - 21/02/2025**</t>
  </si>
  <si>
    <t>INE095A16V79</t>
  </si>
  <si>
    <t>IndusInd Bank Ltd - 24/02/2025</t>
  </si>
  <si>
    <t>INE238AD6850</t>
  </si>
  <si>
    <t>Axis Bank Ltd - 25/11/2024**</t>
  </si>
  <si>
    <t>INE090AD6113</t>
  </si>
  <si>
    <t>ICICI Bank Ltd - 31/01/2025**</t>
  </si>
  <si>
    <t>INE171A16LP4</t>
  </si>
  <si>
    <t>The Federal Bank Ltd - 04/02/2025**</t>
  </si>
  <si>
    <t>INE692A16GZ8</t>
  </si>
  <si>
    <t>Union Bank of India - 27/02/2025**</t>
  </si>
  <si>
    <t>INE040A16FA5</t>
  </si>
  <si>
    <t>HDFC Bank Ltd - 24/06/2025**</t>
  </si>
  <si>
    <t>INE790I14FB1</t>
  </si>
  <si>
    <t>HSBC InvestDirect Financial Services India Limited - 13/11/2024**</t>
  </si>
  <si>
    <t>INE144H14GZ0</t>
  </si>
  <si>
    <t>Deutsche Investments India Private Ltd - 09/12/2024**</t>
  </si>
  <si>
    <t>INE763G14TE7</t>
  </si>
  <si>
    <t>ICICI Securities Ltd - 21/02/2025**</t>
  </si>
  <si>
    <t>INE115A14EX5</t>
  </si>
  <si>
    <t>LIC Housing Finance Ltd - 21/03/2025**</t>
  </si>
  <si>
    <t>INE556F14KH9</t>
  </si>
  <si>
    <t>Small Industries Development Bank of India - 28/05/2025**</t>
  </si>
  <si>
    <t>IN002024Z073</t>
  </si>
  <si>
    <t>364 Days - T Bill - 15/05/2025</t>
  </si>
  <si>
    <t>Sundaram Low Duration Fund</t>
  </si>
  <si>
    <t>INE134E08KT5</t>
  </si>
  <si>
    <t>Power Finance Corporation Ltd - 7.17% - 22/05/2025</t>
  </si>
  <si>
    <t>INE557F08FV0</t>
  </si>
  <si>
    <t>National Housing Bank  - 7.78% - 26/04/2027**</t>
  </si>
  <si>
    <t>CARE AAA</t>
  </si>
  <si>
    <t>INE403D08181</t>
  </si>
  <si>
    <t>Bharti Telecom Ltd - 8.9% - 04/12/2025**</t>
  </si>
  <si>
    <t>CRISIL AA+</t>
  </si>
  <si>
    <t>INE721A07SB0</t>
  </si>
  <si>
    <t>Shriram Finance Ltd - 9.2% - 22/05/2026**</t>
  </si>
  <si>
    <t>INE115A07OY6</t>
  </si>
  <si>
    <t>LIC Housing Finance Ltd - 5.776% - 11/09/2025**</t>
  </si>
  <si>
    <t>INE261F08DP6</t>
  </si>
  <si>
    <t>National Bank for Agriculture &amp; Rural Development - 7.35% - 08/07/2025**</t>
  </si>
  <si>
    <t>INE414G07HI7</t>
  </si>
  <si>
    <t>Muthoot Finance Ltd - 8.3% - 06/01/2026**</t>
  </si>
  <si>
    <t>INE115A07PQ9</t>
  </si>
  <si>
    <t>LIC Housing Finance Ltd - 5.9943% - 12/03/2025**</t>
  </si>
  <si>
    <t>INE523H07CB9</t>
  </si>
  <si>
    <t>JM Financial Products Ltd - 8.92% - 16/11/2026**</t>
  </si>
  <si>
    <t>CRISIL AA</t>
  </si>
  <si>
    <t>INE115A07PU1</t>
  </si>
  <si>
    <t>LIC Housing Finance Ltd - 6.25% - 20/06/2025**</t>
  </si>
  <si>
    <t>INE233A08121</t>
  </si>
  <si>
    <t>Godrej Industries Ltd - 8.36% - 28/08/2026**</t>
  </si>
  <si>
    <t>INE020B08FF1</t>
  </si>
  <si>
    <t>REC LTD - 7.56% - 31/08/2027**</t>
  </si>
  <si>
    <t>INE721A07RU2</t>
  </si>
  <si>
    <t>Shriram Finance Ltd - 9.25% - 19/12/2025</t>
  </si>
  <si>
    <t>INE121A07QT9</t>
  </si>
  <si>
    <t>Cholamandalam Investment and Finance Co Ltd - 8.45% - 21/11/2025**</t>
  </si>
  <si>
    <t>ICRA AA+</t>
  </si>
  <si>
    <t>IN0020220037</t>
  </si>
  <si>
    <t>7.38% Central Government Securities 20/06/2027</t>
  </si>
  <si>
    <t>INE556F16AM5</t>
  </si>
  <si>
    <t>Small Industries Development Bank of India - 11/12/2024**</t>
  </si>
  <si>
    <t>INE238AD6579</t>
  </si>
  <si>
    <t>Axis Bank Ltd - 29/11/2024</t>
  </si>
  <si>
    <t>INE160A16OF2</t>
  </si>
  <si>
    <t>Punjab National Bank - 05/12/2024**</t>
  </si>
  <si>
    <t>INE261F16785</t>
  </si>
  <si>
    <t>National Bank for Agriculture &amp; Rural Development - 07/02/2025**</t>
  </si>
  <si>
    <t>INE261F16819</t>
  </si>
  <si>
    <t>National Bank for Agriculture &amp; Rural Development - 26/02/2025</t>
  </si>
  <si>
    <t>INE556F16AO1</t>
  </si>
  <si>
    <t>Small Industries Development Bank of India - 10/01/2025**</t>
  </si>
  <si>
    <t>INE466L14DI2</t>
  </si>
  <si>
    <t>360 ONE WAM Ltd (Prev IIFL Wealth Management Ltd) - 14/03/2025**</t>
  </si>
  <si>
    <t>Sundaram Liquid Fund</t>
  </si>
  <si>
    <t>INE033L07HI5</t>
  </si>
  <si>
    <t>Tata Capital Housing Finance Ltd - 5.7% - 13/09/2024**</t>
  </si>
  <si>
    <t>INE160A16OW7</t>
  </si>
  <si>
    <t>Punjab National Bank - 02/09/2024**</t>
  </si>
  <si>
    <t>INE238AD6504</t>
  </si>
  <si>
    <t>Axis Bank Ltd - 30/08/2024**</t>
  </si>
  <si>
    <t>INE040A16EZ5</t>
  </si>
  <si>
    <t>HDFC Bank Ltd - 11/09/2024**</t>
  </si>
  <si>
    <t>INE476A16YM7</t>
  </si>
  <si>
    <t>Canara Bank - 13/09/2024**</t>
  </si>
  <si>
    <t>INE692A16HK8</t>
  </si>
  <si>
    <t>Union Bank of India - 13/09/2024**</t>
  </si>
  <si>
    <t>INE095A16T81</t>
  </si>
  <si>
    <t>IndusInd Bank Ltd - 19/09/2024**</t>
  </si>
  <si>
    <t>INE562A16NF1</t>
  </si>
  <si>
    <t>Indian Bank - 13/11/2024**</t>
  </si>
  <si>
    <t>INE476A16YK1</t>
  </si>
  <si>
    <t>Canara Bank - 09/09/2024**</t>
  </si>
  <si>
    <t>INE476A16YU0</t>
  </si>
  <si>
    <t>Canara Bank - 25/10/2024**</t>
  </si>
  <si>
    <t>INE028A16FQ6</t>
  </si>
  <si>
    <t>Bank of Baroda - 28/08/2024**</t>
  </si>
  <si>
    <t>INE692A16HQ5</t>
  </si>
  <si>
    <t>Union Bank of India - 25/09/2024</t>
  </si>
  <si>
    <t>INE040A16FG2</t>
  </si>
  <si>
    <t>HDFC Bank Ltd - 24/10/2024**</t>
  </si>
  <si>
    <t>INE160A16PL7</t>
  </si>
  <si>
    <t>Punjab National Bank - 25/10/2024**</t>
  </si>
  <si>
    <t>INE028A16GB6</t>
  </si>
  <si>
    <t>Bank of Baroda - 13/11/2024**</t>
  </si>
  <si>
    <t>INE562A16NA2</t>
  </si>
  <si>
    <t>Indian Bank - 03/09/2024**</t>
  </si>
  <si>
    <t>INE238AD6538</t>
  </si>
  <si>
    <t>Axis Bank Ltd - 18/09/2024**</t>
  </si>
  <si>
    <t>INE028A16FT0</t>
  </si>
  <si>
    <t>Bank of Baroda - 23/09/2024**</t>
  </si>
  <si>
    <t>INE160A16PD4</t>
  </si>
  <si>
    <t>Punjab National Bank - 26/09/2024**</t>
  </si>
  <si>
    <t>INE237A168U0</t>
  </si>
  <si>
    <t>Kotak Mahindra Bank Ltd - 27/09/2024</t>
  </si>
  <si>
    <t>INE028A16FI3</t>
  </si>
  <si>
    <t>Bank of Baroda - 21/10/2024</t>
  </si>
  <si>
    <t>INE160A16PN3</t>
  </si>
  <si>
    <t>Punjab National Bank - 04/11/2024**</t>
  </si>
  <si>
    <t>INE476A16YJ3</t>
  </si>
  <si>
    <t>Canara Bank - 06/09/2024**</t>
  </si>
  <si>
    <t>INE090AD6048</t>
  </si>
  <si>
    <t>ICICI Bank Ltd - 16/09/2024**</t>
  </si>
  <si>
    <t>INE261F14LR3</t>
  </si>
  <si>
    <t>National Bank for Agriculture &amp; Rural Development - 26/08/2024**</t>
  </si>
  <si>
    <t>INE514E14RR5</t>
  </si>
  <si>
    <t>Export Import Bank of India - 09/09/2024**</t>
  </si>
  <si>
    <t>INE929O14CD6</t>
  </si>
  <si>
    <t>Reliance Retail Ventures Ltd - 08/11/2024**</t>
  </si>
  <si>
    <t>INE572E14JE8</t>
  </si>
  <si>
    <t>PNB Housing Finance Ltd - 27/08/2024**</t>
  </si>
  <si>
    <t>INE763G14UP1</t>
  </si>
  <si>
    <t>ICICI Securities Ltd - 29/08/2024**</t>
  </si>
  <si>
    <t>INE556F14KI7</t>
  </si>
  <si>
    <t>Small Industries Development Bank of India - 03/09/2024</t>
  </si>
  <si>
    <t>INE556F14KK3</t>
  </si>
  <si>
    <t>Small Industries Development Bank of India - 11/09/2024**</t>
  </si>
  <si>
    <t>INE0DZE14065</t>
  </si>
  <si>
    <t>Kisetsu Saison Finance - 10/09/2024**</t>
  </si>
  <si>
    <t>INE721A14DU8</t>
  </si>
  <si>
    <t>Shriram Finance Ltd - 10/09/2024**</t>
  </si>
  <si>
    <t>INE891D14YQ7</t>
  </si>
  <si>
    <t>Redington Ltd - 12/09/2024**</t>
  </si>
  <si>
    <t>INE09OL14FK9</t>
  </si>
  <si>
    <t>Birla Group Holdings Pvt Ltd - 18/09/2024**</t>
  </si>
  <si>
    <t>INE498L14CE6</t>
  </si>
  <si>
    <t>L &amp; T Finance Ltd - 24/10/2024**</t>
  </si>
  <si>
    <t>INE071G14FO3</t>
  </si>
  <si>
    <t>ICICI Home Finance Company Ltd - 16/08/2024**</t>
  </si>
  <si>
    <t>INE824H14PG8</t>
  </si>
  <si>
    <t>Julius Baer Capital (India) Private Ltd - 23/08/2024**</t>
  </si>
  <si>
    <t>INE233A14N74</t>
  </si>
  <si>
    <t>Godrej Industries Ltd - 06/09/2024**</t>
  </si>
  <si>
    <t>INE572E14JF5</t>
  </si>
  <si>
    <t>PNB Housing Finance Ltd - 10/09/2024**</t>
  </si>
  <si>
    <t>INE261F14MA7</t>
  </si>
  <si>
    <t>National Bank for Agriculture &amp; Rural Development - 20/09/2024**</t>
  </si>
  <si>
    <t>INE261F14MB5</t>
  </si>
  <si>
    <t>National Bank for Agriculture &amp; Rural Development - 26/09/2024**</t>
  </si>
  <si>
    <t>INE824H14PR5</t>
  </si>
  <si>
    <t>Julius Baer Capital (India) Private Ltd - 30/09/2024**</t>
  </si>
  <si>
    <t>INE338I14HU5</t>
  </si>
  <si>
    <t>Motilal Oswal Financial Services Ltd - 17/10/2024**</t>
  </si>
  <si>
    <t>INE790I14ET6</t>
  </si>
  <si>
    <t>HSBC InvestDirect Financial Services India Limited - 27/08/2024**</t>
  </si>
  <si>
    <t>INE865C14LL1</t>
  </si>
  <si>
    <t>Aditya Birla Money Ltd - 29/08/2024**</t>
  </si>
  <si>
    <t>INE824H14PJ2</t>
  </si>
  <si>
    <t>Julius Baer Capital (India) Private Ltd - 29/08/2024**</t>
  </si>
  <si>
    <t>INE763G14UQ9</t>
  </si>
  <si>
    <t>ICICI Securities Ltd - 30/08/2024**</t>
  </si>
  <si>
    <t>INE144H14GX5</t>
  </si>
  <si>
    <t>Deutsche Investments India Private Ltd - 03/09/2024**</t>
  </si>
  <si>
    <t>INE850D14RI4</t>
  </si>
  <si>
    <t>Godrej Agrovet Ltd - 12/09/2024**</t>
  </si>
  <si>
    <t>INE891D14YR5</t>
  </si>
  <si>
    <t>Redington Ltd - 13/09/2024**</t>
  </si>
  <si>
    <t>INE027214647</t>
  </si>
  <si>
    <t>BOBCARD Ltd - 13/09/2024**</t>
  </si>
  <si>
    <t>INE417C14751</t>
  </si>
  <si>
    <t>Pilani Investment and Industries Corporation Ltd. - 13/09/2024**</t>
  </si>
  <si>
    <t>INE733E14BN4</t>
  </si>
  <si>
    <t>NTPC LTD - 20/09/2024</t>
  </si>
  <si>
    <t>INE557F14FJ3</t>
  </si>
  <si>
    <t>National Housing Bank  - 26/09/2024</t>
  </si>
  <si>
    <t>INE870H14TD0</t>
  </si>
  <si>
    <t>Network18 Media &amp; Investments Ltd - 30/10/2024**</t>
  </si>
  <si>
    <t>INE700G14LD8</t>
  </si>
  <si>
    <t>HDFC Securities Ltd - 12/11/2024**</t>
  </si>
  <si>
    <t>INE763G14VJ2</t>
  </si>
  <si>
    <t>ICICI Securities Ltd - 13/11/2024**</t>
  </si>
  <si>
    <t>INE850D14RF0</t>
  </si>
  <si>
    <t>Godrej Agrovet Ltd - 30/08/2024**</t>
  </si>
  <si>
    <t>INE261F14LX1</t>
  </si>
  <si>
    <t>National Bank for Agriculture &amp; Rural Development - 11/09/2024**</t>
  </si>
  <si>
    <t>INE212K14734</t>
  </si>
  <si>
    <t>SBI Cap securities Ltd - 19/09/2024**</t>
  </si>
  <si>
    <t>IN002023Y540</t>
  </si>
  <si>
    <t>182 Days - T Bill - 26/09/2024</t>
  </si>
  <si>
    <t>IN002023Z265</t>
  </si>
  <si>
    <t>364 Days - T Bill - 12/09/2024</t>
  </si>
  <si>
    <t>IN002024X177</t>
  </si>
  <si>
    <t>91 Days - T Bill - 18/10/2024</t>
  </si>
  <si>
    <t>IN002024Y050</t>
  </si>
  <si>
    <t>182 Days - T Bill - 01/11/2024</t>
  </si>
  <si>
    <t>IN002024X201</t>
  </si>
  <si>
    <t>91 Days - T Bill - 07/11/2024</t>
  </si>
  <si>
    <t>IN002024X219</t>
  </si>
  <si>
    <t>91 Days - T Bill - 15/11/2024</t>
  </si>
  <si>
    <t>Reverse Repo</t>
  </si>
  <si>
    <t>Individual &amp; HUF</t>
  </si>
  <si>
    <t>Others</t>
  </si>
  <si>
    <t>-</t>
  </si>
  <si>
    <t>Sundaram Short Duration Fund</t>
  </si>
  <si>
    <t>INE020B08EG2</t>
  </si>
  <si>
    <t>REC LTD - 7.69% - 31/03/2033**</t>
  </si>
  <si>
    <t>INE134E08MJ2</t>
  </si>
  <si>
    <t>Power Finance Corporation Ltd - 7.77% - 15/04/2028**</t>
  </si>
  <si>
    <t>INE020B08EI8</t>
  </si>
  <si>
    <t>REC LTD - 7.51% - 31/07/2026**</t>
  </si>
  <si>
    <t>INE115A07PI6</t>
  </si>
  <si>
    <t>LIC Housing Finance Ltd - 6.17% - 03/09/2026**</t>
  </si>
  <si>
    <t>IN3120230484</t>
  </si>
  <si>
    <t>7.44% Tamil Nadu State Government Securities -20/03/2034</t>
  </si>
  <si>
    <t>IN0020210160</t>
  </si>
  <si>
    <t>Sundaram Ultra Short Duration Fund</t>
  </si>
  <si>
    <t>INE848E07AJ4</t>
  </si>
  <si>
    <t>NHPC Ltd - 7.35% - 15/09/2024**</t>
  </si>
  <si>
    <t>INE121A07RB5</t>
  </si>
  <si>
    <t>Cholamandalam Investment and Finance Co Ltd - 8.25% - 04/03/2025**</t>
  </si>
  <si>
    <t>INE756I07EI4</t>
  </si>
  <si>
    <t>HDB Financial Services Ltd - 7.5% - 23/09/2025**</t>
  </si>
  <si>
    <t>INE115A07OX8</t>
  </si>
  <si>
    <t>LIC Housing Finance Ltd - 5.5315% - 20/12/2024**</t>
  </si>
  <si>
    <t>INE261F08DK7</t>
  </si>
  <si>
    <t>National Bank for Agriculture &amp; Rural Development - 5.7% - 31/07/2025</t>
  </si>
  <si>
    <t>INE028A16FO1</t>
  </si>
  <si>
    <t>Bank of Baroda - 25/11/2024**</t>
  </si>
  <si>
    <t>INE090AD6105</t>
  </si>
  <si>
    <t>ICICI Bank Ltd - 06/12/2024**</t>
  </si>
  <si>
    <t>INE476A16YR6</t>
  </si>
  <si>
    <t>Canara Bank - 16/12/2024</t>
  </si>
  <si>
    <t>INE160A16OH8</t>
  </si>
  <si>
    <t>Punjab National Bank - 31/01/2025</t>
  </si>
  <si>
    <t>INE171A16LK5</t>
  </si>
  <si>
    <t>The Federal Bank Ltd - 29/11/2024**</t>
  </si>
  <si>
    <t>INE040A16EH3</t>
  </si>
  <si>
    <t>HDFC Bank Ltd - 06/12/2024</t>
  </si>
  <si>
    <t>INE556F16AN3</t>
  </si>
  <si>
    <t>Small Industries Development Bank of India - 18/12/2024**</t>
  </si>
  <si>
    <t>INE040A16EK7</t>
  </si>
  <si>
    <t>HDFC Bank Ltd - 09/01/2025**</t>
  </si>
  <si>
    <t>INE238AD6629</t>
  </si>
  <si>
    <t>Axis Bank Ltd - 10/01/2025**</t>
  </si>
  <si>
    <t>INE261F16777</t>
  </si>
  <si>
    <t>National Bank for Agriculture &amp; Rural Development - 23/01/2025**</t>
  </si>
  <si>
    <t>INE237A160W3</t>
  </si>
  <si>
    <t>Kotak Mahindra Bank Ltd - 05/02/2025**</t>
  </si>
  <si>
    <t>INE160A16OL0</t>
  </si>
  <si>
    <t>Punjab National Bank - 07/02/2025**</t>
  </si>
  <si>
    <t>INE476A16XV0</t>
  </si>
  <si>
    <t>Canara Bank - 11/03/2025**</t>
  </si>
  <si>
    <t>INE115A14EQ9</t>
  </si>
  <si>
    <t>LIC Housing Finance Ltd - 17/12/2024**</t>
  </si>
  <si>
    <t>INE790I14EV2</t>
  </si>
  <si>
    <t>HSBC InvestDirect Financial Services India Limited - 24/12/2024**</t>
  </si>
  <si>
    <t>INE556F14KG1</t>
  </si>
  <si>
    <t>Small Industries Development Bank of India - 28/02/2025**</t>
  </si>
  <si>
    <t>INE414G14TC1</t>
  </si>
  <si>
    <t>Muthoot Finance Ltd - 25/02/2025**</t>
  </si>
  <si>
    <t>INE477S14CC9</t>
  </si>
  <si>
    <t>Tata Motors Finance Ltd - 11/03/2025**</t>
  </si>
  <si>
    <t>INE115A14EV9</t>
  </si>
  <si>
    <t>LIC Housing Finance Ltd - 04/03/2025**</t>
  </si>
  <si>
    <t>INE417C14710</t>
  </si>
  <si>
    <t>Pilani Investment and Industries Corporation Ltd. - 21/03/2025**</t>
  </si>
  <si>
    <t>IN002023Y508</t>
  </si>
  <si>
    <t>182 Days -T Bill- 29/08/2024</t>
  </si>
  <si>
    <t>IN002023Z299</t>
  </si>
  <si>
    <t>364 Days- T Bill -03/10/2024</t>
  </si>
  <si>
    <t>Sundaram Medium Duration Fund</t>
  </si>
  <si>
    <t>IN0020210186</t>
  </si>
  <si>
    <t>5.74% Central Government Securities 15/11/2026</t>
  </si>
  <si>
    <t>Institutional Plan - Growth</t>
  </si>
  <si>
    <t>Sundaram Conservative Hybrid Fund</t>
  </si>
  <si>
    <t>INE040A01034</t>
  </si>
  <si>
    <t>HDFC Bank Ltd</t>
  </si>
  <si>
    <t>Banks</t>
  </si>
  <si>
    <t>INE002A01018</t>
  </si>
  <si>
    <t>Reliance Industries Ltd</t>
  </si>
  <si>
    <t>Petroleum Products</t>
  </si>
  <si>
    <t>INE018A01030</t>
  </si>
  <si>
    <t>Larsen &amp; Toubro Ltd</t>
  </si>
  <si>
    <t>Construction</t>
  </si>
  <si>
    <t>INE090A01021</t>
  </si>
  <si>
    <t>ICICI Bank Ltd</t>
  </si>
  <si>
    <t>INE397D01024</t>
  </si>
  <si>
    <t>Bharti Airtel Ltd</t>
  </si>
  <si>
    <t>Telecom - Services</t>
  </si>
  <si>
    <t>INE009A01021</t>
  </si>
  <si>
    <t>Infosys Ltd</t>
  </si>
  <si>
    <t>It - Software</t>
  </si>
  <si>
    <t>INE860A01027</t>
  </si>
  <si>
    <t>HCL Technologies Ltd</t>
  </si>
  <si>
    <t>INE200M01021</t>
  </si>
  <si>
    <t>Varun Beverages Ltd</t>
  </si>
  <si>
    <t>Beverages</t>
  </si>
  <si>
    <t>INE062A01020</t>
  </si>
  <si>
    <t>State Bank of India</t>
  </si>
  <si>
    <t>INE238A01034</t>
  </si>
  <si>
    <t>Axis Bank Ltd</t>
  </si>
  <si>
    <t>INE044A01036</t>
  </si>
  <si>
    <t>Sun Pharmaceutical Industries Ltd</t>
  </si>
  <si>
    <t>Pharmaceuticals &amp; Biotechnology</t>
  </si>
  <si>
    <t>INE540L01014</t>
  </si>
  <si>
    <t>Alkem Laboratories Ltd</t>
  </si>
  <si>
    <t>INE481G01011</t>
  </si>
  <si>
    <t>Ultratech Cement Ltd</t>
  </si>
  <si>
    <t>Cement &amp; Cement Products</t>
  </si>
  <si>
    <t>INE029A01011</t>
  </si>
  <si>
    <t>Bharat Petroleum Corporation Ltd</t>
  </si>
  <si>
    <t>INE854D01024</t>
  </si>
  <si>
    <t>United Spirits Ltd</t>
  </si>
  <si>
    <t>INE047A01021</t>
  </si>
  <si>
    <t>Grasim Industries Ltd</t>
  </si>
  <si>
    <t>INE438A01022</t>
  </si>
  <si>
    <t>Apollo Tyres Ltd</t>
  </si>
  <si>
    <t>Auto Components</t>
  </si>
  <si>
    <t>IN9397D01014</t>
  </si>
  <si>
    <t>Sundaram Overnight Fund</t>
  </si>
  <si>
    <t>IN002023Y516</t>
  </si>
  <si>
    <t>182 Days- T Bill-05/09/2024</t>
  </si>
  <si>
    <t>IN002023Y490</t>
  </si>
  <si>
    <t>182 Days -T Bill- 22/08/2024</t>
  </si>
  <si>
    <t>IN002023Y524</t>
  </si>
  <si>
    <t>182 Days - T Bill - 12/09/2024</t>
  </si>
  <si>
    <t>Unclaimed Plan - Redemption Less than three years</t>
  </si>
  <si>
    <t>Unclaimed Plan - Redemption greater than three years</t>
  </si>
  <si>
    <t>Fortnightly Portfolio Statement as on 15 August 2024</t>
  </si>
  <si>
    <t>YTM (%)*</t>
  </si>
  <si>
    <t>S. No.</t>
  </si>
  <si>
    <t>ACRONYM</t>
  </si>
  <si>
    <t>SCHEME NAME</t>
  </si>
  <si>
    <t>SFRLTP</t>
  </si>
  <si>
    <t>SFRSTP</t>
  </si>
  <si>
    <t>SMMF</t>
  </si>
  <si>
    <t>SPLDF</t>
  </si>
  <si>
    <t>SPMON</t>
  </si>
  <si>
    <t>SPSDF</t>
  </si>
  <si>
    <t>SPUSDF</t>
  </si>
  <si>
    <t>SUNBDS</t>
  </si>
  <si>
    <t>SUNMIA</t>
  </si>
  <si>
    <t>SUNONF</t>
  </si>
  <si>
    <t>YTM (%)</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</si>
  <si>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</si>
  <si>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</si>
  <si>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</si>
  <si>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</si>
  <si>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</si>
  <si>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</si>
  <si>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</si>
  <si>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</si>
  <si>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</si>
  <si>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</si>
  <si>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</si>
  <si>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</si>
  <si>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</si>
  <si>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</si>
  <si>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</si>
  <si>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</si>
  <si>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</si>
  <si>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</si>
  <si>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At the beginning</t>
  </si>
  <si>
    <t>Refer below point i)</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</si>
  <si>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</si>
  <si>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</si>
  <si>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</si>
  <si>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</si>
  <si>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</si>
  <si>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</si>
  <si>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</si>
  <si>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</si>
  <si>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</si>
  <si>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Refer below point h)</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</si>
  <si>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</si>
  <si>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</si>
  <si>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</si>
  <si>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</si>
  <si>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</si>
  <si>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</si>
  <si>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</si>
  <si>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</si>
  <si>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</si>
  <si>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</si>
  <si>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</si>
  <si>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</si>
  <si>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INE0GGX23010</t>
  </si>
  <si>
    <t>Power Grid Infrastructure Investment Trust(InvIT)</t>
  </si>
  <si>
    <t>Power</t>
  </si>
  <si>
    <t>Macaulay Duration (Days)</t>
  </si>
  <si>
    <t>Residual Maturity (Days)</t>
  </si>
  <si>
    <t>15-Aug-2024</t>
  </si>
  <si>
    <t>i) Exposure to securities classified as below investment grade or default as on 15-Aug-2024:-</t>
  </si>
  <si>
    <t>h) Exposure to securities classified as below investment grade or default as on 15-Aug-2024:-</t>
  </si>
  <si>
    <t>% to AUM as on  15-Aug-2024</t>
  </si>
  <si>
    <t>++ Aggregate Investments by Other schemes of Sundaram Mutual Fund - Rs.5572.80 Lakhs</t>
  </si>
  <si>
    <t>7.72% Central Government Securities_Floating Rate Bond - 04/10/2028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</si>
  <si>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</si>
  <si>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</si>
  <si>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</si>
  <si>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</si>
  <si>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</si>
  <si>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</si>
  <si>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</si>
  <si>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</si>
  <si>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</si>
  <si>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</si>
  <si>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</si>
  <si>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Direct Plan - Fortnightly IDCW</t>
  </si>
  <si>
    <t>Regular Plan - Daily IDCW</t>
  </si>
  <si>
    <t>Regular Plan - Weekly IDCW</t>
  </si>
  <si>
    <t>Regular Plan - Fortnightly IDCW</t>
  </si>
  <si>
    <t>Unclaimed Plan - IDCW greater than three years</t>
  </si>
  <si>
    <t>Unclaimed Plan - IDCW less than three years</t>
  </si>
  <si>
    <t>Index</t>
  </si>
  <si>
    <t>Scheme Riskometer</t>
  </si>
  <si>
    <t>Tier I Benchmark Riskometer - NIFTY Corporate Bond Index A-II</t>
  </si>
  <si>
    <t>Tier II Benchmark Riskometer - NIFTY AAA Short Duration Bond Index</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</si>
  <si>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</si>
  <si>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</si>
  <si>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</si>
  <si>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</si>
  <si>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</si>
  <si>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Tier I Benchmark Riskometer - NIFTY Liquid Index A-I</t>
  </si>
  <si>
    <t>Tier II Benchmark Riskometer - NIFTY Liquid Index</t>
  </si>
  <si>
    <t>Tier I Benchmark Riskometer - Nifty Short Duration Debt Index A-II</t>
  </si>
  <si>
    <t>Tier II Benchmark Riskometer - NIFTY Short Duration Debt Index</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</si>
  <si>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</si>
  <si>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</si>
  <si>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</si>
  <si>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</si>
  <si>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</si>
  <si>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Benchmark Riskometer - CRISIL Hybrid 85 Plus 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</si>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</sst>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
    <numFmt numFmtId="173" formatCode="[$-1014009]#,##0.000000;\-#,##0.000000"/>
  </numFmts>
  <fonts count="30" x14ac:knownFonts="1">
    <font>
      <sz val="10"/>
      <name val="Arial"/>
      <charset val="1"/>
    </font>
    <font>
      <sz val="11"/>
      <color theme="1"/>
      <name val="Aptos Narrow"/>
      <family val="2"/>
      <scheme val="minor"/>
    </font>
    <font>
      <sz val="10"/>
      <name val="Arial"/>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indexed="8"/>
      <name val="Calibri"/>
      <family val="2"/>
    </font>
    <font>
      <u/>
      <sz val="10"/>
      <color theme="10"/>
      <name val="Arial"/>
      <family val="2"/>
    </font>
    <font>
      <u/>
      <sz val="11"/>
      <color rgb="FF002060"/>
      <name val="Aptos Narrow"/>
      <family val="2"/>
      <scheme val="minor"/>
    </font>
    <font>
      <b/>
      <sz val="1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sz val="10"/>
      <color indexed="8"/>
      <name val="Calibri"/>
      <family val="2"/>
    </font>
    <font>
      <b/>
      <sz val="10"/>
      <name val="Arial"/>
      <family val="2"/>
    </font>
    <font>
      <b/>
      <sz val="10"/>
      <color indexed="8"/>
      <name val="Calibri"/>
      <family val="2"/>
    </font>
    <font>
      <b/>
      <i/>
      <sz val="10"/>
      <color indexed="8"/>
      <name val="Calibri"/>
      <family val="2"/>
    </font>
    <font>
      <sz val="10"/>
      <name val="Calibri"/>
      <family val="2"/>
    </font>
    <font>
      <b/>
      <sz val="10"/>
      <name val="Calibri"/>
      <family val="2"/>
    </font>
    <font>
      <b/>
      <sz val="10"/>
      <color theme="1"/>
      <name val="Calibri"/>
      <family val="2"/>
    </font>
    <font>
      <sz val="10"/>
      <color theme="1"/>
      <name val="Calibri"/>
      <family val="2"/>
    </font>
    <font>
      <sz val="11"/>
      <name val="Aptos Narrow"/>
      <family val="2"/>
      <scheme val="minor"/>
    </font>
    <font>
      <sz val="11"/>
      <color indexed="8"/>
      <name val="Calibri"/>
      <family val="2"/>
    </font>
  </fonts>
  <fills count="2">
    <fill>
      <patternFill patternType="none"/>
    </fill>
    <fill>
      <patternFill patternType="gray125"/>
    </fill>
  </fills>
  <borders count="1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alignment wrapText="1"/>
    </xf>
    <xf numFmtId="43" fontId="2" fillId="0" borderId="0" applyFont="0" applyFill="0" applyBorder="0" applyAlignment="0" applyProtection="0">
      <alignment wrapText="1"/>
    </xf>
    <xf numFmtId="0" fontId="9" fillId="0" borderId="0" applyNumberFormat="0" applyFill="0" applyBorder="0" applyAlignment="0" applyProtection="0">
      <alignment wrapText="1"/>
    </xf>
    <xf numFmtId="0" fontId="7" fillId="0" borderId="0">
      <alignment wrapText="1"/>
    </xf>
    <xf numFmtId="0" fontId="1" fillId="0" borderId="0"/>
    <xf numFmtId="0" fontId="1" fillId="0" borderId="0"/>
    <xf numFmtId="164" fontId="7" fillId="0" borderId="0" applyFont="0" applyFill="0" applyBorder="0" applyAlignment="0" applyProtection="0"/>
    <xf numFmtId="9" fontId="7" fillId="0" borderId="0" applyFont="0" applyFill="0" applyBorder="0" applyAlignment="0" applyProtection="0"/>
    <xf numFmtId="0" fontId="1" fillId="0" borderId="0"/>
    <xf numFmtId="9" fontId="29" fillId="0" borderId="0" applyFont="0" applyFill="0" applyBorder="0" applyAlignment="0" applyProtection="0"/>
  </cellStyleXfs>
  <cellXfs count="138">
    <xf numFmtId="0" fontId="0" fillId="0" borderId="0" xfId="0">
      <alignment wrapText="1"/>
    </xf>
    <xf numFmtId="0" fontId="10" fillId="0" borderId="0" xfId="2" applyFont="1" applyFill="1" applyBorder="1" applyAlignment="1">
      <alignment horizontal="center" vertical="center" wrapText="1"/>
    </xf>
    <xf numFmtId="0" fontId="15" fillId="0" borderId="7" xfId="4" applyFont="1" applyBorder="1" applyAlignment="1">
      <alignment horizontal="center"/>
    </xf>
    <xf numFmtId="0" fontId="16" fillId="0" borderId="7" xfId="4" applyFont="1" applyBorder="1" applyAlignment="1">
      <alignment horizontal="center" vertical="center"/>
    </xf>
    <xf numFmtId="0" fontId="17" fillId="0" borderId="0" xfId="5" applyFont="1"/>
    <xf numFmtId="0" fontId="17" fillId="0" borderId="7" xfId="4" applyFont="1" applyBorder="1" applyAlignment="1">
      <alignment horizontal="center"/>
    </xf>
    <xf numFmtId="0" fontId="18" fillId="0" borderId="7" xfId="2" applyFont="1" applyBorder="1" applyAlignment="1">
      <alignment vertical="center"/>
    </xf>
    <xf numFmtId="0" fontId="19" fillId="0" borderId="7" xfId="4" applyFont="1" applyBorder="1" applyAlignment="1">
      <alignment vertical="top"/>
    </xf>
    <xf numFmtId="164" fontId="24" fillId="0" borderId="7" xfId="6" applyFont="1" applyFill="1" applyBorder="1" applyAlignment="1">
      <alignment vertical="center"/>
    </xf>
    <xf numFmtId="164" fontId="27" fillId="0" borderId="7" xfId="6" applyFont="1" applyFill="1" applyBorder="1" applyAlignment="1">
      <alignment vertical="center"/>
    </xf>
    <xf numFmtId="10" fontId="27" fillId="0" borderId="7" xfId="7" applyNumberFormat="1" applyFont="1" applyFill="1" applyBorder="1" applyAlignment="1">
      <alignment vertical="center"/>
    </xf>
    <xf numFmtId="0" fontId="0" fillId="0" borderId="0" xfId="0" applyAlignment="1">
      <alignment horizontal="center" vertical="center" wrapText="1"/>
    </xf>
    <xf numFmtId="0" fontId="11" fillId="0" borderId="0" xfId="3" applyFont="1" applyAlignment="1">
      <alignment horizontal="center" vertical="center" wrapText="1"/>
    </xf>
    <xf numFmtId="0" fontId="8" fillId="0" borderId="4" xfId="0" applyFont="1" applyBorder="1" applyAlignment="1">
      <alignment horizontal="center" vertical="center" wrapText="1" readingOrder="1"/>
    </xf>
    <xf numFmtId="43" fontId="8" fillId="0" borderId="7" xfId="1" applyFont="1" applyFill="1" applyBorder="1" applyAlignment="1">
      <alignment horizontal="center" vertical="center" wrapText="1" readingOrder="1"/>
    </xf>
    <xf numFmtId="0" fontId="3" fillId="0" borderId="4" xfId="0" applyFont="1" applyBorder="1" applyAlignment="1">
      <alignment horizontal="right" vertical="top" wrapText="1" readingOrder="1"/>
    </xf>
    <xf numFmtId="0" fontId="4" fillId="0" borderId="4" xfId="0" applyFont="1" applyBorder="1" applyAlignment="1">
      <alignment horizontal="left" vertical="center" wrapText="1" readingOrder="1"/>
    </xf>
    <xf numFmtId="166" fontId="20" fillId="0" borderId="7" xfId="0" applyNumberFormat="1" applyFont="1" applyBorder="1" applyAlignment="1">
      <alignment horizontal="right" vertical="center" wrapText="1" readingOrder="1"/>
    </xf>
    <xf numFmtId="0" fontId="4" fillId="0" borderId="4" xfId="0"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0" fontId="13" fillId="0" borderId="0" xfId="0" applyFont="1" applyAlignment="1">
      <alignment horizontal="center" vertical="center"/>
    </xf>
    <xf numFmtId="0" fontId="21" fillId="0" borderId="0" xfId="0" applyFont="1" applyAlignment="1">
      <alignment horizontal="center" vertical="center" wrapText="1"/>
    </xf>
    <xf numFmtId="166" fontId="4" fillId="0" borderId="4" xfId="0" applyNumberFormat="1" applyFont="1" applyBorder="1" applyAlignment="1">
      <alignment horizontal="right" vertical="center" wrapText="1" readingOrder="1"/>
    </xf>
    <xf numFmtId="167" fontId="3" fillId="0" borderId="4"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168" fontId="3" fillId="0" borderId="4" xfId="0" applyNumberFormat="1"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0" fontId="20" fillId="0" borderId="4" xfId="0" applyFont="1" applyBorder="1" applyAlignment="1">
      <alignment horizontal="right" vertical="top" wrapText="1" readingOrder="1"/>
    </xf>
    <xf numFmtId="0" fontId="22" fillId="0" borderId="4" xfId="0" applyFont="1" applyBorder="1" applyAlignment="1">
      <alignment horizontal="left" vertical="center" wrapText="1" readingOrder="1"/>
    </xf>
    <xf numFmtId="0" fontId="23" fillId="0" borderId="4" xfId="0" applyFont="1" applyBorder="1" applyAlignment="1">
      <alignment horizontal="right" vertical="center" wrapText="1" readingOrder="1"/>
    </xf>
    <xf numFmtId="166" fontId="20" fillId="0" borderId="4" xfId="0" applyNumberFormat="1" applyFont="1" applyBorder="1" applyAlignment="1">
      <alignment horizontal="right" vertical="center" wrapText="1" readingOrder="1"/>
    </xf>
    <xf numFmtId="0" fontId="7" fillId="0" borderId="0" xfId="3">
      <alignment wrapText="1"/>
    </xf>
    <xf numFmtId="0" fontId="24" fillId="0" borderId="0" xfId="0" applyFont="1">
      <alignment wrapText="1"/>
    </xf>
    <xf numFmtId="169" fontId="3" fillId="0" borderId="4" xfId="0" applyNumberFormat="1" applyFont="1" applyBorder="1" applyAlignment="1">
      <alignment horizontal="right" vertical="center" wrapText="1" readingOrder="1"/>
    </xf>
    <xf numFmtId="170" fontId="4"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5" fillId="0" borderId="5" xfId="0" applyFont="1" applyBorder="1" applyAlignment="1">
      <alignment horizontal="right" vertical="center" wrapText="1" readingOrder="1"/>
    </xf>
    <xf numFmtId="0" fontId="23" fillId="0" borderId="0" xfId="0" applyFont="1" applyAlignment="1">
      <alignment horizontal="left" vertical="center" wrapText="1" readingOrder="1"/>
    </xf>
    <xf numFmtId="0" fontId="20" fillId="0" borderId="0" xfId="0" applyFont="1" applyAlignment="1">
      <alignment horizontal="left" vertical="center" wrapText="1" readingOrder="1"/>
    </xf>
    <xf numFmtId="0" fontId="23" fillId="0" borderId="0" xfId="0" applyFont="1" applyAlignment="1">
      <alignment horizontal="right" vertical="center" wrapText="1" readingOrder="1"/>
    </xf>
    <xf numFmtId="0" fontId="5" fillId="0" borderId="0" xfId="0" applyFont="1" applyAlignment="1">
      <alignment horizontal="left" vertical="center" wrapText="1" readingOrder="1"/>
    </xf>
    <xf numFmtId="0" fontId="5" fillId="0" borderId="6" xfId="0" applyFont="1" applyBorder="1" applyAlignment="1">
      <alignment horizontal="right" vertical="center" wrapText="1" readingOrder="1"/>
    </xf>
    <xf numFmtId="0" fontId="5" fillId="0" borderId="0" xfId="0" applyFont="1" applyAlignment="1">
      <alignment horizontal="right" vertical="center" wrapText="1" readingOrder="1"/>
    </xf>
    <xf numFmtId="0" fontId="20" fillId="0" borderId="0" xfId="0" applyFont="1" applyAlignment="1">
      <alignment horizontal="right" vertical="top" wrapText="1" readingOrder="1"/>
    </xf>
    <xf numFmtId="0" fontId="22" fillId="0" borderId="4" xfId="0" applyFont="1" applyBorder="1" applyAlignment="1">
      <alignment horizontal="right" vertical="top" wrapText="1" readingOrder="1"/>
    </xf>
    <xf numFmtId="43" fontId="20" fillId="0" borderId="0" xfId="1" applyFont="1" applyFill="1" applyBorder="1" applyAlignment="1">
      <alignment horizontal="right" vertical="top" wrapText="1" readingOrder="1"/>
    </xf>
    <xf numFmtId="0" fontId="3" fillId="0" borderId="0" xfId="0" applyFont="1" applyAlignment="1">
      <alignment horizontal="right" vertical="top" wrapText="1" readingOrder="1"/>
    </xf>
    <xf numFmtId="0" fontId="4" fillId="0" borderId="4" xfId="0" applyFont="1" applyBorder="1" applyAlignment="1">
      <alignment horizontal="left" vertical="top" wrapText="1" readingOrder="1"/>
    </xf>
    <xf numFmtId="0" fontId="4" fillId="0" borderId="4" xfId="0" applyFont="1" applyBorder="1" applyAlignment="1">
      <alignment horizontal="right" vertical="top" wrapText="1" readingOrder="1"/>
    </xf>
    <xf numFmtId="171" fontId="3"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0" fillId="0" borderId="0" xfId="0" applyAlignment="1">
      <alignment horizontal="center" vertical="top" readingOrder="1"/>
    </xf>
    <xf numFmtId="0" fontId="20" fillId="0" borderId="6" xfId="0" applyFont="1" applyBorder="1" applyAlignment="1">
      <alignment horizontal="right" vertical="top" wrapText="1" readingOrder="1"/>
    </xf>
    <xf numFmtId="0" fontId="24" fillId="0" borderId="0" xfId="0" applyFont="1" applyAlignment="1">
      <alignment vertical="center" wrapText="1"/>
    </xf>
    <xf numFmtId="0" fontId="25" fillId="0" borderId="7" xfId="0" applyFont="1" applyBorder="1" applyAlignment="1">
      <alignment horizontal="center" vertical="center" wrapText="1"/>
    </xf>
    <xf numFmtId="0" fontId="24" fillId="0" borderId="7" xfId="0" applyFont="1" applyBorder="1" applyAlignment="1">
      <alignment vertical="center" wrapText="1"/>
    </xf>
    <xf numFmtId="0" fontId="24" fillId="0" borderId="7" xfId="0" applyFont="1" applyBorder="1" applyAlignment="1">
      <alignment horizontal="justify" vertical="center" wrapText="1"/>
    </xf>
    <xf numFmtId="172" fontId="22" fillId="0" borderId="4" xfId="0" applyNumberFormat="1" applyFont="1" applyBorder="1" applyAlignment="1">
      <alignment horizontal="left" vertical="center" wrapText="1" readingOrder="1"/>
    </xf>
    <xf numFmtId="14" fontId="24" fillId="0" borderId="7" xfId="0" quotePrefix="1" applyNumberFormat="1" applyFont="1" applyBorder="1" applyAlignment="1">
      <alignment horizontal="justify" vertical="center" wrapText="1"/>
    </xf>
    <xf numFmtId="0" fontId="20" fillId="0" borderId="0" xfId="0" applyFont="1" applyAlignment="1">
      <alignment horizontal="right" vertical="center" wrapText="1" readingOrder="1"/>
    </xf>
    <xf numFmtId="0" fontId="0" fillId="0" borderId="0" xfId="0" applyAlignment="1">
      <alignment vertical="center" wrapText="1"/>
    </xf>
    <xf numFmtId="0" fontId="25" fillId="0" borderId="0" xfId="0" applyFont="1" applyAlignment="1">
      <alignment vertical="center" readingOrder="1"/>
    </xf>
    <xf numFmtId="0" fontId="25" fillId="0" borderId="0" xfId="0" applyFont="1" applyAlignment="1">
      <alignment horizontal="left" vertical="center" readingOrder="1"/>
    </xf>
    <xf numFmtId="0" fontId="26" fillId="0" borderId="0" xfId="0" applyFont="1" applyAlignment="1">
      <alignment vertical="center" wrapText="1"/>
    </xf>
    <xf numFmtId="0" fontId="26" fillId="0" borderId="7" xfId="0" applyFont="1" applyBorder="1" applyAlignment="1">
      <alignment horizontal="center" vertical="center" wrapText="1"/>
    </xf>
    <xf numFmtId="0" fontId="24" fillId="0" borderId="0" xfId="0" applyFont="1" applyAlignment="1">
      <alignment vertical="center"/>
    </xf>
    <xf numFmtId="0" fontId="24" fillId="0" borderId="7" xfId="0" applyFont="1" applyBorder="1" applyAlignment="1">
      <alignment vertical="center"/>
    </xf>
    <xf numFmtId="4" fontId="24" fillId="0" borderId="7" xfId="0" applyNumberFormat="1" applyFont="1" applyBorder="1" applyAlignment="1">
      <alignment vertical="center"/>
    </xf>
    <xf numFmtId="0" fontId="24" fillId="0" borderId="0" xfId="0" applyFont="1" applyAlignment="1">
      <alignment horizontal="center" vertical="center" readingOrder="1"/>
    </xf>
    <xf numFmtId="0" fontId="1" fillId="0" borderId="0" xfId="4" applyAlignment="1">
      <alignment wrapText="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73" fontId="3" fillId="0" borderId="4" xfId="0" applyNumberFormat="1" applyFont="1" applyBorder="1" applyAlignment="1">
      <alignment horizontal="right" vertical="center" wrapText="1" readingOrder="1"/>
    </xf>
    <xf numFmtId="0" fontId="3" fillId="0" borderId="5" xfId="0" applyFont="1" applyBorder="1" applyAlignment="1">
      <alignment horizontal="left" vertical="center" wrapText="1" readingOrder="1"/>
    </xf>
    <xf numFmtId="0" fontId="4" fillId="0" borderId="5" xfId="0" applyFont="1" applyBorder="1" applyAlignment="1">
      <alignment horizontal="left" vertical="center" wrapText="1" readingOrder="1"/>
    </xf>
    <xf numFmtId="2" fontId="24" fillId="0" borderId="7" xfId="0" applyNumberFormat="1" applyFont="1" applyBorder="1" applyAlignment="1">
      <alignment vertical="center"/>
    </xf>
    <xf numFmtId="0" fontId="23" fillId="0" borderId="0" xfId="4" applyFont="1" applyAlignment="1">
      <alignment horizontal="left" vertical="center" wrapText="1" readingOrder="1"/>
    </xf>
    <xf numFmtId="0" fontId="17" fillId="0" borderId="0" xfId="4" applyFont="1" applyAlignment="1">
      <alignment vertical="center" wrapText="1"/>
    </xf>
    <xf numFmtId="0" fontId="26" fillId="0" borderId="7" xfId="0" applyFont="1" applyBorder="1" applyAlignment="1">
      <alignment vertical="center" wrapText="1"/>
    </xf>
    <xf numFmtId="0" fontId="1" fillId="0" borderId="0" xfId="8" applyAlignment="1">
      <alignment wrapText="1"/>
    </xf>
    <xf numFmtId="0" fontId="12" fillId="0" borderId="0" xfId="8" applyFont="1" applyAlignment="1">
      <alignment horizontal="center" vertical="center"/>
    </xf>
    <xf numFmtId="0" fontId="26" fillId="0" borderId="7" xfId="8" applyFont="1" applyBorder="1" applyAlignment="1">
      <alignment horizontal="center" vertical="center"/>
    </xf>
    <xf numFmtId="0" fontId="26" fillId="0" borderId="0" xfId="8" applyFont="1" applyAlignment="1">
      <alignment horizontal="center" vertical="center"/>
    </xf>
    <xf numFmtId="4" fontId="14" fillId="0" borderId="0" xfId="8" applyNumberFormat="1" applyFont="1"/>
    <xf numFmtId="0" fontId="27" fillId="0" borderId="7" xfId="8" applyFont="1" applyBorder="1" applyAlignment="1">
      <alignment vertical="center"/>
    </xf>
    <xf numFmtId="0" fontId="27" fillId="0" borderId="7" xfId="8" applyFont="1" applyBorder="1" applyAlignment="1">
      <alignment vertical="center" wrapText="1"/>
    </xf>
    <xf numFmtId="0" fontId="27" fillId="0" borderId="0" xfId="8" applyFont="1" applyAlignment="1">
      <alignment horizontal="center" vertical="center"/>
    </xf>
    <xf numFmtId="0" fontId="28" fillId="0" borderId="0" xfId="8" applyFont="1" applyAlignment="1">
      <alignment wrapText="1"/>
    </xf>
    <xf numFmtId="0" fontId="26" fillId="0" borderId="7" xfId="8" applyFont="1" applyBorder="1" applyAlignment="1">
      <alignment horizontal="center" vertical="center" wrapText="1"/>
    </xf>
    <xf numFmtId="0" fontId="11" fillId="0" borderId="0" xfId="8" applyFont="1" applyAlignment="1">
      <alignment horizontal="center" vertical="center"/>
    </xf>
    <xf numFmtId="0" fontId="27" fillId="0" borderId="7" xfId="8" applyFont="1" applyBorder="1" applyAlignment="1">
      <alignment horizontal="left" vertical="center"/>
    </xf>
    <xf numFmtId="4" fontId="27" fillId="0" borderId="7" xfId="8" applyNumberFormat="1" applyFont="1" applyBorder="1" applyAlignment="1">
      <alignment horizontal="right" vertical="center"/>
    </xf>
    <xf numFmtId="10" fontId="27" fillId="0" borderId="7" xfId="9" applyNumberFormat="1" applyFont="1" applyFill="1" applyBorder="1" applyAlignment="1">
      <alignment vertical="center"/>
    </xf>
    <xf numFmtId="164" fontId="28" fillId="0" borderId="0" xfId="6" applyFont="1" applyFill="1" applyAlignment="1">
      <alignment vertical="center"/>
    </xf>
    <xf numFmtId="164" fontId="27" fillId="0" borderId="0" xfId="6" applyFont="1" applyFill="1" applyAlignment="1">
      <alignment horizontal="center" vertical="center"/>
    </xf>
    <xf numFmtId="167" fontId="20" fillId="0" borderId="4" xfId="0" applyNumberFormat="1" applyFont="1" applyBorder="1" applyAlignment="1">
      <alignment horizontal="right" vertical="center" wrapText="1" readingOrder="1"/>
    </xf>
    <xf numFmtId="0" fontId="20" fillId="0" borderId="4" xfId="0" applyFont="1" applyBorder="1" applyAlignment="1">
      <alignment horizontal="left" vertical="center" wrapText="1" readingOrder="1"/>
    </xf>
    <xf numFmtId="168" fontId="20" fillId="0" borderId="4" xfId="0" applyNumberFormat="1" applyFont="1" applyBorder="1" applyAlignment="1">
      <alignment horizontal="right" vertical="center" wrapText="1" readingOrder="1"/>
    </xf>
    <xf numFmtId="165" fontId="20" fillId="0" borderId="4" xfId="0" applyNumberFormat="1" applyFont="1" applyBorder="1" applyAlignment="1">
      <alignment horizontal="right" vertical="center" wrapText="1" readingOrder="1"/>
    </xf>
    <xf numFmtId="164" fontId="0" fillId="0" borderId="0" xfId="6" applyFont="1" applyFill="1" applyAlignment="1">
      <alignment wrapText="1"/>
    </xf>
    <xf numFmtId="0" fontId="20" fillId="0" borderId="1" xfId="0" applyFont="1" applyBorder="1" applyAlignment="1">
      <alignment horizontal="left" vertical="center" wrapText="1" readingOrder="1"/>
    </xf>
    <xf numFmtId="0" fontId="20" fillId="0" borderId="3" xfId="0" applyFont="1" applyBorder="1" applyAlignment="1">
      <alignment horizontal="left" vertical="center" wrapText="1" readingOrder="1"/>
    </xf>
    <xf numFmtId="0" fontId="8" fillId="0" borderId="7"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3" fillId="0" borderId="1"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20" fillId="0" borderId="0" xfId="0" applyFont="1" applyAlignment="1">
      <alignment horizontal="left" vertical="center" wrapText="1" readingOrder="1"/>
    </xf>
    <xf numFmtId="0" fontId="20" fillId="0" borderId="7" xfId="0" applyFont="1" applyBorder="1" applyAlignment="1">
      <alignment horizontal="left" vertical="center" wrapText="1" readingOrder="1"/>
    </xf>
    <xf numFmtId="0" fontId="20" fillId="0" borderId="8" xfId="0" applyFont="1" applyBorder="1" applyAlignment="1">
      <alignment horizontal="left" vertical="center" wrapText="1" readingOrder="1"/>
    </xf>
    <xf numFmtId="0" fontId="20" fillId="0" borderId="10" xfId="0" applyFont="1" applyBorder="1" applyAlignment="1">
      <alignment horizontal="left" vertical="center" wrapText="1" readingOrder="1"/>
    </xf>
    <xf numFmtId="0" fontId="20" fillId="0" borderId="9" xfId="0" applyFont="1" applyBorder="1" applyAlignment="1">
      <alignment horizontal="left" vertical="center" wrapText="1" readingOrder="1"/>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0" xfId="0" applyFont="1" applyBorder="1" applyAlignment="1">
      <alignment horizontal="center" vertical="center"/>
    </xf>
    <xf numFmtId="0" fontId="22" fillId="0" borderId="7" xfId="0" applyFont="1" applyBorder="1" applyAlignment="1">
      <alignment horizontal="center" vertical="center" wrapText="1" readingOrder="1"/>
    </xf>
    <xf numFmtId="0" fontId="20" fillId="0" borderId="0" xfId="0" quotePrefix="1" applyFont="1" applyAlignment="1">
      <alignment horizontal="left" vertical="center" wrapText="1" readingOrder="1"/>
    </xf>
    <xf numFmtId="0" fontId="20" fillId="0" borderId="0" xfId="0" applyFont="1" applyAlignment="1">
      <alignment horizontal="justify" vertical="top" wrapText="1" readingOrder="1"/>
    </xf>
    <xf numFmtId="0" fontId="25" fillId="0" borderId="8" xfId="0" applyFont="1" applyBorder="1" applyAlignment="1">
      <alignment horizontal="left" vertical="center" readingOrder="1"/>
    </xf>
    <xf numFmtId="0" fontId="25" fillId="0" borderId="9" xfId="0" applyFont="1" applyBorder="1" applyAlignment="1">
      <alignment horizontal="left" vertical="center" readingOrder="1"/>
    </xf>
    <xf numFmtId="0" fontId="25" fillId="0" borderId="10" xfId="0" applyFont="1" applyBorder="1" applyAlignment="1">
      <alignment horizontal="left" vertical="center" readingOrder="1"/>
    </xf>
    <xf numFmtId="0" fontId="26" fillId="0" borderId="8" xfId="8" applyFont="1" applyBorder="1" applyAlignment="1">
      <alignment horizontal="center" vertical="center" wrapText="1"/>
    </xf>
    <xf numFmtId="0" fontId="26" fillId="0" borderId="10" xfId="8" applyFont="1" applyBorder="1" applyAlignment="1">
      <alignment horizontal="center" vertical="center" wrapText="1"/>
    </xf>
    <xf numFmtId="0" fontId="26" fillId="0" borderId="7" xfId="8" applyFont="1" applyBorder="1" applyAlignment="1">
      <alignment horizontal="center" vertical="center"/>
    </xf>
    <xf numFmtId="164" fontId="27" fillId="0" borderId="8" xfId="6" applyFont="1" applyFill="1" applyBorder="1" applyAlignment="1">
      <alignment horizontal="center" vertical="center"/>
    </xf>
    <xf numFmtId="164" fontId="27" fillId="0" borderId="10" xfId="6" applyFont="1" applyFill="1" applyBorder="1" applyAlignment="1">
      <alignment horizontal="center" vertical="center"/>
    </xf>
    <xf numFmtId="0" fontId="26" fillId="0" borderId="8" xfId="8" applyFont="1" applyBorder="1" applyAlignment="1">
      <alignment horizontal="center" vertical="center"/>
    </xf>
    <xf numFmtId="0" fontId="26" fillId="0" borderId="9" xfId="8" applyFont="1" applyBorder="1" applyAlignment="1">
      <alignment horizontal="center" vertical="center"/>
    </xf>
    <xf numFmtId="0" fontId="26" fillId="0" borderId="10" xfId="8" applyFont="1" applyBorder="1" applyAlignment="1">
      <alignment horizontal="center" vertical="center"/>
    </xf>
    <xf numFmtId="0" fontId="27" fillId="0" borderId="8" xfId="8" applyFont="1" applyBorder="1" applyAlignment="1">
      <alignment horizontal="left" vertical="center" wrapText="1"/>
    </xf>
    <xf numFmtId="0" fontId="27" fillId="0" borderId="9" xfId="8" applyFont="1" applyBorder="1" applyAlignment="1">
      <alignment horizontal="left" vertical="center" wrapText="1"/>
    </xf>
    <xf numFmtId="0" fontId="27" fillId="0" borderId="10" xfId="8" applyFont="1" applyBorder="1" applyAlignment="1">
      <alignment horizontal="left" vertical="center" wrapText="1"/>
    </xf>
  </cellXfs>
  <cellStyles count="10">
    <cellStyle name="Comma" xfId="1" builtinId="3"/>
    <cellStyle name="Comma 2" xfId="6" xr:uid="{B788928A-4F87-495F-B680-066CC0E3AACF}"/>
    <cellStyle name="Hyperlink 2" xfId="2" xr:uid="{68F57449-D6E3-4385-82C5-01047B553CCC}"/>
    <cellStyle name="Normal" xfId="0" builtinId="0"/>
    <cellStyle name="Normal 2 2 2" xfId="4" xr:uid="{39C01A95-C45A-46FD-8540-4B3F5680DE95}"/>
    <cellStyle name="Normal 2 2 3" xfId="8" xr:uid="{23DEA26B-9FA5-4235-B16A-1303660BB5D2}"/>
    <cellStyle name="Normal 2 3" xfId="5" xr:uid="{EC3AAB97-8A26-41C0-B7EE-904AB4B30DF9}"/>
    <cellStyle name="Normal 3" xfId="3" xr:uid="{89788F98-3183-483D-B5A0-12067CF38CD6}"/>
    <cellStyle name="Percent 2" xfId="9" xr:uid="{4E088AB1-493F-4389-9D16-822E6F534335}"/>
    <cellStyle name="Percent 3" xfId="7" xr:uid="{D73F76AA-9CB8-4430-ADFD-86898DDE06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123825</xdr:rowOff>
    </xdr:to>
    <xdr:pic>
      <xdr:nvPicPr>
        <xdr:cNvPr id="2" name="Picture 1">
          <a:extLst>
            <a:ext uri="{FF2B5EF4-FFF2-40B4-BE49-F238E27FC236}">
              <a16:creationId xmlns:a16="http://schemas.microsoft.com/office/drawing/2014/main" id="{B5B5B717-196A-4BE7-94DF-62ADA43DE239}"/>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7439025" y="3209924"/>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13</xdr:row>
      <xdr:rowOff>28575</xdr:rowOff>
    </xdr:to>
    <xdr:pic>
      <xdr:nvPicPr>
        <xdr:cNvPr id="3" name="Picture 2">
          <a:extLst>
            <a:ext uri="{FF2B5EF4-FFF2-40B4-BE49-F238E27FC236}">
              <a16:creationId xmlns:a16="http://schemas.microsoft.com/office/drawing/2014/main" id="{ABFBCE9C-3C72-4D5E-821C-EA453D63C4E9}"/>
            </a:ext>
          </a:extLst>
        </xdr:cNvPr>
        <xdr:cNvPicPr preferRelativeResize="0">
          <a:picLocks noChangeAspect="1"/>
        </xdr:cNvPicPr>
      </xdr:nvPicPr>
      <xdr:blipFill>
        <a:blip xmlns:r="http://schemas.openxmlformats.org/officeDocument/2006/relationships" r:embed="rId2"/>
        <a:stretch>
          <a:fillRect/>
        </a:stretch>
      </xdr:blipFill>
      <xdr:spPr>
        <a:xfrm>
          <a:off x="7423150" y="495300"/>
          <a:ext cx="3235325" cy="1971675"/>
        </a:xfrm>
        <a:prstGeom prst="rect">
          <a:avLst/>
        </a:prstGeom>
      </xdr:spPr>
    </xdr:pic>
    <xdr:clientData/>
  </xdr:twoCellAnchor>
  <xdr:twoCellAnchor editAs="oneCell">
    <xdr:from>
      <xdr:col>9</xdr:col>
      <xdr:colOff>123825</xdr:colOff>
      <xdr:row>28</xdr:row>
      <xdr:rowOff>28575</xdr:rowOff>
    </xdr:from>
    <xdr:to>
      <xdr:col>9</xdr:col>
      <xdr:colOff>3352800</xdr:colOff>
      <xdr:row>35</xdr:row>
      <xdr:rowOff>0</xdr:rowOff>
    </xdr:to>
    <xdr:pic>
      <xdr:nvPicPr>
        <xdr:cNvPr id="4" name="Picture 3">
          <a:extLst>
            <a:ext uri="{FF2B5EF4-FFF2-40B4-BE49-F238E27FC236}">
              <a16:creationId xmlns:a16="http://schemas.microsoft.com/office/drawing/2014/main" id="{4D2897A6-C92C-4C44-879D-F9789D1BA433}"/>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7467600" y="5438775"/>
          <a:ext cx="32289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76200</xdr:colOff>
      <xdr:row>29</xdr:row>
      <xdr:rowOff>219075</xdr:rowOff>
    </xdr:from>
    <xdr:to>
      <xdr:col>9</xdr:col>
      <xdr:colOff>3314700</xdr:colOff>
      <xdr:row>35</xdr:row>
      <xdr:rowOff>19050</xdr:rowOff>
    </xdr:to>
    <xdr:pic>
      <xdr:nvPicPr>
        <xdr:cNvPr id="2" name="Picture 1">
          <a:extLst>
            <a:ext uri="{FF2B5EF4-FFF2-40B4-BE49-F238E27FC236}">
              <a16:creationId xmlns:a16="http://schemas.microsoft.com/office/drawing/2014/main" id="{246E46E2-3999-428B-917A-9D0FC4407A40}"/>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53300" y="5791200"/>
          <a:ext cx="323850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101891</xdr:colOff>
      <xdr:row>15</xdr:row>
      <xdr:rowOff>85726</xdr:rowOff>
    </xdr:from>
    <xdr:to>
      <xdr:col>9</xdr:col>
      <xdr:colOff>3333750</xdr:colOff>
      <xdr:row>26</xdr:row>
      <xdr:rowOff>57150</xdr:rowOff>
    </xdr:to>
    <xdr:pic>
      <xdr:nvPicPr>
        <xdr:cNvPr id="3" name="Picture 2">
          <a:extLst>
            <a:ext uri="{FF2B5EF4-FFF2-40B4-BE49-F238E27FC236}">
              <a16:creationId xmlns:a16="http://schemas.microsoft.com/office/drawing/2014/main" id="{590EACAA-46F0-4CF1-8AE6-566ED66913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8991" y="3200401"/>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57150</xdr:rowOff>
    </xdr:to>
    <xdr:pic>
      <xdr:nvPicPr>
        <xdr:cNvPr id="4" name="Picture 3">
          <a:extLst>
            <a:ext uri="{FF2B5EF4-FFF2-40B4-BE49-F238E27FC236}">
              <a16:creationId xmlns:a16="http://schemas.microsoft.com/office/drawing/2014/main" id="{82BE2782-A695-4725-8F18-EE33AB68B39D}"/>
            </a:ext>
          </a:extLst>
        </xdr:cNvPr>
        <xdr:cNvPicPr>
          <a:picLocks noChangeAspect="1"/>
        </xdr:cNvPicPr>
      </xdr:nvPicPr>
      <xdr:blipFill>
        <a:blip xmlns:r="http://schemas.openxmlformats.org/officeDocument/2006/relationships" r:embed="rId3"/>
        <a:stretch>
          <a:fillRect/>
        </a:stretch>
      </xdr:blipFill>
      <xdr:spPr>
        <a:xfrm>
          <a:off x="7334250" y="476250"/>
          <a:ext cx="3276600"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39</xdr:row>
      <xdr:rowOff>38101</xdr:rowOff>
    </xdr:to>
    <xdr:pic>
      <xdr:nvPicPr>
        <xdr:cNvPr id="2" name="Picture 1">
          <a:extLst>
            <a:ext uri="{FF2B5EF4-FFF2-40B4-BE49-F238E27FC236}">
              <a16:creationId xmlns:a16="http://schemas.microsoft.com/office/drawing/2014/main" id="{0D71C5DF-0B8E-49BD-B5A5-62876B7083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52863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13</xdr:row>
      <xdr:rowOff>95249</xdr:rowOff>
    </xdr:to>
    <xdr:pic>
      <xdr:nvPicPr>
        <xdr:cNvPr id="3" name="Picture 2">
          <a:extLst>
            <a:ext uri="{FF2B5EF4-FFF2-40B4-BE49-F238E27FC236}">
              <a16:creationId xmlns:a16="http://schemas.microsoft.com/office/drawing/2014/main" id="{237AE1A8-F1F2-4AD4-A100-CD3EA4F25743}"/>
            </a:ext>
          </a:extLst>
        </xdr:cNvPr>
        <xdr:cNvPicPr preferRelativeResize="0">
          <a:picLocks noChangeAspect="1"/>
        </xdr:cNvPicPr>
      </xdr:nvPicPr>
      <xdr:blipFill>
        <a:blip xmlns:r="http://schemas.openxmlformats.org/officeDocument/2006/relationships" r:embed="rId2"/>
        <a:stretch>
          <a:fillRect/>
        </a:stretch>
      </xdr:blipFill>
      <xdr:spPr>
        <a:xfrm>
          <a:off x="7848599" y="48577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26</xdr:row>
      <xdr:rowOff>25399</xdr:rowOff>
    </xdr:to>
    <xdr:pic>
      <xdr:nvPicPr>
        <xdr:cNvPr id="4" name="Picture 2">
          <a:extLst>
            <a:ext uri="{FF2B5EF4-FFF2-40B4-BE49-F238E27FC236}">
              <a16:creationId xmlns:a16="http://schemas.microsoft.com/office/drawing/2014/main" id="{9DBE7299-52A0-483D-98F6-F0C6BEB3C0E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51775" y="2978150"/>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85725</xdr:colOff>
      <xdr:row>27</xdr:row>
      <xdr:rowOff>85726</xdr:rowOff>
    </xdr:from>
    <xdr:to>
      <xdr:col>9</xdr:col>
      <xdr:colOff>3324225</xdr:colOff>
      <xdr:row>33</xdr:row>
      <xdr:rowOff>266700</xdr:rowOff>
    </xdr:to>
    <xdr:pic>
      <xdr:nvPicPr>
        <xdr:cNvPr id="2" name="Picture 1">
          <a:extLst>
            <a:ext uri="{FF2B5EF4-FFF2-40B4-BE49-F238E27FC236}">
              <a16:creationId xmlns:a16="http://schemas.microsoft.com/office/drawing/2014/main" id="{FCE7F8DF-51EB-4729-9AE2-1E37CF6C0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05725" y="5143501"/>
          <a:ext cx="3238500"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14</xdr:row>
      <xdr:rowOff>66675</xdr:rowOff>
    </xdr:from>
    <xdr:to>
      <xdr:col>9</xdr:col>
      <xdr:colOff>3324225</xdr:colOff>
      <xdr:row>25</xdr:row>
      <xdr:rowOff>18538</xdr:rowOff>
    </xdr:to>
    <xdr:pic>
      <xdr:nvPicPr>
        <xdr:cNvPr id="3" name="Picture 2">
          <a:extLst>
            <a:ext uri="{FF2B5EF4-FFF2-40B4-BE49-F238E27FC236}">
              <a16:creationId xmlns:a16="http://schemas.microsoft.com/office/drawing/2014/main" id="{0B9E518F-A818-4DDE-8201-451AB385AF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1" y="2828925"/>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xdr:row>
      <xdr:rowOff>28576</xdr:rowOff>
    </xdr:from>
    <xdr:to>
      <xdr:col>9</xdr:col>
      <xdr:colOff>3333751</xdr:colOff>
      <xdr:row>12</xdr:row>
      <xdr:rowOff>152401</xdr:rowOff>
    </xdr:to>
    <xdr:pic>
      <xdr:nvPicPr>
        <xdr:cNvPr id="4" name="Picture 3">
          <a:extLst>
            <a:ext uri="{FF2B5EF4-FFF2-40B4-BE49-F238E27FC236}">
              <a16:creationId xmlns:a16="http://schemas.microsoft.com/office/drawing/2014/main" id="{402FB45F-826E-4200-9A0E-E04DE4DD4737}"/>
            </a:ext>
          </a:extLst>
        </xdr:cNvPr>
        <xdr:cNvPicPr>
          <a:picLocks noChangeAspect="1"/>
        </xdr:cNvPicPr>
      </xdr:nvPicPr>
      <xdr:blipFill>
        <a:blip xmlns:r="http://schemas.openxmlformats.org/officeDocument/2006/relationships" r:embed="rId3"/>
        <a:stretch>
          <a:fillRect/>
        </a:stretch>
      </xdr:blipFill>
      <xdr:spPr>
        <a:xfrm>
          <a:off x="7677151" y="409576"/>
          <a:ext cx="3276600"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19050</xdr:rowOff>
    </xdr:from>
    <xdr:to>
      <xdr:col>9</xdr:col>
      <xdr:colOff>3343275</xdr:colOff>
      <xdr:row>39</xdr:row>
      <xdr:rowOff>114300</xdr:rowOff>
    </xdr:to>
    <xdr:pic>
      <xdr:nvPicPr>
        <xdr:cNvPr id="2" name="Picture 1">
          <a:extLst>
            <a:ext uri="{FF2B5EF4-FFF2-40B4-BE49-F238E27FC236}">
              <a16:creationId xmlns:a16="http://schemas.microsoft.com/office/drawing/2014/main" id="{75301B3B-A785-4C2B-BD6A-E56883E956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48600" y="5267325"/>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26</xdr:row>
      <xdr:rowOff>47114</xdr:rowOff>
    </xdr:to>
    <xdr:pic>
      <xdr:nvPicPr>
        <xdr:cNvPr id="3" name="Picture 2">
          <a:extLst>
            <a:ext uri="{FF2B5EF4-FFF2-40B4-BE49-F238E27FC236}">
              <a16:creationId xmlns:a16="http://schemas.microsoft.com/office/drawing/2014/main" id="{CEA5B7A7-ED54-466B-AB0D-94EBB651AE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58125" y="3048001"/>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0</xdr:rowOff>
    </xdr:to>
    <xdr:pic>
      <xdr:nvPicPr>
        <xdr:cNvPr id="4" name="Picture 3">
          <a:extLst>
            <a:ext uri="{FF2B5EF4-FFF2-40B4-BE49-F238E27FC236}">
              <a16:creationId xmlns:a16="http://schemas.microsoft.com/office/drawing/2014/main" id="{922BEE0A-A6A3-42A2-8C66-C912D45AB058}"/>
            </a:ext>
          </a:extLst>
        </xdr:cNvPr>
        <xdr:cNvPicPr preferRelativeResize="0">
          <a:picLocks noChangeAspect="1"/>
        </xdr:cNvPicPr>
      </xdr:nvPicPr>
      <xdr:blipFill>
        <a:blip xmlns:r="http://schemas.openxmlformats.org/officeDocument/2006/relationships" r:embed="rId3"/>
        <a:stretch>
          <a:fillRect/>
        </a:stretch>
      </xdr:blipFill>
      <xdr:spPr>
        <a:xfrm>
          <a:off x="7839075" y="476250"/>
          <a:ext cx="3276600" cy="19621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104774</xdr:rowOff>
    </xdr:from>
    <xdr:to>
      <xdr:col>9</xdr:col>
      <xdr:colOff>3352800</xdr:colOff>
      <xdr:row>25</xdr:row>
      <xdr:rowOff>104775</xdr:rowOff>
    </xdr:to>
    <xdr:pic>
      <xdr:nvPicPr>
        <xdr:cNvPr id="2" name="Picture 2">
          <a:extLst>
            <a:ext uri="{FF2B5EF4-FFF2-40B4-BE49-F238E27FC236}">
              <a16:creationId xmlns:a16="http://schemas.microsoft.com/office/drawing/2014/main" id="{9A3D8AB3-D4D5-46AB-AAA3-6CC8CBE70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81875" y="2867024"/>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19050</xdr:rowOff>
    </xdr:from>
    <xdr:to>
      <xdr:col>9</xdr:col>
      <xdr:colOff>3324226</xdr:colOff>
      <xdr:row>12</xdr:row>
      <xdr:rowOff>155575</xdr:rowOff>
    </xdr:to>
    <xdr:pic>
      <xdr:nvPicPr>
        <xdr:cNvPr id="3" name="Picture 2">
          <a:extLst>
            <a:ext uri="{FF2B5EF4-FFF2-40B4-BE49-F238E27FC236}">
              <a16:creationId xmlns:a16="http://schemas.microsoft.com/office/drawing/2014/main" id="{9F242066-D1FA-4DB0-976E-9E9F2180A885}"/>
            </a:ext>
          </a:extLst>
        </xdr:cNvPr>
        <xdr:cNvPicPr preferRelativeResize="0">
          <a:picLocks noChangeAspect="1"/>
        </xdr:cNvPicPr>
      </xdr:nvPicPr>
      <xdr:blipFill>
        <a:blip xmlns:r="http://schemas.openxmlformats.org/officeDocument/2006/relationships" r:embed="rId2"/>
        <a:stretch>
          <a:fillRect/>
        </a:stretch>
      </xdr:blipFill>
      <xdr:spPr>
        <a:xfrm>
          <a:off x="7372351" y="400050"/>
          <a:ext cx="3276600" cy="2032000"/>
        </a:xfrm>
        <a:prstGeom prst="rect">
          <a:avLst/>
        </a:prstGeom>
      </xdr:spPr>
    </xdr:pic>
    <xdr:clientData/>
  </xdr:twoCellAnchor>
  <xdr:twoCellAnchor editAs="oneCell">
    <xdr:from>
      <xdr:col>9</xdr:col>
      <xdr:colOff>47626</xdr:colOff>
      <xdr:row>27</xdr:row>
      <xdr:rowOff>66674</xdr:rowOff>
    </xdr:from>
    <xdr:to>
      <xdr:col>9</xdr:col>
      <xdr:colOff>3324224</xdr:colOff>
      <xdr:row>35</xdr:row>
      <xdr:rowOff>82548</xdr:rowOff>
    </xdr:to>
    <xdr:pic>
      <xdr:nvPicPr>
        <xdr:cNvPr id="4" name="Picture 3">
          <a:extLst>
            <a:ext uri="{FF2B5EF4-FFF2-40B4-BE49-F238E27FC236}">
              <a16:creationId xmlns:a16="http://schemas.microsoft.com/office/drawing/2014/main" id="{403F0A35-8F16-47A0-BEC1-6953C4E7F41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372351" y="5124449"/>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57152</xdr:colOff>
      <xdr:row>27</xdr:row>
      <xdr:rowOff>152400</xdr:rowOff>
    </xdr:from>
    <xdr:to>
      <xdr:col>9</xdr:col>
      <xdr:colOff>3333750</xdr:colOff>
      <xdr:row>34</xdr:row>
      <xdr:rowOff>6349</xdr:rowOff>
    </xdr:to>
    <xdr:pic>
      <xdr:nvPicPr>
        <xdr:cNvPr id="2" name="Picture 1">
          <a:extLst>
            <a:ext uri="{FF2B5EF4-FFF2-40B4-BE49-F238E27FC236}">
              <a16:creationId xmlns:a16="http://schemas.microsoft.com/office/drawing/2014/main" id="{B693E786-CBD9-4FFD-A17B-156DE6D25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2827" y="5210175"/>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26</xdr:row>
      <xdr:rowOff>28577</xdr:rowOff>
    </xdr:to>
    <xdr:pic>
      <xdr:nvPicPr>
        <xdr:cNvPr id="3" name="Picture 2">
          <a:extLst>
            <a:ext uri="{FF2B5EF4-FFF2-40B4-BE49-F238E27FC236}">
              <a16:creationId xmlns:a16="http://schemas.microsoft.com/office/drawing/2014/main" id="{42F8E90B-633E-44D9-A502-F9C78A8E49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81875" y="2933701"/>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38101</xdr:rowOff>
    </xdr:from>
    <xdr:to>
      <xdr:col>9</xdr:col>
      <xdr:colOff>3333750</xdr:colOff>
      <xdr:row>12</xdr:row>
      <xdr:rowOff>104776</xdr:rowOff>
    </xdr:to>
    <xdr:pic>
      <xdr:nvPicPr>
        <xdr:cNvPr id="4" name="Picture 3">
          <a:extLst>
            <a:ext uri="{FF2B5EF4-FFF2-40B4-BE49-F238E27FC236}">
              <a16:creationId xmlns:a16="http://schemas.microsoft.com/office/drawing/2014/main" id="{58363F7B-CAC1-435F-B0C1-BAF3599F5055}"/>
            </a:ext>
          </a:extLst>
        </xdr:cNvPr>
        <xdr:cNvPicPr preferRelativeResize="0">
          <a:picLocks noChangeAspect="1"/>
        </xdr:cNvPicPr>
      </xdr:nvPicPr>
      <xdr:blipFill>
        <a:blip xmlns:r="http://schemas.openxmlformats.org/officeDocument/2006/relationships" r:embed="rId3"/>
        <a:stretch>
          <a:fillRect/>
        </a:stretch>
      </xdr:blipFill>
      <xdr:spPr>
        <a:xfrm>
          <a:off x="7362825" y="419101"/>
          <a:ext cx="3276600" cy="19621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12</xdr:row>
      <xdr:rowOff>133350</xdr:rowOff>
    </xdr:to>
    <xdr:pic>
      <xdr:nvPicPr>
        <xdr:cNvPr id="2" name="Picture 1">
          <a:extLst>
            <a:ext uri="{FF2B5EF4-FFF2-40B4-BE49-F238E27FC236}">
              <a16:creationId xmlns:a16="http://schemas.microsoft.com/office/drawing/2014/main" id="{5F456FBE-EA0F-447D-ACC7-D2AA43FBF6DB}"/>
            </a:ext>
          </a:extLst>
        </xdr:cNvPr>
        <xdr:cNvPicPr>
          <a:picLocks noChangeAspect="1"/>
        </xdr:cNvPicPr>
      </xdr:nvPicPr>
      <xdr:blipFill>
        <a:blip xmlns:r="http://schemas.openxmlformats.org/officeDocument/2006/relationships" r:embed="rId1"/>
        <a:stretch>
          <a:fillRect/>
        </a:stretch>
      </xdr:blipFill>
      <xdr:spPr>
        <a:xfrm>
          <a:off x="7486651" y="43815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A745BAA6-5379-4507-9A71-8074EED934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05700"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4" name="Picture 3">
          <a:extLst>
            <a:ext uri="{FF2B5EF4-FFF2-40B4-BE49-F238E27FC236}">
              <a16:creationId xmlns:a16="http://schemas.microsoft.com/office/drawing/2014/main" id="{4AC3C77B-4A19-41B8-9127-063986AD72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15227" y="280035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47625</xdr:colOff>
      <xdr:row>16</xdr:row>
      <xdr:rowOff>114300</xdr:rowOff>
    </xdr:from>
    <xdr:to>
      <xdr:col>9</xdr:col>
      <xdr:colOff>3314701</xdr:colOff>
      <xdr:row>23</xdr:row>
      <xdr:rowOff>141314</xdr:rowOff>
    </xdr:to>
    <xdr:pic>
      <xdr:nvPicPr>
        <xdr:cNvPr id="2" name="Picture 1">
          <a:extLst>
            <a:ext uri="{FF2B5EF4-FFF2-40B4-BE49-F238E27FC236}">
              <a16:creationId xmlns:a16="http://schemas.microsoft.com/office/drawing/2014/main" id="{8E1A19D9-E218-4DFD-B15B-147ED351E6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62875" y="3400425"/>
          <a:ext cx="3267076" cy="1808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3314701</xdr:colOff>
      <xdr:row>13</xdr:row>
      <xdr:rowOff>57151</xdr:rowOff>
    </xdr:to>
    <xdr:pic>
      <xdr:nvPicPr>
        <xdr:cNvPr id="3" name="Picture 2">
          <a:extLst>
            <a:ext uri="{FF2B5EF4-FFF2-40B4-BE49-F238E27FC236}">
              <a16:creationId xmlns:a16="http://schemas.microsoft.com/office/drawing/2014/main" id="{9A83067B-2A08-4633-8828-3476F8226456}"/>
            </a:ext>
          </a:extLst>
        </xdr:cNvPr>
        <xdr:cNvPicPr>
          <a:picLocks/>
        </xdr:cNvPicPr>
      </xdr:nvPicPr>
      <xdr:blipFill>
        <a:blip xmlns:r="http://schemas.openxmlformats.org/officeDocument/2006/relationships" r:embed="rId2"/>
        <a:stretch>
          <a:fillRect/>
        </a:stretch>
      </xdr:blipFill>
      <xdr:spPr>
        <a:xfrm>
          <a:off x="7762875" y="40957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15</xdr:row>
      <xdr:rowOff>47625</xdr:rowOff>
    </xdr:from>
    <xdr:to>
      <xdr:col>9</xdr:col>
      <xdr:colOff>3324225</xdr:colOff>
      <xdr:row>26</xdr:row>
      <xdr:rowOff>9525</xdr:rowOff>
    </xdr:to>
    <xdr:pic>
      <xdr:nvPicPr>
        <xdr:cNvPr id="2" name="Picture 1">
          <a:extLst>
            <a:ext uri="{FF2B5EF4-FFF2-40B4-BE49-F238E27FC236}">
              <a16:creationId xmlns:a16="http://schemas.microsoft.com/office/drawing/2014/main" id="{2FE355CA-8EEF-44BD-9ED7-35677881F3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53351" y="28098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29</xdr:row>
      <xdr:rowOff>9527</xdr:rowOff>
    </xdr:from>
    <xdr:ext cx="3286125" cy="1657348"/>
    <xdr:pic>
      <xdr:nvPicPr>
        <xdr:cNvPr id="3" name="Picture 2">
          <a:extLst>
            <a:ext uri="{FF2B5EF4-FFF2-40B4-BE49-F238E27FC236}">
              <a16:creationId xmlns:a16="http://schemas.microsoft.com/office/drawing/2014/main" id="{AA00C065-75B6-4283-84B0-B2E6953605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49" y="506730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12</xdr:row>
      <xdr:rowOff>133350</xdr:rowOff>
    </xdr:to>
    <xdr:pic>
      <xdr:nvPicPr>
        <xdr:cNvPr id="4" name="Picture 3">
          <a:extLst>
            <a:ext uri="{FF2B5EF4-FFF2-40B4-BE49-F238E27FC236}">
              <a16:creationId xmlns:a16="http://schemas.microsoft.com/office/drawing/2014/main" id="{B7608558-69C6-4EF1-BF4C-888E8758CBBB}"/>
            </a:ext>
          </a:extLst>
        </xdr:cNvPr>
        <xdr:cNvPicPr>
          <a:picLocks noChangeAspect="1"/>
        </xdr:cNvPicPr>
      </xdr:nvPicPr>
      <xdr:blipFill>
        <a:blip xmlns:r="http://schemas.openxmlformats.org/officeDocument/2006/relationships" r:embed="rId2"/>
        <a:stretch>
          <a:fillRect/>
        </a:stretch>
      </xdr:blipFill>
      <xdr:spPr>
        <a:xfrm>
          <a:off x="7715250" y="428625"/>
          <a:ext cx="3276600" cy="1981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32.201.0.2\fasundaram\DEBT_BACKOFFICE\Debt_Factsheets\2024%20-%20Fornightly%20Portfolio\11.%2015%20Aug%202024\working\OBIP%20ConsolDebtHolding%20150824%20-Bala.xls" TargetMode="External"/><Relationship Id="rId1" Type="http://schemas.openxmlformats.org/officeDocument/2006/relationships/externalLinkPath" Target="file:///\\132.201.0.2\fasundaram\DEBT_BACKOFFICE\Debt_Factsheets\2024%20-%20Fornightly%20Portfolio\11.%2015%20Aug%202024\working\OBIP%20ConsolDebtHolding%20150824%20-Bal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bt Holding Summary"/>
      <sheetName val="Debt Holding Consolidated"/>
      <sheetName val="SFRLTP"/>
      <sheetName val="SFRSTP"/>
      <sheetName val="SMMF"/>
      <sheetName val="SPLDF"/>
      <sheetName val="SPMON"/>
      <sheetName val="SPSDF"/>
      <sheetName val="SPUSDF"/>
      <sheetName val="SUNBDS"/>
      <sheetName val="SUNMIA"/>
      <sheetName val="SUNONF"/>
      <sheetName val="SPESF"/>
      <sheetName val="SPAHF"/>
      <sheetName val="SPARF"/>
      <sheetName val="SPBAF"/>
      <sheetName val="SUNMAF"/>
    </sheetNames>
    <sheetDataSet>
      <sheetData sheetId="0"/>
      <sheetData sheetId="1">
        <row r="1">
          <cell r="C1" t="str">
            <v>ISIN_CODE</v>
          </cell>
          <cell r="D1" t="str">
            <v>SECURITY</v>
          </cell>
          <cell r="E1" t="str">
            <v>ASSET_TYPE</v>
          </cell>
          <cell r="F1" t="str">
            <v>ISSUER_NAME</v>
          </cell>
          <cell r="G1" t="str">
            <v>SECURITY_NAME</v>
          </cell>
          <cell r="H1" t="str">
            <v>COUPON</v>
          </cell>
          <cell r="I1" t="str">
            <v>MAT_DATE</v>
          </cell>
          <cell r="J1" t="str">
            <v>RATING</v>
          </cell>
          <cell r="K1" t="str">
            <v>MDUR</v>
          </cell>
          <cell r="L1" t="str">
            <v>FACE_VALUE</v>
          </cell>
          <cell r="M1" t="str">
            <v>UNITS</v>
          </cell>
          <cell r="N1" t="str">
            <v>YIELD</v>
          </cell>
        </row>
        <row r="2">
          <cell r="C2" t="str">
            <v>INF0RQ622028</v>
          </cell>
          <cell r="D2" t="str">
            <v>CDMDF23</v>
          </cell>
          <cell r="E2" t="str">
            <v>CDMDF</v>
          </cell>
          <cell r="F2" t="str">
            <v>Corporate Debt Market Development Fund</v>
          </cell>
          <cell r="G2" t="str">
            <v>Corporate Debt Market Development Fund - Class A2</v>
          </cell>
          <cell r="H2">
            <v>0</v>
          </cell>
          <cell r="K2">
            <v>0</v>
          </cell>
          <cell r="L2">
            <v>10000</v>
          </cell>
          <cell r="M2">
            <v>2586.3710000000001</v>
          </cell>
          <cell r="N2">
            <v>9.9999999999999995E-7</v>
          </cell>
        </row>
        <row r="3">
          <cell r="C3" t="str">
            <v>IN0020230051</v>
          </cell>
          <cell r="D3" t="str">
            <v>7.30GSE190653</v>
          </cell>
          <cell r="E3" t="str">
            <v>GSE</v>
          </cell>
          <cell r="F3" t="str">
            <v>Govt. of India - GSec / TBL</v>
          </cell>
          <cell r="G3" t="str">
            <v>7.30% Government Securities - 19/06/2053</v>
          </cell>
          <cell r="H3">
            <v>7.3</v>
          </cell>
          <cell r="I3" t="str">
            <v>19-06-2053</v>
          </cell>
          <cell r="J3" t="str">
            <v>Sovereign</v>
          </cell>
          <cell r="K3">
            <v>12.5113</v>
          </cell>
          <cell r="L3">
            <v>100</v>
          </cell>
          <cell r="M3">
            <v>1500000</v>
          </cell>
          <cell r="N3">
            <v>7.1395999999999997</v>
          </cell>
        </row>
        <row r="4">
          <cell r="C4" t="str">
            <v>IN0020230085</v>
          </cell>
          <cell r="D4" t="str">
            <v>7.18GSE140833</v>
          </cell>
          <cell r="E4" t="str">
            <v>GSE</v>
          </cell>
          <cell r="F4" t="str">
            <v>Govt. of India - GSec / TBL</v>
          </cell>
          <cell r="G4" t="str">
            <v>7.18%  Government Securities - 14/08/2033</v>
          </cell>
          <cell r="H4">
            <v>7.18</v>
          </cell>
          <cell r="I4" t="str">
            <v>14-08-2033</v>
          </cell>
          <cell r="J4" t="str">
            <v>Sovereign</v>
          </cell>
          <cell r="K4">
            <v>6.7990000000000004</v>
          </cell>
          <cell r="L4">
            <v>100</v>
          </cell>
          <cell r="M4">
            <v>12000000</v>
          </cell>
          <cell r="N4">
            <v>7.0152000000000001</v>
          </cell>
        </row>
        <row r="5">
          <cell r="C5" t="str">
            <v>IN0020230101</v>
          </cell>
          <cell r="D5" t="str">
            <v>7.37GSE231028</v>
          </cell>
          <cell r="E5" t="str">
            <v>GSE</v>
          </cell>
          <cell r="F5" t="str">
            <v>Govt. of India - GSec / TBL</v>
          </cell>
          <cell r="G5" t="str">
            <v>7.37% Government Securities-23/10/2028</v>
          </cell>
          <cell r="H5">
            <v>7.37</v>
          </cell>
          <cell r="I5" t="str">
            <v>23-10-2028</v>
          </cell>
          <cell r="J5" t="str">
            <v>Sovereign</v>
          </cell>
          <cell r="K5">
            <v>3.6044999999999998</v>
          </cell>
          <cell r="L5">
            <v>100</v>
          </cell>
          <cell r="M5">
            <v>1000000</v>
          </cell>
          <cell r="N5">
            <v>6.8924000000000003</v>
          </cell>
        </row>
        <row r="6">
          <cell r="C6" t="str">
            <v>IN0020230135</v>
          </cell>
          <cell r="D6" t="str">
            <v>7.32GSE131130</v>
          </cell>
          <cell r="E6" t="str">
            <v>GSE</v>
          </cell>
          <cell r="F6" t="str">
            <v>Govt. of India - GSec / TBL</v>
          </cell>
          <cell r="G6" t="str">
            <v>7.32% Government Securities-13/11/2030</v>
          </cell>
          <cell r="H6">
            <v>7.32</v>
          </cell>
          <cell r="I6" t="str">
            <v>13-11-2030</v>
          </cell>
          <cell r="J6" t="str">
            <v>Sovereign</v>
          </cell>
          <cell r="K6">
            <v>5.0457999999999998</v>
          </cell>
          <cell r="L6">
            <v>100</v>
          </cell>
          <cell r="M6">
            <v>2500000</v>
          </cell>
          <cell r="N6">
            <v>6.9485000000000001</v>
          </cell>
        </row>
        <row r="7">
          <cell r="C7" t="str">
            <v>IN0020240019</v>
          </cell>
          <cell r="D7" t="str">
            <v>7.10GSE080434</v>
          </cell>
          <cell r="E7" t="str">
            <v>GSE</v>
          </cell>
          <cell r="F7" t="str">
            <v>Govt. of India - GSec / TBL</v>
          </cell>
          <cell r="G7" t="str">
            <v>7.10% Central Government Securities 08/04/2034</v>
          </cell>
          <cell r="H7">
            <v>7.1</v>
          </cell>
          <cell r="I7" t="str">
            <v>08-04-2034</v>
          </cell>
          <cell r="J7" t="str">
            <v>Sovereign</v>
          </cell>
          <cell r="K7">
            <v>6.9958</v>
          </cell>
          <cell r="L7">
            <v>100</v>
          </cell>
          <cell r="M7">
            <v>900000</v>
          </cell>
          <cell r="N7">
            <v>6.9753999999999996</v>
          </cell>
        </row>
        <row r="8">
          <cell r="C8" t="str">
            <v>IN0020240035</v>
          </cell>
          <cell r="D8" t="str">
            <v>7.34GSE220464</v>
          </cell>
          <cell r="E8" t="str">
            <v>GSE</v>
          </cell>
          <cell r="F8" t="str">
            <v>Govt. of India - GSec / TBL</v>
          </cell>
          <cell r="G8" t="str">
            <v>7.34% Central Government Securities 22/04/2064</v>
          </cell>
          <cell r="H8">
            <v>7.34</v>
          </cell>
          <cell r="I8" t="str">
            <v>22-04-2064</v>
          </cell>
          <cell r="J8" t="str">
            <v>Sovereign</v>
          </cell>
          <cell r="K8">
            <v>13.3903</v>
          </cell>
          <cell r="L8">
            <v>100</v>
          </cell>
          <cell r="M8">
            <v>200000</v>
          </cell>
          <cell r="N8">
            <v>7.1691000000000003</v>
          </cell>
        </row>
        <row r="9">
          <cell r="C9" t="str">
            <v>INE020B08EK4</v>
          </cell>
          <cell r="D9" t="str">
            <v>UT47NC317</v>
          </cell>
          <cell r="E9" t="str">
            <v>NCD</v>
          </cell>
          <cell r="F9" t="str">
            <v>REC LTD</v>
          </cell>
          <cell r="G9" t="str">
            <v>7.46% REC Ltd  NCD  MD 30-06-2028</v>
          </cell>
          <cell r="H9">
            <v>7.46</v>
          </cell>
          <cell r="I9" t="str">
            <v>30-06-2028</v>
          </cell>
          <cell r="J9" t="str">
            <v>CRISIL AAA</v>
          </cell>
          <cell r="K9">
            <v>3.4733999999999998</v>
          </cell>
          <cell r="L9">
            <v>100000</v>
          </cell>
          <cell r="M9">
            <v>2500</v>
          </cell>
          <cell r="N9">
            <v>7.5</v>
          </cell>
        </row>
        <row r="10">
          <cell r="C10" t="str">
            <v>INE020B08EL2</v>
          </cell>
          <cell r="D10" t="str">
            <v>UT47NC316</v>
          </cell>
          <cell r="E10" t="str">
            <v>NCD</v>
          </cell>
          <cell r="F10" t="str">
            <v>REC LTD</v>
          </cell>
          <cell r="G10" t="str">
            <v>7.44% REC NCD MD  30.04.2026</v>
          </cell>
          <cell r="H10">
            <v>7.44</v>
          </cell>
          <cell r="I10" t="str">
            <v>30-04-2026</v>
          </cell>
          <cell r="J10" t="str">
            <v>CRISIL AAA</v>
          </cell>
          <cell r="K10">
            <v>1.6464000000000001</v>
          </cell>
          <cell r="L10">
            <v>100000</v>
          </cell>
          <cell r="M10">
            <v>2500</v>
          </cell>
          <cell r="N10">
            <v>7.6</v>
          </cell>
        </row>
        <row r="11">
          <cell r="C11" t="str">
            <v>INE020B08EP3</v>
          </cell>
          <cell r="D11" t="str">
            <v>UT47NC318</v>
          </cell>
          <cell r="E11" t="str">
            <v>NCD</v>
          </cell>
          <cell r="F11" t="str">
            <v>REC LTD</v>
          </cell>
          <cell r="G11" t="str">
            <v>7.77% REC NCD MD 30-09-2026</v>
          </cell>
          <cell r="H11">
            <v>7.77</v>
          </cell>
          <cell r="I11" t="str">
            <v>30-09-2026</v>
          </cell>
          <cell r="J11" t="str">
            <v>CRISIL AAA</v>
          </cell>
          <cell r="K11">
            <v>1.9265000000000001</v>
          </cell>
          <cell r="L11">
            <v>100000</v>
          </cell>
          <cell r="M11">
            <v>1500</v>
          </cell>
          <cell r="N11">
            <v>7.6</v>
          </cell>
        </row>
        <row r="12">
          <cell r="C12" t="str">
            <v>INE040A08666</v>
          </cell>
          <cell r="D12" t="str">
            <v>FI301NC231</v>
          </cell>
          <cell r="E12" t="str">
            <v>NCD</v>
          </cell>
          <cell r="F12" t="str">
            <v>HDFC Bank Ltd (Prev HDFC Ltd)</v>
          </cell>
          <cell r="G12" t="str">
            <v>7.80% HDFC Bank Ltd (Prev HDFC Ltd) NCD MD 03-05-2033</v>
          </cell>
          <cell r="H12">
            <v>7.8</v>
          </cell>
          <cell r="I12" t="str">
            <v>03-05-2033</v>
          </cell>
          <cell r="J12" t="str">
            <v>CRISIL AAA</v>
          </cell>
          <cell r="K12">
            <v>6.5157999999999996</v>
          </cell>
          <cell r="L12">
            <v>100000</v>
          </cell>
          <cell r="M12">
            <v>1500</v>
          </cell>
          <cell r="N12">
            <v>7.63</v>
          </cell>
        </row>
        <row r="13">
          <cell r="C13" t="str">
            <v>INE040A08930</v>
          </cell>
          <cell r="D13" t="str">
            <v>FI3301NC370</v>
          </cell>
          <cell r="E13" t="str">
            <v>NCD</v>
          </cell>
          <cell r="F13" t="str">
            <v>HDFC Bank Ltd (Prev HDFC Ltd)</v>
          </cell>
          <cell r="G13" t="str">
            <v>7.65% HDFC Bank Ltd (Prev HDFC Ltd) NCD MD 25-05-2033 SERIES US-004- Put 25-05-2026</v>
          </cell>
          <cell r="H13">
            <v>7.65</v>
          </cell>
          <cell r="I13" t="str">
            <v>25-05-2033</v>
          </cell>
          <cell r="J13" t="str">
            <v>CRISIL AAA</v>
          </cell>
          <cell r="K13">
            <v>4.1494</v>
          </cell>
          <cell r="L13">
            <v>100000</v>
          </cell>
          <cell r="M13">
            <v>2500</v>
          </cell>
          <cell r="N13">
            <v>7.6192000000000002</v>
          </cell>
        </row>
        <row r="14">
          <cell r="C14" t="str">
            <v>INE041007100</v>
          </cell>
          <cell r="D14" t="str">
            <v>FI3346NC200</v>
          </cell>
          <cell r="E14" t="str">
            <v>NCD</v>
          </cell>
          <cell r="F14" t="str">
            <v>Embassy Office Parks REIT</v>
          </cell>
          <cell r="G14" t="str">
            <v>7.77% Embassy Office Parks REIT NCD MD 05.06.2025 Series VII NCD Call 05-03-2025</v>
          </cell>
          <cell r="H14">
            <v>7.77</v>
          </cell>
          <cell r="I14" t="str">
            <v>05-06-2025</v>
          </cell>
          <cell r="J14" t="str">
            <v>CRISIL AAA</v>
          </cell>
          <cell r="K14">
            <v>0.77739999999999998</v>
          </cell>
          <cell r="L14">
            <v>100000</v>
          </cell>
          <cell r="M14">
            <v>1000</v>
          </cell>
          <cell r="N14">
            <v>8.19</v>
          </cell>
        </row>
        <row r="15">
          <cell r="C15" t="str">
            <v>INE053F08304</v>
          </cell>
          <cell r="D15" t="str">
            <v>FI3567IRFC248</v>
          </cell>
          <cell r="E15" t="str">
            <v>NCD</v>
          </cell>
          <cell r="F15" t="str">
            <v>Indian Railway Finance Corporation Ltd</v>
          </cell>
          <cell r="G15" t="str">
            <v>7.23% Indian Railway Finance Corporation Ltd NCD 15-10-2026</v>
          </cell>
          <cell r="H15">
            <v>7.23</v>
          </cell>
          <cell r="I15" t="str">
            <v>15-10-2026</v>
          </cell>
          <cell r="J15" t="str">
            <v>CRISIL AAA</v>
          </cell>
          <cell r="K15">
            <v>2.0312999999999999</v>
          </cell>
          <cell r="L15">
            <v>100000</v>
          </cell>
          <cell r="M15">
            <v>2500</v>
          </cell>
          <cell r="N15">
            <v>7.48</v>
          </cell>
        </row>
        <row r="16">
          <cell r="C16" t="str">
            <v>INE053F08411</v>
          </cell>
          <cell r="D16" t="str">
            <v>FI3567IRFC252</v>
          </cell>
          <cell r="E16" t="str">
            <v>NCD</v>
          </cell>
          <cell r="F16" t="str">
            <v>Indian Railway Finance Corporation Ltd</v>
          </cell>
          <cell r="G16" t="str">
            <v>7.37%  Indian Railway Finance Corporation Ltd NCD MD 31-07-2029</v>
          </cell>
          <cell r="H16">
            <v>7.37</v>
          </cell>
          <cell r="I16" t="str">
            <v>31-07-2029</v>
          </cell>
          <cell r="J16" t="str">
            <v>CRISIL AAA</v>
          </cell>
          <cell r="K16">
            <v>4.3000999999999996</v>
          </cell>
          <cell r="L16">
            <v>100000</v>
          </cell>
          <cell r="M16">
            <v>4000</v>
          </cell>
          <cell r="N16">
            <v>7.43</v>
          </cell>
        </row>
        <row r="17">
          <cell r="C17" t="str">
            <v>INE115A07MW4</v>
          </cell>
          <cell r="D17" t="str">
            <v>FILICNC370</v>
          </cell>
          <cell r="E17" t="str">
            <v>NCD</v>
          </cell>
          <cell r="F17" t="str">
            <v>LIC Housing Finance Ltd</v>
          </cell>
          <cell r="G17" t="str">
            <v>7.95% LIC Housing Finance Ltd NCD 29 01 2028</v>
          </cell>
          <cell r="H17">
            <v>7.95</v>
          </cell>
          <cell r="I17" t="str">
            <v>29-01-2028</v>
          </cell>
          <cell r="J17" t="str">
            <v>CRISIL AAA</v>
          </cell>
          <cell r="K17">
            <v>3.0341</v>
          </cell>
          <cell r="L17">
            <v>1000000</v>
          </cell>
          <cell r="M17">
            <v>100</v>
          </cell>
          <cell r="N17">
            <v>7.8</v>
          </cell>
        </row>
        <row r="18">
          <cell r="C18" t="str">
            <v>INE115A07QJ2</v>
          </cell>
          <cell r="D18" t="str">
            <v>FILICNC369</v>
          </cell>
          <cell r="E18" t="str">
            <v>NCD</v>
          </cell>
          <cell r="F18" t="str">
            <v>LIC Housing Finance Ltd</v>
          </cell>
          <cell r="G18" t="str">
            <v>7.70%  LIC Housing Finance Ltd NCD MD 16-05-2028- 434 OPTION I</v>
          </cell>
          <cell r="H18">
            <v>7.7</v>
          </cell>
          <cell r="I18" t="str">
            <v>16-05-2028</v>
          </cell>
          <cell r="J18" t="str">
            <v>CRISIL AAA</v>
          </cell>
          <cell r="K18">
            <v>3.3382999999999998</v>
          </cell>
          <cell r="L18">
            <v>1000000</v>
          </cell>
          <cell r="M18">
            <v>300</v>
          </cell>
          <cell r="N18">
            <v>7.8</v>
          </cell>
        </row>
        <row r="19">
          <cell r="C19" t="str">
            <v>INE134E08IO0</v>
          </cell>
          <cell r="D19" t="str">
            <v>FI35PFNC320</v>
          </cell>
          <cell r="E19" t="str">
            <v>NCD</v>
          </cell>
          <cell r="F19" t="str">
            <v>Power Finance Corporation Ltd</v>
          </cell>
          <cell r="G19" t="str">
            <v>7.23%-Power Finance Corporation Ltd-05/01/2027</v>
          </cell>
          <cell r="H19">
            <v>7.23</v>
          </cell>
          <cell r="I19" t="str">
            <v>05-01-2027</v>
          </cell>
          <cell r="J19" t="str">
            <v>ICRA AAA</v>
          </cell>
          <cell r="K19">
            <v>2.1897000000000002</v>
          </cell>
          <cell r="L19">
            <v>1000000</v>
          </cell>
          <cell r="M19">
            <v>50</v>
          </cell>
          <cell r="N19">
            <v>7.52</v>
          </cell>
        </row>
        <row r="20">
          <cell r="C20" t="str">
            <v>INE134E08LP1</v>
          </cell>
          <cell r="D20" t="str">
            <v>FI35PFCNC367</v>
          </cell>
          <cell r="E20" t="str">
            <v>NCD</v>
          </cell>
          <cell r="F20" t="str">
            <v>Power Finance Corporation Ltd</v>
          </cell>
          <cell r="G20" t="str">
            <v>7.13% Power Finance Corporation Ltd NCD MD 15072026 BS 216 2026</v>
          </cell>
          <cell r="H20">
            <v>7.13</v>
          </cell>
          <cell r="I20" t="str">
            <v>15-07-2026</v>
          </cell>
          <cell r="J20" t="str">
            <v>CRISIL AAA</v>
          </cell>
          <cell r="K20">
            <v>1.7301</v>
          </cell>
          <cell r="L20">
            <v>1000000</v>
          </cell>
          <cell r="M20">
            <v>250</v>
          </cell>
          <cell r="N20">
            <v>7.6</v>
          </cell>
        </row>
        <row r="21">
          <cell r="C21" t="str">
            <v>INE134E08MX3</v>
          </cell>
          <cell r="D21" t="str">
            <v>FI35PFCNC371</v>
          </cell>
          <cell r="E21" t="str">
            <v>NCD</v>
          </cell>
          <cell r="F21" t="str">
            <v>Power Finance Corporation Ltd</v>
          </cell>
          <cell r="G21" t="str">
            <v>7.60% Power Finance Corporation Limited NCD MD 13-04-2029</v>
          </cell>
          <cell r="H21">
            <v>7.6</v>
          </cell>
          <cell r="I21" t="str">
            <v>13-04-2029</v>
          </cell>
          <cell r="J21" t="str">
            <v>CRISIL AAA</v>
          </cell>
          <cell r="K21">
            <v>3.9588000000000001</v>
          </cell>
          <cell r="L21">
            <v>100000</v>
          </cell>
          <cell r="M21">
            <v>2000</v>
          </cell>
          <cell r="N21">
            <v>7.43</v>
          </cell>
        </row>
        <row r="22">
          <cell r="C22" t="str">
            <v>INE242A08544</v>
          </cell>
          <cell r="D22" t="str">
            <v>OI4309NC207</v>
          </cell>
          <cell r="E22" t="str">
            <v>NCD</v>
          </cell>
          <cell r="F22" t="str">
            <v>Indian Oil Corporation Ltd</v>
          </cell>
          <cell r="G22" t="str">
            <v xml:space="preserve">7.44% Indian Oil Corporation NCD 25/11/2027 (SERIES XXV) </v>
          </cell>
          <cell r="H22">
            <v>7.44</v>
          </cell>
          <cell r="I22" t="str">
            <v>25-11-2027</v>
          </cell>
          <cell r="J22" t="str">
            <v>ICRA AAA</v>
          </cell>
          <cell r="K22">
            <v>2.8797000000000001</v>
          </cell>
          <cell r="L22">
            <v>1000000</v>
          </cell>
          <cell r="M22">
            <v>200</v>
          </cell>
          <cell r="N22">
            <v>7.3849999999999998</v>
          </cell>
        </row>
        <row r="23">
          <cell r="C23" t="str">
            <v>INE261F08DX0</v>
          </cell>
          <cell r="D23" t="str">
            <v>FI35NANC298</v>
          </cell>
          <cell r="E23" t="str">
            <v>NCD</v>
          </cell>
          <cell r="F23" t="str">
            <v>National Bank for Agriculture &amp; Rural Development</v>
          </cell>
          <cell r="G23" t="str">
            <v>7.58%  NABARD- NCD-31/07/2026 SERIES 23H</v>
          </cell>
          <cell r="H23">
            <v>7.58</v>
          </cell>
          <cell r="I23" t="str">
            <v>31-07-2026</v>
          </cell>
          <cell r="J23" t="str">
            <v>CRISIL AAA</v>
          </cell>
          <cell r="K23">
            <v>1.8856999999999999</v>
          </cell>
          <cell r="L23">
            <v>100000</v>
          </cell>
          <cell r="M23">
            <v>1500</v>
          </cell>
          <cell r="N23">
            <v>7.66</v>
          </cell>
        </row>
        <row r="24">
          <cell r="C24" t="str">
            <v>INE261F08EH1</v>
          </cell>
          <cell r="D24" t="str">
            <v>FI35NANC306</v>
          </cell>
          <cell r="E24" t="str">
            <v>NCD</v>
          </cell>
          <cell r="F24" t="str">
            <v>National Bank for Agriculture &amp; Rural Development</v>
          </cell>
          <cell r="G24" t="str">
            <v>7.62%  NABARD NCD MD 10-05-2029</v>
          </cell>
          <cell r="H24">
            <v>7.62</v>
          </cell>
          <cell r="I24" t="str">
            <v>10-05-2029</v>
          </cell>
          <cell r="J24" t="str">
            <v>CRISIL AAA</v>
          </cell>
          <cell r="K24">
            <v>4.0732999999999997</v>
          </cell>
          <cell r="L24">
            <v>100000</v>
          </cell>
          <cell r="M24">
            <v>2500</v>
          </cell>
          <cell r="N24">
            <v>7.52</v>
          </cell>
        </row>
        <row r="25">
          <cell r="C25" t="str">
            <v>INE261F08EJ7</v>
          </cell>
          <cell r="D25" t="str">
            <v>FI35NANC307</v>
          </cell>
          <cell r="E25" t="str">
            <v>NCD</v>
          </cell>
          <cell r="F25" t="str">
            <v>National Bank for Agriculture &amp; Rural Development</v>
          </cell>
          <cell r="G25" t="str">
            <v>7.64% NABARD NCD MD 06-12-2029</v>
          </cell>
          <cell r="H25">
            <v>7.64</v>
          </cell>
          <cell r="I25" t="str">
            <v>06-12-2029</v>
          </cell>
          <cell r="J25" t="str">
            <v>ICRA AAA</v>
          </cell>
          <cell r="K25">
            <v>4.4950000000000001</v>
          </cell>
          <cell r="L25">
            <v>100000</v>
          </cell>
          <cell r="M25">
            <v>2500</v>
          </cell>
          <cell r="N25">
            <v>7.5118</v>
          </cell>
        </row>
        <row r="26">
          <cell r="C26" t="str">
            <v>INE296A07SV1</v>
          </cell>
          <cell r="D26" t="str">
            <v>FI3505NC240</v>
          </cell>
          <cell r="E26" t="str">
            <v>NCD</v>
          </cell>
          <cell r="F26" t="str">
            <v>Bajaj Finance Ltd</v>
          </cell>
          <cell r="G26" t="str">
            <v>7.82% BAJAJ FINANCE LTD NCD MD 31-01-2034 PUT OPTION 08-02-2027</v>
          </cell>
          <cell r="H26">
            <v>7.82</v>
          </cell>
          <cell r="I26" t="str">
            <v>31-01-2034</v>
          </cell>
          <cell r="J26" t="str">
            <v>CRISIL AAA</v>
          </cell>
          <cell r="K26">
            <v>4.5157999999999996</v>
          </cell>
          <cell r="L26">
            <v>100000</v>
          </cell>
          <cell r="M26">
            <v>2000</v>
          </cell>
          <cell r="N26">
            <v>7.7850000000000001</v>
          </cell>
        </row>
        <row r="27">
          <cell r="C27" t="str">
            <v>INE556F08KH1</v>
          </cell>
          <cell r="D27" t="str">
            <v>FI3405NC236</v>
          </cell>
          <cell r="E27" t="str">
            <v>NCD</v>
          </cell>
          <cell r="F27" t="str">
            <v>Small Industries Development Bank of India</v>
          </cell>
          <cell r="G27" t="str">
            <v>7.43%  Small Industries Development Bank of India NCD MD 31-08-2026 SERIES I</v>
          </cell>
          <cell r="H27">
            <v>7.43</v>
          </cell>
          <cell r="I27" t="str">
            <v>31-08-2026</v>
          </cell>
          <cell r="J27" t="str">
            <v>CRISIL AAA</v>
          </cell>
          <cell r="K27">
            <v>1.8375999999999999</v>
          </cell>
          <cell r="L27">
            <v>100000</v>
          </cell>
          <cell r="M27">
            <v>1000</v>
          </cell>
          <cell r="N27">
            <v>7.6792999999999996</v>
          </cell>
        </row>
        <row r="28">
          <cell r="C28" t="str">
            <v>INE556F08KL3</v>
          </cell>
          <cell r="D28" t="str">
            <v>FI3405NC238</v>
          </cell>
          <cell r="E28" t="str">
            <v>NCD</v>
          </cell>
          <cell r="F28" t="str">
            <v>Small Industries Development Bank of India</v>
          </cell>
          <cell r="G28" t="str">
            <v>7.83% Small Industries Development Bank of India NCD MD 24-11-2028 SERIES V</v>
          </cell>
          <cell r="H28">
            <v>7.83</v>
          </cell>
          <cell r="I28" t="str">
            <v>24-11-2028</v>
          </cell>
          <cell r="J28" t="str">
            <v>CRISIL AAA</v>
          </cell>
          <cell r="K28">
            <v>3.6021000000000001</v>
          </cell>
          <cell r="L28">
            <v>100000</v>
          </cell>
          <cell r="M28">
            <v>5000</v>
          </cell>
          <cell r="N28">
            <v>7.5507</v>
          </cell>
        </row>
        <row r="29">
          <cell r="C29" t="str">
            <v>INE557F08FR8</v>
          </cell>
          <cell r="D29" t="str">
            <v>FI3335NC244</v>
          </cell>
          <cell r="E29" t="str">
            <v>NCD</v>
          </cell>
          <cell r="F29" t="str">
            <v xml:space="preserve">National Housing Bank </v>
          </cell>
          <cell r="G29" t="str">
            <v>7.22% NATIONAL HOUSING BANK NCD 23-07-2026</v>
          </cell>
          <cell r="H29">
            <v>7.22</v>
          </cell>
          <cell r="I29" t="str">
            <v>23-07-2026</v>
          </cell>
          <cell r="J29" t="str">
            <v>CRISIL AAA</v>
          </cell>
          <cell r="K29">
            <v>1.8460000000000001</v>
          </cell>
          <cell r="L29">
            <v>100000</v>
          </cell>
          <cell r="M29">
            <v>2500</v>
          </cell>
          <cell r="N29">
            <v>7.51</v>
          </cell>
        </row>
        <row r="30">
          <cell r="C30" t="str">
            <v>INE557F08FS6</v>
          </cell>
          <cell r="D30" t="str">
            <v>FI3335NC245</v>
          </cell>
          <cell r="E30" t="str">
            <v>NCD</v>
          </cell>
          <cell r="F30" t="str">
            <v xml:space="preserve">National Housing Bank </v>
          </cell>
          <cell r="G30" t="str">
            <v>7.40% National Housing Bank NCD MD 16-07-2026</v>
          </cell>
          <cell r="H30">
            <v>7.4</v>
          </cell>
          <cell r="I30" t="str">
            <v>16-07-2026</v>
          </cell>
          <cell r="J30" t="str">
            <v>CRISIL AAA</v>
          </cell>
          <cell r="K30">
            <v>1.8388</v>
          </cell>
          <cell r="L30">
            <v>100000</v>
          </cell>
          <cell r="M30">
            <v>4000</v>
          </cell>
          <cell r="N30">
            <v>7.51</v>
          </cell>
        </row>
        <row r="31">
          <cell r="C31" t="str">
            <v>INF0RQ622028</v>
          </cell>
          <cell r="D31" t="str">
            <v>CDMDF23</v>
          </cell>
          <cell r="E31" t="str">
            <v>CDMDF</v>
          </cell>
          <cell r="F31" t="str">
            <v>Corporate Debt Market Development Fund</v>
          </cell>
          <cell r="G31" t="str">
            <v>Corporate Debt Market Development Fund - Class A2</v>
          </cell>
          <cell r="H31">
            <v>0</v>
          </cell>
          <cell r="K31">
            <v>0</v>
          </cell>
          <cell r="L31">
            <v>10000</v>
          </cell>
          <cell r="M31">
            <v>1138.2429999999999</v>
          </cell>
          <cell r="N31">
            <v>9.9999999999999995E-7</v>
          </cell>
        </row>
        <row r="32">
          <cell r="C32" t="str">
            <v>IN0020230051</v>
          </cell>
          <cell r="D32" t="str">
            <v>7.30GSE190653</v>
          </cell>
          <cell r="E32" t="str">
            <v>GSE</v>
          </cell>
          <cell r="F32" t="str">
            <v>Govt. of India - GSec / TBL</v>
          </cell>
          <cell r="G32" t="str">
            <v>7.30% Government Securities - 19/06/2053</v>
          </cell>
          <cell r="H32">
            <v>7.3</v>
          </cell>
          <cell r="I32" t="str">
            <v>19-06-2053</v>
          </cell>
          <cell r="J32" t="str">
            <v>Sovereign</v>
          </cell>
          <cell r="K32">
            <v>12.5113</v>
          </cell>
          <cell r="L32">
            <v>100</v>
          </cell>
          <cell r="M32">
            <v>500000</v>
          </cell>
          <cell r="N32">
            <v>7.1395999999999997</v>
          </cell>
        </row>
        <row r="33">
          <cell r="C33" t="str">
            <v>IN0020230085</v>
          </cell>
          <cell r="D33" t="str">
            <v>7.18GSE140833</v>
          </cell>
          <cell r="E33" t="str">
            <v>GSE</v>
          </cell>
          <cell r="F33" t="str">
            <v>Govt. of India - GSec / TBL</v>
          </cell>
          <cell r="G33" t="str">
            <v>7.18%  Government Securities - 14/08/2033</v>
          </cell>
          <cell r="H33">
            <v>7.18</v>
          </cell>
          <cell r="I33" t="str">
            <v>14-08-2033</v>
          </cell>
          <cell r="J33" t="str">
            <v>Sovereign</v>
          </cell>
          <cell r="K33">
            <v>6.7990000000000004</v>
          </cell>
          <cell r="L33">
            <v>100</v>
          </cell>
          <cell r="M33">
            <v>4500000</v>
          </cell>
          <cell r="N33">
            <v>7.0152000000000001</v>
          </cell>
        </row>
        <row r="34">
          <cell r="C34" t="str">
            <v>IN0020230135</v>
          </cell>
          <cell r="D34" t="str">
            <v>7.32GSE131130</v>
          </cell>
          <cell r="E34" t="str">
            <v>GSE</v>
          </cell>
          <cell r="F34" t="str">
            <v>Govt. of India - GSec / TBL</v>
          </cell>
          <cell r="G34" t="str">
            <v>7.32% Government Securities-13/11/2030</v>
          </cell>
          <cell r="H34">
            <v>7.32</v>
          </cell>
          <cell r="I34" t="str">
            <v>13-11-2030</v>
          </cell>
          <cell r="J34" t="str">
            <v>Sovereign</v>
          </cell>
          <cell r="K34">
            <v>5.0457999999999998</v>
          </cell>
          <cell r="L34">
            <v>100</v>
          </cell>
          <cell r="M34">
            <v>1500000</v>
          </cell>
          <cell r="N34">
            <v>6.9485000000000001</v>
          </cell>
        </row>
        <row r="35">
          <cell r="C35" t="str">
            <v>IN0020240019</v>
          </cell>
          <cell r="D35" t="str">
            <v>7.10GSE080434</v>
          </cell>
          <cell r="E35" t="str">
            <v>GSE</v>
          </cell>
          <cell r="F35" t="str">
            <v>Govt. of India - GSec / TBL</v>
          </cell>
          <cell r="G35" t="str">
            <v>7.10% Central Government Securities 08/04/2034</v>
          </cell>
          <cell r="H35">
            <v>7.1</v>
          </cell>
          <cell r="I35" t="str">
            <v>08-04-2034</v>
          </cell>
          <cell r="J35" t="str">
            <v>Sovereign</v>
          </cell>
          <cell r="K35">
            <v>6.9958</v>
          </cell>
          <cell r="L35">
            <v>100</v>
          </cell>
          <cell r="M35">
            <v>800000</v>
          </cell>
          <cell r="N35">
            <v>6.9753999999999996</v>
          </cell>
        </row>
        <row r="36">
          <cell r="C36" t="str">
            <v>IN0020240027</v>
          </cell>
          <cell r="D36" t="str">
            <v>7.23GSE150439</v>
          </cell>
          <cell r="E36" t="str">
            <v>GSE</v>
          </cell>
          <cell r="F36" t="str">
            <v>Govt. of India - GSec / TBL</v>
          </cell>
          <cell r="G36" t="str">
            <v>7.23% Central Government Securities 15/04/2039</v>
          </cell>
          <cell r="H36">
            <v>7.23</v>
          </cell>
          <cell r="I36" t="str">
            <v>15-04-2039</v>
          </cell>
          <cell r="J36" t="str">
            <v>Sovereign</v>
          </cell>
          <cell r="K36">
            <v>9.1362000000000005</v>
          </cell>
          <cell r="L36">
            <v>100</v>
          </cell>
          <cell r="M36">
            <v>500000</v>
          </cell>
          <cell r="N36">
            <v>7.0564</v>
          </cell>
        </row>
        <row r="37">
          <cell r="C37" t="str">
            <v>INE020B08EA5</v>
          </cell>
          <cell r="D37" t="str">
            <v>UT47NC312</v>
          </cell>
          <cell r="E37" t="str">
            <v>NCD</v>
          </cell>
          <cell r="F37" t="str">
            <v>REC LTD</v>
          </cell>
          <cell r="G37" t="str">
            <v>7.55% REC LTD NCD 31/03/2028</v>
          </cell>
          <cell r="H37">
            <v>7.55</v>
          </cell>
          <cell r="I37" t="str">
            <v>31-03-2028</v>
          </cell>
          <cell r="J37" t="str">
            <v>ICRA AAA</v>
          </cell>
          <cell r="K37">
            <v>3.2204999999999999</v>
          </cell>
          <cell r="L37">
            <v>1000000</v>
          </cell>
          <cell r="M37">
            <v>250</v>
          </cell>
          <cell r="N37">
            <v>7.5</v>
          </cell>
        </row>
        <row r="38">
          <cell r="C38" t="str">
            <v>INE020B08EP3</v>
          </cell>
          <cell r="D38" t="str">
            <v>UT47NC318</v>
          </cell>
          <cell r="E38" t="str">
            <v>NCD</v>
          </cell>
          <cell r="F38" t="str">
            <v>REC LTD</v>
          </cell>
          <cell r="G38" t="str">
            <v>7.77% REC NCD MD 30-09-2026</v>
          </cell>
          <cell r="H38">
            <v>7.77</v>
          </cell>
          <cell r="I38" t="str">
            <v>30-09-2026</v>
          </cell>
          <cell r="J38" t="str">
            <v>CRISIL AAA</v>
          </cell>
          <cell r="K38">
            <v>1.9265000000000001</v>
          </cell>
          <cell r="L38">
            <v>100000</v>
          </cell>
          <cell r="M38">
            <v>500</v>
          </cell>
          <cell r="N38">
            <v>7.6</v>
          </cell>
        </row>
        <row r="39">
          <cell r="C39" t="str">
            <v>INE053F08304</v>
          </cell>
          <cell r="D39" t="str">
            <v>FI3567IRFC248</v>
          </cell>
          <cell r="E39" t="str">
            <v>NCD</v>
          </cell>
          <cell r="F39" t="str">
            <v>Indian Railway Finance Corporation Ltd</v>
          </cell>
          <cell r="G39" t="str">
            <v>7.23% Indian Railway Finance Corporation Ltd NCD 15-10-2026</v>
          </cell>
          <cell r="H39">
            <v>7.23</v>
          </cell>
          <cell r="I39" t="str">
            <v>15-10-2026</v>
          </cell>
          <cell r="J39" t="str">
            <v>CRISIL AAA</v>
          </cell>
          <cell r="K39">
            <v>2.0312999999999999</v>
          </cell>
          <cell r="L39">
            <v>100000</v>
          </cell>
          <cell r="M39">
            <v>1500</v>
          </cell>
          <cell r="N39">
            <v>7.48</v>
          </cell>
        </row>
        <row r="40">
          <cell r="C40" t="str">
            <v>INE053F08338</v>
          </cell>
          <cell r="D40" t="str">
            <v>FI3567IRFC251</v>
          </cell>
          <cell r="E40" t="str">
            <v>NCD</v>
          </cell>
          <cell r="F40" t="str">
            <v>Indian Railway Finance Corporation Ltd</v>
          </cell>
          <cell r="G40" t="str">
            <v>7.68% Indian Railway Finance Corporation Ltd NCD MD 24-11-2026</v>
          </cell>
          <cell r="H40">
            <v>7.68</v>
          </cell>
          <cell r="I40" t="str">
            <v>24-11-2026</v>
          </cell>
          <cell r="J40" t="str">
            <v>CRISIL AAA</v>
          </cell>
          <cell r="K40">
            <v>2.0581999999999998</v>
          </cell>
          <cell r="L40">
            <v>100000</v>
          </cell>
          <cell r="M40">
            <v>500</v>
          </cell>
          <cell r="N40">
            <v>7.48</v>
          </cell>
        </row>
        <row r="41">
          <cell r="C41" t="str">
            <v>INE053F08411</v>
          </cell>
          <cell r="D41" t="str">
            <v>FI3567IRFC252</v>
          </cell>
          <cell r="E41" t="str">
            <v>NCD</v>
          </cell>
          <cell r="F41" t="str">
            <v>Indian Railway Finance Corporation Ltd</v>
          </cell>
          <cell r="G41" t="str">
            <v>7.37%  Indian Railway Finance Corporation Ltd NCD MD 31-07-2029</v>
          </cell>
          <cell r="H41">
            <v>7.37</v>
          </cell>
          <cell r="I41" t="str">
            <v>31-07-2029</v>
          </cell>
          <cell r="J41" t="str">
            <v>CRISIL AAA</v>
          </cell>
          <cell r="K41">
            <v>4.3000999999999996</v>
          </cell>
          <cell r="L41">
            <v>100000</v>
          </cell>
          <cell r="M41">
            <v>1000</v>
          </cell>
          <cell r="N41">
            <v>7.43</v>
          </cell>
        </row>
        <row r="42">
          <cell r="C42" t="str">
            <v>INE0KUG08035</v>
          </cell>
          <cell r="D42" t="str">
            <v>FI35NBFINCD2</v>
          </cell>
          <cell r="E42" t="str">
            <v>NCD</v>
          </cell>
          <cell r="F42" t="str">
            <v>National Bank for Financing Infrastructure and Development</v>
          </cell>
          <cell r="G42" t="str">
            <v>7.43% National Bank for Financing Infrastructure and Development NCD MD 04-07-2034 NABFID2025-1 PUT</v>
          </cell>
          <cell r="H42">
            <v>7.43</v>
          </cell>
          <cell r="I42" t="str">
            <v>04-07-2034</v>
          </cell>
          <cell r="J42" t="str">
            <v>CRISIL AAA</v>
          </cell>
          <cell r="K42">
            <v>7.2838000000000003</v>
          </cell>
          <cell r="L42">
            <v>100000</v>
          </cell>
          <cell r="M42">
            <v>500</v>
          </cell>
          <cell r="N42">
            <v>7.3905000000000003</v>
          </cell>
        </row>
        <row r="43">
          <cell r="C43" t="str">
            <v>INE134E08LK2</v>
          </cell>
          <cell r="D43" t="str">
            <v>FI35PFNC363</v>
          </cell>
          <cell r="E43" t="str">
            <v>NCD</v>
          </cell>
          <cell r="F43" t="str">
            <v>Power Finance Corporation Ltd</v>
          </cell>
          <cell r="G43" t="str">
            <v>6.09% Power Finance Corporation Ltd-NCD-27/08/2026-OPTION A</v>
          </cell>
          <cell r="H43">
            <v>6.09</v>
          </cell>
          <cell r="I43" t="str">
            <v>27-08-2026</v>
          </cell>
          <cell r="J43" t="str">
            <v>ICRA AAA</v>
          </cell>
          <cell r="K43">
            <v>1.8574999999999999</v>
          </cell>
          <cell r="L43">
            <v>1000000</v>
          </cell>
          <cell r="M43">
            <v>200</v>
          </cell>
          <cell r="N43">
            <v>7.5987999999999998</v>
          </cell>
        </row>
        <row r="44">
          <cell r="C44" t="str">
            <v>INE134E08MX3</v>
          </cell>
          <cell r="D44" t="str">
            <v>FI35PFCNC371</v>
          </cell>
          <cell r="E44" t="str">
            <v>NCD</v>
          </cell>
          <cell r="F44" t="str">
            <v>Power Finance Corporation Ltd</v>
          </cell>
          <cell r="G44" t="str">
            <v>7.60% Power Finance Corporation Limited NCD MD 13-04-2029</v>
          </cell>
          <cell r="H44">
            <v>7.6</v>
          </cell>
          <cell r="I44" t="str">
            <v>13-04-2029</v>
          </cell>
          <cell r="J44" t="str">
            <v>CRISIL AAA</v>
          </cell>
          <cell r="K44">
            <v>3.9588000000000001</v>
          </cell>
          <cell r="L44">
            <v>100000</v>
          </cell>
          <cell r="M44">
            <v>500</v>
          </cell>
          <cell r="N44">
            <v>7.43</v>
          </cell>
        </row>
        <row r="45">
          <cell r="C45" t="str">
            <v>INE242A08544</v>
          </cell>
          <cell r="D45" t="str">
            <v>OI4309NC207</v>
          </cell>
          <cell r="E45" t="str">
            <v>NCD</v>
          </cell>
          <cell r="F45" t="str">
            <v>Indian Oil Corporation Ltd</v>
          </cell>
          <cell r="G45" t="str">
            <v xml:space="preserve">7.44% Indian Oil Corporation NCD 25/11/2027 (SERIES XXV) </v>
          </cell>
          <cell r="H45">
            <v>7.44</v>
          </cell>
          <cell r="I45" t="str">
            <v>25-11-2027</v>
          </cell>
          <cell r="J45" t="str">
            <v>ICRA AAA</v>
          </cell>
          <cell r="K45">
            <v>2.8797000000000001</v>
          </cell>
          <cell r="L45">
            <v>1000000</v>
          </cell>
          <cell r="M45">
            <v>300</v>
          </cell>
          <cell r="N45">
            <v>7.3849999999999998</v>
          </cell>
        </row>
        <row r="46">
          <cell r="C46" t="str">
            <v>INE261F08DO9</v>
          </cell>
          <cell r="D46" t="str">
            <v>FI35NANC296</v>
          </cell>
          <cell r="E46" t="str">
            <v>NCD</v>
          </cell>
          <cell r="F46" t="str">
            <v>National Bank for Agriculture &amp; Rural Development</v>
          </cell>
          <cell r="G46" t="str">
            <v>7.40%  NABARD- NCD 30/01/2026 SERIES 23 A-R1</v>
          </cell>
          <cell r="H46">
            <v>7.4</v>
          </cell>
          <cell r="I46" t="str">
            <v>30-01-2026</v>
          </cell>
          <cell r="J46" t="str">
            <v>ICRA AAA</v>
          </cell>
          <cell r="K46">
            <v>1.3872</v>
          </cell>
          <cell r="L46">
            <v>1000000</v>
          </cell>
          <cell r="M46">
            <v>150</v>
          </cell>
          <cell r="N46">
            <v>7.7080000000000002</v>
          </cell>
        </row>
        <row r="47">
          <cell r="C47" t="str">
            <v>INE261F08EH1</v>
          </cell>
          <cell r="D47" t="str">
            <v>FI35NANC306</v>
          </cell>
          <cell r="E47" t="str">
            <v>NCD</v>
          </cell>
          <cell r="F47" t="str">
            <v>National Bank for Agriculture &amp; Rural Development</v>
          </cell>
          <cell r="G47" t="str">
            <v>7.62%  NABARD NCD MD 10-05-2029</v>
          </cell>
          <cell r="H47">
            <v>7.62</v>
          </cell>
          <cell r="I47" t="str">
            <v>10-05-2029</v>
          </cell>
          <cell r="J47" t="str">
            <v>CRISIL AAA</v>
          </cell>
          <cell r="K47">
            <v>4.0732999999999997</v>
          </cell>
          <cell r="L47">
            <v>100000</v>
          </cell>
          <cell r="M47">
            <v>1500</v>
          </cell>
          <cell r="N47">
            <v>7.52</v>
          </cell>
        </row>
        <row r="48">
          <cell r="C48" t="str">
            <v>INE514E08FV4</v>
          </cell>
          <cell r="D48" t="str">
            <v>FI35EXNC271</v>
          </cell>
          <cell r="E48" t="str">
            <v>NCD</v>
          </cell>
          <cell r="F48" t="str">
            <v>Export Import Bank of India</v>
          </cell>
          <cell r="G48" t="str">
            <v>5.85% Export Import Bank of India-NCD-12/09/2025 (SR.W.02-2025)</v>
          </cell>
          <cell r="H48">
            <v>5.85</v>
          </cell>
          <cell r="I48" t="str">
            <v>12-09-2025</v>
          </cell>
          <cell r="J48" t="str">
            <v>ICRA AAA</v>
          </cell>
          <cell r="K48">
            <v>1.0179</v>
          </cell>
          <cell r="L48">
            <v>1000000</v>
          </cell>
          <cell r="M48">
            <v>250</v>
          </cell>
          <cell r="N48">
            <v>7.6050000000000004</v>
          </cell>
        </row>
        <row r="49">
          <cell r="C49" t="str">
            <v>INE556F08KE8</v>
          </cell>
          <cell r="D49" t="str">
            <v>FI3405NCD200</v>
          </cell>
          <cell r="E49" t="str">
            <v>NCD</v>
          </cell>
          <cell r="F49" t="str">
            <v>Small Industries Development Bank of India</v>
          </cell>
          <cell r="G49" t="str">
            <v>Small Industries Development Bank of India NCD 25 11 2025</v>
          </cell>
          <cell r="H49">
            <v>7.47</v>
          </cell>
          <cell r="I49" t="str">
            <v>25-11-2025</v>
          </cell>
          <cell r="J49" t="str">
            <v>ICRA AAA</v>
          </cell>
          <cell r="K49">
            <v>1.2027000000000001</v>
          </cell>
          <cell r="L49">
            <v>1000000</v>
          </cell>
          <cell r="M49">
            <v>50</v>
          </cell>
          <cell r="N49">
            <v>7.7</v>
          </cell>
        </row>
        <row r="50">
          <cell r="C50" t="str">
            <v>INE556F08KF5</v>
          </cell>
          <cell r="D50" t="str">
            <v>FI3405NC235</v>
          </cell>
          <cell r="E50" t="str">
            <v>NCD</v>
          </cell>
          <cell r="F50" t="str">
            <v>Small Industries Development Bank of India</v>
          </cell>
          <cell r="G50" t="str">
            <v>7.54%  Small Industries Development Bank of India-NCD 12/01/2026 SER V111</v>
          </cell>
          <cell r="H50">
            <v>7.54</v>
          </cell>
          <cell r="I50" t="str">
            <v>12-01-2026</v>
          </cell>
          <cell r="J50" t="str">
            <v>ICRA AAA</v>
          </cell>
          <cell r="K50">
            <v>1.3220000000000001</v>
          </cell>
          <cell r="L50">
            <v>1000000</v>
          </cell>
          <cell r="M50">
            <v>200</v>
          </cell>
          <cell r="N50">
            <v>7.7050000000000001</v>
          </cell>
        </row>
        <row r="51">
          <cell r="C51" t="str">
            <v>INE557F08FY4</v>
          </cell>
          <cell r="D51" t="str">
            <v>FI3335NC246</v>
          </cell>
          <cell r="E51" t="str">
            <v>NCD</v>
          </cell>
          <cell r="F51" t="str">
            <v xml:space="preserve">National Housing Bank </v>
          </cell>
          <cell r="G51" t="str">
            <v>7.59% NATIONAL HOUSING BANK NCD MD 14-07-2027</v>
          </cell>
          <cell r="H51">
            <v>7.59</v>
          </cell>
          <cell r="I51" t="str">
            <v>14-07-2027</v>
          </cell>
          <cell r="J51" t="str">
            <v>CRISIL AAA</v>
          </cell>
          <cell r="K51">
            <v>2.6791</v>
          </cell>
          <cell r="L51">
            <v>100000</v>
          </cell>
          <cell r="M51">
            <v>2000</v>
          </cell>
          <cell r="N51">
            <v>7.47</v>
          </cell>
        </row>
        <row r="52">
          <cell r="C52" t="str">
            <v>INE752E08734</v>
          </cell>
          <cell r="D52" t="str">
            <v>UT4716NC267</v>
          </cell>
          <cell r="E52" t="str">
            <v>NCD</v>
          </cell>
          <cell r="F52" t="str">
            <v>Power Grid Corporation of India Ltd</v>
          </cell>
          <cell r="G52" t="str">
            <v>7.35% Power Grid Corporation of India Ltd-NCD-12/03/2034</v>
          </cell>
          <cell r="H52">
            <v>7.35</v>
          </cell>
          <cell r="I52" t="str">
            <v>12-03-2034</v>
          </cell>
          <cell r="J52" t="str">
            <v>CRISIL AAA</v>
          </cell>
          <cell r="K52">
            <v>6.9836</v>
          </cell>
          <cell r="L52">
            <v>100000</v>
          </cell>
          <cell r="M52">
            <v>1000</v>
          </cell>
          <cell r="N52">
            <v>7.3834</v>
          </cell>
        </row>
        <row r="53">
          <cell r="C53" t="str">
            <v>INE916DA7SL3</v>
          </cell>
          <cell r="D53" t="str">
            <v>FI3516NC226</v>
          </cell>
          <cell r="E53" t="str">
            <v>NCD</v>
          </cell>
          <cell r="F53" t="str">
            <v>Kotak Mahindra Prime Ltd</v>
          </cell>
          <cell r="G53" t="str">
            <v>8.09% Kotak Mahindra Prime Ltd NCD MD 09-11-2026</v>
          </cell>
          <cell r="H53">
            <v>8.09</v>
          </cell>
          <cell r="I53" t="str">
            <v>09-11-2026</v>
          </cell>
          <cell r="J53" t="str">
            <v>CRISIL AAA</v>
          </cell>
          <cell r="K53">
            <v>2.0135999999999998</v>
          </cell>
          <cell r="L53">
            <v>100000</v>
          </cell>
          <cell r="M53">
            <v>500</v>
          </cell>
          <cell r="N53">
            <v>7.99</v>
          </cell>
        </row>
        <row r="54">
          <cell r="C54" t="str">
            <v>IN002024Z057</v>
          </cell>
          <cell r="D54" t="str">
            <v>364TBL020525</v>
          </cell>
          <cell r="E54" t="str">
            <v>TBL</v>
          </cell>
          <cell r="F54" t="str">
            <v>Govt. of India - GSec / TBL</v>
          </cell>
          <cell r="G54" t="str">
            <v>364 Days - T Bill - 02/05/2025</v>
          </cell>
          <cell r="H54">
            <v>0</v>
          </cell>
          <cell r="I54" t="str">
            <v>02-05-2025</v>
          </cell>
          <cell r="J54" t="str">
            <v>Sovereign</v>
          </cell>
          <cell r="K54">
            <v>0.71</v>
          </cell>
          <cell r="L54">
            <v>100</v>
          </cell>
          <cell r="M54">
            <v>2000000</v>
          </cell>
          <cell r="N54">
            <v>6.6590999999999996</v>
          </cell>
        </row>
        <row r="55">
          <cell r="C55" t="str">
            <v>INF0RQ622028</v>
          </cell>
          <cell r="D55" t="str">
            <v>CDMDF23</v>
          </cell>
          <cell r="E55" t="str">
            <v>CDMDF</v>
          </cell>
          <cell r="F55" t="str">
            <v>Corporate Debt Market Development Fund</v>
          </cell>
          <cell r="G55" t="str">
            <v>Corporate Debt Market Development Fund - Class A2</v>
          </cell>
          <cell r="H55">
            <v>0</v>
          </cell>
          <cell r="K55">
            <v>0</v>
          </cell>
          <cell r="L55">
            <v>10000</v>
          </cell>
          <cell r="M55">
            <v>649.726</v>
          </cell>
          <cell r="N55">
            <v>9.9999999999999995E-7</v>
          </cell>
        </row>
        <row r="56">
          <cell r="C56" t="str">
            <v>INE115A14EX5</v>
          </cell>
          <cell r="D56" t="str">
            <v>FILICCP235</v>
          </cell>
          <cell r="E56" t="str">
            <v>CMP</v>
          </cell>
          <cell r="F56" t="str">
            <v>LIC Housing Finance Ltd</v>
          </cell>
          <cell r="G56" t="str">
            <v>LIC Housing Finance Ltd CP MD 21-03-2025</v>
          </cell>
          <cell r="H56">
            <v>0</v>
          </cell>
          <cell r="I56" t="str">
            <v>21-03-2025</v>
          </cell>
          <cell r="J56" t="str">
            <v>CRISIL A1+</v>
          </cell>
          <cell r="K56">
            <v>0.6</v>
          </cell>
          <cell r="L56">
            <v>500000</v>
          </cell>
          <cell r="M56">
            <v>200</v>
          </cell>
          <cell r="N56">
            <v>7.55</v>
          </cell>
        </row>
        <row r="57">
          <cell r="C57" t="str">
            <v>INE144H14GZ0</v>
          </cell>
          <cell r="D57" t="str">
            <v>FI35118CP209</v>
          </cell>
          <cell r="E57" t="str">
            <v>CMP</v>
          </cell>
          <cell r="F57" t="str">
            <v>Deutsche Investments India Private Ltd</v>
          </cell>
          <cell r="G57" t="str">
            <v>Deutsche Investments India Private Ltd CP MD 09-12-2024</v>
          </cell>
          <cell r="H57">
            <v>0</v>
          </cell>
          <cell r="I57" t="str">
            <v>09-12-2024</v>
          </cell>
          <cell r="J57" t="str">
            <v>CRISIL A1+</v>
          </cell>
          <cell r="K57">
            <v>0.32</v>
          </cell>
          <cell r="L57">
            <v>500000</v>
          </cell>
          <cell r="M57">
            <v>200</v>
          </cell>
          <cell r="N57">
            <v>7.9649999999999999</v>
          </cell>
        </row>
        <row r="58">
          <cell r="C58" t="str">
            <v>INE556F14KH9</v>
          </cell>
          <cell r="D58" t="str">
            <v>FI3405CP296</v>
          </cell>
          <cell r="E58" t="str">
            <v>CMP</v>
          </cell>
          <cell r="F58" t="str">
            <v>Small Industries Development Bank of India</v>
          </cell>
          <cell r="G58" t="str">
            <v>Small Industries Development Bank of India CMP 28 05 2025</v>
          </cell>
          <cell r="H58">
            <v>0</v>
          </cell>
          <cell r="I58" t="str">
            <v>28-05-2025</v>
          </cell>
          <cell r="J58" t="str">
            <v>CRISIL A1+</v>
          </cell>
          <cell r="K58">
            <v>0.78</v>
          </cell>
          <cell r="L58">
            <v>500000</v>
          </cell>
          <cell r="M58">
            <v>200</v>
          </cell>
          <cell r="N58">
            <v>7.65</v>
          </cell>
        </row>
        <row r="59">
          <cell r="C59" t="str">
            <v>INE763G14TE7</v>
          </cell>
          <cell r="D59" t="str">
            <v>FI3418CP230</v>
          </cell>
          <cell r="E59" t="str">
            <v>CMP</v>
          </cell>
          <cell r="F59" t="str">
            <v>ICICI Securities Ltd</v>
          </cell>
          <cell r="G59" t="str">
            <v>ICICI Securities Ltd CP MD 21-02-2025</v>
          </cell>
          <cell r="H59">
            <v>0</v>
          </cell>
          <cell r="I59" t="str">
            <v>21-02-2025</v>
          </cell>
          <cell r="J59" t="str">
            <v>CRISIL A1+</v>
          </cell>
          <cell r="K59">
            <v>0.52</v>
          </cell>
          <cell r="L59">
            <v>500000</v>
          </cell>
          <cell r="M59">
            <v>200</v>
          </cell>
          <cell r="N59">
            <v>7.8975</v>
          </cell>
        </row>
        <row r="60">
          <cell r="C60" t="str">
            <v>INE790I14FB1</v>
          </cell>
          <cell r="D60" t="str">
            <v>FI35117CP211</v>
          </cell>
          <cell r="E60" t="str">
            <v>CMP</v>
          </cell>
          <cell r="F60" t="str">
            <v>HSBC InvestDirect Financial Services India Limited</v>
          </cell>
          <cell r="G60" t="str">
            <v>HSBC InvestDirect Financial Services India Ltd CP MD 13-11-2024</v>
          </cell>
          <cell r="H60">
            <v>0</v>
          </cell>
          <cell r="I60" t="str">
            <v>13-11-2024</v>
          </cell>
          <cell r="J60" t="str">
            <v>CRISIL A1+</v>
          </cell>
          <cell r="K60">
            <v>0.25</v>
          </cell>
          <cell r="L60">
            <v>500000</v>
          </cell>
          <cell r="M60">
            <v>200</v>
          </cell>
          <cell r="N60">
            <v>7.82</v>
          </cell>
        </row>
        <row r="61">
          <cell r="C61" t="str">
            <v>INE01GA16228</v>
          </cell>
          <cell r="D61" t="str">
            <v>FI3378CD206</v>
          </cell>
          <cell r="E61" t="str">
            <v>COD</v>
          </cell>
          <cell r="F61" t="str">
            <v>DBS BANK LTD</v>
          </cell>
          <cell r="G61" t="str">
            <v>DBS BANK LTD INDIA COD MD 07-03-2025</v>
          </cell>
          <cell r="H61">
            <v>0</v>
          </cell>
          <cell r="I61" t="str">
            <v>07-03-2025</v>
          </cell>
          <cell r="J61" t="str">
            <v>CRISIL A1+</v>
          </cell>
          <cell r="K61">
            <v>0.56000000000000005</v>
          </cell>
          <cell r="L61">
            <v>500000</v>
          </cell>
          <cell r="M61">
            <v>200</v>
          </cell>
          <cell r="N61">
            <v>7.5750000000000002</v>
          </cell>
        </row>
        <row r="62">
          <cell r="C62" t="str">
            <v>INE028A16EX5</v>
          </cell>
          <cell r="D62" t="str">
            <v>FI3369CD285</v>
          </cell>
          <cell r="E62" t="str">
            <v>COD</v>
          </cell>
          <cell r="F62" t="str">
            <v>Bank of Baroda</v>
          </cell>
          <cell r="G62" t="str">
            <v>Bank of Baroda COD MD 20-02-2025</v>
          </cell>
          <cell r="H62">
            <v>0</v>
          </cell>
          <cell r="I62" t="str">
            <v>20-02-2025</v>
          </cell>
          <cell r="J62" t="str">
            <v>IND A1+</v>
          </cell>
          <cell r="K62">
            <v>0.52</v>
          </cell>
          <cell r="L62">
            <v>500000</v>
          </cell>
          <cell r="M62">
            <v>300</v>
          </cell>
          <cell r="N62">
            <v>7.48</v>
          </cell>
        </row>
        <row r="63">
          <cell r="C63" t="str">
            <v>INE040A16EN1</v>
          </cell>
          <cell r="D63" t="str">
            <v>FI3310CD279</v>
          </cell>
          <cell r="E63" t="str">
            <v>COD</v>
          </cell>
          <cell r="F63" t="str">
            <v>HDFC Bank Ltd</v>
          </cell>
          <cell r="G63" t="str">
            <v>HDFC BANK LTD CD MD 20-02-2025</v>
          </cell>
          <cell r="H63">
            <v>0</v>
          </cell>
          <cell r="I63" t="str">
            <v>20-02-2025</v>
          </cell>
          <cell r="J63" t="str">
            <v>CRISIL A1+</v>
          </cell>
          <cell r="K63">
            <v>0.52</v>
          </cell>
          <cell r="L63">
            <v>500000</v>
          </cell>
          <cell r="M63">
            <v>200</v>
          </cell>
          <cell r="N63">
            <v>7.5</v>
          </cell>
        </row>
        <row r="64">
          <cell r="C64" t="str">
            <v>INE040A16FA5</v>
          </cell>
          <cell r="D64" t="str">
            <v>FI3310CD285</v>
          </cell>
          <cell r="E64" t="str">
            <v>COD</v>
          </cell>
          <cell r="F64" t="str">
            <v>HDFC Bank Ltd</v>
          </cell>
          <cell r="G64" t="str">
            <v>Hdfc Bank Ltd COD MD 24-06-2025</v>
          </cell>
          <cell r="H64">
            <v>0</v>
          </cell>
          <cell r="I64" t="str">
            <v>24-06-2025</v>
          </cell>
          <cell r="J64" t="str">
            <v>CRISIL A1+</v>
          </cell>
          <cell r="K64">
            <v>0.86</v>
          </cell>
          <cell r="L64">
            <v>500000</v>
          </cell>
          <cell r="M64">
            <v>100</v>
          </cell>
          <cell r="N64">
            <v>7.5875000000000004</v>
          </cell>
        </row>
        <row r="65">
          <cell r="C65" t="str">
            <v>INE090AD6113</v>
          </cell>
          <cell r="D65" t="str">
            <v>FI3305CD366</v>
          </cell>
          <cell r="E65" t="str">
            <v>COD</v>
          </cell>
          <cell r="F65" t="str">
            <v>ICICI Bank Ltd</v>
          </cell>
          <cell r="G65" t="str">
            <v>ICICI Bank Ltd COD MD 31-01-2025</v>
          </cell>
          <cell r="H65">
            <v>0</v>
          </cell>
          <cell r="I65" t="str">
            <v>31-01-2025</v>
          </cell>
          <cell r="J65" t="str">
            <v>ICRA A1+</v>
          </cell>
          <cell r="K65">
            <v>0.46</v>
          </cell>
          <cell r="L65">
            <v>500000</v>
          </cell>
          <cell r="M65">
            <v>100</v>
          </cell>
          <cell r="N65">
            <v>7.48</v>
          </cell>
        </row>
        <row r="66">
          <cell r="C66" t="str">
            <v>INE090AD6170</v>
          </cell>
          <cell r="D66" t="str">
            <v>FI3305CD371</v>
          </cell>
          <cell r="E66" t="str">
            <v>COD</v>
          </cell>
          <cell r="F66" t="str">
            <v>ICICI Bank Ltd</v>
          </cell>
          <cell r="G66" t="str">
            <v>ICICI Bank Ltd CD 25 07 2025</v>
          </cell>
          <cell r="H66">
            <v>0</v>
          </cell>
          <cell r="I66" t="str">
            <v>25-07-2025</v>
          </cell>
          <cell r="J66" t="str">
            <v>ICRA A1+</v>
          </cell>
          <cell r="K66">
            <v>0.94</v>
          </cell>
          <cell r="L66">
            <v>500000</v>
          </cell>
          <cell r="M66">
            <v>160</v>
          </cell>
          <cell r="N66">
            <v>7.59</v>
          </cell>
        </row>
        <row r="67">
          <cell r="C67" t="str">
            <v>INE092T16WB9</v>
          </cell>
          <cell r="D67" t="str">
            <v>FI3437CD267</v>
          </cell>
          <cell r="E67" t="str">
            <v>COD</v>
          </cell>
          <cell r="F67" t="str">
            <v>IDFC First Bank Ltd</v>
          </cell>
          <cell r="G67" t="str">
            <v>IDFC FIRST BANK LTD COD MD 21-02-2025</v>
          </cell>
          <cell r="H67">
            <v>0</v>
          </cell>
          <cell r="I67" t="str">
            <v>21-02-2025</v>
          </cell>
          <cell r="J67" t="str">
            <v>CRISIL A1+</v>
          </cell>
          <cell r="K67">
            <v>0.52</v>
          </cell>
          <cell r="L67">
            <v>500000</v>
          </cell>
          <cell r="M67">
            <v>140</v>
          </cell>
          <cell r="N67">
            <v>7.58</v>
          </cell>
        </row>
        <row r="68">
          <cell r="C68" t="str">
            <v>INE095A16V79</v>
          </cell>
          <cell r="D68" t="str">
            <v>FI3307CD337</v>
          </cell>
          <cell r="E68" t="str">
            <v>COD</v>
          </cell>
          <cell r="F68" t="str">
            <v>IndusInd Bank Ltd</v>
          </cell>
          <cell r="G68" t="str">
            <v>INDUSIND BANK LTD COD MD 24-02-2025</v>
          </cell>
          <cell r="H68">
            <v>0</v>
          </cell>
          <cell r="I68" t="str">
            <v>24-02-2025</v>
          </cell>
          <cell r="J68" t="str">
            <v>CRISIL A1+</v>
          </cell>
          <cell r="K68">
            <v>0.53</v>
          </cell>
          <cell r="L68">
            <v>500000</v>
          </cell>
          <cell r="M68">
            <v>140</v>
          </cell>
          <cell r="N68">
            <v>7.57</v>
          </cell>
        </row>
        <row r="69">
          <cell r="C69" t="str">
            <v>INE160A16OM8</v>
          </cell>
          <cell r="D69" t="str">
            <v>FI3316CD363</v>
          </cell>
          <cell r="E69" t="str">
            <v>COD</v>
          </cell>
          <cell r="F69" t="str">
            <v>Punjab National Bank</v>
          </cell>
          <cell r="G69" t="str">
            <v>PUNJAB NATIONAL BANK COD MD  25-02-2025</v>
          </cell>
          <cell r="H69">
            <v>0</v>
          </cell>
          <cell r="I69" t="str">
            <v>25-02-2025</v>
          </cell>
          <cell r="J69" t="str">
            <v>CRISIL A1+</v>
          </cell>
          <cell r="K69">
            <v>0.53</v>
          </cell>
          <cell r="L69">
            <v>500000</v>
          </cell>
          <cell r="M69">
            <v>400</v>
          </cell>
          <cell r="N69">
            <v>7.52</v>
          </cell>
        </row>
        <row r="70">
          <cell r="C70" t="str">
            <v>INE171A16LP4</v>
          </cell>
          <cell r="D70" t="str">
            <v>FI3326CD249</v>
          </cell>
          <cell r="E70" t="str">
            <v>COD</v>
          </cell>
          <cell r="F70" t="str">
            <v>The Federal Bank Ltd</v>
          </cell>
          <cell r="G70" t="str">
            <v>Federal Bank Ltd CD MD 04-02-2025</v>
          </cell>
          <cell r="H70">
            <v>0</v>
          </cell>
          <cell r="I70" t="str">
            <v>04-02-2025</v>
          </cell>
          <cell r="J70" t="str">
            <v>CRISIL A1+</v>
          </cell>
          <cell r="K70">
            <v>0.47</v>
          </cell>
          <cell r="L70">
            <v>500000</v>
          </cell>
          <cell r="M70">
            <v>100</v>
          </cell>
          <cell r="N70">
            <v>7.56</v>
          </cell>
        </row>
        <row r="71">
          <cell r="C71" t="str">
            <v>INE237A164X3</v>
          </cell>
          <cell r="D71" t="str">
            <v>FI3332CD273</v>
          </cell>
          <cell r="E71" t="str">
            <v>COD</v>
          </cell>
          <cell r="F71" t="str">
            <v>Kotak Mahindra Bank Ltd</v>
          </cell>
          <cell r="G71" t="str">
            <v>KOTAK MAHINDRA BANK COD MD 13-12-2024</v>
          </cell>
          <cell r="H71">
            <v>0</v>
          </cell>
          <cell r="I71" t="str">
            <v>13-12-2024</v>
          </cell>
          <cell r="J71" t="str">
            <v>CRISIL A1+</v>
          </cell>
          <cell r="K71">
            <v>0.33</v>
          </cell>
          <cell r="L71">
            <v>500000</v>
          </cell>
          <cell r="M71">
            <v>200</v>
          </cell>
          <cell r="N71">
            <v>7.3586</v>
          </cell>
        </row>
        <row r="72">
          <cell r="C72" t="str">
            <v>INE238AD6850</v>
          </cell>
          <cell r="D72" t="str">
            <v>FI3319CD524</v>
          </cell>
          <cell r="E72" t="str">
            <v>COD</v>
          </cell>
          <cell r="F72" t="str">
            <v>Axis Bank Ltd</v>
          </cell>
          <cell r="G72" t="str">
            <v>Axis Bank Ltd CD MD 25-11-2024</v>
          </cell>
          <cell r="H72">
            <v>0</v>
          </cell>
          <cell r="I72" t="str">
            <v>25-11-2024</v>
          </cell>
          <cell r="J72" t="str">
            <v>CRISIL A1+</v>
          </cell>
          <cell r="K72">
            <v>0.28000000000000003</v>
          </cell>
          <cell r="L72">
            <v>500000</v>
          </cell>
          <cell r="M72">
            <v>100</v>
          </cell>
          <cell r="N72">
            <v>7.36</v>
          </cell>
        </row>
        <row r="73">
          <cell r="C73" t="str">
            <v>INE261F16793</v>
          </cell>
          <cell r="D73" t="str">
            <v>FI35NACD353</v>
          </cell>
          <cell r="E73" t="str">
            <v>COD</v>
          </cell>
          <cell r="F73" t="str">
            <v>National Bank for Agriculture &amp; Rural Development</v>
          </cell>
          <cell r="G73" t="str">
            <v>NABARD CD MD 12-02-2025</v>
          </cell>
          <cell r="H73">
            <v>0</v>
          </cell>
          <cell r="I73" t="str">
            <v>12-02-2025</v>
          </cell>
          <cell r="J73" t="str">
            <v>CRISIL A1+</v>
          </cell>
          <cell r="K73">
            <v>0.5</v>
          </cell>
          <cell r="L73">
            <v>500000</v>
          </cell>
          <cell r="M73">
            <v>200</v>
          </cell>
          <cell r="N73">
            <v>7.5</v>
          </cell>
        </row>
        <row r="74">
          <cell r="C74" t="str">
            <v>INE476A16YB0</v>
          </cell>
          <cell r="D74" t="str">
            <v>FI3320CD471</v>
          </cell>
          <cell r="E74" t="str">
            <v>COD</v>
          </cell>
          <cell r="F74" t="str">
            <v>Canara Bank</v>
          </cell>
          <cell r="G74" t="str">
            <v>CANARA BANK COD MD 20-03-2025</v>
          </cell>
          <cell r="H74">
            <v>0</v>
          </cell>
          <cell r="I74" t="str">
            <v>20-03-2025</v>
          </cell>
          <cell r="J74" t="str">
            <v>CRISIL A1+</v>
          </cell>
          <cell r="K74">
            <v>0.59</v>
          </cell>
          <cell r="L74">
            <v>500000</v>
          </cell>
          <cell r="M74">
            <v>300</v>
          </cell>
          <cell r="N74">
            <v>7.5</v>
          </cell>
        </row>
        <row r="75">
          <cell r="C75" t="str">
            <v>INE562A16MZ1</v>
          </cell>
          <cell r="D75" t="str">
            <v>FI3345CD302</v>
          </cell>
          <cell r="E75" t="str">
            <v>COD</v>
          </cell>
          <cell r="F75" t="str">
            <v>Indian Bank</v>
          </cell>
          <cell r="G75" t="str">
            <v>INDIAN BANK LTD COD MD 23-05-2025</v>
          </cell>
          <cell r="H75">
            <v>0</v>
          </cell>
          <cell r="I75" t="str">
            <v>23-05-2025</v>
          </cell>
          <cell r="J75" t="str">
            <v>CRISIL A1+</v>
          </cell>
          <cell r="K75">
            <v>0.77</v>
          </cell>
          <cell r="L75">
            <v>500000</v>
          </cell>
          <cell r="M75">
            <v>300</v>
          </cell>
          <cell r="N75">
            <v>7.5949999999999998</v>
          </cell>
        </row>
        <row r="76">
          <cell r="C76" t="str">
            <v>INE692A16GZ8</v>
          </cell>
          <cell r="D76" t="str">
            <v>FI3321CD266</v>
          </cell>
          <cell r="E76" t="str">
            <v>COD</v>
          </cell>
          <cell r="F76" t="str">
            <v>Union Bank of India</v>
          </cell>
          <cell r="G76" t="str">
            <v>UNION BANK OF INDIA COD MD 27-02-2025</v>
          </cell>
          <cell r="H76">
            <v>0</v>
          </cell>
          <cell r="I76" t="str">
            <v>27-02-2025</v>
          </cell>
          <cell r="J76" t="str">
            <v>ICRA A1+</v>
          </cell>
          <cell r="K76">
            <v>0.54</v>
          </cell>
          <cell r="L76">
            <v>500000</v>
          </cell>
          <cell r="M76">
            <v>100</v>
          </cell>
          <cell r="N76">
            <v>7.5101000000000004</v>
          </cell>
        </row>
        <row r="77">
          <cell r="C77" t="str">
            <v>IN002024Z073</v>
          </cell>
          <cell r="D77" t="str">
            <v>364TBL150525</v>
          </cell>
          <cell r="E77" t="str">
            <v>TBL</v>
          </cell>
          <cell r="F77" t="str">
            <v>Govt. of India - GSec / TBL</v>
          </cell>
          <cell r="G77" t="str">
            <v>364 Days - T Bill - 15/05/2025</v>
          </cell>
          <cell r="H77">
            <v>0</v>
          </cell>
          <cell r="I77" t="str">
            <v>15-05-2025</v>
          </cell>
          <cell r="J77" t="str">
            <v>Sovereign</v>
          </cell>
          <cell r="K77">
            <v>0.75</v>
          </cell>
          <cell r="L77">
            <v>100</v>
          </cell>
          <cell r="M77">
            <v>1500000</v>
          </cell>
          <cell r="N77">
            <v>6.66</v>
          </cell>
        </row>
        <row r="78">
          <cell r="C78" t="str">
            <v>INE121A08PJ0</v>
          </cell>
          <cell r="D78" t="str">
            <v>FI3431CCD200</v>
          </cell>
          <cell r="E78" t="str">
            <v>CCD</v>
          </cell>
          <cell r="F78" t="str">
            <v>Cholamandalam Investment and Finance Company Ltd</v>
          </cell>
          <cell r="G78" t="str">
            <v>7.5% Cholamandalam Investment And Company Ltd CCD 30 09 2026</v>
          </cell>
          <cell r="H78">
            <v>7.5</v>
          </cell>
          <cell r="I78" t="str">
            <v>30-09-2026</v>
          </cell>
          <cell r="J78" t="str">
            <v xml:space="preserve"> UNRATED</v>
          </cell>
          <cell r="K78">
            <v>1.954226</v>
          </cell>
          <cell r="L78">
            <v>100000</v>
          </cell>
          <cell r="M78">
            <v>1750</v>
          </cell>
          <cell r="N78">
            <v>8.42</v>
          </cell>
        </row>
        <row r="79">
          <cell r="C79" t="str">
            <v>INE115A14EX5</v>
          </cell>
          <cell r="D79" t="str">
            <v>FILICCP235</v>
          </cell>
          <cell r="E79" t="str">
            <v>CMP</v>
          </cell>
          <cell r="F79" t="str">
            <v>LIC Housing Finance Ltd</v>
          </cell>
          <cell r="G79" t="str">
            <v>LIC Housing Finance Ltd CP MD 21-03-2025</v>
          </cell>
          <cell r="H79">
            <v>0</v>
          </cell>
          <cell r="I79" t="str">
            <v>21-03-2025</v>
          </cell>
          <cell r="J79" t="str">
            <v>CRISIL A1+</v>
          </cell>
          <cell r="K79">
            <v>0.6</v>
          </cell>
          <cell r="L79">
            <v>500000</v>
          </cell>
          <cell r="M79">
            <v>300</v>
          </cell>
          <cell r="N79">
            <v>7.55</v>
          </cell>
        </row>
        <row r="80">
          <cell r="C80" t="str">
            <v>INE040A16FA5</v>
          </cell>
          <cell r="D80" t="str">
            <v>FI3310CD285</v>
          </cell>
          <cell r="E80" t="str">
            <v>COD</v>
          </cell>
          <cell r="F80" t="str">
            <v>HDFC Bank Ltd</v>
          </cell>
          <cell r="G80" t="str">
            <v>Hdfc Bank Ltd COD MD 24-06-2025</v>
          </cell>
          <cell r="H80">
            <v>0</v>
          </cell>
          <cell r="I80" t="str">
            <v>24-06-2025</v>
          </cell>
          <cell r="J80" t="str">
            <v>CRISIL A1+</v>
          </cell>
          <cell r="K80">
            <v>0.86</v>
          </cell>
          <cell r="L80">
            <v>500000</v>
          </cell>
          <cell r="M80">
            <v>400</v>
          </cell>
          <cell r="N80">
            <v>7.5875000000000004</v>
          </cell>
        </row>
        <row r="81">
          <cell r="C81" t="str">
            <v>IN0020210160</v>
          </cell>
          <cell r="D81" t="str">
            <v>4.04GOI041028</v>
          </cell>
          <cell r="E81" t="str">
            <v>GSE</v>
          </cell>
          <cell r="F81" t="str">
            <v>Govt. of India - GSec / TBL</v>
          </cell>
          <cell r="G81" t="str">
            <v>7.72% Central Government Securities_Floating Rate Bond 04/10/2028 (Previous 7.69)</v>
          </cell>
          <cell r="H81">
            <v>7.72</v>
          </cell>
          <cell r="I81" t="str">
            <v>04-10-2028</v>
          </cell>
          <cell r="J81" t="str">
            <v>Sovereign</v>
          </cell>
          <cell r="K81">
            <v>0</v>
          </cell>
          <cell r="L81">
            <v>100</v>
          </cell>
          <cell r="M81">
            <v>1500000</v>
          </cell>
          <cell r="N81">
            <v>7.4760586967447837</v>
          </cell>
        </row>
        <row r="82">
          <cell r="C82" t="str">
            <v>IN0020220011</v>
          </cell>
          <cell r="D82" t="str">
            <v>7.10GSE180429</v>
          </cell>
          <cell r="E82" t="str">
            <v>GSE</v>
          </cell>
          <cell r="F82" t="str">
            <v>Govt. of India - GSec / TBL</v>
          </cell>
          <cell r="G82" t="str">
            <v>7.10% Central Government Securities 18/04/2029</v>
          </cell>
          <cell r="H82">
            <v>7.1</v>
          </cell>
          <cell r="I82" t="str">
            <v>18-04-2029</v>
          </cell>
          <cell r="J82" t="str">
            <v>Sovereign</v>
          </cell>
          <cell r="K82">
            <v>3.9725999999999999</v>
          </cell>
          <cell r="L82">
            <v>100</v>
          </cell>
          <cell r="M82">
            <v>2500000</v>
          </cell>
          <cell r="N82">
            <v>6.9080000000000004</v>
          </cell>
        </row>
        <row r="83">
          <cell r="C83" t="str">
            <v>IN0020220037</v>
          </cell>
          <cell r="D83" t="str">
            <v>7.38GSEC200627</v>
          </cell>
          <cell r="E83" t="str">
            <v>GSE</v>
          </cell>
          <cell r="F83" t="str">
            <v>Govt. of India - GSec / TBL</v>
          </cell>
          <cell r="G83" t="str">
            <v>7.38% Central Government Securities 20/06/2027</v>
          </cell>
          <cell r="H83">
            <v>7.38</v>
          </cell>
          <cell r="I83" t="str">
            <v>20-06-2027</v>
          </cell>
          <cell r="J83" t="str">
            <v>Sovereign</v>
          </cell>
          <cell r="K83">
            <v>2.5924</v>
          </cell>
          <cell r="L83">
            <v>100</v>
          </cell>
          <cell r="M83">
            <v>4000000</v>
          </cell>
          <cell r="N83">
            <v>6.8611000000000004</v>
          </cell>
        </row>
        <row r="84">
          <cell r="C84" t="str">
            <v>IN0020230051</v>
          </cell>
          <cell r="D84" t="str">
            <v>7.30GSE190653</v>
          </cell>
          <cell r="E84" t="str">
            <v>GSE</v>
          </cell>
          <cell r="F84" t="str">
            <v>Govt. of India - GSec / TBL</v>
          </cell>
          <cell r="G84" t="str">
            <v>7.30% Government Securities - 19/06/2053</v>
          </cell>
          <cell r="H84">
            <v>7.3</v>
          </cell>
          <cell r="I84" t="str">
            <v>19-06-2053</v>
          </cell>
          <cell r="J84" t="str">
            <v>Sovereign</v>
          </cell>
          <cell r="K84">
            <v>12.5113</v>
          </cell>
          <cell r="L84">
            <v>100</v>
          </cell>
          <cell r="M84">
            <v>2500000</v>
          </cell>
          <cell r="N84">
            <v>7.1395999999999997</v>
          </cell>
        </row>
        <row r="85">
          <cell r="C85" t="str">
            <v>IN0020230077</v>
          </cell>
          <cell r="D85" t="str">
            <v>7.18GSE240737</v>
          </cell>
          <cell r="E85" t="str">
            <v>GSE</v>
          </cell>
          <cell r="F85" t="str">
            <v>Govt. of India - GSec / TBL</v>
          </cell>
          <cell r="G85" t="str">
            <v>7.18%  Government Securities - 24/07/2037</v>
          </cell>
          <cell r="H85">
            <v>7.18</v>
          </cell>
          <cell r="I85" t="str">
            <v>24-07-2037</v>
          </cell>
          <cell r="J85" t="str">
            <v>Sovereign</v>
          </cell>
          <cell r="K85">
            <v>8.6509</v>
          </cell>
          <cell r="L85">
            <v>100</v>
          </cell>
          <cell r="M85">
            <v>3000000</v>
          </cell>
          <cell r="N85">
            <v>7.0426000000000002</v>
          </cell>
        </row>
        <row r="86">
          <cell r="C86" t="str">
            <v>IN0020230085</v>
          </cell>
          <cell r="D86" t="str">
            <v>7.18GSE140833</v>
          </cell>
          <cell r="E86" t="str">
            <v>GSE</v>
          </cell>
          <cell r="F86" t="str">
            <v>Govt. of India - GSec / TBL</v>
          </cell>
          <cell r="G86" t="str">
            <v>7.18%  Government Securities - 14/08/2033</v>
          </cell>
          <cell r="H86">
            <v>7.18</v>
          </cell>
          <cell r="I86" t="str">
            <v>14-08-2033</v>
          </cell>
          <cell r="J86" t="str">
            <v>Sovereign</v>
          </cell>
          <cell r="K86">
            <v>6.7990000000000004</v>
          </cell>
          <cell r="L86">
            <v>100</v>
          </cell>
          <cell r="M86">
            <v>20400000</v>
          </cell>
          <cell r="N86">
            <v>7.0152000000000001</v>
          </cell>
        </row>
        <row r="87">
          <cell r="C87" t="str">
            <v>IN0020230101</v>
          </cell>
          <cell r="D87" t="str">
            <v>7.37GSE231028</v>
          </cell>
          <cell r="E87" t="str">
            <v>GSE</v>
          </cell>
          <cell r="F87" t="str">
            <v>Govt. of India - GSec / TBL</v>
          </cell>
          <cell r="G87" t="str">
            <v>7.37% Government Securities-23/10/2028</v>
          </cell>
          <cell r="H87">
            <v>7.37</v>
          </cell>
          <cell r="I87" t="str">
            <v>23-10-2028</v>
          </cell>
          <cell r="J87" t="str">
            <v>Sovereign</v>
          </cell>
          <cell r="K87">
            <v>3.6044999999999998</v>
          </cell>
          <cell r="L87">
            <v>100</v>
          </cell>
          <cell r="M87">
            <v>500000</v>
          </cell>
          <cell r="N87">
            <v>6.8924000000000003</v>
          </cell>
        </row>
        <row r="88">
          <cell r="C88" t="str">
            <v>IN0020240019</v>
          </cell>
          <cell r="D88" t="str">
            <v>7.10GSE080434</v>
          </cell>
          <cell r="E88" t="str">
            <v>GSE</v>
          </cell>
          <cell r="F88" t="str">
            <v>Govt. of India - GSec / TBL</v>
          </cell>
          <cell r="G88" t="str">
            <v>7.10% Central Government Securities 08/04/2034</v>
          </cell>
          <cell r="H88">
            <v>7.1</v>
          </cell>
          <cell r="I88" t="str">
            <v>08-04-2034</v>
          </cell>
          <cell r="J88" t="str">
            <v>Sovereign</v>
          </cell>
          <cell r="K88">
            <v>6.9958</v>
          </cell>
          <cell r="L88">
            <v>100</v>
          </cell>
          <cell r="M88">
            <v>7300000</v>
          </cell>
          <cell r="N88">
            <v>6.9753999999999996</v>
          </cell>
        </row>
        <row r="89">
          <cell r="C89" t="str">
            <v>IN0020240027</v>
          </cell>
          <cell r="D89" t="str">
            <v>7.23GSE150439</v>
          </cell>
          <cell r="E89" t="str">
            <v>GSE</v>
          </cell>
          <cell r="F89" t="str">
            <v>Govt. of India - GSec / TBL</v>
          </cell>
          <cell r="G89" t="str">
            <v>7.23% Central Government Securities 15/04/2039</v>
          </cell>
          <cell r="H89">
            <v>7.23</v>
          </cell>
          <cell r="I89" t="str">
            <v>15-04-2039</v>
          </cell>
          <cell r="J89" t="str">
            <v>Sovereign</v>
          </cell>
          <cell r="K89">
            <v>9.1362000000000005</v>
          </cell>
          <cell r="L89">
            <v>100</v>
          </cell>
          <cell r="M89">
            <v>10000000</v>
          </cell>
          <cell r="N89">
            <v>7.0564</v>
          </cell>
        </row>
        <row r="90">
          <cell r="C90" t="str">
            <v>IN0020240035</v>
          </cell>
          <cell r="D90" t="str">
            <v>7.34GSE220464</v>
          </cell>
          <cell r="E90" t="str">
            <v>GSE</v>
          </cell>
          <cell r="F90" t="str">
            <v>Govt. of India - GSec / TBL</v>
          </cell>
          <cell r="G90" t="str">
            <v>7.34% Central Government Securities 22/04/2064</v>
          </cell>
          <cell r="H90">
            <v>7.34</v>
          </cell>
          <cell r="I90" t="str">
            <v>22-04-2064</v>
          </cell>
          <cell r="J90" t="str">
            <v>Sovereign</v>
          </cell>
          <cell r="K90">
            <v>13.3903</v>
          </cell>
          <cell r="L90">
            <v>100</v>
          </cell>
          <cell r="M90">
            <v>500000</v>
          </cell>
          <cell r="N90">
            <v>7.1691000000000003</v>
          </cell>
        </row>
        <row r="91">
          <cell r="C91" t="str">
            <v>IN3120230484</v>
          </cell>
          <cell r="D91" t="str">
            <v>7.44TNSG20034</v>
          </cell>
          <cell r="E91" t="str">
            <v>GSE</v>
          </cell>
          <cell r="F91" t="str">
            <v>Govt. of India - GSec / TBL</v>
          </cell>
          <cell r="G91" t="str">
            <v>7.44% Tamil Nadu State Government Securities -20/03/2034</v>
          </cell>
          <cell r="H91">
            <v>7.44</v>
          </cell>
          <cell r="I91" t="str">
            <v>20-03-2034</v>
          </cell>
          <cell r="J91" t="str">
            <v>Sovereign</v>
          </cell>
          <cell r="K91">
            <v>6.8448000000000002</v>
          </cell>
          <cell r="L91">
            <v>100</v>
          </cell>
          <cell r="M91">
            <v>1270000</v>
          </cell>
          <cell r="N91">
            <v>7.3471000000000002</v>
          </cell>
        </row>
        <row r="92">
          <cell r="C92" t="str">
            <v>INE018A08BA7</v>
          </cell>
          <cell r="D92" t="str">
            <v>CN2206NCD202</v>
          </cell>
          <cell r="E92" t="str">
            <v>NCD</v>
          </cell>
          <cell r="F92" t="str">
            <v>Larsen &amp; Toubro Ltd</v>
          </cell>
          <cell r="G92" t="str">
            <v>7.70% Larsen &amp; Toubro Ltd. 28-Apr-2025</v>
          </cell>
          <cell r="H92">
            <v>7.7</v>
          </cell>
          <cell r="I92" t="str">
            <v>28-04-2025</v>
          </cell>
          <cell r="J92" t="str">
            <v>CRISIL AAA</v>
          </cell>
          <cell r="K92">
            <v>0.6986</v>
          </cell>
          <cell r="L92">
            <v>1000000</v>
          </cell>
          <cell r="M92">
            <v>100</v>
          </cell>
          <cell r="N92">
            <v>7.5750000000000002</v>
          </cell>
        </row>
        <row r="93">
          <cell r="C93" t="str">
            <v>INE020B08906</v>
          </cell>
          <cell r="D93" t="str">
            <v>UT47NC254</v>
          </cell>
          <cell r="E93" t="str">
            <v>NCD</v>
          </cell>
          <cell r="F93" t="str">
            <v>REC LTD</v>
          </cell>
          <cell r="G93" t="str">
            <v>RURAL ELECTRIFICATION CORPORATION LTD - 8.27% - NCD - 06/02/2025</v>
          </cell>
          <cell r="H93">
            <v>8.27</v>
          </cell>
          <cell r="I93" t="str">
            <v>06-02-2025</v>
          </cell>
          <cell r="J93" t="str">
            <v>ICRA AAA</v>
          </cell>
          <cell r="K93">
            <v>0.47670000000000001</v>
          </cell>
          <cell r="L93">
            <v>1000000</v>
          </cell>
          <cell r="M93">
            <v>200</v>
          </cell>
          <cell r="N93">
            <v>7.5949999999999998</v>
          </cell>
        </row>
        <row r="94">
          <cell r="C94" t="str">
            <v>INE020B08EG2</v>
          </cell>
          <cell r="D94" t="str">
            <v>UT47NC313</v>
          </cell>
          <cell r="E94" t="str">
            <v>NCD</v>
          </cell>
          <cell r="F94" t="str">
            <v>REC LTD</v>
          </cell>
          <cell r="G94" t="str">
            <v>7.69% REC LTD NCD 31.03.2033  BOND SERIES 220 B</v>
          </cell>
          <cell r="H94">
            <v>7.69</v>
          </cell>
          <cell r="I94" t="str">
            <v>31-03-2033</v>
          </cell>
          <cell r="J94" t="str">
            <v>CRISIL AAA</v>
          </cell>
          <cell r="K94">
            <v>6.4554</v>
          </cell>
          <cell r="L94">
            <v>100000</v>
          </cell>
          <cell r="M94">
            <v>1500</v>
          </cell>
          <cell r="N94">
            <v>7.4450000000000003</v>
          </cell>
        </row>
        <row r="95">
          <cell r="C95" t="str">
            <v>INE020B08EI8</v>
          </cell>
          <cell r="D95" t="str">
            <v>UT47NC314</v>
          </cell>
          <cell r="E95" t="str">
            <v>NCD</v>
          </cell>
          <cell r="F95" t="str">
            <v>REC LTD</v>
          </cell>
          <cell r="G95" t="str">
            <v>7.51% REC LTD NCD MD 31-07-2026</v>
          </cell>
          <cell r="H95">
            <v>7.51</v>
          </cell>
          <cell r="I95" t="str">
            <v>31-07-2026</v>
          </cell>
          <cell r="J95" t="str">
            <v>CRISIL AAA</v>
          </cell>
          <cell r="K95">
            <v>1.8863000000000001</v>
          </cell>
          <cell r="L95">
            <v>100000</v>
          </cell>
          <cell r="M95">
            <v>1000</v>
          </cell>
          <cell r="N95">
            <v>7.6</v>
          </cell>
        </row>
        <row r="96">
          <cell r="C96" t="str">
            <v>INE020B08EL2</v>
          </cell>
          <cell r="D96" t="str">
            <v>UT47NC316</v>
          </cell>
          <cell r="E96" t="str">
            <v>NCD</v>
          </cell>
          <cell r="F96" t="str">
            <v>REC LTD</v>
          </cell>
          <cell r="G96" t="str">
            <v>7.44% REC NCD MD  30.04.2026</v>
          </cell>
          <cell r="H96">
            <v>7.44</v>
          </cell>
          <cell r="I96" t="str">
            <v>30-04-2026</v>
          </cell>
          <cell r="J96" t="str">
            <v>CRISIL AAA</v>
          </cell>
          <cell r="K96">
            <v>1.6464000000000001</v>
          </cell>
          <cell r="L96">
            <v>100000</v>
          </cell>
          <cell r="M96">
            <v>1000</v>
          </cell>
          <cell r="N96">
            <v>7.6</v>
          </cell>
        </row>
        <row r="97">
          <cell r="C97" t="str">
            <v>INE020B08FF1</v>
          </cell>
          <cell r="D97" t="str">
            <v>UT47NC321</v>
          </cell>
          <cell r="E97" t="str">
            <v>NCD</v>
          </cell>
          <cell r="F97" t="str">
            <v>REC LTD</v>
          </cell>
          <cell r="G97" t="str">
            <v>7.56% REC LTD NCD MD 31-08-2027  236-B</v>
          </cell>
          <cell r="H97">
            <v>7.56</v>
          </cell>
          <cell r="I97" t="str">
            <v>31-08-2027</v>
          </cell>
          <cell r="J97" t="str">
            <v>ICRA AAA</v>
          </cell>
          <cell r="K97">
            <v>2.8100999999999998</v>
          </cell>
          <cell r="L97">
            <v>100000</v>
          </cell>
          <cell r="M97">
            <v>2000</v>
          </cell>
          <cell r="N97">
            <v>7.5049999999999999</v>
          </cell>
        </row>
        <row r="98">
          <cell r="C98" t="str">
            <v>INE040A08666</v>
          </cell>
          <cell r="D98" t="str">
            <v>FI301NC231</v>
          </cell>
          <cell r="E98" t="str">
            <v>NCD</v>
          </cell>
          <cell r="F98" t="str">
            <v>HDFC Bank Ltd (Prev HDFC Ltd)</v>
          </cell>
          <cell r="G98" t="str">
            <v>7.80% HDFC Bank Ltd (Prev HDFC Ltd) NCD MD 03-05-2033</v>
          </cell>
          <cell r="H98">
            <v>7.8</v>
          </cell>
          <cell r="I98" t="str">
            <v>03-05-2033</v>
          </cell>
          <cell r="J98" t="str">
            <v>CRISIL AAA</v>
          </cell>
          <cell r="K98">
            <v>6.5157999999999996</v>
          </cell>
          <cell r="L98">
            <v>100000</v>
          </cell>
          <cell r="M98">
            <v>1500</v>
          </cell>
          <cell r="N98">
            <v>7.63</v>
          </cell>
        </row>
        <row r="99">
          <cell r="C99" t="str">
            <v>INE040A08989</v>
          </cell>
          <cell r="D99" t="str">
            <v>FI3301NC363</v>
          </cell>
          <cell r="E99" t="str">
            <v>NCD</v>
          </cell>
          <cell r="F99" t="str">
            <v>HDFC Bank Ltd (Prev HDFC Ltd)</v>
          </cell>
          <cell r="G99" t="str">
            <v>7.35% HDFC Bank Ltd (Prev HDFC Ltd) (Sr W-008) 10FEB25 NCD</v>
          </cell>
          <cell r="H99">
            <v>7.35</v>
          </cell>
          <cell r="I99" t="str">
            <v>10-02-2025</v>
          </cell>
          <cell r="J99" t="str">
            <v>ICRA AAA</v>
          </cell>
          <cell r="K99">
            <v>0.48630000000000001</v>
          </cell>
          <cell r="L99">
            <v>1000000</v>
          </cell>
          <cell r="M99">
            <v>150</v>
          </cell>
          <cell r="N99">
            <v>7.7450000000000001</v>
          </cell>
        </row>
        <row r="100">
          <cell r="C100" t="str">
            <v>INE040A08AH8</v>
          </cell>
          <cell r="D100" t="str">
            <v>FI3301NC367</v>
          </cell>
          <cell r="E100" t="str">
            <v>NCD</v>
          </cell>
          <cell r="F100" t="str">
            <v>HDFC Bank Ltd (Prev HDFC Ltd)</v>
          </cell>
          <cell r="G100" t="str">
            <v>7.40% HDFC Bank Ltd (Prev HDFC Ltd)-NCD-02/06/2025</v>
          </cell>
          <cell r="H100">
            <v>7.4</v>
          </cell>
          <cell r="I100" t="str">
            <v>02-06-2025</v>
          </cell>
          <cell r="J100" t="str">
            <v>ICRA AAA</v>
          </cell>
          <cell r="K100">
            <v>0.79449999999999998</v>
          </cell>
          <cell r="L100">
            <v>1000000</v>
          </cell>
          <cell r="M100">
            <v>250</v>
          </cell>
          <cell r="N100">
            <v>7.8898000000000001</v>
          </cell>
        </row>
        <row r="101">
          <cell r="C101" t="str">
            <v>INE041007100</v>
          </cell>
          <cell r="D101" t="str">
            <v>FI3346NC200</v>
          </cell>
          <cell r="E101" t="str">
            <v>NCD</v>
          </cell>
          <cell r="F101" t="str">
            <v>Embassy Office Parks REIT</v>
          </cell>
          <cell r="G101" t="str">
            <v>7.77% Embassy Office Parks REIT NCD MD 05.06.2025 Series VII NCD Call 05-03-2025</v>
          </cell>
          <cell r="H101">
            <v>7.77</v>
          </cell>
          <cell r="I101" t="str">
            <v>05-06-2025</v>
          </cell>
          <cell r="J101" t="str">
            <v>CRISIL AAA</v>
          </cell>
          <cell r="K101">
            <v>0.77739999999999998</v>
          </cell>
          <cell r="L101">
            <v>100000</v>
          </cell>
          <cell r="M101">
            <v>1500</v>
          </cell>
          <cell r="N101">
            <v>8.19</v>
          </cell>
        </row>
        <row r="102">
          <cell r="C102" t="str">
            <v>INE053F08296</v>
          </cell>
          <cell r="D102" t="str">
            <v>FIIRFCNC213</v>
          </cell>
          <cell r="E102" t="str">
            <v>NCD</v>
          </cell>
          <cell r="F102" t="str">
            <v>Indian Railway Finance Corporation Ltd</v>
          </cell>
          <cell r="G102" t="str">
            <v>7.74%  Indian Railway Finance Corporation Ltd NCD MD 15.04.2038  BOND SERIES 170B 2038</v>
          </cell>
          <cell r="H102">
            <v>7.74</v>
          </cell>
          <cell r="I102" t="str">
            <v>15-04-2038</v>
          </cell>
          <cell r="J102" t="str">
            <v>CRISIL AAA</v>
          </cell>
          <cell r="K102">
            <v>8.4426000000000005</v>
          </cell>
          <cell r="L102">
            <v>100000</v>
          </cell>
          <cell r="M102">
            <v>1500</v>
          </cell>
          <cell r="N102">
            <v>7.383</v>
          </cell>
        </row>
        <row r="103">
          <cell r="C103" t="str">
            <v>INE053F08338</v>
          </cell>
          <cell r="D103" t="str">
            <v>FI3567IRFC251</v>
          </cell>
          <cell r="E103" t="str">
            <v>NCD</v>
          </cell>
          <cell r="F103" t="str">
            <v>Indian Railway Finance Corporation Ltd</v>
          </cell>
          <cell r="G103" t="str">
            <v>7.68% Indian Railway Finance Corporation Ltd NCD MD 24-11-2026</v>
          </cell>
          <cell r="H103">
            <v>7.68</v>
          </cell>
          <cell r="I103" t="str">
            <v>24-11-2026</v>
          </cell>
          <cell r="J103" t="str">
            <v>CRISIL AAA</v>
          </cell>
          <cell r="K103">
            <v>2.0581999999999998</v>
          </cell>
          <cell r="L103">
            <v>100000</v>
          </cell>
          <cell r="M103">
            <v>2000</v>
          </cell>
          <cell r="N103">
            <v>7.48</v>
          </cell>
        </row>
        <row r="104">
          <cell r="C104" t="str">
            <v>INE0KUG08027</v>
          </cell>
          <cell r="D104" t="str">
            <v>FI35NBFINCD1</v>
          </cell>
          <cell r="E104" t="str">
            <v>NCD</v>
          </cell>
          <cell r="F104" t="str">
            <v>National Bank for Financing Infrastructure and Development</v>
          </cell>
          <cell r="G104" t="str">
            <v>7.65% National Bank for Financing Infrastructure and Development NCD 22-12-2038</v>
          </cell>
          <cell r="H104">
            <v>7.65</v>
          </cell>
          <cell r="I104" t="str">
            <v>22-12-2038</v>
          </cell>
          <cell r="J104" t="str">
            <v>CRISIL AAA</v>
          </cell>
          <cell r="K104">
            <v>8.8347999999999995</v>
          </cell>
          <cell r="L104">
            <v>100000</v>
          </cell>
          <cell r="M104">
            <v>2500</v>
          </cell>
          <cell r="N104">
            <v>7.3704999999999998</v>
          </cell>
        </row>
        <row r="105">
          <cell r="C105" t="str">
            <v>INE0KUG08035</v>
          </cell>
          <cell r="D105" t="str">
            <v>FI35NBFINCD2</v>
          </cell>
          <cell r="E105" t="str">
            <v>NCD</v>
          </cell>
          <cell r="F105" t="str">
            <v>National Bank for Financing Infrastructure and Development</v>
          </cell>
          <cell r="G105" t="str">
            <v>7.43% National Bank for Financing Infrastructure and Development NCD MD 04-07-2034 NABFID2025-1 PUT</v>
          </cell>
          <cell r="H105">
            <v>7.43</v>
          </cell>
          <cell r="I105" t="str">
            <v>04-07-2034</v>
          </cell>
          <cell r="J105" t="str">
            <v>CRISIL AAA</v>
          </cell>
          <cell r="K105">
            <v>7.2838000000000003</v>
          </cell>
          <cell r="L105">
            <v>100000</v>
          </cell>
          <cell r="M105">
            <v>2000</v>
          </cell>
          <cell r="N105">
            <v>7.3905000000000003</v>
          </cell>
        </row>
        <row r="106">
          <cell r="C106" t="str">
            <v>INE115A07PI6</v>
          </cell>
          <cell r="D106" t="str">
            <v>FILICNC363</v>
          </cell>
          <cell r="E106" t="str">
            <v>NCD</v>
          </cell>
          <cell r="F106" t="str">
            <v>LIC Housing Finance Ltd</v>
          </cell>
          <cell r="G106" t="str">
            <v>6.17% LIC Housing Finance Ltd-NCD-03/09/2026</v>
          </cell>
          <cell r="H106">
            <v>6.17</v>
          </cell>
          <cell r="I106" t="str">
            <v>03-09-2026</v>
          </cell>
          <cell r="J106" t="str">
            <v>CRISIL AAA</v>
          </cell>
          <cell r="K106">
            <v>1.8742000000000001</v>
          </cell>
          <cell r="L106">
            <v>1000000</v>
          </cell>
          <cell r="M106">
            <v>150</v>
          </cell>
          <cell r="N106">
            <v>7.82</v>
          </cell>
        </row>
        <row r="107">
          <cell r="C107" t="str">
            <v>INE115A07PU1</v>
          </cell>
          <cell r="D107" t="str">
            <v>FILICNC371</v>
          </cell>
          <cell r="E107" t="str">
            <v>NCD</v>
          </cell>
          <cell r="F107" t="str">
            <v>LIC Housing Finance Ltd</v>
          </cell>
          <cell r="G107" t="str">
            <v>6.25% LIC Housing Finance Ltd NCD MD 20-06-2025</v>
          </cell>
          <cell r="H107">
            <v>6.25</v>
          </cell>
          <cell r="I107" t="str">
            <v>20-06-2025</v>
          </cell>
          <cell r="J107" t="str">
            <v>CRISIL AAA</v>
          </cell>
          <cell r="K107">
            <v>0.84379999999999999</v>
          </cell>
          <cell r="L107">
            <v>1000000</v>
          </cell>
          <cell r="M107">
            <v>150</v>
          </cell>
          <cell r="N107">
            <v>7.71</v>
          </cell>
        </row>
        <row r="108">
          <cell r="C108" t="str">
            <v>INE115A07QD5</v>
          </cell>
          <cell r="D108" t="str">
            <v>FI35LICNC11</v>
          </cell>
          <cell r="E108" t="str">
            <v>NCD</v>
          </cell>
          <cell r="F108" t="str">
            <v>LIC Housing Finance Ltd</v>
          </cell>
          <cell r="G108" t="str">
            <v>7.82% LIC Housing Finance Ltd NCD 28 11 2025 (Trench 428 Reissue 2)</v>
          </cell>
          <cell r="H108">
            <v>7.82</v>
          </cell>
          <cell r="I108" t="str">
            <v>28-11-2025</v>
          </cell>
          <cell r="J108" t="str">
            <v>CRISIL AAA</v>
          </cell>
          <cell r="K108">
            <v>1.2116</v>
          </cell>
          <cell r="L108">
            <v>1000000</v>
          </cell>
          <cell r="M108">
            <v>150</v>
          </cell>
          <cell r="N108">
            <v>7.83</v>
          </cell>
        </row>
        <row r="109">
          <cell r="C109" t="str">
            <v>INE115A07QH6</v>
          </cell>
          <cell r="D109" t="str">
            <v>FI35LICNC368</v>
          </cell>
          <cell r="E109" t="str">
            <v>NCD</v>
          </cell>
          <cell r="F109" t="str">
            <v>LIC Housing Finance Ltd</v>
          </cell>
          <cell r="G109" t="str">
            <v>8.0250% LIC Housing Finance Ltd- NCD 23-03-2033</v>
          </cell>
          <cell r="H109">
            <v>8.0250000000000004</v>
          </cell>
          <cell r="I109" t="str">
            <v>23-03-2033</v>
          </cell>
          <cell r="J109" t="str">
            <v>CRISIL AAA</v>
          </cell>
          <cell r="K109">
            <v>6.3707000000000003</v>
          </cell>
          <cell r="L109">
            <v>1000000</v>
          </cell>
          <cell r="M109">
            <v>250</v>
          </cell>
          <cell r="N109">
            <v>7.6425000000000001</v>
          </cell>
        </row>
        <row r="110">
          <cell r="C110" t="str">
            <v>INE134E08LO4</v>
          </cell>
          <cell r="D110" t="str">
            <v>FI35PFCNC369</v>
          </cell>
          <cell r="E110" t="str">
            <v>NCD</v>
          </cell>
          <cell r="F110" t="str">
            <v>Power Finance Corporation Ltd</v>
          </cell>
          <cell r="G110" t="str">
            <v>7.13% Power Finance Corporation Ltd NCD MD 08-08-2025 BS 215 2025</v>
          </cell>
          <cell r="H110">
            <v>7.13</v>
          </cell>
          <cell r="I110" t="str">
            <v>08-08-2025</v>
          </cell>
          <cell r="J110" t="str">
            <v>CRISIL AAA</v>
          </cell>
          <cell r="K110">
            <v>0.97809999999999997</v>
          </cell>
          <cell r="L110">
            <v>1000000</v>
          </cell>
          <cell r="M110">
            <v>150</v>
          </cell>
          <cell r="N110">
            <v>7.7</v>
          </cell>
        </row>
        <row r="111">
          <cell r="C111" t="str">
            <v>INE134E08MB9</v>
          </cell>
          <cell r="D111" t="str">
            <v>FI35PFNC366</v>
          </cell>
          <cell r="E111" t="str">
            <v>NCD</v>
          </cell>
          <cell r="F111" t="str">
            <v>Power Finance Corporation Ltd</v>
          </cell>
          <cell r="G111" t="str">
            <v>7.82% Power Finance Corporation Ltd NCD 06-03-2038</v>
          </cell>
          <cell r="H111">
            <v>7.82</v>
          </cell>
          <cell r="I111" t="str">
            <v>06-03-2038</v>
          </cell>
          <cell r="J111" t="str">
            <v>CRISIL AAA</v>
          </cell>
          <cell r="K111">
            <v>8.6394000000000002</v>
          </cell>
          <cell r="L111">
            <v>100000</v>
          </cell>
          <cell r="M111">
            <v>2500</v>
          </cell>
          <cell r="N111">
            <v>7.3449999999999998</v>
          </cell>
        </row>
        <row r="112">
          <cell r="C112" t="str">
            <v>INE134E08MC7</v>
          </cell>
          <cell r="D112" t="str">
            <v>FI35PFCNC360</v>
          </cell>
          <cell r="E112" t="str">
            <v>NCD</v>
          </cell>
          <cell r="F112" t="str">
            <v>Power Finance Corporation Ltd</v>
          </cell>
          <cell r="G112" t="str">
            <v>7.77%  Power Finance Corporation Ltd NCD 15/07/2026</v>
          </cell>
          <cell r="H112">
            <v>7.77</v>
          </cell>
          <cell r="I112" t="str">
            <v>15-07-2026</v>
          </cell>
          <cell r="J112" t="str">
            <v>CRISIL AAA</v>
          </cell>
          <cell r="K112">
            <v>1.7932999999999999</v>
          </cell>
          <cell r="L112">
            <v>100000</v>
          </cell>
          <cell r="M112">
            <v>1500</v>
          </cell>
          <cell r="N112">
            <v>7.5857000000000001</v>
          </cell>
        </row>
        <row r="113">
          <cell r="C113" t="str">
            <v>INE134E08MJ2</v>
          </cell>
          <cell r="D113" t="str">
            <v>FI35PFNC367</v>
          </cell>
          <cell r="E113" t="str">
            <v>NCD</v>
          </cell>
          <cell r="F113" t="str">
            <v>Power Finance Corporation Ltd</v>
          </cell>
          <cell r="G113" t="str">
            <v>7.77% Power Finance Corporation Limited NCD MD 15/04/2028</v>
          </cell>
          <cell r="H113">
            <v>7.77</v>
          </cell>
          <cell r="I113" t="str">
            <v>15-04-2028</v>
          </cell>
          <cell r="J113" t="str">
            <v>CRISIL AAA</v>
          </cell>
          <cell r="K113">
            <v>3.2425000000000002</v>
          </cell>
          <cell r="L113">
            <v>100000</v>
          </cell>
          <cell r="M113">
            <v>1500</v>
          </cell>
          <cell r="N113">
            <v>7.4850000000000003</v>
          </cell>
        </row>
        <row r="114">
          <cell r="C114" t="str">
            <v>INE134E08MX3</v>
          </cell>
          <cell r="D114" t="str">
            <v>FI35PFCNC371</v>
          </cell>
          <cell r="E114" t="str">
            <v>NCD</v>
          </cell>
          <cell r="F114" t="str">
            <v>Power Finance Corporation Ltd</v>
          </cell>
          <cell r="G114" t="str">
            <v>7.60% Power Finance Corporation Limited NCD MD 13-04-2029</v>
          </cell>
          <cell r="H114">
            <v>7.6</v>
          </cell>
          <cell r="I114" t="str">
            <v>13-04-2029</v>
          </cell>
          <cell r="J114" t="str">
            <v>CRISIL AAA</v>
          </cell>
          <cell r="K114">
            <v>3.9588000000000001</v>
          </cell>
          <cell r="L114">
            <v>100000</v>
          </cell>
          <cell r="M114">
            <v>2500</v>
          </cell>
          <cell r="N114">
            <v>7.43</v>
          </cell>
        </row>
        <row r="115">
          <cell r="C115" t="str">
            <v>INE261F08DP6</v>
          </cell>
          <cell r="D115" t="str">
            <v>FI35NANC302</v>
          </cell>
          <cell r="E115" t="str">
            <v>NCD</v>
          </cell>
          <cell r="F115" t="str">
            <v>National Bank for Agriculture &amp; Rural Development</v>
          </cell>
          <cell r="G115" t="str">
            <v>7.35% NABARD NCD 08-07-2025 BOND SERIES 23B</v>
          </cell>
          <cell r="H115">
            <v>7.35</v>
          </cell>
          <cell r="I115" t="str">
            <v>08-07-2025</v>
          </cell>
          <cell r="J115" t="str">
            <v>CRISIL AAA</v>
          </cell>
          <cell r="K115">
            <v>0.89319999999999999</v>
          </cell>
          <cell r="L115">
            <v>1000000</v>
          </cell>
          <cell r="M115">
            <v>150</v>
          </cell>
          <cell r="N115">
            <v>7.7</v>
          </cell>
        </row>
        <row r="116">
          <cell r="C116" t="str">
            <v>INE261F08DV4</v>
          </cell>
          <cell r="D116" t="str">
            <v>FI35NANC297</v>
          </cell>
          <cell r="E116" t="str">
            <v>NCD</v>
          </cell>
          <cell r="F116" t="str">
            <v>National Bank for Agriculture &amp; Rural Development</v>
          </cell>
          <cell r="G116" t="str">
            <v>7.62 NABARD NCD 31 01 2028</v>
          </cell>
          <cell r="H116">
            <v>7.62</v>
          </cell>
          <cell r="I116" t="str">
            <v>31-01-2028</v>
          </cell>
          <cell r="J116" t="str">
            <v>ICRA AAA</v>
          </cell>
          <cell r="K116">
            <v>3.0463</v>
          </cell>
          <cell r="L116">
            <v>100000</v>
          </cell>
          <cell r="M116">
            <v>2500</v>
          </cell>
          <cell r="N116">
            <v>7.56</v>
          </cell>
        </row>
        <row r="117">
          <cell r="C117" t="str">
            <v>INE261F08DX0</v>
          </cell>
          <cell r="D117" t="str">
            <v>FI35NANC298</v>
          </cell>
          <cell r="E117" t="str">
            <v>NCD</v>
          </cell>
          <cell r="F117" t="str">
            <v>National Bank for Agriculture &amp; Rural Development</v>
          </cell>
          <cell r="G117" t="str">
            <v>7.58%  NABARD- NCD-31/07/2026 SERIES 23H</v>
          </cell>
          <cell r="H117">
            <v>7.58</v>
          </cell>
          <cell r="I117" t="str">
            <v>31-07-2026</v>
          </cell>
          <cell r="J117" t="str">
            <v>CRISIL AAA</v>
          </cell>
          <cell r="K117">
            <v>1.8856999999999999</v>
          </cell>
          <cell r="L117">
            <v>100000</v>
          </cell>
          <cell r="M117">
            <v>3500</v>
          </cell>
          <cell r="N117">
            <v>7.66</v>
          </cell>
        </row>
        <row r="118">
          <cell r="C118" t="str">
            <v>INE261F08EF5</v>
          </cell>
          <cell r="D118" t="str">
            <v>FI35NANC304</v>
          </cell>
          <cell r="E118" t="str">
            <v>NCD</v>
          </cell>
          <cell r="F118" t="str">
            <v>National Bank for Agriculture &amp; Rural Development</v>
          </cell>
          <cell r="G118" t="str">
            <v>7.80% NABARD NCD MD 15-03-2027 Bonds Series 24E</v>
          </cell>
          <cell r="H118">
            <v>7.8</v>
          </cell>
          <cell r="I118" t="str">
            <v>15-03-2027</v>
          </cell>
          <cell r="J118" t="str">
            <v>ICRA AAA</v>
          </cell>
          <cell r="K118">
            <v>2.3668</v>
          </cell>
          <cell r="L118">
            <v>100000</v>
          </cell>
          <cell r="M118">
            <v>2500</v>
          </cell>
          <cell r="N118">
            <v>7.5949999999999998</v>
          </cell>
        </row>
        <row r="119">
          <cell r="C119" t="str">
            <v>INE296A07SV1</v>
          </cell>
          <cell r="D119" t="str">
            <v>FI3505NC240</v>
          </cell>
          <cell r="E119" t="str">
            <v>NCD</v>
          </cell>
          <cell r="F119" t="str">
            <v>Bajaj Finance Ltd</v>
          </cell>
          <cell r="G119" t="str">
            <v>7.82% BAJAJ FINANCE LTD NCD MD 31-01-2034 PUT OPTION 08-02-2027</v>
          </cell>
          <cell r="H119">
            <v>7.82</v>
          </cell>
          <cell r="I119" t="str">
            <v>31-01-2034</v>
          </cell>
          <cell r="J119" t="str">
            <v>CRISIL AAA</v>
          </cell>
          <cell r="K119">
            <v>4.5157999999999996</v>
          </cell>
          <cell r="L119">
            <v>100000</v>
          </cell>
          <cell r="M119">
            <v>3000</v>
          </cell>
          <cell r="N119">
            <v>7.7850000000000001</v>
          </cell>
        </row>
        <row r="120">
          <cell r="C120" t="str">
            <v>INE556F08KE8</v>
          </cell>
          <cell r="D120" t="str">
            <v>FI3405NCD200</v>
          </cell>
          <cell r="E120" t="str">
            <v>NCD</v>
          </cell>
          <cell r="F120" t="str">
            <v>Small Industries Development Bank of India</v>
          </cell>
          <cell r="G120" t="str">
            <v>Small Industries Development Bank of India NCD 25 11 2025</v>
          </cell>
          <cell r="H120">
            <v>7.47</v>
          </cell>
          <cell r="I120" t="str">
            <v>25-11-2025</v>
          </cell>
          <cell r="J120" t="str">
            <v>ICRA AAA</v>
          </cell>
          <cell r="K120">
            <v>1.2027000000000001</v>
          </cell>
          <cell r="L120">
            <v>1000000</v>
          </cell>
          <cell r="M120">
            <v>100</v>
          </cell>
          <cell r="N120">
            <v>7.7</v>
          </cell>
        </row>
        <row r="121">
          <cell r="C121" t="str">
            <v>INE556F08KH1</v>
          </cell>
          <cell r="D121" t="str">
            <v>FI3405NC236</v>
          </cell>
          <cell r="E121" t="str">
            <v>NCD</v>
          </cell>
          <cell r="F121" t="str">
            <v>Small Industries Development Bank of India</v>
          </cell>
          <cell r="G121" t="str">
            <v>7.43%  Small Industries Development Bank of India NCD MD 31-08-2026 SERIES I</v>
          </cell>
          <cell r="H121">
            <v>7.43</v>
          </cell>
          <cell r="I121" t="str">
            <v>31-08-2026</v>
          </cell>
          <cell r="J121" t="str">
            <v>CRISIL AAA</v>
          </cell>
          <cell r="K121">
            <v>1.8375999999999999</v>
          </cell>
          <cell r="L121">
            <v>100000</v>
          </cell>
          <cell r="M121">
            <v>2500</v>
          </cell>
          <cell r="N121">
            <v>7.6792999999999996</v>
          </cell>
        </row>
        <row r="122">
          <cell r="C122" t="str">
            <v>INE556F08KM1</v>
          </cell>
          <cell r="D122" t="str">
            <v>FI3405NCD201</v>
          </cell>
          <cell r="E122" t="str">
            <v>NCD</v>
          </cell>
          <cell r="F122" t="str">
            <v>Small Industries Development Bank of India</v>
          </cell>
          <cell r="G122" t="str">
            <v>7.79% Small Industries Development Bank of India NCD 14-05-2027</v>
          </cell>
          <cell r="H122">
            <v>7.79</v>
          </cell>
          <cell r="I122" t="str">
            <v>14-05-2027</v>
          </cell>
          <cell r="J122" t="str">
            <v>CRISIL AAA</v>
          </cell>
          <cell r="K122">
            <v>2.452</v>
          </cell>
          <cell r="L122">
            <v>100000</v>
          </cell>
          <cell r="M122">
            <v>2500</v>
          </cell>
          <cell r="N122">
            <v>7.5907</v>
          </cell>
        </row>
        <row r="123">
          <cell r="C123" t="str">
            <v>INE557F08FS6</v>
          </cell>
          <cell r="D123" t="str">
            <v>FI3335NC245</v>
          </cell>
          <cell r="E123" t="str">
            <v>NCD</v>
          </cell>
          <cell r="F123" t="str">
            <v xml:space="preserve">National Housing Bank </v>
          </cell>
          <cell r="G123" t="str">
            <v>7.40% National Housing Bank NCD MD 16-07-2026</v>
          </cell>
          <cell r="H123">
            <v>7.4</v>
          </cell>
          <cell r="I123" t="str">
            <v>16-07-2026</v>
          </cell>
          <cell r="J123" t="str">
            <v>CRISIL AAA</v>
          </cell>
          <cell r="K123">
            <v>1.8388</v>
          </cell>
          <cell r="L123">
            <v>100000</v>
          </cell>
          <cell r="M123">
            <v>1000</v>
          </cell>
          <cell r="N123">
            <v>7.51</v>
          </cell>
        </row>
        <row r="124">
          <cell r="C124" t="str">
            <v>INE752E08734</v>
          </cell>
          <cell r="D124" t="str">
            <v>UT4716NC267</v>
          </cell>
          <cell r="E124" t="str">
            <v>NCD</v>
          </cell>
          <cell r="F124" t="str">
            <v>Power Grid Corporation of India Ltd</v>
          </cell>
          <cell r="G124" t="str">
            <v>7.35% Power Grid Corporation of India Ltd-NCD-12/03/2034</v>
          </cell>
          <cell r="H124">
            <v>7.35</v>
          </cell>
          <cell r="I124" t="str">
            <v>12-03-2034</v>
          </cell>
          <cell r="J124" t="str">
            <v>CRISIL AAA</v>
          </cell>
          <cell r="K124">
            <v>6.9836</v>
          </cell>
          <cell r="L124">
            <v>100000</v>
          </cell>
          <cell r="M124">
            <v>1500</v>
          </cell>
          <cell r="N124">
            <v>7.3834</v>
          </cell>
        </row>
        <row r="125">
          <cell r="C125" t="str">
            <v>IN0020220037</v>
          </cell>
          <cell r="D125" t="str">
            <v>7.38GSEC200627</v>
          </cell>
          <cell r="E125" t="str">
            <v>GSE</v>
          </cell>
          <cell r="F125" t="str">
            <v>Govt. of India - GSec / TBL</v>
          </cell>
          <cell r="G125" t="str">
            <v>7.38% Central Government Securities 20/06/2027</v>
          </cell>
          <cell r="H125">
            <v>7.38</v>
          </cell>
          <cell r="I125" t="str">
            <v>20-06-2027</v>
          </cell>
          <cell r="J125" t="str">
            <v>Sovereign</v>
          </cell>
          <cell r="K125">
            <v>2.5924</v>
          </cell>
          <cell r="L125">
            <v>100</v>
          </cell>
          <cell r="M125">
            <v>500000</v>
          </cell>
          <cell r="N125">
            <v>6.8611000000000004</v>
          </cell>
        </row>
        <row r="126">
          <cell r="C126" t="str">
            <v>IN0020230119</v>
          </cell>
          <cell r="D126" t="str">
            <v>7.33GSE301026</v>
          </cell>
          <cell r="E126" t="str">
            <v>GSE</v>
          </cell>
          <cell r="F126" t="str">
            <v>Govt. of India - GSec / TBL</v>
          </cell>
          <cell r="G126" t="str">
            <v>7.33% Government Securities-30/10/2026</v>
          </cell>
          <cell r="H126">
            <v>7.33</v>
          </cell>
          <cell r="I126" t="str">
            <v>30-10-2026</v>
          </cell>
          <cell r="J126" t="str">
            <v>Sovereign</v>
          </cell>
          <cell r="K126">
            <v>2.0362</v>
          </cell>
          <cell r="L126">
            <v>100</v>
          </cell>
          <cell r="M126">
            <v>500000</v>
          </cell>
          <cell r="N126">
            <v>6.8677000000000001</v>
          </cell>
        </row>
        <row r="127">
          <cell r="C127" t="str">
            <v>IN002023Z273</v>
          </cell>
          <cell r="D127" t="str">
            <v>364TBL190924</v>
          </cell>
          <cell r="E127" t="str">
            <v>TBL</v>
          </cell>
          <cell r="F127" t="str">
            <v>Govt. of India - GSec / TBL</v>
          </cell>
          <cell r="G127" t="str">
            <v>364 Days-T Bill - 19/09/2024</v>
          </cell>
          <cell r="H127">
            <v>0</v>
          </cell>
          <cell r="I127" t="str">
            <v>19-09-2024</v>
          </cell>
          <cell r="J127" t="str">
            <v>Sovereign</v>
          </cell>
          <cell r="K127">
            <v>0.1</v>
          </cell>
          <cell r="L127">
            <v>100</v>
          </cell>
          <cell r="M127">
            <v>500000</v>
          </cell>
          <cell r="N127">
            <v>6.5499000000000001</v>
          </cell>
        </row>
        <row r="128">
          <cell r="C128" t="str">
            <v>IN002023Z307</v>
          </cell>
          <cell r="D128" t="str">
            <v>364TBL101024</v>
          </cell>
          <cell r="E128" t="str">
            <v>TBL</v>
          </cell>
          <cell r="F128" t="str">
            <v>Govt. of India - GSec / TBL</v>
          </cell>
          <cell r="G128" t="str">
            <v>364 Days-T Bill - 10/10/2024</v>
          </cell>
          <cell r="H128">
            <v>0</v>
          </cell>
          <cell r="I128" t="str">
            <v>10-10-2024</v>
          </cell>
          <cell r="J128" t="str">
            <v>Sovereign</v>
          </cell>
          <cell r="K128">
            <v>0.15</v>
          </cell>
          <cell r="L128">
            <v>100</v>
          </cell>
          <cell r="M128">
            <v>500000</v>
          </cell>
          <cell r="N128">
            <v>6.6</v>
          </cell>
        </row>
        <row r="129">
          <cell r="C129" t="str">
            <v>IN002023Z315</v>
          </cell>
          <cell r="D129" t="str">
            <v>364TBL171024</v>
          </cell>
          <cell r="E129" t="str">
            <v>TBL</v>
          </cell>
          <cell r="F129" t="str">
            <v>Govt. of India - GSec / TBL</v>
          </cell>
          <cell r="G129" t="str">
            <v>364 Days-T Bill - 17/10/2024</v>
          </cell>
          <cell r="H129">
            <v>0</v>
          </cell>
          <cell r="I129" t="str">
            <v>17-10-2024</v>
          </cell>
          <cell r="J129" t="str">
            <v>Sovereign</v>
          </cell>
          <cell r="K129">
            <v>0.17</v>
          </cell>
          <cell r="L129">
            <v>100</v>
          </cell>
          <cell r="M129">
            <v>500000</v>
          </cell>
          <cell r="N129">
            <v>6.5993000000000004</v>
          </cell>
        </row>
        <row r="130">
          <cell r="C130" t="str">
            <v>IN002024Z057</v>
          </cell>
          <cell r="D130" t="str">
            <v>364TBL020525</v>
          </cell>
          <cell r="E130" t="str">
            <v>TBL</v>
          </cell>
          <cell r="F130" t="str">
            <v>Govt. of India - GSec / TBL</v>
          </cell>
          <cell r="G130" t="str">
            <v>364 Days - T Bill - 02/05/2025</v>
          </cell>
          <cell r="H130">
            <v>0</v>
          </cell>
          <cell r="I130" t="str">
            <v>02-05-2025</v>
          </cell>
          <cell r="J130" t="str">
            <v>Sovereign</v>
          </cell>
          <cell r="K130">
            <v>0.71</v>
          </cell>
          <cell r="L130">
            <v>100</v>
          </cell>
          <cell r="M130">
            <v>500000</v>
          </cell>
          <cell r="N130">
            <v>6.6590999999999996</v>
          </cell>
        </row>
        <row r="131">
          <cell r="C131" t="str">
            <v>INE121A08PJ0</v>
          </cell>
          <cell r="D131" t="str">
            <v>FI3431CCD200</v>
          </cell>
          <cell r="E131" t="str">
            <v>CCD</v>
          </cell>
          <cell r="F131" t="str">
            <v>Cholamandalam Investment and Finance Company Ltd</v>
          </cell>
          <cell r="G131" t="str">
            <v>7.5% Cholamandalam Investment And Company Ltd CCD 30 09 2026</v>
          </cell>
          <cell r="H131">
            <v>7.5</v>
          </cell>
          <cell r="I131" t="str">
            <v>30-09-2026</v>
          </cell>
          <cell r="J131" t="str">
            <v xml:space="preserve"> UNRATED</v>
          </cell>
          <cell r="K131">
            <v>1.954226</v>
          </cell>
          <cell r="L131">
            <v>100000</v>
          </cell>
          <cell r="M131">
            <v>750</v>
          </cell>
          <cell r="N131">
            <v>8.42</v>
          </cell>
        </row>
        <row r="132">
          <cell r="C132" t="str">
            <v>IN0020210160</v>
          </cell>
          <cell r="D132" t="str">
            <v>4.04GOI041028</v>
          </cell>
          <cell r="E132" t="str">
            <v>GSE</v>
          </cell>
          <cell r="F132" t="str">
            <v>Govt. of India - GSec / TBL</v>
          </cell>
          <cell r="G132" t="str">
            <v>7.72% Central Government Securities_Floating Rate Bond 04/10/2028 (Previous 7.69)</v>
          </cell>
          <cell r="H132">
            <v>7.72</v>
          </cell>
          <cell r="I132" t="str">
            <v>04-10-2028</v>
          </cell>
          <cell r="J132" t="str">
            <v>Sovereign</v>
          </cell>
          <cell r="K132">
            <v>0</v>
          </cell>
          <cell r="L132">
            <v>100</v>
          </cell>
          <cell r="M132">
            <v>500000</v>
          </cell>
          <cell r="N132">
            <v>7.4760586972274385</v>
          </cell>
        </row>
        <row r="133">
          <cell r="C133" t="str">
            <v>IN0020220037</v>
          </cell>
          <cell r="D133" t="str">
            <v>7.38GSEC200627</v>
          </cell>
          <cell r="E133" t="str">
            <v>GSE</v>
          </cell>
          <cell r="F133" t="str">
            <v>Govt. of India - GSec / TBL</v>
          </cell>
          <cell r="G133" t="str">
            <v>7.38% Central Government Securities 20/06/2027</v>
          </cell>
          <cell r="H133">
            <v>7.38</v>
          </cell>
          <cell r="I133" t="str">
            <v>20-06-2027</v>
          </cell>
          <cell r="J133" t="str">
            <v>Sovereign</v>
          </cell>
          <cell r="K133">
            <v>2.5924</v>
          </cell>
          <cell r="L133">
            <v>100</v>
          </cell>
          <cell r="M133">
            <v>4000000</v>
          </cell>
          <cell r="N133">
            <v>6.8611000000000004</v>
          </cell>
        </row>
        <row r="134">
          <cell r="C134" t="str">
            <v>IN0020230036</v>
          </cell>
          <cell r="D134" t="str">
            <v>7.17GSE170430</v>
          </cell>
          <cell r="E134" t="str">
            <v>GSE</v>
          </cell>
          <cell r="F134" t="str">
            <v>Govt. of India - GSec / TBL</v>
          </cell>
          <cell r="G134" t="str">
            <v>7.17% Government Securities - 17/04/20230</v>
          </cell>
          <cell r="H134">
            <v>7.17</v>
          </cell>
          <cell r="I134" t="str">
            <v>17-04-2030</v>
          </cell>
          <cell r="J134" t="str">
            <v>Sovereign</v>
          </cell>
          <cell r="K134">
            <v>4.6589999999999998</v>
          </cell>
          <cell r="L134">
            <v>100</v>
          </cell>
          <cell r="M134">
            <v>1000000</v>
          </cell>
          <cell r="N134">
            <v>6.9547999999999996</v>
          </cell>
        </row>
        <row r="135">
          <cell r="C135" t="str">
            <v>IN0020230085</v>
          </cell>
          <cell r="D135" t="str">
            <v>7.18GSE140833</v>
          </cell>
          <cell r="E135" t="str">
            <v>GSE</v>
          </cell>
          <cell r="F135" t="str">
            <v>Govt. of India - GSec / TBL</v>
          </cell>
          <cell r="G135" t="str">
            <v>7.18%  Government Securities - 14/08/2033</v>
          </cell>
          <cell r="H135">
            <v>7.18</v>
          </cell>
          <cell r="I135" t="str">
            <v>14-08-2033</v>
          </cell>
          <cell r="J135" t="str">
            <v>Sovereign</v>
          </cell>
          <cell r="K135">
            <v>6.7990000000000004</v>
          </cell>
          <cell r="L135">
            <v>100</v>
          </cell>
          <cell r="M135">
            <v>5500000</v>
          </cell>
          <cell r="N135">
            <v>7.0152000000000001</v>
          </cell>
        </row>
        <row r="136">
          <cell r="C136" t="str">
            <v>IN0020230135</v>
          </cell>
          <cell r="D136" t="str">
            <v>7.32GSE131130</v>
          </cell>
          <cell r="E136" t="str">
            <v>GSE</v>
          </cell>
          <cell r="F136" t="str">
            <v>Govt. of India - GSec / TBL</v>
          </cell>
          <cell r="G136" t="str">
            <v>7.32% Government Securities-13/11/2030</v>
          </cell>
          <cell r="H136">
            <v>7.32</v>
          </cell>
          <cell r="I136" t="str">
            <v>13-11-2030</v>
          </cell>
          <cell r="J136" t="str">
            <v>Sovereign</v>
          </cell>
          <cell r="K136">
            <v>5.0457999999999998</v>
          </cell>
          <cell r="L136">
            <v>100</v>
          </cell>
          <cell r="M136">
            <v>3000000</v>
          </cell>
          <cell r="N136">
            <v>6.9485000000000001</v>
          </cell>
        </row>
        <row r="137">
          <cell r="C137" t="str">
            <v>IN0020240019</v>
          </cell>
          <cell r="D137" t="str">
            <v>7.10GSE080434</v>
          </cell>
          <cell r="E137" t="str">
            <v>GSE</v>
          </cell>
          <cell r="F137" t="str">
            <v>Govt. of India - GSec / TBL</v>
          </cell>
          <cell r="G137" t="str">
            <v>7.10% Central Government Securities 08/04/2034</v>
          </cell>
          <cell r="H137">
            <v>7.1</v>
          </cell>
          <cell r="I137" t="str">
            <v>08-04-2034</v>
          </cell>
          <cell r="J137" t="str">
            <v>Sovereign</v>
          </cell>
          <cell r="K137">
            <v>6.9958</v>
          </cell>
          <cell r="L137">
            <v>100</v>
          </cell>
          <cell r="M137">
            <v>2000000</v>
          </cell>
          <cell r="N137">
            <v>6.9753999999999996</v>
          </cell>
        </row>
        <row r="138">
          <cell r="C138" t="str">
            <v>IN0020240027</v>
          </cell>
          <cell r="D138" t="str">
            <v>7.23GSE150439</v>
          </cell>
          <cell r="E138" t="str">
            <v>GSE</v>
          </cell>
          <cell r="F138" t="str">
            <v>Govt. of India - GSec / TBL</v>
          </cell>
          <cell r="G138" t="str">
            <v>7.23% Central Government Securities 15/04/2039</v>
          </cell>
          <cell r="H138">
            <v>7.23</v>
          </cell>
          <cell r="I138" t="str">
            <v>15-04-2039</v>
          </cell>
          <cell r="J138" t="str">
            <v>Sovereign</v>
          </cell>
          <cell r="K138">
            <v>9.1362000000000005</v>
          </cell>
          <cell r="L138">
            <v>100</v>
          </cell>
          <cell r="M138">
            <v>3000000</v>
          </cell>
          <cell r="N138">
            <v>7.0564</v>
          </cell>
        </row>
        <row r="139">
          <cell r="C139" t="str">
            <v>IN0020240035</v>
          </cell>
          <cell r="D139" t="str">
            <v>7.34GSE220464</v>
          </cell>
          <cell r="E139" t="str">
            <v>GSE</v>
          </cell>
          <cell r="F139" t="str">
            <v>Govt. of India - GSec / TBL</v>
          </cell>
          <cell r="G139" t="str">
            <v>7.34% Central Government Securities 22/04/2064</v>
          </cell>
          <cell r="H139">
            <v>7.34</v>
          </cell>
          <cell r="I139" t="str">
            <v>22-04-2064</v>
          </cell>
          <cell r="J139" t="str">
            <v>Sovereign</v>
          </cell>
          <cell r="K139">
            <v>13.3903</v>
          </cell>
          <cell r="L139">
            <v>100</v>
          </cell>
          <cell r="M139">
            <v>300000</v>
          </cell>
          <cell r="N139">
            <v>7.1691000000000003</v>
          </cell>
        </row>
        <row r="140">
          <cell r="C140" t="str">
            <v>IN3120230484</v>
          </cell>
          <cell r="D140" t="str">
            <v>7.44TNSG20034</v>
          </cell>
          <cell r="E140" t="str">
            <v>GSE</v>
          </cell>
          <cell r="F140" t="str">
            <v>Govt. of India - GSec / TBL</v>
          </cell>
          <cell r="G140" t="str">
            <v>7.44% Tamil Nadu State Government Securities -20/03/2034</v>
          </cell>
          <cell r="H140">
            <v>7.44</v>
          </cell>
          <cell r="I140" t="str">
            <v>20-03-2034</v>
          </cell>
          <cell r="J140" t="str">
            <v>Sovereign</v>
          </cell>
          <cell r="K140">
            <v>6.8448000000000002</v>
          </cell>
          <cell r="L140">
            <v>100</v>
          </cell>
          <cell r="M140">
            <v>500000</v>
          </cell>
          <cell r="N140">
            <v>7.3471000000000002</v>
          </cell>
        </row>
        <row r="141">
          <cell r="C141" t="str">
            <v>INE020B08906</v>
          </cell>
          <cell r="D141" t="str">
            <v>UT47NC254</v>
          </cell>
          <cell r="E141" t="str">
            <v>NCD</v>
          </cell>
          <cell r="F141" t="str">
            <v>REC LTD</v>
          </cell>
          <cell r="G141" t="str">
            <v>RURAL ELECTRIFICATION CORPORATION LTD - 8.27% - NCD - 06/02/2025</v>
          </cell>
          <cell r="H141">
            <v>8.27</v>
          </cell>
          <cell r="I141" t="str">
            <v>06-02-2025</v>
          </cell>
          <cell r="J141" t="str">
            <v>ICRA AAA</v>
          </cell>
          <cell r="K141">
            <v>0.47670000000000001</v>
          </cell>
          <cell r="L141">
            <v>1000000</v>
          </cell>
          <cell r="M141">
            <v>50</v>
          </cell>
          <cell r="N141">
            <v>7.5949999999999998</v>
          </cell>
        </row>
        <row r="142">
          <cell r="C142" t="str">
            <v>INE020B08EI8</v>
          </cell>
          <cell r="D142" t="str">
            <v>UT47NC314</v>
          </cell>
          <cell r="E142" t="str">
            <v>NCD</v>
          </cell>
          <cell r="F142" t="str">
            <v>REC LTD</v>
          </cell>
          <cell r="G142" t="str">
            <v>7.51% REC LTD NCD MD 31-07-2026</v>
          </cell>
          <cell r="H142">
            <v>7.51</v>
          </cell>
          <cell r="I142" t="str">
            <v>31-07-2026</v>
          </cell>
          <cell r="J142" t="str">
            <v>CRISIL AAA</v>
          </cell>
          <cell r="K142">
            <v>1.8863000000000001</v>
          </cell>
          <cell r="L142">
            <v>100000</v>
          </cell>
          <cell r="M142">
            <v>1000</v>
          </cell>
          <cell r="N142">
            <v>7.6</v>
          </cell>
        </row>
        <row r="143">
          <cell r="C143" t="str">
            <v>INE020B08FD6</v>
          </cell>
          <cell r="D143" t="str">
            <v>UT47NC320</v>
          </cell>
          <cell r="E143" t="str">
            <v>NCD</v>
          </cell>
          <cell r="F143" t="str">
            <v>REC LTD</v>
          </cell>
          <cell r="G143" t="str">
            <v>7.58% REC NCD MD 31-05-2029- 234 SERIES B</v>
          </cell>
          <cell r="H143">
            <v>7.58</v>
          </cell>
          <cell r="I143" t="str">
            <v>31-05-2029</v>
          </cell>
          <cell r="J143" t="str">
            <v>ICRA AAA</v>
          </cell>
          <cell r="K143">
            <v>4.1333000000000002</v>
          </cell>
          <cell r="L143">
            <v>100000</v>
          </cell>
          <cell r="M143">
            <v>2500</v>
          </cell>
          <cell r="N143">
            <v>7.43</v>
          </cell>
        </row>
        <row r="144">
          <cell r="C144" t="str">
            <v>INE040A08666</v>
          </cell>
          <cell r="D144" t="str">
            <v>FI301NC231</v>
          </cell>
          <cell r="E144" t="str">
            <v>NCD</v>
          </cell>
          <cell r="F144" t="str">
            <v>HDFC Bank Ltd (Prev HDFC Ltd)</v>
          </cell>
          <cell r="G144" t="str">
            <v>7.80% HDFC Bank Ltd (Prev HDFC Ltd) NCD MD 03-05-2033</v>
          </cell>
          <cell r="H144">
            <v>7.8</v>
          </cell>
          <cell r="I144" t="str">
            <v>03-05-2033</v>
          </cell>
          <cell r="J144" t="str">
            <v>CRISIL AAA</v>
          </cell>
          <cell r="K144">
            <v>6.5157999999999996</v>
          </cell>
          <cell r="L144">
            <v>100000</v>
          </cell>
          <cell r="M144">
            <v>1000</v>
          </cell>
          <cell r="N144">
            <v>7.63</v>
          </cell>
        </row>
        <row r="145">
          <cell r="C145" t="str">
            <v>INE053F08296</v>
          </cell>
          <cell r="D145" t="str">
            <v>FIIRFCNC213</v>
          </cell>
          <cell r="E145" t="str">
            <v>NCD</v>
          </cell>
          <cell r="F145" t="str">
            <v>Indian Railway Finance Corporation Ltd</v>
          </cell>
          <cell r="G145" t="str">
            <v>7.74%  Indian Railway Finance Corporation Ltd NCD MD 15.04.2038  BOND SERIES 170B 2038</v>
          </cell>
          <cell r="H145">
            <v>7.74</v>
          </cell>
          <cell r="I145" t="str">
            <v>15-04-2038</v>
          </cell>
          <cell r="J145" t="str">
            <v>CRISIL AAA</v>
          </cell>
          <cell r="K145">
            <v>8.4426000000000005</v>
          </cell>
          <cell r="L145">
            <v>100000</v>
          </cell>
          <cell r="M145">
            <v>1000</v>
          </cell>
          <cell r="N145">
            <v>7.383</v>
          </cell>
        </row>
        <row r="146">
          <cell r="C146" t="str">
            <v>INE115A07PI6</v>
          </cell>
          <cell r="D146" t="str">
            <v>FILICNC363</v>
          </cell>
          <cell r="E146" t="str">
            <v>NCD</v>
          </cell>
          <cell r="F146" t="str">
            <v>LIC Housing Finance Ltd</v>
          </cell>
          <cell r="G146" t="str">
            <v>6.17% LIC Housing Finance Ltd-NCD-03/09/2026</v>
          </cell>
          <cell r="H146">
            <v>6.17</v>
          </cell>
          <cell r="I146" t="str">
            <v>03-09-2026</v>
          </cell>
          <cell r="J146" t="str">
            <v>CRISIL AAA</v>
          </cell>
          <cell r="K146">
            <v>1.8742000000000001</v>
          </cell>
          <cell r="L146">
            <v>1000000</v>
          </cell>
          <cell r="M146">
            <v>50</v>
          </cell>
          <cell r="N146">
            <v>7.82</v>
          </cell>
        </row>
        <row r="147">
          <cell r="C147" t="str">
            <v>INE115A07QD5</v>
          </cell>
          <cell r="D147" t="str">
            <v>FI35LICNC11</v>
          </cell>
          <cell r="E147" t="str">
            <v>NCD</v>
          </cell>
          <cell r="F147" t="str">
            <v>LIC Housing Finance Ltd</v>
          </cell>
          <cell r="G147" t="str">
            <v>7.82% LIC Housing Finance Ltd NCD 28 11 2025 (Trench 428 Reissue 2)</v>
          </cell>
          <cell r="H147">
            <v>7.82</v>
          </cell>
          <cell r="I147" t="str">
            <v>28-11-2025</v>
          </cell>
          <cell r="J147" t="str">
            <v>CRISIL AAA</v>
          </cell>
          <cell r="K147">
            <v>1.2116</v>
          </cell>
          <cell r="L147">
            <v>1000000</v>
          </cell>
          <cell r="M147">
            <v>100</v>
          </cell>
          <cell r="N147">
            <v>7.83</v>
          </cell>
        </row>
        <row r="148">
          <cell r="C148" t="str">
            <v>INE115A07QH6</v>
          </cell>
          <cell r="D148" t="str">
            <v>FI35LICNC368</v>
          </cell>
          <cell r="E148" t="str">
            <v>NCD</v>
          </cell>
          <cell r="F148" t="str">
            <v>LIC Housing Finance Ltd</v>
          </cell>
          <cell r="G148" t="str">
            <v>8.0250% LIC Housing Finance Ltd- NCD 23-03-2033</v>
          </cell>
          <cell r="H148">
            <v>8.0250000000000004</v>
          </cell>
          <cell r="I148" t="str">
            <v>23-03-2033</v>
          </cell>
          <cell r="J148" t="str">
            <v>CRISIL AAA</v>
          </cell>
          <cell r="K148">
            <v>6.3707000000000003</v>
          </cell>
          <cell r="L148">
            <v>1000000</v>
          </cell>
          <cell r="M148">
            <v>150</v>
          </cell>
          <cell r="N148">
            <v>7.6425000000000001</v>
          </cell>
        </row>
        <row r="149">
          <cell r="C149" t="str">
            <v>INE261F08DV4</v>
          </cell>
          <cell r="D149" t="str">
            <v>FI35NANC297</v>
          </cell>
          <cell r="E149" t="str">
            <v>NCD</v>
          </cell>
          <cell r="F149" t="str">
            <v>National Bank for Agriculture &amp; Rural Development</v>
          </cell>
          <cell r="G149" t="str">
            <v>7.62 NABARD NCD 31 01 2028</v>
          </cell>
          <cell r="H149">
            <v>7.62</v>
          </cell>
          <cell r="I149" t="str">
            <v>31-01-2028</v>
          </cell>
          <cell r="J149" t="str">
            <v>ICRA AAA</v>
          </cell>
          <cell r="K149">
            <v>3.0463</v>
          </cell>
          <cell r="L149">
            <v>100000</v>
          </cell>
          <cell r="M149">
            <v>1500</v>
          </cell>
          <cell r="N149">
            <v>7.56</v>
          </cell>
        </row>
        <row r="150">
          <cell r="C150" t="str">
            <v>INE261F08DX0</v>
          </cell>
          <cell r="D150" t="str">
            <v>FI35NANC298</v>
          </cell>
          <cell r="E150" t="str">
            <v>NCD</v>
          </cell>
          <cell r="F150" t="str">
            <v>National Bank for Agriculture &amp; Rural Development</v>
          </cell>
          <cell r="G150" t="str">
            <v>7.58%  NABARD- NCD-31/07/2026 SERIES 23H</v>
          </cell>
          <cell r="H150">
            <v>7.58</v>
          </cell>
          <cell r="I150" t="str">
            <v>31-07-2026</v>
          </cell>
          <cell r="J150" t="str">
            <v>CRISIL AAA</v>
          </cell>
          <cell r="K150">
            <v>1.8856999999999999</v>
          </cell>
          <cell r="L150">
            <v>100000</v>
          </cell>
          <cell r="M150">
            <v>1500</v>
          </cell>
          <cell r="N150">
            <v>7.66</v>
          </cell>
        </row>
        <row r="151">
          <cell r="C151" t="str">
            <v>IN0020200112</v>
          </cell>
          <cell r="D151" t="str">
            <v>5.22GSE150625</v>
          </cell>
          <cell r="E151" t="str">
            <v>GSE</v>
          </cell>
          <cell r="F151" t="str">
            <v>Govt. of India - GSec / TBL</v>
          </cell>
          <cell r="G151" t="str">
            <v>5.22% Central Government Securities 15/06/2025</v>
          </cell>
          <cell r="H151">
            <v>5.22</v>
          </cell>
          <cell r="I151" t="str">
            <v>15-06-2025</v>
          </cell>
          <cell r="J151" t="str">
            <v>Sovereign</v>
          </cell>
          <cell r="K151">
            <v>0.81769999999999998</v>
          </cell>
          <cell r="L151">
            <v>100</v>
          </cell>
          <cell r="M151">
            <v>1500000</v>
          </cell>
          <cell r="N151">
            <v>6.8761999999999999</v>
          </cell>
        </row>
        <row r="152">
          <cell r="C152" t="str">
            <v>IN0020230101</v>
          </cell>
          <cell r="D152" t="str">
            <v>7.37GSE231028</v>
          </cell>
          <cell r="E152" t="str">
            <v>GSE</v>
          </cell>
          <cell r="F152" t="str">
            <v>Govt. of India - GSec / TBL</v>
          </cell>
          <cell r="G152" t="str">
            <v>7.37% Government Securities-23/10/2028</v>
          </cell>
          <cell r="H152">
            <v>7.37</v>
          </cell>
          <cell r="I152" t="str">
            <v>23-10-2028</v>
          </cell>
          <cell r="J152" t="str">
            <v>Sovereign</v>
          </cell>
          <cell r="K152">
            <v>3.6044999999999998</v>
          </cell>
          <cell r="L152">
            <v>100</v>
          </cell>
          <cell r="M152">
            <v>1500000</v>
          </cell>
          <cell r="N152">
            <v>6.8924000000000003</v>
          </cell>
        </row>
        <row r="153">
          <cell r="C153" t="str">
            <v>IN0020240019</v>
          </cell>
          <cell r="D153" t="str">
            <v>7.10GSE080434</v>
          </cell>
          <cell r="E153" t="str">
            <v>GSE</v>
          </cell>
          <cell r="F153" t="str">
            <v>Govt. of India - GSec / TBL</v>
          </cell>
          <cell r="G153" t="str">
            <v>7.10% Central Government Securities 08/04/2034</v>
          </cell>
          <cell r="H153">
            <v>7.1</v>
          </cell>
          <cell r="I153" t="str">
            <v>08-04-2034</v>
          </cell>
          <cell r="J153" t="str">
            <v>Sovereign</v>
          </cell>
          <cell r="K153">
            <v>6.9958</v>
          </cell>
          <cell r="L153">
            <v>100</v>
          </cell>
          <cell r="M153">
            <v>3000000</v>
          </cell>
          <cell r="N153">
            <v>6.9753999999999996</v>
          </cell>
        </row>
        <row r="154">
          <cell r="C154" t="str">
            <v>INE134E08LO4</v>
          </cell>
          <cell r="D154" t="str">
            <v>FI35PFCNC369</v>
          </cell>
          <cell r="E154" t="str">
            <v>NCD</v>
          </cell>
          <cell r="F154" t="str">
            <v>Power Finance Corporation Ltd</v>
          </cell>
          <cell r="G154" t="str">
            <v>7.13% Power Finance Corporation Ltd NCD MD 08-08-2025 BS 215 2025</v>
          </cell>
          <cell r="H154">
            <v>7.13</v>
          </cell>
          <cell r="I154" t="str">
            <v>08-08-2025</v>
          </cell>
          <cell r="J154" t="str">
            <v>CRISIL AAA</v>
          </cell>
          <cell r="K154">
            <v>0.97809999999999997</v>
          </cell>
          <cell r="L154">
            <v>1000000</v>
          </cell>
          <cell r="M154">
            <v>100</v>
          </cell>
          <cell r="N154">
            <v>7.7</v>
          </cell>
        </row>
        <row r="155">
          <cell r="C155" t="str">
            <v>INE261F08EA6</v>
          </cell>
          <cell r="D155" t="str">
            <v>FI35NANC300</v>
          </cell>
          <cell r="E155" t="str">
            <v>NCD</v>
          </cell>
          <cell r="F155" t="str">
            <v>National Bank for Agriculture &amp; Rural Development</v>
          </cell>
          <cell r="G155" t="str">
            <v>7.50% NABARD NCD 31-08-2026 SERIES 24A</v>
          </cell>
          <cell r="H155">
            <v>7.5</v>
          </cell>
          <cell r="I155" t="str">
            <v>31-08-2026</v>
          </cell>
          <cell r="J155" t="str">
            <v>CRISIL AAA</v>
          </cell>
          <cell r="K155">
            <v>1.8361000000000001</v>
          </cell>
          <cell r="L155">
            <v>100000</v>
          </cell>
          <cell r="M155">
            <v>1000</v>
          </cell>
          <cell r="N155">
            <v>7.66</v>
          </cell>
        </row>
        <row r="156">
          <cell r="C156" t="str">
            <v>INE261F08EF5</v>
          </cell>
          <cell r="D156" t="str">
            <v>FI35NANC304</v>
          </cell>
          <cell r="E156" t="str">
            <v>NCD</v>
          </cell>
          <cell r="F156" t="str">
            <v>National Bank for Agriculture &amp; Rural Development</v>
          </cell>
          <cell r="G156" t="str">
            <v>7.80% NABARD NCD MD 15-03-2027 Bonds Series 24E</v>
          </cell>
          <cell r="H156">
            <v>7.8</v>
          </cell>
          <cell r="I156" t="str">
            <v>15-03-2027</v>
          </cell>
          <cell r="J156" t="str">
            <v>ICRA AAA</v>
          </cell>
          <cell r="K156">
            <v>2.3668</v>
          </cell>
          <cell r="L156">
            <v>100000</v>
          </cell>
          <cell r="M156">
            <v>1000</v>
          </cell>
          <cell r="N156">
            <v>7.5949999999999998</v>
          </cell>
        </row>
        <row r="157">
          <cell r="C157" t="str">
            <v>INE556F08KH1</v>
          </cell>
          <cell r="D157" t="str">
            <v>FI3405NC236</v>
          </cell>
          <cell r="E157" t="str">
            <v>NCD</v>
          </cell>
          <cell r="F157" t="str">
            <v>Small Industries Development Bank of India</v>
          </cell>
          <cell r="G157" t="str">
            <v>7.43%  Small Industries Development Bank of India NCD MD 31-08-2026 SERIES I</v>
          </cell>
          <cell r="H157">
            <v>7.43</v>
          </cell>
          <cell r="I157" t="str">
            <v>31-08-2026</v>
          </cell>
          <cell r="J157" t="str">
            <v>CRISIL AAA</v>
          </cell>
          <cell r="K157">
            <v>1.8375999999999999</v>
          </cell>
          <cell r="L157">
            <v>100000</v>
          </cell>
          <cell r="M157">
            <v>1500</v>
          </cell>
          <cell r="N157">
            <v>7.6792999999999996</v>
          </cell>
        </row>
        <row r="158">
          <cell r="C158" t="str">
            <v>IN002023Z422</v>
          </cell>
          <cell r="D158" t="str">
            <v>364TBL020125</v>
          </cell>
          <cell r="E158" t="str">
            <v>TBL</v>
          </cell>
          <cell r="F158" t="str">
            <v>Govt. of India - GSec / TBL</v>
          </cell>
          <cell r="G158" t="str">
            <v>364 Days -T Bill- 02/01/2025</v>
          </cell>
          <cell r="H158">
            <v>0</v>
          </cell>
          <cell r="I158" t="str">
            <v>02-01-2025</v>
          </cell>
          <cell r="J158" t="str">
            <v>Sovereign</v>
          </cell>
          <cell r="K158">
            <v>0.38</v>
          </cell>
          <cell r="L158">
            <v>100</v>
          </cell>
          <cell r="M158">
            <v>2500000</v>
          </cell>
          <cell r="N158">
            <v>6.6864999999999997</v>
          </cell>
        </row>
        <row r="159">
          <cell r="C159" t="str">
            <v>INF0RQ622028</v>
          </cell>
          <cell r="D159" t="str">
            <v>CDMDF23</v>
          </cell>
          <cell r="E159" t="str">
            <v>CDMDF</v>
          </cell>
          <cell r="F159" t="str">
            <v>Corporate Debt Market Development Fund</v>
          </cell>
          <cell r="G159" t="str">
            <v>Corporate Debt Market Development Fund - Class A2</v>
          </cell>
          <cell r="H159">
            <v>0</v>
          </cell>
          <cell r="K159">
            <v>0</v>
          </cell>
          <cell r="L159">
            <v>10000</v>
          </cell>
          <cell r="M159">
            <v>1043.4449999999999</v>
          </cell>
          <cell r="N159">
            <v>9.9999999999999995E-7</v>
          </cell>
        </row>
        <row r="160">
          <cell r="C160" t="str">
            <v>INE466L14DI2</v>
          </cell>
          <cell r="D160" t="str">
            <v>FI3582CP241</v>
          </cell>
          <cell r="E160" t="str">
            <v>CMP</v>
          </cell>
          <cell r="F160" t="str">
            <v>360 ONE WAM Ltd (Prev IIFL Wealth Management Ltd)</v>
          </cell>
          <cell r="G160" t="str">
            <v>360 ONE WAM LIMITED CP MD 14-03-2025</v>
          </cell>
          <cell r="H160">
            <v>0</v>
          </cell>
          <cell r="I160" t="str">
            <v>14-03-2025</v>
          </cell>
          <cell r="J160" t="str">
            <v>CRISIL A1+</v>
          </cell>
          <cell r="K160">
            <v>0.57999999999999996</v>
          </cell>
          <cell r="L160">
            <v>500000</v>
          </cell>
          <cell r="M160">
            <v>300</v>
          </cell>
          <cell r="N160">
            <v>8.76</v>
          </cell>
        </row>
        <row r="161">
          <cell r="C161" t="str">
            <v>INE028A16EX5</v>
          </cell>
          <cell r="D161" t="str">
            <v>FI3369CD285</v>
          </cell>
          <cell r="E161" t="str">
            <v>COD</v>
          </cell>
          <cell r="F161" t="str">
            <v>Bank of Baroda</v>
          </cell>
          <cell r="G161" t="str">
            <v>Bank of Baroda COD MD 20-02-2025</v>
          </cell>
          <cell r="H161">
            <v>0</v>
          </cell>
          <cell r="I161" t="str">
            <v>20-02-2025</v>
          </cell>
          <cell r="J161" t="str">
            <v>IND A1+</v>
          </cell>
          <cell r="K161">
            <v>0.52</v>
          </cell>
          <cell r="L161">
            <v>500000</v>
          </cell>
          <cell r="M161">
            <v>200</v>
          </cell>
          <cell r="N161">
            <v>7.48</v>
          </cell>
        </row>
        <row r="162">
          <cell r="C162" t="str">
            <v>INE040A16EN1</v>
          </cell>
          <cell r="D162" t="str">
            <v>FI3310CD279</v>
          </cell>
          <cell r="E162" t="str">
            <v>COD</v>
          </cell>
          <cell r="F162" t="str">
            <v>HDFC Bank Ltd</v>
          </cell>
          <cell r="G162" t="str">
            <v>HDFC BANK LTD CD MD 20-02-2025</v>
          </cell>
          <cell r="H162">
            <v>0</v>
          </cell>
          <cell r="I162" t="str">
            <v>20-02-2025</v>
          </cell>
          <cell r="J162" t="str">
            <v>CRISIL A1+</v>
          </cell>
          <cell r="K162">
            <v>0.52</v>
          </cell>
          <cell r="L162">
            <v>500000</v>
          </cell>
          <cell r="M162">
            <v>200</v>
          </cell>
          <cell r="N162">
            <v>7.5</v>
          </cell>
        </row>
        <row r="163">
          <cell r="C163" t="str">
            <v>INE090AD6113</v>
          </cell>
          <cell r="D163" t="str">
            <v>FI3305CD366</v>
          </cell>
          <cell r="E163" t="str">
            <v>COD</v>
          </cell>
          <cell r="F163" t="str">
            <v>ICICI Bank Ltd</v>
          </cell>
          <cell r="G163" t="str">
            <v>ICICI Bank Ltd COD MD 31-01-2025</v>
          </cell>
          <cell r="H163">
            <v>0</v>
          </cell>
          <cell r="I163" t="str">
            <v>31-01-2025</v>
          </cell>
          <cell r="J163" t="str">
            <v>ICRA A1+</v>
          </cell>
          <cell r="K163">
            <v>0.46</v>
          </cell>
          <cell r="L163">
            <v>500000</v>
          </cell>
          <cell r="M163">
            <v>200</v>
          </cell>
          <cell r="N163">
            <v>7.48</v>
          </cell>
        </row>
        <row r="164">
          <cell r="C164" t="str">
            <v>INE092T16WB9</v>
          </cell>
          <cell r="D164" t="str">
            <v>FI3437CD267</v>
          </cell>
          <cell r="E164" t="str">
            <v>COD</v>
          </cell>
          <cell r="F164" t="str">
            <v>IDFC First Bank Ltd</v>
          </cell>
          <cell r="G164" t="str">
            <v>IDFC FIRST BANK LTD COD MD 21-02-2025</v>
          </cell>
          <cell r="H164">
            <v>0</v>
          </cell>
          <cell r="I164" t="str">
            <v>21-02-2025</v>
          </cell>
          <cell r="J164" t="str">
            <v>CRISIL A1+</v>
          </cell>
          <cell r="K164">
            <v>0.52</v>
          </cell>
          <cell r="L164">
            <v>500000</v>
          </cell>
          <cell r="M164">
            <v>200</v>
          </cell>
          <cell r="N164">
            <v>7.58</v>
          </cell>
        </row>
        <row r="165">
          <cell r="C165" t="str">
            <v>INE095A16V79</v>
          </cell>
          <cell r="D165" t="str">
            <v>FI3307CD337</v>
          </cell>
          <cell r="E165" t="str">
            <v>COD</v>
          </cell>
          <cell r="F165" t="str">
            <v>IndusInd Bank Ltd</v>
          </cell>
          <cell r="G165" t="str">
            <v>INDUSIND BANK LTD COD MD 24-02-2025</v>
          </cell>
          <cell r="H165">
            <v>0</v>
          </cell>
          <cell r="I165" t="str">
            <v>24-02-2025</v>
          </cell>
          <cell r="J165" t="str">
            <v>CRISIL A1+</v>
          </cell>
          <cell r="K165">
            <v>0.53</v>
          </cell>
          <cell r="L165">
            <v>500000</v>
          </cell>
          <cell r="M165">
            <v>200</v>
          </cell>
          <cell r="N165">
            <v>7.57</v>
          </cell>
        </row>
        <row r="166">
          <cell r="C166" t="str">
            <v>INE160A16OF2</v>
          </cell>
          <cell r="D166" t="str">
            <v>FI3316CD370</v>
          </cell>
          <cell r="E166" t="str">
            <v>COD</v>
          </cell>
          <cell r="F166" t="str">
            <v>Punjab National Bank</v>
          </cell>
          <cell r="G166" t="str">
            <v>Punjab National Bank COD MD 05.12.2024</v>
          </cell>
          <cell r="H166">
            <v>0</v>
          </cell>
          <cell r="I166" t="str">
            <v>05-12-2024</v>
          </cell>
          <cell r="J166" t="str">
            <v>CRISIL A1+</v>
          </cell>
          <cell r="K166">
            <v>0.31</v>
          </cell>
          <cell r="L166">
            <v>500000</v>
          </cell>
          <cell r="M166">
            <v>200</v>
          </cell>
          <cell r="N166">
            <v>7.42</v>
          </cell>
        </row>
        <row r="167">
          <cell r="C167" t="str">
            <v>INE237A164X3</v>
          </cell>
          <cell r="D167" t="str">
            <v>FI3332CD273</v>
          </cell>
          <cell r="E167" t="str">
            <v>COD</v>
          </cell>
          <cell r="F167" t="str">
            <v>Kotak Mahindra Bank Ltd</v>
          </cell>
          <cell r="G167" t="str">
            <v>KOTAK MAHINDRA BANK COD MD 13-12-2024</v>
          </cell>
          <cell r="H167">
            <v>0</v>
          </cell>
          <cell r="I167" t="str">
            <v>13-12-2024</v>
          </cell>
          <cell r="J167" t="str">
            <v>CRISIL A1+</v>
          </cell>
          <cell r="K167">
            <v>0.33</v>
          </cell>
          <cell r="L167">
            <v>500000</v>
          </cell>
          <cell r="M167">
            <v>400</v>
          </cell>
          <cell r="N167">
            <v>7.3586</v>
          </cell>
        </row>
        <row r="168">
          <cell r="C168" t="str">
            <v>INE238AD6579</v>
          </cell>
          <cell r="D168" t="str">
            <v>FI3319CD521</v>
          </cell>
          <cell r="E168" t="str">
            <v>COD</v>
          </cell>
          <cell r="F168" t="str">
            <v>Axis Bank Ltd</v>
          </cell>
          <cell r="G168" t="str">
            <v>AXIS Bank Ltd CD 29 11 2024</v>
          </cell>
          <cell r="H168">
            <v>0</v>
          </cell>
          <cell r="I168" t="str">
            <v>29-11-2024</v>
          </cell>
          <cell r="J168" t="str">
            <v>CRISIL A1+</v>
          </cell>
          <cell r="K168">
            <v>0.28999999999999998</v>
          </cell>
          <cell r="L168">
            <v>500000</v>
          </cell>
          <cell r="M168">
            <v>200</v>
          </cell>
          <cell r="N168">
            <v>7.3601000000000001</v>
          </cell>
        </row>
        <row r="169">
          <cell r="C169" t="str">
            <v>INE261F16785</v>
          </cell>
          <cell r="D169" t="str">
            <v>FI35NACD352</v>
          </cell>
          <cell r="E169" t="str">
            <v>COD</v>
          </cell>
          <cell r="F169" t="str">
            <v>National Bank for Agriculture &amp; Rural Development</v>
          </cell>
          <cell r="G169" t="str">
            <v>NABARD CD MD 07.02.2025</v>
          </cell>
          <cell r="H169">
            <v>0</v>
          </cell>
          <cell r="I169" t="str">
            <v>07-02-2025</v>
          </cell>
          <cell r="J169" t="str">
            <v>CRISIL A1+</v>
          </cell>
          <cell r="K169">
            <v>0.48</v>
          </cell>
          <cell r="L169">
            <v>500000</v>
          </cell>
          <cell r="M169">
            <v>200</v>
          </cell>
          <cell r="N169">
            <v>7.5</v>
          </cell>
        </row>
        <row r="170">
          <cell r="C170" t="str">
            <v>INE261F16819</v>
          </cell>
          <cell r="D170" t="str">
            <v>FI35NACD354</v>
          </cell>
          <cell r="E170" t="str">
            <v>COD</v>
          </cell>
          <cell r="F170" t="str">
            <v>National Bank for Agriculture &amp; Rural Development</v>
          </cell>
          <cell r="G170" t="str">
            <v>NABARD COD MD 26-02-2025</v>
          </cell>
          <cell r="H170">
            <v>0</v>
          </cell>
          <cell r="I170" t="str">
            <v>26-02-2025</v>
          </cell>
          <cell r="J170" t="str">
            <v>CRISIL A1+</v>
          </cell>
          <cell r="K170">
            <v>0.53</v>
          </cell>
          <cell r="L170">
            <v>500000</v>
          </cell>
          <cell r="M170">
            <v>200</v>
          </cell>
          <cell r="N170">
            <v>7.5</v>
          </cell>
        </row>
        <row r="171">
          <cell r="C171" t="str">
            <v>INE476A16YB0</v>
          </cell>
          <cell r="D171" t="str">
            <v>FI3320CD471</v>
          </cell>
          <cell r="E171" t="str">
            <v>COD</v>
          </cell>
          <cell r="F171" t="str">
            <v>Canara Bank</v>
          </cell>
          <cell r="G171" t="str">
            <v>CANARA BANK COD MD 20-03-2025</v>
          </cell>
          <cell r="H171">
            <v>0</v>
          </cell>
          <cell r="I171" t="str">
            <v>20-03-2025</v>
          </cell>
          <cell r="J171" t="str">
            <v>CRISIL A1+</v>
          </cell>
          <cell r="K171">
            <v>0.59</v>
          </cell>
          <cell r="L171">
            <v>500000</v>
          </cell>
          <cell r="M171">
            <v>200</v>
          </cell>
          <cell r="N171">
            <v>7.5</v>
          </cell>
        </row>
        <row r="172">
          <cell r="C172" t="str">
            <v>INE556F16AM5</v>
          </cell>
          <cell r="D172" t="str">
            <v>FI3405CD238</v>
          </cell>
          <cell r="E172" t="str">
            <v>COD</v>
          </cell>
          <cell r="F172" t="str">
            <v>Small Industries Development Bank of India</v>
          </cell>
          <cell r="G172" t="str">
            <v>Small Industries Development Bank of India COD  MD 11-12-2024</v>
          </cell>
          <cell r="H172">
            <v>0</v>
          </cell>
          <cell r="I172" t="str">
            <v>11-12-2024</v>
          </cell>
          <cell r="J172" t="str">
            <v>CRISIL A1+</v>
          </cell>
          <cell r="K172">
            <v>0.32</v>
          </cell>
          <cell r="L172">
            <v>500000</v>
          </cell>
          <cell r="M172">
            <v>300</v>
          </cell>
          <cell r="N172">
            <v>7.4349999999999996</v>
          </cell>
        </row>
        <row r="173">
          <cell r="C173" t="str">
            <v>INE556F16AO1</v>
          </cell>
          <cell r="D173" t="str">
            <v>FI3405CD240</v>
          </cell>
          <cell r="E173" t="str">
            <v>COD</v>
          </cell>
          <cell r="F173" t="str">
            <v>Small Industries Development Bank of India</v>
          </cell>
          <cell r="G173" t="str">
            <v>Small Industries Development Bank of India CD 10 01 2025</v>
          </cell>
          <cell r="H173">
            <v>0</v>
          </cell>
          <cell r="I173" t="str">
            <v>10-01-2025</v>
          </cell>
          <cell r="J173" t="str">
            <v>CRISIL A1+</v>
          </cell>
          <cell r="K173">
            <v>0.41</v>
          </cell>
          <cell r="L173">
            <v>500000</v>
          </cell>
          <cell r="M173">
            <v>100</v>
          </cell>
          <cell r="N173">
            <v>7.55</v>
          </cell>
        </row>
        <row r="174">
          <cell r="C174" t="str">
            <v>INE562A16MZ1</v>
          </cell>
          <cell r="D174" t="str">
            <v>FI3345CD302</v>
          </cell>
          <cell r="E174" t="str">
            <v>COD</v>
          </cell>
          <cell r="F174" t="str">
            <v>Indian Bank</v>
          </cell>
          <cell r="G174" t="str">
            <v>INDIAN BANK LTD COD MD 23-05-2025</v>
          </cell>
          <cell r="H174">
            <v>0</v>
          </cell>
          <cell r="I174" t="str">
            <v>23-05-2025</v>
          </cell>
          <cell r="J174" t="str">
            <v>CRISIL A1+</v>
          </cell>
          <cell r="K174">
            <v>0.77</v>
          </cell>
          <cell r="L174">
            <v>500000</v>
          </cell>
          <cell r="M174">
            <v>200</v>
          </cell>
          <cell r="N174">
            <v>7.5949999999999998</v>
          </cell>
        </row>
        <row r="175">
          <cell r="C175" t="str">
            <v>IN0020220037</v>
          </cell>
          <cell r="D175" t="str">
            <v>7.38GSEC200627</v>
          </cell>
          <cell r="E175" t="str">
            <v>GSE</v>
          </cell>
          <cell r="F175" t="str">
            <v>Govt. of India - GSec / TBL</v>
          </cell>
          <cell r="G175" t="str">
            <v>7.38% Central Government Securities 20/06/2027</v>
          </cell>
          <cell r="H175">
            <v>7.38</v>
          </cell>
          <cell r="I175" t="str">
            <v>20-06-2027</v>
          </cell>
          <cell r="J175" t="str">
            <v>Sovereign</v>
          </cell>
          <cell r="K175">
            <v>2.5924</v>
          </cell>
          <cell r="L175">
            <v>100</v>
          </cell>
          <cell r="M175">
            <v>1000000</v>
          </cell>
          <cell r="N175">
            <v>6.8611000000000004</v>
          </cell>
        </row>
        <row r="176">
          <cell r="C176" t="str">
            <v>IN0020230101</v>
          </cell>
          <cell r="D176" t="str">
            <v>7.37GSE231028</v>
          </cell>
          <cell r="E176" t="str">
            <v>GSE</v>
          </cell>
          <cell r="F176" t="str">
            <v>Govt. of India - GSec / TBL</v>
          </cell>
          <cell r="G176" t="str">
            <v>7.37% Government Securities-23/10/2028</v>
          </cell>
          <cell r="H176">
            <v>7.37</v>
          </cell>
          <cell r="I176" t="str">
            <v>23-10-2028</v>
          </cell>
          <cell r="J176" t="str">
            <v>Sovereign</v>
          </cell>
          <cell r="K176">
            <v>3.6044999999999998</v>
          </cell>
          <cell r="L176">
            <v>100</v>
          </cell>
          <cell r="M176">
            <v>1500000</v>
          </cell>
          <cell r="N176">
            <v>6.8924000000000003</v>
          </cell>
        </row>
        <row r="177">
          <cell r="C177" t="str">
            <v>INE020B08EP3</v>
          </cell>
          <cell r="D177" t="str">
            <v>UT47NC318</v>
          </cell>
          <cell r="E177" t="str">
            <v>NCD</v>
          </cell>
          <cell r="F177" t="str">
            <v>REC LTD</v>
          </cell>
          <cell r="G177" t="str">
            <v>7.77% REC NCD MD 30-09-2026</v>
          </cell>
          <cell r="H177">
            <v>7.77</v>
          </cell>
          <cell r="I177" t="str">
            <v>30-09-2026</v>
          </cell>
          <cell r="J177" t="str">
            <v>CRISIL AAA</v>
          </cell>
          <cell r="K177">
            <v>1.9265000000000001</v>
          </cell>
          <cell r="L177">
            <v>100000</v>
          </cell>
          <cell r="M177">
            <v>500</v>
          </cell>
          <cell r="N177">
            <v>7.6</v>
          </cell>
        </row>
        <row r="178">
          <cell r="C178" t="str">
            <v>INE020B08FF1</v>
          </cell>
          <cell r="D178" t="str">
            <v>UT47NC321</v>
          </cell>
          <cell r="E178" t="str">
            <v>NCD</v>
          </cell>
          <cell r="F178" t="str">
            <v>REC LTD</v>
          </cell>
          <cell r="G178" t="str">
            <v>7.56% REC LTD NCD MD 31-08-2027  236-B</v>
          </cell>
          <cell r="H178">
            <v>7.56</v>
          </cell>
          <cell r="I178" t="str">
            <v>31-08-2027</v>
          </cell>
          <cell r="J178" t="str">
            <v>ICRA AAA</v>
          </cell>
          <cell r="K178">
            <v>2.8100999999999998</v>
          </cell>
          <cell r="L178">
            <v>100000</v>
          </cell>
          <cell r="M178">
            <v>500</v>
          </cell>
          <cell r="N178">
            <v>7.5049999999999999</v>
          </cell>
        </row>
        <row r="179">
          <cell r="C179" t="str">
            <v>INE041007100</v>
          </cell>
          <cell r="D179" t="str">
            <v>FI3346NC200</v>
          </cell>
          <cell r="E179" t="str">
            <v>NCD</v>
          </cell>
          <cell r="F179" t="str">
            <v>Embassy Office Parks REIT</v>
          </cell>
          <cell r="G179" t="str">
            <v>7.77% Embassy Office Parks REIT NCD MD 05.06.2025 Series VII NCD Call 05-03-2025</v>
          </cell>
          <cell r="H179">
            <v>7.77</v>
          </cell>
          <cell r="I179" t="str">
            <v>05-06-2025</v>
          </cell>
          <cell r="J179" t="str">
            <v>CRISIL AAA</v>
          </cell>
          <cell r="K179">
            <v>0.77739999999999998</v>
          </cell>
          <cell r="L179">
            <v>100000</v>
          </cell>
          <cell r="M179">
            <v>500</v>
          </cell>
          <cell r="N179">
            <v>8.19</v>
          </cell>
        </row>
        <row r="180">
          <cell r="C180" t="str">
            <v>INE053F08304</v>
          </cell>
          <cell r="D180" t="str">
            <v>FI3567IRFC248</v>
          </cell>
          <cell r="E180" t="str">
            <v>NCD</v>
          </cell>
          <cell r="F180" t="str">
            <v>Indian Railway Finance Corporation Ltd</v>
          </cell>
          <cell r="G180" t="str">
            <v>7.23% Indian Railway Finance Corporation Ltd NCD 15-10-2026</v>
          </cell>
          <cell r="H180">
            <v>7.23</v>
          </cell>
          <cell r="I180" t="str">
            <v>15-10-2026</v>
          </cell>
          <cell r="J180" t="str">
            <v>CRISIL AAA</v>
          </cell>
          <cell r="K180">
            <v>2.0312999999999999</v>
          </cell>
          <cell r="L180">
            <v>100000</v>
          </cell>
          <cell r="M180">
            <v>1000</v>
          </cell>
          <cell r="N180">
            <v>7.48</v>
          </cell>
        </row>
        <row r="181">
          <cell r="C181" t="str">
            <v>INE115A07OY6</v>
          </cell>
          <cell r="D181" t="str">
            <v>FILICNC376</v>
          </cell>
          <cell r="E181" t="str">
            <v>NCD</v>
          </cell>
          <cell r="F181" t="str">
            <v>LIC Housing Finance Ltd</v>
          </cell>
          <cell r="G181" t="str">
            <v>5.7760% LIC Housing Finance Ltd NCD MD 11-09-2025</v>
          </cell>
          <cell r="H181">
            <v>5.7759999999999998</v>
          </cell>
          <cell r="I181" t="str">
            <v>11-09-2025</v>
          </cell>
          <cell r="J181" t="str">
            <v>CRISIL AAA</v>
          </cell>
          <cell r="K181">
            <v>1.0154000000000001</v>
          </cell>
          <cell r="L181">
            <v>1000000</v>
          </cell>
          <cell r="M181">
            <v>140</v>
          </cell>
          <cell r="N181">
            <v>7.83</v>
          </cell>
        </row>
        <row r="182">
          <cell r="C182" t="str">
            <v>INE115A07PQ9</v>
          </cell>
          <cell r="D182" t="str">
            <v>FILICNC374</v>
          </cell>
          <cell r="E182" t="str">
            <v>NCD</v>
          </cell>
          <cell r="F182" t="str">
            <v>LIC Housing Finance Ltd</v>
          </cell>
          <cell r="G182" t="str">
            <v>5.9943% Lic Housing Finance NCD MD 12-03-2025</v>
          </cell>
          <cell r="H182">
            <v>5.9943</v>
          </cell>
          <cell r="I182" t="str">
            <v>12-03-2025</v>
          </cell>
          <cell r="J182" t="str">
            <v>CRISIL AAA</v>
          </cell>
          <cell r="K182">
            <v>0.56989999999999996</v>
          </cell>
          <cell r="L182">
            <v>1000000</v>
          </cell>
          <cell r="M182">
            <v>100</v>
          </cell>
          <cell r="N182">
            <v>7.6550000000000002</v>
          </cell>
        </row>
        <row r="183">
          <cell r="C183" t="str">
            <v>INE115A07PU1</v>
          </cell>
          <cell r="D183" t="str">
            <v>FILICNC371</v>
          </cell>
          <cell r="E183" t="str">
            <v>NCD</v>
          </cell>
          <cell r="F183" t="str">
            <v>LIC Housing Finance Ltd</v>
          </cell>
          <cell r="G183" t="str">
            <v>6.25% LIC Housing Finance Ltd NCD MD 20-06-2025</v>
          </cell>
          <cell r="H183">
            <v>6.25</v>
          </cell>
          <cell r="I183" t="str">
            <v>20-06-2025</v>
          </cell>
          <cell r="J183" t="str">
            <v>CRISIL AAA</v>
          </cell>
          <cell r="K183">
            <v>0.84379999999999999</v>
          </cell>
          <cell r="L183">
            <v>1000000</v>
          </cell>
          <cell r="M183">
            <v>100</v>
          </cell>
          <cell r="N183">
            <v>7.71</v>
          </cell>
        </row>
        <row r="184">
          <cell r="C184" t="str">
            <v>INE121A07QT9</v>
          </cell>
          <cell r="D184" t="str">
            <v>FI3508NC223</v>
          </cell>
          <cell r="E184" t="str">
            <v>NCD</v>
          </cell>
          <cell r="F184" t="str">
            <v>Cholamandalam Investment and Finance Co Ltd</v>
          </cell>
          <cell r="G184" t="str">
            <v>8.45% Cholamandalam Investment and Finance Co Ltd NCD MD 21-11-2025 (CICFL_Series 630_November 2025)</v>
          </cell>
          <cell r="H184">
            <v>8.4499999999999993</v>
          </cell>
          <cell r="I184" t="str">
            <v>21-11-2025</v>
          </cell>
          <cell r="J184" t="str">
            <v>ICRA AA+</v>
          </cell>
          <cell r="K184">
            <v>1.1871</v>
          </cell>
          <cell r="L184">
            <v>1000000</v>
          </cell>
          <cell r="M184">
            <v>50</v>
          </cell>
          <cell r="N184">
            <v>8.4550000000000001</v>
          </cell>
        </row>
        <row r="185">
          <cell r="C185" t="str">
            <v>INE134E08KT5</v>
          </cell>
          <cell r="D185" t="str">
            <v>FI35PFCNC370</v>
          </cell>
          <cell r="E185" t="str">
            <v>NCD</v>
          </cell>
          <cell r="F185" t="str">
            <v>Power Finance Corporation Ltd</v>
          </cell>
          <cell r="G185" t="str">
            <v>7.17% Power Finance Corporation Limited NCD MD 22-05-2025  (BS 202B (R-1)</v>
          </cell>
          <cell r="H185">
            <v>7.17</v>
          </cell>
          <cell r="I185" t="str">
            <v>22-05-2025</v>
          </cell>
          <cell r="J185" t="str">
            <v>CRISIL AAA</v>
          </cell>
          <cell r="K185">
            <v>0.76439999999999997</v>
          </cell>
          <cell r="L185">
            <v>1000000</v>
          </cell>
          <cell r="M185">
            <v>250</v>
          </cell>
          <cell r="N185">
            <v>7.65</v>
          </cell>
        </row>
        <row r="186">
          <cell r="C186" t="str">
            <v>INE233A08121</v>
          </cell>
          <cell r="D186" t="str">
            <v>CH2208BNC200</v>
          </cell>
          <cell r="E186" t="str">
            <v>NCD</v>
          </cell>
          <cell r="F186" t="str">
            <v>Godrej Industries Ltd</v>
          </cell>
          <cell r="G186" t="str">
            <v>8.36% GODREJ INDUSTRIES LTD NCD MD 28-08-2026</v>
          </cell>
          <cell r="H186">
            <v>8.36</v>
          </cell>
          <cell r="I186" t="str">
            <v>28-08-2026</v>
          </cell>
          <cell r="J186" t="str">
            <v>CRISIL AA</v>
          </cell>
          <cell r="K186">
            <v>1.8794999999999999</v>
          </cell>
          <cell r="L186">
            <v>100000</v>
          </cell>
          <cell r="M186">
            <v>900</v>
          </cell>
          <cell r="N186">
            <v>8.2650000000000006</v>
          </cell>
        </row>
        <row r="187">
          <cell r="C187" t="str">
            <v>INE261F08DP6</v>
          </cell>
          <cell r="D187" t="str">
            <v>FI35NANC302</v>
          </cell>
          <cell r="E187" t="str">
            <v>NCD</v>
          </cell>
          <cell r="F187" t="str">
            <v>National Bank for Agriculture &amp; Rural Development</v>
          </cell>
          <cell r="G187" t="str">
            <v>7.35% NABARD NCD 08-07-2025 BOND SERIES 23B</v>
          </cell>
          <cell r="H187">
            <v>7.35</v>
          </cell>
          <cell r="I187" t="str">
            <v>08-07-2025</v>
          </cell>
          <cell r="J187" t="str">
            <v>CRISIL AAA</v>
          </cell>
          <cell r="K187">
            <v>0.89319999999999999</v>
          </cell>
          <cell r="L187">
            <v>1000000</v>
          </cell>
          <cell r="M187">
            <v>100</v>
          </cell>
          <cell r="N187">
            <v>7.7</v>
          </cell>
        </row>
        <row r="188">
          <cell r="C188" t="str">
            <v>INE403D08181</v>
          </cell>
          <cell r="D188" t="str">
            <v>UT4825NC200</v>
          </cell>
          <cell r="E188" t="str">
            <v>NCD</v>
          </cell>
          <cell r="F188" t="str">
            <v>Bharti Telecom Ltd</v>
          </cell>
          <cell r="G188" t="str">
            <v>8.90% Bharti Telecom Ltd NCD MD 04-12-2025 SERIES XVI</v>
          </cell>
          <cell r="H188">
            <v>8.9</v>
          </cell>
          <cell r="I188" t="str">
            <v>04-12-2025</v>
          </cell>
          <cell r="J188" t="str">
            <v>CRISIL AA+</v>
          </cell>
          <cell r="K188">
            <v>1.2191000000000001</v>
          </cell>
          <cell r="L188">
            <v>100000</v>
          </cell>
          <cell r="M188">
            <v>1700</v>
          </cell>
          <cell r="N188">
            <v>8.4499999999999993</v>
          </cell>
        </row>
        <row r="189">
          <cell r="C189" t="str">
            <v>INE414G07HI7</v>
          </cell>
          <cell r="D189" t="str">
            <v>FI3545NC202</v>
          </cell>
          <cell r="E189" t="str">
            <v>NCD</v>
          </cell>
          <cell r="F189" t="str">
            <v>Muthoot Finance Ltd</v>
          </cell>
          <cell r="G189" t="str">
            <v>8.30% Muthoot Finance Ltd NCD MD 06-01-2026 SERIES 23 A OPTION 1</v>
          </cell>
          <cell r="H189">
            <v>8.3000000000000007</v>
          </cell>
          <cell r="I189" t="str">
            <v>06-01-2026</v>
          </cell>
          <cell r="J189" t="str">
            <v>CRISIL AA+</v>
          </cell>
          <cell r="K189">
            <v>1.3138000000000001</v>
          </cell>
          <cell r="L189">
            <v>1000000</v>
          </cell>
          <cell r="M189">
            <v>100</v>
          </cell>
          <cell r="N189">
            <v>8.7750000000000004</v>
          </cell>
        </row>
        <row r="190">
          <cell r="C190" t="str">
            <v>INE523H07CB9</v>
          </cell>
          <cell r="D190" t="str">
            <v>FI3529NC207</v>
          </cell>
          <cell r="E190" t="str">
            <v>NCD</v>
          </cell>
          <cell r="F190" t="str">
            <v>JM Financial Products Ltd</v>
          </cell>
          <cell r="G190" t="str">
            <v>8.92% JM Financial Products Ltd NCD MD 16-11-2026</v>
          </cell>
          <cell r="H190">
            <v>8.92</v>
          </cell>
          <cell r="I190" t="str">
            <v>16-11-2026</v>
          </cell>
          <cell r="J190" t="str">
            <v>CRISIL AA</v>
          </cell>
          <cell r="K190">
            <v>1.8086</v>
          </cell>
          <cell r="L190">
            <v>100000</v>
          </cell>
          <cell r="M190">
            <v>1000</v>
          </cell>
          <cell r="N190">
            <v>9.94</v>
          </cell>
        </row>
        <row r="191">
          <cell r="C191" t="str">
            <v>INE557F08FV0</v>
          </cell>
          <cell r="D191" t="str">
            <v>FI3335NCD200</v>
          </cell>
          <cell r="E191" t="str">
            <v>NCD</v>
          </cell>
          <cell r="F191" t="str">
            <v xml:space="preserve">National Housing Bank </v>
          </cell>
          <cell r="G191" t="str">
            <v>7.78% National Housing Bank NCD 26 04 2027 PUT 17 03 2025</v>
          </cell>
          <cell r="H191">
            <v>7.78</v>
          </cell>
          <cell r="I191" t="str">
            <v>26-04-2027</v>
          </cell>
          <cell r="J191" t="str">
            <v>CARE AAA</v>
          </cell>
          <cell r="K191">
            <v>0.58240000000000003</v>
          </cell>
          <cell r="L191">
            <v>100000</v>
          </cell>
          <cell r="M191">
            <v>2000</v>
          </cell>
          <cell r="N191">
            <v>7.6749999999999998</v>
          </cell>
        </row>
        <row r="192">
          <cell r="C192" t="str">
            <v>INE721A07RU2</v>
          </cell>
          <cell r="D192" t="str">
            <v>FI3539NC201</v>
          </cell>
          <cell r="E192" t="str">
            <v>NCD</v>
          </cell>
          <cell r="F192" t="str">
            <v>Shriram Finance Ltd</v>
          </cell>
          <cell r="G192" t="str">
            <v>9.25%  Shriram Finance Ltd  NCD MD 19-12-2025 Series PPD XV 23-24 Option 1</v>
          </cell>
          <cell r="H192">
            <v>9.25</v>
          </cell>
          <cell r="I192" t="str">
            <v>19-12-2025</v>
          </cell>
          <cell r="J192" t="str">
            <v>CRISIL AA+</v>
          </cell>
          <cell r="K192">
            <v>1.2569999999999999</v>
          </cell>
          <cell r="L192">
            <v>100000</v>
          </cell>
          <cell r="M192">
            <v>500</v>
          </cell>
          <cell r="N192">
            <v>9.0500000000000007</v>
          </cell>
        </row>
        <row r="193">
          <cell r="C193" t="str">
            <v>INE721A07SB0</v>
          </cell>
          <cell r="D193" t="str">
            <v>FI3539NC202</v>
          </cell>
          <cell r="E193" t="str">
            <v>NCD</v>
          </cell>
          <cell r="F193" t="str">
            <v>Shriram Finance Ltd</v>
          </cell>
          <cell r="G193" t="str">
            <v>9.20% Shriram Finance Limited NCD MD 22-05-2026 Series/Tranche: Series PPD XXI 24-25 Option 2</v>
          </cell>
          <cell r="H193">
            <v>9.1999999999999993</v>
          </cell>
          <cell r="I193" t="str">
            <v>22-05-2026</v>
          </cell>
          <cell r="J193" t="str">
            <v>CRISIL AA+</v>
          </cell>
          <cell r="K193">
            <v>1.6801999999999999</v>
          </cell>
          <cell r="L193">
            <v>100000</v>
          </cell>
          <cell r="M193">
            <v>1500</v>
          </cell>
          <cell r="N193">
            <v>9.0607000000000006</v>
          </cell>
        </row>
        <row r="194">
          <cell r="C194" t="str">
            <v>INF0RQ622028</v>
          </cell>
          <cell r="D194" t="str">
            <v>CDMDF23</v>
          </cell>
          <cell r="E194" t="str">
            <v>CDMDF</v>
          </cell>
          <cell r="F194" t="str">
            <v>Corporate Debt Market Development Fund</v>
          </cell>
          <cell r="G194" t="str">
            <v>Corporate Debt Market Development Fund - Class A2</v>
          </cell>
          <cell r="H194">
            <v>0</v>
          </cell>
          <cell r="K194">
            <v>0</v>
          </cell>
          <cell r="L194">
            <v>10000</v>
          </cell>
          <cell r="M194">
            <v>13479.374400000001</v>
          </cell>
          <cell r="N194">
            <v>9.9999999999999995E-7</v>
          </cell>
        </row>
        <row r="195">
          <cell r="C195" t="str">
            <v>INE027214647</v>
          </cell>
          <cell r="D195" t="str">
            <v>FI35BOBCP201</v>
          </cell>
          <cell r="E195" t="str">
            <v>CMP</v>
          </cell>
          <cell r="F195" t="str">
            <v>BOBCARD Ltd</v>
          </cell>
          <cell r="G195" t="str">
            <v>BOBCARD LTD CP MD 13-09-2024</v>
          </cell>
          <cell r="H195">
            <v>0</v>
          </cell>
          <cell r="I195" t="str">
            <v>13-09-2024</v>
          </cell>
          <cell r="J195" t="str">
            <v>CRISIL A1+</v>
          </cell>
          <cell r="K195">
            <v>0.08</v>
          </cell>
          <cell r="L195">
            <v>500000</v>
          </cell>
          <cell r="M195">
            <v>1000</v>
          </cell>
          <cell r="N195">
            <v>7.56</v>
          </cell>
        </row>
        <row r="196">
          <cell r="C196" t="str">
            <v>INE071G14FO3</v>
          </cell>
          <cell r="D196" t="str">
            <v>ICH01CP208</v>
          </cell>
          <cell r="E196" t="str">
            <v>CMP</v>
          </cell>
          <cell r="F196" t="str">
            <v>ICICI Home Finance Company Ltd</v>
          </cell>
          <cell r="G196" t="str">
            <v>ICICI Home Finance Co Ltd CP MD 16-08-2024</v>
          </cell>
          <cell r="H196">
            <v>0</v>
          </cell>
          <cell r="I196" t="str">
            <v>16-08-2024</v>
          </cell>
          <cell r="J196" t="str">
            <v>ICRA A1+</v>
          </cell>
          <cell r="K196">
            <v>0</v>
          </cell>
          <cell r="L196">
            <v>500000</v>
          </cell>
          <cell r="M196">
            <v>1500</v>
          </cell>
          <cell r="N196">
            <v>6.7126000000000001</v>
          </cell>
        </row>
        <row r="197">
          <cell r="C197" t="str">
            <v>INE09OL14FK9</v>
          </cell>
          <cell r="D197" t="str">
            <v>FI35109CP236</v>
          </cell>
          <cell r="E197" t="str">
            <v>CMP</v>
          </cell>
          <cell r="F197" t="str">
            <v>Birla Group Holdings Pvt Ltd</v>
          </cell>
          <cell r="G197" t="str">
            <v>Birla Group Holdings Private Ltd CP MD 18-09-2024</v>
          </cell>
          <cell r="H197">
            <v>0</v>
          </cell>
          <cell r="I197" t="str">
            <v>18-09-2024</v>
          </cell>
          <cell r="J197" t="str">
            <v>CRISIL A1+</v>
          </cell>
          <cell r="K197">
            <v>0.09</v>
          </cell>
          <cell r="L197">
            <v>500000</v>
          </cell>
          <cell r="M197">
            <v>2000</v>
          </cell>
          <cell r="N197">
            <v>7.75</v>
          </cell>
        </row>
        <row r="198">
          <cell r="C198" t="str">
            <v>INE0DZE14065</v>
          </cell>
          <cell r="D198" t="str">
            <v>FI33100CP200</v>
          </cell>
          <cell r="E198" t="str">
            <v>CMP</v>
          </cell>
          <cell r="F198" t="str">
            <v>Kisetsu Saison Finance</v>
          </cell>
          <cell r="G198" t="str">
            <v>Kisetsu Saison Finance CP MD 10-09-2024</v>
          </cell>
          <cell r="H198">
            <v>0</v>
          </cell>
          <cell r="I198" t="str">
            <v>10-09-2024</v>
          </cell>
          <cell r="J198" t="str">
            <v>CRISIL A1+</v>
          </cell>
          <cell r="K198">
            <v>7.0000000000000007E-2</v>
          </cell>
          <cell r="L198">
            <v>500000</v>
          </cell>
          <cell r="M198">
            <v>2000</v>
          </cell>
          <cell r="N198">
            <v>7.69</v>
          </cell>
        </row>
        <row r="199">
          <cell r="C199" t="str">
            <v>INE144H14GX5</v>
          </cell>
          <cell r="D199" t="str">
            <v>FI35118CP208</v>
          </cell>
          <cell r="E199" t="str">
            <v>CMP</v>
          </cell>
          <cell r="F199" t="str">
            <v>Deutsche Investments India Private Ltd</v>
          </cell>
          <cell r="G199" t="str">
            <v>Deutsche Investment India Ltd CMP 03 09 2024</v>
          </cell>
          <cell r="H199">
            <v>0</v>
          </cell>
          <cell r="I199" t="str">
            <v>03-09-2024</v>
          </cell>
          <cell r="J199" t="str">
            <v>CRISIL A1+</v>
          </cell>
          <cell r="K199">
            <v>0.05</v>
          </cell>
          <cell r="L199">
            <v>500000</v>
          </cell>
          <cell r="M199">
            <v>1000</v>
          </cell>
          <cell r="N199">
            <v>7.625</v>
          </cell>
        </row>
        <row r="200">
          <cell r="C200" t="str">
            <v>INE212K14734</v>
          </cell>
          <cell r="D200" t="str">
            <v>FI3605CP206</v>
          </cell>
          <cell r="E200" t="str">
            <v>CMP</v>
          </cell>
          <cell r="F200" t="str">
            <v>SBI Cap securities Ltd</v>
          </cell>
          <cell r="G200" t="str">
            <v>SBICAP Securities Ltd CP MD 19-09-2024</v>
          </cell>
          <cell r="H200">
            <v>0</v>
          </cell>
          <cell r="I200" t="str">
            <v>19-09-2024</v>
          </cell>
          <cell r="J200" t="str">
            <v>CRISIL A1+</v>
          </cell>
          <cell r="K200">
            <v>0.1</v>
          </cell>
          <cell r="L200">
            <v>500000</v>
          </cell>
          <cell r="M200">
            <v>500</v>
          </cell>
          <cell r="N200">
            <v>7.68</v>
          </cell>
        </row>
        <row r="201">
          <cell r="C201" t="str">
            <v>INE233A14N74</v>
          </cell>
          <cell r="D201" t="str">
            <v>CH2208CP241</v>
          </cell>
          <cell r="E201" t="str">
            <v>CMP</v>
          </cell>
          <cell r="F201" t="str">
            <v>Godrej Industries Ltd</v>
          </cell>
          <cell r="G201" t="str">
            <v>Godrej Industries Ltd CP MD 06-09-2024</v>
          </cell>
          <cell r="H201">
            <v>0</v>
          </cell>
          <cell r="I201" t="str">
            <v>06-09-2024</v>
          </cell>
          <cell r="J201" t="str">
            <v>CRISIL A1+</v>
          </cell>
          <cell r="K201">
            <v>0.06</v>
          </cell>
          <cell r="L201">
            <v>500000</v>
          </cell>
          <cell r="M201">
            <v>1500</v>
          </cell>
          <cell r="N201">
            <v>7.16</v>
          </cell>
        </row>
        <row r="202">
          <cell r="C202" t="str">
            <v>INE261F14LR3</v>
          </cell>
          <cell r="D202" t="str">
            <v>FI35NACP374</v>
          </cell>
          <cell r="E202" t="str">
            <v>CMP</v>
          </cell>
          <cell r="F202" t="str">
            <v>National Bank for Agriculture &amp; Rural Development</v>
          </cell>
          <cell r="G202" t="str">
            <v>NABARD CP MD 26-08-2024</v>
          </cell>
          <cell r="H202">
            <v>0</v>
          </cell>
          <cell r="I202" t="str">
            <v>26-08-2024</v>
          </cell>
          <cell r="J202" t="str">
            <v>CRISIL A1+</v>
          </cell>
          <cell r="K202">
            <v>0.03</v>
          </cell>
          <cell r="L202">
            <v>500000</v>
          </cell>
          <cell r="M202">
            <v>3000</v>
          </cell>
          <cell r="N202">
            <v>6.8849999999999998</v>
          </cell>
        </row>
        <row r="203">
          <cell r="C203" t="str">
            <v>INE261F14LX1</v>
          </cell>
          <cell r="D203" t="str">
            <v>FI35NACP379</v>
          </cell>
          <cell r="E203" t="str">
            <v>CMP</v>
          </cell>
          <cell r="F203" t="str">
            <v>National Bank for Agriculture &amp; Rural Development</v>
          </cell>
          <cell r="G203" t="str">
            <v>NABARD CP MD 11-09-2024</v>
          </cell>
          <cell r="H203">
            <v>0</v>
          </cell>
          <cell r="I203" t="str">
            <v>11-09-2024</v>
          </cell>
          <cell r="J203" t="str">
            <v>CRISIL A1+</v>
          </cell>
          <cell r="K203">
            <v>7.0000000000000007E-2</v>
          </cell>
          <cell r="L203">
            <v>500000</v>
          </cell>
          <cell r="M203">
            <v>500</v>
          </cell>
          <cell r="N203">
            <v>6.97</v>
          </cell>
        </row>
        <row r="204">
          <cell r="C204" t="str">
            <v>INE261F14MA7</v>
          </cell>
          <cell r="D204" t="str">
            <v>FI35NACP377</v>
          </cell>
          <cell r="E204" t="str">
            <v>CMP</v>
          </cell>
          <cell r="F204" t="str">
            <v>National Bank for Agriculture &amp; Rural Development</v>
          </cell>
          <cell r="G204" t="str">
            <v>NABARD CP MD 20-09-2024</v>
          </cell>
          <cell r="H204">
            <v>0</v>
          </cell>
          <cell r="I204" t="str">
            <v>20-09-2024</v>
          </cell>
          <cell r="J204" t="str">
            <v>CRISIL A1+</v>
          </cell>
          <cell r="K204">
            <v>0.1</v>
          </cell>
          <cell r="L204">
            <v>500000</v>
          </cell>
          <cell r="M204">
            <v>1500</v>
          </cell>
          <cell r="N204">
            <v>7.07</v>
          </cell>
        </row>
        <row r="205">
          <cell r="C205" t="str">
            <v>INE261F14MB5</v>
          </cell>
          <cell r="D205" t="str">
            <v>FI35NACP378</v>
          </cell>
          <cell r="E205" t="str">
            <v>CMP</v>
          </cell>
          <cell r="F205" t="str">
            <v>National Bank for Agriculture &amp; Rural Development</v>
          </cell>
          <cell r="G205" t="str">
            <v>NABARD CP MD 26-09-2024</v>
          </cell>
          <cell r="H205">
            <v>0</v>
          </cell>
          <cell r="I205" t="str">
            <v>26-09-2024</v>
          </cell>
          <cell r="J205" t="str">
            <v>CRISIL A1+</v>
          </cell>
          <cell r="K205">
            <v>0.12</v>
          </cell>
          <cell r="L205">
            <v>500000</v>
          </cell>
          <cell r="M205">
            <v>1500</v>
          </cell>
          <cell r="N205">
            <v>7.07</v>
          </cell>
        </row>
        <row r="206">
          <cell r="C206" t="str">
            <v>INE338I14HU5</v>
          </cell>
          <cell r="D206" t="str">
            <v>FI3435CP213</v>
          </cell>
          <cell r="E206" t="str">
            <v>CMP</v>
          </cell>
          <cell r="F206" t="str">
            <v>Motilal Oswal Financial Services Ltd</v>
          </cell>
          <cell r="G206" t="str">
            <v>Motilal Oswal Financial Services Limited CP MD 17-10-2024</v>
          </cell>
          <cell r="H206">
            <v>0</v>
          </cell>
          <cell r="I206" t="str">
            <v>17-10-2024</v>
          </cell>
          <cell r="J206" t="str">
            <v>CRISIL A1+</v>
          </cell>
          <cell r="K206">
            <v>0.17</v>
          </cell>
          <cell r="L206">
            <v>500000</v>
          </cell>
          <cell r="M206">
            <v>1500</v>
          </cell>
          <cell r="N206">
            <v>8.125</v>
          </cell>
        </row>
        <row r="207">
          <cell r="C207" t="str">
            <v>INE417C14751</v>
          </cell>
          <cell r="D207" t="str">
            <v>FI35119CP202</v>
          </cell>
          <cell r="E207" t="str">
            <v>CMP</v>
          </cell>
          <cell r="F207" t="str">
            <v>Pilani Investment and Industries Corporation Ltd.</v>
          </cell>
          <cell r="G207" t="str">
            <v>Pilani Investment &amp; Industries Corporation Ltd CP MD 13-09-2024</v>
          </cell>
          <cell r="H207">
            <v>0</v>
          </cell>
          <cell r="I207" t="str">
            <v>13-09-2024</v>
          </cell>
          <cell r="J207" t="str">
            <v>CRISIL A1+</v>
          </cell>
          <cell r="K207">
            <v>0.08</v>
          </cell>
          <cell r="L207">
            <v>500000</v>
          </cell>
          <cell r="M207">
            <v>1000</v>
          </cell>
          <cell r="N207">
            <v>7.8</v>
          </cell>
        </row>
        <row r="208">
          <cell r="C208" t="str">
            <v>INE498L14CE6</v>
          </cell>
          <cell r="D208" t="str">
            <v>FI35LTCP270</v>
          </cell>
          <cell r="E208" t="str">
            <v>CMP</v>
          </cell>
          <cell r="F208" t="str">
            <v>L &amp; T Finance Ltd</v>
          </cell>
          <cell r="G208" t="str">
            <v>L &amp; T Finance Ltd CP MD 24-10-2024</v>
          </cell>
          <cell r="H208">
            <v>0</v>
          </cell>
          <cell r="I208" t="str">
            <v>24-10-2024</v>
          </cell>
          <cell r="J208" t="str">
            <v>CRISIL A1+</v>
          </cell>
          <cell r="K208">
            <v>0.19</v>
          </cell>
          <cell r="L208">
            <v>500000</v>
          </cell>
          <cell r="M208">
            <v>2000</v>
          </cell>
          <cell r="N208">
            <v>7.62</v>
          </cell>
        </row>
        <row r="209">
          <cell r="C209" t="str">
            <v>INE514E14RR5</v>
          </cell>
          <cell r="D209" t="str">
            <v>FI35EXCP302</v>
          </cell>
          <cell r="E209" t="str">
            <v>CMP</v>
          </cell>
          <cell r="F209" t="str">
            <v>Export Import Bank of India</v>
          </cell>
          <cell r="G209" t="str">
            <v>Export and Import bank of india CP MD 09-09-2024</v>
          </cell>
          <cell r="H209">
            <v>0</v>
          </cell>
          <cell r="I209" t="str">
            <v>09-09-2024</v>
          </cell>
          <cell r="J209" t="str">
            <v>CRISIL A1+</v>
          </cell>
          <cell r="K209">
            <v>7.0000000000000007E-2</v>
          </cell>
          <cell r="L209">
            <v>500000</v>
          </cell>
          <cell r="M209">
            <v>3000</v>
          </cell>
          <cell r="N209">
            <v>7.0049999999999999</v>
          </cell>
        </row>
        <row r="210">
          <cell r="C210" t="str">
            <v>INE556F14KI7</v>
          </cell>
          <cell r="D210" t="str">
            <v>FI3405CP297</v>
          </cell>
          <cell r="E210" t="str">
            <v>CMP</v>
          </cell>
          <cell r="F210" t="str">
            <v>Small Industries Development Bank of India</v>
          </cell>
          <cell r="G210" t="str">
            <v>Small Industries Development Bank of India CP MD 03-09-2024</v>
          </cell>
          <cell r="H210">
            <v>0</v>
          </cell>
          <cell r="I210" t="str">
            <v>03-09-2024</v>
          </cell>
          <cell r="J210" t="str">
            <v>CRISIL A1+</v>
          </cell>
          <cell r="K210">
            <v>0.05</v>
          </cell>
          <cell r="L210">
            <v>500000</v>
          </cell>
          <cell r="M210">
            <v>2000</v>
          </cell>
          <cell r="N210">
            <v>6.9192</v>
          </cell>
        </row>
        <row r="211">
          <cell r="C211" t="str">
            <v>INE556F14KK3</v>
          </cell>
          <cell r="D211" t="str">
            <v>FI3405CP298</v>
          </cell>
          <cell r="E211" t="str">
            <v>CMP</v>
          </cell>
          <cell r="F211" t="str">
            <v>Small Industries Development Bank of India</v>
          </cell>
          <cell r="G211" t="str">
            <v>Small Industries Development Bank of India CP MD 11-09-2024</v>
          </cell>
          <cell r="H211">
            <v>0</v>
          </cell>
          <cell r="I211" t="str">
            <v>11-09-2024</v>
          </cell>
          <cell r="J211" t="str">
            <v>CRISIL A1+</v>
          </cell>
          <cell r="K211">
            <v>7.0000000000000007E-2</v>
          </cell>
          <cell r="L211">
            <v>500000</v>
          </cell>
          <cell r="M211">
            <v>2000</v>
          </cell>
          <cell r="N211">
            <v>6.9196</v>
          </cell>
        </row>
        <row r="212">
          <cell r="C212" t="str">
            <v>INE557F14FJ3</v>
          </cell>
          <cell r="D212" t="str">
            <v>FI3335CP235</v>
          </cell>
          <cell r="E212" t="str">
            <v>CMP</v>
          </cell>
          <cell r="F212" t="str">
            <v xml:space="preserve">National Housing Bank </v>
          </cell>
          <cell r="G212" t="str">
            <v>NATIONAL HOUSING BANK CP MD 26-09-2024</v>
          </cell>
          <cell r="H212">
            <v>0</v>
          </cell>
          <cell r="I212" t="str">
            <v>26-09-2024</v>
          </cell>
          <cell r="J212" t="str">
            <v>CRISIL A1+</v>
          </cell>
          <cell r="K212">
            <v>0.12</v>
          </cell>
          <cell r="L212">
            <v>500000</v>
          </cell>
          <cell r="M212">
            <v>1000</v>
          </cell>
          <cell r="N212">
            <v>7.0646000000000004</v>
          </cell>
        </row>
        <row r="213">
          <cell r="C213" t="str">
            <v>INE572E14JE8</v>
          </cell>
          <cell r="D213" t="str">
            <v>FI3333CP234</v>
          </cell>
          <cell r="E213" t="str">
            <v>CMP</v>
          </cell>
          <cell r="F213" t="str">
            <v>PNB Housing Finance Ltd</v>
          </cell>
          <cell r="G213" t="str">
            <v>PNB Housing Finance CP MD 27-08-2024</v>
          </cell>
          <cell r="H213">
            <v>0</v>
          </cell>
          <cell r="I213" t="str">
            <v>27-08-2024</v>
          </cell>
          <cell r="J213" t="str">
            <v>CRISIL A1+</v>
          </cell>
          <cell r="K213">
            <v>0.03</v>
          </cell>
          <cell r="L213">
            <v>500000</v>
          </cell>
          <cell r="M213">
            <v>2000</v>
          </cell>
          <cell r="N213">
            <v>7.2149999999999999</v>
          </cell>
        </row>
        <row r="214">
          <cell r="C214" t="str">
            <v>INE572E14JF5</v>
          </cell>
          <cell r="D214" t="str">
            <v>FI3333CP235</v>
          </cell>
          <cell r="E214" t="str">
            <v>CMP</v>
          </cell>
          <cell r="F214" t="str">
            <v>PNB Housing Finance Ltd</v>
          </cell>
          <cell r="G214" t="str">
            <v>PNB  Housing Finance CP MD 10-09-2024</v>
          </cell>
          <cell r="H214">
            <v>0</v>
          </cell>
          <cell r="I214" t="str">
            <v>10-09-2024</v>
          </cell>
          <cell r="J214" t="str">
            <v>CRISIL A1+</v>
          </cell>
          <cell r="K214">
            <v>7.0000000000000007E-2</v>
          </cell>
          <cell r="L214">
            <v>500000</v>
          </cell>
          <cell r="M214">
            <v>1500</v>
          </cell>
          <cell r="N214">
            <v>7.28</v>
          </cell>
        </row>
        <row r="215">
          <cell r="C215" t="str">
            <v>INE700G14LD8</v>
          </cell>
          <cell r="D215" t="str">
            <v>FI3601CP217</v>
          </cell>
          <cell r="E215" t="str">
            <v>CMP</v>
          </cell>
          <cell r="F215" t="str">
            <v>HDFC Securities Ltd</v>
          </cell>
          <cell r="G215" t="str">
            <v>HDFC Securities LTD CP MD 12-11-2024</v>
          </cell>
          <cell r="H215">
            <v>0</v>
          </cell>
          <cell r="I215" t="str">
            <v>12-11-2024</v>
          </cell>
          <cell r="J215" t="str">
            <v>CRISIL A1+</v>
          </cell>
          <cell r="K215">
            <v>0.24</v>
          </cell>
          <cell r="L215">
            <v>500000</v>
          </cell>
          <cell r="M215">
            <v>1000</v>
          </cell>
          <cell r="N215">
            <v>7.7050000000000001</v>
          </cell>
        </row>
        <row r="216">
          <cell r="C216" t="str">
            <v>INE721A14DU8</v>
          </cell>
          <cell r="D216" t="str">
            <v>FI3539CP202</v>
          </cell>
          <cell r="E216" t="str">
            <v>CMP</v>
          </cell>
          <cell r="F216" t="str">
            <v>Shriram Finance Ltd</v>
          </cell>
          <cell r="G216" t="str">
            <v>Shriram Finance Limited CP MD 10-09-2024</v>
          </cell>
          <cell r="H216">
            <v>0</v>
          </cell>
          <cell r="I216" t="str">
            <v>10-09-2024</v>
          </cell>
          <cell r="J216" t="str">
            <v>IND A1+</v>
          </cell>
          <cell r="K216">
            <v>7.0000000000000007E-2</v>
          </cell>
          <cell r="L216">
            <v>500000</v>
          </cell>
          <cell r="M216">
            <v>2000</v>
          </cell>
          <cell r="N216">
            <v>7.7750000000000004</v>
          </cell>
        </row>
        <row r="217">
          <cell r="C217" t="str">
            <v>INE733E14BN4</v>
          </cell>
          <cell r="D217" t="str">
            <v>UT4712CP227</v>
          </cell>
          <cell r="E217" t="str">
            <v>CMP</v>
          </cell>
          <cell r="F217" t="str">
            <v>NTPC LTD</v>
          </cell>
          <cell r="G217" t="str">
            <v>National Thermal Power Corporation Ltd (NTPC) CP MD 20-09-2024</v>
          </cell>
          <cell r="H217">
            <v>0</v>
          </cell>
          <cell r="I217" t="str">
            <v>20-09-2024</v>
          </cell>
          <cell r="J217" t="str">
            <v>CRISIL A1+</v>
          </cell>
          <cell r="K217">
            <v>0.1</v>
          </cell>
          <cell r="L217">
            <v>500000</v>
          </cell>
          <cell r="M217">
            <v>1000</v>
          </cell>
          <cell r="N217">
            <v>7.0500999999999996</v>
          </cell>
        </row>
        <row r="218">
          <cell r="C218" t="str">
            <v>INE763G14UP1</v>
          </cell>
          <cell r="D218" t="str">
            <v>FI3418CP234</v>
          </cell>
          <cell r="E218" t="str">
            <v>CMP</v>
          </cell>
          <cell r="F218" t="str">
            <v>ICICI Securities Ltd</v>
          </cell>
          <cell r="G218" t="str">
            <v>ICICI Securities Ltd CP MD 29-08-2024</v>
          </cell>
          <cell r="H218">
            <v>0</v>
          </cell>
          <cell r="I218" t="str">
            <v>29-08-2024</v>
          </cell>
          <cell r="J218" t="str">
            <v>CRISIL A1+</v>
          </cell>
          <cell r="K218">
            <v>0.04</v>
          </cell>
          <cell r="L218">
            <v>500000</v>
          </cell>
          <cell r="M218">
            <v>2000</v>
          </cell>
          <cell r="N218">
            <v>7.3506</v>
          </cell>
        </row>
        <row r="219">
          <cell r="C219" t="str">
            <v>INE763G14UQ9</v>
          </cell>
          <cell r="D219" t="str">
            <v>FI3418CP236</v>
          </cell>
          <cell r="E219" t="str">
            <v>CMP</v>
          </cell>
          <cell r="F219" t="str">
            <v>ICICI Securities Ltd</v>
          </cell>
          <cell r="G219" t="str">
            <v>ICICI Securities Ltd CP MD 30-08-2024</v>
          </cell>
          <cell r="H219">
            <v>0</v>
          </cell>
          <cell r="I219" t="str">
            <v>30-08-2024</v>
          </cell>
          <cell r="J219" t="str">
            <v>CRISIL A1+</v>
          </cell>
          <cell r="K219">
            <v>0.04</v>
          </cell>
          <cell r="L219">
            <v>500000</v>
          </cell>
          <cell r="M219">
            <v>1000</v>
          </cell>
          <cell r="N219">
            <v>7.3506</v>
          </cell>
        </row>
        <row r="220">
          <cell r="C220" t="str">
            <v>INE763G14VJ2</v>
          </cell>
          <cell r="D220" t="str">
            <v>FI3418CP241</v>
          </cell>
          <cell r="E220" t="str">
            <v>CMP</v>
          </cell>
          <cell r="F220" t="str">
            <v>ICICI Securities Ltd</v>
          </cell>
          <cell r="G220" t="str">
            <v>ICICI Securities Ltd CP MD 13-11-2024</v>
          </cell>
          <cell r="H220">
            <v>0</v>
          </cell>
          <cell r="I220" t="str">
            <v>13-11-2024</v>
          </cell>
          <cell r="J220" t="str">
            <v>CRISIL A1+</v>
          </cell>
          <cell r="K220">
            <v>0.25</v>
          </cell>
          <cell r="L220">
            <v>500000</v>
          </cell>
          <cell r="M220">
            <v>900</v>
          </cell>
          <cell r="N220">
            <v>7.7150999999999996</v>
          </cell>
        </row>
        <row r="221">
          <cell r="C221" t="str">
            <v>INE790I14ET6</v>
          </cell>
          <cell r="D221" t="str">
            <v>FI35117CP209</v>
          </cell>
          <cell r="E221" t="str">
            <v>CMP</v>
          </cell>
          <cell r="F221" t="str">
            <v>HSBC InvestDirect Financial Services India Limited</v>
          </cell>
          <cell r="G221" t="str">
            <v>HSBC InvestDirect Financial Services India Ltd CP MD 27-08-2024</v>
          </cell>
          <cell r="H221">
            <v>0</v>
          </cell>
          <cell r="I221" t="str">
            <v>27-08-2024</v>
          </cell>
          <cell r="J221" t="str">
            <v>CRISIL A1+</v>
          </cell>
          <cell r="K221">
            <v>0.03</v>
          </cell>
          <cell r="L221">
            <v>500000</v>
          </cell>
          <cell r="M221">
            <v>1000</v>
          </cell>
          <cell r="N221">
            <v>7.55</v>
          </cell>
        </row>
        <row r="222">
          <cell r="C222" t="str">
            <v>INE790I14FB1</v>
          </cell>
          <cell r="D222" t="str">
            <v>FI35117CP211</v>
          </cell>
          <cell r="E222" t="str">
            <v>CMP</v>
          </cell>
          <cell r="F222" t="str">
            <v>HSBC InvestDirect Financial Services India Limited</v>
          </cell>
          <cell r="G222" t="str">
            <v>HSBC InvestDirect Financial Services India Ltd CP MD 13-11-2024</v>
          </cell>
          <cell r="H222">
            <v>0</v>
          </cell>
          <cell r="I222" t="str">
            <v>13-11-2024</v>
          </cell>
          <cell r="J222" t="str">
            <v>CRISIL A1+</v>
          </cell>
          <cell r="K222">
            <v>0.25</v>
          </cell>
          <cell r="L222">
            <v>500000</v>
          </cell>
          <cell r="M222">
            <v>1000</v>
          </cell>
          <cell r="N222">
            <v>7.82</v>
          </cell>
        </row>
        <row r="223">
          <cell r="C223" t="str">
            <v>INE824H14PG8</v>
          </cell>
          <cell r="D223" t="str">
            <v>FI3398CP230</v>
          </cell>
          <cell r="E223" t="str">
            <v>CMP</v>
          </cell>
          <cell r="F223" t="str">
            <v>Julius Baer Capital (India) Private Ltd</v>
          </cell>
          <cell r="G223" t="str">
            <v>Julius Baer Capital India Private Ltd CP MD 23-08-2024</v>
          </cell>
          <cell r="H223">
            <v>0</v>
          </cell>
          <cell r="I223" t="str">
            <v>23-08-2024</v>
          </cell>
          <cell r="J223" t="str">
            <v>CRISIL A1+</v>
          </cell>
          <cell r="K223">
            <v>0.02</v>
          </cell>
          <cell r="L223">
            <v>500000</v>
          </cell>
          <cell r="M223">
            <v>1500</v>
          </cell>
          <cell r="N223">
            <v>7.5250000000000004</v>
          </cell>
        </row>
        <row r="224">
          <cell r="C224" t="str">
            <v>INE824H14PJ2</v>
          </cell>
          <cell r="D224" t="str">
            <v>FI3398CP231</v>
          </cell>
          <cell r="E224" t="str">
            <v>CMP</v>
          </cell>
          <cell r="F224" t="str">
            <v>Julius Baer Capital (India) Private Ltd</v>
          </cell>
          <cell r="G224" t="str">
            <v>Julius Baer Capital India Private Ltd CP MD 29-08-2024</v>
          </cell>
          <cell r="H224">
            <v>0</v>
          </cell>
          <cell r="I224" t="str">
            <v>29-08-2024</v>
          </cell>
          <cell r="J224" t="str">
            <v>CRISIL A1+</v>
          </cell>
          <cell r="K224">
            <v>0.04</v>
          </cell>
          <cell r="L224">
            <v>500000</v>
          </cell>
          <cell r="M224">
            <v>1000</v>
          </cell>
          <cell r="N224">
            <v>7.5250000000000004</v>
          </cell>
        </row>
        <row r="225">
          <cell r="C225" t="str">
            <v>INE824H14PR5</v>
          </cell>
          <cell r="D225" t="str">
            <v>FI3398CP233</v>
          </cell>
          <cell r="E225" t="str">
            <v>CMP</v>
          </cell>
          <cell r="F225" t="str">
            <v>Julius Baer Capital (India) Private Ltd</v>
          </cell>
          <cell r="G225" t="str">
            <v>Julius Baer Capital India Private Ltd CP MD 30-09-2024</v>
          </cell>
          <cell r="H225">
            <v>0</v>
          </cell>
          <cell r="I225" t="str">
            <v>30-09-2024</v>
          </cell>
          <cell r="J225" t="str">
            <v>CRISIL A1+</v>
          </cell>
          <cell r="K225">
            <v>0.13</v>
          </cell>
          <cell r="L225">
            <v>500000</v>
          </cell>
          <cell r="M225">
            <v>1500</v>
          </cell>
          <cell r="N225">
            <v>7.75</v>
          </cell>
        </row>
        <row r="226">
          <cell r="C226" t="str">
            <v>INE850D14RF0</v>
          </cell>
          <cell r="D226" t="str">
            <v>AG0211CP222</v>
          </cell>
          <cell r="E226" t="str">
            <v>CMP</v>
          </cell>
          <cell r="F226" t="str">
            <v>Godrej Agrovet Ltd</v>
          </cell>
          <cell r="G226" t="str">
            <v>Godrej Agrovet Ltd CMP 30 08 2024</v>
          </cell>
          <cell r="H226">
            <v>0</v>
          </cell>
          <cell r="I226" t="str">
            <v>30-08-2024</v>
          </cell>
          <cell r="J226" t="str">
            <v>CRISIL A1+</v>
          </cell>
          <cell r="K226">
            <v>0.04</v>
          </cell>
          <cell r="L226">
            <v>500000</v>
          </cell>
          <cell r="M226">
            <v>500</v>
          </cell>
          <cell r="N226">
            <v>7.1749999999999998</v>
          </cell>
        </row>
        <row r="227">
          <cell r="C227" t="str">
            <v>INE850D14RI4</v>
          </cell>
          <cell r="D227" t="str">
            <v>AG0211CP223</v>
          </cell>
          <cell r="E227" t="str">
            <v>CMP</v>
          </cell>
          <cell r="F227" t="str">
            <v>Godrej Agrovet Ltd</v>
          </cell>
          <cell r="G227" t="str">
            <v>Godrej Agrovet Ltd CP MD 12-09-2024</v>
          </cell>
          <cell r="H227">
            <v>0</v>
          </cell>
          <cell r="I227" t="str">
            <v>12-09-2024</v>
          </cell>
          <cell r="J227" t="str">
            <v>CRISIL A1+</v>
          </cell>
          <cell r="K227">
            <v>0.08</v>
          </cell>
          <cell r="L227">
            <v>500000</v>
          </cell>
          <cell r="M227">
            <v>1000</v>
          </cell>
          <cell r="N227">
            <v>7.2750000000000004</v>
          </cell>
        </row>
        <row r="228">
          <cell r="C228" t="str">
            <v>INE865C14LL1</v>
          </cell>
          <cell r="D228" t="str">
            <v>FI3597CP226</v>
          </cell>
          <cell r="E228" t="str">
            <v>CMP</v>
          </cell>
          <cell r="F228" t="str">
            <v>Aditya Birla Money Ltd</v>
          </cell>
          <cell r="G228" t="str">
            <v>Aditya Birla Money Ltd CP MD 29-08-2024</v>
          </cell>
          <cell r="H228">
            <v>0</v>
          </cell>
          <cell r="I228" t="str">
            <v>29-08-2024</v>
          </cell>
          <cell r="J228" t="str">
            <v>CRISIL A1+</v>
          </cell>
          <cell r="K228">
            <v>0.04</v>
          </cell>
          <cell r="L228">
            <v>500000</v>
          </cell>
          <cell r="M228">
            <v>1000</v>
          </cell>
          <cell r="N228">
            <v>7.52</v>
          </cell>
        </row>
        <row r="229">
          <cell r="C229" t="str">
            <v>INE870H14TD0</v>
          </cell>
          <cell r="D229" t="str">
            <v>MI4029CP207</v>
          </cell>
          <cell r="E229" t="str">
            <v>CMP</v>
          </cell>
          <cell r="F229" t="str">
            <v>Network18 Media &amp; Investments Ltd</v>
          </cell>
          <cell r="G229" t="str">
            <v>Network 18 Media Investment Ltd CMP 30 10 2024</v>
          </cell>
          <cell r="H229">
            <v>0</v>
          </cell>
          <cell r="I229" t="str">
            <v>30-10-2024</v>
          </cell>
          <cell r="J229" t="str">
            <v>ICRA A1+</v>
          </cell>
          <cell r="K229">
            <v>0.21</v>
          </cell>
          <cell r="L229">
            <v>500000</v>
          </cell>
          <cell r="M229">
            <v>1000</v>
          </cell>
          <cell r="N229">
            <v>7.2649999999999997</v>
          </cell>
        </row>
        <row r="230">
          <cell r="C230" t="str">
            <v>INE891D14YQ7</v>
          </cell>
          <cell r="D230" t="str">
            <v>HO3808CP263</v>
          </cell>
          <cell r="E230" t="str">
            <v>CMP</v>
          </cell>
          <cell r="F230" t="str">
            <v>Redington Ltd</v>
          </cell>
          <cell r="G230" t="str">
            <v>Redington Ltd CP MD 12-09-2024</v>
          </cell>
          <cell r="H230">
            <v>0</v>
          </cell>
          <cell r="I230" t="str">
            <v>12-09-2024</v>
          </cell>
          <cell r="J230" t="str">
            <v>CRISIL A1+</v>
          </cell>
          <cell r="K230">
            <v>0.08</v>
          </cell>
          <cell r="L230">
            <v>500000</v>
          </cell>
          <cell r="M230">
            <v>2000</v>
          </cell>
          <cell r="N230">
            <v>7.3026999999999997</v>
          </cell>
        </row>
        <row r="231">
          <cell r="C231" t="str">
            <v>INE891D14YR5</v>
          </cell>
          <cell r="D231" t="str">
            <v>HO3808CP264</v>
          </cell>
          <cell r="E231" t="str">
            <v>CMP</v>
          </cell>
          <cell r="F231" t="str">
            <v>Redington Ltd</v>
          </cell>
          <cell r="G231" t="str">
            <v>Redington (India) Ltd CP MD 13-09-2024</v>
          </cell>
          <cell r="H231">
            <v>0</v>
          </cell>
          <cell r="I231" t="str">
            <v>13-09-2024</v>
          </cell>
          <cell r="J231" t="str">
            <v>CRISIL A1+</v>
          </cell>
          <cell r="K231">
            <v>0.08</v>
          </cell>
          <cell r="L231">
            <v>500000</v>
          </cell>
          <cell r="M231">
            <v>1000</v>
          </cell>
          <cell r="N231">
            <v>7.3026999999999997</v>
          </cell>
        </row>
        <row r="232">
          <cell r="C232" t="str">
            <v>INE929O14CD6</v>
          </cell>
          <cell r="D232" t="str">
            <v>CR2823CP221</v>
          </cell>
          <cell r="E232" t="str">
            <v>CMP</v>
          </cell>
          <cell r="F232" t="str">
            <v>Reliance Retail Ventures Ltd</v>
          </cell>
          <cell r="G232" t="str">
            <v>Reliance Retail Ventures CP MD 08-11-2024</v>
          </cell>
          <cell r="H232">
            <v>0</v>
          </cell>
          <cell r="I232" t="str">
            <v>08-11-2024</v>
          </cell>
          <cell r="J232" t="str">
            <v>CRISIL A1+</v>
          </cell>
          <cell r="K232">
            <v>0.23</v>
          </cell>
          <cell r="L232">
            <v>500000</v>
          </cell>
          <cell r="M232">
            <v>3000</v>
          </cell>
          <cell r="N232">
            <v>7.2401</v>
          </cell>
        </row>
        <row r="233">
          <cell r="C233" t="str">
            <v>INE028A16FI3</v>
          </cell>
          <cell r="D233" t="str">
            <v>FI3369CD291</v>
          </cell>
          <cell r="E233" t="str">
            <v>COD</v>
          </cell>
          <cell r="F233" t="str">
            <v>Bank of Baroda</v>
          </cell>
          <cell r="G233" t="str">
            <v>Bank of Baroda COD MD 21-10-2024</v>
          </cell>
          <cell r="H233">
            <v>0</v>
          </cell>
          <cell r="I233" t="str">
            <v>21-10-2024</v>
          </cell>
          <cell r="J233" t="str">
            <v>IND A1+</v>
          </cell>
          <cell r="K233">
            <v>0.18</v>
          </cell>
          <cell r="L233">
            <v>500000</v>
          </cell>
          <cell r="M233">
            <v>1000</v>
          </cell>
          <cell r="N233">
            <v>7.1601999999999997</v>
          </cell>
        </row>
        <row r="234">
          <cell r="C234" t="str">
            <v>INE028A16FQ6</v>
          </cell>
          <cell r="D234" t="str">
            <v>FI3369CD288</v>
          </cell>
          <cell r="E234" t="str">
            <v>COD</v>
          </cell>
          <cell r="F234" t="str">
            <v>Bank of Baroda</v>
          </cell>
          <cell r="G234" t="str">
            <v>BANK OF BARODA COD MD 28-08-2024</v>
          </cell>
          <cell r="H234">
            <v>0</v>
          </cell>
          <cell r="I234" t="str">
            <v>28-08-2024</v>
          </cell>
          <cell r="J234" t="str">
            <v>IND A1+</v>
          </cell>
          <cell r="K234">
            <v>0.04</v>
          </cell>
          <cell r="L234">
            <v>500000</v>
          </cell>
          <cell r="M234">
            <v>1500</v>
          </cell>
          <cell r="N234">
            <v>6.7507999999999999</v>
          </cell>
        </row>
        <row r="235">
          <cell r="C235" t="str">
            <v>INE028A16FT0</v>
          </cell>
          <cell r="D235" t="str">
            <v>FI3369CD289</v>
          </cell>
          <cell r="E235" t="str">
            <v>COD</v>
          </cell>
          <cell r="F235" t="str">
            <v>Bank of Baroda</v>
          </cell>
          <cell r="G235" t="str">
            <v>Bank of Baroda COD MD 23-09-2024</v>
          </cell>
          <cell r="H235">
            <v>0</v>
          </cell>
          <cell r="I235" t="str">
            <v>23-09-2024</v>
          </cell>
          <cell r="J235" t="str">
            <v>IND A1+</v>
          </cell>
          <cell r="K235">
            <v>0.11</v>
          </cell>
          <cell r="L235">
            <v>500000</v>
          </cell>
          <cell r="M235">
            <v>1000</v>
          </cell>
          <cell r="N235">
            <v>6.9908000000000001</v>
          </cell>
        </row>
        <row r="236">
          <cell r="C236" t="str">
            <v>INE028A16GB6</v>
          </cell>
          <cell r="D236" t="str">
            <v>FI3369CD292</v>
          </cell>
          <cell r="E236" t="str">
            <v>COD</v>
          </cell>
          <cell r="F236" t="str">
            <v>Bank of Baroda</v>
          </cell>
          <cell r="G236" t="str">
            <v>BANK OF BARODA COD MD 13-11-2024</v>
          </cell>
          <cell r="H236">
            <v>0</v>
          </cell>
          <cell r="I236" t="str">
            <v>13-11-2024</v>
          </cell>
          <cell r="J236" t="str">
            <v>IND A1+</v>
          </cell>
          <cell r="K236">
            <v>0.25</v>
          </cell>
          <cell r="L236">
            <v>500000</v>
          </cell>
          <cell r="M236">
            <v>1500</v>
          </cell>
          <cell r="N236">
            <v>7.1658999999999997</v>
          </cell>
        </row>
        <row r="237">
          <cell r="C237" t="str">
            <v>INE040A16EZ5</v>
          </cell>
          <cell r="D237" t="str">
            <v>FI3310CD284</v>
          </cell>
          <cell r="E237" t="str">
            <v>COD</v>
          </cell>
          <cell r="F237" t="str">
            <v>HDFC Bank Ltd</v>
          </cell>
          <cell r="G237" t="str">
            <v>Hdfc Bank Ltd COD MD 11-09-2024</v>
          </cell>
          <cell r="H237">
            <v>0</v>
          </cell>
          <cell r="I237" t="str">
            <v>11-09-2024</v>
          </cell>
          <cell r="J237" t="str">
            <v>CRISIL A1+</v>
          </cell>
          <cell r="K237">
            <v>7.0000000000000007E-2</v>
          </cell>
          <cell r="L237">
            <v>500000</v>
          </cell>
          <cell r="M237">
            <v>3000</v>
          </cell>
          <cell r="N237">
            <v>6.9351000000000003</v>
          </cell>
        </row>
        <row r="238">
          <cell r="C238" t="str">
            <v>INE040A16FG2</v>
          </cell>
          <cell r="D238" t="str">
            <v>FI3310CD288</v>
          </cell>
          <cell r="E238" t="str">
            <v>COD</v>
          </cell>
          <cell r="F238" t="str">
            <v>HDFC Bank Ltd</v>
          </cell>
          <cell r="G238" t="str">
            <v>HDFC Bank Ltd COD MD 24-10-2024</v>
          </cell>
          <cell r="H238">
            <v>0</v>
          </cell>
          <cell r="I238" t="str">
            <v>24-10-2024</v>
          </cell>
          <cell r="J238" t="str">
            <v>CRISIL A1+</v>
          </cell>
          <cell r="K238">
            <v>0.19</v>
          </cell>
          <cell r="L238">
            <v>500000</v>
          </cell>
          <cell r="M238">
            <v>1500</v>
          </cell>
          <cell r="N238">
            <v>7.17</v>
          </cell>
        </row>
        <row r="239">
          <cell r="C239" t="str">
            <v>INE090AD6048</v>
          </cell>
          <cell r="D239" t="str">
            <v>FI3305CD370</v>
          </cell>
          <cell r="E239" t="str">
            <v>COD</v>
          </cell>
          <cell r="F239" t="str">
            <v>ICICI Bank Ltd</v>
          </cell>
          <cell r="G239" t="str">
            <v>ICICI Bank Ltd COD MD 16-09-2024</v>
          </cell>
          <cell r="H239">
            <v>0</v>
          </cell>
          <cell r="I239" t="str">
            <v>16-09-2024</v>
          </cell>
          <cell r="J239" t="str">
            <v>ICRA A1+</v>
          </cell>
          <cell r="K239">
            <v>0.09</v>
          </cell>
          <cell r="L239">
            <v>500000</v>
          </cell>
          <cell r="M239">
            <v>500</v>
          </cell>
          <cell r="N239">
            <v>6.9813999999999998</v>
          </cell>
        </row>
        <row r="240">
          <cell r="C240" t="str">
            <v>INE095A16T81</v>
          </cell>
          <cell r="D240" t="str">
            <v>FI3307CD338</v>
          </cell>
          <cell r="E240" t="str">
            <v>COD</v>
          </cell>
          <cell r="F240" t="str">
            <v>IndusInd Bank Ltd</v>
          </cell>
          <cell r="G240" t="str">
            <v>IndusInd Bank Ltd-COD MD 19-09-2024</v>
          </cell>
          <cell r="H240">
            <v>0</v>
          </cell>
          <cell r="I240" t="str">
            <v>19-09-2024</v>
          </cell>
          <cell r="J240" t="str">
            <v>CRISIL A1+</v>
          </cell>
          <cell r="K240">
            <v>0.1</v>
          </cell>
          <cell r="L240">
            <v>500000</v>
          </cell>
          <cell r="M240">
            <v>3000</v>
          </cell>
          <cell r="N240">
            <v>7.07</v>
          </cell>
        </row>
        <row r="241">
          <cell r="C241" t="str">
            <v>INE160A16OW7</v>
          </cell>
          <cell r="D241" t="str">
            <v>FI3316CD368</v>
          </cell>
          <cell r="E241" t="str">
            <v>COD</v>
          </cell>
          <cell r="F241" t="str">
            <v>Punjab National Bank</v>
          </cell>
          <cell r="G241" t="str">
            <v>PUNJAB NATIONAL BANK COD MD 02-09-2024</v>
          </cell>
          <cell r="H241">
            <v>0</v>
          </cell>
          <cell r="I241" t="str">
            <v>02-09-2024</v>
          </cell>
          <cell r="J241" t="str">
            <v>CRISIL A1+</v>
          </cell>
          <cell r="K241">
            <v>0.05</v>
          </cell>
          <cell r="L241">
            <v>500000</v>
          </cell>
          <cell r="M241">
            <v>3500</v>
          </cell>
          <cell r="N241">
            <v>6.9401999999999999</v>
          </cell>
        </row>
        <row r="242">
          <cell r="C242" t="str">
            <v>INE160A16PD4</v>
          </cell>
          <cell r="D242" t="str">
            <v>FI3316CD372</v>
          </cell>
          <cell r="E242" t="str">
            <v>COD</v>
          </cell>
          <cell r="F242" t="str">
            <v>Punjab National Bank</v>
          </cell>
          <cell r="G242" t="str">
            <v>Punjab National Bank COD MD 26-09-2024</v>
          </cell>
          <cell r="H242">
            <v>0</v>
          </cell>
          <cell r="I242" t="str">
            <v>26-09-2024</v>
          </cell>
          <cell r="J242" t="str">
            <v>CRISIL A1+</v>
          </cell>
          <cell r="K242">
            <v>0.12</v>
          </cell>
          <cell r="L242">
            <v>500000</v>
          </cell>
          <cell r="M242">
            <v>1000</v>
          </cell>
          <cell r="N242">
            <v>7.0452000000000004</v>
          </cell>
        </row>
        <row r="243">
          <cell r="C243" t="str">
            <v>INE160A16PL7</v>
          </cell>
          <cell r="D243" t="str">
            <v>FI3316CD373</v>
          </cell>
          <cell r="E243" t="str">
            <v>COD</v>
          </cell>
          <cell r="F243" t="str">
            <v>Punjab National Bank</v>
          </cell>
          <cell r="G243" t="str">
            <v>Punjab National Bank COD MD 25-10-2024</v>
          </cell>
          <cell r="H243">
            <v>0</v>
          </cell>
          <cell r="I243" t="str">
            <v>25-10-2024</v>
          </cell>
          <cell r="J243" t="str">
            <v>CRISIL A1+</v>
          </cell>
          <cell r="K243">
            <v>0.19</v>
          </cell>
          <cell r="L243">
            <v>500000</v>
          </cell>
          <cell r="M243">
            <v>1500</v>
          </cell>
          <cell r="N243">
            <v>7.18</v>
          </cell>
        </row>
        <row r="244">
          <cell r="C244" t="str">
            <v>INE160A16PN3</v>
          </cell>
          <cell r="D244" t="str">
            <v>FI3316CD374</v>
          </cell>
          <cell r="E244" t="str">
            <v>COD</v>
          </cell>
          <cell r="F244" t="str">
            <v>Punjab National Bank</v>
          </cell>
          <cell r="G244" t="str">
            <v>Punjab National Bank COD MD 04-11-2024</v>
          </cell>
          <cell r="H244">
            <v>0</v>
          </cell>
          <cell r="I244" t="str">
            <v>04-11-2024</v>
          </cell>
          <cell r="J244" t="str">
            <v>CRISIL A1+</v>
          </cell>
          <cell r="K244">
            <v>0.22</v>
          </cell>
          <cell r="L244">
            <v>500000</v>
          </cell>
          <cell r="M244">
            <v>1000</v>
          </cell>
          <cell r="N244">
            <v>7.18</v>
          </cell>
        </row>
        <row r="245">
          <cell r="C245" t="str">
            <v>INE237A168U0</v>
          </cell>
          <cell r="D245" t="str">
            <v>FI3332CD274</v>
          </cell>
          <cell r="E245" t="str">
            <v>COD</v>
          </cell>
          <cell r="F245" t="str">
            <v>Kotak Mahindra Bank Ltd</v>
          </cell>
          <cell r="G245" t="str">
            <v>Kotak Mahindra Bank COD MD 27-09-2024</v>
          </cell>
          <cell r="H245">
            <v>0</v>
          </cell>
          <cell r="I245" t="str">
            <v>27-09-2024</v>
          </cell>
          <cell r="J245" t="str">
            <v>CRISIL A1+</v>
          </cell>
          <cell r="K245">
            <v>0.12</v>
          </cell>
          <cell r="L245">
            <v>500000</v>
          </cell>
          <cell r="M245">
            <v>1000</v>
          </cell>
          <cell r="N245">
            <v>7.0186999999999999</v>
          </cell>
        </row>
        <row r="246">
          <cell r="C246" t="str">
            <v>INE238AD6504</v>
          </cell>
          <cell r="D246" t="str">
            <v>FI3319CD525</v>
          </cell>
          <cell r="E246" t="str">
            <v>COD</v>
          </cell>
          <cell r="F246" t="str">
            <v>Axis Bank Ltd</v>
          </cell>
          <cell r="G246" t="str">
            <v>Axis Bank Ltd COD MD 30-08-2024</v>
          </cell>
          <cell r="H246">
            <v>0</v>
          </cell>
          <cell r="I246" t="str">
            <v>30-08-2024</v>
          </cell>
          <cell r="J246" t="str">
            <v>CRISIL A1+</v>
          </cell>
          <cell r="K246">
            <v>0.04</v>
          </cell>
          <cell r="L246">
            <v>500000</v>
          </cell>
          <cell r="M246">
            <v>3000</v>
          </cell>
          <cell r="N246">
            <v>6.8596000000000004</v>
          </cell>
        </row>
        <row r="247">
          <cell r="C247" t="str">
            <v>INE238AD6538</v>
          </cell>
          <cell r="D247" t="str">
            <v>FI3319CD522</v>
          </cell>
          <cell r="E247" t="str">
            <v>COD</v>
          </cell>
          <cell r="F247" t="str">
            <v>Axis Bank Ltd</v>
          </cell>
          <cell r="G247" t="str">
            <v>Axis Bank Ltd COD MD 18-09-2024</v>
          </cell>
          <cell r="H247">
            <v>0</v>
          </cell>
          <cell r="I247" t="str">
            <v>18-09-2024</v>
          </cell>
          <cell r="J247" t="str">
            <v>CRISIL A1+</v>
          </cell>
          <cell r="K247">
            <v>0.09</v>
          </cell>
          <cell r="L247">
            <v>500000</v>
          </cell>
          <cell r="M247">
            <v>1000</v>
          </cell>
          <cell r="N247">
            <v>7.0396000000000001</v>
          </cell>
        </row>
        <row r="248">
          <cell r="C248" t="str">
            <v>INE476A16YJ3</v>
          </cell>
          <cell r="D248" t="str">
            <v>FI3320CD477</v>
          </cell>
          <cell r="E248" t="str">
            <v>COD</v>
          </cell>
          <cell r="F248" t="str">
            <v>Canara Bank</v>
          </cell>
          <cell r="G248" t="str">
            <v>Canara Bank COD MD 06-09-2024</v>
          </cell>
          <cell r="H248">
            <v>0</v>
          </cell>
          <cell r="I248" t="str">
            <v>06-09-2024</v>
          </cell>
          <cell r="J248" t="str">
            <v>CRISIL A1+</v>
          </cell>
          <cell r="K248">
            <v>0.06</v>
          </cell>
          <cell r="L248">
            <v>500000</v>
          </cell>
          <cell r="M248">
            <v>500</v>
          </cell>
          <cell r="N248">
            <v>6.915</v>
          </cell>
        </row>
        <row r="249">
          <cell r="C249" t="str">
            <v>INE476A16YK1</v>
          </cell>
          <cell r="D249" t="str">
            <v>FI3320CD472</v>
          </cell>
          <cell r="E249" t="str">
            <v>COD</v>
          </cell>
          <cell r="F249" t="str">
            <v>Canara Bank</v>
          </cell>
          <cell r="G249" t="str">
            <v>Canara Bank COD MD 09-09-2024</v>
          </cell>
          <cell r="H249">
            <v>0</v>
          </cell>
          <cell r="I249" t="str">
            <v>09-09-2024</v>
          </cell>
          <cell r="J249" t="str">
            <v>CRISIL A1+</v>
          </cell>
          <cell r="K249">
            <v>7.0000000000000007E-2</v>
          </cell>
          <cell r="L249">
            <v>500000</v>
          </cell>
          <cell r="M249">
            <v>2000</v>
          </cell>
          <cell r="N249">
            <v>6.915</v>
          </cell>
        </row>
        <row r="250">
          <cell r="C250" t="str">
            <v>INE476A16YM7</v>
          </cell>
          <cell r="D250" t="str">
            <v>FI3320CD474</v>
          </cell>
          <cell r="E250" t="str">
            <v>COD</v>
          </cell>
          <cell r="F250" t="str">
            <v>Canara Bank</v>
          </cell>
          <cell r="G250" t="str">
            <v>Canara Bank COD MD 13-09-2024</v>
          </cell>
          <cell r="H250">
            <v>0</v>
          </cell>
          <cell r="I250" t="str">
            <v>13-09-2024</v>
          </cell>
          <cell r="J250" t="str">
            <v>CRISIL A1+</v>
          </cell>
          <cell r="K250">
            <v>0.08</v>
          </cell>
          <cell r="L250">
            <v>500000</v>
          </cell>
          <cell r="M250">
            <v>3000</v>
          </cell>
          <cell r="N250">
            <v>6.915</v>
          </cell>
        </row>
        <row r="251">
          <cell r="C251" t="str">
            <v>INE476A16YU0</v>
          </cell>
          <cell r="D251" t="str">
            <v>FI3320CD476</v>
          </cell>
          <cell r="E251" t="str">
            <v>COD</v>
          </cell>
          <cell r="F251" t="str">
            <v>Canara Bank</v>
          </cell>
          <cell r="G251" t="str">
            <v>Canara Bank COD MD 25-10-2024</v>
          </cell>
          <cell r="H251">
            <v>0</v>
          </cell>
          <cell r="I251" t="str">
            <v>25-10-2024</v>
          </cell>
          <cell r="J251" t="str">
            <v>CRISIL A1+</v>
          </cell>
          <cell r="K251">
            <v>0.19</v>
          </cell>
          <cell r="L251">
            <v>500000</v>
          </cell>
          <cell r="M251">
            <v>2000</v>
          </cell>
          <cell r="N251">
            <v>7.17</v>
          </cell>
        </row>
        <row r="252">
          <cell r="C252" t="str">
            <v>INE562A16NA2</v>
          </cell>
          <cell r="D252" t="str">
            <v>FI3345CD304</v>
          </cell>
          <cell r="E252" t="str">
            <v>COD</v>
          </cell>
          <cell r="F252" t="str">
            <v>Indian Bank</v>
          </cell>
          <cell r="G252" t="str">
            <v>Indian Bank Ltd COD MD 03-09-2024</v>
          </cell>
          <cell r="H252">
            <v>0</v>
          </cell>
          <cell r="I252" t="str">
            <v>03-09-2024</v>
          </cell>
          <cell r="J252" t="str">
            <v>CRISIL A1+</v>
          </cell>
          <cell r="K252">
            <v>0.05</v>
          </cell>
          <cell r="L252">
            <v>500000</v>
          </cell>
          <cell r="M252">
            <v>1000</v>
          </cell>
          <cell r="N252">
            <v>6.98</v>
          </cell>
        </row>
        <row r="253">
          <cell r="C253" t="str">
            <v>INE562A16NF1</v>
          </cell>
          <cell r="D253" t="str">
            <v>FI3345CD306</v>
          </cell>
          <cell r="E253" t="str">
            <v>COD</v>
          </cell>
          <cell r="F253" t="str">
            <v>Indian Bank</v>
          </cell>
          <cell r="G253" t="str">
            <v>Indian Bank COD MD 13-11-2024</v>
          </cell>
          <cell r="H253">
            <v>0</v>
          </cell>
          <cell r="I253" t="str">
            <v>13-11-2024</v>
          </cell>
          <cell r="J253" t="str">
            <v>CRISIL A1+</v>
          </cell>
          <cell r="K253">
            <v>0.25</v>
          </cell>
          <cell r="L253">
            <v>500000</v>
          </cell>
          <cell r="M253">
            <v>2500</v>
          </cell>
          <cell r="N253">
            <v>7.18</v>
          </cell>
        </row>
        <row r="254">
          <cell r="C254" t="str">
            <v>INE692A16HK8</v>
          </cell>
          <cell r="D254" t="str">
            <v>FI3321CD270</v>
          </cell>
          <cell r="E254" t="str">
            <v>COD</v>
          </cell>
          <cell r="F254" t="str">
            <v>Union Bank of India</v>
          </cell>
          <cell r="G254" t="str">
            <v>Union Bank of India COD MD 13-09-2024</v>
          </cell>
          <cell r="H254">
            <v>0</v>
          </cell>
          <cell r="I254" t="str">
            <v>13-09-2024</v>
          </cell>
          <cell r="J254" t="str">
            <v>ICRA A1+</v>
          </cell>
          <cell r="K254">
            <v>0.08</v>
          </cell>
          <cell r="L254">
            <v>500000</v>
          </cell>
          <cell r="M254">
            <v>3000</v>
          </cell>
          <cell r="N254">
            <v>6.9401000000000002</v>
          </cell>
        </row>
        <row r="255">
          <cell r="C255" t="str">
            <v>INE692A16HQ5</v>
          </cell>
          <cell r="D255" t="str">
            <v>FI3321CD271</v>
          </cell>
          <cell r="E255" t="str">
            <v>COD</v>
          </cell>
          <cell r="F255" t="str">
            <v>Union Bank of India</v>
          </cell>
          <cell r="G255" t="str">
            <v>Union Bank of India COD MD 25-09-2024</v>
          </cell>
          <cell r="H255">
            <v>0</v>
          </cell>
          <cell r="I255" t="str">
            <v>25-09-2024</v>
          </cell>
          <cell r="J255" t="str">
            <v>ICRA A1+</v>
          </cell>
          <cell r="K255">
            <v>0.11</v>
          </cell>
          <cell r="L255">
            <v>500000</v>
          </cell>
          <cell r="M255">
            <v>1500</v>
          </cell>
          <cell r="N255">
            <v>7.0401999999999996</v>
          </cell>
        </row>
        <row r="256">
          <cell r="C256" t="str">
            <v>INE033L07HI5</v>
          </cell>
          <cell r="D256" t="str">
            <v>FI3514NC210</v>
          </cell>
          <cell r="E256" t="str">
            <v>NCD</v>
          </cell>
          <cell r="F256" t="str">
            <v>Tata Capital Housing Finance Ltd</v>
          </cell>
          <cell r="G256" t="str">
            <v>5.70% Tata Capital Housing Finance Ltd NCD MD 13-09-2024</v>
          </cell>
          <cell r="H256">
            <v>5.7</v>
          </cell>
          <cell r="I256" t="str">
            <v>13-09-2024</v>
          </cell>
          <cell r="J256" t="str">
            <v>CRISIL AAA</v>
          </cell>
          <cell r="K256">
            <v>7.6499999999999999E-2</v>
          </cell>
          <cell r="L256">
            <v>1000000</v>
          </cell>
          <cell r="M256">
            <v>500</v>
          </cell>
          <cell r="N256">
            <v>7.3324999999999996</v>
          </cell>
        </row>
        <row r="257">
          <cell r="C257" t="str">
            <v>IN002023Y540</v>
          </cell>
          <cell r="D257" t="str">
            <v>182TBL260924</v>
          </cell>
          <cell r="E257" t="str">
            <v>TBL</v>
          </cell>
          <cell r="F257" t="str">
            <v>Govt. of India - GSec / TBL</v>
          </cell>
          <cell r="G257" t="str">
            <v>182 Days - T Bill - 26/09/2024</v>
          </cell>
          <cell r="H257">
            <v>0</v>
          </cell>
          <cell r="I257" t="str">
            <v>26-09-2024</v>
          </cell>
          <cell r="J257" t="str">
            <v>Sovereign</v>
          </cell>
          <cell r="K257">
            <v>0.12</v>
          </cell>
          <cell r="L257">
            <v>100</v>
          </cell>
          <cell r="M257">
            <v>27500000</v>
          </cell>
          <cell r="N257">
            <v>6.5374999999999996</v>
          </cell>
        </row>
        <row r="258">
          <cell r="C258" t="str">
            <v>IN002023Z265</v>
          </cell>
          <cell r="D258" t="str">
            <v>364TBL120924</v>
          </cell>
          <cell r="E258" t="str">
            <v>TBL</v>
          </cell>
          <cell r="F258" t="str">
            <v>Govt. of India - GSec / TBL</v>
          </cell>
          <cell r="G258" t="str">
            <v>364 Days - T Bill - 12/09/2024</v>
          </cell>
          <cell r="H258">
            <v>0</v>
          </cell>
          <cell r="I258" t="str">
            <v>12-09-2024</v>
          </cell>
          <cell r="J258" t="str">
            <v>Sovereign</v>
          </cell>
          <cell r="K258">
            <v>0.08</v>
          </cell>
          <cell r="L258">
            <v>100</v>
          </cell>
          <cell r="M258">
            <v>10000000</v>
          </cell>
          <cell r="N258">
            <v>6.4897</v>
          </cell>
        </row>
        <row r="259">
          <cell r="C259" t="str">
            <v>IN002024X177</v>
          </cell>
          <cell r="D259" t="str">
            <v>91TBL181024</v>
          </cell>
          <cell r="E259" t="str">
            <v>TBL</v>
          </cell>
          <cell r="F259" t="str">
            <v>Govt. of India - GSec / TBL</v>
          </cell>
          <cell r="G259" t="str">
            <v>91 Days - T Bill - 18/10/2024</v>
          </cell>
          <cell r="H259">
            <v>0</v>
          </cell>
          <cell r="I259" t="str">
            <v>18-10-2024</v>
          </cell>
          <cell r="J259" t="str">
            <v>Sovereign</v>
          </cell>
          <cell r="K259">
            <v>0.18</v>
          </cell>
          <cell r="L259">
            <v>100</v>
          </cell>
          <cell r="M259">
            <v>10000000</v>
          </cell>
          <cell r="N259">
            <v>6.5750000000000002</v>
          </cell>
        </row>
        <row r="260">
          <cell r="C260" t="str">
            <v>IN002024X201</v>
          </cell>
          <cell r="D260" t="str">
            <v>91TBL071124</v>
          </cell>
          <cell r="E260" t="str">
            <v>TBL</v>
          </cell>
          <cell r="F260" t="str">
            <v>Govt. of India - GSec / TBL</v>
          </cell>
          <cell r="G260" t="str">
            <v>91 Days - T Bill - 07/11/2024</v>
          </cell>
          <cell r="H260">
            <v>0</v>
          </cell>
          <cell r="I260" t="str">
            <v>07-11-2024</v>
          </cell>
          <cell r="J260" t="str">
            <v>Sovereign</v>
          </cell>
          <cell r="K260">
            <v>0.23</v>
          </cell>
          <cell r="L260">
            <v>100</v>
          </cell>
          <cell r="M260">
            <v>10000000</v>
          </cell>
          <cell r="N260">
            <v>6.5750000000000002</v>
          </cell>
        </row>
        <row r="261">
          <cell r="C261" t="str">
            <v>IN002024X219</v>
          </cell>
          <cell r="D261" t="str">
            <v>91TBL151124</v>
          </cell>
          <cell r="E261" t="str">
            <v>TBL</v>
          </cell>
          <cell r="F261" t="str">
            <v>Govt. of India - GSec / TBL</v>
          </cell>
          <cell r="G261" t="str">
            <v>91 Days - T Bill - 15/11/2024</v>
          </cell>
          <cell r="H261">
            <v>0</v>
          </cell>
          <cell r="I261" t="str">
            <v>15-11-2024</v>
          </cell>
          <cell r="J261" t="str">
            <v>Sovereign</v>
          </cell>
          <cell r="K261">
            <v>0.25</v>
          </cell>
          <cell r="L261">
            <v>100</v>
          </cell>
          <cell r="M261">
            <v>10000000</v>
          </cell>
          <cell r="N261">
            <v>6.5575000000000001</v>
          </cell>
        </row>
        <row r="262">
          <cell r="C262" t="str">
            <v>IN002024Y050</v>
          </cell>
          <cell r="D262" t="str">
            <v>182TBL011124</v>
          </cell>
          <cell r="E262" t="str">
            <v>TBL</v>
          </cell>
          <cell r="F262" t="str">
            <v>Govt. of India - GSec / TBL</v>
          </cell>
          <cell r="G262" t="str">
            <v>182 Days - T Bill - 01/11/2024</v>
          </cell>
          <cell r="H262">
            <v>0</v>
          </cell>
          <cell r="I262" t="str">
            <v>01-11-2024</v>
          </cell>
          <cell r="J262" t="str">
            <v>Sovereign</v>
          </cell>
          <cell r="K262">
            <v>0.21</v>
          </cell>
          <cell r="L262">
            <v>100</v>
          </cell>
          <cell r="M262">
            <v>10000000</v>
          </cell>
          <cell r="N262">
            <v>6.5552000000000001</v>
          </cell>
        </row>
        <row r="263">
          <cell r="C263" t="str">
            <v>INF0RQ622028</v>
          </cell>
          <cell r="D263" t="str">
            <v>CDMDF23</v>
          </cell>
          <cell r="E263" t="str">
            <v>CDMDF</v>
          </cell>
          <cell r="F263" t="str">
            <v>Corporate Debt Market Development Fund</v>
          </cell>
          <cell r="G263" t="str">
            <v>Corporate Debt Market Development Fund - Class A2</v>
          </cell>
          <cell r="H263">
            <v>0</v>
          </cell>
          <cell r="K263">
            <v>0</v>
          </cell>
          <cell r="L263">
            <v>10000</v>
          </cell>
          <cell r="M263">
            <v>511.47399999999999</v>
          </cell>
          <cell r="N263">
            <v>9.9999999999999995E-7</v>
          </cell>
        </row>
        <row r="264">
          <cell r="C264" t="str">
            <v>INE090AD6113</v>
          </cell>
          <cell r="D264" t="str">
            <v>FI3305CD366</v>
          </cell>
          <cell r="E264" t="str">
            <v>COD</v>
          </cell>
          <cell r="F264" t="str">
            <v>ICICI Bank Ltd</v>
          </cell>
          <cell r="G264" t="str">
            <v>ICICI Bank Ltd COD MD 31-01-2025</v>
          </cell>
          <cell r="H264">
            <v>0</v>
          </cell>
          <cell r="I264" t="str">
            <v>31-01-2025</v>
          </cell>
          <cell r="J264" t="str">
            <v>ICRA A1+</v>
          </cell>
          <cell r="K264">
            <v>0.46</v>
          </cell>
          <cell r="L264">
            <v>500000</v>
          </cell>
          <cell r="M264">
            <v>100</v>
          </cell>
          <cell r="N264">
            <v>7.48</v>
          </cell>
        </row>
        <row r="265">
          <cell r="C265" t="str">
            <v>INE556F16AO1</v>
          </cell>
          <cell r="D265" t="str">
            <v>FI3405CD240</v>
          </cell>
          <cell r="E265" t="str">
            <v>COD</v>
          </cell>
          <cell r="F265" t="str">
            <v>Small Industries Development Bank of India</v>
          </cell>
          <cell r="G265" t="str">
            <v>Small Industries Development Bank of India CD 10 01 2025</v>
          </cell>
          <cell r="H265">
            <v>0</v>
          </cell>
          <cell r="I265" t="str">
            <v>10-01-2025</v>
          </cell>
          <cell r="J265" t="str">
            <v>CRISIL A1+</v>
          </cell>
          <cell r="K265">
            <v>0.41</v>
          </cell>
          <cell r="L265">
            <v>500000</v>
          </cell>
          <cell r="M265">
            <v>100</v>
          </cell>
          <cell r="N265">
            <v>7.55</v>
          </cell>
        </row>
        <row r="266">
          <cell r="C266" t="str">
            <v>INE692A16GZ8</v>
          </cell>
          <cell r="D266" t="str">
            <v>FI3321CD266</v>
          </cell>
          <cell r="E266" t="str">
            <v>COD</v>
          </cell>
          <cell r="F266" t="str">
            <v>Union Bank of India</v>
          </cell>
          <cell r="G266" t="str">
            <v>UNION BANK OF INDIA COD MD 27-02-2025</v>
          </cell>
          <cell r="H266">
            <v>0</v>
          </cell>
          <cell r="I266" t="str">
            <v>27-02-2025</v>
          </cell>
          <cell r="J266" t="str">
            <v>ICRA A1+</v>
          </cell>
          <cell r="K266">
            <v>0.54</v>
          </cell>
          <cell r="L266">
            <v>500000</v>
          </cell>
          <cell r="M266">
            <v>100</v>
          </cell>
          <cell r="N266">
            <v>7.5101000000000004</v>
          </cell>
        </row>
        <row r="267">
          <cell r="C267" t="str">
            <v>IN0020210160</v>
          </cell>
          <cell r="D267" t="str">
            <v>4.04GOI041028</v>
          </cell>
          <cell r="E267" t="str">
            <v>GSE</v>
          </cell>
          <cell r="F267" t="str">
            <v>Govt. of India - GSec / TBL</v>
          </cell>
          <cell r="G267" t="str">
            <v>7.72% Central Government Securities_Floating Rate Bond 04/10/2028 (Previous 7.69)</v>
          </cell>
          <cell r="H267">
            <v>7.72</v>
          </cell>
          <cell r="I267" t="str">
            <v>04-10-2028</v>
          </cell>
          <cell r="J267" t="str">
            <v>Sovereign</v>
          </cell>
          <cell r="K267">
            <v>0</v>
          </cell>
          <cell r="L267">
            <v>100</v>
          </cell>
          <cell r="M267">
            <v>500000</v>
          </cell>
          <cell r="N267">
            <v>7.4760586972274385</v>
          </cell>
        </row>
        <row r="268">
          <cell r="C268" t="str">
            <v>IN0020220037</v>
          </cell>
          <cell r="D268" t="str">
            <v>7.38GSEC200627</v>
          </cell>
          <cell r="E268" t="str">
            <v>GSE</v>
          </cell>
          <cell r="F268" t="str">
            <v>Govt. of India - GSec / TBL</v>
          </cell>
          <cell r="G268" t="str">
            <v>7.38% Central Government Securities 20/06/2027</v>
          </cell>
          <cell r="H268">
            <v>7.38</v>
          </cell>
          <cell r="I268" t="str">
            <v>20-06-2027</v>
          </cell>
          <cell r="J268" t="str">
            <v>Sovereign</v>
          </cell>
          <cell r="K268">
            <v>2.5924</v>
          </cell>
          <cell r="L268">
            <v>100</v>
          </cell>
          <cell r="M268">
            <v>1000000</v>
          </cell>
          <cell r="N268">
            <v>6.8611000000000004</v>
          </cell>
        </row>
        <row r="269">
          <cell r="C269" t="str">
            <v>IN0020230085</v>
          </cell>
          <cell r="D269" t="str">
            <v>7.18GSE140833</v>
          </cell>
          <cell r="E269" t="str">
            <v>GSE</v>
          </cell>
          <cell r="F269" t="str">
            <v>Govt. of India - GSec / TBL</v>
          </cell>
          <cell r="G269" t="str">
            <v>7.18%  Government Securities - 14/08/2033</v>
          </cell>
          <cell r="H269">
            <v>7.18</v>
          </cell>
          <cell r="I269" t="str">
            <v>14-08-2033</v>
          </cell>
          <cell r="J269" t="str">
            <v>Sovereign</v>
          </cell>
          <cell r="K269">
            <v>6.7990000000000004</v>
          </cell>
          <cell r="L269">
            <v>100</v>
          </cell>
          <cell r="M269">
            <v>3000000</v>
          </cell>
          <cell r="N269">
            <v>7.0152000000000001</v>
          </cell>
        </row>
        <row r="270">
          <cell r="C270" t="str">
            <v>IN0020230101</v>
          </cell>
          <cell r="D270" t="str">
            <v>7.37GSE231028</v>
          </cell>
          <cell r="E270" t="str">
            <v>GSE</v>
          </cell>
          <cell r="F270" t="str">
            <v>Govt. of India - GSec / TBL</v>
          </cell>
          <cell r="G270" t="str">
            <v>7.37% Government Securities-23/10/2028</v>
          </cell>
          <cell r="H270">
            <v>7.37</v>
          </cell>
          <cell r="I270" t="str">
            <v>23-10-2028</v>
          </cell>
          <cell r="J270" t="str">
            <v>Sovereign</v>
          </cell>
          <cell r="K270">
            <v>3.6044999999999998</v>
          </cell>
          <cell r="L270">
            <v>100</v>
          </cell>
          <cell r="M270">
            <v>1500000</v>
          </cell>
          <cell r="N270">
            <v>6.8924000000000003</v>
          </cell>
        </row>
        <row r="271">
          <cell r="C271" t="str">
            <v>IN3120230484</v>
          </cell>
          <cell r="D271" t="str">
            <v>7.44TNSG20034</v>
          </cell>
          <cell r="E271" t="str">
            <v>GSE</v>
          </cell>
          <cell r="F271" t="str">
            <v>Govt. of India - GSec / TBL</v>
          </cell>
          <cell r="G271" t="str">
            <v>7.44% Tamil Nadu State Government Securities -20/03/2034</v>
          </cell>
          <cell r="H271">
            <v>7.44</v>
          </cell>
          <cell r="I271" t="str">
            <v>20-03-2034</v>
          </cell>
          <cell r="J271" t="str">
            <v>Sovereign</v>
          </cell>
          <cell r="K271">
            <v>6.8448000000000002</v>
          </cell>
          <cell r="L271">
            <v>100</v>
          </cell>
          <cell r="M271">
            <v>500000</v>
          </cell>
          <cell r="N271">
            <v>7.3471000000000002</v>
          </cell>
        </row>
        <row r="272">
          <cell r="C272" t="str">
            <v>INE020B08EG2</v>
          </cell>
          <cell r="D272" t="str">
            <v>UT47NC313</v>
          </cell>
          <cell r="E272" t="str">
            <v>NCD</v>
          </cell>
          <cell r="F272" t="str">
            <v>REC LTD</v>
          </cell>
          <cell r="G272" t="str">
            <v>7.69% REC LTD NCD 31.03.2033  BOND SERIES 220 B</v>
          </cell>
          <cell r="H272">
            <v>7.69</v>
          </cell>
          <cell r="I272" t="str">
            <v>31-03-2033</v>
          </cell>
          <cell r="J272" t="str">
            <v>CRISIL AAA</v>
          </cell>
          <cell r="K272">
            <v>6.4554</v>
          </cell>
          <cell r="L272">
            <v>100000</v>
          </cell>
          <cell r="M272">
            <v>1000</v>
          </cell>
          <cell r="N272">
            <v>7.4450000000000003</v>
          </cell>
        </row>
        <row r="273">
          <cell r="C273" t="str">
            <v>INE020B08EI8</v>
          </cell>
          <cell r="D273" t="str">
            <v>UT47NC314</v>
          </cell>
          <cell r="E273" t="str">
            <v>NCD</v>
          </cell>
          <cell r="F273" t="str">
            <v>REC LTD</v>
          </cell>
          <cell r="G273" t="str">
            <v>7.51% REC LTD NCD MD 31-07-2026</v>
          </cell>
          <cell r="H273">
            <v>7.51</v>
          </cell>
          <cell r="I273" t="str">
            <v>31-07-2026</v>
          </cell>
          <cell r="J273" t="str">
            <v>CRISIL AAA</v>
          </cell>
          <cell r="K273">
            <v>1.8863000000000001</v>
          </cell>
          <cell r="L273">
            <v>100000</v>
          </cell>
          <cell r="M273">
            <v>500</v>
          </cell>
          <cell r="N273">
            <v>7.6</v>
          </cell>
        </row>
        <row r="274">
          <cell r="C274" t="str">
            <v>INE041007100</v>
          </cell>
          <cell r="D274" t="str">
            <v>FI3346NC200</v>
          </cell>
          <cell r="E274" t="str">
            <v>NCD</v>
          </cell>
          <cell r="F274" t="str">
            <v>Embassy Office Parks REIT</v>
          </cell>
          <cell r="G274" t="str">
            <v>7.77% Embassy Office Parks REIT NCD MD 05.06.2025 Series VII NCD Call 05-03-2025</v>
          </cell>
          <cell r="H274">
            <v>7.77</v>
          </cell>
          <cell r="I274" t="str">
            <v>05-06-2025</v>
          </cell>
          <cell r="J274" t="str">
            <v>CRISIL AAA</v>
          </cell>
          <cell r="K274">
            <v>0.77739999999999998</v>
          </cell>
          <cell r="L274">
            <v>100000</v>
          </cell>
          <cell r="M274">
            <v>500</v>
          </cell>
          <cell r="N274">
            <v>8.19</v>
          </cell>
        </row>
        <row r="275">
          <cell r="C275" t="str">
            <v>INE115A07MW4</v>
          </cell>
          <cell r="D275" t="str">
            <v>FILICNC370</v>
          </cell>
          <cell r="E275" t="str">
            <v>NCD</v>
          </cell>
          <cell r="F275" t="str">
            <v>LIC Housing Finance Ltd</v>
          </cell>
          <cell r="G275" t="str">
            <v>7.95% LIC Housing Finance Ltd NCD 29 01 2028</v>
          </cell>
          <cell r="H275">
            <v>7.95</v>
          </cell>
          <cell r="I275" t="str">
            <v>29-01-2028</v>
          </cell>
          <cell r="J275" t="str">
            <v>CRISIL AAA</v>
          </cell>
          <cell r="K275">
            <v>3.0341</v>
          </cell>
          <cell r="L275">
            <v>1000000</v>
          </cell>
          <cell r="M275">
            <v>50</v>
          </cell>
          <cell r="N275">
            <v>7.8</v>
          </cell>
        </row>
        <row r="276">
          <cell r="C276" t="str">
            <v>INE115A07PI6</v>
          </cell>
          <cell r="D276" t="str">
            <v>FILICNC363</v>
          </cell>
          <cell r="E276" t="str">
            <v>NCD</v>
          </cell>
          <cell r="F276" t="str">
            <v>LIC Housing Finance Ltd</v>
          </cell>
          <cell r="G276" t="str">
            <v>6.17% LIC Housing Finance Ltd-NCD-03/09/2026</v>
          </cell>
          <cell r="H276">
            <v>6.17</v>
          </cell>
          <cell r="I276" t="str">
            <v>03-09-2026</v>
          </cell>
          <cell r="J276" t="str">
            <v>CRISIL AAA</v>
          </cell>
          <cell r="K276">
            <v>1.8742000000000001</v>
          </cell>
          <cell r="L276">
            <v>1000000</v>
          </cell>
          <cell r="M276">
            <v>50</v>
          </cell>
          <cell r="N276">
            <v>7.82</v>
          </cell>
        </row>
        <row r="277">
          <cell r="C277" t="str">
            <v>INE134E08LP1</v>
          </cell>
          <cell r="D277" t="str">
            <v>FI35PFCNC367</v>
          </cell>
          <cell r="E277" t="str">
            <v>NCD</v>
          </cell>
          <cell r="F277" t="str">
            <v>Power Finance Corporation Ltd</v>
          </cell>
          <cell r="G277" t="str">
            <v>7.13% Power Finance Corporation Ltd NCD MD 15072026 BS 216 2026</v>
          </cell>
          <cell r="H277">
            <v>7.13</v>
          </cell>
          <cell r="I277" t="str">
            <v>15-07-2026</v>
          </cell>
          <cell r="J277" t="str">
            <v>CRISIL AAA</v>
          </cell>
          <cell r="K277">
            <v>1.7301</v>
          </cell>
          <cell r="L277">
            <v>1000000</v>
          </cell>
          <cell r="M277">
            <v>50</v>
          </cell>
          <cell r="N277">
            <v>7.6</v>
          </cell>
        </row>
        <row r="278">
          <cell r="C278" t="str">
            <v>INE134E08MJ2</v>
          </cell>
          <cell r="D278" t="str">
            <v>FI35PFNC367</v>
          </cell>
          <cell r="E278" t="str">
            <v>NCD</v>
          </cell>
          <cell r="F278" t="str">
            <v>Power Finance Corporation Ltd</v>
          </cell>
          <cell r="G278" t="str">
            <v>7.77% Power Finance Corporation Limited NCD MD 15/04/2028</v>
          </cell>
          <cell r="H278">
            <v>7.77</v>
          </cell>
          <cell r="I278" t="str">
            <v>15-04-2028</v>
          </cell>
          <cell r="J278" t="str">
            <v>CRISIL AAA</v>
          </cell>
          <cell r="K278">
            <v>3.2425000000000002</v>
          </cell>
          <cell r="L278">
            <v>100000</v>
          </cell>
          <cell r="M278">
            <v>1000</v>
          </cell>
          <cell r="N278">
            <v>7.4850000000000003</v>
          </cell>
        </row>
        <row r="279">
          <cell r="C279" t="str">
            <v>INE261F08EH1</v>
          </cell>
          <cell r="D279" t="str">
            <v>FI35NANC306</v>
          </cell>
          <cell r="E279" t="str">
            <v>NCD</v>
          </cell>
          <cell r="F279" t="str">
            <v>National Bank for Agriculture &amp; Rural Development</v>
          </cell>
          <cell r="G279" t="str">
            <v>7.62%  NABARD NCD MD 10-05-2029</v>
          </cell>
          <cell r="H279">
            <v>7.62</v>
          </cell>
          <cell r="I279" t="str">
            <v>10-05-2029</v>
          </cell>
          <cell r="J279" t="str">
            <v>CRISIL AAA</v>
          </cell>
          <cell r="K279">
            <v>4.0732999999999997</v>
          </cell>
          <cell r="L279">
            <v>100000</v>
          </cell>
          <cell r="M279">
            <v>1000</v>
          </cell>
          <cell r="N279">
            <v>7.52</v>
          </cell>
        </row>
        <row r="280">
          <cell r="C280" t="str">
            <v>INE403D08181</v>
          </cell>
          <cell r="D280" t="str">
            <v>UT4825NC200</v>
          </cell>
          <cell r="E280" t="str">
            <v>NCD</v>
          </cell>
          <cell r="F280" t="str">
            <v>Bharti Telecom Ltd</v>
          </cell>
          <cell r="G280" t="str">
            <v>8.90% Bharti Telecom Ltd NCD MD 04-12-2025 SERIES XVI</v>
          </cell>
          <cell r="H280">
            <v>8.9</v>
          </cell>
          <cell r="I280" t="str">
            <v>04-12-2025</v>
          </cell>
          <cell r="J280" t="str">
            <v>CRISIL AA+</v>
          </cell>
          <cell r="K280">
            <v>1.2191000000000001</v>
          </cell>
          <cell r="L280">
            <v>100000</v>
          </cell>
          <cell r="M280">
            <v>700</v>
          </cell>
          <cell r="N280">
            <v>8.4499999999999993</v>
          </cell>
        </row>
        <row r="281">
          <cell r="C281" t="str">
            <v>INE556F08KE8</v>
          </cell>
          <cell r="D281" t="str">
            <v>FI3405NCD200</v>
          </cell>
          <cell r="E281" t="str">
            <v>NCD</v>
          </cell>
          <cell r="F281" t="str">
            <v>Small Industries Development Bank of India</v>
          </cell>
          <cell r="G281" t="str">
            <v>Small Industries Development Bank of India NCD 25 11 2025</v>
          </cell>
          <cell r="H281">
            <v>7.47</v>
          </cell>
          <cell r="I281" t="str">
            <v>25-11-2025</v>
          </cell>
          <cell r="J281" t="str">
            <v>ICRA AAA</v>
          </cell>
          <cell r="K281">
            <v>1.2027000000000001</v>
          </cell>
          <cell r="L281">
            <v>1000000</v>
          </cell>
          <cell r="M281">
            <v>100</v>
          </cell>
          <cell r="N281">
            <v>7.7</v>
          </cell>
        </row>
        <row r="282">
          <cell r="C282" t="str">
            <v>INE557F08FV0</v>
          </cell>
          <cell r="D282" t="str">
            <v>FI3335NCD200</v>
          </cell>
          <cell r="E282" t="str">
            <v>NCD</v>
          </cell>
          <cell r="F282" t="str">
            <v xml:space="preserve">National Housing Bank </v>
          </cell>
          <cell r="G282" t="str">
            <v>7.78% National Housing Bank NCD 26 04 2027 PUT 17 03 2025</v>
          </cell>
          <cell r="H282">
            <v>7.78</v>
          </cell>
          <cell r="I282" t="str">
            <v>26-04-2027</v>
          </cell>
          <cell r="J282" t="str">
            <v>CARE AAA</v>
          </cell>
          <cell r="K282">
            <v>0.58240000000000003</v>
          </cell>
          <cell r="L282">
            <v>100000</v>
          </cell>
          <cell r="M282">
            <v>500</v>
          </cell>
          <cell r="N282">
            <v>7.6749999999999998</v>
          </cell>
        </row>
        <row r="283">
          <cell r="C283" t="str">
            <v>INE557F08FY4</v>
          </cell>
          <cell r="D283" t="str">
            <v>FI3335NC246</v>
          </cell>
          <cell r="E283" t="str">
            <v>NCD</v>
          </cell>
          <cell r="F283" t="str">
            <v xml:space="preserve">National Housing Bank </v>
          </cell>
          <cell r="G283" t="str">
            <v>7.59% NATIONAL HOUSING BANK NCD MD 14-07-2027</v>
          </cell>
          <cell r="H283">
            <v>7.59</v>
          </cell>
          <cell r="I283" t="str">
            <v>14-07-2027</v>
          </cell>
          <cell r="J283" t="str">
            <v>CRISIL AAA</v>
          </cell>
          <cell r="K283">
            <v>2.6791</v>
          </cell>
          <cell r="L283">
            <v>100000</v>
          </cell>
          <cell r="M283">
            <v>500</v>
          </cell>
          <cell r="N283">
            <v>7.47</v>
          </cell>
        </row>
        <row r="284">
          <cell r="C284" t="str">
            <v>INF0RQ622028</v>
          </cell>
          <cell r="D284" t="str">
            <v>CDMDF23</v>
          </cell>
          <cell r="E284" t="str">
            <v>CDMDF</v>
          </cell>
          <cell r="F284" t="str">
            <v>Corporate Debt Market Development Fund</v>
          </cell>
          <cell r="G284" t="str">
            <v>Corporate Debt Market Development Fund - Class A2</v>
          </cell>
          <cell r="H284">
            <v>0</v>
          </cell>
          <cell r="K284">
            <v>0</v>
          </cell>
          <cell r="L284">
            <v>10000</v>
          </cell>
          <cell r="M284">
            <v>4528.5039999999999</v>
          </cell>
          <cell r="N284">
            <v>9.9999999999999995E-7</v>
          </cell>
        </row>
        <row r="285">
          <cell r="C285" t="str">
            <v>INE115A14EQ9</v>
          </cell>
          <cell r="D285" t="str">
            <v>FILICCP236</v>
          </cell>
          <cell r="E285" t="str">
            <v>CMP</v>
          </cell>
          <cell r="F285" t="str">
            <v>LIC Housing Finance Ltd</v>
          </cell>
          <cell r="G285" t="str">
            <v>LIC Housing Finance Ltd CP MD 17-12-2024</v>
          </cell>
          <cell r="H285">
            <v>0</v>
          </cell>
          <cell r="I285" t="str">
            <v>17-12-2024</v>
          </cell>
          <cell r="J285" t="str">
            <v>CRISIL A1+</v>
          </cell>
          <cell r="K285">
            <v>0.34</v>
          </cell>
          <cell r="L285">
            <v>500000</v>
          </cell>
          <cell r="M285">
            <v>1000</v>
          </cell>
          <cell r="N285">
            <v>7.43</v>
          </cell>
        </row>
        <row r="286">
          <cell r="C286" t="str">
            <v>INE115A14EV9</v>
          </cell>
          <cell r="D286" t="str">
            <v>FILICCP234</v>
          </cell>
          <cell r="E286" t="str">
            <v>CMP</v>
          </cell>
          <cell r="F286" t="str">
            <v>LIC Housing Finance Ltd</v>
          </cell>
          <cell r="G286" t="str">
            <v>LIC Housing Finance Ltd CP MD 04-03-2025</v>
          </cell>
          <cell r="H286">
            <v>0</v>
          </cell>
          <cell r="I286" t="str">
            <v>04-03-2025</v>
          </cell>
          <cell r="J286" t="str">
            <v>CRISIL A1+</v>
          </cell>
          <cell r="K286">
            <v>0.55000000000000004</v>
          </cell>
          <cell r="L286">
            <v>500000</v>
          </cell>
          <cell r="M286">
            <v>500</v>
          </cell>
          <cell r="N286">
            <v>7.55</v>
          </cell>
        </row>
        <row r="287">
          <cell r="C287" t="str">
            <v>INE144H14GZ0</v>
          </cell>
          <cell r="D287" t="str">
            <v>FI35118CP209</v>
          </cell>
          <cell r="E287" t="str">
            <v>CMP</v>
          </cell>
          <cell r="F287" t="str">
            <v>Deutsche Investments India Private Ltd</v>
          </cell>
          <cell r="G287" t="str">
            <v>Deutsche Investments India Private Ltd CP MD 09-12-2024</v>
          </cell>
          <cell r="H287">
            <v>0</v>
          </cell>
          <cell r="I287" t="str">
            <v>09-12-2024</v>
          </cell>
          <cell r="J287" t="str">
            <v>CRISIL A1+</v>
          </cell>
          <cell r="K287">
            <v>0.32</v>
          </cell>
          <cell r="L287">
            <v>500000</v>
          </cell>
          <cell r="M287">
            <v>800</v>
          </cell>
          <cell r="N287">
            <v>7.9649999999999999</v>
          </cell>
        </row>
        <row r="288">
          <cell r="C288" t="str">
            <v>INE414G14TC1</v>
          </cell>
          <cell r="D288" t="str">
            <v>FI3545CP211</v>
          </cell>
          <cell r="E288" t="str">
            <v>CMP</v>
          </cell>
          <cell r="F288" t="str">
            <v>Muthoot Finance Ltd</v>
          </cell>
          <cell r="G288" t="str">
            <v>Muthoot Finance CP MD 25-02-2025</v>
          </cell>
          <cell r="H288">
            <v>0</v>
          </cell>
          <cell r="I288" t="str">
            <v>25-02-2025</v>
          </cell>
          <cell r="J288" t="str">
            <v>CRISIL A1+</v>
          </cell>
          <cell r="K288">
            <v>0.53</v>
          </cell>
          <cell r="L288">
            <v>500000</v>
          </cell>
          <cell r="M288">
            <v>1000</v>
          </cell>
          <cell r="N288">
            <v>8.2524999999999995</v>
          </cell>
        </row>
        <row r="289">
          <cell r="C289" t="str">
            <v>INE417C14710</v>
          </cell>
          <cell r="D289" t="str">
            <v>FI35119CP201</v>
          </cell>
          <cell r="E289" t="str">
            <v>CMP</v>
          </cell>
          <cell r="F289" t="str">
            <v>Pilani Investment and Industries Corporation Ltd.</v>
          </cell>
          <cell r="G289" t="str">
            <v>Pilani Investment &amp; Industries Corporation Ltd CP MD 21-03-2025</v>
          </cell>
          <cell r="H289">
            <v>0</v>
          </cell>
          <cell r="I289" t="str">
            <v>21-03-2025</v>
          </cell>
          <cell r="J289" t="str">
            <v>CRISIL A1+</v>
          </cell>
          <cell r="K289">
            <v>0.6</v>
          </cell>
          <cell r="L289">
            <v>500000</v>
          </cell>
          <cell r="M289">
            <v>500</v>
          </cell>
          <cell r="N289">
            <v>8.2949999999999999</v>
          </cell>
        </row>
        <row r="290">
          <cell r="C290" t="str">
            <v>INE477S14CC9</v>
          </cell>
          <cell r="D290" t="str">
            <v>FI3519CP234</v>
          </cell>
          <cell r="E290" t="str">
            <v>CMP</v>
          </cell>
          <cell r="F290" t="str">
            <v>Tata Motors Finance Ltd</v>
          </cell>
          <cell r="G290" t="str">
            <v>Tata Motors Finance Ltd CP MD 11-03-2025</v>
          </cell>
          <cell r="H290">
            <v>0</v>
          </cell>
          <cell r="I290" t="str">
            <v>11-03-2025</v>
          </cell>
          <cell r="J290" t="str">
            <v>CRISIL A1+</v>
          </cell>
          <cell r="K290">
            <v>0.56999999999999995</v>
          </cell>
          <cell r="L290">
            <v>500000</v>
          </cell>
          <cell r="M290">
            <v>1000</v>
          </cell>
          <cell r="N290">
            <v>8.0399999999999991</v>
          </cell>
        </row>
        <row r="291">
          <cell r="C291" t="str">
            <v>INE556F14KG1</v>
          </cell>
          <cell r="D291" t="str">
            <v>FI3405CP294</v>
          </cell>
          <cell r="E291" t="str">
            <v>CMP</v>
          </cell>
          <cell r="F291" t="str">
            <v>Small Industries Development Bank of India</v>
          </cell>
          <cell r="G291" t="str">
            <v>Small Industries Development Bank of India CP MD 28-02-2025</v>
          </cell>
          <cell r="H291">
            <v>0</v>
          </cell>
          <cell r="I291" t="str">
            <v>28-02-2025</v>
          </cell>
          <cell r="J291" t="str">
            <v>CRISIL A1+</v>
          </cell>
          <cell r="K291">
            <v>0.54</v>
          </cell>
          <cell r="L291">
            <v>500000</v>
          </cell>
          <cell r="M291">
            <v>1000</v>
          </cell>
          <cell r="N291">
            <v>7.56</v>
          </cell>
        </row>
        <row r="292">
          <cell r="C292" t="str">
            <v>INE556F14KH9</v>
          </cell>
          <cell r="D292" t="str">
            <v>FI3405CP296</v>
          </cell>
          <cell r="E292" t="str">
            <v>CMP</v>
          </cell>
          <cell r="F292" t="str">
            <v>Small Industries Development Bank of India</v>
          </cell>
          <cell r="G292" t="str">
            <v>Small Industries Development Bank of India CMP 28 05 2025</v>
          </cell>
          <cell r="H292">
            <v>0</v>
          </cell>
          <cell r="I292" t="str">
            <v>28-05-2025</v>
          </cell>
          <cell r="J292" t="str">
            <v>CRISIL A1+</v>
          </cell>
          <cell r="K292">
            <v>0.78</v>
          </cell>
          <cell r="L292">
            <v>500000</v>
          </cell>
          <cell r="M292">
            <v>300</v>
          </cell>
          <cell r="N292">
            <v>7.65</v>
          </cell>
        </row>
        <row r="293">
          <cell r="C293" t="str">
            <v>INE763G14TE7</v>
          </cell>
          <cell r="D293" t="str">
            <v>FI3418CP230</v>
          </cell>
          <cell r="E293" t="str">
            <v>CMP</v>
          </cell>
          <cell r="F293" t="str">
            <v>ICICI Securities Ltd</v>
          </cell>
          <cell r="G293" t="str">
            <v>ICICI Securities Ltd CP MD 21-02-2025</v>
          </cell>
          <cell r="H293">
            <v>0</v>
          </cell>
          <cell r="I293" t="str">
            <v>21-02-2025</v>
          </cell>
          <cell r="J293" t="str">
            <v>CRISIL A1+</v>
          </cell>
          <cell r="K293">
            <v>0.52</v>
          </cell>
          <cell r="L293">
            <v>500000</v>
          </cell>
          <cell r="M293">
            <v>300</v>
          </cell>
          <cell r="N293">
            <v>7.8975</v>
          </cell>
        </row>
        <row r="294">
          <cell r="C294" t="str">
            <v>INE790I14EV2</v>
          </cell>
          <cell r="D294" t="str">
            <v>FI35117CP210</v>
          </cell>
          <cell r="E294" t="str">
            <v>CMP</v>
          </cell>
          <cell r="F294" t="str">
            <v>HSBC InvestDirect Financial Services India Limited</v>
          </cell>
          <cell r="G294" t="str">
            <v>HSBC InvestDirect Financial Services India Ltd CP MD 24-12-2024</v>
          </cell>
          <cell r="H294">
            <v>0</v>
          </cell>
          <cell r="I294" t="str">
            <v>24-12-2024</v>
          </cell>
          <cell r="J294" t="str">
            <v>CRISIL A1+</v>
          </cell>
          <cell r="K294">
            <v>0.36</v>
          </cell>
          <cell r="L294">
            <v>500000</v>
          </cell>
          <cell r="M294">
            <v>1000</v>
          </cell>
          <cell r="N294">
            <v>7.875</v>
          </cell>
        </row>
        <row r="295">
          <cell r="C295" t="str">
            <v>INE01GA16228</v>
          </cell>
          <cell r="D295" t="str">
            <v>FI3378CD206</v>
          </cell>
          <cell r="E295" t="str">
            <v>COD</v>
          </cell>
          <cell r="F295" t="str">
            <v>DBS BANK LTD</v>
          </cell>
          <cell r="G295" t="str">
            <v>DBS BANK LTD INDIA COD MD 07-03-2025</v>
          </cell>
          <cell r="H295">
            <v>0</v>
          </cell>
          <cell r="I295" t="str">
            <v>07-03-2025</v>
          </cell>
          <cell r="J295" t="str">
            <v>CRISIL A1+</v>
          </cell>
          <cell r="K295">
            <v>0.56000000000000005</v>
          </cell>
          <cell r="L295">
            <v>500000</v>
          </cell>
          <cell r="M295">
            <v>300</v>
          </cell>
          <cell r="N295">
            <v>7.5750000000000002</v>
          </cell>
        </row>
        <row r="296">
          <cell r="C296" t="str">
            <v>INE028A16EX5</v>
          </cell>
          <cell r="D296" t="str">
            <v>FI3369CD285</v>
          </cell>
          <cell r="E296" t="str">
            <v>COD</v>
          </cell>
          <cell r="F296" t="str">
            <v>Bank of Baroda</v>
          </cell>
          <cell r="G296" t="str">
            <v>Bank of Baroda COD MD 20-02-2025</v>
          </cell>
          <cell r="H296">
            <v>0</v>
          </cell>
          <cell r="I296" t="str">
            <v>20-02-2025</v>
          </cell>
          <cell r="J296" t="str">
            <v>IND A1+</v>
          </cell>
          <cell r="K296">
            <v>0.52</v>
          </cell>
          <cell r="L296">
            <v>500000</v>
          </cell>
          <cell r="M296">
            <v>500</v>
          </cell>
          <cell r="N296">
            <v>7.48</v>
          </cell>
        </row>
        <row r="297">
          <cell r="C297" t="str">
            <v>INE028A16FO1</v>
          </cell>
          <cell r="D297" t="str">
            <v>FI3369CD286</v>
          </cell>
          <cell r="E297" t="str">
            <v>COD</v>
          </cell>
          <cell r="F297" t="str">
            <v>Bank of Baroda</v>
          </cell>
          <cell r="G297" t="str">
            <v>Bank of Baroda COD MD 25-11-2024</v>
          </cell>
          <cell r="H297">
            <v>0</v>
          </cell>
          <cell r="I297" t="str">
            <v>25-11-2024</v>
          </cell>
          <cell r="J297" t="str">
            <v>IND A1+</v>
          </cell>
          <cell r="K297">
            <v>0.28000000000000003</v>
          </cell>
          <cell r="L297">
            <v>500000</v>
          </cell>
          <cell r="M297">
            <v>1000</v>
          </cell>
          <cell r="N297">
            <v>7.3127000000000004</v>
          </cell>
        </row>
        <row r="298">
          <cell r="C298" t="str">
            <v>INE040A16EH3</v>
          </cell>
          <cell r="D298" t="str">
            <v>FI3310CD277</v>
          </cell>
          <cell r="E298" t="str">
            <v>COD</v>
          </cell>
          <cell r="F298" t="str">
            <v>HDFC Bank Ltd</v>
          </cell>
          <cell r="G298" t="str">
            <v>HDFC Bank Ltd - CD - 06/12/2024</v>
          </cell>
          <cell r="H298">
            <v>0</v>
          </cell>
          <cell r="I298" t="str">
            <v>06-12-2024</v>
          </cell>
          <cell r="J298" t="str">
            <v>CRISIL A1+</v>
          </cell>
          <cell r="K298">
            <v>0.31</v>
          </cell>
          <cell r="L298">
            <v>500000</v>
          </cell>
          <cell r="M298">
            <v>500</v>
          </cell>
          <cell r="N298">
            <v>7.3948999999999998</v>
          </cell>
        </row>
        <row r="299">
          <cell r="C299" t="str">
            <v>INE040A16EK7</v>
          </cell>
          <cell r="D299" t="str">
            <v>FI3310CD287</v>
          </cell>
          <cell r="E299" t="str">
            <v>COD</v>
          </cell>
          <cell r="F299" t="str">
            <v>HDFC Bank Ltd</v>
          </cell>
          <cell r="G299" t="str">
            <v>HDFC Bank Ltd CD 09-01-2025</v>
          </cell>
          <cell r="H299">
            <v>0</v>
          </cell>
          <cell r="I299" t="str">
            <v>09-01-2025</v>
          </cell>
          <cell r="J299" t="str">
            <v>CRISIL A1+</v>
          </cell>
          <cell r="K299">
            <v>0.4</v>
          </cell>
          <cell r="L299">
            <v>500000</v>
          </cell>
          <cell r="M299">
            <v>500</v>
          </cell>
          <cell r="N299">
            <v>7.5</v>
          </cell>
        </row>
        <row r="300">
          <cell r="C300" t="str">
            <v>INE040A16EN1</v>
          </cell>
          <cell r="D300" t="str">
            <v>FI3310CD279</v>
          </cell>
          <cell r="E300" t="str">
            <v>COD</v>
          </cell>
          <cell r="F300" t="str">
            <v>HDFC Bank Ltd</v>
          </cell>
          <cell r="G300" t="str">
            <v>HDFC BANK LTD CD MD 20-02-2025</v>
          </cell>
          <cell r="H300">
            <v>0</v>
          </cell>
          <cell r="I300" t="str">
            <v>20-02-2025</v>
          </cell>
          <cell r="J300" t="str">
            <v>CRISIL A1+</v>
          </cell>
          <cell r="K300">
            <v>0.52</v>
          </cell>
          <cell r="L300">
            <v>500000</v>
          </cell>
          <cell r="M300">
            <v>600</v>
          </cell>
          <cell r="N300">
            <v>7.5</v>
          </cell>
        </row>
        <row r="301">
          <cell r="C301" t="str">
            <v>INE090AD6105</v>
          </cell>
          <cell r="D301" t="str">
            <v>FI3305CD367</v>
          </cell>
          <cell r="E301" t="str">
            <v>COD</v>
          </cell>
          <cell r="F301" t="str">
            <v>ICICI Bank Ltd</v>
          </cell>
          <cell r="G301" t="str">
            <v>ICICI Bank Ltd COD MD 06-12-2024</v>
          </cell>
          <cell r="H301">
            <v>0</v>
          </cell>
          <cell r="I301" t="str">
            <v>06-12-2024</v>
          </cell>
          <cell r="J301" t="str">
            <v>ICRA A1+</v>
          </cell>
          <cell r="K301">
            <v>0.31</v>
          </cell>
          <cell r="L301">
            <v>500000</v>
          </cell>
          <cell r="M301">
            <v>1000</v>
          </cell>
          <cell r="N301">
            <v>7.3373999999999997</v>
          </cell>
        </row>
        <row r="302">
          <cell r="C302" t="str">
            <v>INE090AD6113</v>
          </cell>
          <cell r="D302" t="str">
            <v>FI3305CD366</v>
          </cell>
          <cell r="E302" t="str">
            <v>COD</v>
          </cell>
          <cell r="F302" t="str">
            <v>ICICI Bank Ltd</v>
          </cell>
          <cell r="G302" t="str">
            <v>ICICI Bank Ltd COD MD 31-01-2025</v>
          </cell>
          <cell r="H302">
            <v>0</v>
          </cell>
          <cell r="I302" t="str">
            <v>31-01-2025</v>
          </cell>
          <cell r="J302" t="str">
            <v>ICRA A1+</v>
          </cell>
          <cell r="K302">
            <v>0.46</v>
          </cell>
          <cell r="L302">
            <v>500000</v>
          </cell>
          <cell r="M302">
            <v>600</v>
          </cell>
          <cell r="N302">
            <v>7.48</v>
          </cell>
        </row>
        <row r="303">
          <cell r="C303" t="str">
            <v>INE090AD6170</v>
          </cell>
          <cell r="D303" t="str">
            <v>FI3305CD371</v>
          </cell>
          <cell r="E303" t="str">
            <v>COD</v>
          </cell>
          <cell r="F303" t="str">
            <v>ICICI Bank Ltd</v>
          </cell>
          <cell r="G303" t="str">
            <v>ICICI Bank Ltd CD 25 07 2025</v>
          </cell>
          <cell r="H303">
            <v>0</v>
          </cell>
          <cell r="I303" t="str">
            <v>25-07-2025</v>
          </cell>
          <cell r="J303" t="str">
            <v>ICRA A1+</v>
          </cell>
          <cell r="K303">
            <v>0.94</v>
          </cell>
          <cell r="L303">
            <v>500000</v>
          </cell>
          <cell r="M303">
            <v>840</v>
          </cell>
          <cell r="N303">
            <v>7.59</v>
          </cell>
        </row>
        <row r="304">
          <cell r="C304" t="str">
            <v>INE092T16WB9</v>
          </cell>
          <cell r="D304" t="str">
            <v>FI3437CD267</v>
          </cell>
          <cell r="E304" t="str">
            <v>COD</v>
          </cell>
          <cell r="F304" t="str">
            <v>IDFC First Bank Ltd</v>
          </cell>
          <cell r="G304" t="str">
            <v>IDFC FIRST BANK LTD COD MD 21-02-2025</v>
          </cell>
          <cell r="H304">
            <v>0</v>
          </cell>
          <cell r="I304" t="str">
            <v>21-02-2025</v>
          </cell>
          <cell r="J304" t="str">
            <v>CRISIL A1+</v>
          </cell>
          <cell r="K304">
            <v>0.52</v>
          </cell>
          <cell r="L304">
            <v>500000</v>
          </cell>
          <cell r="M304">
            <v>660</v>
          </cell>
          <cell r="N304">
            <v>7.58</v>
          </cell>
        </row>
        <row r="305">
          <cell r="C305" t="str">
            <v>INE095A16V79</v>
          </cell>
          <cell r="D305" t="str">
            <v>FI3307CD337</v>
          </cell>
          <cell r="E305" t="str">
            <v>COD</v>
          </cell>
          <cell r="F305" t="str">
            <v>IndusInd Bank Ltd</v>
          </cell>
          <cell r="G305" t="str">
            <v>INDUSIND BANK LTD COD MD 24-02-2025</v>
          </cell>
          <cell r="H305">
            <v>0</v>
          </cell>
          <cell r="I305" t="str">
            <v>24-02-2025</v>
          </cell>
          <cell r="J305" t="str">
            <v>CRISIL A1+</v>
          </cell>
          <cell r="K305">
            <v>0.53</v>
          </cell>
          <cell r="L305">
            <v>500000</v>
          </cell>
          <cell r="M305">
            <v>660</v>
          </cell>
          <cell r="N305">
            <v>7.57</v>
          </cell>
        </row>
        <row r="306">
          <cell r="C306" t="str">
            <v>INE160A16OF2</v>
          </cell>
          <cell r="D306" t="str">
            <v>FI3316CD370</v>
          </cell>
          <cell r="E306" t="str">
            <v>COD</v>
          </cell>
          <cell r="F306" t="str">
            <v>Punjab National Bank</v>
          </cell>
          <cell r="G306" t="str">
            <v>Punjab National Bank COD MD 05.12.2024</v>
          </cell>
          <cell r="H306">
            <v>0</v>
          </cell>
          <cell r="I306" t="str">
            <v>05-12-2024</v>
          </cell>
          <cell r="J306" t="str">
            <v>CRISIL A1+</v>
          </cell>
          <cell r="K306">
            <v>0.31</v>
          </cell>
          <cell r="L306">
            <v>500000</v>
          </cell>
          <cell r="M306">
            <v>1300</v>
          </cell>
          <cell r="N306">
            <v>7.42</v>
          </cell>
        </row>
        <row r="307">
          <cell r="C307" t="str">
            <v>INE160A16OH8</v>
          </cell>
          <cell r="D307" t="str">
            <v>FI3316CD361</v>
          </cell>
          <cell r="E307" t="str">
            <v>COD</v>
          </cell>
          <cell r="F307" t="str">
            <v>Punjab National Bank</v>
          </cell>
          <cell r="G307" t="str">
            <v>Punjab National Bank CD MD 31-01-2025</v>
          </cell>
          <cell r="H307">
            <v>0</v>
          </cell>
          <cell r="I307" t="str">
            <v>31-01-2025</v>
          </cell>
          <cell r="J307" t="str">
            <v>CRISIL A1+</v>
          </cell>
          <cell r="K307">
            <v>0.46</v>
          </cell>
          <cell r="L307">
            <v>500000</v>
          </cell>
          <cell r="M307">
            <v>1000</v>
          </cell>
          <cell r="N307">
            <v>7.52</v>
          </cell>
        </row>
        <row r="308">
          <cell r="C308" t="str">
            <v>INE160A16OL0</v>
          </cell>
          <cell r="D308" t="str">
            <v>FI3316CD367</v>
          </cell>
          <cell r="E308" t="str">
            <v>COD</v>
          </cell>
          <cell r="F308" t="str">
            <v>Punjab National Bank</v>
          </cell>
          <cell r="G308" t="str">
            <v>Punjab National Bank COD MD 07-02-2025</v>
          </cell>
          <cell r="H308">
            <v>0</v>
          </cell>
          <cell r="I308" t="str">
            <v>07-02-2025</v>
          </cell>
          <cell r="J308" t="str">
            <v>CRISIL A1+</v>
          </cell>
          <cell r="K308">
            <v>0.48</v>
          </cell>
          <cell r="L308">
            <v>500000</v>
          </cell>
          <cell r="M308">
            <v>500</v>
          </cell>
          <cell r="N308">
            <v>7.52</v>
          </cell>
        </row>
        <row r="309">
          <cell r="C309" t="str">
            <v>INE160A16OM8</v>
          </cell>
          <cell r="D309" t="str">
            <v>FI3316CD363</v>
          </cell>
          <cell r="E309" t="str">
            <v>COD</v>
          </cell>
          <cell r="F309" t="str">
            <v>Punjab National Bank</v>
          </cell>
          <cell r="G309" t="str">
            <v>PUNJAB NATIONAL BANK COD MD  25-02-2025</v>
          </cell>
          <cell r="H309">
            <v>0</v>
          </cell>
          <cell r="I309" t="str">
            <v>25-02-2025</v>
          </cell>
          <cell r="J309" t="str">
            <v>CRISIL A1+</v>
          </cell>
          <cell r="K309">
            <v>0.53</v>
          </cell>
          <cell r="L309">
            <v>500000</v>
          </cell>
          <cell r="M309">
            <v>100</v>
          </cell>
          <cell r="N309">
            <v>7.52</v>
          </cell>
        </row>
        <row r="310">
          <cell r="C310" t="str">
            <v>INE171A16LK5</v>
          </cell>
          <cell r="D310" t="str">
            <v>FI3326CD245</v>
          </cell>
          <cell r="E310" t="str">
            <v>COD</v>
          </cell>
          <cell r="F310" t="str">
            <v>The Federal Bank Ltd</v>
          </cell>
          <cell r="G310" t="str">
            <v>Federal Bank Ltd CD MD 29-11-2024</v>
          </cell>
          <cell r="H310">
            <v>0</v>
          </cell>
          <cell r="I310" t="str">
            <v>29-11-2024</v>
          </cell>
          <cell r="J310" t="str">
            <v>CRISIL A1+</v>
          </cell>
          <cell r="K310">
            <v>0.28999999999999998</v>
          </cell>
          <cell r="L310">
            <v>500000</v>
          </cell>
          <cell r="M310">
            <v>500</v>
          </cell>
          <cell r="N310">
            <v>7.41</v>
          </cell>
        </row>
        <row r="311">
          <cell r="C311" t="str">
            <v>INE171A16LP4</v>
          </cell>
          <cell r="D311" t="str">
            <v>FI3326CD249</v>
          </cell>
          <cell r="E311" t="str">
            <v>COD</v>
          </cell>
          <cell r="F311" t="str">
            <v>The Federal Bank Ltd</v>
          </cell>
          <cell r="G311" t="str">
            <v>Federal Bank Ltd CD MD 04-02-2025</v>
          </cell>
          <cell r="H311">
            <v>0</v>
          </cell>
          <cell r="I311" t="str">
            <v>04-02-2025</v>
          </cell>
          <cell r="J311" t="str">
            <v>CRISIL A1+</v>
          </cell>
          <cell r="K311">
            <v>0.47</v>
          </cell>
          <cell r="L311">
            <v>500000</v>
          </cell>
          <cell r="M311">
            <v>400</v>
          </cell>
          <cell r="N311">
            <v>7.56</v>
          </cell>
        </row>
        <row r="312">
          <cell r="C312" t="str">
            <v>INE237A160W3</v>
          </cell>
          <cell r="D312" t="str">
            <v>FI3332CD270</v>
          </cell>
          <cell r="E312" t="str">
            <v>COD</v>
          </cell>
          <cell r="F312" t="str">
            <v>Kotak Mahindra Bank Ltd</v>
          </cell>
          <cell r="G312" t="str">
            <v>KOTAK MAHINDRA BANK CD MD 05-02-2025</v>
          </cell>
          <cell r="H312">
            <v>0</v>
          </cell>
          <cell r="I312" t="str">
            <v>05-02-2025</v>
          </cell>
          <cell r="J312" t="str">
            <v>CRISIL A1+</v>
          </cell>
          <cell r="K312">
            <v>0.48</v>
          </cell>
          <cell r="L312">
            <v>500000</v>
          </cell>
          <cell r="M312">
            <v>500</v>
          </cell>
          <cell r="N312">
            <v>7.4717000000000002</v>
          </cell>
        </row>
        <row r="313">
          <cell r="C313" t="str">
            <v>INE237A164X3</v>
          </cell>
          <cell r="D313" t="str">
            <v>FI3332CD273</v>
          </cell>
          <cell r="E313" t="str">
            <v>COD</v>
          </cell>
          <cell r="F313" t="str">
            <v>Kotak Mahindra Bank Ltd</v>
          </cell>
          <cell r="G313" t="str">
            <v>KOTAK MAHINDRA BANK COD MD 13-12-2024</v>
          </cell>
          <cell r="H313">
            <v>0</v>
          </cell>
          <cell r="I313" t="str">
            <v>13-12-2024</v>
          </cell>
          <cell r="J313" t="str">
            <v>CRISIL A1+</v>
          </cell>
          <cell r="K313">
            <v>0.33</v>
          </cell>
          <cell r="L313">
            <v>500000</v>
          </cell>
          <cell r="M313">
            <v>1400</v>
          </cell>
          <cell r="N313">
            <v>7.3586</v>
          </cell>
        </row>
        <row r="314">
          <cell r="C314" t="str">
            <v>INE238AD6579</v>
          </cell>
          <cell r="D314" t="str">
            <v>FI3319CD521</v>
          </cell>
          <cell r="E314" t="str">
            <v>COD</v>
          </cell>
          <cell r="F314" t="str">
            <v>Axis Bank Ltd</v>
          </cell>
          <cell r="G314" t="str">
            <v>AXIS Bank Ltd CD 29 11 2024</v>
          </cell>
          <cell r="H314">
            <v>0</v>
          </cell>
          <cell r="I314" t="str">
            <v>29-11-2024</v>
          </cell>
          <cell r="J314" t="str">
            <v>CRISIL A1+</v>
          </cell>
          <cell r="K314">
            <v>0.28999999999999998</v>
          </cell>
          <cell r="L314">
            <v>500000</v>
          </cell>
          <cell r="M314">
            <v>900</v>
          </cell>
          <cell r="N314">
            <v>7.3601000000000001</v>
          </cell>
        </row>
        <row r="315">
          <cell r="C315" t="str">
            <v>INE238AD6629</v>
          </cell>
          <cell r="D315" t="str">
            <v>FI3319CD515</v>
          </cell>
          <cell r="E315" t="str">
            <v>COD</v>
          </cell>
          <cell r="F315" t="str">
            <v>Axis Bank Ltd</v>
          </cell>
          <cell r="G315" t="str">
            <v>AXIS BANK LTD CD MD 10-01-2025</v>
          </cell>
          <cell r="H315">
            <v>0</v>
          </cell>
          <cell r="I315" t="str">
            <v>10-01-2025</v>
          </cell>
          <cell r="J315" t="str">
            <v>CRISIL A1+</v>
          </cell>
          <cell r="K315">
            <v>0.41</v>
          </cell>
          <cell r="L315">
            <v>500000</v>
          </cell>
          <cell r="M315">
            <v>500</v>
          </cell>
          <cell r="N315">
            <v>7.5000999999999998</v>
          </cell>
        </row>
        <row r="316">
          <cell r="C316" t="str">
            <v>INE238AD6850</v>
          </cell>
          <cell r="D316" t="str">
            <v>FI3319CD524</v>
          </cell>
          <cell r="E316" t="str">
            <v>COD</v>
          </cell>
          <cell r="F316" t="str">
            <v>Axis Bank Ltd</v>
          </cell>
          <cell r="G316" t="str">
            <v>Axis Bank Ltd CD MD 25-11-2024</v>
          </cell>
          <cell r="H316">
            <v>0</v>
          </cell>
          <cell r="I316" t="str">
            <v>25-11-2024</v>
          </cell>
          <cell r="J316" t="str">
            <v>CRISIL A1+</v>
          </cell>
          <cell r="K316">
            <v>0.28000000000000003</v>
          </cell>
          <cell r="L316">
            <v>500000</v>
          </cell>
          <cell r="M316">
            <v>900</v>
          </cell>
          <cell r="N316">
            <v>7.36</v>
          </cell>
        </row>
        <row r="317">
          <cell r="C317" t="str">
            <v>INE261F16777</v>
          </cell>
          <cell r="D317" t="str">
            <v>FI35NACD232</v>
          </cell>
          <cell r="E317" t="str">
            <v>COD</v>
          </cell>
          <cell r="F317" t="str">
            <v>National Bank for Agriculture &amp; Rural Development</v>
          </cell>
          <cell r="G317" t="str">
            <v>NABARD CD MD 23-01-2025</v>
          </cell>
          <cell r="H317">
            <v>0</v>
          </cell>
          <cell r="I317" t="str">
            <v>23-01-2025</v>
          </cell>
          <cell r="J317" t="str">
            <v>CRISIL A1+</v>
          </cell>
          <cell r="K317">
            <v>0.44</v>
          </cell>
          <cell r="L317">
            <v>500000</v>
          </cell>
          <cell r="M317">
            <v>500</v>
          </cell>
          <cell r="N317">
            <v>7.5</v>
          </cell>
        </row>
        <row r="318">
          <cell r="C318" t="str">
            <v>INE261F16785</v>
          </cell>
          <cell r="D318" t="str">
            <v>FI35NACD352</v>
          </cell>
          <cell r="E318" t="str">
            <v>COD</v>
          </cell>
          <cell r="F318" t="str">
            <v>National Bank for Agriculture &amp; Rural Development</v>
          </cell>
          <cell r="G318" t="str">
            <v>NABARD CD MD 07.02.2025</v>
          </cell>
          <cell r="H318">
            <v>0</v>
          </cell>
          <cell r="I318" t="str">
            <v>07-02-2025</v>
          </cell>
          <cell r="J318" t="str">
            <v>CRISIL A1+</v>
          </cell>
          <cell r="K318">
            <v>0.48</v>
          </cell>
          <cell r="L318">
            <v>500000</v>
          </cell>
          <cell r="M318">
            <v>800</v>
          </cell>
          <cell r="N318">
            <v>7.5</v>
          </cell>
        </row>
        <row r="319">
          <cell r="C319" t="str">
            <v>INE261F16793</v>
          </cell>
          <cell r="D319" t="str">
            <v>FI35NACD353</v>
          </cell>
          <cell r="E319" t="str">
            <v>COD</v>
          </cell>
          <cell r="F319" t="str">
            <v>National Bank for Agriculture &amp; Rural Development</v>
          </cell>
          <cell r="G319" t="str">
            <v>NABARD CD MD 12-02-2025</v>
          </cell>
          <cell r="H319">
            <v>0</v>
          </cell>
          <cell r="I319" t="str">
            <v>12-02-2025</v>
          </cell>
          <cell r="J319" t="str">
            <v>CRISIL A1+</v>
          </cell>
          <cell r="K319">
            <v>0.5</v>
          </cell>
          <cell r="L319">
            <v>500000</v>
          </cell>
          <cell r="M319">
            <v>300</v>
          </cell>
          <cell r="N319">
            <v>7.5</v>
          </cell>
        </row>
        <row r="320">
          <cell r="C320" t="str">
            <v>INE261F16819</v>
          </cell>
          <cell r="D320" t="str">
            <v>FI35NACD354</v>
          </cell>
          <cell r="E320" t="str">
            <v>COD</v>
          </cell>
          <cell r="F320" t="str">
            <v>National Bank for Agriculture &amp; Rural Development</v>
          </cell>
          <cell r="G320" t="str">
            <v>NABARD COD MD 26-02-2025</v>
          </cell>
          <cell r="H320">
            <v>0</v>
          </cell>
          <cell r="I320" t="str">
            <v>26-02-2025</v>
          </cell>
          <cell r="J320" t="str">
            <v>CRISIL A1+</v>
          </cell>
          <cell r="K320">
            <v>0.53</v>
          </cell>
          <cell r="L320">
            <v>500000</v>
          </cell>
          <cell r="M320">
            <v>300</v>
          </cell>
          <cell r="N320">
            <v>7.5</v>
          </cell>
        </row>
        <row r="321">
          <cell r="C321" t="str">
            <v>INE476A16XV0</v>
          </cell>
          <cell r="D321" t="str">
            <v>FI3320CD478</v>
          </cell>
          <cell r="E321" t="str">
            <v>COD</v>
          </cell>
          <cell r="F321" t="str">
            <v>Canara Bank</v>
          </cell>
          <cell r="G321" t="str">
            <v>Canara Bank COD MD 11-03-2025</v>
          </cell>
          <cell r="H321">
            <v>0</v>
          </cell>
          <cell r="I321" t="str">
            <v>11-03-2025</v>
          </cell>
          <cell r="J321" t="str">
            <v>CRISIL A1+</v>
          </cell>
          <cell r="K321">
            <v>0.56999999999999995</v>
          </cell>
          <cell r="L321">
            <v>500000</v>
          </cell>
          <cell r="M321">
            <v>500</v>
          </cell>
          <cell r="N321">
            <v>7.5</v>
          </cell>
        </row>
        <row r="322">
          <cell r="C322" t="str">
            <v>INE476A16YR6</v>
          </cell>
          <cell r="D322" t="str">
            <v>FI3320CD479</v>
          </cell>
          <cell r="E322" t="str">
            <v>COD</v>
          </cell>
          <cell r="F322" t="str">
            <v>Canara Bank</v>
          </cell>
          <cell r="G322" t="str">
            <v>Canara Bank COD MD 16-12-2024</v>
          </cell>
          <cell r="H322">
            <v>0</v>
          </cell>
          <cell r="I322" t="str">
            <v>16-12-2024</v>
          </cell>
          <cell r="J322" t="str">
            <v>CRISIL A1+</v>
          </cell>
          <cell r="K322">
            <v>0.34</v>
          </cell>
          <cell r="L322">
            <v>500000</v>
          </cell>
          <cell r="M322">
            <v>1000</v>
          </cell>
          <cell r="N322">
            <v>7.3902999999999999</v>
          </cell>
        </row>
        <row r="323">
          <cell r="C323" t="str">
            <v>INE556F16AM5</v>
          </cell>
          <cell r="D323" t="str">
            <v>FI3405CD238</v>
          </cell>
          <cell r="E323" t="str">
            <v>COD</v>
          </cell>
          <cell r="F323" t="str">
            <v>Small Industries Development Bank of India</v>
          </cell>
          <cell r="G323" t="str">
            <v>Small Industries Development Bank of India COD  MD 11-12-2024</v>
          </cell>
          <cell r="H323">
            <v>0</v>
          </cell>
          <cell r="I323" t="str">
            <v>11-12-2024</v>
          </cell>
          <cell r="J323" t="str">
            <v>CRISIL A1+</v>
          </cell>
          <cell r="K323">
            <v>0.32</v>
          </cell>
          <cell r="L323">
            <v>500000</v>
          </cell>
          <cell r="M323">
            <v>700</v>
          </cell>
          <cell r="N323">
            <v>7.4349999999999996</v>
          </cell>
        </row>
        <row r="324">
          <cell r="C324" t="str">
            <v>INE556F16AN3</v>
          </cell>
          <cell r="D324" t="str">
            <v>FI3405CD239</v>
          </cell>
          <cell r="E324" t="str">
            <v>COD</v>
          </cell>
          <cell r="F324" t="str">
            <v>Small Industries Development Bank of India</v>
          </cell>
          <cell r="G324" t="str">
            <v>Small Industries Development Bank of India CD 18 12 2024</v>
          </cell>
          <cell r="H324">
            <v>0</v>
          </cell>
          <cell r="I324" t="str">
            <v>18-12-2024</v>
          </cell>
          <cell r="J324" t="str">
            <v>CRISIL A1+</v>
          </cell>
          <cell r="K324">
            <v>0.34</v>
          </cell>
          <cell r="L324">
            <v>500000</v>
          </cell>
          <cell r="M324">
            <v>500</v>
          </cell>
          <cell r="N324">
            <v>7.4349999999999996</v>
          </cell>
        </row>
        <row r="325">
          <cell r="C325" t="str">
            <v>INE556F16AO1</v>
          </cell>
          <cell r="D325" t="str">
            <v>FI3405CD240</v>
          </cell>
          <cell r="E325" t="str">
            <v>COD</v>
          </cell>
          <cell r="F325" t="str">
            <v>Small Industries Development Bank of India</v>
          </cell>
          <cell r="G325" t="str">
            <v>Small Industries Development Bank of India CD 10 01 2025</v>
          </cell>
          <cell r="H325">
            <v>0</v>
          </cell>
          <cell r="I325" t="str">
            <v>10-01-2025</v>
          </cell>
          <cell r="J325" t="str">
            <v>CRISIL A1+</v>
          </cell>
          <cell r="K325">
            <v>0.41</v>
          </cell>
          <cell r="L325">
            <v>500000</v>
          </cell>
          <cell r="M325">
            <v>800</v>
          </cell>
          <cell r="N325">
            <v>7.55</v>
          </cell>
        </row>
        <row r="326">
          <cell r="C326" t="str">
            <v>INE562A16MZ1</v>
          </cell>
          <cell r="D326" t="str">
            <v>FI3345CD302</v>
          </cell>
          <cell r="E326" t="str">
            <v>COD</v>
          </cell>
          <cell r="F326" t="str">
            <v>Indian Bank</v>
          </cell>
          <cell r="G326" t="str">
            <v>INDIAN BANK LTD COD MD 23-05-2025</v>
          </cell>
          <cell r="H326">
            <v>0</v>
          </cell>
          <cell r="I326" t="str">
            <v>23-05-2025</v>
          </cell>
          <cell r="J326" t="str">
            <v>CRISIL A1+</v>
          </cell>
          <cell r="K326">
            <v>0.77</v>
          </cell>
          <cell r="L326">
            <v>500000</v>
          </cell>
          <cell r="M326">
            <v>500</v>
          </cell>
          <cell r="N326">
            <v>7.5949999999999998</v>
          </cell>
        </row>
        <row r="327">
          <cell r="C327" t="str">
            <v>INE692A16GZ8</v>
          </cell>
          <cell r="D327" t="str">
            <v>FI3321CD266</v>
          </cell>
          <cell r="E327" t="str">
            <v>COD</v>
          </cell>
          <cell r="F327" t="str">
            <v>Union Bank of India</v>
          </cell>
          <cell r="G327" t="str">
            <v>UNION BANK OF INDIA COD MD 27-02-2025</v>
          </cell>
          <cell r="H327">
            <v>0</v>
          </cell>
          <cell r="I327" t="str">
            <v>27-02-2025</v>
          </cell>
          <cell r="J327" t="str">
            <v>ICRA A1+</v>
          </cell>
          <cell r="K327">
            <v>0.54</v>
          </cell>
          <cell r="L327">
            <v>500000</v>
          </cell>
          <cell r="M327">
            <v>800</v>
          </cell>
          <cell r="N327">
            <v>7.5101000000000004</v>
          </cell>
        </row>
        <row r="328">
          <cell r="C328" t="str">
            <v>INE041007100</v>
          </cell>
          <cell r="D328" t="str">
            <v>FI3346NC200</v>
          </cell>
          <cell r="E328" t="str">
            <v>NCD</v>
          </cell>
          <cell r="F328" t="str">
            <v>Embassy Office Parks REIT</v>
          </cell>
          <cell r="G328" t="str">
            <v>7.77% Embassy Office Parks REIT NCD MD 05.06.2025 Series VII NCD Call 05-03-2025</v>
          </cell>
          <cell r="H328">
            <v>7.77</v>
          </cell>
          <cell r="I328" t="str">
            <v>05-06-2025</v>
          </cell>
          <cell r="J328" t="str">
            <v>CRISIL AAA</v>
          </cell>
          <cell r="K328">
            <v>0.77739999999999998</v>
          </cell>
          <cell r="L328">
            <v>100000</v>
          </cell>
          <cell r="M328">
            <v>1500</v>
          </cell>
          <cell r="N328">
            <v>8.19</v>
          </cell>
        </row>
        <row r="329">
          <cell r="C329" t="str">
            <v>INE115A07OX8</v>
          </cell>
          <cell r="D329" t="str">
            <v>FILICNC375</v>
          </cell>
          <cell r="E329" t="str">
            <v>NCD</v>
          </cell>
          <cell r="F329" t="str">
            <v>LIC Housing Finance Ltd</v>
          </cell>
          <cell r="G329" t="str">
            <v>5.5315% LIC Housing Finance Ltd NCD MD 20-12-2024</v>
          </cell>
          <cell r="H329">
            <v>5.5315000000000003</v>
          </cell>
          <cell r="I329" t="str">
            <v>20-12-2024</v>
          </cell>
          <cell r="J329" t="str">
            <v>CRISIL AAA</v>
          </cell>
          <cell r="K329">
            <v>0.34429999999999999</v>
          </cell>
          <cell r="L329">
            <v>1000000</v>
          </cell>
          <cell r="M329">
            <v>250</v>
          </cell>
          <cell r="N329">
            <v>7.53</v>
          </cell>
        </row>
        <row r="330">
          <cell r="C330" t="str">
            <v>INE115A07PQ9</v>
          </cell>
          <cell r="D330" t="str">
            <v>FILICNC374</v>
          </cell>
          <cell r="E330" t="str">
            <v>NCD</v>
          </cell>
          <cell r="F330" t="str">
            <v>LIC Housing Finance Ltd</v>
          </cell>
          <cell r="G330" t="str">
            <v>5.9943% Lic Housing Finance NCD MD 12-03-2025</v>
          </cell>
          <cell r="H330">
            <v>5.9943</v>
          </cell>
          <cell r="I330" t="str">
            <v>12-03-2025</v>
          </cell>
          <cell r="J330" t="str">
            <v>CRISIL AAA</v>
          </cell>
          <cell r="K330">
            <v>0.56989999999999996</v>
          </cell>
          <cell r="L330">
            <v>1000000</v>
          </cell>
          <cell r="M330">
            <v>300</v>
          </cell>
          <cell r="N330">
            <v>7.6550000000000002</v>
          </cell>
        </row>
        <row r="331">
          <cell r="C331" t="str">
            <v>INE121A07QT9</v>
          </cell>
          <cell r="D331" t="str">
            <v>FI3508NC223</v>
          </cell>
          <cell r="E331" t="str">
            <v>NCD</v>
          </cell>
          <cell r="F331" t="str">
            <v>Cholamandalam Investment and Finance Co Ltd</v>
          </cell>
          <cell r="G331" t="str">
            <v>8.45% Cholamandalam Investment and Finance Co Ltd NCD MD 21-11-2025 (CICFL_Series 630_November 2025)</v>
          </cell>
          <cell r="H331">
            <v>8.4499999999999993</v>
          </cell>
          <cell r="I331" t="str">
            <v>21-11-2025</v>
          </cell>
          <cell r="J331" t="str">
            <v>ICRA AA+</v>
          </cell>
          <cell r="K331">
            <v>1.1871</v>
          </cell>
          <cell r="L331">
            <v>1000000</v>
          </cell>
          <cell r="M331">
            <v>200</v>
          </cell>
          <cell r="N331">
            <v>8.4550000000000001</v>
          </cell>
        </row>
        <row r="332">
          <cell r="C332" t="str">
            <v>INE121A07RB5</v>
          </cell>
          <cell r="D332" t="str">
            <v>FI3508NC221</v>
          </cell>
          <cell r="E332" t="str">
            <v>NCD</v>
          </cell>
          <cell r="F332" t="str">
            <v>Cholamandalam Investment and Finance Co Ltd</v>
          </cell>
          <cell r="G332" t="str">
            <v>8.25%  Cholamandalam Investment and Finance Co Ltd NCD MD 04-03-2025</v>
          </cell>
          <cell r="H332">
            <v>8.25</v>
          </cell>
          <cell r="I332" t="str">
            <v>04-03-2025</v>
          </cell>
          <cell r="J332" t="str">
            <v>ICRA AA+</v>
          </cell>
          <cell r="K332">
            <v>0.54790000000000005</v>
          </cell>
          <cell r="L332">
            <v>1000</v>
          </cell>
          <cell r="M332">
            <v>250000</v>
          </cell>
          <cell r="N332">
            <v>8.2050000000000001</v>
          </cell>
        </row>
        <row r="333">
          <cell r="C333" t="str">
            <v>INE261F08DK7</v>
          </cell>
          <cell r="D333" t="str">
            <v>FI35NANC308</v>
          </cell>
          <cell r="E333" t="str">
            <v>NCD</v>
          </cell>
          <cell r="F333" t="str">
            <v>National Bank for Agriculture &amp; Rural Development</v>
          </cell>
          <cell r="G333" t="str">
            <v>5.7% NABARD NCD MD 31 07 2025</v>
          </cell>
          <cell r="H333">
            <v>5.7</v>
          </cell>
          <cell r="I333" t="str">
            <v>31-07-2025</v>
          </cell>
          <cell r="J333" t="str">
            <v>CRISIL AAA</v>
          </cell>
          <cell r="K333">
            <v>0.95620000000000005</v>
          </cell>
          <cell r="L333">
            <v>1000000</v>
          </cell>
          <cell r="M333">
            <v>250</v>
          </cell>
          <cell r="N333">
            <v>7.7</v>
          </cell>
        </row>
        <row r="334">
          <cell r="C334" t="str">
            <v>INE261F08DX0</v>
          </cell>
          <cell r="D334" t="str">
            <v>FI35NANC298</v>
          </cell>
          <cell r="E334" t="str">
            <v>NCD</v>
          </cell>
          <cell r="F334" t="str">
            <v>National Bank for Agriculture &amp; Rural Development</v>
          </cell>
          <cell r="G334" t="str">
            <v>7.58%  NABARD- NCD-31/07/2026 SERIES 23H</v>
          </cell>
          <cell r="H334">
            <v>7.58</v>
          </cell>
          <cell r="I334" t="str">
            <v>31-07-2026</v>
          </cell>
          <cell r="J334" t="str">
            <v>CRISIL AAA</v>
          </cell>
          <cell r="K334">
            <v>1.8856999999999999</v>
          </cell>
          <cell r="L334">
            <v>100000</v>
          </cell>
          <cell r="M334">
            <v>2500</v>
          </cell>
          <cell r="N334">
            <v>7.66</v>
          </cell>
        </row>
        <row r="335">
          <cell r="C335" t="str">
            <v>INE403D08181</v>
          </cell>
          <cell r="D335" t="str">
            <v>UT4825NC200</v>
          </cell>
          <cell r="E335" t="str">
            <v>NCD</v>
          </cell>
          <cell r="F335" t="str">
            <v>Bharti Telecom Ltd</v>
          </cell>
          <cell r="G335" t="str">
            <v>8.90% Bharti Telecom Ltd NCD MD 04-12-2025 SERIES XVI</v>
          </cell>
          <cell r="H335">
            <v>8.9</v>
          </cell>
          <cell r="I335" t="str">
            <v>04-12-2025</v>
          </cell>
          <cell r="J335" t="str">
            <v>CRISIL AA+</v>
          </cell>
          <cell r="K335">
            <v>1.2191000000000001</v>
          </cell>
          <cell r="L335">
            <v>100000</v>
          </cell>
          <cell r="M335">
            <v>5000</v>
          </cell>
          <cell r="N335">
            <v>8.4499999999999993</v>
          </cell>
        </row>
        <row r="336">
          <cell r="C336" t="str">
            <v>INE721A07RU2</v>
          </cell>
          <cell r="D336" t="str">
            <v>FI3539NC201</v>
          </cell>
          <cell r="E336" t="str">
            <v>NCD</v>
          </cell>
          <cell r="F336" t="str">
            <v>Shriram Finance Ltd</v>
          </cell>
          <cell r="G336" t="str">
            <v>9.25%  Shriram Finance Ltd  NCD MD 19-12-2025 Series PPD XV 23-24 Option 1</v>
          </cell>
          <cell r="H336">
            <v>9.25</v>
          </cell>
          <cell r="I336" t="str">
            <v>19-12-2025</v>
          </cell>
          <cell r="J336" t="str">
            <v>CRISIL AA+</v>
          </cell>
          <cell r="K336">
            <v>1.2569999999999999</v>
          </cell>
          <cell r="L336">
            <v>100000</v>
          </cell>
          <cell r="M336">
            <v>1000</v>
          </cell>
          <cell r="N336">
            <v>9.0500000000000007</v>
          </cell>
        </row>
        <row r="337">
          <cell r="C337" t="str">
            <v>INE721A07SB0</v>
          </cell>
          <cell r="D337" t="str">
            <v>FI3539NC202</v>
          </cell>
          <cell r="E337" t="str">
            <v>NCD</v>
          </cell>
          <cell r="F337" t="str">
            <v>Shriram Finance Ltd</v>
          </cell>
          <cell r="G337" t="str">
            <v>9.20% Shriram Finance Limited NCD MD 22-05-2026 Series/Tranche: Series PPD XXI 24-25 Option 2</v>
          </cell>
          <cell r="H337">
            <v>9.1999999999999993</v>
          </cell>
          <cell r="I337" t="str">
            <v>22-05-2026</v>
          </cell>
          <cell r="J337" t="str">
            <v>CRISIL AA+</v>
          </cell>
          <cell r="K337">
            <v>1.6801999999999999</v>
          </cell>
          <cell r="L337">
            <v>100000</v>
          </cell>
          <cell r="M337">
            <v>2000</v>
          </cell>
          <cell r="N337">
            <v>9.0607000000000006</v>
          </cell>
        </row>
        <row r="338">
          <cell r="C338" t="str">
            <v>INE756I07EI4</v>
          </cell>
          <cell r="D338" t="str">
            <v>FI3553NC215</v>
          </cell>
          <cell r="E338" t="str">
            <v>NCD</v>
          </cell>
          <cell r="F338" t="str">
            <v>HDB Financial Services Ltd</v>
          </cell>
          <cell r="G338" t="str">
            <v>7.50%  HDB Financial Services NCD MD 23-09-2025</v>
          </cell>
          <cell r="H338">
            <v>7.5</v>
          </cell>
          <cell r="I338" t="str">
            <v>23-09-2025</v>
          </cell>
          <cell r="J338" t="str">
            <v>CRISIL AAA</v>
          </cell>
          <cell r="K338">
            <v>1.0337000000000001</v>
          </cell>
          <cell r="L338">
            <v>1000000</v>
          </cell>
          <cell r="M338">
            <v>250</v>
          </cell>
          <cell r="N338">
            <v>8.0850000000000009</v>
          </cell>
        </row>
        <row r="339">
          <cell r="C339" t="str">
            <v>INE848E07AJ4</v>
          </cell>
          <cell r="D339" t="str">
            <v>UT4720NC211</v>
          </cell>
          <cell r="E339" t="str">
            <v>NCD</v>
          </cell>
          <cell r="F339" t="str">
            <v>NHPC Ltd</v>
          </cell>
          <cell r="G339" t="str">
            <v>7.35% NHPC LTD NCD MD 15-09-2024</v>
          </cell>
          <cell r="H339">
            <v>7.35</v>
          </cell>
          <cell r="I339" t="str">
            <v>15-09-2024</v>
          </cell>
          <cell r="J339" t="str">
            <v>ICRA AAA</v>
          </cell>
          <cell r="K339">
            <v>7.6499999999999999E-2</v>
          </cell>
          <cell r="L339">
            <v>1000000</v>
          </cell>
          <cell r="M339">
            <v>250</v>
          </cell>
          <cell r="N339">
            <v>7.0949999999999998</v>
          </cell>
        </row>
        <row r="340">
          <cell r="C340" t="str">
            <v>IN002023Y508</v>
          </cell>
          <cell r="D340" t="str">
            <v>182TBL290824</v>
          </cell>
          <cell r="E340" t="str">
            <v>TBL</v>
          </cell>
          <cell r="F340" t="str">
            <v>Govt. of India - GSec / TBL</v>
          </cell>
          <cell r="G340" t="str">
            <v>182 Days -T Bill- 29/08/2024</v>
          </cell>
          <cell r="H340">
            <v>0</v>
          </cell>
          <cell r="I340" t="str">
            <v>29-08-2024</v>
          </cell>
          <cell r="J340" t="str">
            <v>Sovereign</v>
          </cell>
          <cell r="K340">
            <v>0.04</v>
          </cell>
          <cell r="L340">
            <v>100</v>
          </cell>
          <cell r="M340">
            <v>7500000</v>
          </cell>
          <cell r="N340">
            <v>6.5250000000000004</v>
          </cell>
        </row>
        <row r="341">
          <cell r="C341" t="str">
            <v>IN002023Z265</v>
          </cell>
          <cell r="D341" t="str">
            <v>364TBL120924</v>
          </cell>
          <cell r="E341" t="str">
            <v>TBL</v>
          </cell>
          <cell r="F341" t="str">
            <v>Govt. of India - GSec / TBL</v>
          </cell>
          <cell r="G341" t="str">
            <v>364 Days - T Bill - 12/09/2024</v>
          </cell>
          <cell r="H341">
            <v>0</v>
          </cell>
          <cell r="I341" t="str">
            <v>12-09-2024</v>
          </cell>
          <cell r="J341" t="str">
            <v>Sovereign</v>
          </cell>
          <cell r="K341">
            <v>0.08</v>
          </cell>
          <cell r="L341">
            <v>100</v>
          </cell>
          <cell r="M341">
            <v>5000000</v>
          </cell>
          <cell r="N341">
            <v>6.4897</v>
          </cell>
        </row>
        <row r="342">
          <cell r="C342" t="str">
            <v>IN002023Z299</v>
          </cell>
          <cell r="D342" t="str">
            <v>364TBL031024</v>
          </cell>
          <cell r="E342" t="str">
            <v>TBL</v>
          </cell>
          <cell r="F342" t="str">
            <v>Govt. of India - GSec / TBL</v>
          </cell>
          <cell r="G342" t="str">
            <v>364 Days- T Bill -03/10/2024</v>
          </cell>
          <cell r="H342">
            <v>0</v>
          </cell>
          <cell r="I342" t="str">
            <v>03-10-2024</v>
          </cell>
          <cell r="J342" t="str">
            <v>Sovereign</v>
          </cell>
          <cell r="K342">
            <v>0.13</v>
          </cell>
          <cell r="L342">
            <v>100</v>
          </cell>
          <cell r="M342">
            <v>500000</v>
          </cell>
          <cell r="N342">
            <v>6.6</v>
          </cell>
        </row>
        <row r="343">
          <cell r="C343" t="str">
            <v>IN002023Z307</v>
          </cell>
          <cell r="D343" t="str">
            <v>364TBL101024</v>
          </cell>
          <cell r="E343" t="str">
            <v>TBL</v>
          </cell>
          <cell r="F343" t="str">
            <v>Govt. of India - GSec / TBL</v>
          </cell>
          <cell r="G343" t="str">
            <v>364 Days-T Bill - 10/10/2024</v>
          </cell>
          <cell r="H343">
            <v>0</v>
          </cell>
          <cell r="I343" t="str">
            <v>10-10-2024</v>
          </cell>
          <cell r="J343" t="str">
            <v>Sovereign</v>
          </cell>
          <cell r="K343">
            <v>0.15</v>
          </cell>
          <cell r="L343">
            <v>100</v>
          </cell>
          <cell r="M343">
            <v>2000000</v>
          </cell>
          <cell r="N343">
            <v>6.6</v>
          </cell>
        </row>
        <row r="344">
          <cell r="C344" t="str">
            <v>IN002024Z057</v>
          </cell>
          <cell r="D344" t="str">
            <v>364TBL020525</v>
          </cell>
          <cell r="E344" t="str">
            <v>TBL</v>
          </cell>
          <cell r="F344" t="str">
            <v>Govt. of India - GSec / TBL</v>
          </cell>
          <cell r="G344" t="str">
            <v>364 Days - T Bill - 02/05/2025</v>
          </cell>
          <cell r="H344">
            <v>0</v>
          </cell>
          <cell r="I344" t="str">
            <v>02-05-2025</v>
          </cell>
          <cell r="J344" t="str">
            <v>Sovereign</v>
          </cell>
          <cell r="K344">
            <v>0.71</v>
          </cell>
          <cell r="L344">
            <v>100</v>
          </cell>
          <cell r="M344">
            <v>1000000</v>
          </cell>
          <cell r="N344">
            <v>6.6590999999999996</v>
          </cell>
        </row>
        <row r="345">
          <cell r="C345" t="str">
            <v>INF0RQ622028</v>
          </cell>
          <cell r="D345" t="str">
            <v>CDMDF23</v>
          </cell>
          <cell r="E345" t="str">
            <v>CDMDF</v>
          </cell>
          <cell r="F345" t="str">
            <v>Corporate Debt Market Development Fund</v>
          </cell>
          <cell r="G345" t="str">
            <v>Corporate Debt Market Development Fund - Class A2</v>
          </cell>
          <cell r="H345">
            <v>0</v>
          </cell>
          <cell r="K345">
            <v>0</v>
          </cell>
          <cell r="L345">
            <v>10000</v>
          </cell>
          <cell r="M345">
            <v>112.994</v>
          </cell>
          <cell r="N345">
            <v>9.9999999999999995E-7</v>
          </cell>
        </row>
        <row r="346">
          <cell r="C346" t="str">
            <v>IN0020210186</v>
          </cell>
          <cell r="D346" t="str">
            <v>5.74GSEC151126</v>
          </cell>
          <cell r="E346" t="str">
            <v>GSE</v>
          </cell>
          <cell r="F346" t="str">
            <v>Govt. of India - GSec / TBL</v>
          </cell>
          <cell r="G346" t="str">
            <v>5.74% Central Government Securities 15/11/2026</v>
          </cell>
          <cell r="H346">
            <v>5.74</v>
          </cell>
          <cell r="I346" t="str">
            <v>15-11-2026</v>
          </cell>
          <cell r="J346" t="str">
            <v>Sovereign</v>
          </cell>
          <cell r="K346">
            <v>2.1097000000000001</v>
          </cell>
          <cell r="L346">
            <v>100</v>
          </cell>
          <cell r="M346">
            <v>1000000</v>
          </cell>
          <cell r="N346">
            <v>6.8710000000000004</v>
          </cell>
        </row>
        <row r="347">
          <cell r="C347" t="str">
            <v>IN0020230085</v>
          </cell>
          <cell r="D347" t="str">
            <v>7.18GSE140833</v>
          </cell>
          <cell r="E347" t="str">
            <v>GSE</v>
          </cell>
          <cell r="F347" t="str">
            <v>Govt. of India - GSec / TBL</v>
          </cell>
          <cell r="G347" t="str">
            <v>7.18%  Government Securities - 14/08/2033</v>
          </cell>
          <cell r="H347">
            <v>7.18</v>
          </cell>
          <cell r="I347" t="str">
            <v>14-08-2033</v>
          </cell>
          <cell r="J347" t="str">
            <v>Sovereign</v>
          </cell>
          <cell r="K347">
            <v>6.7990000000000004</v>
          </cell>
          <cell r="L347">
            <v>100</v>
          </cell>
          <cell r="M347">
            <v>1500000</v>
          </cell>
          <cell r="N347">
            <v>7.0152000000000001</v>
          </cell>
        </row>
        <row r="348">
          <cell r="C348" t="str">
            <v>IN0020230101</v>
          </cell>
          <cell r="D348" t="str">
            <v>7.37GSE231028</v>
          </cell>
          <cell r="E348" t="str">
            <v>GSE</v>
          </cell>
          <cell r="F348" t="str">
            <v>Govt. of India - GSec / TBL</v>
          </cell>
          <cell r="G348" t="str">
            <v>7.37% Government Securities-23/10/2028</v>
          </cell>
          <cell r="H348">
            <v>7.37</v>
          </cell>
          <cell r="I348" t="str">
            <v>23-10-2028</v>
          </cell>
          <cell r="J348" t="str">
            <v>Sovereign</v>
          </cell>
          <cell r="K348">
            <v>3.6044999999999998</v>
          </cell>
          <cell r="L348">
            <v>100</v>
          </cell>
          <cell r="M348">
            <v>500000</v>
          </cell>
          <cell r="N348">
            <v>6.8924000000000003</v>
          </cell>
        </row>
        <row r="349">
          <cell r="C349" t="str">
            <v>IN3120230484</v>
          </cell>
          <cell r="D349" t="str">
            <v>7.44TNSG20034</v>
          </cell>
          <cell r="E349" t="str">
            <v>GSE</v>
          </cell>
          <cell r="F349" t="str">
            <v>Govt. of India - GSec / TBL</v>
          </cell>
          <cell r="G349" t="str">
            <v>7.44% Tamil Nadu State Government Securities -20/03/2034</v>
          </cell>
          <cell r="H349">
            <v>7.44</v>
          </cell>
          <cell r="I349" t="str">
            <v>20-03-2034</v>
          </cell>
          <cell r="J349" t="str">
            <v>Sovereign</v>
          </cell>
          <cell r="K349">
            <v>6.8448000000000002</v>
          </cell>
          <cell r="L349">
            <v>100</v>
          </cell>
          <cell r="M349">
            <v>230000</v>
          </cell>
          <cell r="N349">
            <v>7.3471000000000002</v>
          </cell>
        </row>
        <row r="350">
          <cell r="C350" t="str">
            <v>INE115A07OY6</v>
          </cell>
          <cell r="D350" t="str">
            <v>FILICNC376</v>
          </cell>
          <cell r="E350" t="str">
            <v>NCD</v>
          </cell>
          <cell r="F350" t="str">
            <v>LIC Housing Finance Ltd</v>
          </cell>
          <cell r="G350" t="str">
            <v>5.7760% LIC Housing Finance Ltd NCD MD 11-09-2025</v>
          </cell>
          <cell r="H350">
            <v>5.7759999999999998</v>
          </cell>
          <cell r="I350" t="str">
            <v>11-09-2025</v>
          </cell>
          <cell r="J350" t="str">
            <v>CRISIL AAA</v>
          </cell>
          <cell r="K350">
            <v>1.0154000000000001</v>
          </cell>
          <cell r="L350">
            <v>1000000</v>
          </cell>
          <cell r="M350">
            <v>10</v>
          </cell>
          <cell r="N350">
            <v>7.83</v>
          </cell>
        </row>
        <row r="351">
          <cell r="C351" t="str">
            <v>INE233A08121</v>
          </cell>
          <cell r="D351" t="str">
            <v>CH2208BNC200</v>
          </cell>
          <cell r="E351" t="str">
            <v>NCD</v>
          </cell>
          <cell r="F351" t="str">
            <v>Godrej Industries Ltd</v>
          </cell>
          <cell r="G351" t="str">
            <v>8.36% GODREJ INDUSTRIES LTD NCD MD 28-08-2026</v>
          </cell>
          <cell r="H351">
            <v>8.36</v>
          </cell>
          <cell r="I351" t="str">
            <v>28-08-2026</v>
          </cell>
          <cell r="J351" t="str">
            <v>CRISIL AA</v>
          </cell>
          <cell r="K351">
            <v>1.8794999999999999</v>
          </cell>
          <cell r="L351">
            <v>100000</v>
          </cell>
          <cell r="M351">
            <v>100</v>
          </cell>
          <cell r="N351">
            <v>8.2650000000000006</v>
          </cell>
        </row>
        <row r="352">
          <cell r="C352" t="str">
            <v>INE403D08181</v>
          </cell>
          <cell r="D352" t="str">
            <v>UT4825NC200</v>
          </cell>
          <cell r="E352" t="str">
            <v>NCD</v>
          </cell>
          <cell r="F352" t="str">
            <v>Bharti Telecom Ltd</v>
          </cell>
          <cell r="G352" t="str">
            <v>8.90% Bharti Telecom Ltd NCD MD 04-12-2025 SERIES XVI</v>
          </cell>
          <cell r="H352">
            <v>8.9</v>
          </cell>
          <cell r="I352" t="str">
            <v>04-12-2025</v>
          </cell>
          <cell r="J352" t="str">
            <v>CRISIL AA+</v>
          </cell>
          <cell r="K352">
            <v>1.2191000000000001</v>
          </cell>
          <cell r="L352">
            <v>100000</v>
          </cell>
          <cell r="M352">
            <v>100</v>
          </cell>
          <cell r="N352">
            <v>8.4499999999999993</v>
          </cell>
        </row>
        <row r="353">
          <cell r="C353" t="str">
            <v>IN002023Z307</v>
          </cell>
          <cell r="D353" t="str">
            <v>364TBL101024</v>
          </cell>
          <cell r="E353" t="str">
            <v>TBL</v>
          </cell>
          <cell r="F353" t="str">
            <v>Govt. of India - GSec / TBL</v>
          </cell>
          <cell r="G353" t="str">
            <v>364 Days-T Bill - 10/10/2024</v>
          </cell>
          <cell r="H353">
            <v>0</v>
          </cell>
          <cell r="I353" t="str">
            <v>10-10-2024</v>
          </cell>
          <cell r="J353" t="str">
            <v>Sovereign</v>
          </cell>
          <cell r="K353">
            <v>0.15</v>
          </cell>
          <cell r="L353">
            <v>100</v>
          </cell>
          <cell r="M353">
            <v>500000</v>
          </cell>
          <cell r="N353">
            <v>6.6</v>
          </cell>
        </row>
        <row r="354">
          <cell r="C354" t="str">
            <v>IN0020220037</v>
          </cell>
          <cell r="D354" t="str">
            <v>7.38GSEC200627</v>
          </cell>
          <cell r="E354" t="str">
            <v>GSE</v>
          </cell>
          <cell r="F354" t="str">
            <v>Govt. of India - GSec / TBL</v>
          </cell>
          <cell r="G354" t="str">
            <v>7.38% Central Government Securities 20/06/2027</v>
          </cell>
          <cell r="H354">
            <v>7.38</v>
          </cell>
          <cell r="I354" t="str">
            <v>20-06-2027</v>
          </cell>
          <cell r="J354" t="str">
            <v>Sovereign</v>
          </cell>
          <cell r="K354">
            <v>2.5924</v>
          </cell>
          <cell r="L354">
            <v>100</v>
          </cell>
          <cell r="M354">
            <v>10500000</v>
          </cell>
          <cell r="N354">
            <v>6.8611000000000004</v>
          </cell>
        </row>
        <row r="355">
          <cell r="C355" t="str">
            <v>IN0020230085</v>
          </cell>
          <cell r="D355" t="str">
            <v>7.18GSE140833</v>
          </cell>
          <cell r="E355" t="str">
            <v>GSE</v>
          </cell>
          <cell r="F355" t="str">
            <v>Govt. of India - GSec / TBL</v>
          </cell>
          <cell r="G355" t="str">
            <v>7.18%  Government Securities - 14/08/2033</v>
          </cell>
          <cell r="H355">
            <v>7.18</v>
          </cell>
          <cell r="I355" t="str">
            <v>14-08-2033</v>
          </cell>
          <cell r="J355" t="str">
            <v>Sovereign</v>
          </cell>
          <cell r="K355">
            <v>6.7990000000000004</v>
          </cell>
          <cell r="L355">
            <v>100</v>
          </cell>
          <cell r="M355">
            <v>3500000</v>
          </cell>
          <cell r="N355">
            <v>7.0152000000000001</v>
          </cell>
        </row>
        <row r="356">
          <cell r="C356" t="str">
            <v>IN0020230101</v>
          </cell>
          <cell r="D356" t="str">
            <v>7.37GSE231028</v>
          </cell>
          <cell r="E356" t="str">
            <v>GSE</v>
          </cell>
          <cell r="F356" t="str">
            <v>Govt. of India - GSec / TBL</v>
          </cell>
          <cell r="G356" t="str">
            <v>7.37% Government Securities-23/10/2028</v>
          </cell>
          <cell r="H356">
            <v>7.37</v>
          </cell>
          <cell r="I356" t="str">
            <v>23-10-2028</v>
          </cell>
          <cell r="J356" t="str">
            <v>Sovereign</v>
          </cell>
          <cell r="K356">
            <v>3.6044999999999998</v>
          </cell>
          <cell r="L356">
            <v>100</v>
          </cell>
          <cell r="M356">
            <v>500000</v>
          </cell>
          <cell r="N356">
            <v>6.8924000000000003</v>
          </cell>
        </row>
        <row r="357">
          <cell r="C357" t="str">
            <v>IN0020230119</v>
          </cell>
          <cell r="D357" t="str">
            <v>7.33GSE301026</v>
          </cell>
          <cell r="E357" t="str">
            <v>GSE</v>
          </cell>
          <cell r="F357" t="str">
            <v>Govt. of India - GSec / TBL</v>
          </cell>
          <cell r="G357" t="str">
            <v>7.33% Government Securities-30/10/2026</v>
          </cell>
          <cell r="H357">
            <v>7.33</v>
          </cell>
          <cell r="I357" t="str">
            <v>30-10-2026</v>
          </cell>
          <cell r="J357" t="str">
            <v>Sovereign</v>
          </cell>
          <cell r="K357">
            <v>2.0362</v>
          </cell>
          <cell r="L357">
            <v>100</v>
          </cell>
          <cell r="M357">
            <v>5500000</v>
          </cell>
          <cell r="N357">
            <v>6.8677000000000001</v>
          </cell>
        </row>
        <row r="358">
          <cell r="C358" t="str">
            <v>IN0020230135</v>
          </cell>
          <cell r="D358" t="str">
            <v>7.32GSE131130</v>
          </cell>
          <cell r="E358" t="str">
            <v>GSE</v>
          </cell>
          <cell r="F358" t="str">
            <v>Govt. of India - GSec / TBL</v>
          </cell>
          <cell r="G358" t="str">
            <v>7.32% Government Securities-13/11/2030</v>
          </cell>
          <cell r="H358">
            <v>7.32</v>
          </cell>
          <cell r="I358" t="str">
            <v>13-11-2030</v>
          </cell>
          <cell r="J358" t="str">
            <v>Sovereign</v>
          </cell>
          <cell r="K358">
            <v>5.0457999999999998</v>
          </cell>
          <cell r="L358">
            <v>100</v>
          </cell>
          <cell r="M358">
            <v>3000000</v>
          </cell>
          <cell r="N358">
            <v>6.9485000000000001</v>
          </cell>
        </row>
        <row r="359">
          <cell r="C359" t="str">
            <v>INF0RQ622028</v>
          </cell>
          <cell r="D359" t="str">
            <v>CDMDF23</v>
          </cell>
          <cell r="E359" t="str">
            <v>CDMDF</v>
          </cell>
          <cell r="F359" t="str">
            <v>Corporate Debt Market Development Fund</v>
          </cell>
          <cell r="G359" t="str">
            <v>Corporate Debt Market Development Fund - Class A2</v>
          </cell>
          <cell r="H359">
            <v>0</v>
          </cell>
          <cell r="K359">
            <v>0</v>
          </cell>
          <cell r="L359">
            <v>10000</v>
          </cell>
          <cell r="M359">
            <v>76.796000000000006</v>
          </cell>
          <cell r="N359">
            <v>9.9999999999999995E-7</v>
          </cell>
        </row>
        <row r="360">
          <cell r="C360" t="str">
            <v>IN0020230051</v>
          </cell>
          <cell r="D360" t="str">
            <v>7.30GSE190653</v>
          </cell>
          <cell r="E360" t="str">
            <v>GSE</v>
          </cell>
          <cell r="F360" t="str">
            <v>Govt. of India - GSec / TBL</v>
          </cell>
          <cell r="G360" t="str">
            <v>7.30% Government Securities - 19/06/2053</v>
          </cell>
          <cell r="H360">
            <v>7.3</v>
          </cell>
          <cell r="I360" t="str">
            <v>19-06-2053</v>
          </cell>
          <cell r="J360" t="str">
            <v>Sovereign</v>
          </cell>
          <cell r="K360">
            <v>12.5113</v>
          </cell>
          <cell r="L360">
            <v>100</v>
          </cell>
          <cell r="M360">
            <v>500000</v>
          </cell>
          <cell r="N360">
            <v>7.1395999999999997</v>
          </cell>
        </row>
        <row r="361">
          <cell r="C361" t="str">
            <v>IN0020230085</v>
          </cell>
          <cell r="D361" t="str">
            <v>7.18GSE140833</v>
          </cell>
          <cell r="E361" t="str">
            <v>GSE</v>
          </cell>
          <cell r="F361" t="str">
            <v>Govt. of India - GSec / TBL</v>
          </cell>
          <cell r="G361" t="str">
            <v>7.18%  Government Securities - 14/08/2033</v>
          </cell>
          <cell r="H361">
            <v>7.18</v>
          </cell>
          <cell r="I361" t="str">
            <v>14-08-2033</v>
          </cell>
          <cell r="J361" t="str">
            <v>Sovereign</v>
          </cell>
          <cell r="K361">
            <v>6.7990000000000004</v>
          </cell>
          <cell r="L361">
            <v>100</v>
          </cell>
          <cell r="M361">
            <v>1100000</v>
          </cell>
          <cell r="N361">
            <v>7.0152000000000001</v>
          </cell>
        </row>
        <row r="362">
          <cell r="C362" t="str">
            <v>IN002023Y490</v>
          </cell>
          <cell r="D362" t="str">
            <v>182TBL220824</v>
          </cell>
          <cell r="E362" t="str">
            <v>TBL</v>
          </cell>
          <cell r="F362" t="str">
            <v>Govt. of India - GSec / TBL</v>
          </cell>
          <cell r="G362" t="str">
            <v>182 Days -T Bill- 22/08/2024</v>
          </cell>
          <cell r="H362">
            <v>0</v>
          </cell>
          <cell r="I362" t="str">
            <v>22-08-2024</v>
          </cell>
          <cell r="J362" t="str">
            <v>Sovereign</v>
          </cell>
          <cell r="K362">
            <v>0.02</v>
          </cell>
          <cell r="L362">
            <v>100</v>
          </cell>
          <cell r="M362">
            <v>1500000</v>
          </cell>
          <cell r="N362">
            <v>6.55</v>
          </cell>
        </row>
        <row r="363">
          <cell r="C363" t="str">
            <v>IN002023Y516</v>
          </cell>
          <cell r="D363" t="str">
            <v>182TBL050924</v>
          </cell>
          <cell r="E363" t="str">
            <v>TBL</v>
          </cell>
          <cell r="F363" t="str">
            <v>Govt. of India - GSec / TBL</v>
          </cell>
          <cell r="G363" t="str">
            <v>182 Days- T Bill-05/09/2024</v>
          </cell>
          <cell r="H363">
            <v>0</v>
          </cell>
          <cell r="I363" t="str">
            <v>05-09-2024</v>
          </cell>
          <cell r="J363" t="str">
            <v>Sovereign</v>
          </cell>
          <cell r="K363">
            <v>0.06</v>
          </cell>
          <cell r="L363">
            <v>100</v>
          </cell>
          <cell r="M363">
            <v>2000000</v>
          </cell>
          <cell r="N363">
            <v>6.5</v>
          </cell>
        </row>
        <row r="364">
          <cell r="C364" t="str">
            <v>IN002023Y524</v>
          </cell>
          <cell r="D364" t="str">
            <v>182TBL120924</v>
          </cell>
          <cell r="E364" t="str">
            <v>TBL</v>
          </cell>
          <cell r="F364" t="str">
            <v>Govt. of India - GSec / TBL</v>
          </cell>
          <cell r="G364" t="str">
            <v>182 Days - T Bill - 12/09/2024</v>
          </cell>
          <cell r="H364">
            <v>0</v>
          </cell>
          <cell r="I364" t="str">
            <v>12-09-2024</v>
          </cell>
          <cell r="J364" t="str">
            <v>Sovereign</v>
          </cell>
          <cell r="K364">
            <v>0.08</v>
          </cell>
          <cell r="L364">
            <v>100</v>
          </cell>
          <cell r="M364">
            <v>500000</v>
          </cell>
          <cell r="N364">
            <v>6.4897</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59B61-773C-4A41-BF05-5577F037E600}">
  <dimension ref="A1:C11"/>
  <sheetViews>
    <sheetView tabSelected="1" workbookViewId="0">
      <selection activeCell="L28" sqref="L28"/>
    </sheetView>
  </sheetViews>
  <sheetFormatPr defaultColWidth="8.85546875" defaultRowHeight="15" x14ac:dyDescent="0.25"/>
  <cols>
    <col min="1" max="1" width="6.140625" style="4" bestFit="1" customWidth="1"/>
    <col min="2" max="2" width="10.85546875" style="4" bestFit="1" customWidth="1"/>
    <col min="3" max="3" width="35" style="4" bestFit="1" customWidth="1"/>
    <col min="4" max="16384" width="8.85546875" style="4"/>
  </cols>
  <sheetData>
    <row r="1" spans="1:3" x14ac:dyDescent="0.25">
      <c r="A1" s="2" t="s">
        <v>503</v>
      </c>
      <c r="B1" s="3" t="s">
        <v>504</v>
      </c>
      <c r="C1" s="3" t="s">
        <v>505</v>
      </c>
    </row>
    <row r="2" spans="1:3" x14ac:dyDescent="0.25">
      <c r="A2" s="5">
        <v>1</v>
      </c>
      <c r="B2" s="6" t="s">
        <v>506</v>
      </c>
      <c r="C2" s="7" t="s">
        <v>1</v>
      </c>
    </row>
    <row r="3" spans="1:3" x14ac:dyDescent="0.25">
      <c r="A3" s="5">
        <v>2</v>
      </c>
      <c r="B3" s="6" t="s">
        <v>507</v>
      </c>
      <c r="C3" s="7" t="s">
        <v>113</v>
      </c>
    </row>
    <row r="4" spans="1:3" x14ac:dyDescent="0.25">
      <c r="A4" s="5">
        <v>3</v>
      </c>
      <c r="B4" s="6" t="s">
        <v>508</v>
      </c>
      <c r="C4" s="7" t="s">
        <v>140</v>
      </c>
    </row>
    <row r="5" spans="1:3" x14ac:dyDescent="0.25">
      <c r="A5" s="5">
        <v>4</v>
      </c>
      <c r="B5" s="6" t="s">
        <v>509</v>
      </c>
      <c r="C5" s="7" t="s">
        <v>188</v>
      </c>
    </row>
    <row r="6" spans="1:3" x14ac:dyDescent="0.25">
      <c r="A6" s="5">
        <v>5</v>
      </c>
      <c r="B6" s="6" t="s">
        <v>510</v>
      </c>
      <c r="C6" s="7" t="s">
        <v>237</v>
      </c>
    </row>
    <row r="7" spans="1:3" x14ac:dyDescent="0.25">
      <c r="A7" s="5">
        <v>6</v>
      </c>
      <c r="B7" s="6" t="s">
        <v>511</v>
      </c>
      <c r="C7" s="7" t="s">
        <v>376</v>
      </c>
    </row>
    <row r="8" spans="1:3" x14ac:dyDescent="0.25">
      <c r="A8" s="5">
        <v>7</v>
      </c>
      <c r="B8" s="6" t="s">
        <v>512</v>
      </c>
      <c r="C8" s="7" t="s">
        <v>388</v>
      </c>
    </row>
    <row r="9" spans="1:3" x14ac:dyDescent="0.25">
      <c r="A9" s="5">
        <v>8</v>
      </c>
      <c r="B9" s="6" t="s">
        <v>513</v>
      </c>
      <c r="C9" s="7" t="s">
        <v>443</v>
      </c>
    </row>
    <row r="10" spans="1:3" x14ac:dyDescent="0.25">
      <c r="A10" s="5">
        <v>9</v>
      </c>
      <c r="B10" s="6" t="s">
        <v>514</v>
      </c>
      <c r="C10" s="7" t="s">
        <v>447</v>
      </c>
    </row>
    <row r="11" spans="1:3" x14ac:dyDescent="0.25">
      <c r="A11" s="5">
        <v>10</v>
      </c>
      <c r="B11" s="6" t="s">
        <v>515</v>
      </c>
      <c r="C11" s="7" t="s">
        <v>492</v>
      </c>
    </row>
  </sheetData>
  <hyperlinks>
    <hyperlink ref="B3" location="SFRSTP!A1" display="SFRSTP" xr:uid="{240E9B9A-9FB3-45F3-A6C6-65AACC1A3BAD}"/>
    <hyperlink ref="B4" location="SMMF!A1" display="SMMF" xr:uid="{4E20BB1F-7681-412B-AAE6-FE4D92FC5465}"/>
    <hyperlink ref="B5" location="SPLDF!A1" display="SPLDF" xr:uid="{09F89FFE-DC12-4FAD-9F9F-B1DBCC2E0479}"/>
    <hyperlink ref="B6" location="SPMON!A1" display="SPMON" xr:uid="{CCCD78D7-18F6-44C6-B963-071E1D4E3BB3}"/>
    <hyperlink ref="B7" location="SPSDF!A1" display="SPSDF" xr:uid="{0122636D-0E32-42CF-A3FF-0E07F8EAB118}"/>
    <hyperlink ref="B8" location="SPUSDF!A1" display="SPUSDF" xr:uid="{B4C91867-D76A-423F-9B3F-C018136B1B70}"/>
    <hyperlink ref="B9" location="SUNBDS!A1" display="SUNBDS" xr:uid="{EF7CBFED-1A44-417C-986D-2C173449DB25}"/>
    <hyperlink ref="B10" location="SUNMIA!A1" display="SUNMIA" xr:uid="{0DFF631A-D605-4DAF-B0F3-428B819D19D0}"/>
    <hyperlink ref="B11" location="SUNONF!A1" display="SUNONF" xr:uid="{2B9FF475-FFCA-4C66-96B3-2243FAB57800}"/>
    <hyperlink ref="B2" location="SFRLTP!A1" display="SFRLTP" xr:uid="{277D640D-916E-46EE-90AE-0FF503F0403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CFFE9-6F5B-43B2-A3C8-B0A25315AA5C}">
  <sheetPr>
    <outlinePr summaryBelow="0" summaryRight="0"/>
  </sheetPr>
  <dimension ref="A1:R140"/>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11" customWidth="1"/>
  </cols>
  <sheetData>
    <row r="1" spans="1:11" ht="15" x14ac:dyDescent="0.2">
      <c r="A1" s="107" t="s">
        <v>0</v>
      </c>
      <c r="B1" s="107"/>
      <c r="C1" s="107"/>
      <c r="D1" s="107"/>
      <c r="E1" s="107"/>
      <c r="F1" s="107"/>
      <c r="G1" s="107"/>
      <c r="H1" s="107"/>
      <c r="I1" s="1" t="s">
        <v>587</v>
      </c>
      <c r="K1" s="1"/>
    </row>
    <row r="2" spans="1:11" ht="15" x14ac:dyDescent="0.2">
      <c r="A2" s="107" t="s">
        <v>1</v>
      </c>
      <c r="B2" s="107"/>
      <c r="C2" s="107"/>
      <c r="D2" s="107"/>
      <c r="E2" s="107"/>
      <c r="F2" s="107"/>
      <c r="G2" s="107"/>
      <c r="H2" s="107"/>
      <c r="J2" s="12" t="s">
        <v>588</v>
      </c>
    </row>
    <row r="3" spans="1:11" ht="15" x14ac:dyDescent="0.2">
      <c r="A3" s="107" t="s">
        <v>501</v>
      </c>
      <c r="B3" s="107"/>
      <c r="C3" s="107"/>
      <c r="D3" s="107"/>
      <c r="E3" s="107"/>
      <c r="F3" s="107"/>
      <c r="G3" s="107"/>
      <c r="H3" s="107"/>
    </row>
    <row r="4" spans="1:11" s="11" customFormat="1" ht="30" x14ac:dyDescent="0.2">
      <c r="A4" s="13" t="s">
        <v>2</v>
      </c>
      <c r="B4" s="13" t="s">
        <v>3</v>
      </c>
      <c r="C4" s="13" t="s">
        <v>4</v>
      </c>
      <c r="D4" s="13" t="s">
        <v>5</v>
      </c>
      <c r="E4" s="13" t="s">
        <v>6</v>
      </c>
      <c r="F4" s="13" t="s">
        <v>7</v>
      </c>
      <c r="G4" s="13" t="s">
        <v>8</v>
      </c>
      <c r="H4" s="14" t="s">
        <v>502</v>
      </c>
    </row>
    <row r="5" spans="1:11" x14ac:dyDescent="0.2">
      <c r="A5" s="15"/>
      <c r="B5" s="15"/>
      <c r="C5" s="16" t="s">
        <v>9</v>
      </c>
      <c r="D5" s="15"/>
      <c r="E5" s="15"/>
      <c r="F5" s="15"/>
      <c r="G5" s="15"/>
      <c r="H5" s="17" t="str">
        <f>IFERROR(VLOOKUP(B5,'[1]Debt Holding Consolidated'!$C$1:$N$65536,12,FALSE),"")</f>
        <v/>
      </c>
    </row>
    <row r="6" spans="1:11" x14ac:dyDescent="0.2">
      <c r="A6" s="15"/>
      <c r="B6" s="15"/>
      <c r="C6" s="16" t="s">
        <v>10</v>
      </c>
      <c r="D6" s="15"/>
      <c r="E6" s="15"/>
      <c r="F6" s="15"/>
      <c r="G6" s="15"/>
      <c r="H6" s="17" t="str">
        <f>IFERROR(VLOOKUP(B6,'[1]Debt Holding Consolidated'!$C$1:$N$65536,12,FALSE),"")</f>
        <v/>
      </c>
    </row>
    <row r="7" spans="1:11" x14ac:dyDescent="0.2">
      <c r="A7" s="15"/>
      <c r="B7" s="15"/>
      <c r="C7" s="16" t="s">
        <v>11</v>
      </c>
      <c r="D7" s="15"/>
      <c r="E7" s="15" t="s">
        <v>12</v>
      </c>
      <c r="F7" s="18" t="s">
        <v>13</v>
      </c>
      <c r="G7" s="19">
        <v>0</v>
      </c>
      <c r="H7" s="17" t="str">
        <f>IFERROR(VLOOKUP(B7,'[1]Debt Holding Consolidated'!$C$1:$N$65536,12,FALSE),"")</f>
        <v/>
      </c>
    </row>
    <row r="8" spans="1:11" x14ac:dyDescent="0.2">
      <c r="A8" s="15"/>
      <c r="B8" s="15"/>
      <c r="C8" s="20"/>
      <c r="D8" s="15"/>
      <c r="E8" s="15"/>
      <c r="F8" s="21"/>
      <c r="G8" s="21"/>
      <c r="H8" s="17" t="str">
        <f>IFERROR(VLOOKUP(B8,'[1]Debt Holding Consolidated'!$C$1:$N$65536,12,FALSE),"")</f>
        <v/>
      </c>
    </row>
    <row r="9" spans="1:11" x14ac:dyDescent="0.2">
      <c r="A9" s="15"/>
      <c r="B9" s="15"/>
      <c r="C9" s="16" t="s">
        <v>14</v>
      </c>
      <c r="D9" s="15"/>
      <c r="E9" s="15"/>
      <c r="F9" s="15"/>
      <c r="G9" s="15"/>
      <c r="H9" s="17" t="str">
        <f>IFERROR(VLOOKUP(B9,'[1]Debt Holding Consolidated'!$C$1:$N$65536,12,FALSE),"")</f>
        <v/>
      </c>
    </row>
    <row r="10" spans="1:11" x14ac:dyDescent="0.2">
      <c r="A10" s="15"/>
      <c r="B10" s="15"/>
      <c r="C10" s="16" t="s">
        <v>11</v>
      </c>
      <c r="D10" s="15"/>
      <c r="E10" s="15" t="s">
        <v>12</v>
      </c>
      <c r="F10" s="18" t="s">
        <v>13</v>
      </c>
      <c r="G10" s="19">
        <v>0</v>
      </c>
      <c r="H10" s="17" t="str">
        <f>IFERROR(VLOOKUP(B10,'[1]Debt Holding Consolidated'!$C$1:$N$65536,12,FALSE),"")</f>
        <v/>
      </c>
    </row>
    <row r="11" spans="1:11" x14ac:dyDescent="0.2">
      <c r="A11" s="15"/>
      <c r="B11" s="15"/>
      <c r="C11" s="20"/>
      <c r="D11" s="15"/>
      <c r="E11" s="15"/>
      <c r="F11" s="21"/>
      <c r="G11" s="21"/>
      <c r="H11" s="17" t="str">
        <f>IFERROR(VLOOKUP(B11,'[1]Debt Holding Consolidated'!$C$1:$N$65536,12,FALSE),"")</f>
        <v/>
      </c>
    </row>
    <row r="12" spans="1:11" ht="15" x14ac:dyDescent="0.2">
      <c r="A12" s="15"/>
      <c r="B12" s="15"/>
      <c r="C12" s="16" t="s">
        <v>15</v>
      </c>
      <c r="D12" s="15"/>
      <c r="E12" s="15"/>
      <c r="F12" s="15"/>
      <c r="G12" s="15"/>
      <c r="H12" s="17" t="str">
        <f>IFERROR(VLOOKUP(B12,'[1]Debt Holding Consolidated'!$C$1:$N$65536,12,FALSE),"")</f>
        <v/>
      </c>
      <c r="J12" s="22"/>
    </row>
    <row r="13" spans="1:11" x14ac:dyDescent="0.2">
      <c r="A13" s="15"/>
      <c r="B13" s="15"/>
      <c r="C13" s="16" t="s">
        <v>11</v>
      </c>
      <c r="D13" s="15"/>
      <c r="E13" s="15" t="s">
        <v>12</v>
      </c>
      <c r="F13" s="18" t="s">
        <v>13</v>
      </c>
      <c r="G13" s="19">
        <v>0</v>
      </c>
      <c r="H13" s="17" t="str">
        <f>IFERROR(VLOOKUP(B13,'[1]Debt Holding Consolidated'!$C$1:$N$65536,12,FALSE),"")</f>
        <v/>
      </c>
      <c r="J13" s="23"/>
    </row>
    <row r="14" spans="1:11" x14ac:dyDescent="0.2">
      <c r="A14" s="15"/>
      <c r="B14" s="15"/>
      <c r="C14" s="20"/>
      <c r="D14" s="15"/>
      <c r="E14" s="15"/>
      <c r="F14" s="21"/>
      <c r="G14" s="21"/>
      <c r="H14" s="17" t="str">
        <f>IFERROR(VLOOKUP(B14,'[1]Debt Holding Consolidated'!$C$1:$N$65536,12,FALSE),"")</f>
        <v/>
      </c>
      <c r="J14" s="23"/>
    </row>
    <row r="15" spans="1:11" ht="25.5" x14ac:dyDescent="0.2">
      <c r="A15" s="15"/>
      <c r="B15" s="15"/>
      <c r="C15" s="16" t="s">
        <v>16</v>
      </c>
      <c r="D15" s="15"/>
      <c r="E15" s="15"/>
      <c r="F15" s="15"/>
      <c r="G15" s="15"/>
      <c r="H15" s="17" t="str">
        <f>IFERROR(VLOOKUP(B15,'[1]Debt Holding Consolidated'!$C$1:$N$65536,12,FALSE),"")</f>
        <v/>
      </c>
      <c r="J15" s="23" t="s">
        <v>589</v>
      </c>
    </row>
    <row r="16" spans="1:11" x14ac:dyDescent="0.2">
      <c r="A16" s="15"/>
      <c r="B16" s="15"/>
      <c r="C16" s="16" t="s">
        <v>11</v>
      </c>
      <c r="D16" s="15"/>
      <c r="E16" s="15" t="s">
        <v>12</v>
      </c>
      <c r="F16" s="18" t="s">
        <v>13</v>
      </c>
      <c r="G16" s="19">
        <v>0</v>
      </c>
      <c r="H16" s="17" t="str">
        <f>IFERROR(VLOOKUP(B16,'[1]Debt Holding Consolidated'!$C$1:$N$65536,12,FALSE),"")</f>
        <v/>
      </c>
    </row>
    <row r="17" spans="1:10" x14ac:dyDescent="0.2">
      <c r="A17" s="15"/>
      <c r="B17" s="15"/>
      <c r="C17" s="20"/>
      <c r="D17" s="15"/>
      <c r="E17" s="15"/>
      <c r="F17" s="21"/>
      <c r="G17" s="21"/>
      <c r="H17" s="17" t="str">
        <f>IFERROR(VLOOKUP(B17,'[1]Debt Holding Consolidated'!$C$1:$N$65536,12,FALSE),"")</f>
        <v/>
      </c>
    </row>
    <row r="18" spans="1:10" x14ac:dyDescent="0.2">
      <c r="A18" s="15"/>
      <c r="B18" s="15"/>
      <c r="C18" s="16" t="s">
        <v>17</v>
      </c>
      <c r="D18" s="15"/>
      <c r="E18" s="15"/>
      <c r="F18" s="21"/>
      <c r="G18" s="21"/>
      <c r="H18" s="17" t="str">
        <f>IFERROR(VLOOKUP(B18,'[1]Debt Holding Consolidated'!$C$1:$N$65536,12,FALSE),"")</f>
        <v/>
      </c>
    </row>
    <row r="19" spans="1:10" x14ac:dyDescent="0.2">
      <c r="A19" s="15"/>
      <c r="B19" s="15"/>
      <c r="C19" s="16" t="s">
        <v>11</v>
      </c>
      <c r="D19" s="15"/>
      <c r="E19" s="15" t="s">
        <v>12</v>
      </c>
      <c r="F19" s="18" t="s">
        <v>13</v>
      </c>
      <c r="G19" s="19">
        <v>0</v>
      </c>
      <c r="H19" s="17" t="str">
        <f>IFERROR(VLOOKUP(B19,'[1]Debt Holding Consolidated'!$C$1:$N$65536,12,FALSE),"")</f>
        <v/>
      </c>
    </row>
    <row r="20" spans="1:10" x14ac:dyDescent="0.2">
      <c r="A20" s="15"/>
      <c r="B20" s="15"/>
      <c r="C20" s="20"/>
      <c r="D20" s="15"/>
      <c r="E20" s="15"/>
      <c r="F20" s="21"/>
      <c r="G20" s="21"/>
      <c r="H20" s="17" t="str">
        <f>IFERROR(VLOOKUP(B20,'[1]Debt Holding Consolidated'!$C$1:$N$65536,12,FALSE),"")</f>
        <v/>
      </c>
    </row>
    <row r="21" spans="1:10" x14ac:dyDescent="0.2">
      <c r="A21" s="15"/>
      <c r="B21" s="15"/>
      <c r="C21" s="16" t="s">
        <v>18</v>
      </c>
      <c r="D21" s="15"/>
      <c r="E21" s="15"/>
      <c r="F21" s="21"/>
      <c r="G21" s="21"/>
      <c r="H21" s="17" t="str">
        <f>IFERROR(VLOOKUP(B21,'[1]Debt Holding Consolidated'!$C$1:$N$65536,12,FALSE),"")</f>
        <v/>
      </c>
    </row>
    <row r="22" spans="1:10" ht="15" x14ac:dyDescent="0.2">
      <c r="A22" s="15"/>
      <c r="B22" s="15"/>
      <c r="C22" s="16" t="s">
        <v>11</v>
      </c>
      <c r="D22" s="15"/>
      <c r="E22" s="15" t="s">
        <v>12</v>
      </c>
      <c r="F22" s="18" t="s">
        <v>13</v>
      </c>
      <c r="G22" s="19">
        <v>0</v>
      </c>
      <c r="H22" s="17" t="str">
        <f>IFERROR(VLOOKUP(B22,'[1]Debt Holding Consolidated'!$C$1:$N$65536,12,FALSE),"")</f>
        <v/>
      </c>
      <c r="J22" s="22"/>
    </row>
    <row r="23" spans="1:10" x14ac:dyDescent="0.2">
      <c r="A23" s="15"/>
      <c r="B23" s="15"/>
      <c r="C23" s="20"/>
      <c r="D23" s="15"/>
      <c r="E23" s="15"/>
      <c r="F23" s="21"/>
      <c r="G23" s="21"/>
      <c r="H23" s="17" t="str">
        <f>IFERROR(VLOOKUP(B23,'[1]Debt Holding Consolidated'!$C$1:$N$65536,12,FALSE),"")</f>
        <v/>
      </c>
      <c r="J23" s="23"/>
    </row>
    <row r="24" spans="1:10" x14ac:dyDescent="0.2">
      <c r="A24" s="15"/>
      <c r="B24" s="15"/>
      <c r="C24" s="16" t="s">
        <v>19</v>
      </c>
      <c r="D24" s="15"/>
      <c r="E24" s="15"/>
      <c r="F24" s="24">
        <v>0</v>
      </c>
      <c r="G24" s="19">
        <v>0</v>
      </c>
      <c r="H24" s="17" t="str">
        <f>IFERROR(VLOOKUP(B24,'[1]Debt Holding Consolidated'!$C$1:$N$65536,12,FALSE),"")</f>
        <v/>
      </c>
    </row>
    <row r="25" spans="1:10" x14ac:dyDescent="0.2">
      <c r="A25" s="15"/>
      <c r="B25" s="15"/>
      <c r="C25" s="20"/>
      <c r="D25" s="15"/>
      <c r="E25" s="15"/>
      <c r="F25" s="21"/>
      <c r="G25" s="21"/>
      <c r="H25" s="17" t="str">
        <f>IFERROR(VLOOKUP(B25,'[1]Debt Holding Consolidated'!$C$1:$N$65536,12,FALSE),"")</f>
        <v/>
      </c>
    </row>
    <row r="26" spans="1:10" x14ac:dyDescent="0.2">
      <c r="A26" s="15"/>
      <c r="B26" s="15"/>
      <c r="C26" s="16" t="s">
        <v>20</v>
      </c>
      <c r="D26" s="15"/>
      <c r="E26" s="15"/>
      <c r="F26" s="21"/>
      <c r="G26" s="21"/>
      <c r="H26" s="17" t="str">
        <f>IFERROR(VLOOKUP(B26,'[1]Debt Holding Consolidated'!$C$1:$N$65536,12,FALSE),"")</f>
        <v/>
      </c>
    </row>
    <row r="27" spans="1:10" x14ac:dyDescent="0.2">
      <c r="A27" s="15"/>
      <c r="B27" s="15"/>
      <c r="C27" s="16" t="s">
        <v>10</v>
      </c>
      <c r="D27" s="15"/>
      <c r="E27" s="15"/>
      <c r="F27" s="21"/>
      <c r="G27" s="21"/>
      <c r="H27" s="17" t="str">
        <f>IFERROR(VLOOKUP(B27,'[1]Debt Holding Consolidated'!$C$1:$N$65536,12,FALSE),"")</f>
        <v/>
      </c>
      <c r="J27" s="23"/>
    </row>
    <row r="28" spans="1:10" ht="25.5" x14ac:dyDescent="0.2">
      <c r="A28" s="25">
        <v>1</v>
      </c>
      <c r="B28" s="26" t="s">
        <v>21</v>
      </c>
      <c r="C28" s="26" t="s">
        <v>22</v>
      </c>
      <c r="D28" s="26" t="s">
        <v>23</v>
      </c>
      <c r="E28" s="27">
        <v>5000</v>
      </c>
      <c r="F28" s="28">
        <v>5046.6099999999997</v>
      </c>
      <c r="G28" s="29">
        <v>7.1063219999999996E-2</v>
      </c>
      <c r="H28" s="17">
        <f>IFERROR(VLOOKUP(B28,'[1]Debt Holding Consolidated'!$C$1:$N$65536,12,FALSE),"")</f>
        <v>7.5507</v>
      </c>
      <c r="J28" s="23" t="s">
        <v>590</v>
      </c>
    </row>
    <row r="29" spans="1:10" ht="25.5" x14ac:dyDescent="0.2">
      <c r="A29" s="25">
        <v>2</v>
      </c>
      <c r="B29" s="26" t="s">
        <v>24</v>
      </c>
      <c r="C29" s="26" t="s">
        <v>25</v>
      </c>
      <c r="D29" s="26" t="s">
        <v>23</v>
      </c>
      <c r="E29" s="27">
        <v>4000</v>
      </c>
      <c r="F29" s="28">
        <v>3993.5279999999998</v>
      </c>
      <c r="G29" s="29">
        <v>5.623438E-2</v>
      </c>
      <c r="H29" s="17">
        <f>IFERROR(VLOOKUP(B29,'[1]Debt Holding Consolidated'!$C$1:$N$65536,12,FALSE),"")</f>
        <v>7.43</v>
      </c>
      <c r="J29" s="23"/>
    </row>
    <row r="30" spans="1:10" x14ac:dyDescent="0.2">
      <c r="A30" s="25">
        <v>3</v>
      </c>
      <c r="B30" s="26" t="s">
        <v>26</v>
      </c>
      <c r="C30" s="26" t="s">
        <v>27</v>
      </c>
      <c r="D30" s="26" t="s">
        <v>23</v>
      </c>
      <c r="E30" s="27">
        <v>4000</v>
      </c>
      <c r="F30" s="28">
        <v>3991.616</v>
      </c>
      <c r="G30" s="29">
        <v>5.6207449999999999E-2</v>
      </c>
      <c r="H30" s="17">
        <f>IFERROR(VLOOKUP(B30,'[1]Debt Holding Consolidated'!$C$1:$N$65536,12,FALSE),"")</f>
        <v>7.51</v>
      </c>
    </row>
    <row r="31" spans="1:10" x14ac:dyDescent="0.2">
      <c r="A31" s="25">
        <v>4</v>
      </c>
      <c r="B31" s="26" t="s">
        <v>28</v>
      </c>
      <c r="C31" s="26" t="s">
        <v>29</v>
      </c>
      <c r="D31" s="26" t="s">
        <v>23</v>
      </c>
      <c r="E31" s="27">
        <v>300</v>
      </c>
      <c r="F31" s="28">
        <v>2988.9389999999999</v>
      </c>
      <c r="G31" s="29">
        <v>4.2088380000000002E-2</v>
      </c>
      <c r="H31" s="17">
        <f>IFERROR(VLOOKUP(B31,'[1]Debt Holding Consolidated'!$C$1:$N$65536,12,FALSE),"")</f>
        <v>7.8</v>
      </c>
    </row>
    <row r="32" spans="1:10" ht="25.5" x14ac:dyDescent="0.2">
      <c r="A32" s="25">
        <v>5</v>
      </c>
      <c r="B32" s="26" t="s">
        <v>30</v>
      </c>
      <c r="C32" s="26" t="s">
        <v>31</v>
      </c>
      <c r="D32" s="26" t="s">
        <v>32</v>
      </c>
      <c r="E32" s="27">
        <v>2500</v>
      </c>
      <c r="F32" s="28">
        <v>2514.3225000000002</v>
      </c>
      <c r="G32" s="29">
        <v>3.540513E-2</v>
      </c>
      <c r="H32" s="17">
        <f>IFERROR(VLOOKUP(B32,'[1]Debt Holding Consolidated'!$C$1:$N$65536,12,FALSE),"")</f>
        <v>7.5118</v>
      </c>
    </row>
    <row r="33" spans="1:8" ht="25.5" x14ac:dyDescent="0.2">
      <c r="A33" s="25">
        <v>6</v>
      </c>
      <c r="B33" s="26" t="s">
        <v>33</v>
      </c>
      <c r="C33" s="26" t="s">
        <v>34</v>
      </c>
      <c r="D33" s="26" t="s">
        <v>23</v>
      </c>
      <c r="E33" s="27">
        <v>2500</v>
      </c>
      <c r="F33" s="28">
        <v>2508.3049999999998</v>
      </c>
      <c r="G33" s="29">
        <v>3.532039E-2</v>
      </c>
      <c r="H33" s="17">
        <f>IFERROR(VLOOKUP(B33,'[1]Debt Holding Consolidated'!$C$1:$N$65536,12,FALSE),"")</f>
        <v>7.52</v>
      </c>
    </row>
    <row r="34" spans="1:8" ht="25.5" x14ac:dyDescent="0.2">
      <c r="A34" s="25">
        <v>7</v>
      </c>
      <c r="B34" s="26" t="s">
        <v>35</v>
      </c>
      <c r="C34" s="26" t="s">
        <v>36</v>
      </c>
      <c r="D34" s="26" t="s">
        <v>23</v>
      </c>
      <c r="E34" s="27">
        <v>2500</v>
      </c>
      <c r="F34" s="28">
        <v>2500.6875</v>
      </c>
      <c r="G34" s="29">
        <v>3.5213130000000002E-2</v>
      </c>
      <c r="H34" s="17">
        <f>IFERROR(VLOOKUP(B34,'[1]Debt Holding Consolidated'!$C$1:$N$65536,12,FALSE),"")</f>
        <v>7.6192000000000002</v>
      </c>
    </row>
    <row r="35" spans="1:8" x14ac:dyDescent="0.2">
      <c r="A35" s="25">
        <v>8</v>
      </c>
      <c r="B35" s="26" t="s">
        <v>37</v>
      </c>
      <c r="C35" s="26" t="s">
        <v>38</v>
      </c>
      <c r="D35" s="26" t="s">
        <v>23</v>
      </c>
      <c r="E35" s="27">
        <v>2500</v>
      </c>
      <c r="F35" s="28">
        <v>2495.9949999999999</v>
      </c>
      <c r="G35" s="29">
        <v>3.5147049999999999E-2</v>
      </c>
      <c r="H35" s="17">
        <f>IFERROR(VLOOKUP(B35,'[1]Debt Holding Consolidated'!$C$1:$N$65536,12,FALSE),"")</f>
        <v>7.5</v>
      </c>
    </row>
    <row r="36" spans="1:8" x14ac:dyDescent="0.2">
      <c r="A36" s="25">
        <v>9</v>
      </c>
      <c r="B36" s="26" t="s">
        <v>39</v>
      </c>
      <c r="C36" s="26" t="s">
        <v>40</v>
      </c>
      <c r="D36" s="26" t="s">
        <v>23</v>
      </c>
      <c r="E36" s="27">
        <v>2500</v>
      </c>
      <c r="F36" s="28">
        <v>2493.91</v>
      </c>
      <c r="G36" s="29">
        <v>3.511769E-2</v>
      </c>
      <c r="H36" s="17">
        <f>IFERROR(VLOOKUP(B36,'[1]Debt Holding Consolidated'!$C$1:$N$65536,12,FALSE),"")</f>
        <v>7.6</v>
      </c>
    </row>
    <row r="37" spans="1:8" ht="25.5" x14ac:dyDescent="0.2">
      <c r="A37" s="25">
        <v>10</v>
      </c>
      <c r="B37" s="26" t="s">
        <v>41</v>
      </c>
      <c r="C37" s="26" t="s">
        <v>42</v>
      </c>
      <c r="D37" s="26" t="s">
        <v>23</v>
      </c>
      <c r="E37" s="27">
        <v>2500</v>
      </c>
      <c r="F37" s="28">
        <v>2487.8649999999998</v>
      </c>
      <c r="G37" s="29">
        <v>3.5032569999999999E-2</v>
      </c>
      <c r="H37" s="17">
        <f>IFERROR(VLOOKUP(B37,'[1]Debt Holding Consolidated'!$C$1:$N$65536,12,FALSE),"")</f>
        <v>7.48</v>
      </c>
    </row>
    <row r="38" spans="1:8" x14ac:dyDescent="0.2">
      <c r="A38" s="25">
        <v>11</v>
      </c>
      <c r="B38" s="26" t="s">
        <v>43</v>
      </c>
      <c r="C38" s="26" t="s">
        <v>44</v>
      </c>
      <c r="D38" s="26" t="s">
        <v>23</v>
      </c>
      <c r="E38" s="27">
        <v>2500</v>
      </c>
      <c r="F38" s="28">
        <v>2487.0050000000001</v>
      </c>
      <c r="G38" s="29">
        <v>3.5020460000000003E-2</v>
      </c>
      <c r="H38" s="17">
        <f>IFERROR(VLOOKUP(B38,'[1]Debt Holding Consolidated'!$C$1:$N$65536,12,FALSE),"")</f>
        <v>7.51</v>
      </c>
    </row>
    <row r="39" spans="1:8" ht="25.5" x14ac:dyDescent="0.2">
      <c r="A39" s="25">
        <v>12</v>
      </c>
      <c r="B39" s="26" t="s">
        <v>45</v>
      </c>
      <c r="C39" s="26" t="s">
        <v>46</v>
      </c>
      <c r="D39" s="26" t="s">
        <v>23</v>
      </c>
      <c r="E39" s="27">
        <v>250</v>
      </c>
      <c r="F39" s="28">
        <v>2480.21</v>
      </c>
      <c r="G39" s="29">
        <v>3.4924770000000001E-2</v>
      </c>
      <c r="H39" s="17">
        <f>IFERROR(VLOOKUP(B39,'[1]Debt Holding Consolidated'!$C$1:$N$65536,12,FALSE),"")</f>
        <v>7.6</v>
      </c>
    </row>
    <row r="40" spans="1:8" ht="25.5" x14ac:dyDescent="0.2">
      <c r="A40" s="25">
        <v>13</v>
      </c>
      <c r="B40" s="26" t="s">
        <v>47</v>
      </c>
      <c r="C40" s="26" t="s">
        <v>48</v>
      </c>
      <c r="D40" s="26" t="s">
        <v>23</v>
      </c>
      <c r="E40" s="27">
        <v>2000</v>
      </c>
      <c r="F40" s="28">
        <v>2012.0820000000001</v>
      </c>
      <c r="G40" s="29">
        <v>2.8332889999999999E-2</v>
      </c>
      <c r="H40" s="17">
        <f>IFERROR(VLOOKUP(B40,'[1]Debt Holding Consolidated'!$C$1:$N$65536,12,FALSE),"")</f>
        <v>7.43</v>
      </c>
    </row>
    <row r="41" spans="1:8" ht="25.5" x14ac:dyDescent="0.2">
      <c r="A41" s="25">
        <v>14</v>
      </c>
      <c r="B41" s="26" t="s">
        <v>49</v>
      </c>
      <c r="C41" s="26" t="s">
        <v>50</v>
      </c>
      <c r="D41" s="26" t="s">
        <v>32</v>
      </c>
      <c r="E41" s="27">
        <v>200</v>
      </c>
      <c r="F41" s="28">
        <v>2002.0360000000001</v>
      </c>
      <c r="G41" s="29">
        <v>2.819143E-2</v>
      </c>
      <c r="H41" s="17">
        <f>IFERROR(VLOOKUP(B41,'[1]Debt Holding Consolidated'!$C$1:$N$65536,12,FALSE),"")</f>
        <v>7.3849999999999998</v>
      </c>
    </row>
    <row r="42" spans="1:8" x14ac:dyDescent="0.2">
      <c r="A42" s="25">
        <v>15</v>
      </c>
      <c r="B42" s="26" t="s">
        <v>51</v>
      </c>
      <c r="C42" s="26" t="s">
        <v>52</v>
      </c>
      <c r="D42" s="26" t="s">
        <v>23</v>
      </c>
      <c r="E42" s="27">
        <v>2000</v>
      </c>
      <c r="F42" s="28">
        <v>1999.662</v>
      </c>
      <c r="G42" s="29">
        <v>2.8157999999999999E-2</v>
      </c>
      <c r="H42" s="17">
        <f>IFERROR(VLOOKUP(B42,'[1]Debt Holding Consolidated'!$C$1:$N$65536,12,FALSE),"")</f>
        <v>7.7850000000000001</v>
      </c>
    </row>
    <row r="43" spans="1:8" ht="25.5" x14ac:dyDescent="0.2">
      <c r="A43" s="25">
        <v>16</v>
      </c>
      <c r="B43" s="26" t="s">
        <v>53</v>
      </c>
      <c r="C43" s="26" t="s">
        <v>54</v>
      </c>
      <c r="D43" s="26" t="s">
        <v>23</v>
      </c>
      <c r="E43" s="27">
        <v>1500</v>
      </c>
      <c r="F43" s="28">
        <v>1514.9324999999999</v>
      </c>
      <c r="G43" s="29">
        <v>2.1332340000000002E-2</v>
      </c>
      <c r="H43" s="17">
        <f>IFERROR(VLOOKUP(B43,'[1]Debt Holding Consolidated'!$C$1:$N$65536,12,FALSE),"")</f>
        <v>7.63</v>
      </c>
    </row>
    <row r="44" spans="1:8" x14ac:dyDescent="0.2">
      <c r="A44" s="25">
        <v>17</v>
      </c>
      <c r="B44" s="26" t="s">
        <v>55</v>
      </c>
      <c r="C44" s="26" t="s">
        <v>56</v>
      </c>
      <c r="D44" s="26" t="s">
        <v>23</v>
      </c>
      <c r="E44" s="27">
        <v>1500</v>
      </c>
      <c r="F44" s="28">
        <v>1504.482</v>
      </c>
      <c r="G44" s="29">
        <v>2.1185180000000001E-2</v>
      </c>
      <c r="H44" s="17">
        <f>IFERROR(VLOOKUP(B44,'[1]Debt Holding Consolidated'!$C$1:$N$65536,12,FALSE),"")</f>
        <v>7.6</v>
      </c>
    </row>
    <row r="45" spans="1:8" ht="25.5" x14ac:dyDescent="0.2">
      <c r="A45" s="25">
        <v>18</v>
      </c>
      <c r="B45" s="26" t="s">
        <v>57</v>
      </c>
      <c r="C45" s="26" t="s">
        <v>58</v>
      </c>
      <c r="D45" s="26" t="s">
        <v>23</v>
      </c>
      <c r="E45" s="27">
        <v>1500</v>
      </c>
      <c r="F45" s="28">
        <v>1497.72</v>
      </c>
      <c r="G45" s="29">
        <v>2.1089960000000001E-2</v>
      </c>
      <c r="H45" s="17">
        <f>IFERROR(VLOOKUP(B45,'[1]Debt Holding Consolidated'!$C$1:$N$65536,12,FALSE),"")</f>
        <v>7.66</v>
      </c>
    </row>
    <row r="46" spans="1:8" x14ac:dyDescent="0.2">
      <c r="A46" s="25">
        <v>19</v>
      </c>
      <c r="B46" s="26" t="s">
        <v>59</v>
      </c>
      <c r="C46" s="26" t="s">
        <v>60</v>
      </c>
      <c r="D46" s="26" t="s">
        <v>23</v>
      </c>
      <c r="E46" s="27">
        <v>100</v>
      </c>
      <c r="F46" s="28">
        <v>1003.653</v>
      </c>
      <c r="G46" s="29">
        <v>1.4132820000000001E-2</v>
      </c>
      <c r="H46" s="17">
        <f>IFERROR(VLOOKUP(B46,'[1]Debt Holding Consolidated'!$C$1:$N$65536,12,FALSE),"")</f>
        <v>7.8</v>
      </c>
    </row>
    <row r="47" spans="1:8" ht="25.5" x14ac:dyDescent="0.2">
      <c r="A47" s="25">
        <v>20</v>
      </c>
      <c r="B47" s="26" t="s">
        <v>61</v>
      </c>
      <c r="C47" s="26" t="s">
        <v>62</v>
      </c>
      <c r="D47" s="26" t="s">
        <v>23</v>
      </c>
      <c r="E47" s="27">
        <v>1000</v>
      </c>
      <c r="F47" s="28">
        <v>998.60599999999999</v>
      </c>
      <c r="G47" s="29">
        <v>1.406175E-2</v>
      </c>
      <c r="H47" s="17">
        <f>IFERROR(VLOOKUP(B47,'[1]Debt Holding Consolidated'!$C$1:$N$65536,12,FALSE),"")</f>
        <v>8.19</v>
      </c>
    </row>
    <row r="48" spans="1:8" ht="25.5" x14ac:dyDescent="0.2">
      <c r="A48" s="25">
        <v>21</v>
      </c>
      <c r="B48" s="26" t="s">
        <v>63</v>
      </c>
      <c r="C48" s="26" t="s">
        <v>64</v>
      </c>
      <c r="D48" s="26" t="s">
        <v>23</v>
      </c>
      <c r="E48" s="27">
        <v>1000</v>
      </c>
      <c r="F48" s="28">
        <v>995.34199999999998</v>
      </c>
      <c r="G48" s="29">
        <v>1.401579E-2</v>
      </c>
      <c r="H48" s="17">
        <f>IFERROR(VLOOKUP(B48,'[1]Debt Holding Consolidated'!$C$1:$N$65536,12,FALSE),"")</f>
        <v>7.6792999999999996</v>
      </c>
    </row>
    <row r="49" spans="1:8" ht="25.5" x14ac:dyDescent="0.2">
      <c r="A49" s="25">
        <v>22</v>
      </c>
      <c r="B49" s="26" t="s">
        <v>65</v>
      </c>
      <c r="C49" s="26" t="s">
        <v>66</v>
      </c>
      <c r="D49" s="26" t="s">
        <v>32</v>
      </c>
      <c r="E49" s="27">
        <v>50</v>
      </c>
      <c r="F49" s="28">
        <v>496.67599999999999</v>
      </c>
      <c r="G49" s="29">
        <v>6.9938800000000001E-3</v>
      </c>
      <c r="H49" s="17">
        <f>IFERROR(VLOOKUP(B49,'[1]Debt Holding Consolidated'!$C$1:$N$65536,12,FALSE),"")</f>
        <v>7.52</v>
      </c>
    </row>
    <row r="50" spans="1:8" x14ac:dyDescent="0.2">
      <c r="A50" s="15"/>
      <c r="B50" s="15"/>
      <c r="C50" s="16" t="s">
        <v>11</v>
      </c>
      <c r="D50" s="15"/>
      <c r="E50" s="15" t="s">
        <v>12</v>
      </c>
      <c r="F50" s="24">
        <v>50014.184500000003</v>
      </c>
      <c r="G50" s="19">
        <v>0.70426865999999999</v>
      </c>
      <c r="H50" s="17" t="str">
        <f>IFERROR(VLOOKUP(B50,'[1]Debt Holding Consolidated'!$C$1:$N$65536,12,FALSE),"")</f>
        <v/>
      </c>
    </row>
    <row r="51" spans="1:8" x14ac:dyDescent="0.2">
      <c r="A51" s="15"/>
      <c r="B51" s="15"/>
      <c r="C51" s="20"/>
      <c r="D51" s="15"/>
      <c r="E51" s="15"/>
      <c r="F51" s="21"/>
      <c r="G51" s="21"/>
      <c r="H51" s="17" t="str">
        <f>IFERROR(VLOOKUP(B51,'[1]Debt Holding Consolidated'!$C$1:$N$65536,12,FALSE),"")</f>
        <v/>
      </c>
    </row>
    <row r="52" spans="1:8" x14ac:dyDescent="0.2">
      <c r="A52" s="15"/>
      <c r="B52" s="15"/>
      <c r="C52" s="16" t="s">
        <v>67</v>
      </c>
      <c r="D52" s="15"/>
      <c r="E52" s="15"/>
      <c r="F52" s="15"/>
      <c r="G52" s="15"/>
      <c r="H52" s="17" t="str">
        <f>IFERROR(VLOOKUP(B52,'[1]Debt Holding Consolidated'!$C$1:$N$65536,12,FALSE),"")</f>
        <v/>
      </c>
    </row>
    <row r="53" spans="1:8" x14ac:dyDescent="0.2">
      <c r="A53" s="15"/>
      <c r="B53" s="15"/>
      <c r="C53" s="16" t="s">
        <v>11</v>
      </c>
      <c r="D53" s="15"/>
      <c r="E53" s="15" t="s">
        <v>12</v>
      </c>
      <c r="F53" s="18" t="s">
        <v>13</v>
      </c>
      <c r="G53" s="19">
        <v>0</v>
      </c>
      <c r="H53" s="17" t="str">
        <f>IFERROR(VLOOKUP(B53,'[1]Debt Holding Consolidated'!$C$1:$N$65536,12,FALSE),"")</f>
        <v/>
      </c>
    </row>
    <row r="54" spans="1:8" x14ac:dyDescent="0.2">
      <c r="A54" s="15"/>
      <c r="B54" s="15"/>
      <c r="C54" s="20"/>
      <c r="D54" s="15"/>
      <c r="E54" s="15"/>
      <c r="F54" s="21"/>
      <c r="G54" s="21"/>
      <c r="H54" s="17" t="str">
        <f>IFERROR(VLOOKUP(B54,'[1]Debt Holding Consolidated'!$C$1:$N$65536,12,FALSE),"")</f>
        <v/>
      </c>
    </row>
    <row r="55" spans="1:8" x14ac:dyDescent="0.2">
      <c r="A55" s="15"/>
      <c r="B55" s="15"/>
      <c r="C55" s="16" t="s">
        <v>68</v>
      </c>
      <c r="D55" s="15"/>
      <c r="E55" s="15"/>
      <c r="F55" s="15"/>
      <c r="G55" s="15"/>
      <c r="H55" s="17" t="str">
        <f>IFERROR(VLOOKUP(B55,'[1]Debt Holding Consolidated'!$C$1:$N$65536,12,FALSE),"")</f>
        <v/>
      </c>
    </row>
    <row r="56" spans="1:8" x14ac:dyDescent="0.2">
      <c r="A56" s="25">
        <v>1</v>
      </c>
      <c r="B56" s="26" t="s">
        <v>69</v>
      </c>
      <c r="C56" s="26" t="s">
        <v>70</v>
      </c>
      <c r="D56" s="26" t="s">
        <v>71</v>
      </c>
      <c r="E56" s="27">
        <v>12000000</v>
      </c>
      <c r="F56" s="28">
        <v>12225.348</v>
      </c>
      <c r="G56" s="29">
        <v>0.17214974</v>
      </c>
      <c r="H56" s="17">
        <f>IFERROR(VLOOKUP(B56,'[1]Debt Holding Consolidated'!$C$1:$N$65536,12,FALSE),"")</f>
        <v>7.0152000000000001</v>
      </c>
    </row>
    <row r="57" spans="1:8" x14ac:dyDescent="0.2">
      <c r="A57" s="25">
        <v>2</v>
      </c>
      <c r="B57" s="26" t="s">
        <v>72</v>
      </c>
      <c r="C57" s="26" t="s">
        <v>73</v>
      </c>
      <c r="D57" s="26" t="s">
        <v>71</v>
      </c>
      <c r="E57" s="27">
        <v>2500000</v>
      </c>
      <c r="F57" s="28">
        <v>2560.8024999999998</v>
      </c>
      <c r="G57" s="29">
        <v>3.6059630000000002E-2</v>
      </c>
      <c r="H57" s="17">
        <f>IFERROR(VLOOKUP(B57,'[1]Debt Holding Consolidated'!$C$1:$N$65536,12,FALSE),"")</f>
        <v>6.9485000000000001</v>
      </c>
    </row>
    <row r="58" spans="1:8" x14ac:dyDescent="0.2">
      <c r="A58" s="25">
        <v>3</v>
      </c>
      <c r="B58" s="26" t="s">
        <v>74</v>
      </c>
      <c r="C58" s="26" t="s">
        <v>75</v>
      </c>
      <c r="D58" s="26" t="s">
        <v>71</v>
      </c>
      <c r="E58" s="27">
        <v>1500000</v>
      </c>
      <c r="F58" s="28">
        <v>1552.11</v>
      </c>
      <c r="G58" s="29">
        <v>2.185585E-2</v>
      </c>
      <c r="H58" s="17">
        <f>IFERROR(VLOOKUP(B58,'[1]Debt Holding Consolidated'!$C$1:$N$65536,12,FALSE),"")</f>
        <v>7.1395999999999997</v>
      </c>
    </row>
    <row r="59" spans="1:8" x14ac:dyDescent="0.2">
      <c r="A59" s="25">
        <v>4</v>
      </c>
      <c r="B59" s="26" t="s">
        <v>76</v>
      </c>
      <c r="C59" s="26" t="s">
        <v>77</v>
      </c>
      <c r="D59" s="26" t="s">
        <v>71</v>
      </c>
      <c r="E59" s="27">
        <v>1000000</v>
      </c>
      <c r="F59" s="28">
        <v>1021.1369999999999</v>
      </c>
      <c r="G59" s="29">
        <v>1.4379019999999999E-2</v>
      </c>
      <c r="H59" s="17">
        <f>IFERROR(VLOOKUP(B59,'[1]Debt Holding Consolidated'!$C$1:$N$65536,12,FALSE),"")</f>
        <v>6.8924000000000003</v>
      </c>
    </row>
    <row r="60" spans="1:8" ht="25.5" x14ac:dyDescent="0.2">
      <c r="A60" s="25">
        <v>5</v>
      </c>
      <c r="B60" s="26" t="s">
        <v>78</v>
      </c>
      <c r="C60" s="26" t="s">
        <v>79</v>
      </c>
      <c r="D60" s="26" t="s">
        <v>71</v>
      </c>
      <c r="E60" s="27">
        <v>900000</v>
      </c>
      <c r="F60" s="28">
        <v>915.08669999999995</v>
      </c>
      <c r="G60" s="29">
        <v>1.288568E-2</v>
      </c>
      <c r="H60" s="17">
        <f>IFERROR(VLOOKUP(B60,'[1]Debt Holding Consolidated'!$C$1:$N$65536,12,FALSE),"")</f>
        <v>6.9753999999999996</v>
      </c>
    </row>
    <row r="61" spans="1:8" ht="25.5" x14ac:dyDescent="0.2">
      <c r="A61" s="25">
        <v>6</v>
      </c>
      <c r="B61" s="26" t="s">
        <v>80</v>
      </c>
      <c r="C61" s="26" t="s">
        <v>81</v>
      </c>
      <c r="D61" s="26" t="s">
        <v>71</v>
      </c>
      <c r="E61" s="27">
        <v>200000</v>
      </c>
      <c r="F61" s="28">
        <v>207.80860000000001</v>
      </c>
      <c r="G61" s="29">
        <v>2.9262300000000002E-3</v>
      </c>
      <c r="H61" s="17">
        <f>IFERROR(VLOOKUP(B61,'[1]Debt Holding Consolidated'!$C$1:$N$65536,12,FALSE),"")</f>
        <v>7.1691000000000003</v>
      </c>
    </row>
    <row r="62" spans="1:8" x14ac:dyDescent="0.2">
      <c r="A62" s="15"/>
      <c r="B62" s="15"/>
      <c r="C62" s="16" t="s">
        <v>11</v>
      </c>
      <c r="D62" s="15"/>
      <c r="E62" s="15" t="s">
        <v>12</v>
      </c>
      <c r="F62" s="24">
        <v>18482.292799999999</v>
      </c>
      <c r="G62" s="19">
        <v>0.26025615000000002</v>
      </c>
      <c r="H62" s="17" t="str">
        <f>IFERROR(VLOOKUP(B62,'[1]Debt Holding Consolidated'!$C$1:$N$65536,12,FALSE),"")</f>
        <v/>
      </c>
    </row>
    <row r="63" spans="1:8" x14ac:dyDescent="0.2">
      <c r="A63" s="15"/>
      <c r="B63" s="15"/>
      <c r="C63" s="20"/>
      <c r="D63" s="15"/>
      <c r="E63" s="15"/>
      <c r="F63" s="21"/>
      <c r="G63" s="21"/>
      <c r="H63" s="17" t="str">
        <f>IFERROR(VLOOKUP(B63,'[1]Debt Holding Consolidated'!$C$1:$N$65536,12,FALSE),"")</f>
        <v/>
      </c>
    </row>
    <row r="64" spans="1:8" x14ac:dyDescent="0.2">
      <c r="A64" s="15"/>
      <c r="B64" s="15"/>
      <c r="C64" s="16" t="s">
        <v>82</v>
      </c>
      <c r="D64" s="15"/>
      <c r="E64" s="15"/>
      <c r="F64" s="21"/>
      <c r="G64" s="21"/>
      <c r="H64" s="17" t="str">
        <f>IFERROR(VLOOKUP(B64,'[1]Debt Holding Consolidated'!$C$1:$N$65536,12,FALSE),"")</f>
        <v/>
      </c>
    </row>
    <row r="65" spans="1:8" x14ac:dyDescent="0.2">
      <c r="A65" s="15"/>
      <c r="B65" s="15"/>
      <c r="C65" s="16" t="s">
        <v>11</v>
      </c>
      <c r="D65" s="15"/>
      <c r="E65" s="15" t="s">
        <v>12</v>
      </c>
      <c r="F65" s="18" t="s">
        <v>13</v>
      </c>
      <c r="G65" s="19">
        <v>0</v>
      </c>
      <c r="H65" s="17" t="str">
        <f>IFERROR(VLOOKUP(B65,'[1]Debt Holding Consolidated'!$C$1:$N$65536,12,FALSE),"")</f>
        <v/>
      </c>
    </row>
    <row r="66" spans="1:8" x14ac:dyDescent="0.2">
      <c r="A66" s="15"/>
      <c r="B66" s="15"/>
      <c r="C66" s="20"/>
      <c r="D66" s="15"/>
      <c r="E66" s="15"/>
      <c r="F66" s="21"/>
      <c r="G66" s="21"/>
      <c r="H66" s="17" t="str">
        <f>IFERROR(VLOOKUP(B66,'[1]Debt Holding Consolidated'!$C$1:$N$65536,12,FALSE),"")</f>
        <v/>
      </c>
    </row>
    <row r="67" spans="1:8" x14ac:dyDescent="0.2">
      <c r="A67" s="15"/>
      <c r="B67" s="15"/>
      <c r="C67" s="16" t="s">
        <v>83</v>
      </c>
      <c r="D67" s="15"/>
      <c r="E67" s="15"/>
      <c r="F67" s="24">
        <v>68496.477299999999</v>
      </c>
      <c r="G67" s="19">
        <v>0.96452481000000001</v>
      </c>
      <c r="H67" s="17" t="str">
        <f>IFERROR(VLOOKUP(B67,'[1]Debt Holding Consolidated'!$C$1:$N$65536,12,FALSE),"")</f>
        <v/>
      </c>
    </row>
    <row r="68" spans="1:8" x14ac:dyDescent="0.2">
      <c r="A68" s="15"/>
      <c r="B68" s="15"/>
      <c r="C68" s="20"/>
      <c r="D68" s="15"/>
      <c r="E68" s="15"/>
      <c r="F68" s="21"/>
      <c r="G68" s="21"/>
      <c r="H68" s="17" t="str">
        <f>IFERROR(VLOOKUP(B68,'[1]Debt Holding Consolidated'!$C$1:$N$65536,12,FALSE),"")</f>
        <v/>
      </c>
    </row>
    <row r="69" spans="1:8" x14ac:dyDescent="0.2">
      <c r="A69" s="15"/>
      <c r="B69" s="15"/>
      <c r="C69" s="16" t="s">
        <v>84</v>
      </c>
      <c r="D69" s="15"/>
      <c r="E69" s="15"/>
      <c r="F69" s="21"/>
      <c r="G69" s="21"/>
      <c r="H69" s="17" t="str">
        <f>IFERROR(VLOOKUP(B69,'[1]Debt Holding Consolidated'!$C$1:$N$65536,12,FALSE),"")</f>
        <v/>
      </c>
    </row>
    <row r="70" spans="1:8" x14ac:dyDescent="0.2">
      <c r="A70" s="15"/>
      <c r="B70" s="15"/>
      <c r="C70" s="16" t="s">
        <v>85</v>
      </c>
      <c r="D70" s="15"/>
      <c r="E70" s="15"/>
      <c r="F70" s="21"/>
      <c r="G70" s="21"/>
      <c r="H70" s="17" t="str">
        <f>IFERROR(VLOOKUP(B70,'[1]Debt Holding Consolidated'!$C$1:$N$65536,12,FALSE),"")</f>
        <v/>
      </c>
    </row>
    <row r="71" spans="1:8" x14ac:dyDescent="0.2">
      <c r="A71" s="15"/>
      <c r="B71" s="15"/>
      <c r="C71" s="16" t="s">
        <v>11</v>
      </c>
      <c r="D71" s="15"/>
      <c r="E71" s="15" t="s">
        <v>12</v>
      </c>
      <c r="F71" s="18" t="s">
        <v>13</v>
      </c>
      <c r="G71" s="19">
        <v>0</v>
      </c>
      <c r="H71" s="17" t="str">
        <f>IFERROR(VLOOKUP(B71,'[1]Debt Holding Consolidated'!$C$1:$N$65536,12,FALSE),"")</f>
        <v/>
      </c>
    </row>
    <row r="72" spans="1:8" x14ac:dyDescent="0.2">
      <c r="A72" s="15"/>
      <c r="B72" s="15"/>
      <c r="C72" s="20"/>
      <c r="D72" s="15"/>
      <c r="E72" s="15"/>
      <c r="F72" s="21"/>
      <c r="G72" s="21"/>
      <c r="H72" s="17" t="str">
        <f>IFERROR(VLOOKUP(B72,'[1]Debt Holding Consolidated'!$C$1:$N$65536,12,FALSE),"")</f>
        <v/>
      </c>
    </row>
    <row r="73" spans="1:8" x14ac:dyDescent="0.2">
      <c r="A73" s="15"/>
      <c r="B73" s="15"/>
      <c r="C73" s="16" t="s">
        <v>86</v>
      </c>
      <c r="D73" s="15"/>
      <c r="E73" s="15"/>
      <c r="F73" s="21"/>
      <c r="G73" s="21"/>
      <c r="H73" s="17" t="str">
        <f>IFERROR(VLOOKUP(B73,'[1]Debt Holding Consolidated'!$C$1:$N$65536,12,FALSE),"")</f>
        <v/>
      </c>
    </row>
    <row r="74" spans="1:8" x14ac:dyDescent="0.2">
      <c r="A74" s="15"/>
      <c r="B74" s="15"/>
      <c r="C74" s="16" t="s">
        <v>11</v>
      </c>
      <c r="D74" s="15"/>
      <c r="E74" s="15" t="s">
        <v>12</v>
      </c>
      <c r="F74" s="18" t="s">
        <v>13</v>
      </c>
      <c r="G74" s="19">
        <v>0</v>
      </c>
      <c r="H74" s="17" t="str">
        <f>IFERROR(VLOOKUP(B74,'[1]Debt Holding Consolidated'!$C$1:$N$65536,12,FALSE),"")</f>
        <v/>
      </c>
    </row>
    <row r="75" spans="1:8" x14ac:dyDescent="0.2">
      <c r="A75" s="15"/>
      <c r="B75" s="15"/>
      <c r="C75" s="20"/>
      <c r="D75" s="15"/>
      <c r="E75" s="15"/>
      <c r="F75" s="21"/>
      <c r="G75" s="21"/>
      <c r="H75" s="17" t="str">
        <f>IFERROR(VLOOKUP(B75,'[1]Debt Holding Consolidated'!$C$1:$N$65536,12,FALSE),"")</f>
        <v/>
      </c>
    </row>
    <row r="76" spans="1:8" x14ac:dyDescent="0.2">
      <c r="A76" s="15"/>
      <c r="B76" s="15"/>
      <c r="C76" s="16" t="s">
        <v>87</v>
      </c>
      <c r="D76" s="15"/>
      <c r="E76" s="15"/>
      <c r="F76" s="21"/>
      <c r="G76" s="21"/>
      <c r="H76" s="17" t="str">
        <f>IFERROR(VLOOKUP(B76,'[1]Debt Holding Consolidated'!$C$1:$N$65536,12,FALSE),"")</f>
        <v/>
      </c>
    </row>
    <row r="77" spans="1:8" x14ac:dyDescent="0.2">
      <c r="A77" s="15"/>
      <c r="B77" s="15"/>
      <c r="C77" s="16" t="s">
        <v>11</v>
      </c>
      <c r="D77" s="15"/>
      <c r="E77" s="15" t="s">
        <v>12</v>
      </c>
      <c r="F77" s="18" t="s">
        <v>13</v>
      </c>
      <c r="G77" s="19">
        <v>0</v>
      </c>
      <c r="H77" s="17" t="str">
        <f>IFERROR(VLOOKUP(B77,'[1]Debt Holding Consolidated'!$C$1:$N$65536,12,FALSE),"")</f>
        <v/>
      </c>
    </row>
    <row r="78" spans="1:8" x14ac:dyDescent="0.2">
      <c r="A78" s="15"/>
      <c r="B78" s="15"/>
      <c r="C78" s="20"/>
      <c r="D78" s="15"/>
      <c r="E78" s="15"/>
      <c r="F78" s="21"/>
      <c r="G78" s="21"/>
      <c r="H78" s="17" t="str">
        <f>IFERROR(VLOOKUP(B78,'[1]Debt Holding Consolidated'!$C$1:$N$65536,12,FALSE),"")</f>
        <v/>
      </c>
    </row>
    <row r="79" spans="1:8" x14ac:dyDescent="0.2">
      <c r="A79" s="15"/>
      <c r="B79" s="15"/>
      <c r="C79" s="16" t="s">
        <v>88</v>
      </c>
      <c r="D79" s="15"/>
      <c r="E79" s="15"/>
      <c r="F79" s="21"/>
      <c r="G79" s="21"/>
      <c r="H79" s="17" t="str">
        <f>IFERROR(VLOOKUP(B79,'[1]Debt Holding Consolidated'!$C$1:$N$65536,12,FALSE),"")</f>
        <v/>
      </c>
    </row>
    <row r="80" spans="1:8" x14ac:dyDescent="0.2">
      <c r="A80" s="25">
        <v>1</v>
      </c>
      <c r="B80" s="26"/>
      <c r="C80" s="26" t="s">
        <v>89</v>
      </c>
      <c r="D80" s="26"/>
      <c r="E80" s="30"/>
      <c r="F80" s="28">
        <v>785.00541700300005</v>
      </c>
      <c r="G80" s="29">
        <v>1.105396E-2</v>
      </c>
      <c r="H80" s="17">
        <v>6.3551211905931497</v>
      </c>
    </row>
    <row r="81" spans="1:18" x14ac:dyDescent="0.2">
      <c r="A81" s="15"/>
      <c r="B81" s="15"/>
      <c r="C81" s="16" t="s">
        <v>11</v>
      </c>
      <c r="D81" s="15"/>
      <c r="E81" s="15" t="s">
        <v>12</v>
      </c>
      <c r="F81" s="24">
        <v>785.00541700300005</v>
      </c>
      <c r="G81" s="19">
        <v>1.105396E-2</v>
      </c>
      <c r="H81" s="17" t="str">
        <f>IFERROR(VLOOKUP(B81,'[1]Debt Holding Consolidated'!$C$1:$N$65536,12,FALSE),"")</f>
        <v/>
      </c>
    </row>
    <row r="82" spans="1:18" x14ac:dyDescent="0.2">
      <c r="A82" s="15"/>
      <c r="B82" s="15"/>
      <c r="C82" s="20"/>
      <c r="D82" s="15"/>
      <c r="E82" s="15"/>
      <c r="F82" s="21"/>
      <c r="G82" s="21"/>
      <c r="H82" s="17" t="str">
        <f>IFERROR(VLOOKUP(B82,'[1]Debt Holding Consolidated'!$C$1:$N$65536,12,FALSE),"")</f>
        <v/>
      </c>
    </row>
    <row r="83" spans="1:18" x14ac:dyDescent="0.2">
      <c r="A83" s="15"/>
      <c r="B83" s="15"/>
      <c r="C83" s="16" t="s">
        <v>90</v>
      </c>
      <c r="D83" s="15"/>
      <c r="E83" s="15"/>
      <c r="F83" s="24">
        <v>785.00541700300005</v>
      </c>
      <c r="G83" s="19">
        <v>1.105396E-2</v>
      </c>
      <c r="H83" s="17" t="str">
        <f>IFERROR(VLOOKUP(B83,'[1]Debt Holding Consolidated'!$C$1:$N$65536,12,FALSE),"")</f>
        <v/>
      </c>
    </row>
    <row r="84" spans="1:18" x14ac:dyDescent="0.2">
      <c r="A84" s="15"/>
      <c r="B84" s="15"/>
      <c r="C84" s="21"/>
      <c r="D84" s="15"/>
      <c r="E84" s="15"/>
      <c r="F84" s="15"/>
      <c r="G84" s="15"/>
      <c r="H84" s="17" t="str">
        <f>IFERROR(VLOOKUP(B84,'[1]Debt Holding Consolidated'!$C$1:$N$65536,12,FALSE),"")</f>
        <v/>
      </c>
    </row>
    <row r="85" spans="1:18" x14ac:dyDescent="0.2">
      <c r="A85" s="15"/>
      <c r="B85" s="15"/>
      <c r="C85" s="16" t="s">
        <v>91</v>
      </c>
      <c r="D85" s="15"/>
      <c r="E85" s="15"/>
      <c r="F85" s="15"/>
      <c r="G85" s="15"/>
      <c r="H85" s="17" t="str">
        <f>IFERROR(VLOOKUP(B85,'[1]Debt Holding Consolidated'!$C$1:$N$65536,12,FALSE),"")</f>
        <v/>
      </c>
    </row>
    <row r="86" spans="1:18" x14ac:dyDescent="0.2">
      <c r="A86" s="15"/>
      <c r="B86" s="15"/>
      <c r="C86" s="16" t="s">
        <v>92</v>
      </c>
      <c r="D86" s="15"/>
      <c r="E86" s="15"/>
      <c r="F86" s="15"/>
      <c r="G86" s="15"/>
      <c r="H86" s="17" t="str">
        <f>IFERROR(VLOOKUP(B86,'[1]Debt Holding Consolidated'!$C$1:$N$65536,12,FALSE),"")</f>
        <v/>
      </c>
    </row>
    <row r="87" spans="1:18" x14ac:dyDescent="0.2">
      <c r="A87" s="15"/>
      <c r="B87" s="15"/>
      <c r="C87" s="16" t="s">
        <v>11</v>
      </c>
      <c r="D87" s="15"/>
      <c r="E87" s="15" t="s">
        <v>12</v>
      </c>
      <c r="F87" s="18" t="s">
        <v>13</v>
      </c>
      <c r="G87" s="19">
        <v>0</v>
      </c>
      <c r="H87" s="17" t="str">
        <f>IFERROR(VLOOKUP(B87,'[1]Debt Holding Consolidated'!$C$1:$N$65536,12,FALSE),"")</f>
        <v/>
      </c>
    </row>
    <row r="88" spans="1:18" x14ac:dyDescent="0.2">
      <c r="A88" s="15"/>
      <c r="B88" s="15"/>
      <c r="C88" s="20"/>
      <c r="D88" s="15"/>
      <c r="E88" s="15"/>
      <c r="F88" s="21"/>
      <c r="G88" s="21"/>
      <c r="H88" s="17" t="str">
        <f>IFERROR(VLOOKUP(B88,'[1]Debt Holding Consolidated'!$C$1:$N$65536,12,FALSE),"")</f>
        <v/>
      </c>
    </row>
    <row r="89" spans="1:18" x14ac:dyDescent="0.2">
      <c r="A89" s="31"/>
      <c r="B89" s="31"/>
      <c r="C89" s="32" t="s">
        <v>517</v>
      </c>
      <c r="D89" s="31"/>
      <c r="E89" s="31"/>
      <c r="F89" s="33"/>
      <c r="G89" s="33"/>
      <c r="H89" s="34"/>
      <c r="L89" s="35"/>
      <c r="M89" s="35"/>
      <c r="N89" s="35"/>
      <c r="O89" s="35"/>
      <c r="P89" s="36"/>
      <c r="Q89" s="36"/>
      <c r="R89" s="36"/>
    </row>
    <row r="90" spans="1:18" ht="25.5" x14ac:dyDescent="0.2">
      <c r="A90" s="25">
        <v>1</v>
      </c>
      <c r="B90" s="26" t="s">
        <v>93</v>
      </c>
      <c r="C90" s="26" t="s">
        <v>94</v>
      </c>
      <c r="D90" s="26"/>
      <c r="E90" s="37">
        <v>2586.3710000000001</v>
      </c>
      <c r="F90" s="28">
        <v>267.72536716100001</v>
      </c>
      <c r="G90" s="29">
        <v>3.7699399999999998E-3</v>
      </c>
      <c r="H90" s="17"/>
    </row>
    <row r="91" spans="1:18" x14ac:dyDescent="0.2">
      <c r="A91" s="15"/>
      <c r="B91" s="15"/>
      <c r="C91" s="16" t="s">
        <v>11</v>
      </c>
      <c r="D91" s="15"/>
      <c r="E91" s="15" t="s">
        <v>12</v>
      </c>
      <c r="F91" s="24">
        <v>267.72536716100001</v>
      </c>
      <c r="G91" s="19">
        <v>3.7699399999999998E-3</v>
      </c>
      <c r="H91" s="17" t="s">
        <v>12</v>
      </c>
    </row>
    <row r="92" spans="1:18" x14ac:dyDescent="0.2">
      <c r="A92" s="15"/>
      <c r="B92" s="15"/>
      <c r="C92" s="20"/>
      <c r="D92" s="15"/>
      <c r="E92" s="15"/>
      <c r="F92" s="21"/>
      <c r="G92" s="21"/>
      <c r="H92" s="17" t="str">
        <f>IFERROR(VLOOKUP(B92,'[1]Debt Holding Consolidated'!$C$1:$N$65536,12,FALSE),"")</f>
        <v/>
      </c>
    </row>
    <row r="93" spans="1:18" x14ac:dyDescent="0.2">
      <c r="A93" s="15"/>
      <c r="B93" s="15"/>
      <c r="C93" s="16" t="s">
        <v>95</v>
      </c>
      <c r="D93" s="15"/>
      <c r="E93" s="15"/>
      <c r="F93" s="15"/>
      <c r="G93" s="15"/>
      <c r="H93" s="17" t="str">
        <f>IFERROR(VLOOKUP(B93,'[1]Debt Holding Consolidated'!$C$1:$N$65536,12,FALSE),"")</f>
        <v/>
      </c>
    </row>
    <row r="94" spans="1:18" x14ac:dyDescent="0.2">
      <c r="A94" s="15"/>
      <c r="B94" s="15"/>
      <c r="C94" s="16" t="s">
        <v>96</v>
      </c>
      <c r="D94" s="15"/>
      <c r="E94" s="15"/>
      <c r="F94" s="15"/>
      <c r="G94" s="15"/>
      <c r="H94" s="17" t="str">
        <f>IFERROR(VLOOKUP(B94,'[1]Debt Holding Consolidated'!$C$1:$N$65536,12,FALSE),"")</f>
        <v/>
      </c>
    </row>
    <row r="95" spans="1:18" x14ac:dyDescent="0.2">
      <c r="A95" s="15"/>
      <c r="B95" s="15"/>
      <c r="C95" s="16" t="s">
        <v>11</v>
      </c>
      <c r="D95" s="15"/>
      <c r="E95" s="15" t="s">
        <v>12</v>
      </c>
      <c r="F95" s="18" t="s">
        <v>13</v>
      </c>
      <c r="G95" s="19">
        <v>0</v>
      </c>
      <c r="H95" s="17" t="str">
        <f>IFERROR(VLOOKUP(B95,'[1]Debt Holding Consolidated'!$C$1:$N$65536,12,FALSE),"")</f>
        <v/>
      </c>
    </row>
    <row r="96" spans="1:18" x14ac:dyDescent="0.2">
      <c r="A96" s="15"/>
      <c r="B96" s="15"/>
      <c r="C96" s="20"/>
      <c r="D96" s="15"/>
      <c r="E96" s="15"/>
      <c r="F96" s="21"/>
      <c r="G96" s="21"/>
      <c r="H96" s="17" t="str">
        <f>IFERROR(VLOOKUP(B96,'[1]Debt Holding Consolidated'!$C$1:$N$65536,12,FALSE),"")</f>
        <v/>
      </c>
    </row>
    <row r="97" spans="1:8" x14ac:dyDescent="0.2">
      <c r="A97" s="15"/>
      <c r="B97" s="15"/>
      <c r="C97" s="16" t="s">
        <v>97</v>
      </c>
      <c r="D97" s="15"/>
      <c r="E97" s="15"/>
      <c r="F97" s="21"/>
      <c r="G97" s="21"/>
      <c r="H97" s="17" t="str">
        <f>IFERROR(VLOOKUP(B97,'[1]Debt Holding Consolidated'!$C$1:$N$65536,12,FALSE),"")</f>
        <v/>
      </c>
    </row>
    <row r="98" spans="1:8" x14ac:dyDescent="0.2">
      <c r="A98" s="15"/>
      <c r="B98" s="15"/>
      <c r="C98" s="16" t="s">
        <v>11</v>
      </c>
      <c r="D98" s="15"/>
      <c r="E98" s="15" t="s">
        <v>12</v>
      </c>
      <c r="F98" s="18" t="s">
        <v>13</v>
      </c>
      <c r="G98" s="19">
        <v>0</v>
      </c>
      <c r="H98" s="17" t="str">
        <f>IFERROR(VLOOKUP(B98,'[1]Debt Holding Consolidated'!$C$1:$N$65536,12,FALSE),"")</f>
        <v/>
      </c>
    </row>
    <row r="99" spans="1:8" x14ac:dyDescent="0.2">
      <c r="A99" s="15"/>
      <c r="B99" s="26"/>
      <c r="C99" s="26"/>
      <c r="D99" s="16"/>
      <c r="E99" s="15"/>
      <c r="F99" s="26"/>
      <c r="G99" s="30"/>
      <c r="H99" s="17" t="str">
        <f>IFERROR(VLOOKUP(B99,'[1]Debt Holding Consolidated'!$C$1:$N$65536,12,FALSE),"")</f>
        <v/>
      </c>
    </row>
    <row r="100" spans="1:8" x14ac:dyDescent="0.2">
      <c r="A100" s="30"/>
      <c r="B100" s="26"/>
      <c r="C100" s="26" t="s">
        <v>98</v>
      </c>
      <c r="D100" s="26"/>
      <c r="E100" s="30"/>
      <c r="F100" s="28">
        <v>1466.5704658300001</v>
      </c>
      <c r="G100" s="29">
        <v>2.0651329999999999E-2</v>
      </c>
      <c r="H100" s="17" t="str">
        <f>IFERROR(VLOOKUP(B100,'[1]Debt Holding Consolidated'!$C$1:$N$65536,12,FALSE),"")</f>
        <v/>
      </c>
    </row>
    <row r="101" spans="1:8" x14ac:dyDescent="0.2">
      <c r="A101" s="20"/>
      <c r="B101" s="20"/>
      <c r="C101" s="16" t="s">
        <v>99</v>
      </c>
      <c r="D101" s="21"/>
      <c r="E101" s="21"/>
      <c r="F101" s="24">
        <v>71015.778549993993</v>
      </c>
      <c r="G101" s="38">
        <v>1.00000004</v>
      </c>
      <c r="H101" s="17" t="str">
        <f>IFERROR(VLOOKUP(B101,'[1]Debt Holding Consolidated'!$C$1:$N$65536,12,FALSE),"")</f>
        <v/>
      </c>
    </row>
    <row r="102" spans="1:8" x14ac:dyDescent="0.2">
      <c r="A102" s="39"/>
      <c r="B102" s="39"/>
      <c r="C102" s="39"/>
      <c r="D102" s="40"/>
      <c r="E102" s="40"/>
      <c r="F102" s="40"/>
      <c r="G102" s="40"/>
    </row>
    <row r="103" spans="1:8" x14ac:dyDescent="0.2">
      <c r="A103" s="41"/>
      <c r="B103" s="113" t="s">
        <v>518</v>
      </c>
      <c r="C103" s="113"/>
      <c r="D103" s="113"/>
      <c r="E103" s="113"/>
      <c r="F103" s="113"/>
      <c r="G103" s="113"/>
      <c r="H103" s="113"/>
    </row>
    <row r="104" spans="1:8" x14ac:dyDescent="0.2">
      <c r="A104" s="41"/>
      <c r="B104" s="113" t="s">
        <v>519</v>
      </c>
      <c r="C104" s="113"/>
      <c r="D104" s="113"/>
      <c r="E104" s="113"/>
      <c r="F104" s="113"/>
      <c r="G104" s="113"/>
      <c r="H104" s="113"/>
    </row>
    <row r="105" spans="1:8" x14ac:dyDescent="0.2">
      <c r="A105" s="41"/>
      <c r="B105" s="113" t="s">
        <v>520</v>
      </c>
      <c r="C105" s="113"/>
      <c r="D105" s="113"/>
      <c r="E105" s="113"/>
      <c r="F105" s="113"/>
      <c r="G105" s="113"/>
      <c r="H105" s="113"/>
    </row>
    <row r="106" spans="1:8" x14ac:dyDescent="0.2">
      <c r="A106" s="41"/>
      <c r="B106" s="41"/>
      <c r="C106" s="41"/>
      <c r="D106" s="43"/>
      <c r="E106" s="43"/>
      <c r="F106" s="43"/>
      <c r="G106" s="43"/>
    </row>
    <row r="107" spans="1:8" x14ac:dyDescent="0.2">
      <c r="A107" s="44"/>
      <c r="B107" s="108" t="s">
        <v>100</v>
      </c>
      <c r="C107" s="109"/>
      <c r="D107" s="110"/>
      <c r="E107" s="45"/>
      <c r="F107" s="46"/>
      <c r="G107" s="46"/>
    </row>
    <row r="108" spans="1:8" x14ac:dyDescent="0.2">
      <c r="A108" s="44"/>
      <c r="B108" s="111" t="s">
        <v>101</v>
      </c>
      <c r="C108" s="112"/>
      <c r="D108" s="16" t="s">
        <v>102</v>
      </c>
      <c r="E108" s="45"/>
      <c r="F108" s="46"/>
      <c r="G108" s="46"/>
    </row>
    <row r="109" spans="1:8" x14ac:dyDescent="0.2">
      <c r="A109" s="44"/>
      <c r="B109" s="111" t="s">
        <v>103</v>
      </c>
      <c r="C109" s="112"/>
      <c r="D109" s="16" t="s">
        <v>102</v>
      </c>
      <c r="E109" s="45"/>
      <c r="F109" s="46"/>
      <c r="G109" s="46"/>
    </row>
    <row r="110" spans="1:8" x14ac:dyDescent="0.2">
      <c r="A110" s="44"/>
      <c r="B110" s="111" t="s">
        <v>104</v>
      </c>
      <c r="C110" s="112"/>
      <c r="D110" s="21" t="s">
        <v>12</v>
      </c>
      <c r="E110" s="45"/>
      <c r="F110" s="46"/>
      <c r="G110" s="46"/>
    </row>
    <row r="111" spans="1:8" x14ac:dyDescent="0.2">
      <c r="A111" s="47"/>
      <c r="B111" s="48" t="s">
        <v>12</v>
      </c>
      <c r="C111" s="48" t="s">
        <v>535</v>
      </c>
      <c r="D111" s="48" t="s">
        <v>105</v>
      </c>
      <c r="E111" s="47"/>
      <c r="F111" s="47"/>
      <c r="G111" s="47"/>
      <c r="H111" s="49"/>
    </row>
    <row r="112" spans="1:8" x14ac:dyDescent="0.2">
      <c r="A112" s="50"/>
      <c r="B112" s="51" t="s">
        <v>106</v>
      </c>
      <c r="C112" s="52" t="s">
        <v>107</v>
      </c>
      <c r="D112" s="52" t="s">
        <v>108</v>
      </c>
      <c r="E112" s="50"/>
      <c r="F112" s="50"/>
      <c r="G112" s="50"/>
    </row>
    <row r="113" spans="1:10" x14ac:dyDescent="0.2">
      <c r="A113" s="50"/>
      <c r="B113" s="26" t="s">
        <v>109</v>
      </c>
      <c r="C113" s="53">
        <v>38.377699999999997</v>
      </c>
      <c r="D113" s="53">
        <v>38.539299999999997</v>
      </c>
      <c r="E113" s="50"/>
      <c r="F113" s="54"/>
      <c r="G113" s="55"/>
    </row>
    <row r="114" spans="1:10" ht="25.5" x14ac:dyDescent="0.2">
      <c r="A114" s="50"/>
      <c r="B114" s="26" t="s">
        <v>570</v>
      </c>
      <c r="C114" s="53">
        <v>17.078199999999999</v>
      </c>
      <c r="D114" s="53">
        <v>17.150099999999998</v>
      </c>
      <c r="E114" s="50"/>
      <c r="F114" s="54"/>
      <c r="G114" s="55"/>
    </row>
    <row r="115" spans="1:10" ht="25.5" x14ac:dyDescent="0.2">
      <c r="A115" s="50"/>
      <c r="B115" s="26" t="s">
        <v>571</v>
      </c>
      <c r="C115" s="53">
        <v>18.911200000000001</v>
      </c>
      <c r="D115" s="53">
        <v>18.9908</v>
      </c>
      <c r="E115" s="50"/>
      <c r="F115" s="54"/>
      <c r="G115" s="55"/>
    </row>
    <row r="116" spans="1:10" ht="25.5" x14ac:dyDescent="0.2">
      <c r="A116" s="50"/>
      <c r="B116" s="26" t="s">
        <v>572</v>
      </c>
      <c r="C116" s="53">
        <v>17.113</v>
      </c>
      <c r="D116" s="53">
        <v>17.184799999999999</v>
      </c>
      <c r="E116" s="50"/>
      <c r="F116" s="54"/>
      <c r="G116" s="55"/>
    </row>
    <row r="117" spans="1:10" ht="25.5" x14ac:dyDescent="0.2">
      <c r="A117" s="50"/>
      <c r="B117" s="26" t="s">
        <v>573</v>
      </c>
      <c r="C117" s="53">
        <v>17.369199999999999</v>
      </c>
      <c r="D117" s="53">
        <v>17.442299999999999</v>
      </c>
      <c r="E117" s="50"/>
      <c r="F117" s="54"/>
      <c r="G117" s="55"/>
    </row>
    <row r="118" spans="1:10" x14ac:dyDescent="0.2">
      <c r="A118" s="50"/>
      <c r="B118" s="26" t="s">
        <v>110</v>
      </c>
      <c r="C118" s="53">
        <v>37.191200000000002</v>
      </c>
      <c r="D118" s="53">
        <v>37.344299999999997</v>
      </c>
      <c r="E118" s="50"/>
      <c r="F118" s="54"/>
      <c r="G118" s="55"/>
      <c r="J118"/>
    </row>
    <row r="119" spans="1:10" ht="25.5" x14ac:dyDescent="0.2">
      <c r="A119" s="50"/>
      <c r="B119" s="26" t="s">
        <v>574</v>
      </c>
      <c r="C119" s="53">
        <v>16.157</v>
      </c>
      <c r="D119" s="53">
        <v>16.223500000000001</v>
      </c>
      <c r="E119" s="50"/>
      <c r="F119" s="54"/>
      <c r="G119" s="55"/>
      <c r="J119"/>
    </row>
    <row r="120" spans="1:10" ht="25.5" x14ac:dyDescent="0.2">
      <c r="A120" s="50"/>
      <c r="B120" s="26" t="s">
        <v>575</v>
      </c>
      <c r="C120" s="53">
        <v>18.3672</v>
      </c>
      <c r="D120" s="53">
        <v>18.442699999999999</v>
      </c>
      <c r="E120" s="50"/>
      <c r="F120" s="54"/>
      <c r="G120" s="55"/>
      <c r="J120"/>
    </row>
    <row r="121" spans="1:10" ht="25.5" x14ac:dyDescent="0.2">
      <c r="A121" s="50"/>
      <c r="B121" s="26" t="s">
        <v>576</v>
      </c>
      <c r="C121" s="53">
        <v>17.0136</v>
      </c>
      <c r="D121" s="53">
        <v>17.083600000000001</v>
      </c>
      <c r="E121" s="50"/>
      <c r="F121" s="54"/>
      <c r="G121" s="55"/>
      <c r="J121"/>
    </row>
    <row r="122" spans="1:10" ht="25.5" x14ac:dyDescent="0.2">
      <c r="A122" s="50"/>
      <c r="B122" s="26" t="s">
        <v>577</v>
      </c>
      <c r="C122" s="53">
        <v>16.875900000000001</v>
      </c>
      <c r="D122" s="53">
        <v>16.945399999999999</v>
      </c>
      <c r="E122" s="50"/>
      <c r="F122" s="54"/>
      <c r="G122" s="55"/>
      <c r="J122"/>
    </row>
    <row r="123" spans="1:10" x14ac:dyDescent="0.2">
      <c r="A123" s="50"/>
      <c r="B123" s="50"/>
      <c r="C123" s="50"/>
      <c r="D123" s="50"/>
      <c r="E123" s="50"/>
      <c r="F123" s="50"/>
      <c r="G123" s="50"/>
      <c r="J123"/>
    </row>
    <row r="124" spans="1:10" x14ac:dyDescent="0.2">
      <c r="A124" s="50"/>
      <c r="B124" s="111" t="s">
        <v>578</v>
      </c>
      <c r="C124" s="112"/>
      <c r="D124" s="32" t="s">
        <v>102</v>
      </c>
      <c r="E124" s="50"/>
      <c r="F124" s="50"/>
      <c r="G124" s="50"/>
      <c r="J124"/>
    </row>
    <row r="125" spans="1:10" x14ac:dyDescent="0.2">
      <c r="A125" s="50"/>
      <c r="B125" s="56"/>
      <c r="C125" s="56"/>
      <c r="D125" s="56"/>
      <c r="E125" s="50"/>
      <c r="F125" s="50"/>
      <c r="G125" s="50"/>
    </row>
    <row r="126" spans="1:10" x14ac:dyDescent="0.2">
      <c r="A126" s="47"/>
      <c r="B126" s="105" t="s">
        <v>111</v>
      </c>
      <c r="C126" s="106"/>
      <c r="D126" s="32" t="s">
        <v>102</v>
      </c>
      <c r="E126" s="57"/>
      <c r="F126" s="47"/>
      <c r="G126" s="47"/>
    </row>
    <row r="127" spans="1:10" x14ac:dyDescent="0.2">
      <c r="A127" s="47"/>
      <c r="B127" s="105" t="s">
        <v>112</v>
      </c>
      <c r="C127" s="106"/>
      <c r="D127" s="32" t="s">
        <v>102</v>
      </c>
      <c r="E127" s="57"/>
      <c r="F127" s="47"/>
      <c r="G127" s="47"/>
    </row>
    <row r="128" spans="1:10" x14ac:dyDescent="0.2">
      <c r="A128" s="47"/>
      <c r="B128" s="105" t="s">
        <v>522</v>
      </c>
      <c r="C128" s="106"/>
      <c r="D128" s="32" t="s">
        <v>102</v>
      </c>
      <c r="E128" s="57"/>
      <c r="F128" s="47"/>
      <c r="G128" s="47"/>
      <c r="J128"/>
    </row>
    <row r="129" spans="1:15" x14ac:dyDescent="0.2">
      <c r="A129" s="56"/>
      <c r="B129" s="56"/>
      <c r="C129" s="56"/>
      <c r="D129" s="56"/>
      <c r="E129" s="56"/>
      <c r="F129" s="56"/>
      <c r="G129" s="56"/>
      <c r="J129"/>
    </row>
    <row r="130" spans="1:15" s="58" customFormat="1" x14ac:dyDescent="0.2">
      <c r="B130" s="118" t="s">
        <v>523</v>
      </c>
      <c r="C130" s="119"/>
      <c r="D130" s="120"/>
      <c r="I130"/>
      <c r="J130" s="11"/>
      <c r="K130" s="35"/>
      <c r="L130" s="35"/>
      <c r="M130" s="35"/>
      <c r="N130" s="35"/>
      <c r="O130" s="35"/>
    </row>
    <row r="131" spans="1:15" s="58" customFormat="1" ht="38.25" x14ac:dyDescent="0.2">
      <c r="B131" s="121" t="s">
        <v>524</v>
      </c>
      <c r="C131" s="121"/>
      <c r="D131" s="59" t="s">
        <v>1</v>
      </c>
      <c r="I131"/>
      <c r="J131" s="11"/>
      <c r="K131" s="35"/>
      <c r="L131" s="35"/>
      <c r="M131" s="35"/>
      <c r="N131" s="35"/>
      <c r="O131" s="35"/>
    </row>
    <row r="132" spans="1:15" s="58" customFormat="1" x14ac:dyDescent="0.2">
      <c r="B132" s="114" t="s">
        <v>525</v>
      </c>
      <c r="C132" s="114"/>
      <c r="D132" s="60"/>
      <c r="I132"/>
      <c r="J132" s="11"/>
      <c r="K132" s="35"/>
      <c r="L132" s="35"/>
      <c r="M132" s="35"/>
      <c r="N132" s="35"/>
      <c r="O132" s="35"/>
    </row>
    <row r="133" spans="1:15" s="58" customFormat="1" x14ac:dyDescent="0.2">
      <c r="B133" s="115"/>
      <c r="C133" s="116"/>
      <c r="D133" s="61"/>
      <c r="I133"/>
      <c r="J133" s="11"/>
      <c r="K133" s="35"/>
      <c r="L133" s="35"/>
      <c r="M133" s="35"/>
      <c r="N133" s="35"/>
      <c r="O133" s="35"/>
    </row>
    <row r="134" spans="1:15" s="58" customFormat="1" x14ac:dyDescent="0.2">
      <c r="B134" s="114" t="s">
        <v>526</v>
      </c>
      <c r="C134" s="114"/>
      <c r="D134" s="62">
        <v>7.413363167265044</v>
      </c>
      <c r="I134"/>
      <c r="J134" s="11"/>
      <c r="K134" s="35"/>
      <c r="L134" s="35"/>
      <c r="M134" s="35"/>
      <c r="N134" s="35"/>
      <c r="O134" s="35"/>
    </row>
    <row r="135" spans="1:15" s="58" customFormat="1" x14ac:dyDescent="0.2">
      <c r="B135" s="115"/>
      <c r="C135" s="116"/>
      <c r="D135" s="61"/>
      <c r="I135"/>
      <c r="J135" s="11"/>
      <c r="K135" s="35"/>
      <c r="L135" s="35"/>
      <c r="M135" s="35"/>
      <c r="N135" s="35"/>
      <c r="O135" s="35"/>
    </row>
    <row r="136" spans="1:15" s="58" customFormat="1" x14ac:dyDescent="0.2">
      <c r="B136" s="114" t="s">
        <v>527</v>
      </c>
      <c r="C136" s="114"/>
      <c r="D136" s="62">
        <v>4.0945057038351891</v>
      </c>
      <c r="I136"/>
      <c r="J136" s="11"/>
      <c r="K136" s="35"/>
      <c r="L136" s="35"/>
      <c r="M136" s="35"/>
      <c r="N136" s="35"/>
      <c r="O136" s="35"/>
    </row>
    <row r="137" spans="1:15" s="58" customFormat="1" x14ac:dyDescent="0.2">
      <c r="B137" s="114" t="s">
        <v>528</v>
      </c>
      <c r="C137" s="114"/>
      <c r="D137" s="62">
        <v>5.6119862004386025</v>
      </c>
      <c r="I137"/>
      <c r="J137" s="11"/>
      <c r="K137" s="35"/>
      <c r="L137" s="35"/>
      <c r="M137" s="35"/>
      <c r="N137" s="35"/>
      <c r="O137" s="35"/>
    </row>
    <row r="138" spans="1:15" s="58" customFormat="1" x14ac:dyDescent="0.2">
      <c r="B138" s="115"/>
      <c r="C138" s="116"/>
      <c r="D138" s="61"/>
      <c r="I138"/>
      <c r="J138" s="11"/>
      <c r="K138" s="35"/>
      <c r="L138" s="35"/>
      <c r="M138" s="35"/>
      <c r="N138" s="35"/>
      <c r="O138" s="35"/>
    </row>
    <row r="139" spans="1:15" s="58" customFormat="1" ht="25.5" x14ac:dyDescent="0.2">
      <c r="B139" s="114" t="s">
        <v>529</v>
      </c>
      <c r="C139" s="114"/>
      <c r="D139" s="63" t="s">
        <v>564</v>
      </c>
      <c r="I139"/>
      <c r="J139" s="11"/>
      <c r="K139" s="35"/>
      <c r="L139" s="35"/>
      <c r="M139" s="35"/>
      <c r="N139" s="35"/>
      <c r="O139" s="35"/>
    </row>
    <row r="140" spans="1:15" s="58" customFormat="1" x14ac:dyDescent="0.2">
      <c r="B140" s="115" t="s">
        <v>530</v>
      </c>
      <c r="C140" s="117"/>
      <c r="D140" s="116"/>
      <c r="I140"/>
      <c r="J140" s="11"/>
      <c r="K140" s="35"/>
      <c r="L140" s="35"/>
      <c r="M140" s="35"/>
      <c r="N140" s="35"/>
      <c r="O140" s="35"/>
    </row>
  </sheetData>
  <mergeCells count="25">
    <mergeCell ref="B137:C137"/>
    <mergeCell ref="B138:C138"/>
    <mergeCell ref="B139:C139"/>
    <mergeCell ref="B140:D140"/>
    <mergeCell ref="B130:D130"/>
    <mergeCell ref="B133:C133"/>
    <mergeCell ref="B134:C134"/>
    <mergeCell ref="B135:C135"/>
    <mergeCell ref="B136:C136"/>
    <mergeCell ref="B131:C131"/>
    <mergeCell ref="B132:C132"/>
    <mergeCell ref="B128:C128"/>
    <mergeCell ref="A1:H1"/>
    <mergeCell ref="A2:H2"/>
    <mergeCell ref="A3:H3"/>
    <mergeCell ref="B107:D107"/>
    <mergeCell ref="B108:C108"/>
    <mergeCell ref="B103:H103"/>
    <mergeCell ref="B104:H104"/>
    <mergeCell ref="B105:H105"/>
    <mergeCell ref="B126:C126"/>
    <mergeCell ref="B127:C127"/>
    <mergeCell ref="B109:C109"/>
    <mergeCell ref="B110:C110"/>
    <mergeCell ref="B124:C124"/>
  </mergeCells>
  <hyperlinks>
    <hyperlink ref="I1" location="Index!B2" display="Index" xr:uid="{1C000BFA-99B4-4A08-BDA8-E1EB3A4BC35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4585-6C09-461A-AA14-9AF89709D2F8}">
  <sheetPr>
    <outlinePr summaryBelow="0" summaryRight="0"/>
  </sheetPr>
  <dimension ref="A1:R131"/>
  <sheetViews>
    <sheetView showGridLines="0" workbookViewId="0">
      <selection sqref="A1:H1"/>
    </sheetView>
  </sheetViews>
  <sheetFormatPr defaultRowHeight="12.75" x14ac:dyDescent="0.2"/>
  <cols>
    <col min="1" max="1" width="5.85546875" bestFit="1" customWidth="1"/>
    <col min="2" max="2" width="19.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11" customWidth="1"/>
  </cols>
  <sheetData>
    <row r="1" spans="1:11" ht="15" x14ac:dyDescent="0.2">
      <c r="A1" s="107" t="s">
        <v>0</v>
      </c>
      <c r="B1" s="107"/>
      <c r="C1" s="107"/>
      <c r="D1" s="107"/>
      <c r="E1" s="107"/>
      <c r="F1" s="107"/>
      <c r="G1" s="107"/>
      <c r="H1" s="107"/>
      <c r="I1" s="1" t="s">
        <v>587</v>
      </c>
      <c r="K1" s="1"/>
    </row>
    <row r="2" spans="1:11" ht="15" x14ac:dyDescent="0.2">
      <c r="A2" s="107" t="s">
        <v>113</v>
      </c>
      <c r="B2" s="107"/>
      <c r="C2" s="107"/>
      <c r="D2" s="107"/>
      <c r="E2" s="107"/>
      <c r="F2" s="107"/>
      <c r="G2" s="107"/>
      <c r="H2" s="107"/>
      <c r="J2" s="12" t="s">
        <v>588</v>
      </c>
    </row>
    <row r="3" spans="1:11" ht="15" x14ac:dyDescent="0.2">
      <c r="A3" s="107" t="s">
        <v>501</v>
      </c>
      <c r="B3" s="107"/>
      <c r="C3" s="107"/>
      <c r="D3" s="107"/>
      <c r="E3" s="107"/>
      <c r="F3" s="107"/>
      <c r="G3" s="107"/>
      <c r="H3" s="107"/>
    </row>
    <row r="4" spans="1:11" s="11" customFormat="1" ht="30" x14ac:dyDescent="0.2">
      <c r="A4" s="13" t="s">
        <v>2</v>
      </c>
      <c r="B4" s="13" t="s">
        <v>3</v>
      </c>
      <c r="C4" s="13" t="s">
        <v>4</v>
      </c>
      <c r="D4" s="13" t="s">
        <v>5</v>
      </c>
      <c r="E4" s="13" t="s">
        <v>6</v>
      </c>
      <c r="F4" s="13" t="s">
        <v>7</v>
      </c>
      <c r="G4" s="13" t="s">
        <v>8</v>
      </c>
      <c r="H4" s="14" t="s">
        <v>502</v>
      </c>
    </row>
    <row r="5" spans="1:11" x14ac:dyDescent="0.2">
      <c r="A5" s="15"/>
      <c r="B5" s="15"/>
      <c r="C5" s="16" t="s">
        <v>9</v>
      </c>
      <c r="D5" s="15"/>
      <c r="E5" s="15"/>
      <c r="F5" s="15"/>
      <c r="G5" s="15"/>
      <c r="H5" s="17" t="str">
        <f>IFERROR(VLOOKUP(B5,'[1]Debt Holding Consolidated'!$C$1:$N$65536,12,FALSE),"")</f>
        <v/>
      </c>
    </row>
    <row r="6" spans="1:11" x14ac:dyDescent="0.2">
      <c r="A6" s="15"/>
      <c r="B6" s="15"/>
      <c r="C6" s="16" t="s">
        <v>10</v>
      </c>
      <c r="D6" s="15"/>
      <c r="E6" s="15"/>
      <c r="F6" s="15"/>
      <c r="G6" s="15"/>
      <c r="H6" s="17" t="str">
        <f>IFERROR(VLOOKUP(B6,'[1]Debt Holding Consolidated'!$C$1:$N$65536,12,FALSE),"")</f>
        <v/>
      </c>
    </row>
    <row r="7" spans="1:11" x14ac:dyDescent="0.2">
      <c r="A7" s="15"/>
      <c r="B7" s="15"/>
      <c r="C7" s="16" t="s">
        <v>11</v>
      </c>
      <c r="D7" s="15"/>
      <c r="E7" s="15" t="s">
        <v>12</v>
      </c>
      <c r="F7" s="18" t="s">
        <v>13</v>
      </c>
      <c r="G7" s="19">
        <v>0</v>
      </c>
      <c r="H7" s="17" t="str">
        <f>IFERROR(VLOOKUP(B7,'[1]Debt Holding Consolidated'!$C$1:$N$65536,12,FALSE),"")</f>
        <v/>
      </c>
    </row>
    <row r="8" spans="1:11" x14ac:dyDescent="0.2">
      <c r="A8" s="15"/>
      <c r="B8" s="15"/>
      <c r="C8" s="20"/>
      <c r="D8" s="15"/>
      <c r="E8" s="15"/>
      <c r="F8" s="21"/>
      <c r="G8" s="21"/>
      <c r="H8" s="17" t="str">
        <f>IFERROR(VLOOKUP(B8,'[1]Debt Holding Consolidated'!$C$1:$N$65536,12,FALSE),"")</f>
        <v/>
      </c>
    </row>
    <row r="9" spans="1:11" x14ac:dyDescent="0.2">
      <c r="A9" s="15"/>
      <c r="B9" s="15"/>
      <c r="C9" s="16" t="s">
        <v>14</v>
      </c>
      <c r="D9" s="15"/>
      <c r="E9" s="15"/>
      <c r="F9" s="15"/>
      <c r="G9" s="15"/>
      <c r="H9" s="17" t="str">
        <f>IFERROR(VLOOKUP(B9,'[1]Debt Holding Consolidated'!$C$1:$N$65536,12,FALSE),"")</f>
        <v/>
      </c>
    </row>
    <row r="10" spans="1:11" x14ac:dyDescent="0.2">
      <c r="A10" s="15"/>
      <c r="B10" s="15"/>
      <c r="C10" s="16" t="s">
        <v>11</v>
      </c>
      <c r="D10" s="15"/>
      <c r="E10" s="15" t="s">
        <v>12</v>
      </c>
      <c r="F10" s="18" t="s">
        <v>13</v>
      </c>
      <c r="G10" s="19">
        <v>0</v>
      </c>
      <c r="H10" s="17" t="str">
        <f>IFERROR(VLOOKUP(B10,'[1]Debt Holding Consolidated'!$C$1:$N$65536,12,FALSE),"")</f>
        <v/>
      </c>
    </row>
    <row r="11" spans="1:11" x14ac:dyDescent="0.2">
      <c r="A11" s="15"/>
      <c r="B11" s="15"/>
      <c r="C11" s="20"/>
      <c r="D11" s="15"/>
      <c r="E11" s="15"/>
      <c r="F11" s="21"/>
      <c r="G11" s="21"/>
      <c r="H11" s="17" t="str">
        <f>IFERROR(VLOOKUP(B11,'[1]Debt Holding Consolidated'!$C$1:$N$65536,12,FALSE),"")</f>
        <v/>
      </c>
    </row>
    <row r="12" spans="1:11" ht="15" x14ac:dyDescent="0.2">
      <c r="A12" s="15"/>
      <c r="B12" s="15"/>
      <c r="C12" s="16" t="s">
        <v>15</v>
      </c>
      <c r="D12" s="15"/>
      <c r="E12" s="15"/>
      <c r="F12" s="15"/>
      <c r="G12" s="15"/>
      <c r="H12" s="17" t="str">
        <f>IFERROR(VLOOKUP(B12,'[1]Debt Holding Consolidated'!$C$1:$N$65536,12,FALSE),"")</f>
        <v/>
      </c>
      <c r="J12" s="22"/>
    </row>
    <row r="13" spans="1:11" x14ac:dyDescent="0.2">
      <c r="A13" s="15"/>
      <c r="B13" s="15"/>
      <c r="C13" s="16" t="s">
        <v>11</v>
      </c>
      <c r="D13" s="15"/>
      <c r="E13" s="15" t="s">
        <v>12</v>
      </c>
      <c r="F13" s="18" t="s">
        <v>13</v>
      </c>
      <c r="G13" s="19">
        <v>0</v>
      </c>
      <c r="H13" s="17" t="str">
        <f>IFERROR(VLOOKUP(B13,'[1]Debt Holding Consolidated'!$C$1:$N$65536,12,FALSE),"")</f>
        <v/>
      </c>
      <c r="J13" s="23"/>
    </row>
    <row r="14" spans="1:11" x14ac:dyDescent="0.2">
      <c r="A14" s="15"/>
      <c r="B14" s="15"/>
      <c r="C14" s="20"/>
      <c r="D14" s="15"/>
      <c r="E14" s="15"/>
      <c r="F14" s="21"/>
      <c r="G14" s="21"/>
      <c r="H14" s="17" t="str">
        <f>IFERROR(VLOOKUP(B14,'[1]Debt Holding Consolidated'!$C$1:$N$65536,12,FALSE),"")</f>
        <v/>
      </c>
      <c r="J14" s="23"/>
    </row>
    <row r="15" spans="1:11" ht="25.5" x14ac:dyDescent="0.2">
      <c r="A15" s="15"/>
      <c r="B15" s="15"/>
      <c r="C15" s="16" t="s">
        <v>16</v>
      </c>
      <c r="D15" s="15"/>
      <c r="E15" s="15"/>
      <c r="F15" s="15"/>
      <c r="G15" s="15"/>
      <c r="H15" s="17" t="str">
        <f>IFERROR(VLOOKUP(B15,'[1]Debt Holding Consolidated'!$C$1:$N$65536,12,FALSE),"")</f>
        <v/>
      </c>
      <c r="J15" s="23" t="s">
        <v>591</v>
      </c>
    </row>
    <row r="16" spans="1:11" x14ac:dyDescent="0.2">
      <c r="A16" s="15"/>
      <c r="B16" s="15"/>
      <c r="C16" s="16" t="s">
        <v>11</v>
      </c>
      <c r="D16" s="15"/>
      <c r="E16" s="15" t="s">
        <v>12</v>
      </c>
      <c r="F16" s="18" t="s">
        <v>13</v>
      </c>
      <c r="G16" s="19">
        <v>0</v>
      </c>
      <c r="H16" s="17" t="str">
        <f>IFERROR(VLOOKUP(B16,'[1]Debt Holding Consolidated'!$C$1:$N$65536,12,FALSE),"")</f>
        <v/>
      </c>
    </row>
    <row r="17" spans="1:10" x14ac:dyDescent="0.2">
      <c r="A17" s="15"/>
      <c r="B17" s="15"/>
      <c r="C17" s="20"/>
      <c r="D17" s="15"/>
      <c r="E17" s="15"/>
      <c r="F17" s="21"/>
      <c r="G17" s="21"/>
      <c r="H17" s="17" t="str">
        <f>IFERROR(VLOOKUP(B17,'[1]Debt Holding Consolidated'!$C$1:$N$65536,12,FALSE),"")</f>
        <v/>
      </c>
    </row>
    <row r="18" spans="1:10" x14ac:dyDescent="0.2">
      <c r="A18" s="15"/>
      <c r="B18" s="15"/>
      <c r="C18" s="16" t="s">
        <v>17</v>
      </c>
      <c r="D18" s="15"/>
      <c r="E18" s="15"/>
      <c r="F18" s="21"/>
      <c r="G18" s="21"/>
      <c r="H18" s="17" t="str">
        <f>IFERROR(VLOOKUP(B18,'[1]Debt Holding Consolidated'!$C$1:$N$65536,12,FALSE),"")</f>
        <v/>
      </c>
    </row>
    <row r="19" spans="1:10" x14ac:dyDescent="0.2">
      <c r="A19" s="15"/>
      <c r="B19" s="15"/>
      <c r="C19" s="16" t="s">
        <v>11</v>
      </c>
      <c r="D19" s="15"/>
      <c r="E19" s="15" t="s">
        <v>12</v>
      </c>
      <c r="F19" s="18" t="s">
        <v>13</v>
      </c>
      <c r="G19" s="19">
        <v>0</v>
      </c>
      <c r="H19" s="17" t="str">
        <f>IFERROR(VLOOKUP(B19,'[1]Debt Holding Consolidated'!$C$1:$N$65536,12,FALSE),"")</f>
        <v/>
      </c>
    </row>
    <row r="20" spans="1:10" x14ac:dyDescent="0.2">
      <c r="A20" s="15"/>
      <c r="B20" s="15"/>
      <c r="C20" s="20"/>
      <c r="D20" s="15"/>
      <c r="E20" s="15"/>
      <c r="F20" s="21"/>
      <c r="G20" s="21"/>
      <c r="H20" s="17" t="str">
        <f>IFERROR(VLOOKUP(B20,'[1]Debt Holding Consolidated'!$C$1:$N$65536,12,FALSE),"")</f>
        <v/>
      </c>
    </row>
    <row r="21" spans="1:10" x14ac:dyDescent="0.2">
      <c r="A21" s="15"/>
      <c r="B21" s="15"/>
      <c r="C21" s="16" t="s">
        <v>18</v>
      </c>
      <c r="D21" s="15"/>
      <c r="E21" s="15"/>
      <c r="F21" s="21"/>
      <c r="G21" s="21"/>
      <c r="H21" s="17" t="str">
        <f>IFERROR(VLOOKUP(B21,'[1]Debt Holding Consolidated'!$C$1:$N$65536,12,FALSE),"")</f>
        <v/>
      </c>
    </row>
    <row r="22" spans="1:10" ht="15" x14ac:dyDescent="0.2">
      <c r="A22" s="15"/>
      <c r="B22" s="15"/>
      <c r="C22" s="16" t="s">
        <v>11</v>
      </c>
      <c r="D22" s="15"/>
      <c r="E22" s="15" t="s">
        <v>12</v>
      </c>
      <c r="F22" s="18" t="s">
        <v>13</v>
      </c>
      <c r="G22" s="19">
        <v>0</v>
      </c>
      <c r="H22" s="17" t="str">
        <f>IFERROR(VLOOKUP(B22,'[1]Debt Holding Consolidated'!$C$1:$N$65536,12,FALSE),"")</f>
        <v/>
      </c>
      <c r="J22" s="22"/>
    </row>
    <row r="23" spans="1:10" x14ac:dyDescent="0.2">
      <c r="A23" s="15"/>
      <c r="B23" s="15"/>
      <c r="C23" s="20"/>
      <c r="D23" s="15"/>
      <c r="E23" s="15"/>
      <c r="F23" s="21"/>
      <c r="G23" s="21"/>
      <c r="H23" s="17" t="str">
        <f>IFERROR(VLOOKUP(B23,'[1]Debt Holding Consolidated'!$C$1:$N$65536,12,FALSE),"")</f>
        <v/>
      </c>
      <c r="J23" s="23"/>
    </row>
    <row r="24" spans="1:10" x14ac:dyDescent="0.2">
      <c r="A24" s="15"/>
      <c r="B24" s="15"/>
      <c r="C24" s="16" t="s">
        <v>19</v>
      </c>
      <c r="D24" s="15"/>
      <c r="E24" s="15"/>
      <c r="F24" s="24">
        <v>0</v>
      </c>
      <c r="G24" s="19">
        <v>0</v>
      </c>
      <c r="H24" s="17" t="str">
        <f>IFERROR(VLOOKUP(B24,'[1]Debt Holding Consolidated'!$C$1:$N$65536,12,FALSE),"")</f>
        <v/>
      </c>
    </row>
    <row r="25" spans="1:10" x14ac:dyDescent="0.2">
      <c r="A25" s="15"/>
      <c r="B25" s="15"/>
      <c r="C25" s="20"/>
      <c r="D25" s="15"/>
      <c r="E25" s="15"/>
      <c r="F25" s="21"/>
      <c r="G25" s="21"/>
      <c r="H25" s="17" t="str">
        <f>IFERROR(VLOOKUP(B25,'[1]Debt Holding Consolidated'!$C$1:$N$65536,12,FALSE),"")</f>
        <v/>
      </c>
    </row>
    <row r="26" spans="1:10" x14ac:dyDescent="0.2">
      <c r="A26" s="15"/>
      <c r="B26" s="15"/>
      <c r="C26" s="16" t="s">
        <v>20</v>
      </c>
      <c r="D26" s="15"/>
      <c r="E26" s="15"/>
      <c r="F26" s="21"/>
      <c r="G26" s="21"/>
      <c r="H26" s="17" t="str">
        <f>IFERROR(VLOOKUP(B26,'[1]Debt Holding Consolidated'!$C$1:$N$65536,12,FALSE),"")</f>
        <v/>
      </c>
    </row>
    <row r="27" spans="1:10" x14ac:dyDescent="0.2">
      <c r="A27" s="15"/>
      <c r="B27" s="15"/>
      <c r="C27" s="16" t="s">
        <v>10</v>
      </c>
      <c r="D27" s="15"/>
      <c r="E27" s="15"/>
      <c r="F27" s="21"/>
      <c r="G27" s="21"/>
      <c r="H27" s="17" t="str">
        <f>IFERROR(VLOOKUP(B27,'[1]Debt Holding Consolidated'!$C$1:$N$65536,12,FALSE),"")</f>
        <v/>
      </c>
      <c r="J27" s="23"/>
    </row>
    <row r="28" spans="1:10" ht="25.5" x14ac:dyDescent="0.2">
      <c r="A28" s="25">
        <v>1</v>
      </c>
      <c r="B28" s="26" t="s">
        <v>49</v>
      </c>
      <c r="C28" s="26" t="s">
        <v>50</v>
      </c>
      <c r="D28" s="26" t="s">
        <v>32</v>
      </c>
      <c r="E28" s="27">
        <v>300</v>
      </c>
      <c r="F28" s="28">
        <v>3003.0540000000001</v>
      </c>
      <c r="G28" s="29">
        <v>9.0456629999999996E-2</v>
      </c>
      <c r="H28" s="17">
        <f>IFERROR(VLOOKUP(B28,'[1]Debt Holding Consolidated'!$C$1:$N$65536,12,FALSE),"")</f>
        <v>7.3849999999999998</v>
      </c>
      <c r="J28" s="23" t="s">
        <v>590</v>
      </c>
    </row>
    <row r="29" spans="1:10" x14ac:dyDescent="0.2">
      <c r="A29" s="25">
        <v>2</v>
      </c>
      <c r="B29" s="26" t="s">
        <v>114</v>
      </c>
      <c r="C29" s="26" t="s">
        <v>115</v>
      </c>
      <c r="D29" s="26" t="s">
        <v>32</v>
      </c>
      <c r="E29" s="27">
        <v>250</v>
      </c>
      <c r="F29" s="28">
        <v>2502.2399999999998</v>
      </c>
      <c r="G29" s="29">
        <v>7.5371339999999995E-2</v>
      </c>
      <c r="H29" s="17">
        <f>IFERROR(VLOOKUP(B29,'[1]Debt Holding Consolidated'!$C$1:$N$65536,12,FALSE),"")</f>
        <v>7.5</v>
      </c>
      <c r="J29" s="23"/>
    </row>
    <row r="30" spans="1:10" ht="25.5" x14ac:dyDescent="0.2">
      <c r="A30" s="25">
        <v>3</v>
      </c>
      <c r="B30" s="26" t="s">
        <v>116</v>
      </c>
      <c r="C30" s="26" t="s">
        <v>117</v>
      </c>
      <c r="D30" s="26" t="s">
        <v>32</v>
      </c>
      <c r="E30" s="27">
        <v>250</v>
      </c>
      <c r="F30" s="28">
        <v>2455.9675000000002</v>
      </c>
      <c r="G30" s="29">
        <v>7.3977539999999994E-2</v>
      </c>
      <c r="H30" s="17">
        <f>IFERROR(VLOOKUP(B30,'[1]Debt Holding Consolidated'!$C$1:$N$65536,12,FALSE),"")</f>
        <v>7.6050000000000004</v>
      </c>
    </row>
    <row r="31" spans="1:10" x14ac:dyDescent="0.2">
      <c r="A31" s="25">
        <v>4</v>
      </c>
      <c r="B31" s="26" t="s">
        <v>118</v>
      </c>
      <c r="C31" s="26" t="s">
        <v>119</v>
      </c>
      <c r="D31" s="26" t="s">
        <v>23</v>
      </c>
      <c r="E31" s="27">
        <v>2000</v>
      </c>
      <c r="F31" s="28">
        <v>2005.6379999999999</v>
      </c>
      <c r="G31" s="29">
        <v>6.0412920000000002E-2</v>
      </c>
      <c r="H31" s="17">
        <f>IFERROR(VLOOKUP(B31,'[1]Debt Holding Consolidated'!$C$1:$N$65536,12,FALSE),"")</f>
        <v>7.47</v>
      </c>
    </row>
    <row r="32" spans="1:10" ht="25.5" x14ac:dyDescent="0.2">
      <c r="A32" s="25">
        <v>5</v>
      </c>
      <c r="B32" s="26" t="s">
        <v>120</v>
      </c>
      <c r="C32" s="26" t="s">
        <v>121</v>
      </c>
      <c r="D32" s="26" t="s">
        <v>32</v>
      </c>
      <c r="E32" s="27">
        <v>200</v>
      </c>
      <c r="F32" s="28">
        <v>1995.08</v>
      </c>
      <c r="G32" s="29">
        <v>6.0094889999999998E-2</v>
      </c>
      <c r="H32" s="17">
        <f>IFERROR(VLOOKUP(B32,'[1]Debt Holding Consolidated'!$C$1:$N$65536,12,FALSE),"")</f>
        <v>7.7050000000000001</v>
      </c>
    </row>
    <row r="33" spans="1:8" ht="25.5" x14ac:dyDescent="0.2">
      <c r="A33" s="25">
        <v>6</v>
      </c>
      <c r="B33" s="26" t="s">
        <v>122</v>
      </c>
      <c r="C33" s="26" t="s">
        <v>123</v>
      </c>
      <c r="D33" s="26" t="s">
        <v>32</v>
      </c>
      <c r="E33" s="27">
        <v>200</v>
      </c>
      <c r="F33" s="28">
        <v>1945.0060000000001</v>
      </c>
      <c r="G33" s="29">
        <v>5.8586590000000001E-2</v>
      </c>
      <c r="H33" s="17">
        <f>IFERROR(VLOOKUP(B33,'[1]Debt Holding Consolidated'!$C$1:$N$65536,12,FALSE),"")</f>
        <v>7.5987999999999998</v>
      </c>
    </row>
    <row r="34" spans="1:8" ht="25.5" x14ac:dyDescent="0.2">
      <c r="A34" s="25">
        <v>7</v>
      </c>
      <c r="B34" s="26" t="s">
        <v>33</v>
      </c>
      <c r="C34" s="26" t="s">
        <v>34</v>
      </c>
      <c r="D34" s="26" t="s">
        <v>23</v>
      </c>
      <c r="E34" s="27">
        <v>1500</v>
      </c>
      <c r="F34" s="28">
        <v>1504.9829999999999</v>
      </c>
      <c r="G34" s="29">
        <v>4.5332419999999998E-2</v>
      </c>
      <c r="H34" s="17">
        <f>IFERROR(VLOOKUP(B34,'[1]Debt Holding Consolidated'!$C$1:$N$65536,12,FALSE),"")</f>
        <v>7.52</v>
      </c>
    </row>
    <row r="35" spans="1:8" ht="25.5" x14ac:dyDescent="0.2">
      <c r="A35" s="25">
        <v>8</v>
      </c>
      <c r="B35" s="26" t="s">
        <v>124</v>
      </c>
      <c r="C35" s="26" t="s">
        <v>125</v>
      </c>
      <c r="D35" s="26" t="s">
        <v>32</v>
      </c>
      <c r="E35" s="27">
        <v>150</v>
      </c>
      <c r="F35" s="28">
        <v>1492.8330000000001</v>
      </c>
      <c r="G35" s="29">
        <v>4.4966440000000003E-2</v>
      </c>
      <c r="H35" s="17">
        <f>IFERROR(VLOOKUP(B35,'[1]Debt Holding Consolidated'!$C$1:$N$65536,12,FALSE),"")</f>
        <v>7.7080000000000002</v>
      </c>
    </row>
    <row r="36" spans="1:8" ht="25.5" x14ac:dyDescent="0.2">
      <c r="A36" s="25">
        <v>9</v>
      </c>
      <c r="B36" s="26" t="s">
        <v>41</v>
      </c>
      <c r="C36" s="26" t="s">
        <v>42</v>
      </c>
      <c r="D36" s="26" t="s">
        <v>23</v>
      </c>
      <c r="E36" s="27">
        <v>1500</v>
      </c>
      <c r="F36" s="28">
        <v>1492.7190000000001</v>
      </c>
      <c r="G36" s="29">
        <v>4.4963000000000003E-2</v>
      </c>
      <c r="H36" s="17">
        <f>IFERROR(VLOOKUP(B36,'[1]Debt Holding Consolidated'!$C$1:$N$65536,12,FALSE),"")</f>
        <v>7.48</v>
      </c>
    </row>
    <row r="37" spans="1:8" ht="25.5" x14ac:dyDescent="0.2">
      <c r="A37" s="25">
        <v>10</v>
      </c>
      <c r="B37" s="26" t="s">
        <v>24</v>
      </c>
      <c r="C37" s="26" t="s">
        <v>25</v>
      </c>
      <c r="D37" s="26" t="s">
        <v>23</v>
      </c>
      <c r="E37" s="27">
        <v>1000</v>
      </c>
      <c r="F37" s="28">
        <v>998.38199999999995</v>
      </c>
      <c r="G37" s="29">
        <v>3.0072809999999998E-2</v>
      </c>
      <c r="H37" s="17">
        <f>IFERROR(VLOOKUP(B37,'[1]Debt Holding Consolidated'!$C$1:$N$65536,12,FALSE),"")</f>
        <v>7.43</v>
      </c>
    </row>
    <row r="38" spans="1:8" ht="25.5" x14ac:dyDescent="0.2">
      <c r="A38" s="25">
        <v>11</v>
      </c>
      <c r="B38" s="26" t="s">
        <v>126</v>
      </c>
      <c r="C38" s="26" t="s">
        <v>127</v>
      </c>
      <c r="D38" s="26" t="s">
        <v>23</v>
      </c>
      <c r="E38" s="27">
        <v>1000</v>
      </c>
      <c r="F38" s="28">
        <v>997.34299999999996</v>
      </c>
      <c r="G38" s="29">
        <v>3.004151E-2</v>
      </c>
      <c r="H38" s="17">
        <f>IFERROR(VLOOKUP(B38,'[1]Debt Holding Consolidated'!$C$1:$N$65536,12,FALSE),"")</f>
        <v>7.3834</v>
      </c>
    </row>
    <row r="39" spans="1:8" ht="25.5" x14ac:dyDescent="0.2">
      <c r="A39" s="25">
        <v>12</v>
      </c>
      <c r="B39" s="26" t="s">
        <v>47</v>
      </c>
      <c r="C39" s="26" t="s">
        <v>48</v>
      </c>
      <c r="D39" s="26" t="s">
        <v>23</v>
      </c>
      <c r="E39" s="27">
        <v>500</v>
      </c>
      <c r="F39" s="28">
        <v>503.02050000000003</v>
      </c>
      <c r="G39" s="29">
        <v>1.515176E-2</v>
      </c>
      <c r="H39" s="17">
        <f>IFERROR(VLOOKUP(B39,'[1]Debt Holding Consolidated'!$C$1:$N$65536,12,FALSE),"")</f>
        <v>7.43</v>
      </c>
    </row>
    <row r="40" spans="1:8" ht="25.5" x14ac:dyDescent="0.2">
      <c r="A40" s="25">
        <v>13</v>
      </c>
      <c r="B40" s="26" t="s">
        <v>128</v>
      </c>
      <c r="C40" s="26" t="s">
        <v>129</v>
      </c>
      <c r="D40" s="26" t="s">
        <v>23</v>
      </c>
      <c r="E40" s="27">
        <v>500</v>
      </c>
      <c r="F40" s="28">
        <v>501.99400000000003</v>
      </c>
      <c r="G40" s="29">
        <v>1.512084E-2</v>
      </c>
      <c r="H40" s="17">
        <f>IFERROR(VLOOKUP(B40,'[1]Debt Holding Consolidated'!$C$1:$N$65536,12,FALSE),"")</f>
        <v>7.48</v>
      </c>
    </row>
    <row r="41" spans="1:8" x14ac:dyDescent="0.2">
      <c r="A41" s="25">
        <v>14</v>
      </c>
      <c r="B41" s="26" t="s">
        <v>55</v>
      </c>
      <c r="C41" s="26" t="s">
        <v>56</v>
      </c>
      <c r="D41" s="26" t="s">
        <v>23</v>
      </c>
      <c r="E41" s="27">
        <v>500</v>
      </c>
      <c r="F41" s="28">
        <v>501.49400000000003</v>
      </c>
      <c r="G41" s="29">
        <v>1.5105779999999999E-2</v>
      </c>
      <c r="H41" s="17">
        <f>IFERROR(VLOOKUP(B41,'[1]Debt Holding Consolidated'!$C$1:$N$65536,12,FALSE),"")</f>
        <v>7.6</v>
      </c>
    </row>
    <row r="42" spans="1:8" ht="25.5" x14ac:dyDescent="0.2">
      <c r="A42" s="25">
        <v>15</v>
      </c>
      <c r="B42" s="26" t="s">
        <v>130</v>
      </c>
      <c r="C42" s="26" t="s">
        <v>131</v>
      </c>
      <c r="D42" s="26" t="s">
        <v>23</v>
      </c>
      <c r="E42" s="27">
        <v>500</v>
      </c>
      <c r="F42" s="28">
        <v>501.21499999999997</v>
      </c>
      <c r="G42" s="29">
        <v>1.5097370000000001E-2</v>
      </c>
      <c r="H42" s="17">
        <f>IFERROR(VLOOKUP(B42,'[1]Debt Holding Consolidated'!$C$1:$N$65536,12,FALSE),"")</f>
        <v>7.3905000000000003</v>
      </c>
    </row>
    <row r="43" spans="1:8" ht="25.5" x14ac:dyDescent="0.2">
      <c r="A43" s="25">
        <v>16</v>
      </c>
      <c r="B43" s="26" t="s">
        <v>132</v>
      </c>
      <c r="C43" s="26" t="s">
        <v>133</v>
      </c>
      <c r="D43" s="26" t="s">
        <v>23</v>
      </c>
      <c r="E43" s="27">
        <v>500</v>
      </c>
      <c r="F43" s="28">
        <v>500.70800000000003</v>
      </c>
      <c r="G43" s="29">
        <v>1.5082099999999999E-2</v>
      </c>
      <c r="H43" s="17">
        <f>IFERROR(VLOOKUP(B43,'[1]Debt Holding Consolidated'!$C$1:$N$65536,12,FALSE),"")</f>
        <v>7.99</v>
      </c>
    </row>
    <row r="44" spans="1:8" ht="25.5" x14ac:dyDescent="0.2">
      <c r="A44" s="25">
        <v>17</v>
      </c>
      <c r="B44" s="26" t="s">
        <v>134</v>
      </c>
      <c r="C44" s="26" t="s">
        <v>135</v>
      </c>
      <c r="D44" s="26" t="s">
        <v>32</v>
      </c>
      <c r="E44" s="27">
        <v>50</v>
      </c>
      <c r="F44" s="28">
        <v>498.42399999999998</v>
      </c>
      <c r="G44" s="29">
        <v>1.50133E-2</v>
      </c>
      <c r="H44" s="17">
        <f>IFERROR(VLOOKUP(B44,'[1]Debt Holding Consolidated'!$C$1:$N$65536,12,FALSE),"")</f>
        <v>7.7</v>
      </c>
    </row>
    <row r="45" spans="1:8" x14ac:dyDescent="0.2">
      <c r="A45" s="15"/>
      <c r="B45" s="15"/>
      <c r="C45" s="16" t="s">
        <v>11</v>
      </c>
      <c r="D45" s="15"/>
      <c r="E45" s="15" t="s">
        <v>12</v>
      </c>
      <c r="F45" s="24">
        <v>23400.100999999999</v>
      </c>
      <c r="G45" s="19">
        <v>0.70484723999999999</v>
      </c>
      <c r="H45" s="17" t="str">
        <f>IFERROR(VLOOKUP(B45,'[1]Debt Holding Consolidated'!$C$1:$N$65536,12,FALSE),"")</f>
        <v/>
      </c>
    </row>
    <row r="46" spans="1:8" x14ac:dyDescent="0.2">
      <c r="A46" s="15"/>
      <c r="B46" s="15"/>
      <c r="C46" s="20"/>
      <c r="D46" s="15"/>
      <c r="E46" s="15"/>
      <c r="F46" s="21"/>
      <c r="G46" s="21"/>
      <c r="H46" s="17" t="str">
        <f>IFERROR(VLOOKUP(B46,'[1]Debt Holding Consolidated'!$C$1:$N$65536,12,FALSE),"")</f>
        <v/>
      </c>
    </row>
    <row r="47" spans="1:8" x14ac:dyDescent="0.2">
      <c r="A47" s="15"/>
      <c r="B47" s="15"/>
      <c r="C47" s="16" t="s">
        <v>67</v>
      </c>
      <c r="D47" s="15"/>
      <c r="E47" s="15"/>
      <c r="F47" s="15"/>
      <c r="G47" s="15"/>
      <c r="H47" s="17" t="str">
        <f>IFERROR(VLOOKUP(B47,'[1]Debt Holding Consolidated'!$C$1:$N$65536,12,FALSE),"")</f>
        <v/>
      </c>
    </row>
    <row r="48" spans="1:8" x14ac:dyDescent="0.2">
      <c r="A48" s="15"/>
      <c r="B48" s="15"/>
      <c r="C48" s="16" t="s">
        <v>11</v>
      </c>
      <c r="D48" s="15"/>
      <c r="E48" s="15" t="s">
        <v>12</v>
      </c>
      <c r="F48" s="18" t="s">
        <v>13</v>
      </c>
      <c r="G48" s="19">
        <v>0</v>
      </c>
      <c r="H48" s="17" t="str">
        <f>IFERROR(VLOOKUP(B48,'[1]Debt Holding Consolidated'!$C$1:$N$65536,12,FALSE),"")</f>
        <v/>
      </c>
    </row>
    <row r="49" spans="1:8" x14ac:dyDescent="0.2">
      <c r="A49" s="15"/>
      <c r="B49" s="15"/>
      <c r="C49" s="20"/>
      <c r="D49" s="15"/>
      <c r="E49" s="15"/>
      <c r="F49" s="21"/>
      <c r="G49" s="21"/>
      <c r="H49" s="17" t="str">
        <f>IFERROR(VLOOKUP(B49,'[1]Debt Holding Consolidated'!$C$1:$N$65536,12,FALSE),"")</f>
        <v/>
      </c>
    </row>
    <row r="50" spans="1:8" x14ac:dyDescent="0.2">
      <c r="A50" s="15"/>
      <c r="B50" s="15"/>
      <c r="C50" s="16" t="s">
        <v>68</v>
      </c>
      <c r="D50" s="15"/>
      <c r="E50" s="15"/>
      <c r="F50" s="15"/>
      <c r="G50" s="15"/>
      <c r="H50" s="17" t="str">
        <f>IFERROR(VLOOKUP(B50,'[1]Debt Holding Consolidated'!$C$1:$N$65536,12,FALSE),"")</f>
        <v/>
      </c>
    </row>
    <row r="51" spans="1:8" x14ac:dyDescent="0.2">
      <c r="A51" s="25">
        <v>1</v>
      </c>
      <c r="B51" s="26" t="s">
        <v>69</v>
      </c>
      <c r="C51" s="26" t="s">
        <v>70</v>
      </c>
      <c r="D51" s="26" t="s">
        <v>71</v>
      </c>
      <c r="E51" s="27">
        <v>4500000</v>
      </c>
      <c r="F51" s="28">
        <v>4584.5055000000002</v>
      </c>
      <c r="G51" s="29">
        <v>0.13809239000000001</v>
      </c>
      <c r="H51" s="17">
        <f>IFERROR(VLOOKUP(B51,'[1]Debt Holding Consolidated'!$C$1:$N$65536,12,FALSE),"")</f>
        <v>7.0152000000000001</v>
      </c>
    </row>
    <row r="52" spans="1:8" x14ac:dyDescent="0.2">
      <c r="A52" s="25">
        <v>2</v>
      </c>
      <c r="B52" s="26" t="s">
        <v>72</v>
      </c>
      <c r="C52" s="26" t="s">
        <v>73</v>
      </c>
      <c r="D52" s="26" t="s">
        <v>71</v>
      </c>
      <c r="E52" s="27">
        <v>1500000</v>
      </c>
      <c r="F52" s="28">
        <v>1536.4815000000001</v>
      </c>
      <c r="G52" s="29">
        <v>4.6281200000000002E-2</v>
      </c>
      <c r="H52" s="17">
        <f>IFERROR(VLOOKUP(B52,'[1]Debt Holding Consolidated'!$C$1:$N$65536,12,FALSE),"")</f>
        <v>6.9485000000000001</v>
      </c>
    </row>
    <row r="53" spans="1:8" ht="25.5" x14ac:dyDescent="0.2">
      <c r="A53" s="25">
        <v>3</v>
      </c>
      <c r="B53" s="26" t="s">
        <v>78</v>
      </c>
      <c r="C53" s="26" t="s">
        <v>79</v>
      </c>
      <c r="D53" s="26" t="s">
        <v>71</v>
      </c>
      <c r="E53" s="27">
        <v>800000</v>
      </c>
      <c r="F53" s="28">
        <v>813.41039999999998</v>
      </c>
      <c r="G53" s="29">
        <v>2.4501180000000001E-2</v>
      </c>
      <c r="H53" s="17">
        <f>IFERROR(VLOOKUP(B53,'[1]Debt Holding Consolidated'!$C$1:$N$65536,12,FALSE),"")</f>
        <v>6.9753999999999996</v>
      </c>
    </row>
    <row r="54" spans="1:8" x14ac:dyDescent="0.2">
      <c r="A54" s="25">
        <v>4</v>
      </c>
      <c r="B54" s="26" t="s">
        <v>74</v>
      </c>
      <c r="C54" s="26" t="s">
        <v>75</v>
      </c>
      <c r="D54" s="26" t="s">
        <v>71</v>
      </c>
      <c r="E54" s="27">
        <v>500000</v>
      </c>
      <c r="F54" s="28">
        <v>517.37</v>
      </c>
      <c r="G54" s="29">
        <v>1.5583980000000001E-2</v>
      </c>
      <c r="H54" s="17">
        <f>IFERROR(VLOOKUP(B54,'[1]Debt Holding Consolidated'!$C$1:$N$65536,12,FALSE),"")</f>
        <v>7.1395999999999997</v>
      </c>
    </row>
    <row r="55" spans="1:8" ht="25.5" x14ac:dyDescent="0.2">
      <c r="A55" s="25">
        <v>5</v>
      </c>
      <c r="B55" s="26" t="s">
        <v>136</v>
      </c>
      <c r="C55" s="26" t="s">
        <v>137</v>
      </c>
      <c r="D55" s="26" t="s">
        <v>71</v>
      </c>
      <c r="E55" s="27">
        <v>500000</v>
      </c>
      <c r="F55" s="28">
        <v>513.32299999999998</v>
      </c>
      <c r="G55" s="29">
        <v>1.546208E-2</v>
      </c>
      <c r="H55" s="17">
        <f>IFERROR(VLOOKUP(B55,'[1]Debt Holding Consolidated'!$C$1:$N$65536,12,FALSE),"")</f>
        <v>7.0564</v>
      </c>
    </row>
    <row r="56" spans="1:8" x14ac:dyDescent="0.2">
      <c r="A56" s="15"/>
      <c r="B56" s="15"/>
      <c r="C56" s="16" t="s">
        <v>11</v>
      </c>
      <c r="D56" s="15"/>
      <c r="E56" s="15" t="s">
        <v>12</v>
      </c>
      <c r="F56" s="24">
        <v>7965.0904</v>
      </c>
      <c r="G56" s="19">
        <v>0.23992083</v>
      </c>
      <c r="H56" s="17" t="str">
        <f>IFERROR(VLOOKUP(B56,'[1]Debt Holding Consolidated'!$C$1:$N$65536,12,FALSE),"")</f>
        <v/>
      </c>
    </row>
    <row r="57" spans="1:8" x14ac:dyDescent="0.2">
      <c r="A57" s="15"/>
      <c r="B57" s="15"/>
      <c r="C57" s="20"/>
      <c r="D57" s="15"/>
      <c r="E57" s="15"/>
      <c r="F57" s="21"/>
      <c r="G57" s="21"/>
      <c r="H57" s="17" t="str">
        <f>IFERROR(VLOOKUP(B57,'[1]Debt Holding Consolidated'!$C$1:$N$65536,12,FALSE),"")</f>
        <v/>
      </c>
    </row>
    <row r="58" spans="1:8" x14ac:dyDescent="0.2">
      <c r="A58" s="15"/>
      <c r="B58" s="15"/>
      <c r="C58" s="16" t="s">
        <v>82</v>
      </c>
      <c r="D58" s="15"/>
      <c r="E58" s="15"/>
      <c r="F58" s="21"/>
      <c r="G58" s="21"/>
      <c r="H58" s="17" t="str">
        <f>IFERROR(VLOOKUP(B58,'[1]Debt Holding Consolidated'!$C$1:$N$65536,12,FALSE),"")</f>
        <v/>
      </c>
    </row>
    <row r="59" spans="1:8" x14ac:dyDescent="0.2">
      <c r="A59" s="15"/>
      <c r="B59" s="15"/>
      <c r="C59" s="16" t="s">
        <v>11</v>
      </c>
      <c r="D59" s="15"/>
      <c r="E59" s="15" t="s">
        <v>12</v>
      </c>
      <c r="F59" s="18" t="s">
        <v>13</v>
      </c>
      <c r="G59" s="19">
        <v>0</v>
      </c>
      <c r="H59" s="17" t="str">
        <f>IFERROR(VLOOKUP(B59,'[1]Debt Holding Consolidated'!$C$1:$N$65536,12,FALSE),"")</f>
        <v/>
      </c>
    </row>
    <row r="60" spans="1:8" x14ac:dyDescent="0.2">
      <c r="A60" s="15"/>
      <c r="B60" s="15"/>
      <c r="C60" s="20"/>
      <c r="D60" s="15"/>
      <c r="E60" s="15"/>
      <c r="F60" s="21"/>
      <c r="G60" s="21"/>
      <c r="H60" s="17" t="str">
        <f>IFERROR(VLOOKUP(B60,'[1]Debt Holding Consolidated'!$C$1:$N$65536,12,FALSE),"")</f>
        <v/>
      </c>
    </row>
    <row r="61" spans="1:8" x14ac:dyDescent="0.2">
      <c r="A61" s="15"/>
      <c r="B61" s="15"/>
      <c r="C61" s="16" t="s">
        <v>83</v>
      </c>
      <c r="D61" s="15"/>
      <c r="E61" s="15"/>
      <c r="F61" s="24">
        <v>31365.1914</v>
      </c>
      <c r="G61" s="19">
        <v>0.94476806999999996</v>
      </c>
      <c r="H61" s="17" t="str">
        <f>IFERROR(VLOOKUP(B61,'[1]Debt Holding Consolidated'!$C$1:$N$65536,12,FALSE),"")</f>
        <v/>
      </c>
    </row>
    <row r="62" spans="1:8" x14ac:dyDescent="0.2">
      <c r="A62" s="15"/>
      <c r="B62" s="15"/>
      <c r="C62" s="20"/>
      <c r="D62" s="15"/>
      <c r="E62" s="15"/>
      <c r="F62" s="21"/>
      <c r="G62" s="21"/>
      <c r="H62" s="17" t="str">
        <f>IFERROR(VLOOKUP(B62,'[1]Debt Holding Consolidated'!$C$1:$N$65536,12,FALSE),"")</f>
        <v/>
      </c>
    </row>
    <row r="63" spans="1:8" x14ac:dyDescent="0.2">
      <c r="A63" s="15"/>
      <c r="B63" s="15"/>
      <c r="C63" s="16" t="s">
        <v>84</v>
      </c>
      <c r="D63" s="15"/>
      <c r="E63" s="15"/>
      <c r="F63" s="21"/>
      <c r="G63" s="21"/>
      <c r="H63" s="17" t="str">
        <f>IFERROR(VLOOKUP(B63,'[1]Debt Holding Consolidated'!$C$1:$N$65536,12,FALSE),"")</f>
        <v/>
      </c>
    </row>
    <row r="64" spans="1:8" x14ac:dyDescent="0.2">
      <c r="A64" s="15"/>
      <c r="B64" s="15"/>
      <c r="C64" s="16" t="s">
        <v>85</v>
      </c>
      <c r="D64" s="15"/>
      <c r="E64" s="15"/>
      <c r="F64" s="21"/>
      <c r="G64" s="21"/>
      <c r="H64" s="17" t="str">
        <f>IFERROR(VLOOKUP(B64,'[1]Debt Holding Consolidated'!$C$1:$N$65536,12,FALSE),"")</f>
        <v/>
      </c>
    </row>
    <row r="65" spans="1:8" x14ac:dyDescent="0.2">
      <c r="A65" s="15"/>
      <c r="B65" s="15"/>
      <c r="C65" s="16" t="s">
        <v>11</v>
      </c>
      <c r="D65" s="15"/>
      <c r="E65" s="15" t="s">
        <v>12</v>
      </c>
      <c r="F65" s="18" t="s">
        <v>13</v>
      </c>
      <c r="G65" s="19">
        <v>0</v>
      </c>
      <c r="H65" s="17" t="str">
        <f>IFERROR(VLOOKUP(B65,'[1]Debt Holding Consolidated'!$C$1:$N$65536,12,FALSE),"")</f>
        <v/>
      </c>
    </row>
    <row r="66" spans="1:8" x14ac:dyDescent="0.2">
      <c r="A66" s="15"/>
      <c r="B66" s="15"/>
      <c r="C66" s="20"/>
      <c r="D66" s="15"/>
      <c r="E66" s="15"/>
      <c r="F66" s="21"/>
      <c r="G66" s="21"/>
      <c r="H66" s="17" t="str">
        <f>IFERROR(VLOOKUP(B66,'[1]Debt Holding Consolidated'!$C$1:$N$65536,12,FALSE),"")</f>
        <v/>
      </c>
    </row>
    <row r="67" spans="1:8" x14ac:dyDescent="0.2">
      <c r="A67" s="15"/>
      <c r="B67" s="15"/>
      <c r="C67" s="16" t="s">
        <v>86</v>
      </c>
      <c r="D67" s="15"/>
      <c r="E67" s="15"/>
      <c r="F67" s="21"/>
      <c r="G67" s="21"/>
      <c r="H67" s="17" t="str">
        <f>IFERROR(VLOOKUP(B67,'[1]Debt Holding Consolidated'!$C$1:$N$65536,12,FALSE),"")</f>
        <v/>
      </c>
    </row>
    <row r="68" spans="1:8" x14ac:dyDescent="0.2">
      <c r="A68" s="15"/>
      <c r="B68" s="15"/>
      <c r="C68" s="16" t="s">
        <v>11</v>
      </c>
      <c r="D68" s="15"/>
      <c r="E68" s="15" t="s">
        <v>12</v>
      </c>
      <c r="F68" s="18" t="s">
        <v>13</v>
      </c>
      <c r="G68" s="19">
        <v>0</v>
      </c>
      <c r="H68" s="17" t="str">
        <f>IFERROR(VLOOKUP(B68,'[1]Debt Holding Consolidated'!$C$1:$N$65536,12,FALSE),"")</f>
        <v/>
      </c>
    </row>
    <row r="69" spans="1:8" x14ac:dyDescent="0.2">
      <c r="A69" s="15"/>
      <c r="B69" s="15"/>
      <c r="C69" s="20"/>
      <c r="D69" s="15"/>
      <c r="E69" s="15"/>
      <c r="F69" s="21"/>
      <c r="G69" s="21"/>
      <c r="H69" s="17" t="str">
        <f>IFERROR(VLOOKUP(B69,'[1]Debt Holding Consolidated'!$C$1:$N$65536,12,FALSE),"")</f>
        <v/>
      </c>
    </row>
    <row r="70" spans="1:8" x14ac:dyDescent="0.2">
      <c r="A70" s="15"/>
      <c r="B70" s="15"/>
      <c r="C70" s="16" t="s">
        <v>87</v>
      </c>
      <c r="D70" s="15"/>
      <c r="E70" s="15"/>
      <c r="F70" s="21"/>
      <c r="G70" s="21"/>
      <c r="H70" s="17" t="str">
        <f>IFERROR(VLOOKUP(B70,'[1]Debt Holding Consolidated'!$C$1:$N$65536,12,FALSE),"")</f>
        <v/>
      </c>
    </row>
    <row r="71" spans="1:8" x14ac:dyDescent="0.2">
      <c r="A71" s="15"/>
      <c r="B71" s="15"/>
      <c r="C71" s="16" t="s">
        <v>11</v>
      </c>
      <c r="D71" s="15"/>
      <c r="E71" s="15" t="s">
        <v>12</v>
      </c>
      <c r="F71" s="18" t="s">
        <v>13</v>
      </c>
      <c r="G71" s="19">
        <v>0</v>
      </c>
      <c r="H71" s="17" t="str">
        <f>IFERROR(VLOOKUP(B71,'[1]Debt Holding Consolidated'!$C$1:$N$65536,12,FALSE),"")</f>
        <v/>
      </c>
    </row>
    <row r="72" spans="1:8" x14ac:dyDescent="0.2">
      <c r="A72" s="15"/>
      <c r="B72" s="15"/>
      <c r="C72" s="20"/>
      <c r="D72" s="15"/>
      <c r="E72" s="15"/>
      <c r="F72" s="21"/>
      <c r="G72" s="21"/>
      <c r="H72" s="17" t="str">
        <f>IFERROR(VLOOKUP(B72,'[1]Debt Holding Consolidated'!$C$1:$N$65536,12,FALSE),"")</f>
        <v/>
      </c>
    </row>
    <row r="73" spans="1:8" x14ac:dyDescent="0.2">
      <c r="A73" s="15"/>
      <c r="B73" s="15"/>
      <c r="C73" s="16" t="s">
        <v>88</v>
      </c>
      <c r="D73" s="15"/>
      <c r="E73" s="15"/>
      <c r="F73" s="21"/>
      <c r="G73" s="21"/>
      <c r="H73" s="17" t="str">
        <f>IFERROR(VLOOKUP(B73,'[1]Debt Holding Consolidated'!$C$1:$N$65536,12,FALSE),"")</f>
        <v/>
      </c>
    </row>
    <row r="74" spans="1:8" x14ac:dyDescent="0.2">
      <c r="A74" s="25">
        <v>1</v>
      </c>
      <c r="B74" s="26"/>
      <c r="C74" s="26" t="s">
        <v>89</v>
      </c>
      <c r="D74" s="26"/>
      <c r="E74" s="30"/>
      <c r="F74" s="28">
        <v>710.26661500099999</v>
      </c>
      <c r="G74" s="29">
        <v>2.139433E-2</v>
      </c>
      <c r="H74" s="17">
        <v>6.3551211905931497</v>
      </c>
    </row>
    <row r="75" spans="1:8" x14ac:dyDescent="0.2">
      <c r="A75" s="15"/>
      <c r="B75" s="15"/>
      <c r="C75" s="16" t="s">
        <v>11</v>
      </c>
      <c r="D75" s="15"/>
      <c r="E75" s="15" t="s">
        <v>12</v>
      </c>
      <c r="F75" s="24">
        <v>710.26661500099999</v>
      </c>
      <c r="G75" s="19">
        <v>2.139433E-2</v>
      </c>
      <c r="H75" s="17" t="str">
        <f>IFERROR(VLOOKUP(B75,'[1]Debt Holding Consolidated'!$C$1:$N$65536,12,FALSE),"")</f>
        <v/>
      </c>
    </row>
    <row r="76" spans="1:8" x14ac:dyDescent="0.2">
      <c r="A76" s="15"/>
      <c r="B76" s="15"/>
      <c r="C76" s="20"/>
      <c r="D76" s="15"/>
      <c r="E76" s="15"/>
      <c r="F76" s="21"/>
      <c r="G76" s="21"/>
      <c r="H76" s="17" t="str">
        <f>IFERROR(VLOOKUP(B76,'[1]Debt Holding Consolidated'!$C$1:$N$65536,12,FALSE),"")</f>
        <v/>
      </c>
    </row>
    <row r="77" spans="1:8" x14ac:dyDescent="0.2">
      <c r="A77" s="15"/>
      <c r="B77" s="15"/>
      <c r="C77" s="16" t="s">
        <v>90</v>
      </c>
      <c r="D77" s="15"/>
      <c r="E77" s="15"/>
      <c r="F77" s="24">
        <v>710.26661500099999</v>
      </c>
      <c r="G77" s="19">
        <v>2.139433E-2</v>
      </c>
      <c r="H77" s="17" t="str">
        <f>IFERROR(VLOOKUP(B77,'[1]Debt Holding Consolidated'!$C$1:$N$65536,12,FALSE),"")</f>
        <v/>
      </c>
    </row>
    <row r="78" spans="1:8" x14ac:dyDescent="0.2">
      <c r="A78" s="15"/>
      <c r="B78" s="15"/>
      <c r="C78" s="21"/>
      <c r="D78" s="15"/>
      <c r="E78" s="15"/>
      <c r="F78" s="15"/>
      <c r="G78" s="15"/>
      <c r="H78" s="17" t="str">
        <f>IFERROR(VLOOKUP(B78,'[1]Debt Holding Consolidated'!$C$1:$N$65536,12,FALSE),"")</f>
        <v/>
      </c>
    </row>
    <row r="79" spans="1:8" x14ac:dyDescent="0.2">
      <c r="A79" s="15"/>
      <c r="B79" s="15"/>
      <c r="C79" s="16" t="s">
        <v>91</v>
      </c>
      <c r="D79" s="15"/>
      <c r="E79" s="15"/>
      <c r="F79" s="15"/>
      <c r="G79" s="15"/>
      <c r="H79" s="17" t="str">
        <f>IFERROR(VLOOKUP(B79,'[1]Debt Holding Consolidated'!$C$1:$N$65536,12,FALSE),"")</f>
        <v/>
      </c>
    </row>
    <row r="80" spans="1:8" x14ac:dyDescent="0.2">
      <c r="A80" s="15"/>
      <c r="B80" s="15"/>
      <c r="C80" s="16" t="s">
        <v>92</v>
      </c>
      <c r="D80" s="15"/>
      <c r="E80" s="15"/>
      <c r="F80" s="15"/>
      <c r="G80" s="15"/>
      <c r="H80" s="17" t="str">
        <f>IFERROR(VLOOKUP(B80,'[1]Debt Holding Consolidated'!$C$1:$N$65536,12,FALSE),"")</f>
        <v/>
      </c>
    </row>
    <row r="81" spans="1:18" x14ac:dyDescent="0.2">
      <c r="A81" s="15"/>
      <c r="B81" s="15"/>
      <c r="C81" s="16" t="s">
        <v>11</v>
      </c>
      <c r="D81" s="15"/>
      <c r="E81" s="15" t="s">
        <v>12</v>
      </c>
      <c r="F81" s="18" t="s">
        <v>13</v>
      </c>
      <c r="G81" s="19">
        <v>0</v>
      </c>
      <c r="H81" s="17" t="str">
        <f>IFERROR(VLOOKUP(B81,'[1]Debt Holding Consolidated'!$C$1:$N$65536,12,FALSE),"")</f>
        <v/>
      </c>
    </row>
    <row r="82" spans="1:18" x14ac:dyDescent="0.2">
      <c r="A82" s="15"/>
      <c r="B82" s="15"/>
      <c r="C82" s="20"/>
      <c r="D82" s="15"/>
      <c r="E82" s="15"/>
      <c r="F82" s="21"/>
      <c r="G82" s="21"/>
      <c r="H82" s="17" t="str">
        <f>IFERROR(VLOOKUP(B82,'[1]Debt Holding Consolidated'!$C$1:$N$65536,12,FALSE),"")</f>
        <v/>
      </c>
    </row>
    <row r="83" spans="1:18" x14ac:dyDescent="0.2">
      <c r="A83" s="31"/>
      <c r="B83" s="31"/>
      <c r="C83" s="32" t="s">
        <v>517</v>
      </c>
      <c r="D83" s="31"/>
      <c r="E83" s="31"/>
      <c r="F83" s="33"/>
      <c r="G83" s="33"/>
      <c r="H83" s="34"/>
      <c r="L83" s="35"/>
      <c r="M83" s="35"/>
      <c r="N83" s="35"/>
      <c r="O83" s="35"/>
      <c r="P83" s="36"/>
      <c r="Q83" s="36"/>
      <c r="R83" s="36"/>
    </row>
    <row r="84" spans="1:18" ht="25.5" x14ac:dyDescent="0.2">
      <c r="A84" s="25">
        <v>1</v>
      </c>
      <c r="B84" s="26" t="s">
        <v>93</v>
      </c>
      <c r="C84" s="26" t="s">
        <v>94</v>
      </c>
      <c r="D84" s="26"/>
      <c r="E84" s="37">
        <v>1138.2429999999999</v>
      </c>
      <c r="F84" s="28">
        <v>117.823980045</v>
      </c>
      <c r="G84" s="29">
        <v>3.5490399999999998E-3</v>
      </c>
      <c r="H84" s="17"/>
    </row>
    <row r="85" spans="1:18" x14ac:dyDescent="0.2">
      <c r="A85" s="15"/>
      <c r="B85" s="15"/>
      <c r="C85" s="16" t="s">
        <v>11</v>
      </c>
      <c r="D85" s="15"/>
      <c r="E85" s="15" t="s">
        <v>12</v>
      </c>
      <c r="F85" s="24">
        <v>117.823980045</v>
      </c>
      <c r="G85" s="19">
        <v>3.5490399999999998E-3</v>
      </c>
      <c r="H85" s="17"/>
    </row>
    <row r="86" spans="1:18" x14ac:dyDescent="0.2">
      <c r="A86" s="15"/>
      <c r="B86" s="15"/>
      <c r="C86" s="20"/>
      <c r="D86" s="15"/>
      <c r="E86" s="15"/>
      <c r="F86" s="21"/>
      <c r="G86" s="21"/>
      <c r="H86" s="17" t="str">
        <f>IFERROR(VLOOKUP(B86,'[1]Debt Holding Consolidated'!$C$1:$N$65536,12,FALSE),"")</f>
        <v/>
      </c>
    </row>
    <row r="87" spans="1:18" x14ac:dyDescent="0.2">
      <c r="A87" s="15"/>
      <c r="B87" s="15"/>
      <c r="C87" s="16" t="s">
        <v>95</v>
      </c>
      <c r="D87" s="15"/>
      <c r="E87" s="15"/>
      <c r="F87" s="15"/>
      <c r="G87" s="15"/>
      <c r="H87" s="17" t="str">
        <f>IFERROR(VLOOKUP(B87,'[1]Debt Holding Consolidated'!$C$1:$N$65536,12,FALSE),"")</f>
        <v/>
      </c>
    </row>
    <row r="88" spans="1:18" x14ac:dyDescent="0.2">
      <c r="A88" s="15"/>
      <c r="B88" s="15"/>
      <c r="C88" s="16" t="s">
        <v>96</v>
      </c>
      <c r="D88" s="15"/>
      <c r="E88" s="15"/>
      <c r="F88" s="15"/>
      <c r="G88" s="15"/>
      <c r="H88" s="17" t="str">
        <f>IFERROR(VLOOKUP(B88,'[1]Debt Holding Consolidated'!$C$1:$N$65536,12,FALSE),"")</f>
        <v/>
      </c>
    </row>
    <row r="89" spans="1:18" x14ac:dyDescent="0.2">
      <c r="A89" s="15"/>
      <c r="B89" s="15"/>
      <c r="C89" s="16" t="s">
        <v>11</v>
      </c>
      <c r="D89" s="15"/>
      <c r="E89" s="15" t="s">
        <v>12</v>
      </c>
      <c r="F89" s="18" t="s">
        <v>13</v>
      </c>
      <c r="G89" s="19">
        <v>0</v>
      </c>
      <c r="H89" s="17" t="str">
        <f>IFERROR(VLOOKUP(B89,'[1]Debt Holding Consolidated'!$C$1:$N$65536,12,FALSE),"")</f>
        <v/>
      </c>
    </row>
    <row r="90" spans="1:18" x14ac:dyDescent="0.2">
      <c r="A90" s="15"/>
      <c r="B90" s="15"/>
      <c r="C90" s="20"/>
      <c r="D90" s="15"/>
      <c r="E90" s="15"/>
      <c r="F90" s="21"/>
      <c r="G90" s="21"/>
      <c r="H90" s="17" t="str">
        <f>IFERROR(VLOOKUP(B90,'[1]Debt Holding Consolidated'!$C$1:$N$65536,12,FALSE),"")</f>
        <v/>
      </c>
    </row>
    <row r="91" spans="1:18" x14ac:dyDescent="0.2">
      <c r="A91" s="15"/>
      <c r="B91" s="15"/>
      <c r="C91" s="16" t="s">
        <v>97</v>
      </c>
      <c r="D91" s="15"/>
      <c r="E91" s="15"/>
      <c r="F91" s="21"/>
      <c r="G91" s="21"/>
      <c r="H91" s="17" t="str">
        <f>IFERROR(VLOOKUP(B91,'[1]Debt Holding Consolidated'!$C$1:$N$65536,12,FALSE),"")</f>
        <v/>
      </c>
    </row>
    <row r="92" spans="1:18" x14ac:dyDescent="0.2">
      <c r="A92" s="15"/>
      <c r="B92" s="15"/>
      <c r="C92" s="16" t="s">
        <v>11</v>
      </c>
      <c r="D92" s="15"/>
      <c r="E92" s="15" t="s">
        <v>12</v>
      </c>
      <c r="F92" s="18" t="s">
        <v>13</v>
      </c>
      <c r="G92" s="19">
        <v>0</v>
      </c>
      <c r="H92" s="17" t="str">
        <f>IFERROR(VLOOKUP(B92,'[1]Debt Holding Consolidated'!$C$1:$N$65536,12,FALSE),"")</f>
        <v/>
      </c>
    </row>
    <row r="93" spans="1:18" x14ac:dyDescent="0.2">
      <c r="A93" s="15"/>
      <c r="B93" s="15"/>
      <c r="C93" s="20"/>
      <c r="D93" s="15"/>
      <c r="E93" s="15"/>
      <c r="F93" s="21"/>
      <c r="G93" s="21"/>
      <c r="H93" s="17" t="str">
        <f>IFERROR(VLOOKUP(B93,'[1]Debt Holding Consolidated'!$C$1:$N$65536,12,FALSE),"")</f>
        <v/>
      </c>
    </row>
    <row r="94" spans="1:18" x14ac:dyDescent="0.2">
      <c r="A94" s="30"/>
      <c r="B94" s="26"/>
      <c r="C94" s="26" t="s">
        <v>98</v>
      </c>
      <c r="D94" s="26"/>
      <c r="E94" s="30"/>
      <c r="F94" s="28">
        <f>1005.54509147-0.000265885996818542</f>
        <v>1005.5448255840032</v>
      </c>
      <c r="G94" s="29">
        <v>3.0288570000000001E-2</v>
      </c>
      <c r="H94" s="17" t="str">
        <f>IFERROR(VLOOKUP(B94,'[1]Debt Holding Consolidated'!$C$1:$N$65536,12,FALSE),"")</f>
        <v/>
      </c>
    </row>
    <row r="95" spans="1:18" x14ac:dyDescent="0.2">
      <c r="A95" s="20"/>
      <c r="B95" s="20"/>
      <c r="C95" s="16" t="s">
        <v>99</v>
      </c>
      <c r="D95" s="21"/>
      <c r="E95" s="21"/>
      <c r="F95" s="24">
        <f>33198.827086516-0.000265885996818542</f>
        <v>33198.826820630005</v>
      </c>
      <c r="G95" s="38">
        <v>1.0000000099999999</v>
      </c>
      <c r="H95" s="17" t="str">
        <f>IFERROR(VLOOKUP(B95,'[1]Debt Holding Consolidated'!$C$1:$N$65536,12,FALSE),"")</f>
        <v/>
      </c>
    </row>
    <row r="96" spans="1:18" x14ac:dyDescent="0.2">
      <c r="A96" s="39"/>
      <c r="B96" s="39"/>
      <c r="C96" s="39"/>
      <c r="D96" s="40"/>
      <c r="E96" s="40"/>
      <c r="F96" s="40"/>
      <c r="G96" s="40"/>
    </row>
    <row r="97" spans="1:8" x14ac:dyDescent="0.2">
      <c r="A97" s="41"/>
      <c r="B97" s="113" t="s">
        <v>518</v>
      </c>
      <c r="C97" s="113"/>
      <c r="D97" s="113"/>
      <c r="E97" s="113"/>
      <c r="F97" s="113"/>
      <c r="G97" s="113"/>
      <c r="H97" s="113"/>
    </row>
    <row r="98" spans="1:8" x14ac:dyDescent="0.2">
      <c r="A98" s="41"/>
      <c r="B98" s="113" t="s">
        <v>519</v>
      </c>
      <c r="C98" s="113"/>
      <c r="D98" s="113"/>
      <c r="E98" s="113"/>
      <c r="F98" s="113"/>
      <c r="G98" s="113"/>
      <c r="H98" s="113"/>
    </row>
    <row r="99" spans="1:8" x14ac:dyDescent="0.2">
      <c r="A99" s="41"/>
      <c r="B99" s="113" t="s">
        <v>520</v>
      </c>
      <c r="C99" s="113"/>
      <c r="D99" s="113"/>
      <c r="E99" s="113"/>
      <c r="F99" s="113"/>
      <c r="G99" s="113"/>
      <c r="H99" s="113"/>
    </row>
    <row r="100" spans="1:8" x14ac:dyDescent="0.2">
      <c r="A100" s="41"/>
      <c r="B100" s="41"/>
      <c r="C100" s="41"/>
      <c r="D100" s="43"/>
      <c r="E100" s="43"/>
      <c r="F100" s="43"/>
      <c r="G100" s="43"/>
    </row>
    <row r="101" spans="1:8" x14ac:dyDescent="0.2">
      <c r="A101" s="44"/>
      <c r="B101" s="108" t="s">
        <v>100</v>
      </c>
      <c r="C101" s="109"/>
      <c r="D101" s="110"/>
      <c r="E101" s="45"/>
      <c r="F101" s="46"/>
      <c r="G101" s="46"/>
    </row>
    <row r="102" spans="1:8" x14ac:dyDescent="0.2">
      <c r="A102" s="44"/>
      <c r="B102" s="111" t="s">
        <v>101</v>
      </c>
      <c r="C102" s="112"/>
      <c r="D102" s="16" t="s">
        <v>102</v>
      </c>
      <c r="E102" s="45"/>
      <c r="F102" s="46"/>
      <c r="G102" s="46"/>
    </row>
    <row r="103" spans="1:8" x14ac:dyDescent="0.2">
      <c r="A103" s="44"/>
      <c r="B103" s="111" t="s">
        <v>103</v>
      </c>
      <c r="C103" s="112"/>
      <c r="D103" s="16" t="s">
        <v>102</v>
      </c>
      <c r="E103" s="45"/>
      <c r="F103" s="46"/>
      <c r="G103" s="46"/>
    </row>
    <row r="104" spans="1:8" x14ac:dyDescent="0.2">
      <c r="A104" s="44"/>
      <c r="B104" s="111" t="s">
        <v>104</v>
      </c>
      <c r="C104" s="112"/>
      <c r="D104" s="21" t="s">
        <v>12</v>
      </c>
      <c r="E104" s="45"/>
      <c r="F104" s="46"/>
      <c r="G104" s="46"/>
    </row>
    <row r="105" spans="1:8" x14ac:dyDescent="0.2">
      <c r="A105" s="47"/>
      <c r="B105" s="48" t="s">
        <v>12</v>
      </c>
      <c r="C105" s="48" t="s">
        <v>535</v>
      </c>
      <c r="D105" s="48" t="s">
        <v>105</v>
      </c>
      <c r="E105" s="47"/>
      <c r="F105" s="47"/>
      <c r="G105" s="47"/>
      <c r="H105" s="49"/>
    </row>
    <row r="106" spans="1:8" x14ac:dyDescent="0.2">
      <c r="A106" s="50"/>
      <c r="B106" s="51" t="s">
        <v>106</v>
      </c>
      <c r="C106" s="52" t="s">
        <v>107</v>
      </c>
      <c r="D106" s="52" t="s">
        <v>108</v>
      </c>
      <c r="E106" s="50"/>
      <c r="F106" s="50"/>
      <c r="G106" s="50"/>
    </row>
    <row r="107" spans="1:8" x14ac:dyDescent="0.2">
      <c r="A107" s="50"/>
      <c r="B107" s="26" t="s">
        <v>109</v>
      </c>
      <c r="C107" s="53">
        <v>40.401000000000003</v>
      </c>
      <c r="D107" s="53">
        <v>40.563499999999998</v>
      </c>
      <c r="E107" s="50"/>
      <c r="F107" s="54"/>
      <c r="G107" s="55"/>
    </row>
    <row r="108" spans="1:8" x14ac:dyDescent="0.2">
      <c r="A108" s="50"/>
      <c r="B108" s="26" t="s">
        <v>138</v>
      </c>
      <c r="C108" s="53">
        <v>20.211300000000001</v>
      </c>
      <c r="D108" s="53">
        <v>20.2926</v>
      </c>
      <c r="E108" s="50"/>
      <c r="F108" s="54"/>
      <c r="G108" s="55"/>
    </row>
    <row r="109" spans="1:8" ht="25.5" x14ac:dyDescent="0.2">
      <c r="A109" s="50"/>
      <c r="B109" s="26" t="s">
        <v>570</v>
      </c>
      <c r="C109" s="53">
        <v>11.551399999999999</v>
      </c>
      <c r="D109" s="53">
        <v>11.597899999999999</v>
      </c>
      <c r="E109" s="50"/>
      <c r="F109" s="54"/>
      <c r="G109" s="55"/>
    </row>
    <row r="110" spans="1:8" x14ac:dyDescent="0.2">
      <c r="A110" s="50"/>
      <c r="B110" s="26" t="s">
        <v>110</v>
      </c>
      <c r="C110" s="53">
        <v>39.886400000000002</v>
      </c>
      <c r="D110" s="53">
        <v>40.044600000000003</v>
      </c>
      <c r="E110" s="50"/>
      <c r="F110" s="54"/>
      <c r="G110" s="55"/>
    </row>
    <row r="111" spans="1:8" x14ac:dyDescent="0.2">
      <c r="A111" s="50"/>
      <c r="B111" s="26" t="s">
        <v>139</v>
      </c>
      <c r="C111" s="53">
        <v>20.113600000000002</v>
      </c>
      <c r="D111" s="53">
        <v>20.1934</v>
      </c>
      <c r="E111" s="50"/>
      <c r="F111" s="54"/>
      <c r="G111" s="55"/>
    </row>
    <row r="112" spans="1:8" ht="25.5" x14ac:dyDescent="0.2">
      <c r="A112" s="50"/>
      <c r="B112" s="26" t="s">
        <v>574</v>
      </c>
      <c r="C112" s="53">
        <v>11.603899999999999</v>
      </c>
      <c r="D112" s="53">
        <v>11.649900000000001</v>
      </c>
      <c r="E112" s="50"/>
      <c r="F112" s="54"/>
      <c r="G112" s="55"/>
    </row>
    <row r="113" spans="1:15" x14ac:dyDescent="0.2">
      <c r="A113" s="50"/>
      <c r="B113" s="50"/>
      <c r="C113" s="50"/>
      <c r="D113" s="50"/>
      <c r="E113" s="50"/>
      <c r="F113" s="50"/>
      <c r="G113" s="50"/>
    </row>
    <row r="114" spans="1:15" x14ac:dyDescent="0.2">
      <c r="A114" s="50"/>
      <c r="B114" s="111" t="s">
        <v>578</v>
      </c>
      <c r="C114" s="112"/>
      <c r="D114" s="16" t="s">
        <v>102</v>
      </c>
      <c r="E114" s="50"/>
      <c r="F114" s="50"/>
      <c r="G114" s="50"/>
    </row>
    <row r="115" spans="1:15" x14ac:dyDescent="0.2">
      <c r="A115" s="50"/>
      <c r="B115" s="56"/>
      <c r="C115" s="56"/>
      <c r="D115" s="56"/>
      <c r="E115" s="50"/>
      <c r="F115" s="50"/>
      <c r="G115" s="50"/>
    </row>
    <row r="116" spans="1:15" s="58" customFormat="1" x14ac:dyDescent="0.2">
      <c r="A116" s="64"/>
      <c r="B116" s="105" t="s">
        <v>531</v>
      </c>
      <c r="C116" s="106"/>
      <c r="D116" s="32" t="s">
        <v>102</v>
      </c>
      <c r="E116" s="64"/>
      <c r="F116" s="42"/>
      <c r="G116" s="64"/>
      <c r="I116"/>
      <c r="J116" s="11"/>
      <c r="K116" s="35"/>
      <c r="L116" s="35"/>
      <c r="M116" s="35"/>
      <c r="N116" s="35"/>
      <c r="O116" s="65"/>
    </row>
    <row r="117" spans="1:15" x14ac:dyDescent="0.2">
      <c r="A117" s="47"/>
      <c r="B117" s="105" t="s">
        <v>532</v>
      </c>
      <c r="C117" s="106"/>
      <c r="D117" s="32" t="s">
        <v>102</v>
      </c>
      <c r="E117" s="57"/>
      <c r="F117" s="47"/>
      <c r="G117" s="47"/>
    </row>
    <row r="118" spans="1:15" x14ac:dyDescent="0.2">
      <c r="A118" s="47"/>
      <c r="B118" s="105" t="s">
        <v>533</v>
      </c>
      <c r="C118" s="106"/>
      <c r="D118" s="32" t="s">
        <v>102</v>
      </c>
      <c r="E118" s="57"/>
      <c r="F118" s="47"/>
      <c r="G118" s="47"/>
      <c r="J118"/>
    </row>
    <row r="119" spans="1:15" x14ac:dyDescent="0.2">
      <c r="A119" s="47"/>
      <c r="B119" s="105" t="s">
        <v>534</v>
      </c>
      <c r="C119" s="106"/>
      <c r="D119" s="32" t="s">
        <v>102</v>
      </c>
      <c r="E119" s="57"/>
      <c r="F119" s="47"/>
      <c r="G119" s="47"/>
      <c r="J119"/>
    </row>
    <row r="120" spans="1:15" x14ac:dyDescent="0.2">
      <c r="A120" s="56"/>
      <c r="B120" s="56"/>
      <c r="C120" s="56"/>
      <c r="D120" s="56"/>
      <c r="E120" s="56"/>
      <c r="F120" s="56"/>
      <c r="G120" s="56"/>
      <c r="J120"/>
    </row>
    <row r="121" spans="1:15" s="58" customFormat="1" x14ac:dyDescent="0.2">
      <c r="B121" s="118" t="s">
        <v>523</v>
      </c>
      <c r="C121" s="119"/>
      <c r="D121" s="120"/>
      <c r="I121"/>
      <c r="J121"/>
      <c r="K121" s="35"/>
      <c r="L121" s="35"/>
      <c r="M121" s="35"/>
      <c r="N121" s="35"/>
      <c r="O121" s="65"/>
    </row>
    <row r="122" spans="1:15" s="58" customFormat="1" ht="38.25" x14ac:dyDescent="0.2">
      <c r="B122" s="121" t="s">
        <v>524</v>
      </c>
      <c r="C122" s="121"/>
      <c r="D122" s="59" t="s">
        <v>113</v>
      </c>
      <c r="I122"/>
      <c r="J122"/>
      <c r="K122" s="35"/>
      <c r="L122" s="35"/>
      <c r="M122" s="35"/>
      <c r="N122" s="35"/>
      <c r="O122" s="65"/>
    </row>
    <row r="123" spans="1:15" s="58" customFormat="1" x14ac:dyDescent="0.2">
      <c r="B123" s="114" t="s">
        <v>525</v>
      </c>
      <c r="C123" s="114"/>
      <c r="D123" s="60"/>
      <c r="I123"/>
      <c r="J123"/>
      <c r="K123" s="35"/>
      <c r="L123" s="35"/>
      <c r="M123" s="35"/>
      <c r="N123" s="35"/>
      <c r="O123" s="65"/>
    </row>
    <row r="124" spans="1:15" s="58" customFormat="1" x14ac:dyDescent="0.2">
      <c r="B124" s="114"/>
      <c r="C124" s="114"/>
      <c r="D124" s="61"/>
      <c r="I124"/>
      <c r="J124"/>
      <c r="K124" s="35"/>
      <c r="L124" s="35"/>
      <c r="M124" s="35"/>
      <c r="N124" s="35"/>
      <c r="O124" s="65"/>
    </row>
    <row r="125" spans="1:15" s="58" customFormat="1" x14ac:dyDescent="0.2">
      <c r="B125" s="114" t="s">
        <v>526</v>
      </c>
      <c r="C125" s="114"/>
      <c r="D125" s="62">
        <v>7.3844317718861987</v>
      </c>
      <c r="I125"/>
      <c r="J125" s="11"/>
      <c r="K125" s="35"/>
      <c r="L125" s="35"/>
      <c r="M125" s="35"/>
      <c r="N125" s="35"/>
      <c r="O125" s="65"/>
    </row>
    <row r="126" spans="1:15" s="58" customFormat="1" x14ac:dyDescent="0.2">
      <c r="B126" s="114"/>
      <c r="C126" s="114"/>
      <c r="D126" s="61"/>
      <c r="I126"/>
      <c r="J126" s="11"/>
      <c r="K126" s="35"/>
      <c r="L126" s="35"/>
      <c r="M126" s="35"/>
      <c r="N126" s="35"/>
      <c r="O126" s="65"/>
    </row>
    <row r="127" spans="1:15" s="58" customFormat="1" x14ac:dyDescent="0.2">
      <c r="B127" s="114" t="s">
        <v>527</v>
      </c>
      <c r="C127" s="114"/>
      <c r="D127" s="62">
        <v>3.6559045825895589</v>
      </c>
      <c r="I127"/>
      <c r="J127" s="11"/>
      <c r="K127" s="35"/>
      <c r="L127" s="35"/>
      <c r="M127" s="35"/>
      <c r="N127" s="35"/>
      <c r="O127" s="65"/>
    </row>
    <row r="128" spans="1:15" s="58" customFormat="1" x14ac:dyDescent="0.2">
      <c r="B128" s="114" t="s">
        <v>528</v>
      </c>
      <c r="C128" s="114"/>
      <c r="D128" s="62">
        <v>4.7409121132100447</v>
      </c>
      <c r="I128"/>
      <c r="J128"/>
      <c r="K128" s="35"/>
      <c r="L128" s="35"/>
      <c r="M128" s="35"/>
      <c r="N128" s="35"/>
      <c r="O128" s="65"/>
    </row>
    <row r="129" spans="2:18" s="58" customFormat="1" x14ac:dyDescent="0.2">
      <c r="B129" s="114"/>
      <c r="C129" s="114"/>
      <c r="D129" s="61"/>
      <c r="I129"/>
      <c r="J129"/>
      <c r="K129" s="35"/>
      <c r="L129" s="35"/>
      <c r="M129" s="35"/>
      <c r="N129" s="35"/>
      <c r="O129" s="65"/>
      <c r="R129"/>
    </row>
    <row r="130" spans="2:18" s="58" customFormat="1" ht="25.5" x14ac:dyDescent="0.2">
      <c r="B130" s="114" t="s">
        <v>529</v>
      </c>
      <c r="C130" s="114"/>
      <c r="D130" s="63" t="s">
        <v>564</v>
      </c>
      <c r="I130"/>
      <c r="J130" s="11"/>
      <c r="K130" s="35"/>
      <c r="L130" s="35"/>
      <c r="M130" s="35"/>
      <c r="N130" s="35"/>
      <c r="O130" s="65"/>
      <c r="R130"/>
    </row>
    <row r="131" spans="2:18" s="58" customFormat="1" x14ac:dyDescent="0.2">
      <c r="B131" s="115" t="s">
        <v>530</v>
      </c>
      <c r="C131" s="117"/>
      <c r="D131" s="116"/>
      <c r="I131"/>
      <c r="J131" s="11"/>
      <c r="K131" s="35"/>
      <c r="L131" s="35"/>
      <c r="M131" s="35"/>
      <c r="N131" s="35"/>
      <c r="O131" s="65"/>
      <c r="R131"/>
    </row>
  </sheetData>
  <mergeCells count="26">
    <mergeCell ref="B116:C116"/>
    <mergeCell ref="B117:C117"/>
    <mergeCell ref="B129:C129"/>
    <mergeCell ref="B130:C130"/>
    <mergeCell ref="B131:D131"/>
    <mergeCell ref="B124:C124"/>
    <mergeCell ref="B125:C125"/>
    <mergeCell ref="B126:C126"/>
    <mergeCell ref="B127:C127"/>
    <mergeCell ref="B128:C128"/>
    <mergeCell ref="B119:C119"/>
    <mergeCell ref="B122:C122"/>
    <mergeCell ref="B123:C123"/>
    <mergeCell ref="B121:D121"/>
    <mergeCell ref="A1:H1"/>
    <mergeCell ref="A2:H2"/>
    <mergeCell ref="A3:H3"/>
    <mergeCell ref="B101:D101"/>
    <mergeCell ref="B102:C102"/>
    <mergeCell ref="B97:H97"/>
    <mergeCell ref="B98:H98"/>
    <mergeCell ref="B99:H99"/>
    <mergeCell ref="B103:C103"/>
    <mergeCell ref="B104:C104"/>
    <mergeCell ref="B114:C114"/>
    <mergeCell ref="B118:C118"/>
  </mergeCells>
  <hyperlinks>
    <hyperlink ref="I1" location="Index!B3" display="Index" xr:uid="{A1668480-096F-4E17-BD16-4DBF0E457BE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08C67-21CE-4C24-90EF-F7267231F91D}">
  <sheetPr>
    <outlinePr summaryBelow="0" summaryRight="0"/>
  </sheetPr>
  <dimension ref="A1:R130"/>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5.42578125" bestFit="1" customWidth="1"/>
    <col min="9" max="9" width="6" bestFit="1" customWidth="1"/>
    <col min="10" max="10" width="50.7109375" style="11" customWidth="1"/>
  </cols>
  <sheetData>
    <row r="1" spans="1:11" ht="15" x14ac:dyDescent="0.2">
      <c r="A1" s="107" t="s">
        <v>0</v>
      </c>
      <c r="B1" s="107"/>
      <c r="C1" s="107"/>
      <c r="D1" s="107"/>
      <c r="E1" s="107"/>
      <c r="F1" s="107"/>
      <c r="G1" s="107"/>
      <c r="H1" s="107"/>
      <c r="I1" s="1" t="s">
        <v>587</v>
      </c>
      <c r="K1" s="1"/>
    </row>
    <row r="2" spans="1:11" ht="15" x14ac:dyDescent="0.2">
      <c r="A2" s="107" t="s">
        <v>140</v>
      </c>
      <c r="B2" s="107"/>
      <c r="C2" s="107"/>
      <c r="D2" s="107"/>
      <c r="E2" s="107"/>
      <c r="F2" s="107"/>
      <c r="G2" s="107"/>
      <c r="H2" s="107"/>
      <c r="J2" s="12" t="s">
        <v>588</v>
      </c>
    </row>
    <row r="3" spans="1:11" ht="15" x14ac:dyDescent="0.2">
      <c r="A3" s="107" t="s">
        <v>501</v>
      </c>
      <c r="B3" s="107"/>
      <c r="C3" s="107"/>
      <c r="D3" s="107"/>
      <c r="E3" s="107"/>
      <c r="F3" s="107"/>
      <c r="G3" s="107"/>
      <c r="H3" s="107"/>
    </row>
    <row r="4" spans="1:11" s="11" customFormat="1" ht="30" x14ac:dyDescent="0.2">
      <c r="A4" s="13" t="s">
        <v>2</v>
      </c>
      <c r="B4" s="13" t="s">
        <v>3</v>
      </c>
      <c r="C4" s="13" t="s">
        <v>4</v>
      </c>
      <c r="D4" s="13" t="s">
        <v>5</v>
      </c>
      <c r="E4" s="13" t="s">
        <v>6</v>
      </c>
      <c r="F4" s="13" t="s">
        <v>7</v>
      </c>
      <c r="G4" s="13" t="s">
        <v>8</v>
      </c>
      <c r="H4" s="14" t="s">
        <v>516</v>
      </c>
    </row>
    <row r="5" spans="1:11" x14ac:dyDescent="0.2">
      <c r="A5" s="15"/>
      <c r="B5" s="15"/>
      <c r="C5" s="16" t="s">
        <v>9</v>
      </c>
      <c r="D5" s="15"/>
      <c r="E5" s="15"/>
      <c r="F5" s="15"/>
      <c r="G5" s="15"/>
      <c r="H5" s="17" t="str">
        <f>IFERROR(VLOOKUP(B5,'[1]Debt Holding Consolidated'!$C$1:$N$65536,12,FALSE),"")</f>
        <v/>
      </c>
    </row>
    <row r="6" spans="1:11" x14ac:dyDescent="0.2">
      <c r="A6" s="15"/>
      <c r="B6" s="15"/>
      <c r="C6" s="16" t="s">
        <v>10</v>
      </c>
      <c r="D6" s="15"/>
      <c r="E6" s="15"/>
      <c r="F6" s="15"/>
      <c r="G6" s="15"/>
      <c r="H6" s="17" t="str">
        <f>IFERROR(VLOOKUP(B6,'[1]Debt Holding Consolidated'!$C$1:$N$65536,12,FALSE),"")</f>
        <v/>
      </c>
    </row>
    <row r="7" spans="1:11" x14ac:dyDescent="0.2">
      <c r="A7" s="15"/>
      <c r="B7" s="15"/>
      <c r="C7" s="16" t="s">
        <v>11</v>
      </c>
      <c r="D7" s="15"/>
      <c r="E7" s="15" t="s">
        <v>12</v>
      </c>
      <c r="F7" s="18" t="s">
        <v>13</v>
      </c>
      <c r="G7" s="19">
        <v>0</v>
      </c>
      <c r="H7" s="17" t="str">
        <f>IFERROR(VLOOKUP(B7,'[1]Debt Holding Consolidated'!$C$1:$N$65536,12,FALSE),"")</f>
        <v/>
      </c>
    </row>
    <row r="8" spans="1:11" x14ac:dyDescent="0.2">
      <c r="A8" s="15"/>
      <c r="B8" s="15"/>
      <c r="C8" s="20"/>
      <c r="D8" s="15"/>
      <c r="E8" s="15"/>
      <c r="F8" s="21"/>
      <c r="G8" s="21"/>
      <c r="H8" s="17" t="str">
        <f>IFERROR(VLOOKUP(B8,'[1]Debt Holding Consolidated'!$C$1:$N$65536,12,FALSE),"")</f>
        <v/>
      </c>
    </row>
    <row r="9" spans="1:11" x14ac:dyDescent="0.2">
      <c r="A9" s="15"/>
      <c r="B9" s="15"/>
      <c r="C9" s="16" t="s">
        <v>14</v>
      </c>
      <c r="D9" s="15"/>
      <c r="E9" s="15"/>
      <c r="F9" s="15"/>
      <c r="G9" s="15"/>
      <c r="H9" s="17" t="str">
        <f>IFERROR(VLOOKUP(B9,'[1]Debt Holding Consolidated'!$C$1:$N$65536,12,FALSE),"")</f>
        <v/>
      </c>
    </row>
    <row r="10" spans="1:11" x14ac:dyDescent="0.2">
      <c r="A10" s="15"/>
      <c r="B10" s="15"/>
      <c r="C10" s="16" t="s">
        <v>11</v>
      </c>
      <c r="D10" s="15"/>
      <c r="E10" s="15" t="s">
        <v>12</v>
      </c>
      <c r="F10" s="18" t="s">
        <v>13</v>
      </c>
      <c r="G10" s="19">
        <v>0</v>
      </c>
      <c r="H10" s="17" t="str">
        <f>IFERROR(VLOOKUP(B10,'[1]Debt Holding Consolidated'!$C$1:$N$65536,12,FALSE),"")</f>
        <v/>
      </c>
    </row>
    <row r="11" spans="1:11" x14ac:dyDescent="0.2">
      <c r="A11" s="15"/>
      <c r="B11" s="15"/>
      <c r="C11" s="20"/>
      <c r="D11" s="15"/>
      <c r="E11" s="15"/>
      <c r="F11" s="21"/>
      <c r="G11" s="21"/>
      <c r="H11" s="17" t="str">
        <f>IFERROR(VLOOKUP(B11,'[1]Debt Holding Consolidated'!$C$1:$N$65536,12,FALSE),"")</f>
        <v/>
      </c>
    </row>
    <row r="12" spans="1:11" ht="15" x14ac:dyDescent="0.2">
      <c r="A12" s="15"/>
      <c r="B12" s="15"/>
      <c r="C12" s="16" t="s">
        <v>15</v>
      </c>
      <c r="D12" s="15"/>
      <c r="E12" s="15"/>
      <c r="F12" s="15"/>
      <c r="G12" s="15"/>
      <c r="H12" s="17" t="str">
        <f>IFERROR(VLOOKUP(B12,'[1]Debt Holding Consolidated'!$C$1:$N$65536,12,FALSE),"")</f>
        <v/>
      </c>
      <c r="J12" s="22"/>
    </row>
    <row r="13" spans="1:11" x14ac:dyDescent="0.2">
      <c r="A13" s="15"/>
      <c r="B13" s="15"/>
      <c r="C13" s="16" t="s">
        <v>11</v>
      </c>
      <c r="D13" s="15"/>
      <c r="E13" s="15" t="s">
        <v>12</v>
      </c>
      <c r="F13" s="18" t="s">
        <v>13</v>
      </c>
      <c r="G13" s="19">
        <v>0</v>
      </c>
      <c r="H13" s="17" t="str">
        <f>IFERROR(VLOOKUP(B13,'[1]Debt Holding Consolidated'!$C$1:$N$65536,12,FALSE),"")</f>
        <v/>
      </c>
      <c r="J13" s="23"/>
    </row>
    <row r="14" spans="1:11" x14ac:dyDescent="0.2">
      <c r="A14" s="15"/>
      <c r="B14" s="15"/>
      <c r="C14" s="20"/>
      <c r="D14" s="15"/>
      <c r="E14" s="15"/>
      <c r="F14" s="21"/>
      <c r="G14" s="21"/>
      <c r="H14" s="17" t="str">
        <f>IFERROR(VLOOKUP(B14,'[1]Debt Holding Consolidated'!$C$1:$N$65536,12,FALSE),"")</f>
        <v/>
      </c>
      <c r="J14" s="23"/>
    </row>
    <row r="15" spans="1:11" ht="25.5" x14ac:dyDescent="0.2">
      <c r="A15" s="15"/>
      <c r="B15" s="15"/>
      <c r="C15" s="16" t="s">
        <v>16</v>
      </c>
      <c r="D15" s="15"/>
      <c r="E15" s="15"/>
      <c r="F15" s="15"/>
      <c r="G15" s="15"/>
      <c r="H15" s="17" t="str">
        <f>IFERROR(VLOOKUP(B15,'[1]Debt Holding Consolidated'!$C$1:$N$65536,12,FALSE),"")</f>
        <v/>
      </c>
      <c r="J15" s="23" t="s">
        <v>592</v>
      </c>
    </row>
    <row r="16" spans="1:11" x14ac:dyDescent="0.2">
      <c r="A16" s="15"/>
      <c r="B16" s="15"/>
      <c r="C16" s="16" t="s">
        <v>11</v>
      </c>
      <c r="D16" s="15"/>
      <c r="E16" s="15" t="s">
        <v>12</v>
      </c>
      <c r="F16" s="18" t="s">
        <v>13</v>
      </c>
      <c r="G16" s="19">
        <v>0</v>
      </c>
      <c r="H16" s="17" t="str">
        <f>IFERROR(VLOOKUP(B16,'[1]Debt Holding Consolidated'!$C$1:$N$65536,12,FALSE),"")</f>
        <v/>
      </c>
    </row>
    <row r="17" spans="1:10" x14ac:dyDescent="0.2">
      <c r="A17" s="15"/>
      <c r="B17" s="15"/>
      <c r="C17" s="20"/>
      <c r="D17" s="15"/>
      <c r="E17" s="15"/>
      <c r="F17" s="21"/>
      <c r="G17" s="21"/>
      <c r="H17" s="17" t="str">
        <f>IFERROR(VLOOKUP(B17,'[1]Debt Holding Consolidated'!$C$1:$N$65536,12,FALSE),"")</f>
        <v/>
      </c>
    </row>
    <row r="18" spans="1:10" x14ac:dyDescent="0.2">
      <c r="A18" s="15"/>
      <c r="B18" s="15"/>
      <c r="C18" s="16" t="s">
        <v>17</v>
      </c>
      <c r="D18" s="15"/>
      <c r="E18" s="15"/>
      <c r="F18" s="21"/>
      <c r="G18" s="21"/>
      <c r="H18" s="17" t="str">
        <f>IFERROR(VLOOKUP(B18,'[1]Debt Holding Consolidated'!$C$1:$N$65536,12,FALSE),"")</f>
        <v/>
      </c>
    </row>
    <row r="19" spans="1:10" x14ac:dyDescent="0.2">
      <c r="A19" s="15"/>
      <c r="B19" s="15"/>
      <c r="C19" s="16" t="s">
        <v>11</v>
      </c>
      <c r="D19" s="15"/>
      <c r="E19" s="15" t="s">
        <v>12</v>
      </c>
      <c r="F19" s="18" t="s">
        <v>13</v>
      </c>
      <c r="G19" s="19">
        <v>0</v>
      </c>
      <c r="H19" s="17" t="str">
        <f>IFERROR(VLOOKUP(B19,'[1]Debt Holding Consolidated'!$C$1:$N$65536,12,FALSE),"")</f>
        <v/>
      </c>
    </row>
    <row r="20" spans="1:10" x14ac:dyDescent="0.2">
      <c r="A20" s="15"/>
      <c r="B20" s="15"/>
      <c r="C20" s="20"/>
      <c r="D20" s="15"/>
      <c r="E20" s="15"/>
      <c r="F20" s="21"/>
      <c r="G20" s="21"/>
      <c r="H20" s="17" t="str">
        <f>IFERROR(VLOOKUP(B20,'[1]Debt Holding Consolidated'!$C$1:$N$65536,12,FALSE),"")</f>
        <v/>
      </c>
    </row>
    <row r="21" spans="1:10" x14ac:dyDescent="0.2">
      <c r="A21" s="15"/>
      <c r="B21" s="15"/>
      <c r="C21" s="16" t="s">
        <v>18</v>
      </c>
      <c r="D21" s="15"/>
      <c r="E21" s="15"/>
      <c r="F21" s="21"/>
      <c r="G21" s="21"/>
      <c r="H21" s="17" t="str">
        <f>IFERROR(VLOOKUP(B21,'[1]Debt Holding Consolidated'!$C$1:$N$65536,12,FALSE),"")</f>
        <v/>
      </c>
    </row>
    <row r="22" spans="1:10" ht="15" x14ac:dyDescent="0.2">
      <c r="A22" s="15"/>
      <c r="B22" s="15"/>
      <c r="C22" s="16" t="s">
        <v>11</v>
      </c>
      <c r="D22" s="15"/>
      <c r="E22" s="15" t="s">
        <v>12</v>
      </c>
      <c r="F22" s="18" t="s">
        <v>13</v>
      </c>
      <c r="G22" s="19">
        <v>0</v>
      </c>
      <c r="H22" s="17" t="str">
        <f>IFERROR(VLOOKUP(B22,'[1]Debt Holding Consolidated'!$C$1:$N$65536,12,FALSE),"")</f>
        <v/>
      </c>
      <c r="J22" s="22"/>
    </row>
    <row r="23" spans="1:10" x14ac:dyDescent="0.2">
      <c r="A23" s="15"/>
      <c r="B23" s="15"/>
      <c r="C23" s="20"/>
      <c r="D23" s="15"/>
      <c r="E23" s="15"/>
      <c r="F23" s="21"/>
      <c r="G23" s="21"/>
      <c r="H23" s="17" t="str">
        <f>IFERROR(VLOOKUP(B23,'[1]Debt Holding Consolidated'!$C$1:$N$65536,12,FALSE),"")</f>
        <v/>
      </c>
      <c r="J23" s="23"/>
    </row>
    <row r="24" spans="1:10" x14ac:dyDescent="0.2">
      <c r="A24" s="15"/>
      <c r="B24" s="15"/>
      <c r="C24" s="16" t="s">
        <v>19</v>
      </c>
      <c r="D24" s="15"/>
      <c r="E24" s="15"/>
      <c r="F24" s="24">
        <v>0</v>
      </c>
      <c r="G24" s="19">
        <v>0</v>
      </c>
      <c r="H24" s="17" t="str">
        <f>IFERROR(VLOOKUP(B24,'[1]Debt Holding Consolidated'!$C$1:$N$65536,12,FALSE),"")</f>
        <v/>
      </c>
    </row>
    <row r="25" spans="1:10" x14ac:dyDescent="0.2">
      <c r="A25" s="15"/>
      <c r="B25" s="15"/>
      <c r="C25" s="20"/>
      <c r="D25" s="15"/>
      <c r="E25" s="15"/>
      <c r="F25" s="21"/>
      <c r="G25" s="21"/>
      <c r="H25" s="17" t="str">
        <f>IFERROR(VLOOKUP(B25,'[1]Debt Holding Consolidated'!$C$1:$N$65536,12,FALSE),"")</f>
        <v/>
      </c>
    </row>
    <row r="26" spans="1:10" x14ac:dyDescent="0.2">
      <c r="A26" s="15"/>
      <c r="B26" s="15"/>
      <c r="C26" s="16" t="s">
        <v>20</v>
      </c>
      <c r="D26" s="15"/>
      <c r="E26" s="15"/>
      <c r="F26" s="21"/>
      <c r="G26" s="21"/>
      <c r="H26" s="17" t="str">
        <f>IFERROR(VLOOKUP(B26,'[1]Debt Holding Consolidated'!$C$1:$N$65536,12,FALSE),"")</f>
        <v/>
      </c>
    </row>
    <row r="27" spans="1:10" x14ac:dyDescent="0.2">
      <c r="A27" s="15"/>
      <c r="B27" s="15"/>
      <c r="C27" s="16" t="s">
        <v>10</v>
      </c>
      <c r="D27" s="15"/>
      <c r="E27" s="15"/>
      <c r="F27" s="21"/>
      <c r="G27" s="21"/>
      <c r="H27" s="17" t="str">
        <f>IFERROR(VLOOKUP(B27,'[1]Debt Holding Consolidated'!$C$1:$N$65536,12,FALSE),"")</f>
        <v/>
      </c>
      <c r="J27" s="23"/>
    </row>
    <row r="28" spans="1:10" ht="25.5" x14ac:dyDescent="0.2">
      <c r="A28" s="15"/>
      <c r="B28" s="15"/>
      <c r="C28" s="16" t="s">
        <v>11</v>
      </c>
      <c r="D28" s="15"/>
      <c r="E28" s="15" t="s">
        <v>12</v>
      </c>
      <c r="F28" s="18" t="s">
        <v>13</v>
      </c>
      <c r="G28" s="19">
        <v>0</v>
      </c>
      <c r="H28" s="17" t="str">
        <f>IFERROR(VLOOKUP(B28,'[1]Debt Holding Consolidated'!$C$1:$N$65536,12,FALSE),"")</f>
        <v/>
      </c>
      <c r="J28" s="23" t="s">
        <v>593</v>
      </c>
    </row>
    <row r="29" spans="1:10" x14ac:dyDescent="0.2">
      <c r="A29" s="15"/>
      <c r="B29" s="15"/>
      <c r="C29" s="20"/>
      <c r="D29" s="15"/>
      <c r="E29" s="15"/>
      <c r="F29" s="21"/>
      <c r="G29" s="21"/>
      <c r="H29" s="17" t="str">
        <f>IFERROR(VLOOKUP(B29,'[1]Debt Holding Consolidated'!$C$1:$N$65536,12,FALSE),"")</f>
        <v/>
      </c>
      <c r="J29" s="23"/>
    </row>
    <row r="30" spans="1:10" x14ac:dyDescent="0.2">
      <c r="A30" s="15"/>
      <c r="B30" s="15"/>
      <c r="C30" s="16" t="s">
        <v>67</v>
      </c>
      <c r="D30" s="15"/>
      <c r="E30" s="15"/>
      <c r="F30" s="15"/>
      <c r="G30" s="15"/>
      <c r="H30" s="17" t="str">
        <f>IFERROR(VLOOKUP(B30,'[1]Debt Holding Consolidated'!$C$1:$N$65536,12,FALSE),"")</f>
        <v/>
      </c>
    </row>
    <row r="31" spans="1:10" x14ac:dyDescent="0.2">
      <c r="A31" s="15"/>
      <c r="B31" s="15"/>
      <c r="C31" s="16" t="s">
        <v>11</v>
      </c>
      <c r="D31" s="15"/>
      <c r="E31" s="15" t="s">
        <v>12</v>
      </c>
      <c r="F31" s="18" t="s">
        <v>13</v>
      </c>
      <c r="G31" s="19">
        <v>0</v>
      </c>
      <c r="H31" s="17" t="str">
        <f>IFERROR(VLOOKUP(B31,'[1]Debt Holding Consolidated'!$C$1:$N$65536,12,FALSE),"")</f>
        <v/>
      </c>
    </row>
    <row r="32" spans="1:10" x14ac:dyDescent="0.2">
      <c r="A32" s="15"/>
      <c r="B32" s="15"/>
      <c r="C32" s="20"/>
      <c r="D32" s="15"/>
      <c r="E32" s="15"/>
      <c r="F32" s="21"/>
      <c r="G32" s="21"/>
      <c r="H32" s="17" t="str">
        <f>IFERROR(VLOOKUP(B32,'[1]Debt Holding Consolidated'!$C$1:$N$65536,12,FALSE),"")</f>
        <v/>
      </c>
    </row>
    <row r="33" spans="1:8" x14ac:dyDescent="0.2">
      <c r="A33" s="15"/>
      <c r="B33" s="15"/>
      <c r="C33" s="16" t="s">
        <v>68</v>
      </c>
      <c r="D33" s="15"/>
      <c r="E33" s="15"/>
      <c r="F33" s="15"/>
      <c r="G33" s="15"/>
      <c r="H33" s="17" t="str">
        <f>IFERROR(VLOOKUP(B33,'[1]Debt Holding Consolidated'!$C$1:$N$65536,12,FALSE),"")</f>
        <v/>
      </c>
    </row>
    <row r="34" spans="1:8" x14ac:dyDescent="0.2">
      <c r="A34" s="15"/>
      <c r="B34" s="15"/>
      <c r="C34" s="16" t="s">
        <v>11</v>
      </c>
      <c r="D34" s="15"/>
      <c r="E34" s="15" t="s">
        <v>12</v>
      </c>
      <c r="F34" s="18" t="s">
        <v>13</v>
      </c>
      <c r="G34" s="19">
        <v>0</v>
      </c>
      <c r="H34" s="17" t="str">
        <f>IFERROR(VLOOKUP(B34,'[1]Debt Holding Consolidated'!$C$1:$N$65536,12,FALSE),"")</f>
        <v/>
      </c>
    </row>
    <row r="35" spans="1:8" x14ac:dyDescent="0.2">
      <c r="A35" s="15"/>
      <c r="B35" s="15"/>
      <c r="C35" s="20"/>
      <c r="D35" s="15"/>
      <c r="E35" s="15"/>
      <c r="F35" s="21"/>
      <c r="G35" s="21"/>
      <c r="H35" s="17" t="str">
        <f>IFERROR(VLOOKUP(B35,'[1]Debt Holding Consolidated'!$C$1:$N$65536,12,FALSE),"")</f>
        <v/>
      </c>
    </row>
    <row r="36" spans="1:8" x14ac:dyDescent="0.2">
      <c r="A36" s="15"/>
      <c r="B36" s="15"/>
      <c r="C36" s="16" t="s">
        <v>82</v>
      </c>
      <c r="D36" s="15"/>
      <c r="E36" s="15"/>
      <c r="F36" s="21"/>
      <c r="G36" s="21"/>
      <c r="H36" s="17" t="str">
        <f>IFERROR(VLOOKUP(B36,'[1]Debt Holding Consolidated'!$C$1:$N$65536,12,FALSE),"")</f>
        <v/>
      </c>
    </row>
    <row r="37" spans="1:8" x14ac:dyDescent="0.2">
      <c r="A37" s="15"/>
      <c r="B37" s="15"/>
      <c r="C37" s="16" t="s">
        <v>11</v>
      </c>
      <c r="D37" s="15"/>
      <c r="E37" s="15" t="s">
        <v>12</v>
      </c>
      <c r="F37" s="18" t="s">
        <v>13</v>
      </c>
      <c r="G37" s="19">
        <v>0</v>
      </c>
      <c r="H37" s="17" t="str">
        <f>IFERROR(VLOOKUP(B37,'[1]Debt Holding Consolidated'!$C$1:$N$65536,12,FALSE),"")</f>
        <v/>
      </c>
    </row>
    <row r="38" spans="1:8" x14ac:dyDescent="0.2">
      <c r="A38" s="15"/>
      <c r="B38" s="15"/>
      <c r="C38" s="20"/>
      <c r="D38" s="15"/>
      <c r="E38" s="15"/>
      <c r="F38" s="21"/>
      <c r="G38" s="21"/>
      <c r="H38" s="17" t="str">
        <f>IFERROR(VLOOKUP(B38,'[1]Debt Holding Consolidated'!$C$1:$N$65536,12,FALSE),"")</f>
        <v/>
      </c>
    </row>
    <row r="39" spans="1:8" x14ac:dyDescent="0.2">
      <c r="A39" s="15"/>
      <c r="B39" s="15"/>
      <c r="C39" s="16" t="s">
        <v>83</v>
      </c>
      <c r="D39" s="15"/>
      <c r="E39" s="15"/>
      <c r="F39" s="24">
        <v>0</v>
      </c>
      <c r="G39" s="19">
        <v>0</v>
      </c>
      <c r="H39" s="17" t="str">
        <f>IFERROR(VLOOKUP(B39,'[1]Debt Holding Consolidated'!$C$1:$N$65536,12,FALSE),"")</f>
        <v/>
      </c>
    </row>
    <row r="40" spans="1:8" x14ac:dyDescent="0.2">
      <c r="A40" s="15"/>
      <c r="B40" s="15"/>
      <c r="C40" s="20"/>
      <c r="D40" s="15"/>
      <c r="E40" s="15"/>
      <c r="F40" s="21"/>
      <c r="G40" s="21"/>
      <c r="H40" s="17" t="str">
        <f>IFERROR(VLOOKUP(B40,'[1]Debt Holding Consolidated'!$C$1:$N$65536,12,FALSE),"")</f>
        <v/>
      </c>
    </row>
    <row r="41" spans="1:8" x14ac:dyDescent="0.2">
      <c r="A41" s="15"/>
      <c r="B41" s="15"/>
      <c r="C41" s="16" t="s">
        <v>84</v>
      </c>
      <c r="D41" s="15"/>
      <c r="E41" s="15"/>
      <c r="F41" s="21"/>
      <c r="G41" s="21"/>
      <c r="H41" s="17" t="str">
        <f>IFERROR(VLOOKUP(B41,'[1]Debt Holding Consolidated'!$C$1:$N$65536,12,FALSE),"")</f>
        <v/>
      </c>
    </row>
    <row r="42" spans="1:8" x14ac:dyDescent="0.2">
      <c r="A42" s="15"/>
      <c r="B42" s="15"/>
      <c r="C42" s="16" t="s">
        <v>85</v>
      </c>
      <c r="D42" s="15"/>
      <c r="E42" s="15"/>
      <c r="F42" s="21"/>
      <c r="G42" s="21"/>
      <c r="H42" s="17" t="str">
        <f>IFERROR(VLOOKUP(B42,'[1]Debt Holding Consolidated'!$C$1:$N$65536,12,FALSE),"")</f>
        <v/>
      </c>
    </row>
    <row r="43" spans="1:8" x14ac:dyDescent="0.2">
      <c r="A43" s="25">
        <v>1</v>
      </c>
      <c r="B43" s="26" t="s">
        <v>141</v>
      </c>
      <c r="C43" s="26" t="s">
        <v>142</v>
      </c>
      <c r="D43" s="26" t="s">
        <v>143</v>
      </c>
      <c r="E43" s="27">
        <v>400</v>
      </c>
      <c r="F43" s="28">
        <v>1923.5139999999999</v>
      </c>
      <c r="G43" s="29">
        <v>8.7582160000000006E-2</v>
      </c>
      <c r="H43" s="17">
        <f>IFERROR(VLOOKUP(B43,'[1]Debt Holding Consolidated'!$C$1:$N$65536,12,FALSE),"")</f>
        <v>7.52</v>
      </c>
    </row>
    <row r="44" spans="1:8" x14ac:dyDescent="0.2">
      <c r="A44" s="25">
        <v>2</v>
      </c>
      <c r="B44" s="26" t="s">
        <v>144</v>
      </c>
      <c r="C44" s="26" t="s">
        <v>145</v>
      </c>
      <c r="D44" s="26" t="s">
        <v>146</v>
      </c>
      <c r="E44" s="27">
        <v>300</v>
      </c>
      <c r="F44" s="28">
        <v>1444.3530000000001</v>
      </c>
      <c r="G44" s="29">
        <v>6.5764820000000002E-2</v>
      </c>
      <c r="H44" s="17">
        <f>IFERROR(VLOOKUP(B44,'[1]Debt Holding Consolidated'!$C$1:$N$65536,12,FALSE),"")</f>
        <v>7.48</v>
      </c>
    </row>
    <row r="45" spans="1:8" x14ac:dyDescent="0.2">
      <c r="A45" s="25">
        <v>3</v>
      </c>
      <c r="B45" s="26" t="s">
        <v>147</v>
      </c>
      <c r="C45" s="26" t="s">
        <v>148</v>
      </c>
      <c r="D45" s="26" t="s">
        <v>143</v>
      </c>
      <c r="E45" s="27">
        <v>300</v>
      </c>
      <c r="F45" s="28">
        <v>1436.2545</v>
      </c>
      <c r="G45" s="29">
        <v>6.5396079999999995E-2</v>
      </c>
      <c r="H45" s="17">
        <f>IFERROR(VLOOKUP(B45,'[1]Debt Holding Consolidated'!$C$1:$N$65536,12,FALSE),"")</f>
        <v>7.5</v>
      </c>
    </row>
    <row r="46" spans="1:8" x14ac:dyDescent="0.2">
      <c r="A46" s="25">
        <v>4</v>
      </c>
      <c r="B46" s="26" t="s">
        <v>149</v>
      </c>
      <c r="C46" s="26" t="s">
        <v>150</v>
      </c>
      <c r="D46" s="26" t="s">
        <v>143</v>
      </c>
      <c r="E46" s="27">
        <v>300</v>
      </c>
      <c r="F46" s="28">
        <v>1417.4175</v>
      </c>
      <c r="G46" s="29">
        <v>6.4538380000000006E-2</v>
      </c>
      <c r="H46" s="17">
        <f>IFERROR(VLOOKUP(B46,'[1]Debt Holding Consolidated'!$C$1:$N$65536,12,FALSE),"")</f>
        <v>7.5949999999999998</v>
      </c>
    </row>
    <row r="47" spans="1:8" x14ac:dyDescent="0.2">
      <c r="A47" s="25">
        <v>5</v>
      </c>
      <c r="B47" s="26" t="s">
        <v>151</v>
      </c>
      <c r="C47" s="26" t="s">
        <v>152</v>
      </c>
      <c r="D47" s="26" t="s">
        <v>143</v>
      </c>
      <c r="E47" s="27">
        <v>200</v>
      </c>
      <c r="F47" s="28">
        <v>976.57100000000003</v>
      </c>
      <c r="G47" s="29">
        <v>4.4465589999999999E-2</v>
      </c>
      <c r="H47" s="17">
        <f>IFERROR(VLOOKUP(B47,'[1]Debt Holding Consolidated'!$C$1:$N$65536,12,FALSE),"")</f>
        <v>7.3586</v>
      </c>
    </row>
    <row r="48" spans="1:8" ht="25.5" x14ac:dyDescent="0.2">
      <c r="A48" s="25">
        <v>6</v>
      </c>
      <c r="B48" s="26" t="s">
        <v>153</v>
      </c>
      <c r="C48" s="26" t="s">
        <v>154</v>
      </c>
      <c r="D48" s="26" t="s">
        <v>143</v>
      </c>
      <c r="E48" s="27">
        <v>200</v>
      </c>
      <c r="F48" s="28">
        <v>964.33299999999997</v>
      </c>
      <c r="G48" s="29">
        <v>4.3908370000000002E-2</v>
      </c>
      <c r="H48" s="17">
        <f>IFERROR(VLOOKUP(B48,'[1]Debt Holding Consolidated'!$C$1:$N$65536,12,FALSE),"")</f>
        <v>7.5</v>
      </c>
    </row>
    <row r="49" spans="1:8" x14ac:dyDescent="0.2">
      <c r="A49" s="25">
        <v>7</v>
      </c>
      <c r="B49" s="26" t="s">
        <v>155</v>
      </c>
      <c r="C49" s="26" t="s">
        <v>156</v>
      </c>
      <c r="D49" s="26" t="s">
        <v>143</v>
      </c>
      <c r="E49" s="27">
        <v>200</v>
      </c>
      <c r="F49" s="28">
        <v>962.80700000000002</v>
      </c>
      <c r="G49" s="29">
        <v>4.3838889999999998E-2</v>
      </c>
      <c r="H49" s="17">
        <f>IFERROR(VLOOKUP(B49,'[1]Debt Holding Consolidated'!$C$1:$N$65536,12,FALSE),"")</f>
        <v>7.5</v>
      </c>
    </row>
    <row r="50" spans="1:8" x14ac:dyDescent="0.2">
      <c r="A50" s="25">
        <v>8</v>
      </c>
      <c r="B50" s="26" t="s">
        <v>157</v>
      </c>
      <c r="C50" s="26" t="s">
        <v>158</v>
      </c>
      <c r="D50" s="26" t="s">
        <v>143</v>
      </c>
      <c r="E50" s="27">
        <v>200</v>
      </c>
      <c r="F50" s="28">
        <v>959.57399999999996</v>
      </c>
      <c r="G50" s="29">
        <v>4.3691679999999997E-2</v>
      </c>
      <c r="H50" s="17">
        <f>IFERROR(VLOOKUP(B50,'[1]Debt Holding Consolidated'!$C$1:$N$65536,12,FALSE),"")</f>
        <v>7.5750000000000002</v>
      </c>
    </row>
    <row r="51" spans="1:8" x14ac:dyDescent="0.2">
      <c r="A51" s="25">
        <v>9</v>
      </c>
      <c r="B51" s="26" t="s">
        <v>159</v>
      </c>
      <c r="C51" s="26" t="s">
        <v>160</v>
      </c>
      <c r="D51" s="26" t="s">
        <v>161</v>
      </c>
      <c r="E51" s="27">
        <v>160</v>
      </c>
      <c r="F51" s="28">
        <v>746.73839999999996</v>
      </c>
      <c r="G51" s="29">
        <v>3.400077E-2</v>
      </c>
      <c r="H51" s="17">
        <f>IFERROR(VLOOKUP(B51,'[1]Debt Holding Consolidated'!$C$1:$N$65536,12,FALSE),"")</f>
        <v>7.59</v>
      </c>
    </row>
    <row r="52" spans="1:8" x14ac:dyDescent="0.2">
      <c r="A52" s="25">
        <v>10</v>
      </c>
      <c r="B52" s="26" t="s">
        <v>162</v>
      </c>
      <c r="C52" s="26" t="s">
        <v>163</v>
      </c>
      <c r="D52" s="26" t="s">
        <v>143</v>
      </c>
      <c r="E52" s="27">
        <v>140</v>
      </c>
      <c r="F52" s="28">
        <v>673.56309999999996</v>
      </c>
      <c r="G52" s="29">
        <v>3.066893E-2</v>
      </c>
      <c r="H52" s="17">
        <f>IFERROR(VLOOKUP(B52,'[1]Debt Holding Consolidated'!$C$1:$N$65536,12,FALSE),"")</f>
        <v>7.58</v>
      </c>
    </row>
    <row r="53" spans="1:8" x14ac:dyDescent="0.2">
      <c r="A53" s="25">
        <v>11</v>
      </c>
      <c r="B53" s="26" t="s">
        <v>164</v>
      </c>
      <c r="C53" s="26" t="s">
        <v>165</v>
      </c>
      <c r="D53" s="26" t="s">
        <v>143</v>
      </c>
      <c r="E53" s="27">
        <v>140</v>
      </c>
      <c r="F53" s="28">
        <v>673.19349999999997</v>
      </c>
      <c r="G53" s="29">
        <v>3.0652100000000002E-2</v>
      </c>
      <c r="H53" s="17">
        <f>IFERROR(VLOOKUP(B53,'[1]Debt Holding Consolidated'!$C$1:$N$65536,12,FALSE),"")</f>
        <v>7.57</v>
      </c>
    </row>
    <row r="54" spans="1:8" x14ac:dyDescent="0.2">
      <c r="A54" s="25">
        <v>12</v>
      </c>
      <c r="B54" s="26" t="s">
        <v>166</v>
      </c>
      <c r="C54" s="26" t="s">
        <v>167</v>
      </c>
      <c r="D54" s="26" t="s">
        <v>143</v>
      </c>
      <c r="E54" s="27">
        <v>100</v>
      </c>
      <c r="F54" s="28">
        <v>490.02</v>
      </c>
      <c r="G54" s="29">
        <v>2.2311770000000002E-2</v>
      </c>
      <c r="H54" s="17">
        <f>IFERROR(VLOOKUP(B54,'[1]Debt Holding Consolidated'!$C$1:$N$65536,12,FALSE),"")</f>
        <v>7.36</v>
      </c>
    </row>
    <row r="55" spans="1:8" x14ac:dyDescent="0.2">
      <c r="A55" s="25">
        <v>13</v>
      </c>
      <c r="B55" s="26" t="s">
        <v>168</v>
      </c>
      <c r="C55" s="26" t="s">
        <v>169</v>
      </c>
      <c r="D55" s="26" t="s">
        <v>161</v>
      </c>
      <c r="E55" s="27">
        <v>100</v>
      </c>
      <c r="F55" s="28">
        <v>483.35899999999998</v>
      </c>
      <c r="G55" s="29">
        <v>2.200848E-2</v>
      </c>
      <c r="H55" s="17">
        <f>IFERROR(VLOOKUP(B55,'[1]Debt Holding Consolidated'!$C$1:$N$65536,12,FALSE),"")</f>
        <v>7.48</v>
      </c>
    </row>
    <row r="56" spans="1:8" x14ac:dyDescent="0.2">
      <c r="A56" s="25">
        <v>14</v>
      </c>
      <c r="B56" s="26" t="s">
        <v>170</v>
      </c>
      <c r="C56" s="26" t="s">
        <v>171</v>
      </c>
      <c r="D56" s="26" t="s">
        <v>143</v>
      </c>
      <c r="E56" s="27">
        <v>100</v>
      </c>
      <c r="F56" s="28">
        <v>482.8</v>
      </c>
      <c r="G56" s="29">
        <v>2.1983030000000001E-2</v>
      </c>
      <c r="H56" s="17">
        <f>IFERROR(VLOOKUP(B56,'[1]Debt Holding Consolidated'!$C$1:$N$65536,12,FALSE),"")</f>
        <v>7.56</v>
      </c>
    </row>
    <row r="57" spans="1:8" x14ac:dyDescent="0.2">
      <c r="A57" s="25">
        <v>15</v>
      </c>
      <c r="B57" s="26" t="s">
        <v>172</v>
      </c>
      <c r="C57" s="26" t="s">
        <v>173</v>
      </c>
      <c r="D57" s="26" t="s">
        <v>161</v>
      </c>
      <c r="E57" s="27">
        <v>100</v>
      </c>
      <c r="F57" s="28">
        <v>480.71300000000002</v>
      </c>
      <c r="G57" s="29">
        <v>2.1888000000000001E-2</v>
      </c>
      <c r="H57" s="17">
        <f>IFERROR(VLOOKUP(B57,'[1]Debt Holding Consolidated'!$C$1:$N$65536,12,FALSE),"")</f>
        <v>7.5101000000000004</v>
      </c>
    </row>
    <row r="58" spans="1:8" x14ac:dyDescent="0.2">
      <c r="A58" s="25">
        <v>16</v>
      </c>
      <c r="B58" s="26" t="s">
        <v>174</v>
      </c>
      <c r="C58" s="26" t="s">
        <v>175</v>
      </c>
      <c r="D58" s="26" t="s">
        <v>143</v>
      </c>
      <c r="E58" s="27">
        <v>100</v>
      </c>
      <c r="F58" s="28">
        <v>469.54649999999998</v>
      </c>
      <c r="G58" s="29">
        <v>2.1379570000000001E-2</v>
      </c>
      <c r="H58" s="17">
        <f>IFERROR(VLOOKUP(B58,'[1]Debt Holding Consolidated'!$C$1:$N$65536,12,FALSE),"")</f>
        <v>7.5875000000000004</v>
      </c>
    </row>
    <row r="59" spans="1:8" x14ac:dyDescent="0.2">
      <c r="A59" s="15"/>
      <c r="B59" s="15"/>
      <c r="C59" s="16" t="s">
        <v>11</v>
      </c>
      <c r="D59" s="15"/>
      <c r="E59" s="15" t="s">
        <v>12</v>
      </c>
      <c r="F59" s="24">
        <v>14584.7575</v>
      </c>
      <c r="G59" s="19">
        <v>0.66407861999999995</v>
      </c>
      <c r="H59" s="17" t="str">
        <f>IFERROR(VLOOKUP(B59,'[1]Debt Holding Consolidated'!$C$1:$N$65536,12,FALSE),"")</f>
        <v/>
      </c>
    </row>
    <row r="60" spans="1:8" x14ac:dyDescent="0.2">
      <c r="A60" s="15"/>
      <c r="B60" s="15"/>
      <c r="C60" s="20"/>
      <c r="D60" s="15"/>
      <c r="E60" s="15"/>
      <c r="F60" s="21"/>
      <c r="G60" s="21"/>
      <c r="H60" s="17" t="str">
        <f>IFERROR(VLOOKUP(B60,'[1]Debt Holding Consolidated'!$C$1:$N$65536,12,FALSE),"")</f>
        <v/>
      </c>
    </row>
    <row r="61" spans="1:8" x14ac:dyDescent="0.2">
      <c r="A61" s="15"/>
      <c r="B61" s="15"/>
      <c r="C61" s="16" t="s">
        <v>86</v>
      </c>
      <c r="D61" s="15"/>
      <c r="E61" s="15"/>
      <c r="F61" s="21"/>
      <c r="G61" s="21"/>
      <c r="H61" s="17" t="str">
        <f>IFERROR(VLOOKUP(B61,'[1]Debt Holding Consolidated'!$C$1:$N$65536,12,FALSE),"")</f>
        <v/>
      </c>
    </row>
    <row r="62" spans="1:8" ht="25.5" x14ac:dyDescent="0.2">
      <c r="A62" s="25">
        <v>1</v>
      </c>
      <c r="B62" s="26" t="s">
        <v>176</v>
      </c>
      <c r="C62" s="26" t="s">
        <v>177</v>
      </c>
      <c r="D62" s="26" t="s">
        <v>143</v>
      </c>
      <c r="E62" s="27">
        <v>200</v>
      </c>
      <c r="F62" s="28">
        <v>981.28899999999999</v>
      </c>
      <c r="G62" s="29">
        <v>4.4680419999999998E-2</v>
      </c>
      <c r="H62" s="17">
        <f>IFERROR(VLOOKUP(B62,'[1]Debt Holding Consolidated'!$C$1:$N$65536,12,FALSE),"")</f>
        <v>7.82</v>
      </c>
    </row>
    <row r="63" spans="1:8" ht="25.5" x14ac:dyDescent="0.2">
      <c r="A63" s="25">
        <v>2</v>
      </c>
      <c r="B63" s="26" t="s">
        <v>178</v>
      </c>
      <c r="C63" s="26" t="s">
        <v>179</v>
      </c>
      <c r="D63" s="26" t="s">
        <v>143</v>
      </c>
      <c r="E63" s="27">
        <v>200</v>
      </c>
      <c r="F63" s="28">
        <v>975.51900000000001</v>
      </c>
      <c r="G63" s="29">
        <v>4.4417690000000003E-2</v>
      </c>
      <c r="H63" s="17">
        <f>IFERROR(VLOOKUP(B63,'[1]Debt Holding Consolidated'!$C$1:$N$65536,12,FALSE),"")</f>
        <v>7.9649999999999999</v>
      </c>
    </row>
    <row r="64" spans="1:8" x14ac:dyDescent="0.2">
      <c r="A64" s="25">
        <v>3</v>
      </c>
      <c r="B64" s="26" t="s">
        <v>180</v>
      </c>
      <c r="C64" s="26" t="s">
        <v>181</v>
      </c>
      <c r="D64" s="26" t="s">
        <v>143</v>
      </c>
      <c r="E64" s="27">
        <v>200</v>
      </c>
      <c r="F64" s="28">
        <v>960.71299999999997</v>
      </c>
      <c r="G64" s="29">
        <v>4.3743539999999997E-2</v>
      </c>
      <c r="H64" s="17">
        <f>IFERROR(VLOOKUP(B64,'[1]Debt Holding Consolidated'!$C$1:$N$65536,12,FALSE),"")</f>
        <v>7.8975</v>
      </c>
    </row>
    <row r="65" spans="1:8" x14ac:dyDescent="0.2">
      <c r="A65" s="25">
        <v>4</v>
      </c>
      <c r="B65" s="26" t="s">
        <v>182</v>
      </c>
      <c r="C65" s="26" t="s">
        <v>183</v>
      </c>
      <c r="D65" s="26" t="s">
        <v>143</v>
      </c>
      <c r="E65" s="27">
        <v>200</v>
      </c>
      <c r="F65" s="28">
        <v>957.04200000000003</v>
      </c>
      <c r="G65" s="29">
        <v>4.357639E-2</v>
      </c>
      <c r="H65" s="17">
        <f>IFERROR(VLOOKUP(B65,'[1]Debt Holding Consolidated'!$C$1:$N$65536,12,FALSE),"")</f>
        <v>7.55</v>
      </c>
    </row>
    <row r="66" spans="1:8" ht="25.5" x14ac:dyDescent="0.2">
      <c r="A66" s="25">
        <v>5</v>
      </c>
      <c r="B66" s="26" t="s">
        <v>184</v>
      </c>
      <c r="C66" s="26" t="s">
        <v>185</v>
      </c>
      <c r="D66" s="26" t="s">
        <v>143</v>
      </c>
      <c r="E66" s="27">
        <v>200</v>
      </c>
      <c r="F66" s="28">
        <v>943.63400000000001</v>
      </c>
      <c r="G66" s="29">
        <v>4.2965900000000001E-2</v>
      </c>
      <c r="H66" s="17">
        <f>IFERROR(VLOOKUP(B66,'[1]Debt Holding Consolidated'!$C$1:$N$65536,12,FALSE),"")</f>
        <v>7.65</v>
      </c>
    </row>
    <row r="67" spans="1:8" x14ac:dyDescent="0.2">
      <c r="A67" s="15"/>
      <c r="B67" s="15"/>
      <c r="C67" s="16" t="s">
        <v>11</v>
      </c>
      <c r="D67" s="15"/>
      <c r="E67" s="15" t="s">
        <v>12</v>
      </c>
      <c r="F67" s="24">
        <v>4818.1970000000001</v>
      </c>
      <c r="G67" s="19">
        <v>0.21938394</v>
      </c>
      <c r="H67" s="17" t="str">
        <f>IFERROR(VLOOKUP(B67,'[1]Debt Holding Consolidated'!$C$1:$N$65536,12,FALSE),"")</f>
        <v/>
      </c>
    </row>
    <row r="68" spans="1:8" x14ac:dyDescent="0.2">
      <c r="A68" s="15"/>
      <c r="B68" s="15"/>
      <c r="C68" s="20"/>
      <c r="D68" s="15"/>
      <c r="E68" s="15"/>
      <c r="F68" s="21"/>
      <c r="G68" s="21"/>
      <c r="H68" s="17" t="str">
        <f>IFERROR(VLOOKUP(B68,'[1]Debt Holding Consolidated'!$C$1:$N$65536,12,FALSE),"")</f>
        <v/>
      </c>
    </row>
    <row r="69" spans="1:8" x14ac:dyDescent="0.2">
      <c r="A69" s="15"/>
      <c r="B69" s="15"/>
      <c r="C69" s="16" t="s">
        <v>87</v>
      </c>
      <c r="D69" s="15"/>
      <c r="E69" s="15"/>
      <c r="F69" s="21"/>
      <c r="G69" s="21"/>
      <c r="H69" s="17" t="str">
        <f>IFERROR(VLOOKUP(B69,'[1]Debt Holding Consolidated'!$C$1:$N$65536,12,FALSE),"")</f>
        <v/>
      </c>
    </row>
    <row r="70" spans="1:8" x14ac:dyDescent="0.2">
      <c r="A70" s="25">
        <v>1</v>
      </c>
      <c r="B70" s="26" t="s">
        <v>186</v>
      </c>
      <c r="C70" s="26" t="s">
        <v>187</v>
      </c>
      <c r="D70" s="26" t="s">
        <v>71</v>
      </c>
      <c r="E70" s="27">
        <v>1500000</v>
      </c>
      <c r="F70" s="28">
        <v>1429.0740000000001</v>
      </c>
      <c r="G70" s="29">
        <v>6.5069130000000003E-2</v>
      </c>
      <c r="H70" s="17">
        <f>IFERROR(VLOOKUP(B70,'[1]Debt Holding Consolidated'!$C$1:$N$65536,12,FALSE),"")</f>
        <v>6.66</v>
      </c>
    </row>
    <row r="71" spans="1:8" x14ac:dyDescent="0.2">
      <c r="A71" s="15"/>
      <c r="B71" s="15"/>
      <c r="C71" s="16" t="s">
        <v>11</v>
      </c>
      <c r="D71" s="15"/>
      <c r="E71" s="15" t="s">
        <v>12</v>
      </c>
      <c r="F71" s="24">
        <v>1429.0740000000001</v>
      </c>
      <c r="G71" s="19">
        <v>6.5069130000000003E-2</v>
      </c>
      <c r="H71" s="17" t="str">
        <f>IFERROR(VLOOKUP(B71,'[1]Debt Holding Consolidated'!$C$1:$N$65536,12,FALSE),"")</f>
        <v/>
      </c>
    </row>
    <row r="72" spans="1:8" x14ac:dyDescent="0.2">
      <c r="A72" s="15"/>
      <c r="B72" s="15"/>
      <c r="C72" s="20"/>
      <c r="D72" s="15"/>
      <c r="E72" s="15"/>
      <c r="F72" s="21"/>
      <c r="G72" s="21"/>
      <c r="H72" s="17" t="str">
        <f>IFERROR(VLOOKUP(B72,'[1]Debt Holding Consolidated'!$C$1:$N$65536,12,FALSE),"")</f>
        <v/>
      </c>
    </row>
    <row r="73" spans="1:8" x14ac:dyDescent="0.2">
      <c r="A73" s="15"/>
      <c r="B73" s="15"/>
      <c r="C73" s="16" t="s">
        <v>88</v>
      </c>
      <c r="D73" s="15"/>
      <c r="E73" s="15"/>
      <c r="F73" s="21"/>
      <c r="G73" s="21"/>
      <c r="H73" s="17" t="str">
        <f>IFERROR(VLOOKUP(B73,'[1]Debt Holding Consolidated'!$C$1:$N$65536,12,FALSE),"")</f>
        <v/>
      </c>
    </row>
    <row r="74" spans="1:8" x14ac:dyDescent="0.2">
      <c r="A74" s="25">
        <v>1</v>
      </c>
      <c r="B74" s="26"/>
      <c r="C74" s="26" t="s">
        <v>89</v>
      </c>
      <c r="D74" s="26"/>
      <c r="E74" s="30"/>
      <c r="F74" s="28">
        <v>1080.281105996</v>
      </c>
      <c r="G74" s="29">
        <v>4.9187759999999997E-2</v>
      </c>
      <c r="H74" s="17">
        <v>6.3551211905931497</v>
      </c>
    </row>
    <row r="75" spans="1:8" x14ac:dyDescent="0.2">
      <c r="A75" s="15"/>
      <c r="B75" s="15"/>
      <c r="C75" s="16" t="s">
        <v>11</v>
      </c>
      <c r="D75" s="15"/>
      <c r="E75" s="15" t="s">
        <v>12</v>
      </c>
      <c r="F75" s="24">
        <v>1080.281105996</v>
      </c>
      <c r="G75" s="19">
        <v>4.9187759999999997E-2</v>
      </c>
      <c r="H75" s="17" t="str">
        <f>IFERROR(VLOOKUP(B75,'[1]Debt Holding Consolidated'!$C$1:$N$65536,12,FALSE),"")</f>
        <v/>
      </c>
    </row>
    <row r="76" spans="1:8" x14ac:dyDescent="0.2">
      <c r="A76" s="15"/>
      <c r="B76" s="15"/>
      <c r="C76" s="20"/>
      <c r="D76" s="15"/>
      <c r="E76" s="15"/>
      <c r="F76" s="21"/>
      <c r="G76" s="21"/>
      <c r="H76" s="17" t="str">
        <f>IFERROR(VLOOKUP(B76,'[1]Debt Holding Consolidated'!$C$1:$N$65536,12,FALSE),"")</f>
        <v/>
      </c>
    </row>
    <row r="77" spans="1:8" x14ac:dyDescent="0.2">
      <c r="A77" s="15"/>
      <c r="B77" s="15"/>
      <c r="C77" s="16" t="s">
        <v>90</v>
      </c>
      <c r="D77" s="15"/>
      <c r="E77" s="15"/>
      <c r="F77" s="24">
        <v>21912.309605996001</v>
      </c>
      <c r="G77" s="19">
        <v>0.99771944999999995</v>
      </c>
      <c r="H77" s="17" t="str">
        <f>IFERROR(VLOOKUP(B77,'[1]Debt Holding Consolidated'!$C$1:$N$65536,12,FALSE),"")</f>
        <v/>
      </c>
    </row>
    <row r="78" spans="1:8" x14ac:dyDescent="0.2">
      <c r="A78" s="15"/>
      <c r="B78" s="15"/>
      <c r="C78" s="21"/>
      <c r="D78" s="15"/>
      <c r="E78" s="15"/>
      <c r="F78" s="15"/>
      <c r="G78" s="15"/>
      <c r="H78" s="17" t="str">
        <f>IFERROR(VLOOKUP(B78,'[1]Debt Holding Consolidated'!$C$1:$N$65536,12,FALSE),"")</f>
        <v/>
      </c>
    </row>
    <row r="79" spans="1:8" x14ac:dyDescent="0.2">
      <c r="A79" s="15"/>
      <c r="B79" s="15"/>
      <c r="C79" s="16" t="s">
        <v>91</v>
      </c>
      <c r="D79" s="15"/>
      <c r="E79" s="15"/>
      <c r="F79" s="15"/>
      <c r="G79" s="15"/>
      <c r="H79" s="17" t="str">
        <f>IFERROR(VLOOKUP(B79,'[1]Debt Holding Consolidated'!$C$1:$N$65536,12,FALSE),"")</f>
        <v/>
      </c>
    </row>
    <row r="80" spans="1:8" x14ac:dyDescent="0.2">
      <c r="A80" s="15"/>
      <c r="B80" s="15"/>
      <c r="C80" s="16" t="s">
        <v>92</v>
      </c>
      <c r="D80" s="15"/>
      <c r="E80" s="15"/>
      <c r="F80" s="15"/>
      <c r="G80" s="15"/>
      <c r="H80" s="17" t="str">
        <f>IFERROR(VLOOKUP(B80,'[1]Debt Holding Consolidated'!$C$1:$N$65536,12,FALSE),"")</f>
        <v/>
      </c>
    </row>
    <row r="81" spans="1:18" x14ac:dyDescent="0.2">
      <c r="A81" s="15"/>
      <c r="B81" s="15"/>
      <c r="C81" s="16" t="s">
        <v>11</v>
      </c>
      <c r="D81" s="15"/>
      <c r="E81" s="15" t="s">
        <v>12</v>
      </c>
      <c r="F81" s="18" t="s">
        <v>13</v>
      </c>
      <c r="G81" s="19">
        <v>0</v>
      </c>
      <c r="H81" s="17" t="str">
        <f>IFERROR(VLOOKUP(B81,'[1]Debt Holding Consolidated'!$C$1:$N$65536,12,FALSE),"")</f>
        <v/>
      </c>
    </row>
    <row r="82" spans="1:18" x14ac:dyDescent="0.2">
      <c r="A82" s="15"/>
      <c r="B82" s="15"/>
      <c r="C82" s="20"/>
      <c r="D82" s="15"/>
      <c r="E82" s="15"/>
      <c r="F82" s="21"/>
      <c r="G82" s="21"/>
      <c r="H82" s="17" t="str">
        <f>IFERROR(VLOOKUP(B82,'[1]Debt Holding Consolidated'!$C$1:$N$65536,12,FALSE),"")</f>
        <v/>
      </c>
    </row>
    <row r="83" spans="1:18" x14ac:dyDescent="0.2">
      <c r="A83" s="31"/>
      <c r="B83" s="31"/>
      <c r="C83" s="32" t="s">
        <v>517</v>
      </c>
      <c r="D83" s="31"/>
      <c r="E83" s="31"/>
      <c r="F83" s="33"/>
      <c r="G83" s="33"/>
      <c r="H83" s="34"/>
      <c r="L83" s="35"/>
      <c r="M83" s="35"/>
      <c r="N83" s="35"/>
      <c r="O83" s="35"/>
      <c r="P83" s="36"/>
      <c r="Q83" s="36"/>
      <c r="R83" s="36"/>
    </row>
    <row r="84" spans="1:18" ht="25.5" x14ac:dyDescent="0.2">
      <c r="A84" s="25">
        <v>1</v>
      </c>
      <c r="B84" s="26" t="s">
        <v>93</v>
      </c>
      <c r="C84" s="26" t="s">
        <v>94</v>
      </c>
      <c r="D84" s="26"/>
      <c r="E84" s="37">
        <v>649.726</v>
      </c>
      <c r="F84" s="28">
        <v>67.255676738999995</v>
      </c>
      <c r="G84" s="29">
        <v>3.0623099999999999E-3</v>
      </c>
      <c r="H84" s="17"/>
    </row>
    <row r="85" spans="1:18" x14ac:dyDescent="0.2">
      <c r="A85" s="15"/>
      <c r="B85" s="15"/>
      <c r="C85" s="16" t="s">
        <v>11</v>
      </c>
      <c r="D85" s="15"/>
      <c r="E85" s="15" t="s">
        <v>12</v>
      </c>
      <c r="F85" s="24">
        <v>67.255676738999995</v>
      </c>
      <c r="G85" s="19">
        <v>3.0623099999999999E-3</v>
      </c>
      <c r="H85" s="17" t="s">
        <v>12</v>
      </c>
    </row>
    <row r="86" spans="1:18" x14ac:dyDescent="0.2">
      <c r="A86" s="15"/>
      <c r="B86" s="15"/>
      <c r="C86" s="20"/>
      <c r="D86" s="15"/>
      <c r="E86" s="15"/>
      <c r="F86" s="21"/>
      <c r="G86" s="21"/>
      <c r="H86" s="17" t="str">
        <f>IFERROR(VLOOKUP(B86,'[1]Debt Holding Consolidated'!$C$1:$N$65536,12,FALSE),"")</f>
        <v/>
      </c>
    </row>
    <row r="87" spans="1:18" x14ac:dyDescent="0.2">
      <c r="A87" s="15"/>
      <c r="B87" s="15"/>
      <c r="C87" s="16" t="s">
        <v>95</v>
      </c>
      <c r="D87" s="15"/>
      <c r="E87" s="15"/>
      <c r="F87" s="15"/>
      <c r="G87" s="15"/>
      <c r="H87" s="17" t="str">
        <f>IFERROR(VLOOKUP(B87,'[1]Debt Holding Consolidated'!$C$1:$N$65536,12,FALSE),"")</f>
        <v/>
      </c>
    </row>
    <row r="88" spans="1:18" x14ac:dyDescent="0.2">
      <c r="A88" s="15"/>
      <c r="B88" s="15"/>
      <c r="C88" s="16" t="s">
        <v>96</v>
      </c>
      <c r="D88" s="15"/>
      <c r="E88" s="15"/>
      <c r="F88" s="15"/>
      <c r="G88" s="15"/>
      <c r="H88" s="17" t="str">
        <f>IFERROR(VLOOKUP(B88,'[1]Debt Holding Consolidated'!$C$1:$N$65536,12,FALSE),"")</f>
        <v/>
      </c>
    </row>
    <row r="89" spans="1:18" x14ac:dyDescent="0.2">
      <c r="A89" s="15"/>
      <c r="B89" s="15"/>
      <c r="C89" s="16" t="s">
        <v>11</v>
      </c>
      <c r="D89" s="15"/>
      <c r="E89" s="15" t="s">
        <v>12</v>
      </c>
      <c r="F89" s="18" t="s">
        <v>13</v>
      </c>
      <c r="G89" s="19">
        <v>0</v>
      </c>
      <c r="H89" s="17" t="str">
        <f>IFERROR(VLOOKUP(B89,'[1]Debt Holding Consolidated'!$C$1:$N$65536,12,FALSE),"")</f>
        <v/>
      </c>
    </row>
    <row r="90" spans="1:18" x14ac:dyDescent="0.2">
      <c r="A90" s="15"/>
      <c r="B90" s="15"/>
      <c r="C90" s="20"/>
      <c r="D90" s="15"/>
      <c r="E90" s="15"/>
      <c r="F90" s="21"/>
      <c r="G90" s="21"/>
      <c r="H90" s="17" t="str">
        <f>IFERROR(VLOOKUP(B90,'[1]Debt Holding Consolidated'!$C$1:$N$65536,12,FALSE),"")</f>
        <v/>
      </c>
    </row>
    <row r="91" spans="1:18" x14ac:dyDescent="0.2">
      <c r="A91" s="15"/>
      <c r="B91" s="15"/>
      <c r="C91" s="16" t="s">
        <v>97</v>
      </c>
      <c r="D91" s="15"/>
      <c r="E91" s="15"/>
      <c r="F91" s="21"/>
      <c r="G91" s="21"/>
      <c r="H91" s="17" t="str">
        <f>IFERROR(VLOOKUP(B91,'[1]Debt Holding Consolidated'!$C$1:$N$65536,12,FALSE),"")</f>
        <v/>
      </c>
    </row>
    <row r="92" spans="1:18" x14ac:dyDescent="0.2">
      <c r="A92" s="15"/>
      <c r="B92" s="15"/>
      <c r="C92" s="16" t="s">
        <v>11</v>
      </c>
      <c r="D92" s="15"/>
      <c r="E92" s="15" t="s">
        <v>12</v>
      </c>
      <c r="F92" s="18" t="s">
        <v>13</v>
      </c>
      <c r="G92" s="19">
        <v>0</v>
      </c>
      <c r="H92" s="17" t="str">
        <f>IFERROR(VLOOKUP(B92,'[1]Debt Holding Consolidated'!$C$1:$N$65536,12,FALSE),"")</f>
        <v/>
      </c>
    </row>
    <row r="93" spans="1:18" x14ac:dyDescent="0.2">
      <c r="A93" s="15"/>
      <c r="B93" s="26"/>
      <c r="C93" s="26"/>
      <c r="D93" s="16"/>
      <c r="E93" s="15"/>
      <c r="F93" s="26"/>
      <c r="G93" s="30"/>
      <c r="H93" s="17" t="str">
        <f>IFERROR(VLOOKUP(B93,'[1]Debt Holding Consolidated'!$C$1:$N$65536,12,FALSE),"")</f>
        <v/>
      </c>
    </row>
    <row r="94" spans="1:18" x14ac:dyDescent="0.2">
      <c r="A94" s="30"/>
      <c r="B94" s="26"/>
      <c r="C94" s="26" t="s">
        <v>98</v>
      </c>
      <c r="D94" s="26"/>
      <c r="E94" s="30"/>
      <c r="F94" s="28">
        <v>-17.16915711</v>
      </c>
      <c r="G94" s="29">
        <v>-7.8175E-4</v>
      </c>
      <c r="H94" s="17" t="str">
        <f>IFERROR(VLOOKUP(B94,'[1]Debt Holding Consolidated'!$C$1:$N$65536,12,FALSE),"")</f>
        <v/>
      </c>
    </row>
    <row r="95" spans="1:18" x14ac:dyDescent="0.2">
      <c r="A95" s="20"/>
      <c r="B95" s="20"/>
      <c r="C95" s="16" t="s">
        <v>99</v>
      </c>
      <c r="D95" s="21"/>
      <c r="E95" s="21"/>
      <c r="F95" s="24">
        <v>21962.396125625</v>
      </c>
      <c r="G95" s="38">
        <v>1.0000000099999999</v>
      </c>
      <c r="H95" s="17" t="str">
        <f>IFERROR(VLOOKUP(B95,'[1]Debt Holding Consolidated'!$C$1:$N$65536,12,FALSE),"")</f>
        <v/>
      </c>
    </row>
    <row r="96" spans="1:18" x14ac:dyDescent="0.2">
      <c r="A96" s="39"/>
      <c r="B96" s="39"/>
      <c r="C96" s="39"/>
      <c r="D96" s="40"/>
      <c r="E96" s="40"/>
      <c r="F96" s="40"/>
      <c r="G96" s="40"/>
    </row>
    <row r="97" spans="1:8" x14ac:dyDescent="0.2">
      <c r="A97" s="41"/>
      <c r="B97" s="113" t="s">
        <v>518</v>
      </c>
      <c r="C97" s="113"/>
      <c r="D97" s="113"/>
      <c r="E97" s="113"/>
      <c r="F97" s="113"/>
      <c r="G97" s="113"/>
      <c r="H97" s="113"/>
    </row>
    <row r="98" spans="1:8" x14ac:dyDescent="0.2">
      <c r="A98" s="41"/>
      <c r="B98" s="113" t="s">
        <v>519</v>
      </c>
      <c r="C98" s="113"/>
      <c r="D98" s="113"/>
      <c r="E98" s="113"/>
      <c r="F98" s="113"/>
      <c r="G98" s="113"/>
      <c r="H98" s="113"/>
    </row>
    <row r="99" spans="1:8" x14ac:dyDescent="0.2">
      <c r="A99" s="41"/>
      <c r="B99" s="113" t="s">
        <v>520</v>
      </c>
      <c r="C99" s="113"/>
      <c r="D99" s="113"/>
      <c r="E99" s="113"/>
      <c r="F99" s="113"/>
      <c r="G99" s="113"/>
      <c r="H99" s="113"/>
    </row>
    <row r="100" spans="1:8" x14ac:dyDescent="0.2">
      <c r="A100" s="41"/>
      <c r="B100" s="41"/>
      <c r="C100" s="41"/>
      <c r="D100" s="43"/>
      <c r="E100" s="43"/>
      <c r="F100" s="43"/>
      <c r="G100" s="43"/>
    </row>
    <row r="101" spans="1:8" x14ac:dyDescent="0.2">
      <c r="A101" s="44"/>
      <c r="B101" s="108" t="s">
        <v>100</v>
      </c>
      <c r="C101" s="109"/>
      <c r="D101" s="110"/>
      <c r="E101" s="45"/>
      <c r="F101" s="46"/>
      <c r="G101" s="46"/>
    </row>
    <row r="102" spans="1:8" x14ac:dyDescent="0.2">
      <c r="A102" s="44"/>
      <c r="B102" s="111" t="s">
        <v>101</v>
      </c>
      <c r="C102" s="112"/>
      <c r="D102" s="16" t="s">
        <v>102</v>
      </c>
      <c r="E102" s="45"/>
      <c r="F102" s="46"/>
      <c r="G102" s="46"/>
    </row>
    <row r="103" spans="1:8" x14ac:dyDescent="0.2">
      <c r="A103" s="44"/>
      <c r="B103" s="111" t="s">
        <v>103</v>
      </c>
      <c r="C103" s="112"/>
      <c r="D103" s="16" t="s">
        <v>102</v>
      </c>
      <c r="E103" s="45"/>
      <c r="F103" s="46"/>
      <c r="G103" s="46"/>
    </row>
    <row r="104" spans="1:8" x14ac:dyDescent="0.2">
      <c r="A104" s="44"/>
      <c r="B104" s="111" t="s">
        <v>104</v>
      </c>
      <c r="C104" s="112"/>
      <c r="D104" s="21" t="s">
        <v>12</v>
      </c>
      <c r="E104" s="45"/>
      <c r="F104" s="46"/>
      <c r="G104" s="46"/>
    </row>
    <row r="105" spans="1:8" x14ac:dyDescent="0.2">
      <c r="A105" s="47"/>
      <c r="B105" s="48" t="s">
        <v>12</v>
      </c>
      <c r="C105" s="48" t="s">
        <v>535</v>
      </c>
      <c r="D105" s="48" t="s">
        <v>105</v>
      </c>
      <c r="E105" s="47"/>
      <c r="F105" s="47"/>
      <c r="G105" s="47"/>
      <c r="H105" s="49"/>
    </row>
    <row r="106" spans="1:8" x14ac:dyDescent="0.2">
      <c r="A106" s="50"/>
      <c r="B106" s="51" t="s">
        <v>106</v>
      </c>
      <c r="C106" s="52" t="s">
        <v>107</v>
      </c>
      <c r="D106" s="52" t="s">
        <v>108</v>
      </c>
      <c r="E106" s="50"/>
      <c r="F106" s="50"/>
      <c r="G106" s="50"/>
    </row>
    <row r="107" spans="1:8" x14ac:dyDescent="0.2">
      <c r="A107" s="50"/>
      <c r="B107" s="26" t="s">
        <v>109</v>
      </c>
      <c r="C107" s="53">
        <v>14.077199999999999</v>
      </c>
      <c r="D107" s="53">
        <v>14.114100000000001</v>
      </c>
      <c r="E107" s="50"/>
      <c r="F107" s="54"/>
      <c r="G107" s="55"/>
    </row>
    <row r="108" spans="1:8" ht="25.5" x14ac:dyDescent="0.2">
      <c r="A108" s="50"/>
      <c r="B108" s="26" t="s">
        <v>570</v>
      </c>
      <c r="C108" s="53">
        <v>11.183999999999999</v>
      </c>
      <c r="D108" s="53">
        <v>11.2133</v>
      </c>
      <c r="E108" s="50"/>
      <c r="F108" s="54"/>
      <c r="G108" s="55"/>
    </row>
    <row r="109" spans="1:8" ht="25.5" x14ac:dyDescent="0.2">
      <c r="A109" s="50"/>
      <c r="B109" s="26" t="s">
        <v>571</v>
      </c>
      <c r="C109" s="53">
        <v>12.2621</v>
      </c>
      <c r="D109" s="53">
        <v>12.2941</v>
      </c>
      <c r="E109" s="50"/>
      <c r="F109" s="54"/>
      <c r="G109" s="55"/>
    </row>
    <row r="110" spans="1:8" x14ac:dyDescent="0.2">
      <c r="A110" s="50"/>
      <c r="B110" s="26" t="s">
        <v>110</v>
      </c>
      <c r="C110" s="53">
        <v>14.0029</v>
      </c>
      <c r="D110" s="53">
        <v>14.039</v>
      </c>
      <c r="E110" s="50"/>
      <c r="F110" s="54"/>
      <c r="G110" s="55"/>
    </row>
    <row r="111" spans="1:8" ht="25.5" x14ac:dyDescent="0.2">
      <c r="A111" s="50"/>
      <c r="B111" s="26" t="s">
        <v>574</v>
      </c>
      <c r="C111" s="53">
        <v>11.163</v>
      </c>
      <c r="D111" s="53">
        <v>11.191800000000001</v>
      </c>
      <c r="E111" s="50"/>
      <c r="F111" s="54"/>
      <c r="G111" s="55"/>
    </row>
    <row r="112" spans="1:8" ht="25.5" x14ac:dyDescent="0.2">
      <c r="A112" s="50"/>
      <c r="B112" s="26" t="s">
        <v>575</v>
      </c>
      <c r="C112" s="53">
        <v>12.1957</v>
      </c>
      <c r="D112" s="53">
        <v>12.2271</v>
      </c>
      <c r="E112" s="50"/>
      <c r="F112" s="54"/>
      <c r="G112" s="55"/>
    </row>
    <row r="113" spans="1:15" x14ac:dyDescent="0.2">
      <c r="A113" s="50"/>
      <c r="B113" s="50"/>
      <c r="C113" s="50"/>
      <c r="D113" s="50"/>
      <c r="E113" s="50"/>
      <c r="F113" s="50"/>
      <c r="G113" s="50"/>
    </row>
    <row r="114" spans="1:15" x14ac:dyDescent="0.2">
      <c r="A114" s="50"/>
      <c r="B114" s="111" t="s">
        <v>578</v>
      </c>
      <c r="C114" s="112"/>
      <c r="D114" s="16" t="s">
        <v>102</v>
      </c>
      <c r="E114" s="50"/>
      <c r="F114" s="50"/>
      <c r="G114" s="50"/>
    </row>
    <row r="115" spans="1:15" x14ac:dyDescent="0.2">
      <c r="A115" s="50"/>
      <c r="B115" s="56"/>
      <c r="C115" s="56"/>
      <c r="D115" s="56"/>
      <c r="E115" s="50"/>
      <c r="F115" s="50"/>
      <c r="G115" s="50"/>
    </row>
    <row r="116" spans="1:15" x14ac:dyDescent="0.2">
      <c r="A116" s="47"/>
      <c r="B116" s="105" t="s">
        <v>111</v>
      </c>
      <c r="C116" s="106"/>
      <c r="D116" s="32" t="s">
        <v>102</v>
      </c>
      <c r="E116" s="57"/>
      <c r="F116" s="47"/>
      <c r="G116" s="47"/>
    </row>
    <row r="117" spans="1:15" x14ac:dyDescent="0.2">
      <c r="A117" s="47"/>
      <c r="B117" s="105" t="s">
        <v>112</v>
      </c>
      <c r="C117" s="106"/>
      <c r="D117" s="32" t="s">
        <v>102</v>
      </c>
      <c r="E117" s="57"/>
      <c r="F117" s="47"/>
      <c r="G117" s="47"/>
    </row>
    <row r="118" spans="1:15" x14ac:dyDescent="0.2">
      <c r="A118" s="47"/>
      <c r="B118" s="105" t="s">
        <v>522</v>
      </c>
      <c r="C118" s="106"/>
      <c r="D118" s="32" t="s">
        <v>102</v>
      </c>
      <c r="E118" s="57"/>
      <c r="F118" s="47"/>
      <c r="G118" s="47"/>
      <c r="J118"/>
    </row>
    <row r="119" spans="1:15" x14ac:dyDescent="0.2">
      <c r="A119" s="56"/>
      <c r="B119" s="56"/>
      <c r="C119" s="56"/>
      <c r="D119" s="56"/>
      <c r="E119" s="56"/>
      <c r="F119" s="56"/>
      <c r="G119" s="56"/>
      <c r="J119"/>
    </row>
    <row r="120" spans="1:15" s="58" customFormat="1" x14ac:dyDescent="0.2">
      <c r="B120" s="118" t="s">
        <v>523</v>
      </c>
      <c r="C120" s="119"/>
      <c r="D120" s="120"/>
      <c r="I120"/>
      <c r="J120"/>
      <c r="K120" s="35"/>
      <c r="L120" s="35"/>
      <c r="M120" s="35"/>
      <c r="N120" s="35"/>
      <c r="O120" s="65"/>
    </row>
    <row r="121" spans="1:15" s="58" customFormat="1" ht="51" x14ac:dyDescent="0.2">
      <c r="B121" s="121" t="s">
        <v>524</v>
      </c>
      <c r="C121" s="121"/>
      <c r="D121" s="59" t="s">
        <v>140</v>
      </c>
      <c r="I121"/>
      <c r="J121"/>
      <c r="K121" s="35"/>
      <c r="L121" s="35"/>
      <c r="M121" s="35"/>
      <c r="N121" s="35"/>
      <c r="O121" s="65"/>
    </row>
    <row r="122" spans="1:15" s="58" customFormat="1" x14ac:dyDescent="0.2">
      <c r="B122" s="114" t="s">
        <v>525</v>
      </c>
      <c r="C122" s="114"/>
      <c r="D122" s="60"/>
      <c r="I122"/>
      <c r="J122"/>
      <c r="K122" s="35"/>
      <c r="L122" s="35"/>
      <c r="M122" s="35"/>
      <c r="N122" s="35"/>
      <c r="O122" s="65"/>
    </row>
    <row r="123" spans="1:15" s="58" customFormat="1" x14ac:dyDescent="0.2">
      <c r="B123" s="114"/>
      <c r="C123" s="114"/>
      <c r="D123" s="61"/>
      <c r="I123"/>
      <c r="J123"/>
      <c r="K123" s="35"/>
      <c r="L123" s="35"/>
      <c r="M123" s="35"/>
      <c r="N123" s="35"/>
      <c r="O123" s="65"/>
    </row>
    <row r="124" spans="1:15" s="58" customFormat="1" x14ac:dyDescent="0.2">
      <c r="B124" s="114" t="s">
        <v>526</v>
      </c>
      <c r="C124" s="114"/>
      <c r="D124" s="62">
        <v>7.4630891592975077</v>
      </c>
      <c r="I124"/>
      <c r="J124"/>
      <c r="K124" s="35"/>
      <c r="L124" s="35"/>
      <c r="M124" s="35"/>
      <c r="N124" s="35"/>
      <c r="O124" s="65"/>
    </row>
    <row r="125" spans="1:15" s="58" customFormat="1" x14ac:dyDescent="0.2">
      <c r="B125" s="114"/>
      <c r="C125" s="114"/>
      <c r="D125" s="61"/>
      <c r="I125"/>
      <c r="J125" s="11"/>
      <c r="K125" s="35"/>
      <c r="L125" s="35"/>
      <c r="M125" s="35"/>
      <c r="N125" s="35"/>
      <c r="O125" s="65"/>
    </row>
    <row r="126" spans="1:15" s="58" customFormat="1" x14ac:dyDescent="0.2">
      <c r="B126" s="114" t="s">
        <v>527</v>
      </c>
      <c r="C126" s="114"/>
      <c r="D126" s="62">
        <v>0.53207008058198035</v>
      </c>
      <c r="I126"/>
      <c r="J126" s="11"/>
      <c r="K126" s="35"/>
      <c r="L126" s="35"/>
      <c r="M126" s="35"/>
      <c r="N126" s="35"/>
      <c r="O126" s="65"/>
    </row>
    <row r="127" spans="1:15" s="58" customFormat="1" x14ac:dyDescent="0.2">
      <c r="B127" s="114" t="s">
        <v>528</v>
      </c>
      <c r="C127" s="114"/>
      <c r="D127" s="62">
        <v>0.52882114311730222</v>
      </c>
      <c r="I127"/>
      <c r="J127" s="11"/>
      <c r="K127" s="35"/>
      <c r="L127" s="35"/>
      <c r="M127" s="35"/>
      <c r="N127" s="35"/>
      <c r="O127" s="65"/>
    </row>
    <row r="128" spans="1:15" s="58" customFormat="1" x14ac:dyDescent="0.2">
      <c r="B128" s="114"/>
      <c r="C128" s="114"/>
      <c r="D128" s="61"/>
      <c r="I128"/>
      <c r="J128"/>
      <c r="K128" s="35"/>
      <c r="L128" s="35"/>
      <c r="M128" s="35"/>
      <c r="N128" s="35"/>
      <c r="O128" s="65"/>
    </row>
    <row r="129" spans="2:17" s="58" customFormat="1" ht="25.5" x14ac:dyDescent="0.2">
      <c r="B129" s="114" t="s">
        <v>529</v>
      </c>
      <c r="C129" s="114"/>
      <c r="D129" s="63" t="s">
        <v>564</v>
      </c>
      <c r="I129"/>
      <c r="J129"/>
      <c r="K129" s="35"/>
      <c r="L129" s="35"/>
      <c r="M129" s="35"/>
      <c r="N129" s="35"/>
      <c r="O129" s="65"/>
    </row>
    <row r="130" spans="2:17" s="58" customFormat="1" x14ac:dyDescent="0.2">
      <c r="B130" s="115" t="s">
        <v>530</v>
      </c>
      <c r="C130" s="117"/>
      <c r="D130" s="116"/>
      <c r="I130"/>
      <c r="J130" s="11"/>
      <c r="K130" s="35"/>
      <c r="L130" s="35"/>
      <c r="M130" s="35"/>
      <c r="N130" s="35"/>
      <c r="O130" s="65"/>
      <c r="P130"/>
      <c r="Q130"/>
    </row>
  </sheetData>
  <mergeCells count="25">
    <mergeCell ref="B120:D120"/>
    <mergeCell ref="B130:D130"/>
    <mergeCell ref="B127:C127"/>
    <mergeCell ref="B128:C128"/>
    <mergeCell ref="B129:C129"/>
    <mergeCell ref="B123:C123"/>
    <mergeCell ref="B124:C124"/>
    <mergeCell ref="B125:C125"/>
    <mergeCell ref="B126:C126"/>
    <mergeCell ref="B121:C121"/>
    <mergeCell ref="B122:C122"/>
    <mergeCell ref="B118:C118"/>
    <mergeCell ref="A1:H1"/>
    <mergeCell ref="A2:H2"/>
    <mergeCell ref="A3:H3"/>
    <mergeCell ref="B101:D101"/>
    <mergeCell ref="B102:C102"/>
    <mergeCell ref="B97:H97"/>
    <mergeCell ref="B98:H98"/>
    <mergeCell ref="B99:H99"/>
    <mergeCell ref="B116:C116"/>
    <mergeCell ref="B117:C117"/>
    <mergeCell ref="B103:C103"/>
    <mergeCell ref="B104:C104"/>
    <mergeCell ref="B114:C114"/>
  </mergeCells>
  <hyperlinks>
    <hyperlink ref="I1" location="Index!B4" display="Index" xr:uid="{A99D4B28-7548-442D-9A1D-09950FDC396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5DE88-C1C1-4951-9871-3D45782E5A27}">
  <sheetPr>
    <outlinePr summaryBelow="0" summaryRight="0"/>
  </sheetPr>
  <dimension ref="A1:T164"/>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11" customWidth="1"/>
  </cols>
  <sheetData>
    <row r="1" spans="1:11" ht="15" x14ac:dyDescent="0.2">
      <c r="A1" s="107" t="s">
        <v>0</v>
      </c>
      <c r="B1" s="107"/>
      <c r="C1" s="107"/>
      <c r="D1" s="107"/>
      <c r="E1" s="107"/>
      <c r="F1" s="107"/>
      <c r="G1" s="107"/>
      <c r="H1" s="107"/>
      <c r="I1" s="1" t="s">
        <v>587</v>
      </c>
      <c r="K1" s="1"/>
    </row>
    <row r="2" spans="1:11" ht="15" x14ac:dyDescent="0.2">
      <c r="A2" s="107" t="s">
        <v>188</v>
      </c>
      <c r="B2" s="107"/>
      <c r="C2" s="107"/>
      <c r="D2" s="107"/>
      <c r="E2" s="107"/>
      <c r="F2" s="107"/>
      <c r="G2" s="107"/>
      <c r="H2" s="107"/>
      <c r="J2" s="12" t="s">
        <v>588</v>
      </c>
    </row>
    <row r="3" spans="1:11" ht="15" x14ac:dyDescent="0.2">
      <c r="A3" s="107" t="s">
        <v>501</v>
      </c>
      <c r="B3" s="107"/>
      <c r="C3" s="107"/>
      <c r="D3" s="107"/>
      <c r="E3" s="107"/>
      <c r="F3" s="107"/>
      <c r="G3" s="107"/>
      <c r="H3" s="107"/>
    </row>
    <row r="4" spans="1:11" s="11" customFormat="1" ht="30" x14ac:dyDescent="0.2">
      <c r="A4" s="13" t="s">
        <v>2</v>
      </c>
      <c r="B4" s="13" t="s">
        <v>3</v>
      </c>
      <c r="C4" s="13" t="s">
        <v>4</v>
      </c>
      <c r="D4" s="13" t="s">
        <v>5</v>
      </c>
      <c r="E4" s="13" t="s">
        <v>6</v>
      </c>
      <c r="F4" s="13" t="s">
        <v>7</v>
      </c>
      <c r="G4" s="13" t="s">
        <v>8</v>
      </c>
      <c r="H4" s="14" t="s">
        <v>502</v>
      </c>
    </row>
    <row r="5" spans="1:11" x14ac:dyDescent="0.2">
      <c r="A5" s="15"/>
      <c r="B5" s="15"/>
      <c r="C5" s="16" t="s">
        <v>9</v>
      </c>
      <c r="D5" s="15"/>
      <c r="E5" s="15"/>
      <c r="F5" s="15"/>
      <c r="G5" s="15"/>
      <c r="H5" s="17" t="str">
        <f>IFERROR(VLOOKUP(B5,'[1]Debt Holding Consolidated'!$C$1:$N$65536,12,FALSE),"")</f>
        <v/>
      </c>
    </row>
    <row r="6" spans="1:11" x14ac:dyDescent="0.2">
      <c r="A6" s="15"/>
      <c r="B6" s="15"/>
      <c r="C6" s="16" t="s">
        <v>10</v>
      </c>
      <c r="D6" s="15"/>
      <c r="E6" s="15"/>
      <c r="F6" s="15"/>
      <c r="G6" s="15"/>
      <c r="H6" s="17" t="str">
        <f>IFERROR(VLOOKUP(B6,'[1]Debt Holding Consolidated'!$C$1:$N$65536,12,FALSE),"")</f>
        <v/>
      </c>
    </row>
    <row r="7" spans="1:11" x14ac:dyDescent="0.2">
      <c r="A7" s="15"/>
      <c r="B7" s="15"/>
      <c r="C7" s="16" t="s">
        <v>11</v>
      </c>
      <c r="D7" s="15"/>
      <c r="E7" s="15" t="s">
        <v>12</v>
      </c>
      <c r="F7" s="18" t="s">
        <v>13</v>
      </c>
      <c r="G7" s="19">
        <v>0</v>
      </c>
      <c r="H7" s="17" t="str">
        <f>IFERROR(VLOOKUP(B7,'[1]Debt Holding Consolidated'!$C$1:$N$65536,12,FALSE),"")</f>
        <v/>
      </c>
    </row>
    <row r="8" spans="1:11" x14ac:dyDescent="0.2">
      <c r="A8" s="15"/>
      <c r="B8" s="15"/>
      <c r="C8" s="20"/>
      <c r="D8" s="15"/>
      <c r="E8" s="15"/>
      <c r="F8" s="21"/>
      <c r="G8" s="21"/>
      <c r="H8" s="17" t="str">
        <f>IFERROR(VLOOKUP(B8,'[1]Debt Holding Consolidated'!$C$1:$N$65536,12,FALSE),"")</f>
        <v/>
      </c>
    </row>
    <row r="9" spans="1:11" x14ac:dyDescent="0.2">
      <c r="A9" s="15"/>
      <c r="B9" s="15"/>
      <c r="C9" s="16" t="s">
        <v>14</v>
      </c>
      <c r="D9" s="15"/>
      <c r="E9" s="15"/>
      <c r="F9" s="15"/>
      <c r="G9" s="15"/>
      <c r="H9" s="17" t="str">
        <f>IFERROR(VLOOKUP(B9,'[1]Debt Holding Consolidated'!$C$1:$N$65536,12,FALSE),"")</f>
        <v/>
      </c>
    </row>
    <row r="10" spans="1:11" x14ac:dyDescent="0.2">
      <c r="A10" s="15"/>
      <c r="B10" s="15"/>
      <c r="C10" s="16" t="s">
        <v>11</v>
      </c>
      <c r="D10" s="15"/>
      <c r="E10" s="15" t="s">
        <v>12</v>
      </c>
      <c r="F10" s="18" t="s">
        <v>13</v>
      </c>
      <c r="G10" s="19">
        <v>0</v>
      </c>
      <c r="H10" s="17" t="str">
        <f>IFERROR(VLOOKUP(B10,'[1]Debt Holding Consolidated'!$C$1:$N$65536,12,FALSE),"")</f>
        <v/>
      </c>
    </row>
    <row r="11" spans="1:11" x14ac:dyDescent="0.2">
      <c r="A11" s="15"/>
      <c r="B11" s="15"/>
      <c r="C11" s="20"/>
      <c r="D11" s="15"/>
      <c r="E11" s="15"/>
      <c r="F11" s="21"/>
      <c r="G11" s="21"/>
      <c r="H11" s="17" t="str">
        <f>IFERROR(VLOOKUP(B11,'[1]Debt Holding Consolidated'!$C$1:$N$65536,12,FALSE),"")</f>
        <v/>
      </c>
    </row>
    <row r="12" spans="1:11" ht="15" x14ac:dyDescent="0.2">
      <c r="A12" s="15"/>
      <c r="B12" s="15"/>
      <c r="C12" s="16" t="s">
        <v>15</v>
      </c>
      <c r="D12" s="15"/>
      <c r="E12" s="15"/>
      <c r="F12" s="15"/>
      <c r="G12" s="15"/>
      <c r="H12" s="17" t="str">
        <f>IFERROR(VLOOKUP(B12,'[1]Debt Holding Consolidated'!$C$1:$N$65536,12,FALSE),"")</f>
        <v/>
      </c>
      <c r="J12" s="22"/>
    </row>
    <row r="13" spans="1:11" x14ac:dyDescent="0.2">
      <c r="A13" s="15"/>
      <c r="B13" s="15"/>
      <c r="C13" s="16" t="s">
        <v>11</v>
      </c>
      <c r="D13" s="15"/>
      <c r="E13" s="15" t="s">
        <v>12</v>
      </c>
      <c r="F13" s="18" t="s">
        <v>13</v>
      </c>
      <c r="G13" s="19">
        <v>0</v>
      </c>
      <c r="H13" s="17" t="str">
        <f>IFERROR(VLOOKUP(B13,'[1]Debt Holding Consolidated'!$C$1:$N$65536,12,FALSE),"")</f>
        <v/>
      </c>
      <c r="J13" s="23"/>
    </row>
    <row r="14" spans="1:11" ht="25.5" x14ac:dyDescent="0.2">
      <c r="A14" s="15"/>
      <c r="B14" s="15"/>
      <c r="C14" s="20"/>
      <c r="D14" s="15"/>
      <c r="E14" s="15"/>
      <c r="F14" s="21"/>
      <c r="G14" s="21"/>
      <c r="H14" s="17" t="str">
        <f>IFERROR(VLOOKUP(B14,'[1]Debt Holding Consolidated'!$C$1:$N$65536,12,FALSE),"")</f>
        <v/>
      </c>
      <c r="J14" s="23" t="s">
        <v>594</v>
      </c>
    </row>
    <row r="15" spans="1:11" x14ac:dyDescent="0.2">
      <c r="A15" s="15"/>
      <c r="B15" s="15"/>
      <c r="C15" s="16" t="s">
        <v>16</v>
      </c>
      <c r="D15" s="15"/>
      <c r="E15" s="15"/>
      <c r="F15" s="15"/>
      <c r="G15" s="15"/>
      <c r="H15" s="17" t="str">
        <f>IFERROR(VLOOKUP(B15,'[1]Debt Holding Consolidated'!$C$1:$N$65536,12,FALSE),"")</f>
        <v/>
      </c>
      <c r="J15" s="23"/>
    </row>
    <row r="16" spans="1:11" x14ac:dyDescent="0.2">
      <c r="A16" s="15"/>
      <c r="B16" s="15"/>
      <c r="C16" s="16" t="s">
        <v>11</v>
      </c>
      <c r="D16" s="15"/>
      <c r="E16" s="15" t="s">
        <v>12</v>
      </c>
      <c r="F16" s="18" t="s">
        <v>13</v>
      </c>
      <c r="G16" s="19">
        <v>0</v>
      </c>
      <c r="H16" s="17" t="str">
        <f>IFERROR(VLOOKUP(B16,'[1]Debt Holding Consolidated'!$C$1:$N$65536,12,FALSE),"")</f>
        <v/>
      </c>
    </row>
    <row r="17" spans="1:10" x14ac:dyDescent="0.2">
      <c r="A17" s="15"/>
      <c r="B17" s="15"/>
      <c r="C17" s="20"/>
      <c r="D17" s="15"/>
      <c r="E17" s="15"/>
      <c r="F17" s="21"/>
      <c r="G17" s="21"/>
      <c r="H17" s="17" t="str">
        <f>IFERROR(VLOOKUP(B17,'[1]Debt Holding Consolidated'!$C$1:$N$65536,12,FALSE),"")</f>
        <v/>
      </c>
    </row>
    <row r="18" spans="1:10" x14ac:dyDescent="0.2">
      <c r="A18" s="15"/>
      <c r="B18" s="15"/>
      <c r="C18" s="16" t="s">
        <v>17</v>
      </c>
      <c r="D18" s="15"/>
      <c r="E18" s="15"/>
      <c r="F18" s="21"/>
      <c r="G18" s="21"/>
      <c r="H18" s="17" t="str">
        <f>IFERROR(VLOOKUP(B18,'[1]Debt Holding Consolidated'!$C$1:$N$65536,12,FALSE),"")</f>
        <v/>
      </c>
    </row>
    <row r="19" spans="1:10" x14ac:dyDescent="0.2">
      <c r="A19" s="15"/>
      <c r="B19" s="15"/>
      <c r="C19" s="16" t="s">
        <v>11</v>
      </c>
      <c r="D19" s="15"/>
      <c r="E19" s="15" t="s">
        <v>12</v>
      </c>
      <c r="F19" s="18" t="s">
        <v>13</v>
      </c>
      <c r="G19" s="19">
        <v>0</v>
      </c>
      <c r="H19" s="17" t="str">
        <f>IFERROR(VLOOKUP(B19,'[1]Debt Holding Consolidated'!$C$1:$N$65536,12,FALSE),"")</f>
        <v/>
      </c>
    </row>
    <row r="20" spans="1:10" x14ac:dyDescent="0.2">
      <c r="A20" s="15"/>
      <c r="B20" s="15"/>
      <c r="C20" s="20"/>
      <c r="D20" s="15"/>
      <c r="E20" s="15"/>
      <c r="F20" s="21"/>
      <c r="G20" s="21"/>
      <c r="H20" s="17" t="str">
        <f>IFERROR(VLOOKUP(B20,'[1]Debt Holding Consolidated'!$C$1:$N$65536,12,FALSE),"")</f>
        <v/>
      </c>
    </row>
    <row r="21" spans="1:10" x14ac:dyDescent="0.2">
      <c r="A21" s="15"/>
      <c r="B21" s="15"/>
      <c r="C21" s="16" t="s">
        <v>18</v>
      </c>
      <c r="D21" s="15"/>
      <c r="E21" s="15"/>
      <c r="F21" s="21"/>
      <c r="G21" s="21"/>
      <c r="H21" s="17" t="str">
        <f>IFERROR(VLOOKUP(B21,'[1]Debt Holding Consolidated'!$C$1:$N$65536,12,FALSE),"")</f>
        <v/>
      </c>
    </row>
    <row r="22" spans="1:10" ht="15" x14ac:dyDescent="0.2">
      <c r="A22" s="15"/>
      <c r="B22" s="15"/>
      <c r="C22" s="16" t="s">
        <v>11</v>
      </c>
      <c r="D22" s="15"/>
      <c r="E22" s="15" t="s">
        <v>12</v>
      </c>
      <c r="F22" s="18" t="s">
        <v>13</v>
      </c>
      <c r="G22" s="19">
        <v>0</v>
      </c>
      <c r="H22" s="17" t="str">
        <f>IFERROR(VLOOKUP(B22,'[1]Debt Holding Consolidated'!$C$1:$N$65536,12,FALSE),"")</f>
        <v/>
      </c>
      <c r="J22" s="22"/>
    </row>
    <row r="23" spans="1:10" x14ac:dyDescent="0.2">
      <c r="A23" s="15"/>
      <c r="B23" s="15"/>
      <c r="C23" s="20"/>
      <c r="D23" s="15"/>
      <c r="E23" s="15"/>
      <c r="F23" s="21"/>
      <c r="G23" s="21"/>
      <c r="H23" s="17" t="str">
        <f>IFERROR(VLOOKUP(B23,'[1]Debt Holding Consolidated'!$C$1:$N$65536,12,FALSE),"")</f>
        <v/>
      </c>
      <c r="J23" s="23"/>
    </row>
    <row r="24" spans="1:10" x14ac:dyDescent="0.2">
      <c r="A24" s="15"/>
      <c r="B24" s="15"/>
      <c r="C24" s="16" t="s">
        <v>19</v>
      </c>
      <c r="D24" s="15"/>
      <c r="E24" s="15"/>
      <c r="F24" s="24">
        <v>0</v>
      </c>
      <c r="G24" s="19">
        <v>0</v>
      </c>
      <c r="H24" s="17" t="str">
        <f>IFERROR(VLOOKUP(B24,'[1]Debt Holding Consolidated'!$C$1:$N$65536,12,FALSE),"")</f>
        <v/>
      </c>
    </row>
    <row r="25" spans="1:10" x14ac:dyDescent="0.2">
      <c r="A25" s="15"/>
      <c r="B25" s="15"/>
      <c r="C25" s="20"/>
      <c r="D25" s="15"/>
      <c r="E25" s="15"/>
      <c r="F25" s="21"/>
      <c r="G25" s="21"/>
      <c r="H25" s="17" t="str">
        <f>IFERROR(VLOOKUP(B25,'[1]Debt Holding Consolidated'!$C$1:$N$65536,12,FALSE),"")</f>
        <v/>
      </c>
    </row>
    <row r="26" spans="1:10" x14ac:dyDescent="0.2">
      <c r="A26" s="15"/>
      <c r="B26" s="15"/>
      <c r="C26" s="16" t="s">
        <v>20</v>
      </c>
      <c r="D26" s="15"/>
      <c r="E26" s="15"/>
      <c r="F26" s="21"/>
      <c r="G26" s="21"/>
      <c r="H26" s="17" t="str">
        <f>IFERROR(VLOOKUP(B26,'[1]Debt Holding Consolidated'!$C$1:$N$65536,12,FALSE),"")</f>
        <v/>
      </c>
    </row>
    <row r="27" spans="1:10" ht="25.5" x14ac:dyDescent="0.2">
      <c r="A27" s="15"/>
      <c r="B27" s="15"/>
      <c r="C27" s="16" t="s">
        <v>10</v>
      </c>
      <c r="D27" s="15"/>
      <c r="E27" s="15"/>
      <c r="F27" s="21"/>
      <c r="G27" s="21"/>
      <c r="H27" s="17" t="str">
        <f>IFERROR(VLOOKUP(B27,'[1]Debt Holding Consolidated'!$C$1:$N$65536,12,FALSE),"")</f>
        <v/>
      </c>
      <c r="J27" s="23" t="s">
        <v>595</v>
      </c>
    </row>
    <row r="28" spans="1:10" ht="25.5" x14ac:dyDescent="0.2">
      <c r="A28" s="25">
        <v>1</v>
      </c>
      <c r="B28" s="26" t="s">
        <v>189</v>
      </c>
      <c r="C28" s="26" t="s">
        <v>190</v>
      </c>
      <c r="D28" s="26" t="s">
        <v>23</v>
      </c>
      <c r="E28" s="27">
        <v>250</v>
      </c>
      <c r="F28" s="28">
        <v>2489</v>
      </c>
      <c r="G28" s="29">
        <v>6.4338140000000002E-2</v>
      </c>
      <c r="H28" s="17">
        <f>IFERROR(VLOOKUP(B28,'[1]Debt Holding Consolidated'!$C$1:$N$65536,12,FALSE),"")</f>
        <v>7.65</v>
      </c>
      <c r="J28" s="23"/>
    </row>
    <row r="29" spans="1:10" x14ac:dyDescent="0.2">
      <c r="A29" s="25">
        <v>2</v>
      </c>
      <c r="B29" s="26" t="s">
        <v>191</v>
      </c>
      <c r="C29" s="26" t="s">
        <v>192</v>
      </c>
      <c r="D29" s="26" t="s">
        <v>193</v>
      </c>
      <c r="E29" s="27">
        <v>2000</v>
      </c>
      <c r="F29" s="28">
        <v>1999.8340000000001</v>
      </c>
      <c r="G29" s="29">
        <v>5.169369E-2</v>
      </c>
      <c r="H29" s="17">
        <f>IFERROR(VLOOKUP(B29,'[1]Debt Holding Consolidated'!$C$1:$N$65536,12,FALSE),"")</f>
        <v>7.6749999999999998</v>
      </c>
      <c r="J29" s="23"/>
    </row>
    <row r="30" spans="1:10" x14ac:dyDescent="0.2">
      <c r="A30" s="25">
        <v>3</v>
      </c>
      <c r="B30" s="26" t="s">
        <v>194</v>
      </c>
      <c r="C30" s="26" t="s">
        <v>195</v>
      </c>
      <c r="D30" s="26" t="s">
        <v>196</v>
      </c>
      <c r="E30" s="27">
        <v>1700</v>
      </c>
      <c r="F30" s="28">
        <v>1707.7673</v>
      </c>
      <c r="G30" s="29">
        <v>4.4144059999999999E-2</v>
      </c>
      <c r="H30" s="17">
        <f>IFERROR(VLOOKUP(B30,'[1]Debt Holding Consolidated'!$C$1:$N$65536,12,FALSE),"")</f>
        <v>8.4499999999999993</v>
      </c>
    </row>
    <row r="31" spans="1:10" x14ac:dyDescent="0.2">
      <c r="A31" s="25">
        <v>4</v>
      </c>
      <c r="B31" s="26" t="s">
        <v>197</v>
      </c>
      <c r="C31" s="26" t="s">
        <v>198</v>
      </c>
      <c r="D31" s="26" t="s">
        <v>196</v>
      </c>
      <c r="E31" s="27">
        <v>1500</v>
      </c>
      <c r="F31" s="28">
        <v>1502.2035000000001</v>
      </c>
      <c r="G31" s="29">
        <v>3.8830440000000001E-2</v>
      </c>
      <c r="H31" s="17">
        <f>IFERROR(VLOOKUP(B31,'[1]Debt Holding Consolidated'!$C$1:$N$65536,12,FALSE),"")</f>
        <v>9.0607000000000006</v>
      </c>
    </row>
    <row r="32" spans="1:10" ht="25.5" x14ac:dyDescent="0.2">
      <c r="A32" s="25">
        <v>5</v>
      </c>
      <c r="B32" s="26" t="s">
        <v>199</v>
      </c>
      <c r="C32" s="26" t="s">
        <v>200</v>
      </c>
      <c r="D32" s="26" t="s">
        <v>23</v>
      </c>
      <c r="E32" s="27">
        <v>140</v>
      </c>
      <c r="F32" s="28">
        <v>1371.3098</v>
      </c>
      <c r="G32" s="29">
        <v>3.5446970000000001E-2</v>
      </c>
      <c r="H32" s="17">
        <f>IFERROR(VLOOKUP(B32,'[1]Debt Holding Consolidated'!$C$1:$N$65536,12,FALSE),"")</f>
        <v>7.83</v>
      </c>
    </row>
    <row r="33" spans="1:8" ht="25.5" x14ac:dyDescent="0.2">
      <c r="A33" s="25">
        <v>6</v>
      </c>
      <c r="B33" s="26" t="s">
        <v>201</v>
      </c>
      <c r="C33" s="26" t="s">
        <v>202</v>
      </c>
      <c r="D33" s="26" t="s">
        <v>23</v>
      </c>
      <c r="E33" s="27">
        <v>100</v>
      </c>
      <c r="F33" s="28">
        <v>996.45299999999997</v>
      </c>
      <c r="G33" s="29">
        <v>2.57573E-2</v>
      </c>
      <c r="H33" s="17">
        <f>IFERROR(VLOOKUP(B33,'[1]Debt Holding Consolidated'!$C$1:$N$65536,12,FALSE),"")</f>
        <v>7.7</v>
      </c>
    </row>
    <row r="34" spans="1:8" ht="25.5" x14ac:dyDescent="0.2">
      <c r="A34" s="25">
        <v>7</v>
      </c>
      <c r="B34" s="26" t="s">
        <v>41</v>
      </c>
      <c r="C34" s="26" t="s">
        <v>42</v>
      </c>
      <c r="D34" s="26" t="s">
        <v>23</v>
      </c>
      <c r="E34" s="27">
        <v>1000</v>
      </c>
      <c r="F34" s="28">
        <v>995.14599999999996</v>
      </c>
      <c r="G34" s="29">
        <v>2.572352E-2</v>
      </c>
      <c r="H34" s="17">
        <f>IFERROR(VLOOKUP(B34,'[1]Debt Holding Consolidated'!$C$1:$N$65536,12,FALSE),"")</f>
        <v>7.48</v>
      </c>
    </row>
    <row r="35" spans="1:8" x14ac:dyDescent="0.2">
      <c r="A35" s="25">
        <v>8</v>
      </c>
      <c r="B35" s="26" t="s">
        <v>203</v>
      </c>
      <c r="C35" s="26" t="s">
        <v>204</v>
      </c>
      <c r="D35" s="26" t="s">
        <v>196</v>
      </c>
      <c r="E35" s="27">
        <v>100</v>
      </c>
      <c r="F35" s="28">
        <v>993.19100000000003</v>
      </c>
      <c r="G35" s="29">
        <v>2.5672980000000001E-2</v>
      </c>
      <c r="H35" s="17">
        <f>IFERROR(VLOOKUP(B35,'[1]Debt Holding Consolidated'!$C$1:$N$65536,12,FALSE),"")</f>
        <v>8.7750000000000004</v>
      </c>
    </row>
    <row r="36" spans="1:8" ht="25.5" x14ac:dyDescent="0.2">
      <c r="A36" s="25">
        <v>9</v>
      </c>
      <c r="B36" s="26" t="s">
        <v>205</v>
      </c>
      <c r="C36" s="26" t="s">
        <v>206</v>
      </c>
      <c r="D36" s="26" t="s">
        <v>23</v>
      </c>
      <c r="E36" s="27">
        <v>100</v>
      </c>
      <c r="F36" s="28">
        <v>989.85400000000004</v>
      </c>
      <c r="G36" s="29">
        <v>2.5586729999999999E-2</v>
      </c>
      <c r="H36" s="17">
        <f>IFERROR(VLOOKUP(B36,'[1]Debt Holding Consolidated'!$C$1:$N$65536,12,FALSE),"")</f>
        <v>7.6550000000000002</v>
      </c>
    </row>
    <row r="37" spans="1:8" ht="25.5" x14ac:dyDescent="0.2">
      <c r="A37" s="25">
        <v>10</v>
      </c>
      <c r="B37" s="26" t="s">
        <v>207</v>
      </c>
      <c r="C37" s="26" t="s">
        <v>208</v>
      </c>
      <c r="D37" s="26" t="s">
        <v>209</v>
      </c>
      <c r="E37" s="27">
        <v>1000</v>
      </c>
      <c r="F37" s="28">
        <v>988.02200000000005</v>
      </c>
      <c r="G37" s="29">
        <v>2.5539369999999999E-2</v>
      </c>
      <c r="H37" s="17">
        <f>IFERROR(VLOOKUP(B37,'[1]Debt Holding Consolidated'!$C$1:$N$65536,12,FALSE),"")</f>
        <v>9.94</v>
      </c>
    </row>
    <row r="38" spans="1:8" x14ac:dyDescent="0.2">
      <c r="A38" s="25">
        <v>11</v>
      </c>
      <c r="B38" s="26" t="s">
        <v>210</v>
      </c>
      <c r="C38" s="26" t="s">
        <v>211</v>
      </c>
      <c r="D38" s="26" t="s">
        <v>23</v>
      </c>
      <c r="E38" s="27">
        <v>100</v>
      </c>
      <c r="F38" s="28">
        <v>987.83600000000001</v>
      </c>
      <c r="G38" s="29">
        <v>2.5534560000000001E-2</v>
      </c>
      <c r="H38" s="17">
        <f>IFERROR(VLOOKUP(B38,'[1]Debt Holding Consolidated'!$C$1:$N$65536,12,FALSE),"")</f>
        <v>7.71</v>
      </c>
    </row>
    <row r="39" spans="1:8" x14ac:dyDescent="0.2">
      <c r="A39" s="25">
        <v>12</v>
      </c>
      <c r="B39" s="26" t="s">
        <v>212</v>
      </c>
      <c r="C39" s="26" t="s">
        <v>213</v>
      </c>
      <c r="D39" s="26" t="s">
        <v>209</v>
      </c>
      <c r="E39" s="27">
        <v>900</v>
      </c>
      <c r="F39" s="28">
        <v>901.5453</v>
      </c>
      <c r="G39" s="29">
        <v>2.3304040000000002E-2</v>
      </c>
      <c r="H39" s="17">
        <f>IFERROR(VLOOKUP(B39,'[1]Debt Holding Consolidated'!$C$1:$N$65536,12,FALSE),"")</f>
        <v>8.2650000000000006</v>
      </c>
    </row>
    <row r="40" spans="1:8" x14ac:dyDescent="0.2">
      <c r="A40" s="25">
        <v>13</v>
      </c>
      <c r="B40" s="26" t="s">
        <v>55</v>
      </c>
      <c r="C40" s="26" t="s">
        <v>56</v>
      </c>
      <c r="D40" s="26" t="s">
        <v>23</v>
      </c>
      <c r="E40" s="27">
        <v>500</v>
      </c>
      <c r="F40" s="28">
        <v>501.49400000000003</v>
      </c>
      <c r="G40" s="29">
        <v>1.296311E-2</v>
      </c>
      <c r="H40" s="17">
        <f>IFERROR(VLOOKUP(B40,'[1]Debt Holding Consolidated'!$C$1:$N$65536,12,FALSE),"")</f>
        <v>7.6</v>
      </c>
    </row>
    <row r="41" spans="1:8" x14ac:dyDescent="0.2">
      <c r="A41" s="25">
        <v>14</v>
      </c>
      <c r="B41" s="26" t="s">
        <v>214</v>
      </c>
      <c r="C41" s="26" t="s">
        <v>215</v>
      </c>
      <c r="D41" s="26" t="s">
        <v>32</v>
      </c>
      <c r="E41" s="27">
        <v>500</v>
      </c>
      <c r="F41" s="28">
        <v>500.76799999999997</v>
      </c>
      <c r="G41" s="29">
        <v>1.294435E-2</v>
      </c>
      <c r="H41" s="17">
        <f>IFERROR(VLOOKUP(B41,'[1]Debt Holding Consolidated'!$C$1:$N$65536,12,FALSE),"")</f>
        <v>7.5049999999999999</v>
      </c>
    </row>
    <row r="42" spans="1:8" x14ac:dyDescent="0.2">
      <c r="A42" s="25">
        <v>15</v>
      </c>
      <c r="B42" s="26" t="s">
        <v>216</v>
      </c>
      <c r="C42" s="26" t="s">
        <v>217</v>
      </c>
      <c r="D42" s="26" t="s">
        <v>196</v>
      </c>
      <c r="E42" s="27">
        <v>500</v>
      </c>
      <c r="F42" s="28">
        <v>500.76</v>
      </c>
      <c r="G42" s="29">
        <v>1.294414E-2</v>
      </c>
      <c r="H42" s="17">
        <f>IFERROR(VLOOKUP(B42,'[1]Debt Holding Consolidated'!$C$1:$N$65536,12,FALSE),"")</f>
        <v>9.0500000000000007</v>
      </c>
    </row>
    <row r="43" spans="1:8" ht="25.5" x14ac:dyDescent="0.2">
      <c r="A43" s="25">
        <v>16</v>
      </c>
      <c r="B43" s="26" t="s">
        <v>218</v>
      </c>
      <c r="C43" s="26" t="s">
        <v>219</v>
      </c>
      <c r="D43" s="26" t="s">
        <v>220</v>
      </c>
      <c r="E43" s="27">
        <v>50</v>
      </c>
      <c r="F43" s="28">
        <v>499.63549999999998</v>
      </c>
      <c r="G43" s="29">
        <v>1.2915070000000001E-2</v>
      </c>
      <c r="H43" s="17">
        <f>IFERROR(VLOOKUP(B43,'[1]Debt Holding Consolidated'!$C$1:$N$65536,12,FALSE),"")</f>
        <v>8.4550000000000001</v>
      </c>
    </row>
    <row r="44" spans="1:8" ht="25.5" x14ac:dyDescent="0.2">
      <c r="A44" s="25">
        <v>17</v>
      </c>
      <c r="B44" s="26" t="s">
        <v>61</v>
      </c>
      <c r="C44" s="26" t="s">
        <v>62</v>
      </c>
      <c r="D44" s="26" t="s">
        <v>23</v>
      </c>
      <c r="E44" s="27">
        <v>500</v>
      </c>
      <c r="F44" s="28">
        <v>499.303</v>
      </c>
      <c r="G44" s="29">
        <v>1.290648E-2</v>
      </c>
      <c r="H44" s="17">
        <f>IFERROR(VLOOKUP(B44,'[1]Debt Holding Consolidated'!$C$1:$N$65536,12,FALSE),"")</f>
        <v>8.19</v>
      </c>
    </row>
    <row r="45" spans="1:8" x14ac:dyDescent="0.2">
      <c r="A45" s="15"/>
      <c r="B45" s="15"/>
      <c r="C45" s="16" t="s">
        <v>11</v>
      </c>
      <c r="D45" s="15"/>
      <c r="E45" s="15" t="s">
        <v>12</v>
      </c>
      <c r="F45" s="24">
        <v>18424.1224</v>
      </c>
      <c r="G45" s="19">
        <v>0.47624495</v>
      </c>
      <c r="H45" s="17" t="str">
        <f>IFERROR(VLOOKUP(B45,'[1]Debt Holding Consolidated'!$C$1:$N$65536,12,FALSE),"")</f>
        <v/>
      </c>
    </row>
    <row r="46" spans="1:8" x14ac:dyDescent="0.2">
      <c r="A46" s="15"/>
      <c r="B46" s="15"/>
      <c r="C46" s="20"/>
      <c r="D46" s="15"/>
      <c r="E46" s="15"/>
      <c r="F46" s="21"/>
      <c r="G46" s="21"/>
      <c r="H46" s="17" t="str">
        <f>IFERROR(VLOOKUP(B46,'[1]Debt Holding Consolidated'!$C$1:$N$65536,12,FALSE),"")</f>
        <v/>
      </c>
    </row>
    <row r="47" spans="1:8" x14ac:dyDescent="0.2">
      <c r="A47" s="15"/>
      <c r="B47" s="15"/>
      <c r="C47" s="16" t="s">
        <v>67</v>
      </c>
      <c r="D47" s="15"/>
      <c r="E47" s="15"/>
      <c r="F47" s="15"/>
      <c r="G47" s="15"/>
      <c r="H47" s="17" t="str">
        <f>IFERROR(VLOOKUP(B47,'[1]Debt Holding Consolidated'!$C$1:$N$65536,12,FALSE),"")</f>
        <v/>
      </c>
    </row>
    <row r="48" spans="1:8" x14ac:dyDescent="0.2">
      <c r="A48" s="15"/>
      <c r="B48" s="15"/>
      <c r="C48" s="16" t="s">
        <v>11</v>
      </c>
      <c r="D48" s="15"/>
      <c r="E48" s="15" t="s">
        <v>12</v>
      </c>
      <c r="F48" s="18" t="s">
        <v>13</v>
      </c>
      <c r="G48" s="19">
        <v>0</v>
      </c>
      <c r="H48" s="17" t="str">
        <f>IFERROR(VLOOKUP(B48,'[1]Debt Holding Consolidated'!$C$1:$N$65536,12,FALSE),"")</f>
        <v/>
      </c>
    </row>
    <row r="49" spans="1:8" x14ac:dyDescent="0.2">
      <c r="A49" s="15"/>
      <c r="B49" s="15"/>
      <c r="C49" s="20"/>
      <c r="D49" s="15"/>
      <c r="E49" s="15"/>
      <c r="F49" s="21"/>
      <c r="G49" s="21"/>
      <c r="H49" s="17" t="str">
        <f>IFERROR(VLOOKUP(B49,'[1]Debt Holding Consolidated'!$C$1:$N$65536,12,FALSE),"")</f>
        <v/>
      </c>
    </row>
    <row r="50" spans="1:8" x14ac:dyDescent="0.2">
      <c r="A50" s="15"/>
      <c r="B50" s="15"/>
      <c r="C50" s="16" t="s">
        <v>68</v>
      </c>
      <c r="D50" s="15"/>
      <c r="E50" s="15"/>
      <c r="F50" s="15"/>
      <c r="G50" s="15"/>
      <c r="H50" s="17" t="str">
        <f>IFERROR(VLOOKUP(B50,'[1]Debt Holding Consolidated'!$C$1:$N$65536,12,FALSE),"")</f>
        <v/>
      </c>
    </row>
    <row r="51" spans="1:8" x14ac:dyDescent="0.2">
      <c r="A51" s="25">
        <v>1</v>
      </c>
      <c r="B51" s="26" t="s">
        <v>76</v>
      </c>
      <c r="C51" s="26" t="s">
        <v>77</v>
      </c>
      <c r="D51" s="26" t="s">
        <v>71</v>
      </c>
      <c r="E51" s="27">
        <v>1500000</v>
      </c>
      <c r="F51" s="28">
        <v>1531.7055</v>
      </c>
      <c r="G51" s="29">
        <v>3.9593040000000003E-2</v>
      </c>
      <c r="H51" s="17">
        <f>IFERROR(VLOOKUP(B51,'[1]Debt Holding Consolidated'!$C$1:$N$65536,12,FALSE),"")</f>
        <v>6.8924000000000003</v>
      </c>
    </row>
    <row r="52" spans="1:8" ht="25.5" x14ac:dyDescent="0.2">
      <c r="A52" s="25">
        <v>2</v>
      </c>
      <c r="B52" s="26" t="s">
        <v>221</v>
      </c>
      <c r="C52" s="26" t="s">
        <v>222</v>
      </c>
      <c r="D52" s="26" t="s">
        <v>71</v>
      </c>
      <c r="E52" s="27">
        <v>1000000</v>
      </c>
      <c r="F52" s="28">
        <v>1015.999</v>
      </c>
      <c r="G52" s="29">
        <v>2.6262549999999999E-2</v>
      </c>
      <c r="H52" s="17">
        <f>IFERROR(VLOOKUP(B52,'[1]Debt Holding Consolidated'!$C$1:$N$65536,12,FALSE),"")</f>
        <v>6.8611000000000004</v>
      </c>
    </row>
    <row r="53" spans="1:8" x14ac:dyDescent="0.2">
      <c r="A53" s="15"/>
      <c r="B53" s="15"/>
      <c r="C53" s="16" t="s">
        <v>11</v>
      </c>
      <c r="D53" s="15"/>
      <c r="E53" s="15" t="s">
        <v>12</v>
      </c>
      <c r="F53" s="24">
        <v>2547.7044999999998</v>
      </c>
      <c r="G53" s="19">
        <v>6.5855590000000006E-2</v>
      </c>
      <c r="H53" s="17" t="str">
        <f>IFERROR(VLOOKUP(B53,'[1]Debt Holding Consolidated'!$C$1:$N$65536,12,FALSE),"")</f>
        <v/>
      </c>
    </row>
    <row r="54" spans="1:8" x14ac:dyDescent="0.2">
      <c r="A54" s="15"/>
      <c r="B54" s="15"/>
      <c r="C54" s="20"/>
      <c r="D54" s="15"/>
      <c r="E54" s="15"/>
      <c r="F54" s="21"/>
      <c r="G54" s="21"/>
      <c r="H54" s="17" t="str">
        <f>IFERROR(VLOOKUP(B54,'[1]Debt Holding Consolidated'!$C$1:$N$65536,12,FALSE),"")</f>
        <v/>
      </c>
    </row>
    <row r="55" spans="1:8" x14ac:dyDescent="0.2">
      <c r="A55" s="15"/>
      <c r="B55" s="15"/>
      <c r="C55" s="16" t="s">
        <v>82</v>
      </c>
      <c r="D55" s="15"/>
      <c r="E55" s="15"/>
      <c r="F55" s="21"/>
      <c r="G55" s="21"/>
      <c r="H55" s="17" t="str">
        <f>IFERROR(VLOOKUP(B55,'[1]Debt Holding Consolidated'!$C$1:$N$65536,12,FALSE),"")</f>
        <v/>
      </c>
    </row>
    <row r="56" spans="1:8" x14ac:dyDescent="0.2">
      <c r="A56" s="15"/>
      <c r="B56" s="15"/>
      <c r="C56" s="16" t="s">
        <v>11</v>
      </c>
      <c r="D56" s="15"/>
      <c r="E56" s="15" t="s">
        <v>12</v>
      </c>
      <c r="F56" s="18" t="s">
        <v>13</v>
      </c>
      <c r="G56" s="19">
        <v>0</v>
      </c>
      <c r="H56" s="17" t="str">
        <f>IFERROR(VLOOKUP(B56,'[1]Debt Holding Consolidated'!$C$1:$N$65536,12,FALSE),"")</f>
        <v/>
      </c>
    </row>
    <row r="57" spans="1:8" x14ac:dyDescent="0.2">
      <c r="A57" s="15"/>
      <c r="B57" s="15"/>
      <c r="C57" s="20"/>
      <c r="D57" s="15"/>
      <c r="E57" s="15"/>
      <c r="F57" s="21"/>
      <c r="G57" s="21"/>
      <c r="H57" s="17" t="str">
        <f>IFERROR(VLOOKUP(B57,'[1]Debt Holding Consolidated'!$C$1:$N$65536,12,FALSE),"")</f>
        <v/>
      </c>
    </row>
    <row r="58" spans="1:8" x14ac:dyDescent="0.2">
      <c r="A58" s="15"/>
      <c r="B58" s="15"/>
      <c r="C58" s="16" t="s">
        <v>83</v>
      </c>
      <c r="D58" s="15"/>
      <c r="E58" s="15"/>
      <c r="F58" s="24">
        <v>20971.8269</v>
      </c>
      <c r="G58" s="19">
        <v>0.54210053999999996</v>
      </c>
      <c r="H58" s="17" t="str">
        <f>IFERROR(VLOOKUP(B58,'[1]Debt Holding Consolidated'!$C$1:$N$65536,12,FALSE),"")</f>
        <v/>
      </c>
    </row>
    <row r="59" spans="1:8" x14ac:dyDescent="0.2">
      <c r="A59" s="15"/>
      <c r="B59" s="15"/>
      <c r="C59" s="20"/>
      <c r="D59" s="15"/>
      <c r="E59" s="15"/>
      <c r="F59" s="21"/>
      <c r="G59" s="21"/>
      <c r="H59" s="17" t="str">
        <f>IFERROR(VLOOKUP(B59,'[1]Debt Holding Consolidated'!$C$1:$N$65536,12,FALSE),"")</f>
        <v/>
      </c>
    </row>
    <row r="60" spans="1:8" x14ac:dyDescent="0.2">
      <c r="A60" s="15"/>
      <c r="B60" s="15"/>
      <c r="C60" s="16" t="s">
        <v>84</v>
      </c>
      <c r="D60" s="15"/>
      <c r="E60" s="15"/>
      <c r="F60" s="21"/>
      <c r="G60" s="21"/>
      <c r="H60" s="17" t="str">
        <f>IFERROR(VLOOKUP(B60,'[1]Debt Holding Consolidated'!$C$1:$N$65536,12,FALSE),"")</f>
        <v/>
      </c>
    </row>
    <row r="61" spans="1:8" x14ac:dyDescent="0.2">
      <c r="A61" s="15"/>
      <c r="B61" s="15"/>
      <c r="C61" s="16" t="s">
        <v>85</v>
      </c>
      <c r="D61" s="15"/>
      <c r="E61" s="15"/>
      <c r="F61" s="21"/>
      <c r="G61" s="21"/>
      <c r="H61" s="17" t="str">
        <f>IFERROR(VLOOKUP(B61,'[1]Debt Holding Consolidated'!$C$1:$N$65536,12,FALSE),"")</f>
        <v/>
      </c>
    </row>
    <row r="62" spans="1:8" x14ac:dyDescent="0.2">
      <c r="A62" s="25">
        <v>1</v>
      </c>
      <c r="B62" s="26" t="s">
        <v>151</v>
      </c>
      <c r="C62" s="26" t="s">
        <v>152</v>
      </c>
      <c r="D62" s="26" t="s">
        <v>143</v>
      </c>
      <c r="E62" s="27">
        <v>400</v>
      </c>
      <c r="F62" s="28">
        <v>1953.1420000000001</v>
      </c>
      <c r="G62" s="29">
        <v>5.0486749999999997E-2</v>
      </c>
      <c r="H62" s="17">
        <f>IFERROR(VLOOKUP(B62,'[1]Debt Holding Consolidated'!$C$1:$N$65536,12,FALSE),"")</f>
        <v>7.3586</v>
      </c>
    </row>
    <row r="63" spans="1:8" ht="25.5" x14ac:dyDescent="0.2">
      <c r="A63" s="25">
        <v>2</v>
      </c>
      <c r="B63" s="26" t="s">
        <v>223</v>
      </c>
      <c r="C63" s="26" t="s">
        <v>224</v>
      </c>
      <c r="D63" s="26" t="s">
        <v>143</v>
      </c>
      <c r="E63" s="27">
        <v>300</v>
      </c>
      <c r="F63" s="28">
        <v>1465.0830000000001</v>
      </c>
      <c r="G63" s="29">
        <v>3.7870920000000002E-2</v>
      </c>
      <c r="H63" s="17">
        <f>IFERROR(VLOOKUP(B63,'[1]Debt Holding Consolidated'!$C$1:$N$65536,12,FALSE),"")</f>
        <v>7.4349999999999996</v>
      </c>
    </row>
    <row r="64" spans="1:8" x14ac:dyDescent="0.2">
      <c r="A64" s="25">
        <v>3</v>
      </c>
      <c r="B64" s="26" t="s">
        <v>225</v>
      </c>
      <c r="C64" s="26" t="s">
        <v>226</v>
      </c>
      <c r="D64" s="26" t="s">
        <v>143</v>
      </c>
      <c r="E64" s="27">
        <v>200</v>
      </c>
      <c r="F64" s="28">
        <v>979.26599999999996</v>
      </c>
      <c r="G64" s="29">
        <v>2.5313039999999998E-2</v>
      </c>
      <c r="H64" s="17">
        <f>IFERROR(VLOOKUP(B64,'[1]Debt Holding Consolidated'!$C$1:$N$65536,12,FALSE),"")</f>
        <v>7.3601000000000001</v>
      </c>
    </row>
    <row r="65" spans="1:8" x14ac:dyDescent="0.2">
      <c r="A65" s="25">
        <v>4</v>
      </c>
      <c r="B65" s="26" t="s">
        <v>227</v>
      </c>
      <c r="C65" s="26" t="s">
        <v>228</v>
      </c>
      <c r="D65" s="26" t="s">
        <v>143</v>
      </c>
      <c r="E65" s="27">
        <v>200</v>
      </c>
      <c r="F65" s="28">
        <v>977.93299999999999</v>
      </c>
      <c r="G65" s="29">
        <v>2.5278579999999998E-2</v>
      </c>
      <c r="H65" s="17">
        <f>IFERROR(VLOOKUP(B65,'[1]Debt Holding Consolidated'!$C$1:$N$65536,12,FALSE),"")</f>
        <v>7.42</v>
      </c>
    </row>
    <row r="66" spans="1:8" x14ac:dyDescent="0.2">
      <c r="A66" s="25">
        <v>5</v>
      </c>
      <c r="B66" s="26" t="s">
        <v>168</v>
      </c>
      <c r="C66" s="26" t="s">
        <v>169</v>
      </c>
      <c r="D66" s="26" t="s">
        <v>161</v>
      </c>
      <c r="E66" s="27">
        <v>200</v>
      </c>
      <c r="F66" s="28">
        <v>966.71799999999996</v>
      </c>
      <c r="G66" s="29">
        <v>2.4988679999999999E-2</v>
      </c>
      <c r="H66" s="17">
        <f>IFERROR(VLOOKUP(B66,'[1]Debt Holding Consolidated'!$C$1:$N$65536,12,FALSE),"")</f>
        <v>7.48</v>
      </c>
    </row>
    <row r="67" spans="1:8" ht="25.5" x14ac:dyDescent="0.2">
      <c r="A67" s="25">
        <v>6</v>
      </c>
      <c r="B67" s="26" t="s">
        <v>229</v>
      </c>
      <c r="C67" s="26" t="s">
        <v>230</v>
      </c>
      <c r="D67" s="26" t="s">
        <v>143</v>
      </c>
      <c r="E67" s="27">
        <v>200</v>
      </c>
      <c r="F67" s="28">
        <v>965.28899999999999</v>
      </c>
      <c r="G67" s="29">
        <v>2.4951750000000002E-2</v>
      </c>
      <c r="H67" s="17">
        <f>IFERROR(VLOOKUP(B67,'[1]Debt Holding Consolidated'!$C$1:$N$65536,12,FALSE),"")</f>
        <v>7.5</v>
      </c>
    </row>
    <row r="68" spans="1:8" x14ac:dyDescent="0.2">
      <c r="A68" s="25">
        <v>7</v>
      </c>
      <c r="B68" s="26" t="s">
        <v>144</v>
      </c>
      <c r="C68" s="26" t="s">
        <v>145</v>
      </c>
      <c r="D68" s="26" t="s">
        <v>146</v>
      </c>
      <c r="E68" s="27">
        <v>200</v>
      </c>
      <c r="F68" s="28">
        <v>962.90200000000004</v>
      </c>
      <c r="G68" s="29">
        <v>2.4890039999999999E-2</v>
      </c>
      <c r="H68" s="17">
        <f>IFERROR(VLOOKUP(B68,'[1]Debt Holding Consolidated'!$C$1:$N$65536,12,FALSE),"")</f>
        <v>7.48</v>
      </c>
    </row>
    <row r="69" spans="1:8" x14ac:dyDescent="0.2">
      <c r="A69" s="25">
        <v>8</v>
      </c>
      <c r="B69" s="26" t="s">
        <v>155</v>
      </c>
      <c r="C69" s="26" t="s">
        <v>156</v>
      </c>
      <c r="D69" s="26" t="s">
        <v>143</v>
      </c>
      <c r="E69" s="27">
        <v>200</v>
      </c>
      <c r="F69" s="28">
        <v>962.80700000000002</v>
      </c>
      <c r="G69" s="29">
        <v>2.4887590000000001E-2</v>
      </c>
      <c r="H69" s="17">
        <f>IFERROR(VLOOKUP(B69,'[1]Debt Holding Consolidated'!$C$1:$N$65536,12,FALSE),"")</f>
        <v>7.5</v>
      </c>
    </row>
    <row r="70" spans="1:8" x14ac:dyDescent="0.2">
      <c r="A70" s="25">
        <v>9</v>
      </c>
      <c r="B70" s="26" t="s">
        <v>162</v>
      </c>
      <c r="C70" s="26" t="s">
        <v>163</v>
      </c>
      <c r="D70" s="26" t="s">
        <v>143</v>
      </c>
      <c r="E70" s="27">
        <v>200</v>
      </c>
      <c r="F70" s="28">
        <v>962.23299999999995</v>
      </c>
      <c r="G70" s="29">
        <v>2.4872749999999999E-2</v>
      </c>
      <c r="H70" s="17">
        <f>IFERROR(VLOOKUP(B70,'[1]Debt Holding Consolidated'!$C$1:$N$65536,12,FALSE),"")</f>
        <v>7.58</v>
      </c>
    </row>
    <row r="71" spans="1:8" x14ac:dyDescent="0.2">
      <c r="A71" s="25">
        <v>10</v>
      </c>
      <c r="B71" s="26" t="s">
        <v>164</v>
      </c>
      <c r="C71" s="26" t="s">
        <v>165</v>
      </c>
      <c r="D71" s="26" t="s">
        <v>143</v>
      </c>
      <c r="E71" s="27">
        <v>200</v>
      </c>
      <c r="F71" s="28">
        <v>961.70500000000004</v>
      </c>
      <c r="G71" s="29">
        <v>2.4859099999999999E-2</v>
      </c>
      <c r="H71" s="17">
        <f>IFERROR(VLOOKUP(B71,'[1]Debt Holding Consolidated'!$C$1:$N$65536,12,FALSE),"")</f>
        <v>7.57</v>
      </c>
    </row>
    <row r="72" spans="1:8" ht="25.5" x14ac:dyDescent="0.2">
      <c r="A72" s="25">
        <v>11</v>
      </c>
      <c r="B72" s="26" t="s">
        <v>231</v>
      </c>
      <c r="C72" s="26" t="s">
        <v>232</v>
      </c>
      <c r="D72" s="26" t="s">
        <v>143</v>
      </c>
      <c r="E72" s="27">
        <v>200</v>
      </c>
      <c r="F72" s="28">
        <v>961.66499999999996</v>
      </c>
      <c r="G72" s="29">
        <v>2.4858069999999999E-2</v>
      </c>
      <c r="H72" s="17">
        <f>IFERROR(VLOOKUP(B72,'[1]Debt Holding Consolidated'!$C$1:$N$65536,12,FALSE),"")</f>
        <v>7.5</v>
      </c>
    </row>
    <row r="73" spans="1:8" x14ac:dyDescent="0.2">
      <c r="A73" s="25">
        <v>12</v>
      </c>
      <c r="B73" s="26" t="s">
        <v>147</v>
      </c>
      <c r="C73" s="26" t="s">
        <v>148</v>
      </c>
      <c r="D73" s="26" t="s">
        <v>143</v>
      </c>
      <c r="E73" s="27">
        <v>200</v>
      </c>
      <c r="F73" s="28">
        <v>957.50300000000004</v>
      </c>
      <c r="G73" s="29">
        <v>2.475049E-2</v>
      </c>
      <c r="H73" s="17">
        <f>IFERROR(VLOOKUP(B73,'[1]Debt Holding Consolidated'!$C$1:$N$65536,12,FALSE),"")</f>
        <v>7.5</v>
      </c>
    </row>
    <row r="74" spans="1:8" x14ac:dyDescent="0.2">
      <c r="A74" s="25">
        <v>13</v>
      </c>
      <c r="B74" s="26" t="s">
        <v>149</v>
      </c>
      <c r="C74" s="26" t="s">
        <v>150</v>
      </c>
      <c r="D74" s="26" t="s">
        <v>143</v>
      </c>
      <c r="E74" s="27">
        <v>200</v>
      </c>
      <c r="F74" s="28">
        <v>944.94500000000005</v>
      </c>
      <c r="G74" s="29">
        <v>2.4425869999999999E-2</v>
      </c>
      <c r="H74" s="17">
        <f>IFERROR(VLOOKUP(B74,'[1]Debt Holding Consolidated'!$C$1:$N$65536,12,FALSE),"")</f>
        <v>7.5949999999999998</v>
      </c>
    </row>
    <row r="75" spans="1:8" ht="25.5" x14ac:dyDescent="0.2">
      <c r="A75" s="25">
        <v>14</v>
      </c>
      <c r="B75" s="26" t="s">
        <v>233</v>
      </c>
      <c r="C75" s="26" t="s">
        <v>234</v>
      </c>
      <c r="D75" s="26" t="s">
        <v>143</v>
      </c>
      <c r="E75" s="27">
        <v>100</v>
      </c>
      <c r="F75" s="28">
        <v>485.245</v>
      </c>
      <c r="G75" s="29">
        <v>1.254309E-2</v>
      </c>
      <c r="H75" s="17">
        <f>IFERROR(VLOOKUP(B75,'[1]Debt Holding Consolidated'!$C$1:$N$65536,12,FALSE),"")</f>
        <v>7.55</v>
      </c>
    </row>
    <row r="76" spans="1:8" x14ac:dyDescent="0.2">
      <c r="A76" s="15"/>
      <c r="B76" s="15"/>
      <c r="C76" s="16" t="s">
        <v>11</v>
      </c>
      <c r="D76" s="15"/>
      <c r="E76" s="15" t="s">
        <v>12</v>
      </c>
      <c r="F76" s="24">
        <v>14506.436</v>
      </c>
      <c r="G76" s="19">
        <v>0.37497671999999999</v>
      </c>
      <c r="H76" s="17" t="str">
        <f>IFERROR(VLOOKUP(B76,'[1]Debt Holding Consolidated'!$C$1:$N$65536,12,FALSE),"")</f>
        <v/>
      </c>
    </row>
    <row r="77" spans="1:8" x14ac:dyDescent="0.2">
      <c r="A77" s="15"/>
      <c r="B77" s="15"/>
      <c r="C77" s="20"/>
      <c r="D77" s="15"/>
      <c r="E77" s="15"/>
      <c r="F77" s="21"/>
      <c r="G77" s="21"/>
      <c r="H77" s="17" t="str">
        <f>IFERROR(VLOOKUP(B77,'[1]Debt Holding Consolidated'!$C$1:$N$65536,12,FALSE),"")</f>
        <v/>
      </c>
    </row>
    <row r="78" spans="1:8" x14ac:dyDescent="0.2">
      <c r="A78" s="15"/>
      <c r="B78" s="15"/>
      <c r="C78" s="16" t="s">
        <v>86</v>
      </c>
      <c r="D78" s="15"/>
      <c r="E78" s="15"/>
      <c r="F78" s="21"/>
      <c r="G78" s="21"/>
      <c r="H78" s="17" t="str">
        <f>IFERROR(VLOOKUP(B78,'[1]Debt Holding Consolidated'!$C$1:$N$65536,12,FALSE),"")</f>
        <v/>
      </c>
    </row>
    <row r="79" spans="1:8" ht="25.5" x14ac:dyDescent="0.2">
      <c r="A79" s="25">
        <v>1</v>
      </c>
      <c r="B79" s="26" t="s">
        <v>235</v>
      </c>
      <c r="C79" s="26" t="s">
        <v>236</v>
      </c>
      <c r="D79" s="26" t="s">
        <v>143</v>
      </c>
      <c r="E79" s="27">
        <v>300</v>
      </c>
      <c r="F79" s="28">
        <v>1428.027</v>
      </c>
      <c r="G79" s="29">
        <v>3.6913059999999998E-2</v>
      </c>
      <c r="H79" s="17">
        <f>IFERROR(VLOOKUP(B79,'[1]Debt Holding Consolidated'!$C$1:$N$65536,12,FALSE),"")</f>
        <v>8.76</v>
      </c>
    </row>
    <row r="80" spans="1:8" x14ac:dyDescent="0.2">
      <c r="A80" s="15"/>
      <c r="B80" s="15"/>
      <c r="C80" s="16" t="s">
        <v>11</v>
      </c>
      <c r="D80" s="15"/>
      <c r="E80" s="15" t="s">
        <v>12</v>
      </c>
      <c r="F80" s="24">
        <v>1428.027</v>
      </c>
      <c r="G80" s="19">
        <v>3.6913059999999998E-2</v>
      </c>
      <c r="H80" s="17" t="str">
        <f>IFERROR(VLOOKUP(B80,'[1]Debt Holding Consolidated'!$C$1:$N$65536,12,FALSE),"")</f>
        <v/>
      </c>
    </row>
    <row r="81" spans="1:18" x14ac:dyDescent="0.2">
      <c r="A81" s="15"/>
      <c r="B81" s="15"/>
      <c r="C81" s="20"/>
      <c r="D81" s="15"/>
      <c r="E81" s="15"/>
      <c r="F81" s="21"/>
      <c r="G81" s="21"/>
      <c r="H81" s="17" t="str">
        <f>IFERROR(VLOOKUP(B81,'[1]Debt Holding Consolidated'!$C$1:$N$65536,12,FALSE),"")</f>
        <v/>
      </c>
    </row>
    <row r="82" spans="1:18" x14ac:dyDescent="0.2">
      <c r="A82" s="15"/>
      <c r="B82" s="15"/>
      <c r="C82" s="16" t="s">
        <v>87</v>
      </c>
      <c r="D82" s="15"/>
      <c r="E82" s="15"/>
      <c r="F82" s="21"/>
      <c r="G82" s="21"/>
      <c r="H82" s="17" t="str">
        <f>IFERROR(VLOOKUP(B82,'[1]Debt Holding Consolidated'!$C$1:$N$65536,12,FALSE),"")</f>
        <v/>
      </c>
    </row>
    <row r="83" spans="1:18" x14ac:dyDescent="0.2">
      <c r="A83" s="15"/>
      <c r="B83" s="15"/>
      <c r="C83" s="16" t="s">
        <v>11</v>
      </c>
      <c r="D83" s="15"/>
      <c r="E83" s="15" t="s">
        <v>12</v>
      </c>
      <c r="F83" s="18" t="s">
        <v>13</v>
      </c>
      <c r="G83" s="19">
        <v>0</v>
      </c>
      <c r="H83" s="17" t="str">
        <f>IFERROR(VLOOKUP(B83,'[1]Debt Holding Consolidated'!$C$1:$N$65536,12,FALSE),"")</f>
        <v/>
      </c>
    </row>
    <row r="84" spans="1:18" x14ac:dyDescent="0.2">
      <c r="A84" s="15"/>
      <c r="B84" s="15"/>
      <c r="C84" s="20"/>
      <c r="D84" s="15"/>
      <c r="E84" s="15"/>
      <c r="F84" s="21"/>
      <c r="G84" s="21"/>
      <c r="H84" s="17" t="str">
        <f>IFERROR(VLOOKUP(B84,'[1]Debt Holding Consolidated'!$C$1:$N$65536,12,FALSE),"")</f>
        <v/>
      </c>
    </row>
    <row r="85" spans="1:18" x14ac:dyDescent="0.2">
      <c r="A85" s="15"/>
      <c r="B85" s="15"/>
      <c r="C85" s="16" t="s">
        <v>88</v>
      </c>
      <c r="D85" s="15"/>
      <c r="E85" s="15"/>
      <c r="F85" s="21"/>
      <c r="G85" s="21"/>
      <c r="H85" s="17" t="str">
        <f>IFERROR(VLOOKUP(B85,'[1]Debt Holding Consolidated'!$C$1:$N$65536,12,FALSE),"")</f>
        <v/>
      </c>
    </row>
    <row r="86" spans="1:18" x14ac:dyDescent="0.2">
      <c r="A86" s="25">
        <v>1</v>
      </c>
      <c r="B86" s="26"/>
      <c r="C86" s="26" t="s">
        <v>89</v>
      </c>
      <c r="D86" s="26"/>
      <c r="E86" s="30"/>
      <c r="F86" s="28">
        <v>1096.9777389979999</v>
      </c>
      <c r="G86" s="29">
        <v>2.8355769999999999E-2</v>
      </c>
      <c r="H86" s="17">
        <v>6.3551211905931497</v>
      </c>
    </row>
    <row r="87" spans="1:18" x14ac:dyDescent="0.2">
      <c r="A87" s="15"/>
      <c r="B87" s="15"/>
      <c r="C87" s="16" t="s">
        <v>11</v>
      </c>
      <c r="D87" s="15"/>
      <c r="E87" s="15" t="s">
        <v>12</v>
      </c>
      <c r="F87" s="24">
        <v>1096.9777389979999</v>
      </c>
      <c r="G87" s="19">
        <v>2.8355769999999999E-2</v>
      </c>
      <c r="H87" s="17" t="str">
        <f>IFERROR(VLOOKUP(B87,'[1]Debt Holding Consolidated'!$C$1:$N$65536,12,FALSE),"")</f>
        <v/>
      </c>
    </row>
    <row r="88" spans="1:18" x14ac:dyDescent="0.2">
      <c r="A88" s="15"/>
      <c r="B88" s="15"/>
      <c r="C88" s="20"/>
      <c r="D88" s="15"/>
      <c r="E88" s="15"/>
      <c r="F88" s="21"/>
      <c r="G88" s="21"/>
      <c r="H88" s="17" t="str">
        <f>IFERROR(VLOOKUP(B88,'[1]Debt Holding Consolidated'!$C$1:$N$65536,12,FALSE),"")</f>
        <v/>
      </c>
    </row>
    <row r="89" spans="1:18" x14ac:dyDescent="0.2">
      <c r="A89" s="15"/>
      <c r="B89" s="15"/>
      <c r="C89" s="16" t="s">
        <v>90</v>
      </c>
      <c r="D89" s="15"/>
      <c r="E89" s="15"/>
      <c r="F89" s="24">
        <v>17031.440738998001</v>
      </c>
      <c r="G89" s="19">
        <v>0.44024554999999999</v>
      </c>
      <c r="H89" s="17" t="str">
        <f>IFERROR(VLOOKUP(B89,'[1]Debt Holding Consolidated'!$C$1:$N$65536,12,FALSE),"")</f>
        <v/>
      </c>
    </row>
    <row r="90" spans="1:18" x14ac:dyDescent="0.2">
      <c r="A90" s="15"/>
      <c r="B90" s="15"/>
      <c r="C90" s="21"/>
      <c r="D90" s="15"/>
      <c r="E90" s="15"/>
      <c r="F90" s="15"/>
      <c r="G90" s="15"/>
      <c r="H90" s="17" t="str">
        <f>IFERROR(VLOOKUP(B90,'[1]Debt Holding Consolidated'!$C$1:$N$65536,12,FALSE),"")</f>
        <v/>
      </c>
    </row>
    <row r="91" spans="1:18" x14ac:dyDescent="0.2">
      <c r="A91" s="15"/>
      <c r="B91" s="15"/>
      <c r="C91" s="16" t="s">
        <v>91</v>
      </c>
      <c r="D91" s="15"/>
      <c r="E91" s="15"/>
      <c r="F91" s="15"/>
      <c r="G91" s="15"/>
      <c r="H91" s="17" t="str">
        <f>IFERROR(VLOOKUP(B91,'[1]Debt Holding Consolidated'!$C$1:$N$65536,12,FALSE),"")</f>
        <v/>
      </c>
    </row>
    <row r="92" spans="1:18" x14ac:dyDescent="0.2">
      <c r="A92" s="15"/>
      <c r="B92" s="15"/>
      <c r="C92" s="16" t="s">
        <v>92</v>
      </c>
      <c r="D92" s="15"/>
      <c r="E92" s="15"/>
      <c r="F92" s="15"/>
      <c r="G92" s="15"/>
      <c r="H92" s="17" t="str">
        <f>IFERROR(VLOOKUP(B92,'[1]Debt Holding Consolidated'!$C$1:$N$65536,12,FALSE),"")</f>
        <v/>
      </c>
    </row>
    <row r="93" spans="1:18" x14ac:dyDescent="0.2">
      <c r="A93" s="15"/>
      <c r="B93" s="15"/>
      <c r="C93" s="16" t="s">
        <v>11</v>
      </c>
      <c r="D93" s="15"/>
      <c r="E93" s="15" t="s">
        <v>12</v>
      </c>
      <c r="F93" s="18" t="s">
        <v>13</v>
      </c>
      <c r="G93" s="19">
        <v>0</v>
      </c>
      <c r="H93" s="17" t="str">
        <f>IFERROR(VLOOKUP(B93,'[1]Debt Holding Consolidated'!$C$1:$N$65536,12,FALSE),"")</f>
        <v/>
      </c>
    </row>
    <row r="94" spans="1:18" x14ac:dyDescent="0.2">
      <c r="A94" s="15"/>
      <c r="B94" s="15"/>
      <c r="C94" s="20"/>
      <c r="D94" s="15"/>
      <c r="E94" s="15"/>
      <c r="F94" s="21"/>
      <c r="G94" s="21"/>
      <c r="H94" s="17" t="str">
        <f>IFERROR(VLOOKUP(B94,'[1]Debt Holding Consolidated'!$C$1:$N$65536,12,FALSE),"")</f>
        <v/>
      </c>
    </row>
    <row r="95" spans="1:18" x14ac:dyDescent="0.2">
      <c r="A95" s="31"/>
      <c r="B95" s="31"/>
      <c r="C95" s="32" t="s">
        <v>517</v>
      </c>
      <c r="D95" s="31"/>
      <c r="E95" s="31"/>
      <c r="F95" s="33"/>
      <c r="G95" s="33"/>
      <c r="H95" s="34"/>
      <c r="L95" s="35"/>
      <c r="M95" s="35"/>
      <c r="N95" s="35"/>
      <c r="O95" s="35"/>
      <c r="P95" s="36"/>
      <c r="Q95" s="36"/>
      <c r="R95" s="36"/>
    </row>
    <row r="96" spans="1:18" ht="25.5" x14ac:dyDescent="0.2">
      <c r="A96" s="25">
        <v>1</v>
      </c>
      <c r="B96" s="26" t="s">
        <v>93</v>
      </c>
      <c r="C96" s="26" t="s">
        <v>94</v>
      </c>
      <c r="D96" s="26"/>
      <c r="E96" s="37">
        <v>1043.4449999999999</v>
      </c>
      <c r="F96" s="28">
        <v>108.01106869</v>
      </c>
      <c r="G96" s="29">
        <v>2.7919799999999999E-3</v>
      </c>
      <c r="H96" s="17"/>
    </row>
    <row r="97" spans="1:8" x14ac:dyDescent="0.2">
      <c r="A97" s="15"/>
      <c r="B97" s="15"/>
      <c r="C97" s="16" t="s">
        <v>11</v>
      </c>
      <c r="D97" s="15"/>
      <c r="E97" s="15" t="s">
        <v>12</v>
      </c>
      <c r="F97" s="24">
        <v>108.01106869</v>
      </c>
      <c r="G97" s="19">
        <v>2.7919799999999999E-3</v>
      </c>
      <c r="H97" s="17" t="s">
        <v>12</v>
      </c>
    </row>
    <row r="98" spans="1:8" x14ac:dyDescent="0.2">
      <c r="A98" s="15"/>
      <c r="B98" s="15"/>
      <c r="C98" s="20"/>
      <c r="D98" s="15"/>
      <c r="E98" s="15"/>
      <c r="F98" s="21"/>
      <c r="G98" s="21"/>
      <c r="H98" s="17" t="str">
        <f>IFERROR(VLOOKUP(B98,'[1]Debt Holding Consolidated'!$C$1:$N$65536,12,FALSE),"")</f>
        <v/>
      </c>
    </row>
    <row r="99" spans="1:8" x14ac:dyDescent="0.2">
      <c r="A99" s="15"/>
      <c r="B99" s="15"/>
      <c r="C99" s="16" t="s">
        <v>95</v>
      </c>
      <c r="D99" s="15"/>
      <c r="E99" s="15"/>
      <c r="F99" s="15"/>
      <c r="G99" s="15"/>
      <c r="H99" s="17" t="str">
        <f>IFERROR(VLOOKUP(B99,'[1]Debt Holding Consolidated'!$C$1:$N$65536,12,FALSE),"")</f>
        <v/>
      </c>
    </row>
    <row r="100" spans="1:8" x14ac:dyDescent="0.2">
      <c r="A100" s="15"/>
      <c r="B100" s="15"/>
      <c r="C100" s="16" t="s">
        <v>96</v>
      </c>
      <c r="D100" s="15"/>
      <c r="E100" s="15"/>
      <c r="F100" s="15"/>
      <c r="G100" s="15"/>
      <c r="H100" s="17" t="str">
        <f>IFERROR(VLOOKUP(B100,'[1]Debt Holding Consolidated'!$C$1:$N$65536,12,FALSE),"")</f>
        <v/>
      </c>
    </row>
    <row r="101" spans="1:8" x14ac:dyDescent="0.2">
      <c r="A101" s="15"/>
      <c r="B101" s="15"/>
      <c r="C101" s="16" t="s">
        <v>11</v>
      </c>
      <c r="D101" s="15"/>
      <c r="E101" s="15" t="s">
        <v>12</v>
      </c>
      <c r="F101" s="18" t="s">
        <v>13</v>
      </c>
      <c r="G101" s="19">
        <v>0</v>
      </c>
      <c r="H101" s="17" t="str">
        <f>IFERROR(VLOOKUP(B101,'[1]Debt Holding Consolidated'!$C$1:$N$65536,12,FALSE),"")</f>
        <v/>
      </c>
    </row>
    <row r="102" spans="1:8" x14ac:dyDescent="0.2">
      <c r="A102" s="15"/>
      <c r="B102" s="15"/>
      <c r="C102" s="20"/>
      <c r="D102" s="15"/>
      <c r="E102" s="15"/>
      <c r="F102" s="21"/>
      <c r="G102" s="21"/>
      <c r="H102" s="17" t="str">
        <f>IFERROR(VLOOKUP(B102,'[1]Debt Holding Consolidated'!$C$1:$N$65536,12,FALSE),"")</f>
        <v/>
      </c>
    </row>
    <row r="103" spans="1:8" x14ac:dyDescent="0.2">
      <c r="A103" s="15"/>
      <c r="B103" s="15"/>
      <c r="C103" s="16" t="s">
        <v>97</v>
      </c>
      <c r="D103" s="15"/>
      <c r="E103" s="15"/>
      <c r="F103" s="21"/>
      <c r="G103" s="21"/>
      <c r="H103" s="17" t="str">
        <f>IFERROR(VLOOKUP(B103,'[1]Debt Holding Consolidated'!$C$1:$N$65536,12,FALSE),"")</f>
        <v/>
      </c>
    </row>
    <row r="104" spans="1:8" x14ac:dyDescent="0.2">
      <c r="A104" s="15"/>
      <c r="B104" s="15"/>
      <c r="C104" s="16" t="s">
        <v>11</v>
      </c>
      <c r="D104" s="15"/>
      <c r="E104" s="15" t="s">
        <v>12</v>
      </c>
      <c r="F104" s="18" t="s">
        <v>13</v>
      </c>
      <c r="G104" s="19">
        <v>0</v>
      </c>
      <c r="H104" s="17" t="str">
        <f>IFERROR(VLOOKUP(B104,'[1]Debt Holding Consolidated'!$C$1:$N$65536,12,FALSE),"")</f>
        <v/>
      </c>
    </row>
    <row r="105" spans="1:8" x14ac:dyDescent="0.2">
      <c r="A105" s="15"/>
      <c r="B105" s="15"/>
      <c r="C105" s="20"/>
      <c r="D105" s="15"/>
      <c r="E105" s="15"/>
      <c r="F105" s="21"/>
      <c r="G105" s="21"/>
      <c r="H105" s="17" t="str">
        <f>IFERROR(VLOOKUP(B105,'[1]Debt Holding Consolidated'!$C$1:$N$65536,12,FALSE),"")</f>
        <v/>
      </c>
    </row>
    <row r="106" spans="1:8" x14ac:dyDescent="0.2">
      <c r="A106" s="30"/>
      <c r="B106" s="26"/>
      <c r="C106" s="26" t="s">
        <v>98</v>
      </c>
      <c r="D106" s="26"/>
      <c r="E106" s="30"/>
      <c r="F106" s="28">
        <f>574.95232864+0.0000245920038223267</f>
        <v>574.95235323200382</v>
      </c>
      <c r="G106" s="29">
        <v>1.4861940000000001E-2</v>
      </c>
      <c r="H106" s="17" t="str">
        <f>IFERROR(VLOOKUP(B106,'[1]Debt Holding Consolidated'!$C$1:$N$65536,12,FALSE),"")</f>
        <v/>
      </c>
    </row>
    <row r="107" spans="1:8" x14ac:dyDescent="0.2">
      <c r="A107" s="20"/>
      <c r="B107" s="20"/>
      <c r="C107" s="16" t="s">
        <v>99</v>
      </c>
      <c r="D107" s="21"/>
      <c r="E107" s="21"/>
      <c r="F107" s="24">
        <f>38686.231036328+0.0000245920038223267</f>
        <v>38686.231060919999</v>
      </c>
      <c r="G107" s="38">
        <v>1.0000000099999999</v>
      </c>
      <c r="H107" s="17" t="str">
        <f>IFERROR(VLOOKUP(B107,'[1]Debt Holding Consolidated'!$C$1:$N$65536,12,FALSE),"")</f>
        <v/>
      </c>
    </row>
    <row r="108" spans="1:8" x14ac:dyDescent="0.2">
      <c r="A108" s="39"/>
      <c r="B108" s="39"/>
      <c r="C108" s="39"/>
      <c r="D108" s="40"/>
      <c r="E108" s="40"/>
      <c r="F108" s="40"/>
      <c r="G108" s="40"/>
    </row>
    <row r="109" spans="1:8" x14ac:dyDescent="0.2">
      <c r="A109" s="41"/>
      <c r="B109" s="113" t="s">
        <v>518</v>
      </c>
      <c r="C109" s="113"/>
      <c r="D109" s="113"/>
      <c r="E109" s="113"/>
      <c r="F109" s="113"/>
      <c r="G109" s="113"/>
      <c r="H109" s="113"/>
    </row>
    <row r="110" spans="1:8" x14ac:dyDescent="0.2">
      <c r="A110" s="41"/>
      <c r="B110" s="113" t="s">
        <v>519</v>
      </c>
      <c r="C110" s="113"/>
      <c r="D110" s="113"/>
      <c r="E110" s="113"/>
      <c r="F110" s="113"/>
      <c r="G110" s="113"/>
      <c r="H110" s="113"/>
    </row>
    <row r="111" spans="1:8" x14ac:dyDescent="0.2">
      <c r="A111" s="41"/>
      <c r="B111" s="113" t="s">
        <v>520</v>
      </c>
      <c r="C111" s="113"/>
      <c r="D111" s="113"/>
      <c r="E111" s="113"/>
      <c r="F111" s="113"/>
      <c r="G111" s="113"/>
      <c r="H111" s="113"/>
    </row>
    <row r="112" spans="1:8" x14ac:dyDescent="0.2">
      <c r="A112" s="41"/>
      <c r="B112" s="41"/>
      <c r="C112" s="41"/>
      <c r="D112" s="43"/>
      <c r="E112" s="43"/>
      <c r="F112" s="43"/>
      <c r="G112" s="43"/>
    </row>
    <row r="113" spans="1:10" x14ac:dyDescent="0.2">
      <c r="A113" s="44"/>
      <c r="B113" s="108" t="s">
        <v>100</v>
      </c>
      <c r="C113" s="109"/>
      <c r="D113" s="110"/>
      <c r="E113" s="45"/>
      <c r="F113" s="46"/>
      <c r="G113" s="46"/>
    </row>
    <row r="114" spans="1:10" ht="25.5" x14ac:dyDescent="0.2">
      <c r="A114" s="44"/>
      <c r="B114" s="111" t="s">
        <v>101</v>
      </c>
      <c r="C114" s="112"/>
      <c r="D114" s="32" t="s">
        <v>536</v>
      </c>
      <c r="E114" s="45"/>
      <c r="F114" s="46"/>
      <c r="G114" s="46"/>
    </row>
    <row r="115" spans="1:10" x14ac:dyDescent="0.2">
      <c r="A115" s="44"/>
      <c r="B115" s="111" t="s">
        <v>103</v>
      </c>
      <c r="C115" s="112"/>
      <c r="D115" s="16" t="s">
        <v>102</v>
      </c>
      <c r="E115" s="45"/>
      <c r="F115" s="46"/>
      <c r="G115" s="46"/>
    </row>
    <row r="116" spans="1:10" x14ac:dyDescent="0.2">
      <c r="A116" s="44"/>
      <c r="B116" s="111" t="s">
        <v>104</v>
      </c>
      <c r="C116" s="112"/>
      <c r="D116" s="21" t="s">
        <v>12</v>
      </c>
      <c r="E116" s="45"/>
      <c r="F116" s="46"/>
      <c r="G116" s="46"/>
    </row>
    <row r="117" spans="1:10" x14ac:dyDescent="0.2">
      <c r="A117" s="47"/>
      <c r="B117" s="48" t="s">
        <v>12</v>
      </c>
      <c r="C117" s="48" t="s">
        <v>535</v>
      </c>
      <c r="D117" s="48" t="s">
        <v>105</v>
      </c>
      <c r="E117" s="47"/>
      <c r="F117" s="47"/>
      <c r="G117" s="47"/>
      <c r="H117" s="49"/>
    </row>
    <row r="118" spans="1:10" x14ac:dyDescent="0.2">
      <c r="A118" s="50"/>
      <c r="B118" s="51" t="s">
        <v>106</v>
      </c>
      <c r="C118" s="52" t="s">
        <v>107</v>
      </c>
      <c r="D118" s="52" t="s">
        <v>108</v>
      </c>
      <c r="E118" s="50"/>
      <c r="F118" s="50"/>
      <c r="G118" s="50"/>
      <c r="J118"/>
    </row>
    <row r="119" spans="1:10" x14ac:dyDescent="0.2">
      <c r="A119" s="50"/>
      <c r="B119" s="26" t="s">
        <v>109</v>
      </c>
      <c r="C119" s="53">
        <v>3445.2999</v>
      </c>
      <c r="D119" s="53">
        <v>3455.8427999999999</v>
      </c>
      <c r="E119" s="50"/>
      <c r="F119" s="54"/>
      <c r="G119" s="55"/>
      <c r="J119"/>
    </row>
    <row r="120" spans="1:10" ht="25.5" x14ac:dyDescent="0.2">
      <c r="A120" s="50"/>
      <c r="B120" s="26" t="s">
        <v>570</v>
      </c>
      <c r="C120" s="53">
        <v>1098.2943</v>
      </c>
      <c r="D120" s="53">
        <v>1101.6551999999999</v>
      </c>
      <c r="E120" s="50"/>
      <c r="F120" s="54"/>
      <c r="G120" s="55"/>
      <c r="J120"/>
    </row>
    <row r="121" spans="1:10" ht="25.5" x14ac:dyDescent="0.2">
      <c r="A121" s="50"/>
      <c r="B121" s="26" t="s">
        <v>571</v>
      </c>
      <c r="C121" s="53">
        <v>1206.3542</v>
      </c>
      <c r="D121" s="53">
        <v>1210.0456999999999</v>
      </c>
      <c r="E121" s="50"/>
      <c r="F121" s="54"/>
      <c r="G121" s="55"/>
      <c r="J121"/>
    </row>
    <row r="122" spans="1:10" x14ac:dyDescent="0.2">
      <c r="A122" s="50"/>
      <c r="B122" s="26" t="s">
        <v>110</v>
      </c>
      <c r="C122" s="53">
        <v>3235.7415999999998</v>
      </c>
      <c r="D122" s="53">
        <v>3244.6568000000002</v>
      </c>
      <c r="E122" s="50"/>
      <c r="F122" s="54"/>
      <c r="G122" s="55"/>
      <c r="J122"/>
    </row>
    <row r="123" spans="1:10" x14ac:dyDescent="0.2">
      <c r="A123" s="50"/>
      <c r="B123" s="26" t="s">
        <v>139</v>
      </c>
      <c r="C123" s="53">
        <v>1253.1144999999999</v>
      </c>
      <c r="D123" s="53">
        <v>1256.5668000000001</v>
      </c>
      <c r="E123" s="50"/>
      <c r="F123" s="54"/>
      <c r="G123" s="55"/>
      <c r="J123"/>
    </row>
    <row r="124" spans="1:10" ht="25.5" x14ac:dyDescent="0.2">
      <c r="A124" s="50"/>
      <c r="B124" s="26" t="s">
        <v>574</v>
      </c>
      <c r="C124" s="53">
        <v>1088.2379000000001</v>
      </c>
      <c r="D124" s="53">
        <v>1091.2361000000001</v>
      </c>
      <c r="E124" s="50"/>
      <c r="F124" s="54"/>
      <c r="G124" s="55"/>
      <c r="J124"/>
    </row>
    <row r="125" spans="1:10" ht="25.5" x14ac:dyDescent="0.2">
      <c r="A125" s="50"/>
      <c r="B125" s="26" t="s">
        <v>575</v>
      </c>
      <c r="C125" s="53">
        <v>1171.9142999999999</v>
      </c>
      <c r="D125" s="53">
        <v>1175.143</v>
      </c>
      <c r="E125" s="50"/>
      <c r="F125" s="54"/>
      <c r="G125" s="55"/>
    </row>
    <row r="126" spans="1:10" x14ac:dyDescent="0.2">
      <c r="A126" s="50"/>
      <c r="B126" s="50"/>
      <c r="C126" s="50"/>
      <c r="D126" s="50"/>
      <c r="E126" s="50"/>
      <c r="F126" s="50"/>
      <c r="G126" s="50"/>
    </row>
    <row r="127" spans="1:10" x14ac:dyDescent="0.2">
      <c r="A127" s="50"/>
      <c r="B127" s="111" t="s">
        <v>578</v>
      </c>
      <c r="C127" s="112"/>
      <c r="D127" s="16" t="s">
        <v>102</v>
      </c>
      <c r="E127" s="50"/>
      <c r="F127" s="50"/>
      <c r="G127" s="50"/>
    </row>
    <row r="128" spans="1:10" x14ac:dyDescent="0.2">
      <c r="A128" s="50"/>
      <c r="B128" s="56"/>
      <c r="C128" s="56"/>
      <c r="D128" s="56"/>
      <c r="E128" s="50"/>
      <c r="F128" s="50"/>
      <c r="G128" s="50"/>
      <c r="J128"/>
    </row>
    <row r="129" spans="1:17" s="58" customFormat="1" x14ac:dyDescent="0.2">
      <c r="A129" s="64"/>
      <c r="B129" s="105" t="s">
        <v>531</v>
      </c>
      <c r="C129" s="106"/>
      <c r="D129" s="32" t="s">
        <v>102</v>
      </c>
      <c r="G129" s="64"/>
      <c r="I129"/>
      <c r="J129"/>
      <c r="K129" s="35"/>
      <c r="L129" s="35"/>
      <c r="M129" s="35"/>
      <c r="N129" s="35"/>
      <c r="O129" s="65"/>
    </row>
    <row r="130" spans="1:17" x14ac:dyDescent="0.2">
      <c r="A130" s="47"/>
      <c r="B130" s="105" t="s">
        <v>532</v>
      </c>
      <c r="C130" s="106"/>
      <c r="D130" s="32" t="s">
        <v>102</v>
      </c>
      <c r="E130" s="57"/>
      <c r="F130" s="47"/>
      <c r="G130" s="47"/>
    </row>
    <row r="131" spans="1:17" x14ac:dyDescent="0.2">
      <c r="A131" s="47"/>
      <c r="B131" s="105" t="s">
        <v>533</v>
      </c>
      <c r="C131" s="106"/>
      <c r="D131" s="32" t="s">
        <v>102</v>
      </c>
      <c r="E131" s="57"/>
      <c r="F131" s="47"/>
      <c r="G131" s="47"/>
    </row>
    <row r="132" spans="1:17" x14ac:dyDescent="0.2">
      <c r="A132" s="47"/>
      <c r="B132" s="105" t="s">
        <v>534</v>
      </c>
      <c r="C132" s="106"/>
      <c r="D132" s="32" t="s">
        <v>102</v>
      </c>
      <c r="E132" s="57"/>
      <c r="F132" s="47"/>
      <c r="G132" s="47"/>
    </row>
    <row r="133" spans="1:17" x14ac:dyDescent="0.2">
      <c r="A133" s="56"/>
      <c r="B133" s="56"/>
      <c r="C133" s="56"/>
      <c r="D133" s="56"/>
      <c r="E133" s="56"/>
      <c r="F133" s="56"/>
      <c r="G133" s="56"/>
    </row>
    <row r="134" spans="1:17" s="58" customFormat="1" x14ac:dyDescent="0.2">
      <c r="B134" s="66" t="s">
        <v>565</v>
      </c>
      <c r="C134" s="66"/>
      <c r="D134" s="66"/>
      <c r="E134" s="66"/>
      <c r="F134" s="66"/>
      <c r="G134" s="66"/>
      <c r="H134" s="66"/>
      <c r="I134"/>
      <c r="J134" s="11"/>
      <c r="K134" s="35"/>
      <c r="L134" s="35"/>
      <c r="M134" s="35"/>
      <c r="N134" s="35"/>
      <c r="O134" s="65"/>
    </row>
    <row r="135" spans="1:17" s="58" customFormat="1" x14ac:dyDescent="0.2">
      <c r="B135" s="67"/>
      <c r="C135" s="67"/>
      <c r="D135" s="67"/>
      <c r="E135" s="67"/>
      <c r="F135" s="67"/>
      <c r="G135" s="67"/>
      <c r="H135" s="67"/>
      <c r="I135"/>
      <c r="J135" s="11"/>
      <c r="K135" s="35"/>
      <c r="L135" s="35"/>
      <c r="M135" s="35"/>
      <c r="N135" s="35"/>
      <c r="O135" s="65"/>
    </row>
    <row r="136" spans="1:17" s="58" customFormat="1" ht="102" x14ac:dyDescent="0.2">
      <c r="A136" s="68"/>
      <c r="B136" s="69" t="s">
        <v>537</v>
      </c>
      <c r="C136" s="69" t="s">
        <v>538</v>
      </c>
      <c r="D136" s="69" t="s">
        <v>539</v>
      </c>
      <c r="E136" s="69" t="s">
        <v>540</v>
      </c>
      <c r="F136" s="69" t="s">
        <v>541</v>
      </c>
      <c r="G136" s="67"/>
      <c r="H136" s="67"/>
      <c r="I136"/>
      <c r="J136" s="11"/>
      <c r="K136" s="35"/>
      <c r="L136" s="35"/>
      <c r="M136" s="35"/>
      <c r="N136" s="35"/>
      <c r="O136" s="65"/>
    </row>
    <row r="137" spans="1:17" s="58" customFormat="1" x14ac:dyDescent="0.2">
      <c r="A137" s="70"/>
      <c r="B137" s="71" t="s">
        <v>542</v>
      </c>
      <c r="C137" s="71" t="s">
        <v>543</v>
      </c>
      <c r="D137" s="8">
        <v>0</v>
      </c>
      <c r="E137" s="9">
        <v>0</v>
      </c>
      <c r="F137" s="72">
        <v>300</v>
      </c>
      <c r="G137" s="67"/>
      <c r="H137" s="67"/>
      <c r="I137"/>
      <c r="J137" s="11"/>
      <c r="K137" s="35"/>
      <c r="L137" s="35"/>
      <c r="M137" s="35"/>
      <c r="N137" s="35"/>
      <c r="O137" s="65"/>
    </row>
    <row r="138" spans="1:17" s="58" customFormat="1" x14ac:dyDescent="0.2">
      <c r="A138" s="73"/>
      <c r="B138" s="73"/>
      <c r="C138" s="73"/>
      <c r="D138" s="73"/>
      <c r="E138" s="73"/>
      <c r="F138" s="73"/>
      <c r="G138" s="73"/>
      <c r="I138"/>
      <c r="J138" s="11"/>
      <c r="K138" s="35"/>
      <c r="L138" s="35"/>
      <c r="M138" s="35"/>
      <c r="N138" s="35"/>
      <c r="O138" s="65"/>
    </row>
    <row r="139" spans="1:17" s="58" customFormat="1" x14ac:dyDescent="0.2">
      <c r="B139" s="118" t="s">
        <v>523</v>
      </c>
      <c r="C139" s="119"/>
      <c r="D139" s="120"/>
      <c r="I139"/>
      <c r="J139" s="11"/>
      <c r="K139" s="35"/>
      <c r="L139" s="35"/>
      <c r="M139" s="35"/>
      <c r="N139" s="35"/>
      <c r="O139" s="65"/>
    </row>
    <row r="140" spans="1:17" s="58" customFormat="1" ht="51" x14ac:dyDescent="0.2">
      <c r="B140" s="121" t="s">
        <v>524</v>
      </c>
      <c r="C140" s="121"/>
      <c r="D140" s="59" t="s">
        <v>188</v>
      </c>
      <c r="I140"/>
      <c r="J140" s="11"/>
      <c r="K140" s="35"/>
      <c r="L140" s="35"/>
      <c r="M140" s="35"/>
      <c r="N140" s="35"/>
      <c r="O140" s="65"/>
    </row>
    <row r="141" spans="1:17" s="58" customFormat="1" x14ac:dyDescent="0.2">
      <c r="B141" s="114" t="s">
        <v>525</v>
      </c>
      <c r="C141" s="114"/>
      <c r="D141" s="60"/>
      <c r="I141"/>
      <c r="J141" s="11"/>
      <c r="K141" s="35"/>
      <c r="L141" s="35"/>
      <c r="M141" s="35"/>
      <c r="N141" s="35"/>
      <c r="O141" s="65"/>
    </row>
    <row r="142" spans="1:17" s="58" customFormat="1" x14ac:dyDescent="0.2">
      <c r="B142" s="114"/>
      <c r="C142" s="114"/>
      <c r="D142" s="61"/>
      <c r="I142"/>
      <c r="J142" s="11"/>
      <c r="K142" s="35"/>
      <c r="L142" s="35"/>
      <c r="M142" s="35"/>
      <c r="N142" s="35"/>
      <c r="O142" s="65"/>
    </row>
    <row r="143" spans="1:17" s="58" customFormat="1" x14ac:dyDescent="0.2">
      <c r="B143" s="114" t="s">
        <v>526</v>
      </c>
      <c r="C143" s="114"/>
      <c r="D143" s="62">
        <v>7.7801280008434945</v>
      </c>
      <c r="I143"/>
      <c r="J143" s="11"/>
      <c r="K143" s="35"/>
      <c r="L143" s="35"/>
      <c r="M143" s="35"/>
      <c r="N143" s="35"/>
      <c r="O143" s="65"/>
    </row>
    <row r="144" spans="1:17" s="58" customFormat="1" x14ac:dyDescent="0.2">
      <c r="B144" s="114"/>
      <c r="C144" s="114"/>
      <c r="D144" s="61"/>
      <c r="I144"/>
      <c r="J144" s="11"/>
      <c r="K144" s="35"/>
      <c r="L144" s="35"/>
      <c r="M144" s="35"/>
      <c r="N144" s="35"/>
      <c r="O144" s="65"/>
      <c r="P144"/>
      <c r="Q144"/>
    </row>
    <row r="145" spans="2:20" s="58" customFormat="1" x14ac:dyDescent="0.2">
      <c r="B145" s="114" t="s">
        <v>527</v>
      </c>
      <c r="C145" s="114"/>
      <c r="D145" s="62">
        <v>1.0014080026420147</v>
      </c>
      <c r="I145"/>
      <c r="J145" s="11"/>
      <c r="K145" s="35"/>
      <c r="L145" s="35"/>
      <c r="M145" s="35"/>
      <c r="N145" s="35"/>
      <c r="O145" s="65"/>
      <c r="P145"/>
      <c r="Q145"/>
    </row>
    <row r="146" spans="2:20" s="58" customFormat="1" x14ac:dyDescent="0.2">
      <c r="B146" s="114" t="s">
        <v>528</v>
      </c>
      <c r="C146" s="114"/>
      <c r="D146" s="62">
        <v>1.1855235239855797</v>
      </c>
      <c r="I146"/>
      <c r="J146" s="11"/>
      <c r="K146" s="35"/>
      <c r="L146" s="35"/>
      <c r="M146" s="35"/>
      <c r="N146" s="35"/>
      <c r="O146"/>
      <c r="P146"/>
      <c r="Q146"/>
    </row>
    <row r="147" spans="2:20" s="58" customFormat="1" x14ac:dyDescent="0.2">
      <c r="B147" s="114"/>
      <c r="C147" s="114"/>
      <c r="D147" s="61"/>
      <c r="I147"/>
      <c r="J147" s="11"/>
      <c r="K147" s="35"/>
      <c r="L147" s="35"/>
      <c r="M147" s="35"/>
      <c r="N147" s="35"/>
      <c r="O147"/>
      <c r="P147"/>
      <c r="Q147"/>
    </row>
    <row r="148" spans="2:20" s="58" customFormat="1" ht="25.5" x14ac:dyDescent="0.2">
      <c r="B148" s="114" t="s">
        <v>529</v>
      </c>
      <c r="C148" s="114"/>
      <c r="D148" s="63" t="s">
        <v>564</v>
      </c>
      <c r="I148"/>
      <c r="J148" s="11"/>
      <c r="K148" s="35"/>
      <c r="L148" s="35"/>
      <c r="M148" s="35"/>
      <c r="N148" s="35"/>
      <c r="O148"/>
      <c r="P148"/>
      <c r="Q148"/>
    </row>
    <row r="149" spans="2:20" s="58" customFormat="1" x14ac:dyDescent="0.2">
      <c r="B149" s="115" t="s">
        <v>530</v>
      </c>
      <c r="C149" s="117"/>
      <c r="D149" s="116"/>
      <c r="I149"/>
      <c r="J149" s="11"/>
      <c r="K149" s="35"/>
      <c r="L149" s="35"/>
      <c r="M149" s="35"/>
      <c r="N149" s="35"/>
      <c r="O149"/>
      <c r="P149"/>
      <c r="Q149"/>
      <c r="R149"/>
      <c r="S149"/>
      <c r="T149"/>
    </row>
    <row r="151" spans="2:20" x14ac:dyDescent="0.2">
      <c r="I151" s="35"/>
    </row>
    <row r="153" spans="2:20" x14ac:dyDescent="0.2">
      <c r="I153" s="35"/>
    </row>
    <row r="157" spans="2:20" ht="15" x14ac:dyDescent="0.25">
      <c r="I157" s="74"/>
    </row>
    <row r="160" spans="2:20" x14ac:dyDescent="0.2">
      <c r="I160" s="35"/>
    </row>
    <row r="161" spans="9:9" x14ac:dyDescent="0.2">
      <c r="I161" s="35"/>
    </row>
    <row r="162" spans="9:9" x14ac:dyDescent="0.2">
      <c r="I162" s="35"/>
    </row>
    <row r="163" spans="9:9" x14ac:dyDescent="0.2">
      <c r="I163" s="35"/>
    </row>
    <row r="164" spans="9:9" x14ac:dyDescent="0.2">
      <c r="I164" s="35"/>
    </row>
  </sheetData>
  <mergeCells count="26">
    <mergeCell ref="B149:D149"/>
    <mergeCell ref="B144:C144"/>
    <mergeCell ref="B145:C145"/>
    <mergeCell ref="B146:C146"/>
    <mergeCell ref="B147:C147"/>
    <mergeCell ref="B148:C148"/>
    <mergeCell ref="B139:D139"/>
    <mergeCell ref="B140:C140"/>
    <mergeCell ref="B141:C141"/>
    <mergeCell ref="B142:C142"/>
    <mergeCell ref="B143:C143"/>
    <mergeCell ref="B132:C132"/>
    <mergeCell ref="A1:H1"/>
    <mergeCell ref="A2:H2"/>
    <mergeCell ref="A3:H3"/>
    <mergeCell ref="B113:D113"/>
    <mergeCell ref="B114:C114"/>
    <mergeCell ref="B115:C115"/>
    <mergeCell ref="B116:C116"/>
    <mergeCell ref="B127:C127"/>
    <mergeCell ref="B131:C131"/>
    <mergeCell ref="B109:H109"/>
    <mergeCell ref="B110:H110"/>
    <mergeCell ref="B111:H111"/>
    <mergeCell ref="B129:C129"/>
    <mergeCell ref="B130:C130"/>
  </mergeCells>
  <hyperlinks>
    <hyperlink ref="I1" location="Index!B5" display="Index" xr:uid="{BF94E7B8-2BA7-480B-81BB-8F50054B27A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AFC59-B586-48E2-B1C0-CB07D4E51AAD}">
  <sheetPr>
    <outlinePr summaryBelow="0" summaryRight="0"/>
  </sheetPr>
  <dimension ref="A1:R199"/>
  <sheetViews>
    <sheetView showGridLines="0" workbookViewId="0">
      <selection activeCell="A2" sqref="A2:H2"/>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10.42578125" bestFit="1" customWidth="1"/>
    <col min="6" max="6" width="10.140625" bestFit="1" customWidth="1"/>
    <col min="7" max="7" width="14" bestFit="1" customWidth="1"/>
    <col min="8" max="8" width="5.42578125" bestFit="1" customWidth="1"/>
    <col min="9" max="9" width="8.42578125" customWidth="1"/>
    <col min="10" max="10" width="50.7109375" style="11" customWidth="1"/>
  </cols>
  <sheetData>
    <row r="1" spans="1:11" ht="15" x14ac:dyDescent="0.2">
      <c r="A1" s="107" t="s">
        <v>0</v>
      </c>
      <c r="B1" s="107"/>
      <c r="C1" s="107"/>
      <c r="D1" s="107"/>
      <c r="E1" s="107"/>
      <c r="F1" s="107"/>
      <c r="G1" s="107"/>
      <c r="H1" s="107"/>
      <c r="I1" s="1" t="s">
        <v>587</v>
      </c>
      <c r="K1" s="1"/>
    </row>
    <row r="2" spans="1:11" ht="15" x14ac:dyDescent="0.2">
      <c r="A2" s="107" t="s">
        <v>237</v>
      </c>
      <c r="B2" s="107"/>
      <c r="C2" s="107"/>
      <c r="D2" s="107"/>
      <c r="E2" s="107"/>
      <c r="F2" s="107"/>
      <c r="G2" s="107"/>
      <c r="H2" s="107"/>
      <c r="J2" s="12" t="s">
        <v>588</v>
      </c>
    </row>
    <row r="3" spans="1:11" ht="15" x14ac:dyDescent="0.2">
      <c r="A3" s="107" t="s">
        <v>501</v>
      </c>
      <c r="B3" s="107"/>
      <c r="C3" s="107"/>
      <c r="D3" s="107"/>
      <c r="E3" s="107"/>
      <c r="F3" s="107"/>
      <c r="G3" s="107"/>
      <c r="H3" s="107"/>
    </row>
    <row r="4" spans="1:11" s="11" customFormat="1" ht="30" x14ac:dyDescent="0.2">
      <c r="A4" s="13" t="s">
        <v>2</v>
      </c>
      <c r="B4" s="13" t="s">
        <v>3</v>
      </c>
      <c r="C4" s="13" t="s">
        <v>4</v>
      </c>
      <c r="D4" s="13" t="s">
        <v>5</v>
      </c>
      <c r="E4" s="13" t="s">
        <v>6</v>
      </c>
      <c r="F4" s="13" t="s">
        <v>7</v>
      </c>
      <c r="G4" s="13" t="s">
        <v>8</v>
      </c>
      <c r="H4" s="14" t="s">
        <v>516</v>
      </c>
    </row>
    <row r="5" spans="1:11" x14ac:dyDescent="0.2">
      <c r="A5" s="15"/>
      <c r="B5" s="15"/>
      <c r="C5" s="16" t="s">
        <v>9</v>
      </c>
      <c r="D5" s="15"/>
      <c r="E5" s="15"/>
      <c r="F5" s="15"/>
      <c r="G5" s="15"/>
      <c r="H5" s="17" t="str">
        <f>IFERROR(VLOOKUP(B5,'[1]Debt Holding Consolidated'!$C$1:$N$65536,12,FALSE),"")</f>
        <v/>
      </c>
    </row>
    <row r="6" spans="1:11" x14ac:dyDescent="0.2">
      <c r="A6" s="15"/>
      <c r="B6" s="15"/>
      <c r="C6" s="16" t="s">
        <v>10</v>
      </c>
      <c r="D6" s="15"/>
      <c r="E6" s="15"/>
      <c r="F6" s="15"/>
      <c r="G6" s="15"/>
      <c r="H6" s="17" t="str">
        <f>IFERROR(VLOOKUP(B6,'[1]Debt Holding Consolidated'!$C$1:$N$65536,12,FALSE),"")</f>
        <v/>
      </c>
    </row>
    <row r="7" spans="1:11" x14ac:dyDescent="0.2">
      <c r="A7" s="15"/>
      <c r="B7" s="15"/>
      <c r="C7" s="16" t="s">
        <v>11</v>
      </c>
      <c r="D7" s="15"/>
      <c r="E7" s="15" t="s">
        <v>12</v>
      </c>
      <c r="F7" s="18" t="s">
        <v>13</v>
      </c>
      <c r="G7" s="19">
        <v>0</v>
      </c>
      <c r="H7" s="17" t="str">
        <f>IFERROR(VLOOKUP(B7,'[1]Debt Holding Consolidated'!$C$1:$N$65536,12,FALSE),"")</f>
        <v/>
      </c>
    </row>
    <row r="8" spans="1:11" x14ac:dyDescent="0.2">
      <c r="A8" s="15"/>
      <c r="B8" s="15"/>
      <c r="C8" s="20"/>
      <c r="D8" s="15"/>
      <c r="E8" s="15"/>
      <c r="F8" s="21"/>
      <c r="G8" s="21"/>
      <c r="H8" s="17" t="str">
        <f>IFERROR(VLOOKUP(B8,'[1]Debt Holding Consolidated'!$C$1:$N$65536,12,FALSE),"")</f>
        <v/>
      </c>
    </row>
    <row r="9" spans="1:11" x14ac:dyDescent="0.2">
      <c r="A9" s="15"/>
      <c r="B9" s="15"/>
      <c r="C9" s="16" t="s">
        <v>14</v>
      </c>
      <c r="D9" s="15"/>
      <c r="E9" s="15"/>
      <c r="F9" s="15"/>
      <c r="G9" s="15"/>
      <c r="H9" s="17" t="str">
        <f>IFERROR(VLOOKUP(B9,'[1]Debt Holding Consolidated'!$C$1:$N$65536,12,FALSE),"")</f>
        <v/>
      </c>
    </row>
    <row r="10" spans="1:11" x14ac:dyDescent="0.2">
      <c r="A10" s="15"/>
      <c r="B10" s="15"/>
      <c r="C10" s="16" t="s">
        <v>11</v>
      </c>
      <c r="D10" s="15"/>
      <c r="E10" s="15" t="s">
        <v>12</v>
      </c>
      <c r="F10" s="18" t="s">
        <v>13</v>
      </c>
      <c r="G10" s="19">
        <v>0</v>
      </c>
      <c r="H10" s="17" t="str">
        <f>IFERROR(VLOOKUP(B10,'[1]Debt Holding Consolidated'!$C$1:$N$65536,12,FALSE),"")</f>
        <v/>
      </c>
    </row>
    <row r="11" spans="1:11" x14ac:dyDescent="0.2">
      <c r="A11" s="15"/>
      <c r="B11" s="15"/>
      <c r="C11" s="20"/>
      <c r="D11" s="15"/>
      <c r="E11" s="15"/>
      <c r="F11" s="21"/>
      <c r="G11" s="21"/>
      <c r="H11" s="17" t="str">
        <f>IFERROR(VLOOKUP(B11,'[1]Debt Holding Consolidated'!$C$1:$N$65536,12,FALSE),"")</f>
        <v/>
      </c>
    </row>
    <row r="12" spans="1:11" ht="15" x14ac:dyDescent="0.2">
      <c r="A12" s="15"/>
      <c r="B12" s="15"/>
      <c r="C12" s="16" t="s">
        <v>15</v>
      </c>
      <c r="D12" s="15"/>
      <c r="E12" s="15"/>
      <c r="F12" s="15"/>
      <c r="G12" s="15"/>
      <c r="H12" s="17" t="str">
        <f>IFERROR(VLOOKUP(B12,'[1]Debt Holding Consolidated'!$C$1:$N$65536,12,FALSE),"")</f>
        <v/>
      </c>
      <c r="J12" s="22"/>
    </row>
    <row r="13" spans="1:11" x14ac:dyDescent="0.2">
      <c r="A13" s="15"/>
      <c r="B13" s="15"/>
      <c r="C13" s="16" t="s">
        <v>11</v>
      </c>
      <c r="D13" s="15"/>
      <c r="E13" s="15" t="s">
        <v>12</v>
      </c>
      <c r="F13" s="18" t="s">
        <v>13</v>
      </c>
      <c r="G13" s="19">
        <v>0</v>
      </c>
      <c r="H13" s="17" t="str">
        <f>IFERROR(VLOOKUP(B13,'[1]Debt Holding Consolidated'!$C$1:$N$65536,12,FALSE),"")</f>
        <v/>
      </c>
      <c r="J13" s="23"/>
    </row>
    <row r="14" spans="1:11" x14ac:dyDescent="0.2">
      <c r="A14" s="15"/>
      <c r="B14" s="15"/>
      <c r="C14" s="20"/>
      <c r="D14" s="15"/>
      <c r="E14" s="15"/>
      <c r="F14" s="21"/>
      <c r="G14" s="21"/>
      <c r="H14" s="17" t="str">
        <f>IFERROR(VLOOKUP(B14,'[1]Debt Holding Consolidated'!$C$1:$N$65536,12,FALSE),"")</f>
        <v/>
      </c>
      <c r="J14" s="23"/>
    </row>
    <row r="15" spans="1:11" x14ac:dyDescent="0.2">
      <c r="A15" s="15"/>
      <c r="B15" s="15"/>
      <c r="C15" s="16" t="s">
        <v>16</v>
      </c>
      <c r="D15" s="15"/>
      <c r="E15" s="15"/>
      <c r="F15" s="15"/>
      <c r="G15" s="15"/>
      <c r="H15" s="17" t="str">
        <f>IFERROR(VLOOKUP(B15,'[1]Debt Holding Consolidated'!$C$1:$N$65536,12,FALSE),"")</f>
        <v/>
      </c>
      <c r="J15" s="11" t="s">
        <v>596</v>
      </c>
    </row>
    <row r="16" spans="1:11" x14ac:dyDescent="0.2">
      <c r="A16" s="15"/>
      <c r="B16" s="15"/>
      <c r="C16" s="16" t="s">
        <v>11</v>
      </c>
      <c r="D16" s="15"/>
      <c r="E16" s="15" t="s">
        <v>12</v>
      </c>
      <c r="F16" s="18" t="s">
        <v>13</v>
      </c>
      <c r="G16" s="19">
        <v>0</v>
      </c>
      <c r="H16" s="17" t="str">
        <f>IFERROR(VLOOKUP(B16,'[1]Debt Holding Consolidated'!$C$1:$N$65536,12,FALSE),"")</f>
        <v/>
      </c>
    </row>
    <row r="17" spans="1:10" x14ac:dyDescent="0.2">
      <c r="A17" s="15"/>
      <c r="B17" s="15"/>
      <c r="C17" s="20"/>
      <c r="D17" s="15"/>
      <c r="E17" s="15"/>
      <c r="F17" s="21"/>
      <c r="G17" s="21"/>
      <c r="H17" s="17" t="str">
        <f>IFERROR(VLOOKUP(B17,'[1]Debt Holding Consolidated'!$C$1:$N$65536,12,FALSE),"")</f>
        <v/>
      </c>
    </row>
    <row r="18" spans="1:10" x14ac:dyDescent="0.2">
      <c r="A18" s="15"/>
      <c r="B18" s="15"/>
      <c r="C18" s="16" t="s">
        <v>17</v>
      </c>
      <c r="D18" s="15"/>
      <c r="E18" s="15"/>
      <c r="F18" s="21"/>
      <c r="G18" s="21"/>
      <c r="H18" s="17" t="str">
        <f>IFERROR(VLOOKUP(B18,'[1]Debt Holding Consolidated'!$C$1:$N$65536,12,FALSE),"")</f>
        <v/>
      </c>
    </row>
    <row r="19" spans="1:10" x14ac:dyDescent="0.2">
      <c r="A19" s="15"/>
      <c r="B19" s="15"/>
      <c r="C19" s="16" t="s">
        <v>11</v>
      </c>
      <c r="D19" s="15"/>
      <c r="E19" s="15" t="s">
        <v>12</v>
      </c>
      <c r="F19" s="18" t="s">
        <v>13</v>
      </c>
      <c r="G19" s="19">
        <v>0</v>
      </c>
      <c r="H19" s="17" t="str">
        <f>IFERROR(VLOOKUP(B19,'[1]Debt Holding Consolidated'!$C$1:$N$65536,12,FALSE),"")</f>
        <v/>
      </c>
    </row>
    <row r="20" spans="1:10" x14ac:dyDescent="0.2">
      <c r="A20" s="15"/>
      <c r="B20" s="15"/>
      <c r="C20" s="20"/>
      <c r="D20" s="15"/>
      <c r="E20" s="15"/>
      <c r="F20" s="21"/>
      <c r="G20" s="21"/>
      <c r="H20" s="17" t="str">
        <f>IFERROR(VLOOKUP(B20,'[1]Debt Holding Consolidated'!$C$1:$N$65536,12,FALSE),"")</f>
        <v/>
      </c>
    </row>
    <row r="21" spans="1:10" x14ac:dyDescent="0.2">
      <c r="A21" s="15"/>
      <c r="B21" s="15"/>
      <c r="C21" s="16" t="s">
        <v>18</v>
      </c>
      <c r="D21" s="15"/>
      <c r="E21" s="15"/>
      <c r="F21" s="21"/>
      <c r="G21" s="21"/>
      <c r="H21" s="17" t="str">
        <f>IFERROR(VLOOKUP(B21,'[1]Debt Holding Consolidated'!$C$1:$N$65536,12,FALSE),"")</f>
        <v/>
      </c>
    </row>
    <row r="22" spans="1:10" ht="15" x14ac:dyDescent="0.2">
      <c r="A22" s="15"/>
      <c r="B22" s="15"/>
      <c r="C22" s="16" t="s">
        <v>11</v>
      </c>
      <c r="D22" s="15"/>
      <c r="E22" s="15" t="s">
        <v>12</v>
      </c>
      <c r="F22" s="18" t="s">
        <v>13</v>
      </c>
      <c r="G22" s="19">
        <v>0</v>
      </c>
      <c r="H22" s="17" t="str">
        <f>IFERROR(VLOOKUP(B22,'[1]Debt Holding Consolidated'!$C$1:$N$65536,12,FALSE),"")</f>
        <v/>
      </c>
      <c r="J22" s="22"/>
    </row>
    <row r="23" spans="1:10" x14ac:dyDescent="0.2">
      <c r="A23" s="15"/>
      <c r="B23" s="15"/>
      <c r="C23" s="20"/>
      <c r="D23" s="15"/>
      <c r="E23" s="15"/>
      <c r="F23" s="21"/>
      <c r="G23" s="21"/>
      <c r="H23" s="17" t="str">
        <f>IFERROR(VLOOKUP(B23,'[1]Debt Holding Consolidated'!$C$1:$N$65536,12,FALSE),"")</f>
        <v/>
      </c>
      <c r="J23" s="23"/>
    </row>
    <row r="24" spans="1:10" x14ac:dyDescent="0.2">
      <c r="A24" s="15"/>
      <c r="B24" s="15"/>
      <c r="C24" s="16" t="s">
        <v>19</v>
      </c>
      <c r="D24" s="15"/>
      <c r="E24" s="15"/>
      <c r="F24" s="24">
        <v>0</v>
      </c>
      <c r="G24" s="19">
        <v>0</v>
      </c>
      <c r="H24" s="17" t="str">
        <f>IFERROR(VLOOKUP(B24,'[1]Debt Holding Consolidated'!$C$1:$N$65536,12,FALSE),"")</f>
        <v/>
      </c>
    </row>
    <row r="25" spans="1:10" x14ac:dyDescent="0.2">
      <c r="A25" s="15"/>
      <c r="B25" s="15"/>
      <c r="C25" s="20"/>
      <c r="D25" s="15"/>
      <c r="E25" s="15"/>
      <c r="F25" s="21"/>
      <c r="G25" s="21"/>
      <c r="H25" s="17" t="str">
        <f>IFERROR(VLOOKUP(B25,'[1]Debt Holding Consolidated'!$C$1:$N$65536,12,FALSE),"")</f>
        <v/>
      </c>
    </row>
    <row r="26" spans="1:10" x14ac:dyDescent="0.2">
      <c r="A26" s="15"/>
      <c r="B26" s="15"/>
      <c r="C26" s="16" t="s">
        <v>20</v>
      </c>
      <c r="D26" s="15"/>
      <c r="E26" s="15"/>
      <c r="F26" s="21"/>
      <c r="G26" s="21"/>
      <c r="H26" s="17" t="str">
        <f>IFERROR(VLOOKUP(B26,'[1]Debt Holding Consolidated'!$C$1:$N$65536,12,FALSE),"")</f>
        <v/>
      </c>
    </row>
    <row r="27" spans="1:10" x14ac:dyDescent="0.2">
      <c r="A27" s="15"/>
      <c r="B27" s="15"/>
      <c r="C27" s="16" t="s">
        <v>10</v>
      </c>
      <c r="D27" s="15"/>
      <c r="E27" s="15"/>
      <c r="F27" s="21"/>
      <c r="G27" s="21"/>
      <c r="H27" s="17" t="str">
        <f>IFERROR(VLOOKUP(B27,'[1]Debt Holding Consolidated'!$C$1:$N$65536,12,FALSE),"")</f>
        <v/>
      </c>
    </row>
    <row r="28" spans="1:10" ht="25.5" x14ac:dyDescent="0.2">
      <c r="A28" s="25">
        <v>1</v>
      </c>
      <c r="B28" s="26" t="s">
        <v>238</v>
      </c>
      <c r="C28" s="26" t="s">
        <v>239</v>
      </c>
      <c r="D28" s="26" t="s">
        <v>23</v>
      </c>
      <c r="E28" s="27">
        <v>500</v>
      </c>
      <c r="F28" s="28">
        <v>4992.33</v>
      </c>
      <c r="G28" s="29">
        <v>8.5471200000000001E-3</v>
      </c>
      <c r="H28" s="17">
        <f>IFERROR(VLOOKUP(B28,'[1]Debt Holding Consolidated'!$C$1:$N$65536,12,FALSE),"")</f>
        <v>7.3324999999999996</v>
      </c>
      <c r="J28" s="23" t="s">
        <v>597</v>
      </c>
    </row>
    <row r="29" spans="1:10" x14ac:dyDescent="0.2">
      <c r="A29" s="15"/>
      <c r="B29" s="15"/>
      <c r="C29" s="16" t="s">
        <v>11</v>
      </c>
      <c r="D29" s="15"/>
      <c r="E29" s="15" t="s">
        <v>12</v>
      </c>
      <c r="F29" s="24">
        <v>4992.33</v>
      </c>
      <c r="G29" s="19">
        <v>8.5471200000000001E-3</v>
      </c>
      <c r="H29" s="17" t="str">
        <f>IFERROR(VLOOKUP(B29,'[1]Debt Holding Consolidated'!$C$1:$N$65536,12,FALSE),"")</f>
        <v/>
      </c>
    </row>
    <row r="30" spans="1:10" x14ac:dyDescent="0.2">
      <c r="A30" s="15"/>
      <c r="B30" s="15"/>
      <c r="C30" s="20"/>
      <c r="D30" s="15"/>
      <c r="E30" s="15"/>
      <c r="F30" s="21"/>
      <c r="G30" s="21"/>
      <c r="H30" s="17" t="str">
        <f>IFERROR(VLOOKUP(B30,'[1]Debt Holding Consolidated'!$C$1:$N$65536,12,FALSE),"")</f>
        <v/>
      </c>
    </row>
    <row r="31" spans="1:10" x14ac:dyDescent="0.2">
      <c r="A31" s="15"/>
      <c r="B31" s="15"/>
      <c r="C31" s="16" t="s">
        <v>67</v>
      </c>
      <c r="D31" s="15"/>
      <c r="E31" s="15"/>
      <c r="F31" s="15"/>
      <c r="G31" s="15"/>
      <c r="H31" s="17" t="str">
        <f>IFERROR(VLOOKUP(B31,'[1]Debt Holding Consolidated'!$C$1:$N$65536,12,FALSE),"")</f>
        <v/>
      </c>
    </row>
    <row r="32" spans="1:10" x14ac:dyDescent="0.2">
      <c r="A32" s="15"/>
      <c r="B32" s="15"/>
      <c r="C32" s="16" t="s">
        <v>11</v>
      </c>
      <c r="D32" s="15"/>
      <c r="E32" s="15" t="s">
        <v>12</v>
      </c>
      <c r="F32" s="18" t="s">
        <v>13</v>
      </c>
      <c r="G32" s="19">
        <v>0</v>
      </c>
      <c r="H32" s="17" t="str">
        <f>IFERROR(VLOOKUP(B32,'[1]Debt Holding Consolidated'!$C$1:$N$65536,12,FALSE),"")</f>
        <v/>
      </c>
    </row>
    <row r="33" spans="1:8" x14ac:dyDescent="0.2">
      <c r="A33" s="15"/>
      <c r="B33" s="15"/>
      <c r="C33" s="20"/>
      <c r="D33" s="15"/>
      <c r="E33" s="15"/>
      <c r="F33" s="21"/>
      <c r="G33" s="21"/>
      <c r="H33" s="17" t="str">
        <f>IFERROR(VLOOKUP(B33,'[1]Debt Holding Consolidated'!$C$1:$N$65536,12,FALSE),"")</f>
        <v/>
      </c>
    </row>
    <row r="34" spans="1:8" x14ac:dyDescent="0.2">
      <c r="A34" s="15"/>
      <c r="B34" s="15"/>
      <c r="C34" s="16" t="s">
        <v>68</v>
      </c>
      <c r="D34" s="15"/>
      <c r="E34" s="15"/>
      <c r="F34" s="15"/>
      <c r="G34" s="15"/>
      <c r="H34" s="17" t="str">
        <f>IFERROR(VLOOKUP(B34,'[1]Debt Holding Consolidated'!$C$1:$N$65536,12,FALSE),"")</f>
        <v/>
      </c>
    </row>
    <row r="35" spans="1:8" x14ac:dyDescent="0.2">
      <c r="A35" s="15"/>
      <c r="B35" s="15"/>
      <c r="C35" s="16" t="s">
        <v>11</v>
      </c>
      <c r="D35" s="15"/>
      <c r="E35" s="15" t="s">
        <v>12</v>
      </c>
      <c r="F35" s="18" t="s">
        <v>13</v>
      </c>
      <c r="G35" s="19">
        <v>0</v>
      </c>
      <c r="H35" s="17" t="str">
        <f>IFERROR(VLOOKUP(B35,'[1]Debt Holding Consolidated'!$C$1:$N$65536,12,FALSE),"")</f>
        <v/>
      </c>
    </row>
    <row r="36" spans="1:8" x14ac:dyDescent="0.2">
      <c r="A36" s="15"/>
      <c r="B36" s="15"/>
      <c r="C36" s="20"/>
      <c r="D36" s="15"/>
      <c r="E36" s="15"/>
      <c r="F36" s="21"/>
      <c r="G36" s="21"/>
      <c r="H36" s="17" t="str">
        <f>IFERROR(VLOOKUP(B36,'[1]Debt Holding Consolidated'!$C$1:$N$65536,12,FALSE),"")</f>
        <v/>
      </c>
    </row>
    <row r="37" spans="1:8" x14ac:dyDescent="0.2">
      <c r="A37" s="15"/>
      <c r="B37" s="15"/>
      <c r="C37" s="16" t="s">
        <v>82</v>
      </c>
      <c r="D37" s="15"/>
      <c r="E37" s="15"/>
      <c r="F37" s="21"/>
      <c r="G37" s="21"/>
      <c r="H37" s="17" t="str">
        <f>IFERROR(VLOOKUP(B37,'[1]Debt Holding Consolidated'!$C$1:$N$65536,12,FALSE),"")</f>
        <v/>
      </c>
    </row>
    <row r="38" spans="1:8" x14ac:dyDescent="0.2">
      <c r="A38" s="15"/>
      <c r="B38" s="15"/>
      <c r="C38" s="16" t="s">
        <v>11</v>
      </c>
      <c r="D38" s="15"/>
      <c r="E38" s="15" t="s">
        <v>12</v>
      </c>
      <c r="F38" s="18" t="s">
        <v>13</v>
      </c>
      <c r="G38" s="19">
        <v>0</v>
      </c>
      <c r="H38" s="17" t="str">
        <f>IFERROR(VLOOKUP(B38,'[1]Debt Holding Consolidated'!$C$1:$N$65536,12,FALSE),"")</f>
        <v/>
      </c>
    </row>
    <row r="39" spans="1:8" x14ac:dyDescent="0.2">
      <c r="A39" s="15"/>
      <c r="B39" s="15"/>
      <c r="C39" s="20"/>
      <c r="D39" s="15"/>
      <c r="E39" s="15"/>
      <c r="F39" s="21"/>
      <c r="G39" s="21"/>
      <c r="H39" s="17" t="str">
        <f>IFERROR(VLOOKUP(B39,'[1]Debt Holding Consolidated'!$C$1:$N$65536,12,FALSE),"")</f>
        <v/>
      </c>
    </row>
    <row r="40" spans="1:8" x14ac:dyDescent="0.2">
      <c r="A40" s="15"/>
      <c r="B40" s="15"/>
      <c r="C40" s="16" t="s">
        <v>83</v>
      </c>
      <c r="D40" s="15"/>
      <c r="E40" s="15"/>
      <c r="F40" s="24">
        <v>4992.33</v>
      </c>
      <c r="G40" s="19">
        <v>8.5471200000000001E-3</v>
      </c>
      <c r="H40" s="17" t="str">
        <f>IFERROR(VLOOKUP(B40,'[1]Debt Holding Consolidated'!$C$1:$N$65536,12,FALSE),"")</f>
        <v/>
      </c>
    </row>
    <row r="41" spans="1:8" x14ac:dyDescent="0.2">
      <c r="A41" s="15"/>
      <c r="B41" s="15"/>
      <c r="C41" s="20"/>
      <c r="D41" s="15"/>
      <c r="E41" s="15"/>
      <c r="F41" s="21"/>
      <c r="G41" s="21"/>
      <c r="H41" s="17" t="str">
        <f>IFERROR(VLOOKUP(B41,'[1]Debt Holding Consolidated'!$C$1:$N$65536,12,FALSE),"")</f>
        <v/>
      </c>
    </row>
    <row r="42" spans="1:8" x14ac:dyDescent="0.2">
      <c r="A42" s="15"/>
      <c r="B42" s="15"/>
      <c r="C42" s="16" t="s">
        <v>84</v>
      </c>
      <c r="D42" s="15"/>
      <c r="E42" s="15"/>
      <c r="F42" s="21"/>
      <c r="G42" s="21"/>
      <c r="H42" s="17" t="str">
        <f>IFERROR(VLOOKUP(B42,'[1]Debt Holding Consolidated'!$C$1:$N$65536,12,FALSE),"")</f>
        <v/>
      </c>
    </row>
    <row r="43" spans="1:8" x14ac:dyDescent="0.2">
      <c r="A43" s="15"/>
      <c r="B43" s="15"/>
      <c r="C43" s="16" t="s">
        <v>85</v>
      </c>
      <c r="D43" s="15"/>
      <c r="E43" s="15"/>
      <c r="F43" s="21"/>
      <c r="G43" s="21"/>
      <c r="H43" s="17" t="str">
        <f>IFERROR(VLOOKUP(B43,'[1]Debt Holding Consolidated'!$C$1:$N$65536,12,FALSE),"")</f>
        <v/>
      </c>
    </row>
    <row r="44" spans="1:8" x14ac:dyDescent="0.2">
      <c r="A44" s="25">
        <v>1</v>
      </c>
      <c r="B44" s="26" t="s">
        <v>240</v>
      </c>
      <c r="C44" s="26" t="s">
        <v>241</v>
      </c>
      <c r="D44" s="26" t="s">
        <v>143</v>
      </c>
      <c r="E44" s="27">
        <v>3500</v>
      </c>
      <c r="F44" s="28">
        <v>17443.615000000002</v>
      </c>
      <c r="G44" s="29">
        <v>2.986436E-2</v>
      </c>
      <c r="H44" s="17">
        <f>IFERROR(VLOOKUP(B44,'[1]Debt Holding Consolidated'!$C$1:$N$65536,12,FALSE),"")</f>
        <v>6.9401999999999999</v>
      </c>
    </row>
    <row r="45" spans="1:8" x14ac:dyDescent="0.2">
      <c r="A45" s="25">
        <v>2</v>
      </c>
      <c r="B45" s="26" t="s">
        <v>242</v>
      </c>
      <c r="C45" s="26" t="s">
        <v>243</v>
      </c>
      <c r="D45" s="26" t="s">
        <v>143</v>
      </c>
      <c r="E45" s="27">
        <v>3000</v>
      </c>
      <c r="F45" s="28">
        <v>14960.64</v>
      </c>
      <c r="G45" s="29">
        <v>2.5613380000000002E-2</v>
      </c>
      <c r="H45" s="17">
        <f>IFERROR(VLOOKUP(B45,'[1]Debt Holding Consolidated'!$C$1:$N$65536,12,FALSE),"")</f>
        <v>6.8596000000000004</v>
      </c>
    </row>
    <row r="46" spans="1:8" x14ac:dyDescent="0.2">
      <c r="A46" s="25">
        <v>3</v>
      </c>
      <c r="B46" s="26" t="s">
        <v>244</v>
      </c>
      <c r="C46" s="26" t="s">
        <v>245</v>
      </c>
      <c r="D46" s="26" t="s">
        <v>143</v>
      </c>
      <c r="E46" s="27">
        <v>3000</v>
      </c>
      <c r="F46" s="28">
        <v>14926.275</v>
      </c>
      <c r="G46" s="29">
        <v>2.5554540000000001E-2</v>
      </c>
      <c r="H46" s="17">
        <f>IFERROR(VLOOKUP(B46,'[1]Debt Holding Consolidated'!$C$1:$N$65536,12,FALSE),"")</f>
        <v>6.9351000000000003</v>
      </c>
    </row>
    <row r="47" spans="1:8" x14ac:dyDescent="0.2">
      <c r="A47" s="25">
        <v>4</v>
      </c>
      <c r="B47" s="26" t="s">
        <v>246</v>
      </c>
      <c r="C47" s="26" t="s">
        <v>247</v>
      </c>
      <c r="D47" s="26" t="s">
        <v>143</v>
      </c>
      <c r="E47" s="27">
        <v>3000</v>
      </c>
      <c r="F47" s="28">
        <v>14920.86</v>
      </c>
      <c r="G47" s="29">
        <v>2.5545269999999998E-2</v>
      </c>
      <c r="H47" s="17">
        <f>IFERROR(VLOOKUP(B47,'[1]Debt Holding Consolidated'!$C$1:$N$65536,12,FALSE),"")</f>
        <v>6.915</v>
      </c>
    </row>
    <row r="48" spans="1:8" x14ac:dyDescent="0.2">
      <c r="A48" s="25">
        <v>5</v>
      </c>
      <c r="B48" s="26" t="s">
        <v>248</v>
      </c>
      <c r="C48" s="26" t="s">
        <v>249</v>
      </c>
      <c r="D48" s="26" t="s">
        <v>161</v>
      </c>
      <c r="E48" s="27">
        <v>3000</v>
      </c>
      <c r="F48" s="28">
        <v>14920.575000000001</v>
      </c>
      <c r="G48" s="29">
        <v>2.554478E-2</v>
      </c>
      <c r="H48" s="17">
        <f>IFERROR(VLOOKUP(B48,'[1]Debt Holding Consolidated'!$C$1:$N$65536,12,FALSE),"")</f>
        <v>6.9401000000000002</v>
      </c>
    </row>
    <row r="49" spans="1:8" x14ac:dyDescent="0.2">
      <c r="A49" s="25">
        <v>6</v>
      </c>
      <c r="B49" s="26" t="s">
        <v>250</v>
      </c>
      <c r="C49" s="26" t="s">
        <v>251</v>
      </c>
      <c r="D49" s="26" t="s">
        <v>143</v>
      </c>
      <c r="E49" s="27">
        <v>3000</v>
      </c>
      <c r="F49" s="28">
        <v>14901.855</v>
      </c>
      <c r="G49" s="29">
        <v>2.5512730000000001E-2</v>
      </c>
      <c r="H49" s="17">
        <f>IFERROR(VLOOKUP(B49,'[1]Debt Holding Consolidated'!$C$1:$N$65536,12,FALSE),"")</f>
        <v>7.07</v>
      </c>
    </row>
    <row r="50" spans="1:8" x14ac:dyDescent="0.2">
      <c r="A50" s="25">
        <v>7</v>
      </c>
      <c r="B50" s="26" t="s">
        <v>252</v>
      </c>
      <c r="C50" s="26" t="s">
        <v>253</v>
      </c>
      <c r="D50" s="26" t="s">
        <v>143</v>
      </c>
      <c r="E50" s="27">
        <v>2500</v>
      </c>
      <c r="F50" s="28">
        <v>12284.924999999999</v>
      </c>
      <c r="G50" s="29">
        <v>2.103242E-2</v>
      </c>
      <c r="H50" s="17">
        <f>IFERROR(VLOOKUP(B50,'[1]Debt Holding Consolidated'!$C$1:$N$65536,12,FALSE),"")</f>
        <v>7.18</v>
      </c>
    </row>
    <row r="51" spans="1:8" x14ac:dyDescent="0.2">
      <c r="A51" s="25">
        <v>8</v>
      </c>
      <c r="B51" s="26" t="s">
        <v>254</v>
      </c>
      <c r="C51" s="26" t="s">
        <v>255</v>
      </c>
      <c r="D51" s="26" t="s">
        <v>143</v>
      </c>
      <c r="E51" s="27">
        <v>2000</v>
      </c>
      <c r="F51" s="28">
        <v>9954.74</v>
      </c>
      <c r="G51" s="29">
        <v>1.7043019999999999E-2</v>
      </c>
      <c r="H51" s="17">
        <f>IFERROR(VLOOKUP(B51,'[1]Debt Holding Consolidated'!$C$1:$N$65536,12,FALSE),"")</f>
        <v>6.915</v>
      </c>
    </row>
    <row r="52" spans="1:8" x14ac:dyDescent="0.2">
      <c r="A52" s="25">
        <v>9</v>
      </c>
      <c r="B52" s="26" t="s">
        <v>256</v>
      </c>
      <c r="C52" s="26" t="s">
        <v>257</v>
      </c>
      <c r="D52" s="26" t="s">
        <v>143</v>
      </c>
      <c r="E52" s="27">
        <v>2000</v>
      </c>
      <c r="F52" s="28">
        <v>9864.36</v>
      </c>
      <c r="G52" s="29">
        <v>1.688829E-2</v>
      </c>
      <c r="H52" s="17">
        <f>IFERROR(VLOOKUP(B52,'[1]Debt Holding Consolidated'!$C$1:$N$65536,12,FALSE),"")</f>
        <v>7.17</v>
      </c>
    </row>
    <row r="53" spans="1:8" x14ac:dyDescent="0.2">
      <c r="A53" s="25">
        <v>10</v>
      </c>
      <c r="B53" s="26" t="s">
        <v>258</v>
      </c>
      <c r="C53" s="26" t="s">
        <v>259</v>
      </c>
      <c r="D53" s="26" t="s">
        <v>146</v>
      </c>
      <c r="E53" s="27">
        <v>1500</v>
      </c>
      <c r="F53" s="28">
        <v>7483.3950000000004</v>
      </c>
      <c r="G53" s="29">
        <v>1.2811950000000001E-2</v>
      </c>
      <c r="H53" s="17">
        <f>IFERROR(VLOOKUP(B53,'[1]Debt Holding Consolidated'!$C$1:$N$65536,12,FALSE),"")</f>
        <v>6.7507999999999999</v>
      </c>
    </row>
    <row r="54" spans="1:8" x14ac:dyDescent="0.2">
      <c r="A54" s="25">
        <v>11</v>
      </c>
      <c r="B54" s="26" t="s">
        <v>260</v>
      </c>
      <c r="C54" s="26" t="s">
        <v>261</v>
      </c>
      <c r="D54" s="26" t="s">
        <v>161</v>
      </c>
      <c r="E54" s="27">
        <v>1500</v>
      </c>
      <c r="F54" s="28">
        <v>7442.58</v>
      </c>
      <c r="G54" s="29">
        <v>1.2742079999999999E-2</v>
      </c>
      <c r="H54" s="17">
        <f>IFERROR(VLOOKUP(B54,'[1]Debt Holding Consolidated'!$C$1:$N$65536,12,FALSE),"")</f>
        <v>7.0401999999999996</v>
      </c>
    </row>
    <row r="55" spans="1:8" x14ac:dyDescent="0.2">
      <c r="A55" s="25">
        <v>12</v>
      </c>
      <c r="B55" s="26" t="s">
        <v>262</v>
      </c>
      <c r="C55" s="26" t="s">
        <v>263</v>
      </c>
      <c r="D55" s="26" t="s">
        <v>143</v>
      </c>
      <c r="E55" s="27">
        <v>1500</v>
      </c>
      <c r="F55" s="28">
        <v>7399.7025000000003</v>
      </c>
      <c r="G55" s="29">
        <v>1.266867E-2</v>
      </c>
      <c r="H55" s="17">
        <f>IFERROR(VLOOKUP(B55,'[1]Debt Holding Consolidated'!$C$1:$N$65536,12,FALSE),"")</f>
        <v>7.17</v>
      </c>
    </row>
    <row r="56" spans="1:8" x14ac:dyDescent="0.2">
      <c r="A56" s="25">
        <v>13</v>
      </c>
      <c r="B56" s="26" t="s">
        <v>264</v>
      </c>
      <c r="C56" s="26" t="s">
        <v>265</v>
      </c>
      <c r="D56" s="26" t="s">
        <v>143</v>
      </c>
      <c r="E56" s="27">
        <v>1500</v>
      </c>
      <c r="F56" s="28">
        <v>7398.1350000000002</v>
      </c>
      <c r="G56" s="29">
        <v>1.266598E-2</v>
      </c>
      <c r="H56" s="17">
        <f>IFERROR(VLOOKUP(B56,'[1]Debt Holding Consolidated'!$C$1:$N$65536,12,FALSE),"")</f>
        <v>7.18</v>
      </c>
    </row>
    <row r="57" spans="1:8" x14ac:dyDescent="0.2">
      <c r="A57" s="25">
        <v>14</v>
      </c>
      <c r="B57" s="26" t="s">
        <v>266</v>
      </c>
      <c r="C57" s="26" t="s">
        <v>267</v>
      </c>
      <c r="D57" s="26" t="s">
        <v>146</v>
      </c>
      <c r="E57" s="27">
        <v>1500</v>
      </c>
      <c r="F57" s="28">
        <v>7371.2025000000003</v>
      </c>
      <c r="G57" s="29">
        <v>1.261987E-2</v>
      </c>
      <c r="H57" s="17">
        <f>IFERROR(VLOOKUP(B57,'[1]Debt Holding Consolidated'!$C$1:$N$65536,12,FALSE),"")</f>
        <v>7.1658999999999997</v>
      </c>
    </row>
    <row r="58" spans="1:8" x14ac:dyDescent="0.2">
      <c r="A58" s="25">
        <v>15</v>
      </c>
      <c r="B58" s="26" t="s">
        <v>268</v>
      </c>
      <c r="C58" s="26" t="s">
        <v>269</v>
      </c>
      <c r="D58" s="26" t="s">
        <v>143</v>
      </c>
      <c r="E58" s="27">
        <v>1000</v>
      </c>
      <c r="F58" s="28">
        <v>4982.8500000000004</v>
      </c>
      <c r="G58" s="29">
        <v>8.5308899999999993E-3</v>
      </c>
      <c r="H58" s="17">
        <f>IFERROR(VLOOKUP(B58,'[1]Debt Holding Consolidated'!$C$1:$N$65536,12,FALSE),"")</f>
        <v>6.98</v>
      </c>
    </row>
    <row r="59" spans="1:8" x14ac:dyDescent="0.2">
      <c r="A59" s="25">
        <v>16</v>
      </c>
      <c r="B59" s="26" t="s">
        <v>270</v>
      </c>
      <c r="C59" s="26" t="s">
        <v>271</v>
      </c>
      <c r="D59" s="26" t="s">
        <v>143</v>
      </c>
      <c r="E59" s="27">
        <v>1000</v>
      </c>
      <c r="F59" s="28">
        <v>4968.38</v>
      </c>
      <c r="G59" s="29">
        <v>8.5061200000000007E-3</v>
      </c>
      <c r="H59" s="17">
        <f>IFERROR(VLOOKUP(B59,'[1]Debt Holding Consolidated'!$C$1:$N$65536,12,FALSE),"")</f>
        <v>7.0396000000000001</v>
      </c>
    </row>
    <row r="60" spans="1:8" x14ac:dyDescent="0.2">
      <c r="A60" s="25">
        <v>17</v>
      </c>
      <c r="B60" s="26" t="s">
        <v>272</v>
      </c>
      <c r="C60" s="26" t="s">
        <v>273</v>
      </c>
      <c r="D60" s="26" t="s">
        <v>146</v>
      </c>
      <c r="E60" s="27">
        <v>1000</v>
      </c>
      <c r="F60" s="28">
        <v>4963.875</v>
      </c>
      <c r="G60" s="29">
        <v>8.4984099999999996E-3</v>
      </c>
      <c r="H60" s="17">
        <f>IFERROR(VLOOKUP(B60,'[1]Debt Holding Consolidated'!$C$1:$N$65536,12,FALSE),"")</f>
        <v>6.9908000000000001</v>
      </c>
    </row>
    <row r="61" spans="1:8" x14ac:dyDescent="0.2">
      <c r="A61" s="25">
        <v>18</v>
      </c>
      <c r="B61" s="26" t="s">
        <v>274</v>
      </c>
      <c r="C61" s="26" t="s">
        <v>275</v>
      </c>
      <c r="D61" s="26" t="s">
        <v>143</v>
      </c>
      <c r="E61" s="27">
        <v>1000</v>
      </c>
      <c r="F61" s="28">
        <v>4960.7449999999999</v>
      </c>
      <c r="G61" s="29">
        <v>8.4930500000000003E-3</v>
      </c>
      <c r="H61" s="17">
        <f>IFERROR(VLOOKUP(B61,'[1]Debt Holding Consolidated'!$C$1:$N$65536,12,FALSE),"")</f>
        <v>7.0452000000000004</v>
      </c>
    </row>
    <row r="62" spans="1:8" x14ac:dyDescent="0.2">
      <c r="A62" s="25">
        <v>19</v>
      </c>
      <c r="B62" s="26" t="s">
        <v>276</v>
      </c>
      <c r="C62" s="26" t="s">
        <v>277</v>
      </c>
      <c r="D62" s="26" t="s">
        <v>143</v>
      </c>
      <c r="E62" s="27">
        <v>1000</v>
      </c>
      <c r="F62" s="28">
        <v>4959.9399999999996</v>
      </c>
      <c r="G62" s="29">
        <v>8.4916699999999998E-3</v>
      </c>
      <c r="H62" s="17">
        <f>IFERROR(VLOOKUP(B62,'[1]Debt Holding Consolidated'!$C$1:$N$65536,12,FALSE),"")</f>
        <v>7.0186999999999999</v>
      </c>
    </row>
    <row r="63" spans="1:8" x14ac:dyDescent="0.2">
      <c r="A63" s="25">
        <v>20</v>
      </c>
      <c r="B63" s="26" t="s">
        <v>278</v>
      </c>
      <c r="C63" s="26" t="s">
        <v>279</v>
      </c>
      <c r="D63" s="26" t="s">
        <v>146</v>
      </c>
      <c r="E63" s="27">
        <v>1000</v>
      </c>
      <c r="F63" s="28">
        <v>4936.09</v>
      </c>
      <c r="G63" s="29">
        <v>8.4508399999999994E-3</v>
      </c>
      <c r="H63" s="17">
        <f>IFERROR(VLOOKUP(B63,'[1]Debt Holding Consolidated'!$C$1:$N$65536,12,FALSE),"")</f>
        <v>7.1601999999999997</v>
      </c>
    </row>
    <row r="64" spans="1:8" x14ac:dyDescent="0.2">
      <c r="A64" s="25">
        <v>21</v>
      </c>
      <c r="B64" s="26" t="s">
        <v>280</v>
      </c>
      <c r="C64" s="26" t="s">
        <v>281</v>
      </c>
      <c r="D64" s="26" t="s">
        <v>143</v>
      </c>
      <c r="E64" s="27">
        <v>1000</v>
      </c>
      <c r="F64" s="28">
        <v>4922.5349999999999</v>
      </c>
      <c r="G64" s="29">
        <v>8.4276300000000002E-3</v>
      </c>
      <c r="H64" s="17">
        <f>IFERROR(VLOOKUP(B64,'[1]Debt Holding Consolidated'!$C$1:$N$65536,12,FALSE),"")</f>
        <v>7.18</v>
      </c>
    </row>
    <row r="65" spans="1:8" x14ac:dyDescent="0.2">
      <c r="A65" s="25">
        <v>22</v>
      </c>
      <c r="B65" s="26" t="s">
        <v>282</v>
      </c>
      <c r="C65" s="26" t="s">
        <v>283</v>
      </c>
      <c r="D65" s="26" t="s">
        <v>143</v>
      </c>
      <c r="E65" s="27">
        <v>500</v>
      </c>
      <c r="F65" s="28">
        <v>2490.0925000000002</v>
      </c>
      <c r="G65" s="29">
        <v>4.2631700000000002E-3</v>
      </c>
      <c r="H65" s="17">
        <f>IFERROR(VLOOKUP(B65,'[1]Debt Holding Consolidated'!$C$1:$N$65536,12,FALSE),"")</f>
        <v>6.915</v>
      </c>
    </row>
    <row r="66" spans="1:8" x14ac:dyDescent="0.2">
      <c r="A66" s="25">
        <v>23</v>
      </c>
      <c r="B66" s="26" t="s">
        <v>284</v>
      </c>
      <c r="C66" s="26" t="s">
        <v>285</v>
      </c>
      <c r="D66" s="26" t="s">
        <v>161</v>
      </c>
      <c r="E66" s="27">
        <v>500</v>
      </c>
      <c r="F66" s="28">
        <v>2485.2649999999999</v>
      </c>
      <c r="G66" s="29">
        <v>4.2548999999999998E-3</v>
      </c>
      <c r="H66" s="17">
        <f>IFERROR(VLOOKUP(B66,'[1]Debt Holding Consolidated'!$C$1:$N$65536,12,FALSE),"")</f>
        <v>6.9813999999999998</v>
      </c>
    </row>
    <row r="67" spans="1:8" x14ac:dyDescent="0.2">
      <c r="A67" s="15"/>
      <c r="B67" s="15"/>
      <c r="C67" s="16" t="s">
        <v>11</v>
      </c>
      <c r="D67" s="15"/>
      <c r="E67" s="15" t="s">
        <v>12</v>
      </c>
      <c r="F67" s="24">
        <v>200942.63250000001</v>
      </c>
      <c r="G67" s="19">
        <v>0.34402401999999999</v>
      </c>
      <c r="H67" s="17" t="str">
        <f>IFERROR(VLOOKUP(B67,'[1]Debt Holding Consolidated'!$C$1:$N$65536,12,FALSE),"")</f>
        <v/>
      </c>
    </row>
    <row r="68" spans="1:8" x14ac:dyDescent="0.2">
      <c r="A68" s="15"/>
      <c r="B68" s="15"/>
      <c r="C68" s="20"/>
      <c r="D68" s="15"/>
      <c r="E68" s="15"/>
      <c r="F68" s="21"/>
      <c r="G68" s="21"/>
      <c r="H68" s="17" t="str">
        <f>IFERROR(VLOOKUP(B68,'[1]Debt Holding Consolidated'!$C$1:$N$65536,12,FALSE),"")</f>
        <v/>
      </c>
    </row>
    <row r="69" spans="1:8" x14ac:dyDescent="0.2">
      <c r="A69" s="15"/>
      <c r="B69" s="15"/>
      <c r="C69" s="16" t="s">
        <v>86</v>
      </c>
      <c r="D69" s="15"/>
      <c r="E69" s="15"/>
      <c r="F69" s="21"/>
      <c r="G69" s="21"/>
      <c r="H69" s="17" t="str">
        <f>IFERROR(VLOOKUP(B69,'[1]Debt Holding Consolidated'!$C$1:$N$65536,12,FALSE),"")</f>
        <v/>
      </c>
    </row>
    <row r="70" spans="1:8" ht="25.5" x14ac:dyDescent="0.2">
      <c r="A70" s="25">
        <v>1</v>
      </c>
      <c r="B70" s="26" t="s">
        <v>286</v>
      </c>
      <c r="C70" s="26" t="s">
        <v>287</v>
      </c>
      <c r="D70" s="26" t="s">
        <v>143</v>
      </c>
      <c r="E70" s="27">
        <v>3000</v>
      </c>
      <c r="F70" s="28">
        <v>14971.754999999999</v>
      </c>
      <c r="G70" s="29">
        <v>2.5632410000000001E-2</v>
      </c>
      <c r="H70" s="17">
        <f>IFERROR(VLOOKUP(B70,'[1]Debt Holding Consolidated'!$C$1:$N$65536,12,FALSE),"")</f>
        <v>6.8849999999999998</v>
      </c>
    </row>
    <row r="71" spans="1:8" x14ac:dyDescent="0.2">
      <c r="A71" s="25">
        <v>2</v>
      </c>
      <c r="B71" s="26" t="s">
        <v>288</v>
      </c>
      <c r="C71" s="26" t="s">
        <v>289</v>
      </c>
      <c r="D71" s="26" t="s">
        <v>143</v>
      </c>
      <c r="E71" s="27">
        <v>3000</v>
      </c>
      <c r="F71" s="28">
        <v>14931.225</v>
      </c>
      <c r="G71" s="29">
        <v>2.5563019999999999E-2</v>
      </c>
      <c r="H71" s="17">
        <f>IFERROR(VLOOKUP(B71,'[1]Debt Holding Consolidated'!$C$1:$N$65536,12,FALSE),"")</f>
        <v>7.0049999999999999</v>
      </c>
    </row>
    <row r="72" spans="1:8" x14ac:dyDescent="0.2">
      <c r="A72" s="25">
        <v>3</v>
      </c>
      <c r="B72" s="26" t="s">
        <v>290</v>
      </c>
      <c r="C72" s="26" t="s">
        <v>291</v>
      </c>
      <c r="D72" s="26" t="s">
        <v>143</v>
      </c>
      <c r="E72" s="27">
        <v>3000</v>
      </c>
      <c r="F72" s="28">
        <v>14754.165000000001</v>
      </c>
      <c r="G72" s="29">
        <v>2.5259879999999998E-2</v>
      </c>
      <c r="H72" s="17">
        <f>IFERROR(VLOOKUP(B72,'[1]Debt Holding Consolidated'!$C$1:$N$65536,12,FALSE),"")</f>
        <v>7.2401</v>
      </c>
    </row>
    <row r="73" spans="1:8" x14ac:dyDescent="0.2">
      <c r="A73" s="25">
        <v>4</v>
      </c>
      <c r="B73" s="26" t="s">
        <v>292</v>
      </c>
      <c r="C73" s="26" t="s">
        <v>293</v>
      </c>
      <c r="D73" s="26" t="s">
        <v>143</v>
      </c>
      <c r="E73" s="27">
        <v>2000</v>
      </c>
      <c r="F73" s="28">
        <v>9978.31</v>
      </c>
      <c r="G73" s="29">
        <v>1.708337E-2</v>
      </c>
      <c r="H73" s="17">
        <f>IFERROR(VLOOKUP(B73,'[1]Debt Holding Consolidated'!$C$1:$N$65536,12,FALSE),"")</f>
        <v>7.2149999999999999</v>
      </c>
    </row>
    <row r="74" spans="1:8" x14ac:dyDescent="0.2">
      <c r="A74" s="25">
        <v>5</v>
      </c>
      <c r="B74" s="26" t="s">
        <v>294</v>
      </c>
      <c r="C74" s="26" t="s">
        <v>295</v>
      </c>
      <c r="D74" s="26" t="s">
        <v>143</v>
      </c>
      <c r="E74" s="27">
        <v>2000</v>
      </c>
      <c r="F74" s="28">
        <v>9973.89</v>
      </c>
      <c r="G74" s="29">
        <v>1.707581E-2</v>
      </c>
      <c r="H74" s="17">
        <f>IFERROR(VLOOKUP(B74,'[1]Debt Holding Consolidated'!$C$1:$N$65536,12,FALSE),"")</f>
        <v>7.3506</v>
      </c>
    </row>
    <row r="75" spans="1:8" ht="25.5" x14ac:dyDescent="0.2">
      <c r="A75" s="25">
        <v>6</v>
      </c>
      <c r="B75" s="26" t="s">
        <v>296</v>
      </c>
      <c r="C75" s="26" t="s">
        <v>297</v>
      </c>
      <c r="D75" s="26" t="s">
        <v>143</v>
      </c>
      <c r="E75" s="27">
        <v>2000</v>
      </c>
      <c r="F75" s="28">
        <v>9965.99</v>
      </c>
      <c r="G75" s="29">
        <v>1.7062279999999999E-2</v>
      </c>
      <c r="H75" s="17">
        <f>IFERROR(VLOOKUP(B75,'[1]Debt Holding Consolidated'!$C$1:$N$65536,12,FALSE),"")</f>
        <v>6.9192</v>
      </c>
    </row>
    <row r="76" spans="1:8" ht="25.5" x14ac:dyDescent="0.2">
      <c r="A76" s="25">
        <v>7</v>
      </c>
      <c r="B76" s="26" t="s">
        <v>298</v>
      </c>
      <c r="C76" s="26" t="s">
        <v>299</v>
      </c>
      <c r="D76" s="26" t="s">
        <v>143</v>
      </c>
      <c r="E76" s="27">
        <v>2000</v>
      </c>
      <c r="F76" s="28">
        <v>9950.9500000000007</v>
      </c>
      <c r="G76" s="29">
        <v>1.7036530000000001E-2</v>
      </c>
      <c r="H76" s="17">
        <f>IFERROR(VLOOKUP(B76,'[1]Debt Holding Consolidated'!$C$1:$N$65536,12,FALSE),"")</f>
        <v>6.9196</v>
      </c>
    </row>
    <row r="77" spans="1:8" x14ac:dyDescent="0.2">
      <c r="A77" s="25">
        <v>8</v>
      </c>
      <c r="B77" s="26" t="s">
        <v>300</v>
      </c>
      <c r="C77" s="26" t="s">
        <v>301</v>
      </c>
      <c r="D77" s="26" t="s">
        <v>143</v>
      </c>
      <c r="E77" s="27">
        <v>2000</v>
      </c>
      <c r="F77" s="28">
        <v>9947.61</v>
      </c>
      <c r="G77" s="29">
        <v>1.703081E-2</v>
      </c>
      <c r="H77" s="17">
        <f>IFERROR(VLOOKUP(B77,'[1]Debt Holding Consolidated'!$C$1:$N$65536,12,FALSE),"")</f>
        <v>7.69</v>
      </c>
    </row>
    <row r="78" spans="1:8" x14ac:dyDescent="0.2">
      <c r="A78" s="25">
        <v>9</v>
      </c>
      <c r="B78" s="26" t="s">
        <v>302</v>
      </c>
      <c r="C78" s="26" t="s">
        <v>303</v>
      </c>
      <c r="D78" s="26" t="s">
        <v>146</v>
      </c>
      <c r="E78" s="27">
        <v>2000</v>
      </c>
      <c r="F78" s="28">
        <v>9947.0300000000007</v>
      </c>
      <c r="G78" s="29">
        <v>1.7029820000000001E-2</v>
      </c>
      <c r="H78" s="17">
        <f>IFERROR(VLOOKUP(B78,'[1]Debt Holding Consolidated'!$C$1:$N$65536,12,FALSE),"")</f>
        <v>7.7750000000000004</v>
      </c>
    </row>
    <row r="79" spans="1:8" x14ac:dyDescent="0.2">
      <c r="A79" s="25">
        <v>10</v>
      </c>
      <c r="B79" s="26" t="s">
        <v>304</v>
      </c>
      <c r="C79" s="26" t="s">
        <v>305</v>
      </c>
      <c r="D79" s="26" t="s">
        <v>143</v>
      </c>
      <c r="E79" s="27">
        <v>2000</v>
      </c>
      <c r="F79" s="28">
        <v>9946.27</v>
      </c>
      <c r="G79" s="29">
        <v>1.7028519999999998E-2</v>
      </c>
      <c r="H79" s="17">
        <f>IFERROR(VLOOKUP(B79,'[1]Debt Holding Consolidated'!$C$1:$N$65536,12,FALSE),"")</f>
        <v>7.3026999999999997</v>
      </c>
    </row>
    <row r="80" spans="1:8" x14ac:dyDescent="0.2">
      <c r="A80" s="25">
        <v>11</v>
      </c>
      <c r="B80" s="26" t="s">
        <v>306</v>
      </c>
      <c r="C80" s="26" t="s">
        <v>307</v>
      </c>
      <c r="D80" s="26" t="s">
        <v>143</v>
      </c>
      <c r="E80" s="27">
        <v>2000</v>
      </c>
      <c r="F80" s="28">
        <v>9930.42</v>
      </c>
      <c r="G80" s="29">
        <v>1.700138E-2</v>
      </c>
      <c r="H80" s="17">
        <f>IFERROR(VLOOKUP(B80,'[1]Debt Holding Consolidated'!$C$1:$N$65536,12,FALSE),"")</f>
        <v>7.75</v>
      </c>
    </row>
    <row r="81" spans="1:10" x14ac:dyDescent="0.2">
      <c r="A81" s="25">
        <v>12</v>
      </c>
      <c r="B81" s="26" t="s">
        <v>308</v>
      </c>
      <c r="C81" s="26" t="s">
        <v>309</v>
      </c>
      <c r="D81" s="26" t="s">
        <v>143</v>
      </c>
      <c r="E81" s="27">
        <v>2000</v>
      </c>
      <c r="F81" s="28">
        <v>9858</v>
      </c>
      <c r="G81" s="29">
        <v>1.6877400000000001E-2</v>
      </c>
      <c r="H81" s="17">
        <f>IFERROR(VLOOKUP(B81,'[1]Debt Holding Consolidated'!$C$1:$N$65536,12,FALSE),"")</f>
        <v>7.62</v>
      </c>
    </row>
    <row r="82" spans="1:10" ht="25.5" x14ac:dyDescent="0.2">
      <c r="A82" s="25">
        <v>13</v>
      </c>
      <c r="B82" s="26" t="s">
        <v>310</v>
      </c>
      <c r="C82" s="26" t="s">
        <v>311</v>
      </c>
      <c r="D82" s="26" t="s">
        <v>161</v>
      </c>
      <c r="E82" s="27">
        <v>1500</v>
      </c>
      <c r="F82" s="28">
        <v>7500</v>
      </c>
      <c r="G82" s="29">
        <v>1.284038E-2</v>
      </c>
      <c r="H82" s="17">
        <f>IFERROR(VLOOKUP(B82,'[1]Debt Holding Consolidated'!$C$1:$N$65536,12,FALSE),"")</f>
        <v>6.7126000000000001</v>
      </c>
    </row>
    <row r="83" spans="1:10" ht="25.5" x14ac:dyDescent="0.2">
      <c r="A83" s="25">
        <v>14</v>
      </c>
      <c r="B83" s="26" t="s">
        <v>312</v>
      </c>
      <c r="C83" s="26" t="s">
        <v>313</v>
      </c>
      <c r="D83" s="26" t="s">
        <v>143</v>
      </c>
      <c r="E83" s="27">
        <v>1500</v>
      </c>
      <c r="F83" s="28">
        <v>7489.1925000000001</v>
      </c>
      <c r="G83" s="29">
        <v>1.2821880000000001E-2</v>
      </c>
      <c r="H83" s="17">
        <f>IFERROR(VLOOKUP(B83,'[1]Debt Holding Consolidated'!$C$1:$N$65536,12,FALSE),"")</f>
        <v>7.5250000000000004</v>
      </c>
    </row>
    <row r="84" spans="1:10" x14ac:dyDescent="0.2">
      <c r="A84" s="25">
        <v>15</v>
      </c>
      <c r="B84" s="26" t="s">
        <v>314</v>
      </c>
      <c r="C84" s="26" t="s">
        <v>315</v>
      </c>
      <c r="D84" s="26" t="s">
        <v>143</v>
      </c>
      <c r="E84" s="27">
        <v>1500</v>
      </c>
      <c r="F84" s="28">
        <v>7469.2349999999997</v>
      </c>
      <c r="G84" s="29">
        <v>1.2787710000000001E-2</v>
      </c>
      <c r="H84" s="17">
        <f>IFERROR(VLOOKUP(B84,'[1]Debt Holding Consolidated'!$C$1:$N$65536,12,FALSE),"")</f>
        <v>7.16</v>
      </c>
      <c r="J84"/>
    </row>
    <row r="85" spans="1:10" x14ac:dyDescent="0.2">
      <c r="A85" s="25">
        <v>16</v>
      </c>
      <c r="B85" s="26" t="s">
        <v>316</v>
      </c>
      <c r="C85" s="26" t="s">
        <v>317</v>
      </c>
      <c r="D85" s="26" t="s">
        <v>143</v>
      </c>
      <c r="E85" s="27">
        <v>1500</v>
      </c>
      <c r="F85" s="28">
        <v>7462.7924999999996</v>
      </c>
      <c r="G85" s="29">
        <v>1.277668E-2</v>
      </c>
      <c r="H85" s="17">
        <f>IFERROR(VLOOKUP(B85,'[1]Debt Holding Consolidated'!$C$1:$N$65536,12,FALSE),"")</f>
        <v>7.28</v>
      </c>
      <c r="J85"/>
    </row>
    <row r="86" spans="1:10" ht="25.5" x14ac:dyDescent="0.2">
      <c r="A86" s="25">
        <v>17</v>
      </c>
      <c r="B86" s="26" t="s">
        <v>318</v>
      </c>
      <c r="C86" s="26" t="s">
        <v>319</v>
      </c>
      <c r="D86" s="26" t="s">
        <v>143</v>
      </c>
      <c r="E86" s="27">
        <v>1500</v>
      </c>
      <c r="F86" s="28">
        <v>7449.4949999999999</v>
      </c>
      <c r="G86" s="29">
        <v>1.275391E-2</v>
      </c>
      <c r="H86" s="17">
        <f>IFERROR(VLOOKUP(B86,'[1]Debt Holding Consolidated'!$C$1:$N$65536,12,FALSE),"")</f>
        <v>7.07</v>
      </c>
      <c r="J86"/>
    </row>
    <row r="87" spans="1:10" ht="25.5" x14ac:dyDescent="0.2">
      <c r="A87" s="25">
        <v>18</v>
      </c>
      <c r="B87" s="26" t="s">
        <v>320</v>
      </c>
      <c r="C87" s="26" t="s">
        <v>321</v>
      </c>
      <c r="D87" s="26" t="s">
        <v>143</v>
      </c>
      <c r="E87" s="27">
        <v>1500</v>
      </c>
      <c r="F87" s="28">
        <v>7440.9075000000003</v>
      </c>
      <c r="G87" s="29">
        <v>1.2739210000000001E-2</v>
      </c>
      <c r="H87" s="17">
        <f>IFERROR(VLOOKUP(B87,'[1]Debt Holding Consolidated'!$C$1:$N$65536,12,FALSE),"")</f>
        <v>7.07</v>
      </c>
      <c r="J87"/>
    </row>
    <row r="88" spans="1:10" ht="25.5" x14ac:dyDescent="0.2">
      <c r="A88" s="25">
        <v>19</v>
      </c>
      <c r="B88" s="26" t="s">
        <v>322</v>
      </c>
      <c r="C88" s="26" t="s">
        <v>323</v>
      </c>
      <c r="D88" s="26" t="s">
        <v>143</v>
      </c>
      <c r="E88" s="27">
        <v>1500</v>
      </c>
      <c r="F88" s="28">
        <v>7429.02</v>
      </c>
      <c r="G88" s="29">
        <v>1.271886E-2</v>
      </c>
      <c r="H88" s="17">
        <f>IFERROR(VLOOKUP(B88,'[1]Debt Holding Consolidated'!$C$1:$N$65536,12,FALSE),"")</f>
        <v>7.75</v>
      </c>
      <c r="J88"/>
    </row>
    <row r="89" spans="1:10" ht="25.5" x14ac:dyDescent="0.2">
      <c r="A89" s="25">
        <v>20</v>
      </c>
      <c r="B89" s="26" t="s">
        <v>324</v>
      </c>
      <c r="C89" s="26" t="s">
        <v>325</v>
      </c>
      <c r="D89" s="26" t="s">
        <v>143</v>
      </c>
      <c r="E89" s="27">
        <v>1500</v>
      </c>
      <c r="F89" s="28">
        <v>7397.9025000000001</v>
      </c>
      <c r="G89" s="29">
        <v>1.2665589999999999E-2</v>
      </c>
      <c r="H89" s="17">
        <f>IFERROR(VLOOKUP(B89,'[1]Debt Holding Consolidated'!$C$1:$N$65536,12,FALSE),"")</f>
        <v>8.125</v>
      </c>
      <c r="J89"/>
    </row>
    <row r="90" spans="1:10" ht="25.5" x14ac:dyDescent="0.2">
      <c r="A90" s="25">
        <v>21</v>
      </c>
      <c r="B90" s="26" t="s">
        <v>326</v>
      </c>
      <c r="C90" s="26" t="s">
        <v>327</v>
      </c>
      <c r="D90" s="26" t="s">
        <v>143</v>
      </c>
      <c r="E90" s="27">
        <v>1000</v>
      </c>
      <c r="F90" s="28">
        <v>4988.6499999999996</v>
      </c>
      <c r="G90" s="29">
        <v>8.5408199999999993E-3</v>
      </c>
      <c r="H90" s="17">
        <f>IFERROR(VLOOKUP(B90,'[1]Debt Holding Consolidated'!$C$1:$N$65536,12,FALSE),"")</f>
        <v>7.55</v>
      </c>
      <c r="J90"/>
    </row>
    <row r="91" spans="1:10" x14ac:dyDescent="0.2">
      <c r="A91" s="25">
        <v>22</v>
      </c>
      <c r="B91" s="26" t="s">
        <v>328</v>
      </c>
      <c r="C91" s="26" t="s">
        <v>329</v>
      </c>
      <c r="D91" s="26" t="s">
        <v>143</v>
      </c>
      <c r="E91" s="27">
        <v>1000</v>
      </c>
      <c r="F91" s="28">
        <v>4986.6450000000004</v>
      </c>
      <c r="G91" s="29">
        <v>8.5373900000000006E-3</v>
      </c>
      <c r="H91" s="17">
        <f>IFERROR(VLOOKUP(B91,'[1]Debt Holding Consolidated'!$C$1:$N$65536,12,FALSE),"")</f>
        <v>7.52</v>
      </c>
      <c r="J91"/>
    </row>
    <row r="92" spans="1:10" ht="25.5" x14ac:dyDescent="0.2">
      <c r="A92" s="25">
        <v>23</v>
      </c>
      <c r="B92" s="26" t="s">
        <v>330</v>
      </c>
      <c r="C92" s="26" t="s">
        <v>331</v>
      </c>
      <c r="D92" s="26" t="s">
        <v>143</v>
      </c>
      <c r="E92" s="27">
        <v>1000</v>
      </c>
      <c r="F92" s="28">
        <v>4986.6350000000002</v>
      </c>
      <c r="G92" s="29">
        <v>8.5373700000000007E-3</v>
      </c>
      <c r="H92" s="17">
        <f>IFERROR(VLOOKUP(B92,'[1]Debt Holding Consolidated'!$C$1:$N$65536,12,FALSE),"")</f>
        <v>7.5250000000000004</v>
      </c>
      <c r="J92"/>
    </row>
    <row r="93" spans="1:10" x14ac:dyDescent="0.2">
      <c r="A93" s="25">
        <v>24</v>
      </c>
      <c r="B93" s="26" t="s">
        <v>332</v>
      </c>
      <c r="C93" s="26" t="s">
        <v>333</v>
      </c>
      <c r="D93" s="26" t="s">
        <v>143</v>
      </c>
      <c r="E93" s="27">
        <v>1000</v>
      </c>
      <c r="F93" s="28">
        <v>4985.9449999999997</v>
      </c>
      <c r="G93" s="29">
        <v>8.5361900000000008E-3</v>
      </c>
      <c r="H93" s="17">
        <f>IFERROR(VLOOKUP(B93,'[1]Debt Holding Consolidated'!$C$1:$N$65536,12,FALSE),"")</f>
        <v>7.3506</v>
      </c>
      <c r="J93"/>
    </row>
    <row r="94" spans="1:10" ht="25.5" x14ac:dyDescent="0.2">
      <c r="A94" s="25">
        <v>25</v>
      </c>
      <c r="B94" s="26" t="s">
        <v>334</v>
      </c>
      <c r="C94" s="26" t="s">
        <v>335</v>
      </c>
      <c r="D94" s="26" t="s">
        <v>143</v>
      </c>
      <c r="E94" s="27">
        <v>1000</v>
      </c>
      <c r="F94" s="28">
        <v>4981.2700000000004</v>
      </c>
      <c r="G94" s="29">
        <v>8.5281899999999997E-3</v>
      </c>
      <c r="H94" s="17">
        <f>IFERROR(VLOOKUP(B94,'[1]Debt Holding Consolidated'!$C$1:$N$65536,12,FALSE),"")</f>
        <v>7.625</v>
      </c>
      <c r="J94"/>
    </row>
    <row r="95" spans="1:10" x14ac:dyDescent="0.2">
      <c r="A95" s="25">
        <v>26</v>
      </c>
      <c r="B95" s="26" t="s">
        <v>336</v>
      </c>
      <c r="C95" s="26" t="s">
        <v>337</v>
      </c>
      <c r="D95" s="26" t="s">
        <v>143</v>
      </c>
      <c r="E95" s="27">
        <v>1000</v>
      </c>
      <c r="F95" s="28">
        <v>4973.2349999999997</v>
      </c>
      <c r="G95" s="29">
        <v>8.5144299999999999E-3</v>
      </c>
      <c r="H95" s="17">
        <f>IFERROR(VLOOKUP(B95,'[1]Debt Holding Consolidated'!$C$1:$N$65536,12,FALSE),"")</f>
        <v>7.2750000000000004</v>
      </c>
      <c r="J95"/>
    </row>
    <row r="96" spans="1:10" x14ac:dyDescent="0.2">
      <c r="A96" s="25">
        <v>27</v>
      </c>
      <c r="B96" s="26" t="s">
        <v>338</v>
      </c>
      <c r="C96" s="26" t="s">
        <v>339</v>
      </c>
      <c r="D96" s="26" t="s">
        <v>143</v>
      </c>
      <c r="E96" s="27">
        <v>1000</v>
      </c>
      <c r="F96" s="28">
        <v>4972.1450000000004</v>
      </c>
      <c r="G96" s="29">
        <v>8.5125700000000006E-3</v>
      </c>
      <c r="H96" s="17">
        <f>IFERROR(VLOOKUP(B96,'[1]Debt Holding Consolidated'!$C$1:$N$65536,12,FALSE),"")</f>
        <v>7.3026999999999997</v>
      </c>
      <c r="J96"/>
    </row>
    <row r="97" spans="1:10" x14ac:dyDescent="0.2">
      <c r="A97" s="25">
        <v>28</v>
      </c>
      <c r="B97" s="26" t="s">
        <v>340</v>
      </c>
      <c r="C97" s="26" t="s">
        <v>341</v>
      </c>
      <c r="D97" s="26" t="s">
        <v>143</v>
      </c>
      <c r="E97" s="27">
        <v>1000</v>
      </c>
      <c r="F97" s="28">
        <v>4971.17</v>
      </c>
      <c r="G97" s="29">
        <v>8.5109000000000001E-3</v>
      </c>
      <c r="H97" s="17">
        <f>IFERROR(VLOOKUP(B97,'[1]Debt Holding Consolidated'!$C$1:$N$65536,12,FALSE),"")</f>
        <v>7.56</v>
      </c>
      <c r="J97"/>
    </row>
    <row r="98" spans="1:10" ht="25.5" x14ac:dyDescent="0.2">
      <c r="A98" s="25">
        <v>29</v>
      </c>
      <c r="B98" s="26" t="s">
        <v>342</v>
      </c>
      <c r="C98" s="26" t="s">
        <v>343</v>
      </c>
      <c r="D98" s="26" t="s">
        <v>143</v>
      </c>
      <c r="E98" s="27">
        <v>1000</v>
      </c>
      <c r="F98" s="28">
        <v>4970.26</v>
      </c>
      <c r="G98" s="29">
        <v>8.5093400000000007E-3</v>
      </c>
      <c r="H98" s="17">
        <f>IFERROR(VLOOKUP(B98,'[1]Debt Holding Consolidated'!$C$1:$N$65536,12,FALSE),"")</f>
        <v>7.8</v>
      </c>
    </row>
    <row r="99" spans="1:10" x14ac:dyDescent="0.2">
      <c r="A99" s="25">
        <v>30</v>
      </c>
      <c r="B99" s="26" t="s">
        <v>344</v>
      </c>
      <c r="C99" s="26" t="s">
        <v>345</v>
      </c>
      <c r="D99" s="26" t="s">
        <v>143</v>
      </c>
      <c r="E99" s="27">
        <v>1000</v>
      </c>
      <c r="F99" s="28">
        <v>4966.4250000000002</v>
      </c>
      <c r="G99" s="29">
        <v>8.5027699999999998E-3</v>
      </c>
      <c r="H99" s="17">
        <f>IFERROR(VLOOKUP(B99,'[1]Debt Holding Consolidated'!$C$1:$N$65536,12,FALSE),"")</f>
        <v>7.0500999999999996</v>
      </c>
    </row>
    <row r="100" spans="1:10" x14ac:dyDescent="0.2">
      <c r="A100" s="25">
        <v>31</v>
      </c>
      <c r="B100" s="26" t="s">
        <v>346</v>
      </c>
      <c r="C100" s="26" t="s">
        <v>347</v>
      </c>
      <c r="D100" s="26" t="s">
        <v>143</v>
      </c>
      <c r="E100" s="27">
        <v>1000</v>
      </c>
      <c r="F100" s="28">
        <v>4960.6350000000002</v>
      </c>
      <c r="G100" s="29">
        <v>8.4928599999999996E-3</v>
      </c>
      <c r="H100" s="17">
        <f>IFERROR(VLOOKUP(B100,'[1]Debt Holding Consolidated'!$C$1:$N$65536,12,FALSE),"")</f>
        <v>7.0646000000000004</v>
      </c>
    </row>
    <row r="101" spans="1:10" ht="25.5" x14ac:dyDescent="0.2">
      <c r="A101" s="25">
        <v>32</v>
      </c>
      <c r="B101" s="26" t="s">
        <v>348</v>
      </c>
      <c r="C101" s="26" t="s">
        <v>349</v>
      </c>
      <c r="D101" s="26" t="s">
        <v>161</v>
      </c>
      <c r="E101" s="27">
        <v>1000</v>
      </c>
      <c r="F101" s="28">
        <v>4926.46</v>
      </c>
      <c r="G101" s="29">
        <v>8.4343500000000002E-3</v>
      </c>
      <c r="H101" s="17">
        <f>IFERROR(VLOOKUP(B101,'[1]Debt Holding Consolidated'!$C$1:$N$65536,12,FALSE),"")</f>
        <v>7.2649999999999997</v>
      </c>
      <c r="J101"/>
    </row>
    <row r="102" spans="1:10" x14ac:dyDescent="0.2">
      <c r="A102" s="25">
        <v>33</v>
      </c>
      <c r="B102" s="26" t="s">
        <v>350</v>
      </c>
      <c r="C102" s="26" t="s">
        <v>351</v>
      </c>
      <c r="D102" s="26" t="s">
        <v>143</v>
      </c>
      <c r="E102" s="27">
        <v>1000</v>
      </c>
      <c r="F102" s="28">
        <v>4908.8149999999996</v>
      </c>
      <c r="G102" s="29">
        <v>8.4041399999999992E-3</v>
      </c>
      <c r="H102" s="17">
        <f>IFERROR(VLOOKUP(B102,'[1]Debt Holding Consolidated'!$C$1:$N$65536,12,FALSE),"")</f>
        <v>7.7050000000000001</v>
      </c>
      <c r="J102"/>
    </row>
    <row r="103" spans="1:10" ht="25.5" x14ac:dyDescent="0.2">
      <c r="A103" s="25">
        <v>34</v>
      </c>
      <c r="B103" s="26" t="s">
        <v>176</v>
      </c>
      <c r="C103" s="26" t="s">
        <v>177</v>
      </c>
      <c r="D103" s="26" t="s">
        <v>143</v>
      </c>
      <c r="E103" s="27">
        <v>1000</v>
      </c>
      <c r="F103" s="28">
        <v>4906.4449999999997</v>
      </c>
      <c r="G103" s="29">
        <v>8.4000800000000007E-3</v>
      </c>
      <c r="H103" s="17">
        <f>IFERROR(VLOOKUP(B103,'[1]Debt Holding Consolidated'!$C$1:$N$65536,12,FALSE),"")</f>
        <v>7.82</v>
      </c>
      <c r="J103"/>
    </row>
    <row r="104" spans="1:10" x14ac:dyDescent="0.2">
      <c r="A104" s="25">
        <v>35</v>
      </c>
      <c r="B104" s="26" t="s">
        <v>352</v>
      </c>
      <c r="C104" s="26" t="s">
        <v>353</v>
      </c>
      <c r="D104" s="26" t="s">
        <v>143</v>
      </c>
      <c r="E104" s="27">
        <v>900</v>
      </c>
      <c r="F104" s="28">
        <v>4416.9120000000003</v>
      </c>
      <c r="G104" s="29">
        <v>7.5619800000000003E-3</v>
      </c>
      <c r="H104" s="17">
        <f>IFERROR(VLOOKUP(B104,'[1]Debt Holding Consolidated'!$C$1:$N$65536,12,FALSE),"")</f>
        <v>7.7150999999999996</v>
      </c>
      <c r="J104"/>
    </row>
    <row r="105" spans="1:10" x14ac:dyDescent="0.2">
      <c r="A105" s="25">
        <v>36</v>
      </c>
      <c r="B105" s="26" t="s">
        <v>354</v>
      </c>
      <c r="C105" s="26" t="s">
        <v>355</v>
      </c>
      <c r="D105" s="26" t="s">
        <v>143</v>
      </c>
      <c r="E105" s="27">
        <v>500</v>
      </c>
      <c r="F105" s="28">
        <v>2493.14</v>
      </c>
      <c r="G105" s="29">
        <v>4.2683799999999996E-3</v>
      </c>
      <c r="H105" s="17">
        <f>IFERROR(VLOOKUP(B105,'[1]Debt Holding Consolidated'!$C$1:$N$65536,12,FALSE),"")</f>
        <v>7.1749999999999998</v>
      </c>
      <c r="J105"/>
    </row>
    <row r="106" spans="1:10" ht="25.5" x14ac:dyDescent="0.2">
      <c r="A106" s="25">
        <v>37</v>
      </c>
      <c r="B106" s="26" t="s">
        <v>356</v>
      </c>
      <c r="C106" s="26" t="s">
        <v>357</v>
      </c>
      <c r="D106" s="26" t="s">
        <v>143</v>
      </c>
      <c r="E106" s="27">
        <v>500</v>
      </c>
      <c r="F106" s="28">
        <v>2487.65</v>
      </c>
      <c r="G106" s="29">
        <v>4.2589799999999999E-3</v>
      </c>
      <c r="H106" s="17">
        <f>IFERROR(VLOOKUP(B106,'[1]Debt Holding Consolidated'!$C$1:$N$65536,12,FALSE),"")</f>
        <v>6.97</v>
      </c>
      <c r="J106"/>
    </row>
    <row r="107" spans="1:10" x14ac:dyDescent="0.2">
      <c r="A107" s="25">
        <v>38</v>
      </c>
      <c r="B107" s="26" t="s">
        <v>358</v>
      </c>
      <c r="C107" s="26" t="s">
        <v>359</v>
      </c>
      <c r="D107" s="26" t="s">
        <v>143</v>
      </c>
      <c r="E107" s="27">
        <v>500</v>
      </c>
      <c r="F107" s="28">
        <v>2482.2424999999998</v>
      </c>
      <c r="G107" s="29">
        <v>4.2497300000000002E-3</v>
      </c>
      <c r="H107" s="17">
        <f>IFERROR(VLOOKUP(B107,'[1]Debt Holding Consolidated'!$C$1:$N$65536,12,FALSE),"")</f>
        <v>7.68</v>
      </c>
      <c r="J107"/>
    </row>
    <row r="108" spans="1:10" x14ac:dyDescent="0.2">
      <c r="A108" s="15"/>
      <c r="B108" s="15"/>
      <c r="C108" s="16" t="s">
        <v>11</v>
      </c>
      <c r="D108" s="15"/>
      <c r="E108" s="15" t="s">
        <v>12</v>
      </c>
      <c r="F108" s="24">
        <v>275158.8395</v>
      </c>
      <c r="G108" s="19">
        <v>0.47108591999999999</v>
      </c>
      <c r="H108" s="17" t="str">
        <f>IFERROR(VLOOKUP(B108,'[1]Debt Holding Consolidated'!$C$1:$N$65536,12,FALSE),"")</f>
        <v/>
      </c>
      <c r="J108"/>
    </row>
    <row r="109" spans="1:10" x14ac:dyDescent="0.2">
      <c r="A109" s="15"/>
      <c r="B109" s="15"/>
      <c r="C109" s="20"/>
      <c r="D109" s="15"/>
      <c r="E109" s="15"/>
      <c r="F109" s="21"/>
      <c r="G109" s="21"/>
      <c r="H109" s="17" t="str">
        <f>IFERROR(VLOOKUP(B109,'[1]Debt Holding Consolidated'!$C$1:$N$65536,12,FALSE),"")</f>
        <v/>
      </c>
    </row>
    <row r="110" spans="1:10" x14ac:dyDescent="0.2">
      <c r="A110" s="15"/>
      <c r="B110" s="15"/>
      <c r="C110" s="16" t="s">
        <v>87</v>
      </c>
      <c r="D110" s="15"/>
      <c r="E110" s="15"/>
      <c r="F110" s="21"/>
      <c r="G110" s="21"/>
      <c r="H110" s="17" t="str">
        <f>IFERROR(VLOOKUP(B110,'[1]Debt Holding Consolidated'!$C$1:$N$65536,12,FALSE),"")</f>
        <v/>
      </c>
    </row>
    <row r="111" spans="1:10" x14ac:dyDescent="0.2">
      <c r="A111" s="25">
        <v>1</v>
      </c>
      <c r="B111" s="26" t="s">
        <v>360</v>
      </c>
      <c r="C111" s="26" t="s">
        <v>361</v>
      </c>
      <c r="D111" s="26" t="s">
        <v>71</v>
      </c>
      <c r="E111" s="27">
        <v>27500000</v>
      </c>
      <c r="F111" s="28">
        <v>27299.525000000001</v>
      </c>
      <c r="G111" s="29">
        <v>4.6738170000000002E-2</v>
      </c>
      <c r="H111" s="17">
        <f>IFERROR(VLOOKUP(B111,'[1]Debt Holding Consolidated'!$C$1:$N$65536,12,FALSE),"")</f>
        <v>6.5374999999999996</v>
      </c>
    </row>
    <row r="112" spans="1:10" x14ac:dyDescent="0.2">
      <c r="A112" s="25">
        <v>2</v>
      </c>
      <c r="B112" s="26" t="s">
        <v>362</v>
      </c>
      <c r="C112" s="26" t="s">
        <v>363</v>
      </c>
      <c r="D112" s="26" t="s">
        <v>71</v>
      </c>
      <c r="E112" s="27">
        <v>10000000</v>
      </c>
      <c r="F112" s="28">
        <v>9952.2199999999993</v>
      </c>
      <c r="G112" s="29">
        <v>1.7038709999999999E-2</v>
      </c>
      <c r="H112" s="17">
        <f>IFERROR(VLOOKUP(B112,'[1]Debt Holding Consolidated'!$C$1:$N$65536,12,FALSE),"")</f>
        <v>6.4897</v>
      </c>
    </row>
    <row r="113" spans="1:8" x14ac:dyDescent="0.2">
      <c r="A113" s="25">
        <v>3</v>
      </c>
      <c r="B113" s="26" t="s">
        <v>364</v>
      </c>
      <c r="C113" s="26" t="s">
        <v>365</v>
      </c>
      <c r="D113" s="26" t="s">
        <v>71</v>
      </c>
      <c r="E113" s="27">
        <v>10000000</v>
      </c>
      <c r="F113" s="28">
        <v>9887.7900000000009</v>
      </c>
      <c r="G113" s="29">
        <v>1.69284E-2</v>
      </c>
      <c r="H113" s="17">
        <f>IFERROR(VLOOKUP(B113,'[1]Debt Holding Consolidated'!$C$1:$N$65536,12,FALSE),"")</f>
        <v>6.5750000000000002</v>
      </c>
    </row>
    <row r="114" spans="1:8" x14ac:dyDescent="0.2">
      <c r="A114" s="25">
        <v>4</v>
      </c>
      <c r="B114" s="26" t="s">
        <v>366</v>
      </c>
      <c r="C114" s="26" t="s">
        <v>367</v>
      </c>
      <c r="D114" s="26" t="s">
        <v>71</v>
      </c>
      <c r="E114" s="27">
        <v>10000000</v>
      </c>
      <c r="F114" s="28">
        <v>9863.6</v>
      </c>
      <c r="G114" s="29">
        <v>1.6886979999999999E-2</v>
      </c>
      <c r="H114" s="17">
        <f>IFERROR(VLOOKUP(B114,'[1]Debt Holding Consolidated'!$C$1:$N$65536,12,FALSE),"")</f>
        <v>6.5552000000000001</v>
      </c>
    </row>
    <row r="115" spans="1:8" x14ac:dyDescent="0.2">
      <c r="A115" s="25">
        <v>5</v>
      </c>
      <c r="B115" s="26" t="s">
        <v>368</v>
      </c>
      <c r="C115" s="26" t="s">
        <v>369</v>
      </c>
      <c r="D115" s="26" t="s">
        <v>71</v>
      </c>
      <c r="E115" s="27">
        <v>10000000</v>
      </c>
      <c r="F115" s="28">
        <v>9852.69</v>
      </c>
      <c r="G115" s="29">
        <v>1.6868310000000001E-2</v>
      </c>
      <c r="H115" s="17">
        <f>IFERROR(VLOOKUP(B115,'[1]Debt Holding Consolidated'!$C$1:$N$65536,12,FALSE),"")</f>
        <v>6.5750000000000002</v>
      </c>
    </row>
    <row r="116" spans="1:8" x14ac:dyDescent="0.2">
      <c r="A116" s="25">
        <v>6</v>
      </c>
      <c r="B116" s="26" t="s">
        <v>370</v>
      </c>
      <c r="C116" s="26" t="s">
        <v>371</v>
      </c>
      <c r="D116" s="26" t="s">
        <v>71</v>
      </c>
      <c r="E116" s="27">
        <v>10000000</v>
      </c>
      <c r="F116" s="28">
        <v>9839.14</v>
      </c>
      <c r="G116" s="29">
        <v>1.684511E-2</v>
      </c>
      <c r="H116" s="17">
        <f>IFERROR(VLOOKUP(B116,'[1]Debt Holding Consolidated'!$C$1:$N$65536,12,FALSE),"")</f>
        <v>6.5575000000000001</v>
      </c>
    </row>
    <row r="117" spans="1:8" x14ac:dyDescent="0.2">
      <c r="A117" s="15"/>
      <c r="B117" s="15"/>
      <c r="C117" s="16" t="s">
        <v>11</v>
      </c>
      <c r="D117" s="15"/>
      <c r="E117" s="15" t="s">
        <v>12</v>
      </c>
      <c r="F117" s="24">
        <v>76694.964999999997</v>
      </c>
      <c r="G117" s="19">
        <v>0.13130568000000001</v>
      </c>
      <c r="H117" s="17" t="str">
        <f>IFERROR(VLOOKUP(B117,'[1]Debt Holding Consolidated'!$C$1:$N$65536,12,FALSE),"")</f>
        <v/>
      </c>
    </row>
    <row r="118" spans="1:8" x14ac:dyDescent="0.2">
      <c r="A118" s="15"/>
      <c r="B118" s="15"/>
      <c r="C118" s="20"/>
      <c r="D118" s="15"/>
      <c r="E118" s="15"/>
      <c r="F118" s="21"/>
      <c r="G118" s="21"/>
      <c r="H118" s="17" t="str">
        <f>IFERROR(VLOOKUP(B118,'[1]Debt Holding Consolidated'!$C$1:$N$65536,12,FALSE),"")</f>
        <v/>
      </c>
    </row>
    <row r="119" spans="1:8" x14ac:dyDescent="0.2">
      <c r="A119" s="15"/>
      <c r="B119" s="15"/>
      <c r="C119" s="16" t="s">
        <v>88</v>
      </c>
      <c r="D119" s="15"/>
      <c r="E119" s="15"/>
      <c r="F119" s="21"/>
      <c r="G119" s="21"/>
      <c r="H119" s="17" t="str">
        <f>IFERROR(VLOOKUP(B119,'[1]Debt Holding Consolidated'!$C$1:$N$65536,12,FALSE),"")</f>
        <v/>
      </c>
    </row>
    <row r="120" spans="1:8" x14ac:dyDescent="0.2">
      <c r="A120" s="25">
        <v>1</v>
      </c>
      <c r="B120" s="26"/>
      <c r="C120" s="26" t="s">
        <v>372</v>
      </c>
      <c r="D120" s="26"/>
      <c r="E120" s="30"/>
      <c r="F120" s="28">
        <v>17999.998</v>
      </c>
      <c r="G120" s="29">
        <v>3.0816909999999999E-2</v>
      </c>
      <c r="H120" s="17">
        <v>6.4700000466666721</v>
      </c>
    </row>
    <row r="121" spans="1:8" x14ac:dyDescent="0.2">
      <c r="A121" s="25">
        <v>2</v>
      </c>
      <c r="B121" s="26"/>
      <c r="C121" s="26" t="s">
        <v>89</v>
      </c>
      <c r="D121" s="26"/>
      <c r="E121" s="30"/>
      <c r="F121" s="28">
        <v>16206.172064021999</v>
      </c>
      <c r="G121" s="29">
        <v>2.7745789999999999E-2</v>
      </c>
      <c r="H121" s="17">
        <v>6.3551211905931497</v>
      </c>
    </row>
    <row r="122" spans="1:8" x14ac:dyDescent="0.2">
      <c r="A122" s="15"/>
      <c r="B122" s="15"/>
      <c r="C122" s="16" t="s">
        <v>11</v>
      </c>
      <c r="D122" s="15"/>
      <c r="E122" s="15" t="s">
        <v>12</v>
      </c>
      <c r="F122" s="24">
        <v>34206.170064022001</v>
      </c>
      <c r="G122" s="19">
        <v>5.8562700000000002E-2</v>
      </c>
      <c r="H122" s="17" t="str">
        <f>IFERROR(VLOOKUP(B122,'[1]Debt Holding Consolidated'!$C$1:$N$65536,12,FALSE),"")</f>
        <v/>
      </c>
    </row>
    <row r="123" spans="1:8" x14ac:dyDescent="0.2">
      <c r="A123" s="15"/>
      <c r="B123" s="15"/>
      <c r="C123" s="20"/>
      <c r="D123" s="15"/>
      <c r="E123" s="15"/>
      <c r="F123" s="21"/>
      <c r="G123" s="21"/>
      <c r="H123" s="17" t="str">
        <f>IFERROR(VLOOKUP(B123,'[1]Debt Holding Consolidated'!$C$1:$N$65536,12,FALSE),"")</f>
        <v/>
      </c>
    </row>
    <row r="124" spans="1:8" x14ac:dyDescent="0.2">
      <c r="A124" s="15"/>
      <c r="B124" s="15"/>
      <c r="C124" s="16" t="s">
        <v>90</v>
      </c>
      <c r="D124" s="15"/>
      <c r="E124" s="15"/>
      <c r="F124" s="24">
        <v>587002.60706402198</v>
      </c>
      <c r="G124" s="19">
        <v>1.00497832</v>
      </c>
      <c r="H124" s="17" t="str">
        <f>IFERROR(VLOOKUP(B124,'[1]Debt Holding Consolidated'!$C$1:$N$65536,12,FALSE),"")</f>
        <v/>
      </c>
    </row>
    <row r="125" spans="1:8" x14ac:dyDescent="0.2">
      <c r="A125" s="15"/>
      <c r="B125" s="15"/>
      <c r="C125" s="21"/>
      <c r="D125" s="15"/>
      <c r="E125" s="15"/>
      <c r="F125" s="15"/>
      <c r="G125" s="15"/>
      <c r="H125" s="17" t="str">
        <f>IFERROR(VLOOKUP(B125,'[1]Debt Holding Consolidated'!$C$1:$N$65536,12,FALSE),"")</f>
        <v/>
      </c>
    </row>
    <row r="126" spans="1:8" x14ac:dyDescent="0.2">
      <c r="A126" s="15"/>
      <c r="B126" s="15"/>
      <c r="C126" s="16" t="s">
        <v>91</v>
      </c>
      <c r="D126" s="15"/>
      <c r="E126" s="15"/>
      <c r="F126" s="15"/>
      <c r="G126" s="15"/>
      <c r="H126" s="17" t="str">
        <f>IFERROR(VLOOKUP(B126,'[1]Debt Holding Consolidated'!$C$1:$N$65536,12,FALSE),"")</f>
        <v/>
      </c>
    </row>
    <row r="127" spans="1:8" x14ac:dyDescent="0.2">
      <c r="A127" s="15"/>
      <c r="B127" s="15"/>
      <c r="C127" s="16" t="s">
        <v>92</v>
      </c>
      <c r="D127" s="15"/>
      <c r="E127" s="15"/>
      <c r="F127" s="15"/>
      <c r="G127" s="15"/>
      <c r="H127" s="17" t="str">
        <f>IFERROR(VLOOKUP(B127,'[1]Debt Holding Consolidated'!$C$1:$N$65536,12,FALSE),"")</f>
        <v/>
      </c>
    </row>
    <row r="128" spans="1:8" x14ac:dyDescent="0.2">
      <c r="A128" s="15"/>
      <c r="B128" s="15"/>
      <c r="C128" s="16" t="s">
        <v>11</v>
      </c>
      <c r="D128" s="15"/>
      <c r="E128" s="15" t="s">
        <v>12</v>
      </c>
      <c r="F128" s="18" t="s">
        <v>13</v>
      </c>
      <c r="G128" s="19">
        <v>0</v>
      </c>
      <c r="H128" s="17" t="str">
        <f>IFERROR(VLOOKUP(B128,'[1]Debt Holding Consolidated'!$C$1:$N$65536,12,FALSE),"")</f>
        <v/>
      </c>
    </row>
    <row r="129" spans="1:18" x14ac:dyDescent="0.2">
      <c r="A129" s="15"/>
      <c r="B129" s="15"/>
      <c r="C129" s="20"/>
      <c r="D129" s="15"/>
      <c r="E129" s="15"/>
      <c r="F129" s="21"/>
      <c r="G129" s="21"/>
      <c r="H129" s="17" t="str">
        <f>IFERROR(VLOOKUP(B129,'[1]Debt Holding Consolidated'!$C$1:$N$65536,12,FALSE),"")</f>
        <v/>
      </c>
    </row>
    <row r="130" spans="1:18" x14ac:dyDescent="0.2">
      <c r="A130" s="31"/>
      <c r="B130" s="31"/>
      <c r="C130" s="32" t="s">
        <v>517</v>
      </c>
      <c r="D130" s="31"/>
      <c r="E130" s="31"/>
      <c r="F130" s="33"/>
      <c r="G130" s="33"/>
      <c r="H130" s="34"/>
      <c r="L130" s="35"/>
      <c r="M130" s="35"/>
      <c r="N130" s="35"/>
      <c r="O130" s="35"/>
      <c r="P130" s="36"/>
      <c r="Q130" s="36"/>
      <c r="R130" s="36"/>
    </row>
    <row r="131" spans="1:18" ht="25.5" x14ac:dyDescent="0.2">
      <c r="A131" s="25">
        <v>1</v>
      </c>
      <c r="B131" s="26" t="s">
        <v>93</v>
      </c>
      <c r="C131" s="26" t="s">
        <v>94</v>
      </c>
      <c r="D131" s="26"/>
      <c r="E131" s="37">
        <v>13479.374400000001</v>
      </c>
      <c r="F131" s="28">
        <v>1395.30270806</v>
      </c>
      <c r="G131" s="29">
        <v>2.3888300000000002E-3</v>
      </c>
      <c r="H131" s="17"/>
    </row>
    <row r="132" spans="1:18" x14ac:dyDescent="0.2">
      <c r="A132" s="15"/>
      <c r="B132" s="15"/>
      <c r="C132" s="16" t="s">
        <v>11</v>
      </c>
      <c r="D132" s="15"/>
      <c r="E132" s="15" t="s">
        <v>12</v>
      </c>
      <c r="F132" s="24">
        <v>1395.30270806</v>
      </c>
      <c r="G132" s="19">
        <v>2.3888300000000002E-3</v>
      </c>
      <c r="H132" s="17" t="s">
        <v>12</v>
      </c>
    </row>
    <row r="133" spans="1:18" x14ac:dyDescent="0.2">
      <c r="A133" s="15"/>
      <c r="B133" s="15"/>
      <c r="C133" s="20"/>
      <c r="D133" s="15"/>
      <c r="E133" s="15"/>
      <c r="F133" s="21"/>
      <c r="G133" s="21"/>
      <c r="H133" s="17" t="str">
        <f>IFERROR(VLOOKUP(B133,'[1]Debt Holding Consolidated'!$C$1:$N$65536,12,FALSE),"")</f>
        <v/>
      </c>
    </row>
    <row r="134" spans="1:18" x14ac:dyDescent="0.2">
      <c r="A134" s="15"/>
      <c r="B134" s="15"/>
      <c r="C134" s="16" t="s">
        <v>95</v>
      </c>
      <c r="D134" s="15"/>
      <c r="E134" s="15"/>
      <c r="F134" s="15"/>
      <c r="G134" s="15"/>
      <c r="H134" s="17" t="str">
        <f>IFERROR(VLOOKUP(B134,'[1]Debt Holding Consolidated'!$C$1:$N$65536,12,FALSE),"")</f>
        <v/>
      </c>
    </row>
    <row r="135" spans="1:18" x14ac:dyDescent="0.2">
      <c r="A135" s="15"/>
      <c r="B135" s="15"/>
      <c r="C135" s="16" t="s">
        <v>96</v>
      </c>
      <c r="D135" s="15"/>
      <c r="E135" s="15"/>
      <c r="F135" s="15"/>
      <c r="G135" s="15"/>
      <c r="H135" s="17" t="str">
        <f>IFERROR(VLOOKUP(B135,'[1]Debt Holding Consolidated'!$C$1:$N$65536,12,FALSE),"")</f>
        <v/>
      </c>
    </row>
    <row r="136" spans="1:18" x14ac:dyDescent="0.2">
      <c r="A136" s="15"/>
      <c r="B136" s="15"/>
      <c r="C136" s="16" t="s">
        <v>11</v>
      </c>
      <c r="D136" s="15"/>
      <c r="E136" s="15" t="s">
        <v>12</v>
      </c>
      <c r="F136" s="18" t="s">
        <v>13</v>
      </c>
      <c r="G136" s="19">
        <v>0</v>
      </c>
      <c r="H136" s="17" t="str">
        <f>IFERROR(VLOOKUP(B136,'[1]Debt Holding Consolidated'!$C$1:$N$65536,12,FALSE),"")</f>
        <v/>
      </c>
    </row>
    <row r="137" spans="1:18" x14ac:dyDescent="0.2">
      <c r="A137" s="15"/>
      <c r="B137" s="15"/>
      <c r="C137" s="20"/>
      <c r="D137" s="15"/>
      <c r="E137" s="15"/>
      <c r="F137" s="21"/>
      <c r="G137" s="21"/>
      <c r="H137" s="17" t="str">
        <f>IFERROR(VLOOKUP(B137,'[1]Debt Holding Consolidated'!$C$1:$N$65536,12,FALSE),"")</f>
        <v/>
      </c>
    </row>
    <row r="138" spans="1:18" x14ac:dyDescent="0.2">
      <c r="A138" s="15"/>
      <c r="B138" s="15"/>
      <c r="C138" s="16" t="s">
        <v>97</v>
      </c>
      <c r="D138" s="15"/>
      <c r="E138" s="15"/>
      <c r="F138" s="21"/>
      <c r="G138" s="21"/>
      <c r="H138" s="17" t="str">
        <f>IFERROR(VLOOKUP(B138,'[1]Debt Holding Consolidated'!$C$1:$N$65536,12,FALSE),"")</f>
        <v/>
      </c>
    </row>
    <row r="139" spans="1:18" x14ac:dyDescent="0.2">
      <c r="A139" s="15"/>
      <c r="B139" s="15"/>
      <c r="C139" s="16" t="s">
        <v>11</v>
      </c>
      <c r="D139" s="15"/>
      <c r="E139" s="15" t="s">
        <v>12</v>
      </c>
      <c r="F139" s="18" t="s">
        <v>13</v>
      </c>
      <c r="G139" s="19">
        <v>0</v>
      </c>
      <c r="H139" s="17" t="str">
        <f>IFERROR(VLOOKUP(B139,'[1]Debt Holding Consolidated'!$C$1:$N$65536,12,FALSE),"")</f>
        <v/>
      </c>
    </row>
    <row r="140" spans="1:18" x14ac:dyDescent="0.2">
      <c r="A140" s="15"/>
      <c r="B140" s="15"/>
      <c r="C140" s="20"/>
      <c r="D140" s="15"/>
      <c r="E140" s="15"/>
      <c r="F140" s="21"/>
      <c r="G140" s="21"/>
      <c r="H140" s="17" t="str">
        <f>IFERROR(VLOOKUP(B140,'[1]Debt Holding Consolidated'!$C$1:$N$65536,12,FALSE),"")</f>
        <v/>
      </c>
    </row>
    <row r="141" spans="1:18" x14ac:dyDescent="0.2">
      <c r="A141" s="30"/>
      <c r="B141" s="26"/>
      <c r="C141" s="26" t="s">
        <v>98</v>
      </c>
      <c r="D141" s="26"/>
      <c r="E141" s="30"/>
      <c r="F141" s="28">
        <f>-9295.4282121-0.000855541915893555</f>
        <v>-9295.429067641915</v>
      </c>
      <c r="G141" s="29">
        <v>-1.5914250000000001E-2</v>
      </c>
      <c r="H141" s="17" t="str">
        <f>IFERROR(VLOOKUP(B141,'[1]Debt Holding Consolidated'!$C$1:$N$65536,12,FALSE),"")</f>
        <v/>
      </c>
    </row>
    <row r="142" spans="1:18" x14ac:dyDescent="0.2">
      <c r="A142" s="20"/>
      <c r="B142" s="20"/>
      <c r="C142" s="16" t="s">
        <v>99</v>
      </c>
      <c r="D142" s="21"/>
      <c r="E142" s="21"/>
      <c r="F142" s="24">
        <f>584094.811559982-0.000855541915893555</f>
        <v>584094.81070444011</v>
      </c>
      <c r="G142" s="38">
        <v>1.0000000200000001</v>
      </c>
      <c r="H142" s="17" t="str">
        <f>IFERROR(VLOOKUP(B142,'[1]Debt Holding Consolidated'!$C$1:$N$65536,12,FALSE),"")</f>
        <v/>
      </c>
    </row>
    <row r="143" spans="1:18" x14ac:dyDescent="0.2">
      <c r="A143" s="39"/>
      <c r="B143" s="39"/>
      <c r="C143" s="39"/>
      <c r="D143" s="40"/>
      <c r="E143" s="40"/>
      <c r="F143" s="40"/>
      <c r="G143" s="40"/>
    </row>
    <row r="144" spans="1:18" x14ac:dyDescent="0.2">
      <c r="A144" s="41"/>
      <c r="B144" s="113" t="s">
        <v>518</v>
      </c>
      <c r="C144" s="113"/>
      <c r="D144" s="113"/>
      <c r="E144" s="113"/>
      <c r="F144" s="113"/>
      <c r="G144" s="113"/>
      <c r="H144" s="113"/>
    </row>
    <row r="145" spans="1:8" x14ac:dyDescent="0.2">
      <c r="A145" s="41"/>
      <c r="B145" s="113" t="s">
        <v>519</v>
      </c>
      <c r="C145" s="113"/>
      <c r="D145" s="113"/>
      <c r="E145" s="113"/>
      <c r="F145" s="113"/>
      <c r="G145" s="113"/>
      <c r="H145" s="113"/>
    </row>
    <row r="146" spans="1:8" x14ac:dyDescent="0.2">
      <c r="A146" s="41"/>
      <c r="B146" s="113" t="s">
        <v>520</v>
      </c>
      <c r="C146" s="113"/>
      <c r="D146" s="113"/>
      <c r="E146" s="113"/>
      <c r="F146" s="113"/>
      <c r="G146" s="113"/>
      <c r="H146" s="113"/>
    </row>
    <row r="147" spans="1:8" ht="12.75" customHeight="1" x14ac:dyDescent="0.2">
      <c r="A147" s="41"/>
      <c r="B147" s="122" t="s">
        <v>568</v>
      </c>
      <c r="C147" s="113"/>
      <c r="D147" s="113"/>
      <c r="E147" s="113"/>
      <c r="F147" s="113"/>
      <c r="G147" s="113"/>
      <c r="H147" s="113"/>
    </row>
    <row r="148" spans="1:8" x14ac:dyDescent="0.2">
      <c r="A148" s="41"/>
      <c r="B148" s="41"/>
      <c r="C148" s="41"/>
      <c r="D148" s="43"/>
      <c r="E148" s="43"/>
      <c r="F148" s="43"/>
      <c r="G148" s="43"/>
    </row>
    <row r="149" spans="1:8" x14ac:dyDescent="0.2">
      <c r="A149" s="44"/>
      <c r="B149" s="108" t="s">
        <v>100</v>
      </c>
      <c r="C149" s="109"/>
      <c r="D149" s="110"/>
      <c r="E149" s="45"/>
      <c r="F149" s="46"/>
      <c r="G149" s="46"/>
    </row>
    <row r="150" spans="1:8" ht="25.5" x14ac:dyDescent="0.2">
      <c r="A150" s="44"/>
      <c r="B150" s="111" t="s">
        <v>101</v>
      </c>
      <c r="C150" s="112"/>
      <c r="D150" s="32" t="s">
        <v>536</v>
      </c>
      <c r="E150" s="45"/>
      <c r="F150" s="46"/>
      <c r="G150" s="46"/>
    </row>
    <row r="151" spans="1:8" x14ac:dyDescent="0.2">
      <c r="A151" s="44"/>
      <c r="B151" s="111" t="s">
        <v>103</v>
      </c>
      <c r="C151" s="112"/>
      <c r="D151" s="16" t="s">
        <v>102</v>
      </c>
      <c r="E151" s="45"/>
      <c r="F151" s="46"/>
      <c r="G151" s="46"/>
    </row>
    <row r="152" spans="1:8" x14ac:dyDescent="0.2">
      <c r="A152" s="44"/>
      <c r="B152" s="111" t="s">
        <v>104</v>
      </c>
      <c r="C152" s="112"/>
      <c r="D152" s="21" t="s">
        <v>12</v>
      </c>
      <c r="E152" s="45"/>
      <c r="F152" s="46"/>
      <c r="G152" s="46"/>
    </row>
    <row r="153" spans="1:8" x14ac:dyDescent="0.2">
      <c r="A153" s="47"/>
      <c r="B153" s="48" t="s">
        <v>12</v>
      </c>
      <c r="C153" s="48" t="s">
        <v>535</v>
      </c>
      <c r="D153" s="48" t="s">
        <v>105</v>
      </c>
      <c r="E153" s="47"/>
      <c r="F153" s="47"/>
      <c r="G153" s="47"/>
      <c r="H153" s="49"/>
    </row>
    <row r="154" spans="1:8" x14ac:dyDescent="0.2">
      <c r="A154" s="50"/>
      <c r="B154" s="51" t="s">
        <v>106</v>
      </c>
      <c r="C154" s="52" t="s">
        <v>107</v>
      </c>
      <c r="D154" s="52" t="s">
        <v>108</v>
      </c>
      <c r="E154" s="50"/>
      <c r="F154" s="50"/>
      <c r="G154" s="50"/>
    </row>
    <row r="155" spans="1:8" x14ac:dyDescent="0.2">
      <c r="A155" s="50"/>
      <c r="B155" s="26" t="s">
        <v>109</v>
      </c>
      <c r="C155" s="53">
        <v>2184.6098999999999</v>
      </c>
      <c r="D155" s="53">
        <v>2190.8471</v>
      </c>
      <c r="E155" s="50"/>
      <c r="F155" s="54"/>
      <c r="G155" s="55"/>
    </row>
    <row r="156" spans="1:8" x14ac:dyDescent="0.2">
      <c r="A156" s="50"/>
      <c r="B156" s="26" t="s">
        <v>138</v>
      </c>
      <c r="C156" s="53">
        <v>1201.3371</v>
      </c>
      <c r="D156" s="53">
        <v>1204.7659000000001</v>
      </c>
      <c r="E156" s="50"/>
      <c r="F156" s="54"/>
      <c r="G156" s="55"/>
    </row>
    <row r="157" spans="1:8" ht="25.5" x14ac:dyDescent="0.2">
      <c r="A157" s="50"/>
      <c r="B157" s="26" t="s">
        <v>579</v>
      </c>
      <c r="C157" s="53">
        <v>1000.6367</v>
      </c>
      <c r="D157" s="53">
        <v>1000.6367</v>
      </c>
      <c r="E157" s="50"/>
      <c r="F157" s="54"/>
      <c r="G157" s="55"/>
    </row>
    <row r="158" spans="1:8" ht="25.5" x14ac:dyDescent="0.2">
      <c r="A158" s="50"/>
      <c r="B158" s="26" t="s">
        <v>580</v>
      </c>
      <c r="C158" s="53">
        <v>1007.9872</v>
      </c>
      <c r="D158" s="53">
        <v>1008.1801</v>
      </c>
      <c r="E158" s="50"/>
      <c r="F158" s="54"/>
      <c r="G158" s="55"/>
    </row>
    <row r="159" spans="1:8" ht="25.5" x14ac:dyDescent="0.2">
      <c r="A159" s="50"/>
      <c r="B159" s="26" t="s">
        <v>581</v>
      </c>
      <c r="C159" s="53">
        <v>1025.1523999999999</v>
      </c>
      <c r="D159" s="53">
        <v>1025.3479</v>
      </c>
      <c r="E159" s="50"/>
      <c r="F159" s="54"/>
      <c r="G159" s="55"/>
    </row>
    <row r="160" spans="1:8" ht="25.5" x14ac:dyDescent="0.2">
      <c r="A160" s="50"/>
      <c r="B160" s="26" t="s">
        <v>570</v>
      </c>
      <c r="C160" s="53">
        <v>1027.1065000000001</v>
      </c>
      <c r="D160" s="53">
        <v>1030.0389</v>
      </c>
      <c r="E160" s="50"/>
      <c r="F160" s="54"/>
      <c r="G160" s="55"/>
    </row>
    <row r="161" spans="1:7" ht="25.5" x14ac:dyDescent="0.2">
      <c r="A161" s="50"/>
      <c r="B161" s="26" t="s">
        <v>571</v>
      </c>
      <c r="C161" s="53">
        <v>1119.5708999999999</v>
      </c>
      <c r="D161" s="53">
        <v>1122.7662</v>
      </c>
      <c r="E161" s="50"/>
      <c r="F161" s="54"/>
      <c r="G161" s="55"/>
    </row>
    <row r="162" spans="1:7" x14ac:dyDescent="0.2">
      <c r="A162" s="50"/>
      <c r="B162" s="26" t="s">
        <v>110</v>
      </c>
      <c r="C162" s="53">
        <v>2163.3458999999998</v>
      </c>
      <c r="D162" s="53">
        <v>2169.3706999999999</v>
      </c>
      <c r="E162" s="50"/>
      <c r="F162" s="54"/>
      <c r="G162" s="55"/>
    </row>
    <row r="163" spans="1:7" x14ac:dyDescent="0.2">
      <c r="A163" s="50"/>
      <c r="B163" s="26" t="s">
        <v>139</v>
      </c>
      <c r="C163" s="53">
        <v>1197.4773</v>
      </c>
      <c r="D163" s="53">
        <v>1200.8123000000001</v>
      </c>
      <c r="E163" s="50"/>
      <c r="F163" s="54"/>
      <c r="G163" s="55"/>
    </row>
    <row r="164" spans="1:7" ht="25.5" x14ac:dyDescent="0.2">
      <c r="A164" s="50"/>
      <c r="B164" s="26" t="s">
        <v>582</v>
      </c>
      <c r="C164" s="53">
        <v>1000.8893</v>
      </c>
      <c r="D164" s="53">
        <v>1000.8893</v>
      </c>
      <c r="E164" s="50"/>
      <c r="F164" s="54"/>
      <c r="G164" s="55"/>
    </row>
    <row r="165" spans="1:7" ht="25.5" x14ac:dyDescent="0.2">
      <c r="A165" s="50"/>
      <c r="B165" s="26" t="s">
        <v>583</v>
      </c>
      <c r="C165" s="53">
        <v>1007.5077</v>
      </c>
      <c r="D165" s="53">
        <v>1007.6917</v>
      </c>
      <c r="E165" s="50"/>
      <c r="F165" s="54"/>
      <c r="G165" s="55"/>
    </row>
    <row r="166" spans="1:7" ht="25.5" x14ac:dyDescent="0.2">
      <c r="A166" s="50"/>
      <c r="B166" s="26" t="s">
        <v>584</v>
      </c>
      <c r="C166" s="53">
        <v>1025.0726999999999</v>
      </c>
      <c r="D166" s="53">
        <v>1025.2621999999999</v>
      </c>
      <c r="E166" s="50"/>
      <c r="F166" s="54"/>
      <c r="G166" s="55"/>
    </row>
    <row r="167" spans="1:7" ht="25.5" x14ac:dyDescent="0.2">
      <c r="A167" s="50"/>
      <c r="B167" s="26" t="s">
        <v>574</v>
      </c>
      <c r="C167" s="53">
        <v>1026.9848</v>
      </c>
      <c r="D167" s="53">
        <v>1029.8448000000001</v>
      </c>
      <c r="E167" s="50"/>
      <c r="F167" s="54"/>
      <c r="G167" s="55"/>
    </row>
    <row r="168" spans="1:7" ht="25.5" x14ac:dyDescent="0.2">
      <c r="A168" s="50"/>
      <c r="B168" s="26" t="s">
        <v>575</v>
      </c>
      <c r="C168" s="53">
        <v>1116.2215000000001</v>
      </c>
      <c r="D168" s="53">
        <v>1119.3302000000001</v>
      </c>
      <c r="E168" s="50"/>
      <c r="F168" s="54"/>
      <c r="G168" s="55"/>
    </row>
    <row r="169" spans="1:7" x14ac:dyDescent="0.2">
      <c r="A169" s="50"/>
      <c r="B169" s="50"/>
      <c r="C169" s="50"/>
      <c r="D169" s="50"/>
      <c r="E169" s="50"/>
      <c r="F169" s="50"/>
      <c r="G169" s="50"/>
    </row>
    <row r="170" spans="1:7" x14ac:dyDescent="0.2">
      <c r="A170" s="50"/>
      <c r="B170" s="111" t="s">
        <v>578</v>
      </c>
      <c r="C170" s="112"/>
      <c r="D170" s="16" t="s">
        <v>12</v>
      </c>
      <c r="E170" s="50"/>
      <c r="F170" s="50"/>
      <c r="G170" s="50"/>
    </row>
    <row r="171" spans="1:7" x14ac:dyDescent="0.2">
      <c r="A171" s="50"/>
      <c r="B171" s="75" t="s">
        <v>106</v>
      </c>
      <c r="C171" s="76" t="s">
        <v>373</v>
      </c>
      <c r="D171" s="76" t="s">
        <v>374</v>
      </c>
      <c r="E171" s="50"/>
      <c r="F171" s="50"/>
      <c r="G171" s="50"/>
    </row>
    <row r="172" spans="1:7" ht="25.5" x14ac:dyDescent="0.2">
      <c r="A172" s="50"/>
      <c r="B172" s="26" t="s">
        <v>579</v>
      </c>
      <c r="C172" s="77">
        <v>2.85371</v>
      </c>
      <c r="D172" s="77">
        <v>2.85371</v>
      </c>
      <c r="E172" s="50"/>
      <c r="F172" s="54"/>
      <c r="G172" s="55"/>
    </row>
    <row r="173" spans="1:7" ht="25.5" x14ac:dyDescent="0.2">
      <c r="A173" s="50"/>
      <c r="B173" s="26" t="s">
        <v>580</v>
      </c>
      <c r="C173" s="77">
        <v>2.6793999999999998</v>
      </c>
      <c r="D173" s="30" t="s">
        <v>375</v>
      </c>
      <c r="E173" s="50"/>
      <c r="F173" s="54"/>
      <c r="G173" s="55"/>
    </row>
    <row r="174" spans="1:7" ht="25.5" x14ac:dyDescent="0.2">
      <c r="A174" s="50"/>
      <c r="B174" s="26" t="s">
        <v>581</v>
      </c>
      <c r="C174" s="77">
        <v>2.7349000000000001</v>
      </c>
      <c r="D174" s="30" t="s">
        <v>375</v>
      </c>
      <c r="E174" s="50"/>
      <c r="F174" s="54"/>
      <c r="G174" s="55"/>
    </row>
    <row r="175" spans="1:7" ht="25.5" x14ac:dyDescent="0.2">
      <c r="A175" s="50"/>
      <c r="B175" s="26" t="s">
        <v>582</v>
      </c>
      <c r="C175" s="77">
        <v>2.7846120000000001</v>
      </c>
      <c r="D175" s="77">
        <v>2.7846120000000001</v>
      </c>
      <c r="E175" s="50"/>
      <c r="F175" s="54"/>
      <c r="G175" s="55"/>
    </row>
    <row r="176" spans="1:7" ht="25.5" x14ac:dyDescent="0.2">
      <c r="A176" s="50"/>
      <c r="B176" s="26" t="s">
        <v>583</v>
      </c>
      <c r="C176" s="77">
        <v>2.6175000000000002</v>
      </c>
      <c r="D176" s="77">
        <v>2.6175000000000002</v>
      </c>
      <c r="E176" s="50"/>
      <c r="F176" s="54"/>
      <c r="G176" s="55"/>
    </row>
    <row r="177" spans="1:18" ht="25.5" x14ac:dyDescent="0.2">
      <c r="A177" s="50"/>
      <c r="B177" s="26" t="s">
        <v>584</v>
      </c>
      <c r="C177" s="77">
        <v>2.6631</v>
      </c>
      <c r="D177" s="30" t="s">
        <v>375</v>
      </c>
      <c r="E177" s="50"/>
      <c r="F177" s="54"/>
      <c r="G177" s="55"/>
    </row>
    <row r="178" spans="1:18" x14ac:dyDescent="0.2">
      <c r="A178" s="50"/>
      <c r="B178" s="78"/>
      <c r="C178" s="78"/>
      <c r="D178" s="79"/>
      <c r="E178" s="50"/>
      <c r="F178" s="54"/>
      <c r="G178" s="55"/>
    </row>
    <row r="179" spans="1:18" s="58" customFormat="1" ht="17.100000000000001" customHeight="1" x14ac:dyDescent="0.2">
      <c r="A179" s="64"/>
      <c r="B179" s="105" t="s">
        <v>531</v>
      </c>
      <c r="C179" s="106"/>
      <c r="D179" s="32" t="s">
        <v>102</v>
      </c>
      <c r="E179" s="64"/>
      <c r="F179" s="64"/>
      <c r="G179" s="64"/>
      <c r="I179"/>
      <c r="J179" s="11"/>
      <c r="K179" s="35"/>
      <c r="L179" s="35"/>
      <c r="M179" s="35"/>
      <c r="N179" s="35"/>
      <c r="O179" s="65"/>
      <c r="P179"/>
      <c r="Q179"/>
    </row>
    <row r="180" spans="1:18" ht="12.75" customHeight="1" x14ac:dyDescent="0.2">
      <c r="A180" s="47"/>
      <c r="B180" s="105" t="s">
        <v>532</v>
      </c>
      <c r="C180" s="106"/>
      <c r="D180" s="32" t="s">
        <v>102</v>
      </c>
      <c r="E180" s="57"/>
      <c r="F180" s="47"/>
      <c r="G180" s="47"/>
    </row>
    <row r="181" spans="1:18" ht="12.75" customHeight="1" x14ac:dyDescent="0.2">
      <c r="A181" s="47"/>
      <c r="B181" s="105" t="s">
        <v>533</v>
      </c>
      <c r="C181" s="106"/>
      <c r="D181" s="32" t="s">
        <v>102</v>
      </c>
      <c r="E181" s="57"/>
      <c r="F181" s="47"/>
      <c r="G181" s="47"/>
    </row>
    <row r="182" spans="1:18" ht="12.75" customHeight="1" x14ac:dyDescent="0.2">
      <c r="A182" s="47"/>
      <c r="B182" s="105" t="s">
        <v>534</v>
      </c>
      <c r="C182" s="106"/>
      <c r="D182" s="32" t="s">
        <v>102</v>
      </c>
      <c r="E182" s="57"/>
      <c r="F182" s="47"/>
      <c r="G182" s="47"/>
    </row>
    <row r="183" spans="1:18" x14ac:dyDescent="0.2">
      <c r="A183" s="56"/>
      <c r="B183" s="56"/>
      <c r="C183" s="56"/>
      <c r="D183" s="56"/>
      <c r="E183" s="56"/>
      <c r="F183" s="56"/>
      <c r="G183" s="56"/>
    </row>
    <row r="184" spans="1:18" s="58" customFormat="1" x14ac:dyDescent="0.2">
      <c r="B184" s="66" t="s">
        <v>565</v>
      </c>
      <c r="C184" s="66"/>
      <c r="D184" s="66"/>
      <c r="E184" s="66"/>
      <c r="F184" s="66"/>
      <c r="G184" s="66"/>
      <c r="I184"/>
      <c r="J184" s="11"/>
      <c r="K184" s="35"/>
      <c r="L184" s="35"/>
      <c r="M184" s="35"/>
      <c r="N184" s="35"/>
      <c r="O184"/>
    </row>
    <row r="185" spans="1:18" s="58" customFormat="1" x14ac:dyDescent="0.2">
      <c r="B185" s="66"/>
      <c r="C185" s="66"/>
      <c r="D185" s="66"/>
      <c r="E185" s="66"/>
      <c r="F185" s="66"/>
      <c r="G185" s="66"/>
      <c r="I185"/>
      <c r="J185" s="11"/>
      <c r="K185" s="35"/>
      <c r="L185" s="35"/>
      <c r="M185" s="35"/>
      <c r="N185" s="35"/>
      <c r="O185"/>
    </row>
    <row r="186" spans="1:18" s="58" customFormat="1" ht="63.75" x14ac:dyDescent="0.2">
      <c r="B186" s="69" t="s">
        <v>538</v>
      </c>
      <c r="C186" s="69" t="s">
        <v>537</v>
      </c>
      <c r="D186" s="69" t="s">
        <v>544</v>
      </c>
      <c r="E186" s="69" t="s">
        <v>545</v>
      </c>
      <c r="F186" s="69" t="s">
        <v>541</v>
      </c>
      <c r="I186"/>
      <c r="J186" s="11"/>
      <c r="K186" s="35"/>
      <c r="L186" s="35"/>
      <c r="M186" s="35"/>
      <c r="N186" s="35"/>
      <c r="O186"/>
    </row>
    <row r="187" spans="1:18" s="58" customFormat="1" ht="25.5" x14ac:dyDescent="0.2">
      <c r="B187" s="60" t="s">
        <v>543</v>
      </c>
      <c r="C187" s="71" t="s">
        <v>542</v>
      </c>
      <c r="D187" s="80">
        <v>0</v>
      </c>
      <c r="E187" s="10">
        <v>0</v>
      </c>
      <c r="F187" s="72">
        <v>5650</v>
      </c>
      <c r="I187"/>
      <c r="J187" s="11"/>
      <c r="K187" s="35"/>
      <c r="L187" s="35"/>
      <c r="M187" s="35"/>
      <c r="N187" s="35"/>
      <c r="O187"/>
      <c r="R187"/>
    </row>
    <row r="188" spans="1:18" s="58" customFormat="1" x14ac:dyDescent="0.2">
      <c r="I188"/>
      <c r="J188" s="11"/>
      <c r="K188" s="35"/>
      <c r="L188" s="35"/>
      <c r="M188" s="35"/>
      <c r="N188" s="35"/>
      <c r="O188"/>
      <c r="R188"/>
    </row>
    <row r="189" spans="1:18" s="58" customFormat="1" x14ac:dyDescent="0.2">
      <c r="B189" s="118" t="s">
        <v>523</v>
      </c>
      <c r="C189" s="119"/>
      <c r="D189" s="120"/>
      <c r="I189"/>
      <c r="J189" s="11"/>
      <c r="K189" s="35"/>
      <c r="L189" s="35"/>
      <c r="M189" s="35"/>
      <c r="N189" s="35"/>
      <c r="O189"/>
      <c r="R189"/>
    </row>
    <row r="190" spans="1:18" s="58" customFormat="1" ht="25.5" x14ac:dyDescent="0.2">
      <c r="B190" s="121" t="s">
        <v>524</v>
      </c>
      <c r="C190" s="121"/>
      <c r="D190" s="59" t="s">
        <v>237</v>
      </c>
      <c r="I190"/>
      <c r="J190" s="11"/>
      <c r="K190" s="35"/>
      <c r="L190" s="35"/>
      <c r="M190" s="35"/>
      <c r="N190" s="35"/>
      <c r="O190"/>
      <c r="R190"/>
    </row>
    <row r="191" spans="1:18" s="58" customFormat="1" x14ac:dyDescent="0.2">
      <c r="B191" s="114" t="s">
        <v>525</v>
      </c>
      <c r="C191" s="114"/>
      <c r="D191" s="60"/>
      <c r="I191"/>
      <c r="J191" s="11"/>
      <c r="K191" s="35"/>
      <c r="L191" s="35"/>
      <c r="M191" s="35"/>
      <c r="N191" s="35"/>
      <c r="O191"/>
      <c r="R191"/>
    </row>
    <row r="192" spans="1:18" s="58" customFormat="1" x14ac:dyDescent="0.2">
      <c r="B192" s="114"/>
      <c r="C192" s="114"/>
      <c r="D192" s="61"/>
      <c r="I192"/>
      <c r="J192" s="11"/>
      <c r="K192" s="35"/>
      <c r="L192" s="35"/>
      <c r="M192" s="35"/>
      <c r="N192" s="35"/>
      <c r="O192"/>
      <c r="R192"/>
    </row>
    <row r="193" spans="2:18" s="58" customFormat="1" x14ac:dyDescent="0.2">
      <c r="B193" s="114" t="s">
        <v>526</v>
      </c>
      <c r="C193" s="114"/>
      <c r="D193" s="62">
        <v>7.0786868231102167</v>
      </c>
      <c r="I193"/>
      <c r="J193" s="11"/>
      <c r="K193" s="35"/>
      <c r="L193" s="35"/>
      <c r="M193" s="35"/>
      <c r="N193" s="35"/>
      <c r="O193"/>
      <c r="R193"/>
    </row>
    <row r="194" spans="2:18" s="58" customFormat="1" x14ac:dyDescent="0.2">
      <c r="B194" s="114"/>
      <c r="C194" s="114"/>
      <c r="D194" s="61"/>
      <c r="I194"/>
      <c r="J194" s="11"/>
      <c r="K194" s="35"/>
      <c r="L194" s="35"/>
      <c r="M194" s="35"/>
      <c r="N194" s="35"/>
      <c r="O194"/>
      <c r="R194"/>
    </row>
    <row r="195" spans="2:18" s="58" customFormat="1" x14ac:dyDescent="0.2">
      <c r="B195" s="114" t="s">
        <v>527</v>
      </c>
      <c r="C195" s="114"/>
      <c r="D195" s="62">
        <v>0.10063874947321381</v>
      </c>
      <c r="I195"/>
      <c r="J195" s="11"/>
      <c r="K195" s="35"/>
      <c r="L195" s="35"/>
      <c r="M195" s="35"/>
      <c r="N195" s="35"/>
      <c r="O195"/>
      <c r="R195"/>
    </row>
    <row r="196" spans="2:18" s="58" customFormat="1" x14ac:dyDescent="0.2">
      <c r="B196" s="114" t="s">
        <v>528</v>
      </c>
      <c r="C196" s="114"/>
      <c r="D196" s="62">
        <v>0.10063874947321381</v>
      </c>
      <c r="I196"/>
      <c r="J196" s="11"/>
      <c r="K196" s="35"/>
      <c r="L196" s="35"/>
      <c r="M196" s="35"/>
      <c r="N196" s="35"/>
      <c r="O196"/>
      <c r="R196"/>
    </row>
    <row r="197" spans="2:18" s="58" customFormat="1" x14ac:dyDescent="0.2">
      <c r="B197" s="114"/>
      <c r="C197" s="114"/>
      <c r="D197" s="61"/>
      <c r="I197"/>
      <c r="J197" s="11"/>
      <c r="K197" s="35"/>
      <c r="L197" s="35"/>
      <c r="M197" s="35"/>
      <c r="N197" s="35"/>
      <c r="O197"/>
      <c r="P197"/>
      <c r="Q197"/>
      <c r="R197"/>
    </row>
    <row r="198" spans="2:18" s="58" customFormat="1" ht="25.5" x14ac:dyDescent="0.2">
      <c r="B198" s="114" t="s">
        <v>529</v>
      </c>
      <c r="C198" s="114"/>
      <c r="D198" s="63" t="s">
        <v>564</v>
      </c>
      <c r="I198"/>
      <c r="J198" s="11"/>
      <c r="K198" s="35"/>
      <c r="L198" s="35"/>
      <c r="M198" s="35"/>
      <c r="N198" s="35"/>
      <c r="O198"/>
      <c r="P198"/>
      <c r="Q198"/>
      <c r="R198"/>
    </row>
    <row r="199" spans="2:18" s="58" customFormat="1" x14ac:dyDescent="0.2">
      <c r="B199" s="115" t="s">
        <v>530</v>
      </c>
      <c r="C199" s="117"/>
      <c r="D199" s="116"/>
      <c r="I199"/>
      <c r="J199" s="11"/>
      <c r="K199" s="35"/>
      <c r="L199" s="35"/>
      <c r="M199" s="35"/>
      <c r="N199" s="35"/>
      <c r="O199"/>
      <c r="P199"/>
      <c r="Q199"/>
      <c r="R199"/>
    </row>
  </sheetData>
  <mergeCells count="27">
    <mergeCell ref="B199:D199"/>
    <mergeCell ref="B194:C194"/>
    <mergeCell ref="B195:C195"/>
    <mergeCell ref="B196:C196"/>
    <mergeCell ref="B197:C197"/>
    <mergeCell ref="B198:C198"/>
    <mergeCell ref="B189:D189"/>
    <mergeCell ref="B190:C190"/>
    <mergeCell ref="B191:C191"/>
    <mergeCell ref="B192:C192"/>
    <mergeCell ref="B193:C193"/>
    <mergeCell ref="B181:C181"/>
    <mergeCell ref="B182:C182"/>
    <mergeCell ref="A1:H1"/>
    <mergeCell ref="A2:H2"/>
    <mergeCell ref="A3:H3"/>
    <mergeCell ref="B149:D149"/>
    <mergeCell ref="B150:C150"/>
    <mergeCell ref="B151:C151"/>
    <mergeCell ref="B152:C152"/>
    <mergeCell ref="B170:C170"/>
    <mergeCell ref="B180:C180"/>
    <mergeCell ref="B144:H144"/>
    <mergeCell ref="B145:H145"/>
    <mergeCell ref="B146:H146"/>
    <mergeCell ref="B147:H147"/>
    <mergeCell ref="B179:C179"/>
  </mergeCells>
  <hyperlinks>
    <hyperlink ref="I1" location="Index!B6" display="Index" xr:uid="{86AB621A-811F-45BE-B9CB-2140AF13C63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6C8EA-BA5A-4D36-9D80-3E0AADE495B7}">
  <sheetPr>
    <outlinePr summaryBelow="0" summaryRight="0"/>
  </sheetPr>
  <dimension ref="A1:S159"/>
  <sheetViews>
    <sheetView showGridLines="0" workbookViewId="0">
      <selection sqref="A1:H1"/>
    </sheetView>
  </sheetViews>
  <sheetFormatPr defaultRowHeight="12.75" x14ac:dyDescent="0.2"/>
  <cols>
    <col min="1" max="1" width="5.85546875" bestFit="1" customWidth="1"/>
    <col min="2" max="2" width="18.42578125" bestFit="1" customWidth="1"/>
    <col min="3" max="3" width="39.140625" bestFit="1" customWidth="1"/>
    <col min="4" max="4" width="10.7109375" bestFit="1" customWidth="1"/>
    <col min="5" max="5" width="8.42578125" bestFit="1" customWidth="1"/>
    <col min="6" max="6" width="10.140625" bestFit="1" customWidth="1"/>
    <col min="7" max="7" width="8.5703125" bestFit="1" customWidth="1"/>
    <col min="8" max="8" width="5.42578125" bestFit="1" customWidth="1"/>
    <col min="9" max="9" width="6" bestFit="1" customWidth="1"/>
    <col min="10" max="10" width="50.7109375" style="11" customWidth="1"/>
    <col min="11" max="256" width="6.7109375" customWidth="1"/>
  </cols>
  <sheetData>
    <row r="1" spans="1:11" ht="15" x14ac:dyDescent="0.2">
      <c r="A1" s="107" t="s">
        <v>0</v>
      </c>
      <c r="B1" s="107"/>
      <c r="C1" s="107"/>
      <c r="D1" s="107"/>
      <c r="E1" s="107"/>
      <c r="F1" s="107"/>
      <c r="G1" s="107"/>
      <c r="H1" s="107"/>
      <c r="I1" s="1" t="s">
        <v>587</v>
      </c>
      <c r="K1" s="1"/>
    </row>
    <row r="2" spans="1:11" ht="15" x14ac:dyDescent="0.2">
      <c r="A2" s="107" t="s">
        <v>376</v>
      </c>
      <c r="B2" s="107"/>
      <c r="C2" s="107"/>
      <c r="D2" s="107"/>
      <c r="E2" s="107"/>
      <c r="F2" s="107"/>
      <c r="G2" s="107"/>
      <c r="H2" s="107"/>
      <c r="J2" s="12" t="s">
        <v>588</v>
      </c>
    </row>
    <row r="3" spans="1:11" ht="15" x14ac:dyDescent="0.2">
      <c r="A3" s="107" t="s">
        <v>501</v>
      </c>
      <c r="B3" s="107"/>
      <c r="C3" s="107"/>
      <c r="D3" s="107"/>
      <c r="E3" s="107"/>
      <c r="F3" s="107"/>
      <c r="G3" s="107"/>
      <c r="H3" s="107"/>
    </row>
    <row r="4" spans="1:11" s="11" customFormat="1" ht="30" x14ac:dyDescent="0.2">
      <c r="A4" s="13" t="s">
        <v>2</v>
      </c>
      <c r="B4" s="13" t="s">
        <v>3</v>
      </c>
      <c r="C4" s="13" t="s">
        <v>4</v>
      </c>
      <c r="D4" s="13" t="s">
        <v>5</v>
      </c>
      <c r="E4" s="13" t="s">
        <v>6</v>
      </c>
      <c r="F4" s="13" t="s">
        <v>7</v>
      </c>
      <c r="G4" s="13" t="s">
        <v>8</v>
      </c>
      <c r="H4" s="14" t="s">
        <v>502</v>
      </c>
    </row>
    <row r="5" spans="1:11" x14ac:dyDescent="0.2">
      <c r="A5" s="15"/>
      <c r="B5" s="15"/>
      <c r="C5" s="16" t="s">
        <v>9</v>
      </c>
      <c r="D5" s="15"/>
      <c r="E5" s="15"/>
      <c r="F5" s="15"/>
      <c r="G5" s="15"/>
      <c r="H5" s="17" t="str">
        <f>IFERROR(VLOOKUP(B5,'[1]Debt Holding Consolidated'!$C$1:$N$65536,12,FALSE),"")</f>
        <v/>
      </c>
    </row>
    <row r="6" spans="1:11" x14ac:dyDescent="0.2">
      <c r="A6" s="15"/>
      <c r="B6" s="15"/>
      <c r="C6" s="16" t="s">
        <v>10</v>
      </c>
      <c r="D6" s="15"/>
      <c r="E6" s="15"/>
      <c r="F6" s="15"/>
      <c r="G6" s="15"/>
      <c r="H6" s="17" t="str">
        <f>IFERROR(VLOOKUP(B6,'[1]Debt Holding Consolidated'!$C$1:$N$65536,12,FALSE),"")</f>
        <v/>
      </c>
    </row>
    <row r="7" spans="1:11" x14ac:dyDescent="0.2">
      <c r="A7" s="15"/>
      <c r="B7" s="15"/>
      <c r="C7" s="16" t="s">
        <v>11</v>
      </c>
      <c r="D7" s="15"/>
      <c r="E7" s="15" t="s">
        <v>12</v>
      </c>
      <c r="F7" s="18" t="s">
        <v>13</v>
      </c>
      <c r="G7" s="19">
        <v>0</v>
      </c>
      <c r="H7" s="17" t="str">
        <f>IFERROR(VLOOKUP(B7,'[1]Debt Holding Consolidated'!$C$1:$N$65536,12,FALSE),"")</f>
        <v/>
      </c>
    </row>
    <row r="8" spans="1:11" x14ac:dyDescent="0.2">
      <c r="A8" s="15"/>
      <c r="B8" s="15"/>
      <c r="C8" s="20"/>
      <c r="D8" s="15"/>
      <c r="E8" s="15"/>
      <c r="F8" s="21"/>
      <c r="G8" s="21"/>
      <c r="H8" s="17" t="str">
        <f>IFERROR(VLOOKUP(B8,'[1]Debt Holding Consolidated'!$C$1:$N$65536,12,FALSE),"")</f>
        <v/>
      </c>
    </row>
    <row r="9" spans="1:11" x14ac:dyDescent="0.2">
      <c r="A9" s="15"/>
      <c r="B9" s="15"/>
      <c r="C9" s="16" t="s">
        <v>14</v>
      </c>
      <c r="D9" s="15"/>
      <c r="E9" s="15"/>
      <c r="F9" s="15"/>
      <c r="G9" s="15"/>
      <c r="H9" s="17" t="str">
        <f>IFERROR(VLOOKUP(B9,'[1]Debt Holding Consolidated'!$C$1:$N$65536,12,FALSE),"")</f>
        <v/>
      </c>
    </row>
    <row r="10" spans="1:11" x14ac:dyDescent="0.2">
      <c r="A10" s="15"/>
      <c r="B10" s="15"/>
      <c r="C10" s="16" t="s">
        <v>11</v>
      </c>
      <c r="D10" s="15"/>
      <c r="E10" s="15" t="s">
        <v>12</v>
      </c>
      <c r="F10" s="18" t="s">
        <v>13</v>
      </c>
      <c r="G10" s="19">
        <v>0</v>
      </c>
      <c r="H10" s="17" t="str">
        <f>IFERROR(VLOOKUP(B10,'[1]Debt Holding Consolidated'!$C$1:$N$65536,12,FALSE),"")</f>
        <v/>
      </c>
    </row>
    <row r="11" spans="1:11" x14ac:dyDescent="0.2">
      <c r="A11" s="15"/>
      <c r="B11" s="15"/>
      <c r="C11" s="20"/>
      <c r="D11" s="15"/>
      <c r="E11" s="15"/>
      <c r="F11" s="21"/>
      <c r="G11" s="21"/>
      <c r="H11" s="17" t="str">
        <f>IFERROR(VLOOKUP(B11,'[1]Debt Holding Consolidated'!$C$1:$N$65536,12,FALSE),"")</f>
        <v/>
      </c>
    </row>
    <row r="12" spans="1:11" ht="15" x14ac:dyDescent="0.2">
      <c r="A12" s="15"/>
      <c r="B12" s="15"/>
      <c r="C12" s="16" t="s">
        <v>15</v>
      </c>
      <c r="D12" s="15"/>
      <c r="E12" s="15"/>
      <c r="F12" s="15"/>
      <c r="G12" s="15"/>
      <c r="H12" s="17" t="str">
        <f>IFERROR(VLOOKUP(B12,'[1]Debt Holding Consolidated'!$C$1:$N$65536,12,FALSE),"")</f>
        <v/>
      </c>
      <c r="J12" s="22"/>
    </row>
    <row r="13" spans="1:11" x14ac:dyDescent="0.2">
      <c r="A13" s="15"/>
      <c r="B13" s="15"/>
      <c r="C13" s="16" t="s">
        <v>11</v>
      </c>
      <c r="D13" s="15"/>
      <c r="E13" s="15" t="s">
        <v>12</v>
      </c>
      <c r="F13" s="18" t="s">
        <v>13</v>
      </c>
      <c r="G13" s="19">
        <v>0</v>
      </c>
      <c r="H13" s="17" t="str">
        <f>IFERROR(VLOOKUP(B13,'[1]Debt Holding Consolidated'!$C$1:$N$65536,12,FALSE),"")</f>
        <v/>
      </c>
      <c r="J13" s="23"/>
    </row>
    <row r="14" spans="1:11" ht="25.5" x14ac:dyDescent="0.2">
      <c r="A14" s="15"/>
      <c r="B14" s="15"/>
      <c r="C14" s="20"/>
      <c r="D14" s="15"/>
      <c r="E14" s="15"/>
      <c r="F14" s="21"/>
      <c r="G14" s="21"/>
      <c r="H14" s="17" t="str">
        <f>IFERROR(VLOOKUP(B14,'[1]Debt Holding Consolidated'!$C$1:$N$65536,12,FALSE),"")</f>
        <v/>
      </c>
      <c r="J14" s="23" t="s">
        <v>598</v>
      </c>
    </row>
    <row r="15" spans="1:11" x14ac:dyDescent="0.2">
      <c r="A15" s="15"/>
      <c r="B15" s="15"/>
      <c r="C15" s="16" t="s">
        <v>16</v>
      </c>
      <c r="D15" s="15"/>
      <c r="E15" s="15"/>
      <c r="F15" s="15"/>
      <c r="G15" s="15"/>
      <c r="H15" s="17" t="str">
        <f>IFERROR(VLOOKUP(B15,'[1]Debt Holding Consolidated'!$C$1:$N$65536,12,FALSE),"")</f>
        <v/>
      </c>
    </row>
    <row r="16" spans="1:11" x14ac:dyDescent="0.2">
      <c r="A16" s="15"/>
      <c r="B16" s="15"/>
      <c r="C16" s="16" t="s">
        <v>11</v>
      </c>
      <c r="D16" s="15"/>
      <c r="E16" s="15" t="s">
        <v>12</v>
      </c>
      <c r="F16" s="18" t="s">
        <v>13</v>
      </c>
      <c r="G16" s="19">
        <v>0</v>
      </c>
      <c r="H16" s="17" t="str">
        <f>IFERROR(VLOOKUP(B16,'[1]Debt Holding Consolidated'!$C$1:$N$65536,12,FALSE),"")</f>
        <v/>
      </c>
    </row>
    <row r="17" spans="1:10" x14ac:dyDescent="0.2">
      <c r="A17" s="15"/>
      <c r="B17" s="15"/>
      <c r="C17" s="20"/>
      <c r="D17" s="15"/>
      <c r="E17" s="15"/>
      <c r="F17" s="21"/>
      <c r="G17" s="21"/>
      <c r="H17" s="17" t="str">
        <f>IFERROR(VLOOKUP(B17,'[1]Debt Holding Consolidated'!$C$1:$N$65536,12,FALSE),"")</f>
        <v/>
      </c>
    </row>
    <row r="18" spans="1:10" x14ac:dyDescent="0.2">
      <c r="A18" s="15"/>
      <c r="B18" s="15"/>
      <c r="C18" s="16" t="s">
        <v>17</v>
      </c>
      <c r="D18" s="15"/>
      <c r="E18" s="15"/>
      <c r="F18" s="21"/>
      <c r="G18" s="21"/>
      <c r="H18" s="17" t="str">
        <f>IFERROR(VLOOKUP(B18,'[1]Debt Holding Consolidated'!$C$1:$N$65536,12,FALSE),"")</f>
        <v/>
      </c>
    </row>
    <row r="19" spans="1:10" x14ac:dyDescent="0.2">
      <c r="A19" s="15"/>
      <c r="B19" s="15"/>
      <c r="C19" s="16" t="s">
        <v>11</v>
      </c>
      <c r="D19" s="15"/>
      <c r="E19" s="15" t="s">
        <v>12</v>
      </c>
      <c r="F19" s="18" t="s">
        <v>13</v>
      </c>
      <c r="G19" s="19">
        <v>0</v>
      </c>
      <c r="H19" s="17" t="str">
        <f>IFERROR(VLOOKUP(B19,'[1]Debt Holding Consolidated'!$C$1:$N$65536,12,FALSE),"")</f>
        <v/>
      </c>
    </row>
    <row r="20" spans="1:10" x14ac:dyDescent="0.2">
      <c r="A20" s="15"/>
      <c r="B20" s="15"/>
      <c r="C20" s="20"/>
      <c r="D20" s="15"/>
      <c r="E20" s="15"/>
      <c r="F20" s="21"/>
      <c r="G20" s="21"/>
      <c r="H20" s="17" t="str">
        <f>IFERROR(VLOOKUP(B20,'[1]Debt Holding Consolidated'!$C$1:$N$65536,12,FALSE),"")</f>
        <v/>
      </c>
    </row>
    <row r="21" spans="1:10" x14ac:dyDescent="0.2">
      <c r="A21" s="15"/>
      <c r="B21" s="15"/>
      <c r="C21" s="16" t="s">
        <v>18</v>
      </c>
      <c r="D21" s="15"/>
      <c r="E21" s="15"/>
      <c r="F21" s="21"/>
      <c r="G21" s="21"/>
      <c r="H21" s="17" t="str">
        <f>IFERROR(VLOOKUP(B21,'[1]Debt Holding Consolidated'!$C$1:$N$65536,12,FALSE),"")</f>
        <v/>
      </c>
    </row>
    <row r="22" spans="1:10" ht="15" x14ac:dyDescent="0.2">
      <c r="A22" s="15"/>
      <c r="B22" s="15"/>
      <c r="C22" s="16" t="s">
        <v>11</v>
      </c>
      <c r="D22" s="15"/>
      <c r="E22" s="15" t="s">
        <v>12</v>
      </c>
      <c r="F22" s="18" t="s">
        <v>13</v>
      </c>
      <c r="G22" s="19">
        <v>0</v>
      </c>
      <c r="H22" s="17" t="str">
        <f>IFERROR(VLOOKUP(B22,'[1]Debt Holding Consolidated'!$C$1:$N$65536,12,FALSE),"")</f>
        <v/>
      </c>
      <c r="J22" s="22"/>
    </row>
    <row r="23" spans="1:10" x14ac:dyDescent="0.2">
      <c r="A23" s="15"/>
      <c r="B23" s="15"/>
      <c r="C23" s="20"/>
      <c r="D23" s="15"/>
      <c r="E23" s="15"/>
      <c r="F23" s="21"/>
      <c r="G23" s="21"/>
      <c r="H23" s="17" t="str">
        <f>IFERROR(VLOOKUP(B23,'[1]Debt Holding Consolidated'!$C$1:$N$65536,12,FALSE),"")</f>
        <v/>
      </c>
      <c r="J23" s="23"/>
    </row>
    <row r="24" spans="1:10" x14ac:dyDescent="0.2">
      <c r="A24" s="15"/>
      <c r="B24" s="15"/>
      <c r="C24" s="16" t="s">
        <v>19</v>
      </c>
      <c r="D24" s="15"/>
      <c r="E24" s="15"/>
      <c r="F24" s="24">
        <v>0</v>
      </c>
      <c r="G24" s="19">
        <v>0</v>
      </c>
      <c r="H24" s="17" t="str">
        <f>IFERROR(VLOOKUP(B24,'[1]Debt Holding Consolidated'!$C$1:$N$65536,12,FALSE),"")</f>
        <v/>
      </c>
    </row>
    <row r="25" spans="1:10" x14ac:dyDescent="0.2">
      <c r="A25" s="15"/>
      <c r="B25" s="15"/>
      <c r="C25" s="20"/>
      <c r="D25" s="15"/>
      <c r="E25" s="15"/>
      <c r="F25" s="21"/>
      <c r="G25" s="21"/>
      <c r="H25" s="17" t="str">
        <f>IFERROR(VLOOKUP(B25,'[1]Debt Holding Consolidated'!$C$1:$N$65536,12,FALSE),"")</f>
        <v/>
      </c>
    </row>
    <row r="26" spans="1:10" x14ac:dyDescent="0.2">
      <c r="A26" s="15"/>
      <c r="B26" s="15"/>
      <c r="C26" s="16" t="s">
        <v>20</v>
      </c>
      <c r="D26" s="15"/>
      <c r="E26" s="15"/>
      <c r="F26" s="21"/>
      <c r="G26" s="21"/>
      <c r="H26" s="17" t="str">
        <f>IFERROR(VLOOKUP(B26,'[1]Debt Holding Consolidated'!$C$1:$N$65536,12,FALSE),"")</f>
        <v/>
      </c>
    </row>
    <row r="27" spans="1:10" ht="25.5" x14ac:dyDescent="0.2">
      <c r="A27" s="15"/>
      <c r="B27" s="15"/>
      <c r="C27" s="16" t="s">
        <v>10</v>
      </c>
      <c r="D27" s="15"/>
      <c r="E27" s="15"/>
      <c r="F27" s="21"/>
      <c r="G27" s="21"/>
      <c r="H27" s="17" t="str">
        <f>IFERROR(VLOOKUP(B27,'[1]Debt Holding Consolidated'!$C$1:$N$65536,12,FALSE),"")</f>
        <v/>
      </c>
      <c r="J27" s="11" t="s">
        <v>599</v>
      </c>
    </row>
    <row r="28" spans="1:10" x14ac:dyDescent="0.2">
      <c r="A28" s="25">
        <v>1</v>
      </c>
      <c r="B28" s="26" t="s">
        <v>377</v>
      </c>
      <c r="C28" s="26" t="s">
        <v>378</v>
      </c>
      <c r="D28" s="26" t="s">
        <v>23</v>
      </c>
      <c r="E28" s="27">
        <v>1000</v>
      </c>
      <c r="F28" s="28">
        <v>1014.543</v>
      </c>
      <c r="G28" s="29">
        <v>5.3595829999999997E-2</v>
      </c>
      <c r="H28" s="17">
        <f>IFERROR(VLOOKUP(B28,'[1]Debt Holding Consolidated'!$C$1:$N$65536,12,FALSE),"")</f>
        <v>7.4450000000000003</v>
      </c>
      <c r="J28" s="23"/>
    </row>
    <row r="29" spans="1:10" ht="25.5" x14ac:dyDescent="0.2">
      <c r="A29" s="25">
        <v>2</v>
      </c>
      <c r="B29" s="26" t="s">
        <v>379</v>
      </c>
      <c r="C29" s="26" t="s">
        <v>380</v>
      </c>
      <c r="D29" s="26" t="s">
        <v>23</v>
      </c>
      <c r="E29" s="27">
        <v>1000</v>
      </c>
      <c r="F29" s="28">
        <v>1008.274</v>
      </c>
      <c r="G29" s="29">
        <v>5.3264649999999997E-2</v>
      </c>
      <c r="H29" s="17">
        <f>IFERROR(VLOOKUP(B29,'[1]Debt Holding Consolidated'!$C$1:$N$65536,12,FALSE),"")</f>
        <v>7.4850000000000003</v>
      </c>
    </row>
    <row r="30" spans="1:10" ht="25.5" x14ac:dyDescent="0.2">
      <c r="A30" s="25">
        <v>3</v>
      </c>
      <c r="B30" s="26" t="s">
        <v>33</v>
      </c>
      <c r="C30" s="26" t="s">
        <v>34</v>
      </c>
      <c r="D30" s="26" t="s">
        <v>23</v>
      </c>
      <c r="E30" s="27">
        <v>1000</v>
      </c>
      <c r="F30" s="28">
        <v>1003.322</v>
      </c>
      <c r="G30" s="29">
        <v>5.3003050000000003E-2</v>
      </c>
      <c r="H30" s="17">
        <f>IFERROR(VLOOKUP(B30,'[1]Debt Holding Consolidated'!$C$1:$N$65536,12,FALSE),"")</f>
        <v>7.52</v>
      </c>
    </row>
    <row r="31" spans="1:10" ht="25.5" x14ac:dyDescent="0.2">
      <c r="A31" s="25">
        <v>4</v>
      </c>
      <c r="B31" s="26" t="s">
        <v>134</v>
      </c>
      <c r="C31" s="26" t="s">
        <v>135</v>
      </c>
      <c r="D31" s="26" t="s">
        <v>32</v>
      </c>
      <c r="E31" s="27">
        <v>100</v>
      </c>
      <c r="F31" s="28">
        <v>996.84799999999996</v>
      </c>
      <c r="G31" s="29">
        <v>5.2661039999999999E-2</v>
      </c>
      <c r="H31" s="17">
        <f>IFERROR(VLOOKUP(B31,'[1]Debt Holding Consolidated'!$C$1:$N$65536,12,FALSE),"")</f>
        <v>7.7</v>
      </c>
    </row>
    <row r="32" spans="1:10" x14ac:dyDescent="0.2">
      <c r="A32" s="25">
        <v>5</v>
      </c>
      <c r="B32" s="26" t="s">
        <v>194</v>
      </c>
      <c r="C32" s="26" t="s">
        <v>195</v>
      </c>
      <c r="D32" s="26" t="s">
        <v>196</v>
      </c>
      <c r="E32" s="27">
        <v>700</v>
      </c>
      <c r="F32" s="28">
        <v>703.19830000000002</v>
      </c>
      <c r="G32" s="29">
        <v>3.7148250000000001E-2</v>
      </c>
      <c r="H32" s="17">
        <f>IFERROR(VLOOKUP(B32,'[1]Debt Holding Consolidated'!$C$1:$N$65536,12,FALSE),"")</f>
        <v>8.4499999999999993</v>
      </c>
    </row>
    <row r="33" spans="1:8" x14ac:dyDescent="0.2">
      <c r="A33" s="25">
        <v>6</v>
      </c>
      <c r="B33" s="26" t="s">
        <v>59</v>
      </c>
      <c r="C33" s="26" t="s">
        <v>60</v>
      </c>
      <c r="D33" s="26" t="s">
        <v>23</v>
      </c>
      <c r="E33" s="27">
        <v>50</v>
      </c>
      <c r="F33" s="28">
        <v>501.82650000000001</v>
      </c>
      <c r="G33" s="29">
        <v>2.6510269999999999E-2</v>
      </c>
      <c r="H33" s="17">
        <f>IFERROR(VLOOKUP(B33,'[1]Debt Holding Consolidated'!$C$1:$N$65536,12,FALSE),"")</f>
        <v>7.8</v>
      </c>
    </row>
    <row r="34" spans="1:8" x14ac:dyDescent="0.2">
      <c r="A34" s="25">
        <v>7</v>
      </c>
      <c r="B34" s="26" t="s">
        <v>118</v>
      </c>
      <c r="C34" s="26" t="s">
        <v>119</v>
      </c>
      <c r="D34" s="26" t="s">
        <v>23</v>
      </c>
      <c r="E34" s="27">
        <v>500</v>
      </c>
      <c r="F34" s="28">
        <v>501.40949999999998</v>
      </c>
      <c r="G34" s="29">
        <v>2.648824E-2</v>
      </c>
      <c r="H34" s="17">
        <f>IFERROR(VLOOKUP(B34,'[1]Debt Holding Consolidated'!$C$1:$N$65536,12,FALSE),"")</f>
        <v>7.47</v>
      </c>
    </row>
    <row r="35" spans="1:8" x14ac:dyDescent="0.2">
      <c r="A35" s="25">
        <v>8</v>
      </c>
      <c r="B35" s="26" t="s">
        <v>191</v>
      </c>
      <c r="C35" s="26" t="s">
        <v>192</v>
      </c>
      <c r="D35" s="26" t="s">
        <v>193</v>
      </c>
      <c r="E35" s="27">
        <v>500</v>
      </c>
      <c r="F35" s="28">
        <v>499.95850000000002</v>
      </c>
      <c r="G35" s="29">
        <v>2.6411589999999999E-2</v>
      </c>
      <c r="H35" s="17">
        <f>IFERROR(VLOOKUP(B35,'[1]Debt Holding Consolidated'!$C$1:$N$65536,12,FALSE),"")</f>
        <v>7.6749999999999998</v>
      </c>
    </row>
    <row r="36" spans="1:8" ht="25.5" x14ac:dyDescent="0.2">
      <c r="A36" s="25">
        <v>9</v>
      </c>
      <c r="B36" s="26" t="s">
        <v>61</v>
      </c>
      <c r="C36" s="26" t="s">
        <v>62</v>
      </c>
      <c r="D36" s="26" t="s">
        <v>23</v>
      </c>
      <c r="E36" s="27">
        <v>500</v>
      </c>
      <c r="F36" s="28">
        <v>499.303</v>
      </c>
      <c r="G36" s="29">
        <v>2.6376960000000001E-2</v>
      </c>
      <c r="H36" s="17">
        <f>IFERROR(VLOOKUP(B36,'[1]Debt Holding Consolidated'!$C$1:$N$65536,12,FALSE),"")</f>
        <v>8.19</v>
      </c>
    </row>
    <row r="37" spans="1:8" x14ac:dyDescent="0.2">
      <c r="A37" s="25">
        <v>10</v>
      </c>
      <c r="B37" s="26" t="s">
        <v>381</v>
      </c>
      <c r="C37" s="26" t="s">
        <v>382</v>
      </c>
      <c r="D37" s="26" t="s">
        <v>23</v>
      </c>
      <c r="E37" s="27">
        <v>500</v>
      </c>
      <c r="F37" s="28">
        <v>499.15249999999997</v>
      </c>
      <c r="G37" s="29">
        <v>2.6369009999999998E-2</v>
      </c>
      <c r="H37" s="17">
        <f>IFERROR(VLOOKUP(B37,'[1]Debt Holding Consolidated'!$C$1:$N$65536,12,FALSE),"")</f>
        <v>7.6</v>
      </c>
    </row>
    <row r="38" spans="1:8" ht="25.5" x14ac:dyDescent="0.2">
      <c r="A38" s="25">
        <v>11</v>
      </c>
      <c r="B38" s="26" t="s">
        <v>45</v>
      </c>
      <c r="C38" s="26" t="s">
        <v>46</v>
      </c>
      <c r="D38" s="26" t="s">
        <v>23</v>
      </c>
      <c r="E38" s="27">
        <v>50</v>
      </c>
      <c r="F38" s="28">
        <v>496.04199999999997</v>
      </c>
      <c r="G38" s="29">
        <v>2.6204689999999999E-2</v>
      </c>
      <c r="H38" s="17">
        <f>IFERROR(VLOOKUP(B38,'[1]Debt Holding Consolidated'!$C$1:$N$65536,12,FALSE),"")</f>
        <v>7.6</v>
      </c>
    </row>
    <row r="39" spans="1:8" x14ac:dyDescent="0.2">
      <c r="A39" s="25">
        <v>12</v>
      </c>
      <c r="B39" s="26" t="s">
        <v>383</v>
      </c>
      <c r="C39" s="26" t="s">
        <v>384</v>
      </c>
      <c r="D39" s="26" t="s">
        <v>23</v>
      </c>
      <c r="E39" s="27">
        <v>50</v>
      </c>
      <c r="F39" s="28">
        <v>484.86149999999998</v>
      </c>
      <c r="G39" s="29">
        <v>2.5614049999999999E-2</v>
      </c>
      <c r="H39" s="17">
        <f>IFERROR(VLOOKUP(B39,'[1]Debt Holding Consolidated'!$C$1:$N$65536,12,FALSE),"")</f>
        <v>7.82</v>
      </c>
    </row>
    <row r="40" spans="1:8" x14ac:dyDescent="0.2">
      <c r="A40" s="15"/>
      <c r="B40" s="15"/>
      <c r="C40" s="16" t="s">
        <v>11</v>
      </c>
      <c r="D40" s="15"/>
      <c r="E40" s="15" t="s">
        <v>12</v>
      </c>
      <c r="F40" s="24">
        <v>8208.7387999999992</v>
      </c>
      <c r="G40" s="19">
        <v>0.43364763000000001</v>
      </c>
      <c r="H40" s="17" t="str">
        <f>IFERROR(VLOOKUP(B40,'[1]Debt Holding Consolidated'!$C$1:$N$65536,12,FALSE),"")</f>
        <v/>
      </c>
    </row>
    <row r="41" spans="1:8" x14ac:dyDescent="0.2">
      <c r="A41" s="15"/>
      <c r="B41" s="15"/>
      <c r="C41" s="20"/>
      <c r="D41" s="15"/>
      <c r="E41" s="15"/>
      <c r="F41" s="21"/>
      <c r="G41" s="21"/>
      <c r="H41" s="17" t="str">
        <f>IFERROR(VLOOKUP(B41,'[1]Debt Holding Consolidated'!$C$1:$N$65536,12,FALSE),"")</f>
        <v/>
      </c>
    </row>
    <row r="42" spans="1:8" x14ac:dyDescent="0.2">
      <c r="A42" s="15"/>
      <c r="B42" s="15"/>
      <c r="C42" s="16" t="s">
        <v>67</v>
      </c>
      <c r="D42" s="15"/>
      <c r="E42" s="15"/>
      <c r="F42" s="15"/>
      <c r="G42" s="15"/>
      <c r="H42" s="17" t="str">
        <f>IFERROR(VLOOKUP(B42,'[1]Debt Holding Consolidated'!$C$1:$N$65536,12,FALSE),"")</f>
        <v/>
      </c>
    </row>
    <row r="43" spans="1:8" x14ac:dyDescent="0.2">
      <c r="A43" s="15"/>
      <c r="B43" s="15"/>
      <c r="C43" s="16" t="s">
        <v>11</v>
      </c>
      <c r="D43" s="15"/>
      <c r="E43" s="15" t="s">
        <v>12</v>
      </c>
      <c r="F43" s="18" t="s">
        <v>13</v>
      </c>
      <c r="G43" s="19">
        <v>0</v>
      </c>
      <c r="H43" s="17" t="str">
        <f>IFERROR(VLOOKUP(B43,'[1]Debt Holding Consolidated'!$C$1:$N$65536,12,FALSE),"")</f>
        <v/>
      </c>
    </row>
    <row r="44" spans="1:8" x14ac:dyDescent="0.2">
      <c r="A44" s="15"/>
      <c r="B44" s="15"/>
      <c r="C44" s="20"/>
      <c r="D44" s="15"/>
      <c r="E44" s="15"/>
      <c r="F44" s="21"/>
      <c r="G44" s="21"/>
      <c r="H44" s="17" t="str">
        <f>IFERROR(VLOOKUP(B44,'[1]Debt Holding Consolidated'!$C$1:$N$65536,12,FALSE),"")</f>
        <v/>
      </c>
    </row>
    <row r="45" spans="1:8" x14ac:dyDescent="0.2">
      <c r="A45" s="15"/>
      <c r="B45" s="15"/>
      <c r="C45" s="16" t="s">
        <v>68</v>
      </c>
      <c r="D45" s="15"/>
      <c r="E45" s="15"/>
      <c r="F45" s="15"/>
      <c r="G45" s="15"/>
      <c r="H45" s="17" t="str">
        <f>IFERROR(VLOOKUP(B45,'[1]Debt Holding Consolidated'!$C$1:$N$65536,12,FALSE),"")</f>
        <v/>
      </c>
    </row>
    <row r="46" spans="1:8" x14ac:dyDescent="0.2">
      <c r="A46" s="25">
        <v>1</v>
      </c>
      <c r="B46" s="26" t="s">
        <v>69</v>
      </c>
      <c r="C46" s="26" t="s">
        <v>70</v>
      </c>
      <c r="D46" s="26" t="s">
        <v>71</v>
      </c>
      <c r="E46" s="27">
        <v>3000000</v>
      </c>
      <c r="F46" s="28">
        <v>3056.337</v>
      </c>
      <c r="G46" s="29">
        <v>0.16145881000000001</v>
      </c>
      <c r="H46" s="17">
        <f>IFERROR(VLOOKUP(B46,'[1]Debt Holding Consolidated'!$C$1:$N$65536,12,FALSE),"")</f>
        <v>7.0152000000000001</v>
      </c>
    </row>
    <row r="47" spans="1:8" x14ac:dyDescent="0.2">
      <c r="A47" s="25">
        <v>2</v>
      </c>
      <c r="B47" s="26" t="s">
        <v>76</v>
      </c>
      <c r="C47" s="26" t="s">
        <v>77</v>
      </c>
      <c r="D47" s="26" t="s">
        <v>71</v>
      </c>
      <c r="E47" s="27">
        <v>1500000</v>
      </c>
      <c r="F47" s="28">
        <v>1531.7055</v>
      </c>
      <c r="G47" s="29">
        <v>8.0916260000000004E-2</v>
      </c>
      <c r="H47" s="17">
        <f>IFERROR(VLOOKUP(B47,'[1]Debt Holding Consolidated'!$C$1:$N$65536,12,FALSE),"")</f>
        <v>6.8924000000000003</v>
      </c>
    </row>
    <row r="48" spans="1:8" ht="25.5" x14ac:dyDescent="0.2">
      <c r="A48" s="25">
        <v>3</v>
      </c>
      <c r="B48" s="26" t="s">
        <v>221</v>
      </c>
      <c r="C48" s="26" t="s">
        <v>222</v>
      </c>
      <c r="D48" s="26" t="s">
        <v>71</v>
      </c>
      <c r="E48" s="27">
        <v>1000000</v>
      </c>
      <c r="F48" s="28">
        <v>1015.999</v>
      </c>
      <c r="G48" s="29">
        <v>5.3672739999999997E-2</v>
      </c>
      <c r="H48" s="17">
        <f>IFERROR(VLOOKUP(B48,'[1]Debt Holding Consolidated'!$C$1:$N$65536,12,FALSE),"")</f>
        <v>6.8611000000000004</v>
      </c>
    </row>
    <row r="49" spans="1:8" ht="25.5" x14ac:dyDescent="0.2">
      <c r="A49" s="25">
        <v>4</v>
      </c>
      <c r="B49" s="26" t="s">
        <v>385</v>
      </c>
      <c r="C49" s="26" t="s">
        <v>386</v>
      </c>
      <c r="D49" s="26" t="s">
        <v>71</v>
      </c>
      <c r="E49" s="27">
        <v>500000</v>
      </c>
      <c r="F49" s="28">
        <v>507.57900000000001</v>
      </c>
      <c r="G49" s="29">
        <v>2.681416E-2</v>
      </c>
      <c r="H49" s="17">
        <f>IFERROR(VLOOKUP(B49,'[1]Debt Holding Consolidated'!$C$1:$N$65536,12,FALSE),"")</f>
        <v>7.3471000000000002</v>
      </c>
    </row>
    <row r="50" spans="1:8" ht="25.5" x14ac:dyDescent="0.2">
      <c r="A50" s="25">
        <v>5</v>
      </c>
      <c r="B50" s="26" t="s">
        <v>387</v>
      </c>
      <c r="C50" s="26" t="s">
        <v>569</v>
      </c>
      <c r="D50" s="26" t="s">
        <v>71</v>
      </c>
      <c r="E50" s="27">
        <v>500000</v>
      </c>
      <c r="F50" s="28">
        <v>502.16149999999999</v>
      </c>
      <c r="G50" s="29">
        <v>2.6527970000000001E-2</v>
      </c>
      <c r="H50" s="17">
        <f>IFERROR(VLOOKUP(B50,'[1]Debt Holding Consolidated'!$C$1:$N$65536,12,FALSE),"")</f>
        <v>7.4760586967447837</v>
      </c>
    </row>
    <row r="51" spans="1:8" x14ac:dyDescent="0.2">
      <c r="A51" s="15"/>
      <c r="B51" s="15"/>
      <c r="C51" s="16" t="s">
        <v>11</v>
      </c>
      <c r="D51" s="15"/>
      <c r="E51" s="15" t="s">
        <v>12</v>
      </c>
      <c r="F51" s="24">
        <v>6613.7820000000002</v>
      </c>
      <c r="G51" s="19">
        <v>0.34938994000000001</v>
      </c>
      <c r="H51" s="17" t="str">
        <f>IFERROR(VLOOKUP(B51,'[1]Debt Holding Consolidated'!$C$1:$N$65536,12,FALSE),"")</f>
        <v/>
      </c>
    </row>
    <row r="52" spans="1:8" x14ac:dyDescent="0.2">
      <c r="A52" s="15"/>
      <c r="B52" s="15"/>
      <c r="C52" s="20"/>
      <c r="D52" s="15"/>
      <c r="E52" s="15"/>
      <c r="F52" s="21"/>
      <c r="G52" s="21"/>
      <c r="H52" s="17" t="str">
        <f>IFERROR(VLOOKUP(B52,'[1]Debt Holding Consolidated'!$C$1:$N$65536,12,FALSE),"")</f>
        <v/>
      </c>
    </row>
    <row r="53" spans="1:8" x14ac:dyDescent="0.2">
      <c r="A53" s="15"/>
      <c r="B53" s="15"/>
      <c r="C53" s="16" t="s">
        <v>82</v>
      </c>
      <c r="D53" s="15"/>
      <c r="E53" s="15"/>
      <c r="F53" s="21"/>
      <c r="G53" s="21"/>
      <c r="H53" s="17" t="str">
        <f>IFERROR(VLOOKUP(B53,'[1]Debt Holding Consolidated'!$C$1:$N$65536,12,FALSE),"")</f>
        <v/>
      </c>
    </row>
    <row r="54" spans="1:8" x14ac:dyDescent="0.2">
      <c r="A54" s="15"/>
      <c r="B54" s="15"/>
      <c r="C54" s="16" t="s">
        <v>11</v>
      </c>
      <c r="D54" s="15"/>
      <c r="E54" s="15" t="s">
        <v>12</v>
      </c>
      <c r="F54" s="18" t="s">
        <v>13</v>
      </c>
      <c r="G54" s="19">
        <v>0</v>
      </c>
      <c r="H54" s="17" t="str">
        <f>IFERROR(VLOOKUP(B54,'[1]Debt Holding Consolidated'!$C$1:$N$65536,12,FALSE),"")</f>
        <v/>
      </c>
    </row>
    <row r="55" spans="1:8" x14ac:dyDescent="0.2">
      <c r="A55" s="15"/>
      <c r="B55" s="15"/>
      <c r="C55" s="20"/>
      <c r="D55" s="15"/>
      <c r="E55" s="15"/>
      <c r="F55" s="21"/>
      <c r="G55" s="21"/>
      <c r="H55" s="17" t="str">
        <f>IFERROR(VLOOKUP(B55,'[1]Debt Holding Consolidated'!$C$1:$N$65536,12,FALSE),"")</f>
        <v/>
      </c>
    </row>
    <row r="56" spans="1:8" x14ac:dyDescent="0.2">
      <c r="A56" s="15"/>
      <c r="B56" s="15"/>
      <c r="C56" s="16" t="s">
        <v>83</v>
      </c>
      <c r="D56" s="15"/>
      <c r="E56" s="15"/>
      <c r="F56" s="24">
        <v>14822.5208</v>
      </c>
      <c r="G56" s="19">
        <v>0.78303756999999996</v>
      </c>
      <c r="H56" s="17" t="str">
        <f>IFERROR(VLOOKUP(B56,'[1]Debt Holding Consolidated'!$C$1:$N$65536,12,FALSE),"")</f>
        <v/>
      </c>
    </row>
    <row r="57" spans="1:8" x14ac:dyDescent="0.2">
      <c r="A57" s="15"/>
      <c r="B57" s="15"/>
      <c r="C57" s="20"/>
      <c r="D57" s="15"/>
      <c r="E57" s="15"/>
      <c r="F57" s="21"/>
      <c r="G57" s="21"/>
      <c r="H57" s="17" t="str">
        <f>IFERROR(VLOOKUP(B57,'[1]Debt Holding Consolidated'!$C$1:$N$65536,12,FALSE),"")</f>
        <v/>
      </c>
    </row>
    <row r="58" spans="1:8" x14ac:dyDescent="0.2">
      <c r="A58" s="15"/>
      <c r="B58" s="15"/>
      <c r="C58" s="16" t="s">
        <v>84</v>
      </c>
      <c r="D58" s="15"/>
      <c r="E58" s="15"/>
      <c r="F58" s="21"/>
      <c r="G58" s="21"/>
      <c r="H58" s="17" t="str">
        <f>IFERROR(VLOOKUP(B58,'[1]Debt Holding Consolidated'!$C$1:$N$65536,12,FALSE),"")</f>
        <v/>
      </c>
    </row>
    <row r="59" spans="1:8" x14ac:dyDescent="0.2">
      <c r="A59" s="15"/>
      <c r="B59" s="15"/>
      <c r="C59" s="16" t="s">
        <v>85</v>
      </c>
      <c r="D59" s="15"/>
      <c r="E59" s="15"/>
      <c r="F59" s="21"/>
      <c r="G59" s="21"/>
      <c r="H59" s="17" t="str">
        <f>IFERROR(VLOOKUP(B59,'[1]Debt Holding Consolidated'!$C$1:$N$65536,12,FALSE),"")</f>
        <v/>
      </c>
    </row>
    <row r="60" spans="1:8" ht="25.5" x14ac:dyDescent="0.2">
      <c r="A60" s="25">
        <v>1</v>
      </c>
      <c r="B60" s="26" t="s">
        <v>233</v>
      </c>
      <c r="C60" s="26" t="s">
        <v>234</v>
      </c>
      <c r="D60" s="26" t="s">
        <v>143</v>
      </c>
      <c r="E60" s="27">
        <v>100</v>
      </c>
      <c r="F60" s="28">
        <v>485.245</v>
      </c>
      <c r="G60" s="29">
        <v>2.563431E-2</v>
      </c>
      <c r="H60" s="17">
        <f>IFERROR(VLOOKUP(B60,'[1]Debt Holding Consolidated'!$C$1:$N$65536,12,FALSE),"")</f>
        <v>7.55</v>
      </c>
    </row>
    <row r="61" spans="1:8" x14ac:dyDescent="0.2">
      <c r="A61" s="25">
        <v>2</v>
      </c>
      <c r="B61" s="26" t="s">
        <v>168</v>
      </c>
      <c r="C61" s="26" t="s">
        <v>169</v>
      </c>
      <c r="D61" s="26" t="s">
        <v>161</v>
      </c>
      <c r="E61" s="27">
        <v>100</v>
      </c>
      <c r="F61" s="28">
        <v>483.35899999999998</v>
      </c>
      <c r="G61" s="29">
        <v>2.5534680000000001E-2</v>
      </c>
      <c r="H61" s="17">
        <f>IFERROR(VLOOKUP(B61,'[1]Debt Holding Consolidated'!$C$1:$N$65536,12,FALSE),"")</f>
        <v>7.48</v>
      </c>
    </row>
    <row r="62" spans="1:8" x14ac:dyDescent="0.2">
      <c r="A62" s="25">
        <v>3</v>
      </c>
      <c r="B62" s="26" t="s">
        <v>172</v>
      </c>
      <c r="C62" s="26" t="s">
        <v>173</v>
      </c>
      <c r="D62" s="26" t="s">
        <v>161</v>
      </c>
      <c r="E62" s="27">
        <v>100</v>
      </c>
      <c r="F62" s="28">
        <v>480.71300000000002</v>
      </c>
      <c r="G62" s="29">
        <v>2.539489E-2</v>
      </c>
      <c r="H62" s="17">
        <f>IFERROR(VLOOKUP(B62,'[1]Debt Holding Consolidated'!$C$1:$N$65536,12,FALSE),"")</f>
        <v>7.5101000000000004</v>
      </c>
    </row>
    <row r="63" spans="1:8" x14ac:dyDescent="0.2">
      <c r="A63" s="15"/>
      <c r="B63" s="15"/>
      <c r="C63" s="16" t="s">
        <v>11</v>
      </c>
      <c r="D63" s="15"/>
      <c r="E63" s="15" t="s">
        <v>12</v>
      </c>
      <c r="F63" s="24">
        <v>1449.317</v>
      </c>
      <c r="G63" s="19">
        <v>7.6563880000000001E-2</v>
      </c>
      <c r="H63" s="17" t="str">
        <f>IFERROR(VLOOKUP(B63,'[1]Debt Holding Consolidated'!$C$1:$N$65536,12,FALSE),"")</f>
        <v/>
      </c>
    </row>
    <row r="64" spans="1:8" x14ac:dyDescent="0.2">
      <c r="A64" s="15"/>
      <c r="B64" s="15"/>
      <c r="C64" s="20"/>
      <c r="D64" s="15"/>
      <c r="E64" s="15"/>
      <c r="F64" s="21"/>
      <c r="G64" s="21"/>
      <c r="H64" s="17" t="str">
        <f>IFERROR(VLOOKUP(B64,'[1]Debt Holding Consolidated'!$C$1:$N$65536,12,FALSE),"")</f>
        <v/>
      </c>
    </row>
    <row r="65" spans="1:8" x14ac:dyDescent="0.2">
      <c r="A65" s="15"/>
      <c r="B65" s="15"/>
      <c r="C65" s="16" t="s">
        <v>86</v>
      </c>
      <c r="D65" s="15"/>
      <c r="E65" s="15"/>
      <c r="F65" s="21"/>
      <c r="G65" s="21"/>
      <c r="H65" s="17" t="str">
        <f>IFERROR(VLOOKUP(B65,'[1]Debt Holding Consolidated'!$C$1:$N$65536,12,FALSE),"")</f>
        <v/>
      </c>
    </row>
    <row r="66" spans="1:8" x14ac:dyDescent="0.2">
      <c r="A66" s="15"/>
      <c r="B66" s="15"/>
      <c r="C66" s="16" t="s">
        <v>11</v>
      </c>
      <c r="D66" s="15"/>
      <c r="E66" s="15" t="s">
        <v>12</v>
      </c>
      <c r="F66" s="18" t="s">
        <v>13</v>
      </c>
      <c r="G66" s="19">
        <v>0</v>
      </c>
      <c r="H66" s="17" t="str">
        <f>IFERROR(VLOOKUP(B66,'[1]Debt Holding Consolidated'!$C$1:$N$65536,12,FALSE),"")</f>
        <v/>
      </c>
    </row>
    <row r="67" spans="1:8" x14ac:dyDescent="0.2">
      <c r="A67" s="15"/>
      <c r="B67" s="15"/>
      <c r="C67" s="20"/>
      <c r="D67" s="15"/>
      <c r="E67" s="15"/>
      <c r="F67" s="21"/>
      <c r="G67" s="21"/>
      <c r="H67" s="17" t="str">
        <f>IFERROR(VLOOKUP(B67,'[1]Debt Holding Consolidated'!$C$1:$N$65536,12,FALSE),"")</f>
        <v/>
      </c>
    </row>
    <row r="68" spans="1:8" x14ac:dyDescent="0.2">
      <c r="A68" s="15"/>
      <c r="B68" s="15"/>
      <c r="C68" s="16" t="s">
        <v>87</v>
      </c>
      <c r="D68" s="15"/>
      <c r="E68" s="15"/>
      <c r="F68" s="21"/>
      <c r="G68" s="21"/>
      <c r="H68" s="17" t="str">
        <f>IFERROR(VLOOKUP(B68,'[1]Debt Holding Consolidated'!$C$1:$N$65536,12,FALSE),"")</f>
        <v/>
      </c>
    </row>
    <row r="69" spans="1:8" x14ac:dyDescent="0.2">
      <c r="A69" s="15"/>
      <c r="B69" s="15"/>
      <c r="C69" s="16" t="s">
        <v>11</v>
      </c>
      <c r="D69" s="15"/>
      <c r="E69" s="15" t="s">
        <v>12</v>
      </c>
      <c r="F69" s="18" t="s">
        <v>13</v>
      </c>
      <c r="G69" s="19">
        <v>0</v>
      </c>
      <c r="H69" s="17" t="str">
        <f>IFERROR(VLOOKUP(B69,'[1]Debt Holding Consolidated'!$C$1:$N$65536,12,FALSE),"")</f>
        <v/>
      </c>
    </row>
    <row r="70" spans="1:8" x14ac:dyDescent="0.2">
      <c r="A70" s="15"/>
      <c r="B70" s="15"/>
      <c r="C70" s="20"/>
      <c r="D70" s="15"/>
      <c r="E70" s="15"/>
      <c r="F70" s="21"/>
      <c r="G70" s="21"/>
      <c r="H70" s="17" t="str">
        <f>IFERROR(VLOOKUP(B70,'[1]Debt Holding Consolidated'!$C$1:$N$65536,12,FALSE),"")</f>
        <v/>
      </c>
    </row>
    <row r="71" spans="1:8" x14ac:dyDescent="0.2">
      <c r="A71" s="15"/>
      <c r="B71" s="15"/>
      <c r="C71" s="16" t="s">
        <v>88</v>
      </c>
      <c r="D71" s="15"/>
      <c r="E71" s="15"/>
      <c r="F71" s="21"/>
      <c r="G71" s="21"/>
      <c r="H71" s="17" t="str">
        <f>IFERROR(VLOOKUP(B71,'[1]Debt Holding Consolidated'!$C$1:$N$65536,12,FALSE),"")</f>
        <v/>
      </c>
    </row>
    <row r="72" spans="1:8" x14ac:dyDescent="0.2">
      <c r="A72" s="25">
        <v>1</v>
      </c>
      <c r="B72" s="26"/>
      <c r="C72" s="26" t="s">
        <v>89</v>
      </c>
      <c r="D72" s="26"/>
      <c r="E72" s="30"/>
      <c r="F72" s="28">
        <v>2228.9634010029999</v>
      </c>
      <c r="G72" s="29">
        <v>0.11775069000000001</v>
      </c>
      <c r="H72" s="17">
        <v>6.3551211905931497</v>
      </c>
    </row>
    <row r="73" spans="1:8" x14ac:dyDescent="0.2">
      <c r="A73" s="15"/>
      <c r="B73" s="15"/>
      <c r="C73" s="16" t="s">
        <v>11</v>
      </c>
      <c r="D73" s="15"/>
      <c r="E73" s="15" t="s">
        <v>12</v>
      </c>
      <c r="F73" s="24">
        <v>2228.9634010029999</v>
      </c>
      <c r="G73" s="19">
        <v>0.11775069000000001</v>
      </c>
      <c r="H73" s="17" t="str">
        <f>IFERROR(VLOOKUP(B73,'[1]Debt Holding Consolidated'!$C$1:$N$65536,12,FALSE),"")</f>
        <v/>
      </c>
    </row>
    <row r="74" spans="1:8" x14ac:dyDescent="0.2">
      <c r="A74" s="15"/>
      <c r="B74" s="15"/>
      <c r="C74" s="20"/>
      <c r="D74" s="15"/>
      <c r="E74" s="15"/>
      <c r="F74" s="21"/>
      <c r="G74" s="21"/>
      <c r="H74" s="17" t="str">
        <f>IFERROR(VLOOKUP(B74,'[1]Debt Holding Consolidated'!$C$1:$N$65536,12,FALSE),"")</f>
        <v/>
      </c>
    </row>
    <row r="75" spans="1:8" x14ac:dyDescent="0.2">
      <c r="A75" s="15"/>
      <c r="B75" s="15"/>
      <c r="C75" s="16" t="s">
        <v>90</v>
      </c>
      <c r="D75" s="15"/>
      <c r="E75" s="15"/>
      <c r="F75" s="24">
        <v>3678.280401003</v>
      </c>
      <c r="G75" s="19">
        <v>0.19431456999999999</v>
      </c>
      <c r="H75" s="17" t="str">
        <f>IFERROR(VLOOKUP(B75,'[1]Debt Holding Consolidated'!$C$1:$N$65536,12,FALSE),"")</f>
        <v/>
      </c>
    </row>
    <row r="76" spans="1:8" x14ac:dyDescent="0.2">
      <c r="A76" s="15"/>
      <c r="B76" s="15"/>
      <c r="C76" s="21"/>
      <c r="D76" s="15"/>
      <c r="E76" s="15"/>
      <c r="F76" s="15"/>
      <c r="G76" s="15"/>
      <c r="H76" s="17" t="str">
        <f>IFERROR(VLOOKUP(B76,'[1]Debt Holding Consolidated'!$C$1:$N$65536,12,FALSE),"")</f>
        <v/>
      </c>
    </row>
    <row r="77" spans="1:8" x14ac:dyDescent="0.2">
      <c r="A77" s="15"/>
      <c r="B77" s="15"/>
      <c r="C77" s="16" t="s">
        <v>91</v>
      </c>
      <c r="D77" s="15"/>
      <c r="E77" s="15"/>
      <c r="F77" s="15"/>
      <c r="G77" s="15"/>
      <c r="H77" s="17" t="str">
        <f>IFERROR(VLOOKUP(B77,'[1]Debt Holding Consolidated'!$C$1:$N$65536,12,FALSE),"")</f>
        <v/>
      </c>
    </row>
    <row r="78" spans="1:8" x14ac:dyDescent="0.2">
      <c r="A78" s="15"/>
      <c r="B78" s="15"/>
      <c r="C78" s="16" t="s">
        <v>92</v>
      </c>
      <c r="D78" s="15"/>
      <c r="E78" s="15"/>
      <c r="F78" s="15"/>
      <c r="G78" s="15"/>
      <c r="H78" s="17" t="str">
        <f>IFERROR(VLOOKUP(B78,'[1]Debt Holding Consolidated'!$C$1:$N$65536,12,FALSE),"")</f>
        <v/>
      </c>
    </row>
    <row r="79" spans="1:8" x14ac:dyDescent="0.2">
      <c r="A79" s="15"/>
      <c r="B79" s="15"/>
      <c r="C79" s="16" t="s">
        <v>11</v>
      </c>
      <c r="D79" s="15"/>
      <c r="E79" s="15" t="s">
        <v>12</v>
      </c>
      <c r="F79" s="18" t="s">
        <v>13</v>
      </c>
      <c r="G79" s="19">
        <v>0</v>
      </c>
      <c r="H79" s="17" t="str">
        <f>IFERROR(VLOOKUP(B79,'[1]Debt Holding Consolidated'!$C$1:$N$65536,12,FALSE),"")</f>
        <v/>
      </c>
    </row>
    <row r="80" spans="1:8" x14ac:dyDescent="0.2">
      <c r="A80" s="15"/>
      <c r="B80" s="15"/>
      <c r="C80" s="20"/>
      <c r="D80" s="15"/>
      <c r="E80" s="15"/>
      <c r="F80" s="21"/>
      <c r="G80" s="21"/>
      <c r="H80" s="17" t="str">
        <f>IFERROR(VLOOKUP(B80,'[1]Debt Holding Consolidated'!$C$1:$N$65536,12,FALSE),"")</f>
        <v/>
      </c>
    </row>
    <row r="81" spans="1:18" x14ac:dyDescent="0.2">
      <c r="A81" s="31"/>
      <c r="B81" s="31"/>
      <c r="C81" s="32" t="s">
        <v>517</v>
      </c>
      <c r="D81" s="31"/>
      <c r="E81" s="31"/>
      <c r="F81" s="33"/>
      <c r="G81" s="33"/>
      <c r="H81" s="34"/>
      <c r="L81" s="35"/>
      <c r="M81" s="35"/>
      <c r="N81" s="35"/>
      <c r="O81" s="35"/>
      <c r="P81" s="36"/>
      <c r="Q81" s="36"/>
      <c r="R81" s="36"/>
    </row>
    <row r="82" spans="1:18" ht="25.5" x14ac:dyDescent="0.2">
      <c r="A82" s="25">
        <v>1</v>
      </c>
      <c r="B82" s="26" t="s">
        <v>93</v>
      </c>
      <c r="C82" s="26" t="s">
        <v>94</v>
      </c>
      <c r="D82" s="26"/>
      <c r="E82" s="37">
        <v>511.47399999999999</v>
      </c>
      <c r="F82" s="28">
        <v>52.944672068999999</v>
      </c>
      <c r="G82" s="29">
        <v>2.7969399999999999E-3</v>
      </c>
      <c r="H82" s="17"/>
    </row>
    <row r="83" spans="1:18" x14ac:dyDescent="0.2">
      <c r="A83" s="15"/>
      <c r="B83" s="15"/>
      <c r="C83" s="16" t="s">
        <v>11</v>
      </c>
      <c r="D83" s="15"/>
      <c r="E83" s="15" t="s">
        <v>12</v>
      </c>
      <c r="F83" s="24">
        <v>52.944672068999999</v>
      </c>
      <c r="G83" s="19">
        <v>2.7969399999999999E-3</v>
      </c>
      <c r="H83" s="17" t="s">
        <v>12</v>
      </c>
    </row>
    <row r="84" spans="1:18" x14ac:dyDescent="0.2">
      <c r="A84" s="15"/>
      <c r="B84" s="15"/>
      <c r="C84" s="20"/>
      <c r="D84" s="15"/>
      <c r="E84" s="15"/>
      <c r="F84" s="21"/>
      <c r="G84" s="21"/>
      <c r="H84" s="17" t="str">
        <f>IFERROR(VLOOKUP(B84,'[1]Debt Holding Consolidated'!$C$1:$N$65536,12,FALSE),"")</f>
        <v/>
      </c>
      <c r="J84"/>
    </row>
    <row r="85" spans="1:18" x14ac:dyDescent="0.2">
      <c r="A85" s="15"/>
      <c r="B85" s="15"/>
      <c r="C85" s="16" t="s">
        <v>95</v>
      </c>
      <c r="D85" s="15"/>
      <c r="E85" s="15"/>
      <c r="F85" s="15"/>
      <c r="G85" s="15"/>
      <c r="H85" s="17" t="str">
        <f>IFERROR(VLOOKUP(B85,'[1]Debt Holding Consolidated'!$C$1:$N$65536,12,FALSE),"")</f>
        <v/>
      </c>
      <c r="J85"/>
    </row>
    <row r="86" spans="1:18" x14ac:dyDescent="0.2">
      <c r="A86" s="15"/>
      <c r="B86" s="15"/>
      <c r="C86" s="16" t="s">
        <v>96</v>
      </c>
      <c r="D86" s="15"/>
      <c r="E86" s="15"/>
      <c r="F86" s="15"/>
      <c r="G86" s="15"/>
      <c r="H86" s="17" t="str">
        <f>IFERROR(VLOOKUP(B86,'[1]Debt Holding Consolidated'!$C$1:$N$65536,12,FALSE),"")</f>
        <v/>
      </c>
      <c r="J86"/>
    </row>
    <row r="87" spans="1:18" x14ac:dyDescent="0.2">
      <c r="A87" s="15"/>
      <c r="B87" s="15"/>
      <c r="C87" s="16" t="s">
        <v>11</v>
      </c>
      <c r="D87" s="15"/>
      <c r="E87" s="15" t="s">
        <v>12</v>
      </c>
      <c r="F87" s="18" t="s">
        <v>13</v>
      </c>
      <c r="G87" s="19">
        <v>0</v>
      </c>
      <c r="H87" s="17" t="str">
        <f>IFERROR(VLOOKUP(B87,'[1]Debt Holding Consolidated'!$C$1:$N$65536,12,FALSE),"")</f>
        <v/>
      </c>
      <c r="J87"/>
    </row>
    <row r="88" spans="1:18" x14ac:dyDescent="0.2">
      <c r="A88" s="15"/>
      <c r="B88" s="15"/>
      <c r="C88" s="20"/>
      <c r="D88" s="15"/>
      <c r="E88" s="15"/>
      <c r="F88" s="21"/>
      <c r="G88" s="21"/>
      <c r="H88" s="17" t="str">
        <f>IFERROR(VLOOKUP(B88,'[1]Debt Holding Consolidated'!$C$1:$N$65536,12,FALSE),"")</f>
        <v/>
      </c>
      <c r="J88"/>
    </row>
    <row r="89" spans="1:18" x14ac:dyDescent="0.2">
      <c r="A89" s="15"/>
      <c r="B89" s="15"/>
      <c r="C89" s="16" t="s">
        <v>97</v>
      </c>
      <c r="D89" s="15"/>
      <c r="E89" s="15"/>
      <c r="F89" s="21"/>
      <c r="G89" s="21"/>
      <c r="H89" s="17" t="str">
        <f>IFERROR(VLOOKUP(B89,'[1]Debt Holding Consolidated'!$C$1:$N$65536,12,FALSE),"")</f>
        <v/>
      </c>
      <c r="J89"/>
    </row>
    <row r="90" spans="1:18" x14ac:dyDescent="0.2">
      <c r="A90" s="15"/>
      <c r="B90" s="15"/>
      <c r="C90" s="16" t="s">
        <v>11</v>
      </c>
      <c r="D90" s="15"/>
      <c r="E90" s="15" t="s">
        <v>12</v>
      </c>
      <c r="F90" s="18" t="s">
        <v>13</v>
      </c>
      <c r="G90" s="19">
        <v>0</v>
      </c>
      <c r="H90" s="17" t="str">
        <f>IFERROR(VLOOKUP(B90,'[1]Debt Holding Consolidated'!$C$1:$N$65536,12,FALSE),"")</f>
        <v/>
      </c>
      <c r="J90"/>
    </row>
    <row r="91" spans="1:18" x14ac:dyDescent="0.2">
      <c r="A91" s="15"/>
      <c r="B91" s="15"/>
      <c r="C91" s="20"/>
      <c r="D91" s="15"/>
      <c r="E91" s="15"/>
      <c r="F91" s="21"/>
      <c r="G91" s="21"/>
      <c r="H91" s="17" t="str">
        <f>IFERROR(VLOOKUP(B91,'[1]Debt Holding Consolidated'!$C$1:$N$65536,12,FALSE),"")</f>
        <v/>
      </c>
      <c r="J91"/>
    </row>
    <row r="92" spans="1:18" x14ac:dyDescent="0.2">
      <c r="A92" s="30"/>
      <c r="B92" s="26"/>
      <c r="C92" s="26" t="s">
        <v>98</v>
      </c>
      <c r="D92" s="26"/>
      <c r="E92" s="30"/>
      <c r="F92" s="28">
        <f>375.76890408+0.000048717999458313</f>
        <v>375.76895279799948</v>
      </c>
      <c r="G92" s="29">
        <v>1.9850949999999999E-2</v>
      </c>
      <c r="H92" s="17" t="str">
        <f>IFERROR(VLOOKUP(B92,'[1]Debt Holding Consolidated'!$C$1:$N$65536,12,FALSE),"")</f>
        <v/>
      </c>
      <c r="J92"/>
    </row>
    <row r="93" spans="1:18" x14ac:dyDescent="0.2">
      <c r="A93" s="20"/>
      <c r="B93" s="20"/>
      <c r="C93" s="16" t="s">
        <v>99</v>
      </c>
      <c r="D93" s="21"/>
      <c r="E93" s="21"/>
      <c r="F93" s="24">
        <f>18929.514777152+0.000048717999458313</f>
        <v>18929.514825869999</v>
      </c>
      <c r="G93" s="38">
        <v>1.00000003</v>
      </c>
      <c r="H93" s="17" t="str">
        <f>IFERROR(VLOOKUP(B93,'[1]Debt Holding Consolidated'!$C$1:$N$65536,12,FALSE),"")</f>
        <v/>
      </c>
      <c r="J93"/>
    </row>
    <row r="94" spans="1:18" x14ac:dyDescent="0.2">
      <c r="A94" s="39"/>
      <c r="B94" s="39"/>
      <c r="C94" s="39"/>
      <c r="D94" s="40"/>
      <c r="E94" s="40"/>
      <c r="F94" s="40"/>
      <c r="G94" s="40"/>
      <c r="J94"/>
    </row>
    <row r="95" spans="1:18" x14ac:dyDescent="0.2">
      <c r="A95" s="41"/>
      <c r="B95" s="113" t="s">
        <v>518</v>
      </c>
      <c r="C95" s="113"/>
      <c r="D95" s="113"/>
      <c r="E95" s="113"/>
      <c r="F95" s="113"/>
      <c r="G95" s="113"/>
      <c r="H95" s="113"/>
      <c r="J95"/>
    </row>
    <row r="96" spans="1:18" x14ac:dyDescent="0.2">
      <c r="A96" s="41"/>
      <c r="B96" s="113" t="s">
        <v>519</v>
      </c>
      <c r="C96" s="113"/>
      <c r="D96" s="113"/>
      <c r="E96" s="113"/>
      <c r="F96" s="113"/>
      <c r="G96" s="113"/>
      <c r="H96" s="113"/>
      <c r="J96"/>
    </row>
    <row r="97" spans="1:10" x14ac:dyDescent="0.2">
      <c r="A97" s="41"/>
      <c r="B97" s="113" t="s">
        <v>520</v>
      </c>
      <c r="C97" s="113"/>
      <c r="D97" s="113"/>
      <c r="E97" s="113"/>
      <c r="F97" s="113"/>
      <c r="G97" s="113"/>
      <c r="H97" s="113"/>
      <c r="J97"/>
    </row>
    <row r="98" spans="1:10" s="82" customFormat="1" ht="79.5" customHeight="1" x14ac:dyDescent="0.2">
      <c r="A98" s="81"/>
      <c r="B98" s="123" t="s">
        <v>521</v>
      </c>
      <c r="C98" s="123"/>
      <c r="D98" s="123"/>
      <c r="E98" s="123"/>
      <c r="F98" s="123"/>
      <c r="G98" s="123"/>
      <c r="H98" s="123"/>
      <c r="I98"/>
      <c r="J98" s="11"/>
    </row>
    <row r="99" spans="1:10" x14ac:dyDescent="0.2">
      <c r="A99" s="41"/>
      <c r="B99" s="41"/>
      <c r="C99" s="41"/>
      <c r="D99" s="43"/>
      <c r="E99" s="43"/>
      <c r="F99" s="43"/>
      <c r="G99" s="43"/>
    </row>
    <row r="100" spans="1:10" x14ac:dyDescent="0.2">
      <c r="A100" s="44"/>
      <c r="B100" s="108" t="s">
        <v>100</v>
      </c>
      <c r="C100" s="109"/>
      <c r="D100" s="110"/>
      <c r="E100" s="45"/>
      <c r="F100" s="46"/>
      <c r="G100" s="46"/>
    </row>
    <row r="101" spans="1:10" x14ac:dyDescent="0.2">
      <c r="A101" s="44"/>
      <c r="B101" s="111" t="s">
        <v>101</v>
      </c>
      <c r="C101" s="112"/>
      <c r="D101" s="16" t="s">
        <v>102</v>
      </c>
      <c r="E101" s="45"/>
      <c r="F101" s="46"/>
      <c r="G101" s="46"/>
      <c r="J101"/>
    </row>
    <row r="102" spans="1:10" x14ac:dyDescent="0.2">
      <c r="A102" s="44"/>
      <c r="B102" s="111" t="s">
        <v>103</v>
      </c>
      <c r="C102" s="112"/>
      <c r="D102" s="16" t="s">
        <v>102</v>
      </c>
      <c r="E102" s="45"/>
      <c r="F102" s="46"/>
      <c r="G102" s="46"/>
      <c r="J102"/>
    </row>
    <row r="103" spans="1:10" x14ac:dyDescent="0.2">
      <c r="A103" s="44"/>
      <c r="B103" s="111" t="s">
        <v>104</v>
      </c>
      <c r="C103" s="112"/>
      <c r="D103" s="21" t="s">
        <v>12</v>
      </c>
      <c r="E103" s="45"/>
      <c r="F103" s="46"/>
      <c r="G103" s="46"/>
      <c r="J103"/>
    </row>
    <row r="104" spans="1:10" x14ac:dyDescent="0.2">
      <c r="A104" s="47"/>
      <c r="B104" s="48" t="s">
        <v>12</v>
      </c>
      <c r="C104" s="48" t="s">
        <v>535</v>
      </c>
      <c r="D104" s="48" t="s">
        <v>105</v>
      </c>
      <c r="E104" s="47"/>
      <c r="F104" s="47"/>
      <c r="G104" s="47"/>
      <c r="H104" s="49"/>
      <c r="J104"/>
    </row>
    <row r="105" spans="1:10" x14ac:dyDescent="0.2">
      <c r="A105" s="50"/>
      <c r="B105" s="51" t="s">
        <v>106</v>
      </c>
      <c r="C105" s="52" t="s">
        <v>107</v>
      </c>
      <c r="D105" s="52" t="s">
        <v>108</v>
      </c>
      <c r="E105" s="50"/>
      <c r="F105" s="50"/>
      <c r="G105" s="50"/>
      <c r="J105"/>
    </row>
    <row r="106" spans="1:10" x14ac:dyDescent="0.2">
      <c r="A106" s="50"/>
      <c r="B106" s="26" t="s">
        <v>109</v>
      </c>
      <c r="C106" s="53">
        <v>44.188299999999998</v>
      </c>
      <c r="D106" s="53">
        <v>44.369599999999998</v>
      </c>
      <c r="E106" s="50"/>
      <c r="F106" s="54"/>
      <c r="G106" s="55"/>
      <c r="J106"/>
    </row>
    <row r="107" spans="1:10" ht="25.5" x14ac:dyDescent="0.2">
      <c r="A107" s="50"/>
      <c r="B107" s="26" t="s">
        <v>570</v>
      </c>
      <c r="C107" s="53">
        <v>12.934100000000001</v>
      </c>
      <c r="D107" s="53">
        <v>12.9872</v>
      </c>
      <c r="E107" s="50"/>
      <c r="F107" s="54"/>
      <c r="G107" s="55"/>
      <c r="J107"/>
    </row>
    <row r="108" spans="1:10" ht="25.5" x14ac:dyDescent="0.2">
      <c r="A108" s="50"/>
      <c r="B108" s="26" t="s">
        <v>571</v>
      </c>
      <c r="C108" s="53">
        <v>14.3581</v>
      </c>
      <c r="D108" s="53">
        <v>14.417</v>
      </c>
      <c r="E108" s="50"/>
      <c r="F108" s="54"/>
      <c r="G108" s="55"/>
      <c r="J108"/>
    </row>
    <row r="109" spans="1:10" ht="25.5" x14ac:dyDescent="0.2">
      <c r="A109" s="50"/>
      <c r="B109" s="26" t="s">
        <v>572</v>
      </c>
      <c r="C109" s="53">
        <v>14.2653</v>
      </c>
      <c r="D109" s="53">
        <v>14.3239</v>
      </c>
      <c r="E109" s="50"/>
      <c r="F109" s="54"/>
      <c r="G109" s="55"/>
    </row>
    <row r="110" spans="1:10" ht="25.5" x14ac:dyDescent="0.2">
      <c r="A110" s="50"/>
      <c r="B110" s="26" t="s">
        <v>573</v>
      </c>
      <c r="C110" s="53">
        <v>14.412699999999999</v>
      </c>
      <c r="D110" s="53">
        <v>14.472099999999999</v>
      </c>
      <c r="E110" s="50"/>
      <c r="F110" s="54"/>
      <c r="G110" s="55"/>
    </row>
    <row r="111" spans="1:10" x14ac:dyDescent="0.2">
      <c r="A111" s="50"/>
      <c r="B111" s="26" t="s">
        <v>110</v>
      </c>
      <c r="C111" s="53">
        <v>41.058300000000003</v>
      </c>
      <c r="D111" s="53">
        <v>41.217500000000001</v>
      </c>
      <c r="E111" s="50"/>
      <c r="F111" s="54"/>
      <c r="G111" s="55"/>
    </row>
    <row r="112" spans="1:10" x14ac:dyDescent="0.2">
      <c r="A112" s="50"/>
      <c r="B112" s="26" t="s">
        <v>139</v>
      </c>
      <c r="C112" s="53">
        <v>14.831300000000001</v>
      </c>
      <c r="D112" s="53">
        <v>14.8888</v>
      </c>
      <c r="E112" s="50"/>
      <c r="F112" s="54"/>
      <c r="G112" s="55"/>
    </row>
    <row r="113" spans="1:19" ht="25.5" x14ac:dyDescent="0.2">
      <c r="A113" s="50"/>
      <c r="B113" s="26" t="s">
        <v>574</v>
      </c>
      <c r="C113" s="53">
        <v>12.8964</v>
      </c>
      <c r="D113" s="53">
        <v>12.946400000000001</v>
      </c>
      <c r="E113" s="50"/>
      <c r="F113" s="54"/>
      <c r="G113" s="55"/>
    </row>
    <row r="114" spans="1:19" ht="25.5" x14ac:dyDescent="0.2">
      <c r="A114" s="50"/>
      <c r="B114" s="26" t="s">
        <v>575</v>
      </c>
      <c r="C114" s="53">
        <v>14.1028</v>
      </c>
      <c r="D114" s="53">
        <v>14.157500000000001</v>
      </c>
      <c r="E114" s="50"/>
      <c r="F114" s="54"/>
      <c r="G114" s="55"/>
    </row>
    <row r="115" spans="1:19" ht="25.5" x14ac:dyDescent="0.2">
      <c r="A115" s="50"/>
      <c r="B115" s="26" t="s">
        <v>576</v>
      </c>
      <c r="C115" s="53">
        <v>14.010300000000001</v>
      </c>
      <c r="D115" s="53">
        <v>14.0646</v>
      </c>
      <c r="E115" s="50"/>
      <c r="F115" s="54"/>
      <c r="G115" s="55"/>
    </row>
    <row r="116" spans="1:19" ht="25.5" x14ac:dyDescent="0.2">
      <c r="A116" s="50"/>
      <c r="B116" s="26" t="s">
        <v>577</v>
      </c>
      <c r="C116" s="53">
        <v>14.156700000000001</v>
      </c>
      <c r="D116" s="53">
        <v>14.211600000000001</v>
      </c>
      <c r="E116" s="50"/>
      <c r="F116" s="54"/>
      <c r="G116" s="55"/>
    </row>
    <row r="117" spans="1:19" x14ac:dyDescent="0.2">
      <c r="A117" s="50"/>
      <c r="B117" s="50"/>
      <c r="C117" s="50"/>
      <c r="D117" s="50"/>
      <c r="E117" s="50"/>
      <c r="F117" s="50"/>
      <c r="G117" s="50"/>
    </row>
    <row r="118" spans="1:19" x14ac:dyDescent="0.2">
      <c r="A118" s="50"/>
      <c r="B118" s="111" t="s">
        <v>578</v>
      </c>
      <c r="C118" s="112"/>
      <c r="D118" s="16" t="s">
        <v>102</v>
      </c>
      <c r="E118" s="50"/>
      <c r="F118" s="50"/>
      <c r="G118" s="50"/>
    </row>
    <row r="119" spans="1:19" x14ac:dyDescent="0.2">
      <c r="A119" s="50"/>
      <c r="B119" s="56"/>
      <c r="C119" s="56"/>
      <c r="D119" s="56"/>
      <c r="E119" s="50"/>
      <c r="F119" s="50"/>
      <c r="G119" s="50"/>
    </row>
    <row r="120" spans="1:19" s="58" customFormat="1" x14ac:dyDescent="0.2">
      <c r="A120" s="64"/>
      <c r="B120" s="105" t="s">
        <v>531</v>
      </c>
      <c r="C120" s="106"/>
      <c r="D120" s="32" t="s">
        <v>102</v>
      </c>
      <c r="E120" s="64"/>
      <c r="F120" s="64"/>
      <c r="G120" s="64"/>
      <c r="I120"/>
      <c r="J120" s="11"/>
      <c r="K120" s="35"/>
      <c r="L120" s="35"/>
      <c r="M120" s="35"/>
      <c r="N120" s="35"/>
      <c r="O120" s="65"/>
      <c r="P120"/>
      <c r="Q120"/>
    </row>
    <row r="121" spans="1:19" x14ac:dyDescent="0.2">
      <c r="A121" s="47"/>
      <c r="B121" s="105" t="s">
        <v>532</v>
      </c>
      <c r="C121" s="106"/>
      <c r="D121" s="32" t="s">
        <v>102</v>
      </c>
      <c r="E121" s="57"/>
      <c r="F121" s="47"/>
      <c r="G121" s="47"/>
    </row>
    <row r="122" spans="1:19" x14ac:dyDescent="0.2">
      <c r="A122" s="47"/>
      <c r="B122" s="105" t="s">
        <v>533</v>
      </c>
      <c r="C122" s="106"/>
      <c r="D122" s="32" t="s">
        <v>102</v>
      </c>
      <c r="E122" s="57"/>
      <c r="F122" s="47"/>
      <c r="G122" s="47"/>
    </row>
    <row r="123" spans="1:19" x14ac:dyDescent="0.2">
      <c r="A123" s="47"/>
      <c r="B123" s="105" t="s">
        <v>534</v>
      </c>
      <c r="C123" s="106"/>
      <c r="D123" s="32" t="s">
        <v>102</v>
      </c>
      <c r="E123" s="57"/>
      <c r="F123" s="47"/>
      <c r="G123" s="47"/>
    </row>
    <row r="124" spans="1:19" x14ac:dyDescent="0.2">
      <c r="A124" s="56"/>
      <c r="B124" s="56"/>
      <c r="C124" s="56"/>
      <c r="D124" s="56"/>
      <c r="E124" s="56"/>
      <c r="F124" s="56"/>
      <c r="G124" s="56"/>
    </row>
    <row r="125" spans="1:19" s="58" customFormat="1" x14ac:dyDescent="0.2">
      <c r="B125" s="118" t="s">
        <v>523</v>
      </c>
      <c r="C125" s="119"/>
      <c r="D125" s="120"/>
      <c r="I125"/>
      <c r="J125" s="11"/>
      <c r="K125" s="35"/>
      <c r="L125" s="35"/>
      <c r="M125" s="35"/>
      <c r="N125" s="35"/>
      <c r="O125" s="65"/>
      <c r="R125"/>
      <c r="S125"/>
    </row>
    <row r="126" spans="1:19" s="58" customFormat="1" ht="51" x14ac:dyDescent="0.2">
      <c r="B126" s="121" t="s">
        <v>524</v>
      </c>
      <c r="C126" s="121"/>
      <c r="D126" s="59" t="s">
        <v>376</v>
      </c>
      <c r="I126"/>
      <c r="J126" s="11"/>
      <c r="K126" s="35"/>
      <c r="L126" s="35"/>
      <c r="M126" s="35"/>
      <c r="N126" s="35"/>
      <c r="O126" s="65"/>
      <c r="R126"/>
      <c r="S126"/>
    </row>
    <row r="127" spans="1:19" s="58" customFormat="1" x14ac:dyDescent="0.2">
      <c r="B127" s="114" t="s">
        <v>525</v>
      </c>
      <c r="C127" s="114"/>
      <c r="D127" s="60"/>
      <c r="I127"/>
      <c r="J127" s="11"/>
      <c r="K127" s="35"/>
      <c r="L127" s="35"/>
      <c r="M127" s="35"/>
      <c r="N127" s="35"/>
      <c r="O127" s="65"/>
      <c r="R127"/>
      <c r="S127"/>
    </row>
    <row r="128" spans="1:19" s="58" customFormat="1" x14ac:dyDescent="0.2">
      <c r="B128" s="114"/>
      <c r="C128" s="114"/>
      <c r="D128" s="61"/>
      <c r="I128"/>
      <c r="J128" s="11"/>
      <c r="K128" s="35"/>
      <c r="L128" s="35"/>
      <c r="M128" s="35"/>
      <c r="N128" s="35"/>
      <c r="O128" s="65"/>
      <c r="R128"/>
      <c r="S128"/>
    </row>
    <row r="129" spans="2:15" s="58" customFormat="1" x14ac:dyDescent="0.2">
      <c r="B129" s="114" t="s">
        <v>526</v>
      </c>
      <c r="C129" s="114"/>
      <c r="D129" s="62">
        <v>7.2900650965076776</v>
      </c>
      <c r="I129"/>
      <c r="J129" s="11"/>
      <c r="K129" s="35"/>
      <c r="L129" s="35"/>
      <c r="M129" s="35"/>
      <c r="N129" s="35"/>
      <c r="O129" s="65"/>
    </row>
    <row r="130" spans="2:15" s="58" customFormat="1" x14ac:dyDescent="0.2">
      <c r="B130" s="114"/>
      <c r="C130" s="114"/>
      <c r="D130" s="61"/>
      <c r="I130"/>
      <c r="J130" s="11"/>
      <c r="K130" s="35"/>
      <c r="L130" s="35"/>
      <c r="M130" s="35"/>
      <c r="N130" s="35"/>
      <c r="O130" s="65"/>
    </row>
    <row r="131" spans="2:15" s="58" customFormat="1" x14ac:dyDescent="0.2">
      <c r="B131" s="114" t="s">
        <v>527</v>
      </c>
      <c r="C131" s="114"/>
      <c r="D131" s="62">
        <v>2.9850792873186989</v>
      </c>
      <c r="I131"/>
      <c r="J131" s="11"/>
      <c r="K131" s="35"/>
      <c r="L131" s="35"/>
      <c r="M131" s="35"/>
      <c r="N131" s="35"/>
      <c r="O131" s="65"/>
    </row>
    <row r="132" spans="2:15" s="58" customFormat="1" x14ac:dyDescent="0.2">
      <c r="B132" s="114" t="s">
        <v>528</v>
      </c>
      <c r="C132" s="114"/>
      <c r="D132" s="62">
        <v>3.8663565225202952</v>
      </c>
      <c r="I132"/>
      <c r="J132" s="11"/>
      <c r="K132" s="35"/>
      <c r="L132" s="35"/>
      <c r="M132" s="35"/>
      <c r="N132" s="35"/>
      <c r="O132" s="65"/>
    </row>
    <row r="133" spans="2:15" s="58" customFormat="1" x14ac:dyDescent="0.2">
      <c r="B133" s="114"/>
      <c r="C133" s="114"/>
      <c r="D133" s="61"/>
      <c r="I133"/>
      <c r="J133" s="11"/>
      <c r="K133" s="35"/>
      <c r="L133" s="35"/>
      <c r="M133" s="35"/>
      <c r="N133" s="35"/>
      <c r="O133" s="65"/>
    </row>
    <row r="134" spans="2:15" s="58" customFormat="1" ht="25.5" x14ac:dyDescent="0.2">
      <c r="B134" s="114" t="s">
        <v>529</v>
      </c>
      <c r="C134" s="114"/>
      <c r="D134" s="63" t="s">
        <v>564</v>
      </c>
      <c r="I134"/>
      <c r="J134" s="11"/>
      <c r="K134" s="35"/>
      <c r="L134" s="35"/>
      <c r="M134" s="35"/>
      <c r="N134" s="35"/>
      <c r="O134" s="65"/>
    </row>
    <row r="135" spans="2:15" s="58" customFormat="1" x14ac:dyDescent="0.2">
      <c r="B135" s="115" t="s">
        <v>530</v>
      </c>
      <c r="C135" s="117"/>
      <c r="D135" s="116"/>
      <c r="I135"/>
      <c r="J135" s="11"/>
      <c r="K135" s="35"/>
      <c r="L135" s="35"/>
      <c r="M135" s="35"/>
      <c r="N135" s="35"/>
      <c r="O135" s="65"/>
    </row>
    <row r="149" spans="9:9" x14ac:dyDescent="0.2">
      <c r="I149" s="35"/>
    </row>
    <row r="156" spans="9:9" x14ac:dyDescent="0.2">
      <c r="I156" s="35"/>
    </row>
    <row r="157" spans="9:9" x14ac:dyDescent="0.2">
      <c r="I157" s="35"/>
    </row>
    <row r="158" spans="9:9" x14ac:dyDescent="0.2">
      <c r="I158" s="35"/>
    </row>
    <row r="159" spans="9:9" x14ac:dyDescent="0.2">
      <c r="I159" s="35"/>
    </row>
  </sheetData>
  <mergeCells count="27">
    <mergeCell ref="B122:C122"/>
    <mergeCell ref="B135:D135"/>
    <mergeCell ref="B130:C130"/>
    <mergeCell ref="B131:C131"/>
    <mergeCell ref="B132:C132"/>
    <mergeCell ref="B133:C133"/>
    <mergeCell ref="B134:C134"/>
    <mergeCell ref="B125:D125"/>
    <mergeCell ref="B127:C127"/>
    <mergeCell ref="B128:C128"/>
    <mergeCell ref="B129:C129"/>
    <mergeCell ref="B123:C123"/>
    <mergeCell ref="B126:C126"/>
    <mergeCell ref="B120:C120"/>
    <mergeCell ref="B102:C102"/>
    <mergeCell ref="B103:C103"/>
    <mergeCell ref="B118:C118"/>
    <mergeCell ref="B121:C121"/>
    <mergeCell ref="A1:H1"/>
    <mergeCell ref="A2:H2"/>
    <mergeCell ref="A3:H3"/>
    <mergeCell ref="B100:D100"/>
    <mergeCell ref="B101:C101"/>
    <mergeCell ref="B95:H95"/>
    <mergeCell ref="B96:H96"/>
    <mergeCell ref="B97:H97"/>
    <mergeCell ref="B98:H98"/>
  </mergeCells>
  <hyperlinks>
    <hyperlink ref="I1" location="Index!B7" display="Index" xr:uid="{F5EEB72E-2C97-4FF2-98BF-F5DFE68F401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90093-2487-4771-A3EB-7DAE330D31FC}">
  <sheetPr>
    <outlinePr summaryBelow="0" summaryRight="0"/>
  </sheetPr>
  <dimension ref="A1:R171"/>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11" customWidth="1"/>
  </cols>
  <sheetData>
    <row r="1" spans="1:11" ht="15" x14ac:dyDescent="0.2">
      <c r="A1" s="107" t="s">
        <v>0</v>
      </c>
      <c r="B1" s="107"/>
      <c r="C1" s="107"/>
      <c r="D1" s="107"/>
      <c r="E1" s="107"/>
      <c r="F1" s="107"/>
      <c r="G1" s="107"/>
      <c r="H1" s="107"/>
      <c r="I1" s="1" t="s">
        <v>587</v>
      </c>
      <c r="K1" s="1"/>
    </row>
    <row r="2" spans="1:11" ht="15" x14ac:dyDescent="0.2">
      <c r="A2" s="107" t="s">
        <v>388</v>
      </c>
      <c r="B2" s="107"/>
      <c r="C2" s="107"/>
      <c r="D2" s="107"/>
      <c r="E2" s="107"/>
      <c r="F2" s="107"/>
      <c r="G2" s="107"/>
      <c r="H2" s="107"/>
      <c r="J2" s="12" t="s">
        <v>600</v>
      </c>
    </row>
    <row r="3" spans="1:11" ht="15" x14ac:dyDescent="0.2">
      <c r="A3" s="107" t="s">
        <v>501</v>
      </c>
      <c r="B3" s="107"/>
      <c r="C3" s="107"/>
      <c r="D3" s="107"/>
      <c r="E3" s="107"/>
      <c r="F3" s="107"/>
      <c r="G3" s="107"/>
      <c r="H3" s="107"/>
    </row>
    <row r="4" spans="1:11" s="11" customFormat="1" ht="30" x14ac:dyDescent="0.2">
      <c r="A4" s="13" t="s">
        <v>2</v>
      </c>
      <c r="B4" s="13" t="s">
        <v>3</v>
      </c>
      <c r="C4" s="13" t="s">
        <v>4</v>
      </c>
      <c r="D4" s="13" t="s">
        <v>5</v>
      </c>
      <c r="E4" s="13" t="s">
        <v>6</v>
      </c>
      <c r="F4" s="13" t="s">
        <v>7</v>
      </c>
      <c r="G4" s="13" t="s">
        <v>8</v>
      </c>
      <c r="H4" s="14" t="s">
        <v>516</v>
      </c>
    </row>
    <row r="5" spans="1:11" x14ac:dyDescent="0.2">
      <c r="A5" s="15"/>
      <c r="B5" s="15"/>
      <c r="C5" s="16" t="s">
        <v>9</v>
      </c>
      <c r="D5" s="15"/>
      <c r="E5" s="15"/>
      <c r="F5" s="15"/>
      <c r="G5" s="15"/>
      <c r="H5" s="17" t="str">
        <f>IFERROR(VLOOKUP(B5,'[1]Debt Holding Consolidated'!$C$1:$N$65536,12,FALSE),"")</f>
        <v/>
      </c>
    </row>
    <row r="6" spans="1:11" x14ac:dyDescent="0.2">
      <c r="A6" s="15"/>
      <c r="B6" s="15"/>
      <c r="C6" s="16" t="s">
        <v>10</v>
      </c>
      <c r="D6" s="15"/>
      <c r="E6" s="15"/>
      <c r="F6" s="15"/>
      <c r="G6" s="15"/>
      <c r="H6" s="17" t="str">
        <f>IFERROR(VLOOKUP(B6,'[1]Debt Holding Consolidated'!$C$1:$N$65536,12,FALSE),"")</f>
        <v/>
      </c>
    </row>
    <row r="7" spans="1:11" x14ac:dyDescent="0.2">
      <c r="A7" s="15"/>
      <c r="B7" s="15"/>
      <c r="C7" s="16" t="s">
        <v>11</v>
      </c>
      <c r="D7" s="15"/>
      <c r="E7" s="15" t="s">
        <v>12</v>
      </c>
      <c r="F7" s="18" t="s">
        <v>13</v>
      </c>
      <c r="G7" s="19">
        <v>0</v>
      </c>
      <c r="H7" s="17" t="str">
        <f>IFERROR(VLOOKUP(B7,'[1]Debt Holding Consolidated'!$C$1:$N$65536,12,FALSE),"")</f>
        <v/>
      </c>
    </row>
    <row r="8" spans="1:11" x14ac:dyDescent="0.2">
      <c r="A8" s="15"/>
      <c r="B8" s="15"/>
      <c r="C8" s="20"/>
      <c r="D8" s="15"/>
      <c r="E8" s="15"/>
      <c r="F8" s="21"/>
      <c r="G8" s="21"/>
      <c r="H8" s="17" t="str">
        <f>IFERROR(VLOOKUP(B8,'[1]Debt Holding Consolidated'!$C$1:$N$65536,12,FALSE),"")</f>
        <v/>
      </c>
    </row>
    <row r="9" spans="1:11" x14ac:dyDescent="0.2">
      <c r="A9" s="15"/>
      <c r="B9" s="15"/>
      <c r="C9" s="16" t="s">
        <v>14</v>
      </c>
      <c r="D9" s="15"/>
      <c r="E9" s="15"/>
      <c r="F9" s="15"/>
      <c r="G9" s="15"/>
      <c r="H9" s="17" t="str">
        <f>IFERROR(VLOOKUP(B9,'[1]Debt Holding Consolidated'!$C$1:$N$65536,12,FALSE),"")</f>
        <v/>
      </c>
    </row>
    <row r="10" spans="1:11" x14ac:dyDescent="0.2">
      <c r="A10" s="15"/>
      <c r="B10" s="15"/>
      <c r="C10" s="16" t="s">
        <v>11</v>
      </c>
      <c r="D10" s="15"/>
      <c r="E10" s="15" t="s">
        <v>12</v>
      </c>
      <c r="F10" s="18" t="s">
        <v>13</v>
      </c>
      <c r="G10" s="19">
        <v>0</v>
      </c>
      <c r="H10" s="17" t="str">
        <f>IFERROR(VLOOKUP(B10,'[1]Debt Holding Consolidated'!$C$1:$N$65536,12,FALSE),"")</f>
        <v/>
      </c>
    </row>
    <row r="11" spans="1:11" x14ac:dyDescent="0.2">
      <c r="A11" s="15"/>
      <c r="B11" s="15"/>
      <c r="C11" s="20"/>
      <c r="D11" s="15"/>
      <c r="E11" s="15"/>
      <c r="F11" s="21"/>
      <c r="G11" s="21"/>
      <c r="H11" s="17" t="str">
        <f>IFERROR(VLOOKUP(B11,'[1]Debt Holding Consolidated'!$C$1:$N$65536,12,FALSE),"")</f>
        <v/>
      </c>
    </row>
    <row r="12" spans="1:11" ht="15" x14ac:dyDescent="0.2">
      <c r="A12" s="15"/>
      <c r="B12" s="15"/>
      <c r="C12" s="16" t="s">
        <v>15</v>
      </c>
      <c r="D12" s="15"/>
      <c r="E12" s="15"/>
      <c r="F12" s="15"/>
      <c r="G12" s="15"/>
      <c r="H12" s="17" t="str">
        <f>IFERROR(VLOOKUP(B12,'[1]Debt Holding Consolidated'!$C$1:$N$65536,12,FALSE),"")</f>
        <v/>
      </c>
      <c r="J12" s="22"/>
    </row>
    <row r="13" spans="1:11" x14ac:dyDescent="0.2">
      <c r="A13" s="15"/>
      <c r="B13" s="15"/>
      <c r="C13" s="16" t="s">
        <v>11</v>
      </c>
      <c r="D13" s="15"/>
      <c r="E13" s="15" t="s">
        <v>12</v>
      </c>
      <c r="F13" s="18" t="s">
        <v>13</v>
      </c>
      <c r="G13" s="19">
        <v>0</v>
      </c>
      <c r="H13" s="17" t="str">
        <f>IFERROR(VLOOKUP(B13,'[1]Debt Holding Consolidated'!$C$1:$N$65536,12,FALSE),"")</f>
        <v/>
      </c>
      <c r="J13" s="23"/>
    </row>
    <row r="14" spans="1:11" x14ac:dyDescent="0.2">
      <c r="A14" s="15"/>
      <c r="B14" s="15"/>
      <c r="C14" s="20"/>
      <c r="D14" s="15"/>
      <c r="E14" s="15"/>
      <c r="F14" s="21"/>
      <c r="G14" s="21"/>
      <c r="H14" s="17" t="str">
        <f>IFERROR(VLOOKUP(B14,'[1]Debt Holding Consolidated'!$C$1:$N$65536,12,FALSE),"")</f>
        <v/>
      </c>
      <c r="J14" s="23"/>
    </row>
    <row r="15" spans="1:11" ht="25.5" x14ac:dyDescent="0.2">
      <c r="A15" s="15"/>
      <c r="B15" s="15"/>
      <c r="C15" s="16" t="s">
        <v>16</v>
      </c>
      <c r="D15" s="15"/>
      <c r="E15" s="15"/>
      <c r="F15" s="15"/>
      <c r="G15" s="15"/>
      <c r="H15" s="17" t="str">
        <f>IFERROR(VLOOKUP(B15,'[1]Debt Holding Consolidated'!$C$1:$N$65536,12,FALSE),"")</f>
        <v/>
      </c>
      <c r="J15" s="11" t="s">
        <v>601</v>
      </c>
    </row>
    <row r="16" spans="1:11" x14ac:dyDescent="0.2">
      <c r="A16" s="15"/>
      <c r="B16" s="15"/>
      <c r="C16" s="16" t="s">
        <v>11</v>
      </c>
      <c r="D16" s="15"/>
      <c r="E16" s="15" t="s">
        <v>12</v>
      </c>
      <c r="F16" s="18" t="s">
        <v>13</v>
      </c>
      <c r="G16" s="19">
        <v>0</v>
      </c>
      <c r="H16" s="17" t="str">
        <f>IFERROR(VLOOKUP(B16,'[1]Debt Holding Consolidated'!$C$1:$N$65536,12,FALSE),"")</f>
        <v/>
      </c>
    </row>
    <row r="17" spans="1:10" x14ac:dyDescent="0.2">
      <c r="A17" s="15"/>
      <c r="B17" s="15"/>
      <c r="C17" s="20"/>
      <c r="D17" s="15"/>
      <c r="E17" s="15"/>
      <c r="F17" s="21"/>
      <c r="G17" s="21"/>
      <c r="H17" s="17" t="str">
        <f>IFERROR(VLOOKUP(B17,'[1]Debt Holding Consolidated'!$C$1:$N$65536,12,FALSE),"")</f>
        <v/>
      </c>
    </row>
    <row r="18" spans="1:10" x14ac:dyDescent="0.2">
      <c r="A18" s="15"/>
      <c r="B18" s="15"/>
      <c r="C18" s="16" t="s">
        <v>17</v>
      </c>
      <c r="D18" s="15"/>
      <c r="E18" s="15"/>
      <c r="F18" s="21"/>
      <c r="G18" s="21"/>
      <c r="H18" s="17" t="str">
        <f>IFERROR(VLOOKUP(B18,'[1]Debt Holding Consolidated'!$C$1:$N$65536,12,FALSE),"")</f>
        <v/>
      </c>
    </row>
    <row r="19" spans="1:10" x14ac:dyDescent="0.2">
      <c r="A19" s="15"/>
      <c r="B19" s="15"/>
      <c r="C19" s="16" t="s">
        <v>11</v>
      </c>
      <c r="D19" s="15"/>
      <c r="E19" s="15" t="s">
        <v>12</v>
      </c>
      <c r="F19" s="18" t="s">
        <v>13</v>
      </c>
      <c r="G19" s="19">
        <v>0</v>
      </c>
      <c r="H19" s="17" t="str">
        <f>IFERROR(VLOOKUP(B19,'[1]Debt Holding Consolidated'!$C$1:$N$65536,12,FALSE),"")</f>
        <v/>
      </c>
    </row>
    <row r="20" spans="1:10" x14ac:dyDescent="0.2">
      <c r="A20" s="15"/>
      <c r="B20" s="15"/>
      <c r="C20" s="20"/>
      <c r="D20" s="15"/>
      <c r="E20" s="15"/>
      <c r="F20" s="21"/>
      <c r="G20" s="21"/>
      <c r="H20" s="17" t="str">
        <f>IFERROR(VLOOKUP(B20,'[1]Debt Holding Consolidated'!$C$1:$N$65536,12,FALSE),"")</f>
        <v/>
      </c>
    </row>
    <row r="21" spans="1:10" x14ac:dyDescent="0.2">
      <c r="A21" s="15"/>
      <c r="B21" s="15"/>
      <c r="C21" s="16" t="s">
        <v>18</v>
      </c>
      <c r="D21" s="15"/>
      <c r="E21" s="15"/>
      <c r="F21" s="21"/>
      <c r="G21" s="21"/>
      <c r="H21" s="17" t="str">
        <f>IFERROR(VLOOKUP(B21,'[1]Debt Holding Consolidated'!$C$1:$N$65536,12,FALSE),"")</f>
        <v/>
      </c>
    </row>
    <row r="22" spans="1:10" ht="15" x14ac:dyDescent="0.2">
      <c r="A22" s="15"/>
      <c r="B22" s="15"/>
      <c r="C22" s="16" t="s">
        <v>11</v>
      </c>
      <c r="D22" s="15"/>
      <c r="E22" s="15" t="s">
        <v>12</v>
      </c>
      <c r="F22" s="18" t="s">
        <v>13</v>
      </c>
      <c r="G22" s="19">
        <v>0</v>
      </c>
      <c r="H22" s="17" t="str">
        <f>IFERROR(VLOOKUP(B22,'[1]Debt Holding Consolidated'!$C$1:$N$65536,12,FALSE),"")</f>
        <v/>
      </c>
      <c r="J22" s="22"/>
    </row>
    <row r="23" spans="1:10" x14ac:dyDescent="0.2">
      <c r="A23" s="15"/>
      <c r="B23" s="15"/>
      <c r="C23" s="20"/>
      <c r="D23" s="15"/>
      <c r="E23" s="15"/>
      <c r="F23" s="21"/>
      <c r="G23" s="21"/>
      <c r="H23" s="17" t="str">
        <f>IFERROR(VLOOKUP(B23,'[1]Debt Holding Consolidated'!$C$1:$N$65536,12,FALSE),"")</f>
        <v/>
      </c>
      <c r="J23" s="23"/>
    </row>
    <row r="24" spans="1:10" x14ac:dyDescent="0.2">
      <c r="A24" s="15"/>
      <c r="B24" s="15"/>
      <c r="C24" s="16" t="s">
        <v>19</v>
      </c>
      <c r="D24" s="15"/>
      <c r="E24" s="15"/>
      <c r="F24" s="24">
        <v>0</v>
      </c>
      <c r="G24" s="19">
        <v>0</v>
      </c>
      <c r="H24" s="17" t="str">
        <f>IFERROR(VLOOKUP(B24,'[1]Debt Holding Consolidated'!$C$1:$N$65536,12,FALSE),"")</f>
        <v/>
      </c>
    </row>
    <row r="25" spans="1:10" x14ac:dyDescent="0.2">
      <c r="A25" s="15"/>
      <c r="B25" s="15"/>
      <c r="C25" s="20"/>
      <c r="D25" s="15"/>
      <c r="E25" s="15"/>
      <c r="F25" s="21"/>
      <c r="G25" s="21"/>
      <c r="H25" s="17" t="str">
        <f>IFERROR(VLOOKUP(B25,'[1]Debt Holding Consolidated'!$C$1:$N$65536,12,FALSE),"")</f>
        <v/>
      </c>
    </row>
    <row r="26" spans="1:10" x14ac:dyDescent="0.2">
      <c r="A26" s="15"/>
      <c r="B26" s="15"/>
      <c r="C26" s="16" t="s">
        <v>20</v>
      </c>
      <c r="D26" s="15"/>
      <c r="E26" s="15"/>
      <c r="F26" s="21"/>
      <c r="G26" s="21"/>
      <c r="H26" s="17" t="str">
        <f>IFERROR(VLOOKUP(B26,'[1]Debt Holding Consolidated'!$C$1:$N$65536,12,FALSE),"")</f>
        <v/>
      </c>
    </row>
    <row r="27" spans="1:10" ht="25.5" x14ac:dyDescent="0.2">
      <c r="A27" s="15"/>
      <c r="B27" s="15"/>
      <c r="C27" s="16" t="s">
        <v>10</v>
      </c>
      <c r="D27" s="15"/>
      <c r="E27" s="15"/>
      <c r="F27" s="21"/>
      <c r="G27" s="21"/>
      <c r="H27" s="17" t="str">
        <f>IFERROR(VLOOKUP(B27,'[1]Debt Holding Consolidated'!$C$1:$N$65536,12,FALSE),"")</f>
        <v/>
      </c>
      <c r="J27" s="11" t="s">
        <v>602</v>
      </c>
    </row>
    <row r="28" spans="1:10" x14ac:dyDescent="0.2">
      <c r="A28" s="25">
        <v>1</v>
      </c>
      <c r="B28" s="26" t="s">
        <v>194</v>
      </c>
      <c r="C28" s="26" t="s">
        <v>195</v>
      </c>
      <c r="D28" s="26" t="s">
        <v>196</v>
      </c>
      <c r="E28" s="27">
        <v>5000</v>
      </c>
      <c r="F28" s="28">
        <v>5022.8450000000003</v>
      </c>
      <c r="G28" s="29">
        <v>2.5680330000000001E-2</v>
      </c>
      <c r="H28" s="17">
        <f>IFERROR(VLOOKUP(B28,'[1]Debt Holding Consolidated'!$C$1:$N$65536,12,FALSE),"")</f>
        <v>8.4499999999999993</v>
      </c>
      <c r="J28" s="23"/>
    </row>
    <row r="29" spans="1:10" ht="25.5" x14ac:dyDescent="0.2">
      <c r="A29" s="25">
        <v>2</v>
      </c>
      <c r="B29" s="26" t="s">
        <v>205</v>
      </c>
      <c r="C29" s="26" t="s">
        <v>206</v>
      </c>
      <c r="D29" s="26" t="s">
        <v>23</v>
      </c>
      <c r="E29" s="27">
        <v>300</v>
      </c>
      <c r="F29" s="28">
        <v>2969.5619999999999</v>
      </c>
      <c r="G29" s="29">
        <v>1.51825E-2</v>
      </c>
      <c r="H29" s="17">
        <f>IFERROR(VLOOKUP(B29,'[1]Debt Holding Consolidated'!$C$1:$N$65536,12,FALSE),"")</f>
        <v>7.6550000000000002</v>
      </c>
    </row>
    <row r="30" spans="1:10" x14ac:dyDescent="0.2">
      <c r="A30" s="25">
        <v>3</v>
      </c>
      <c r="B30" s="26" t="s">
        <v>389</v>
      </c>
      <c r="C30" s="26" t="s">
        <v>390</v>
      </c>
      <c r="D30" s="26" t="s">
        <v>32</v>
      </c>
      <c r="E30" s="27">
        <v>250</v>
      </c>
      <c r="F30" s="28">
        <v>2499.5774999999999</v>
      </c>
      <c r="G30" s="29">
        <v>1.277961E-2</v>
      </c>
      <c r="H30" s="17">
        <f>IFERROR(VLOOKUP(B30,'[1]Debt Holding Consolidated'!$C$1:$N$65536,12,FALSE),"")</f>
        <v>7.0949999999999998</v>
      </c>
    </row>
    <row r="31" spans="1:10" ht="25.5" x14ac:dyDescent="0.2">
      <c r="A31" s="25">
        <v>4</v>
      </c>
      <c r="B31" s="26" t="s">
        <v>391</v>
      </c>
      <c r="C31" s="26" t="s">
        <v>392</v>
      </c>
      <c r="D31" s="26" t="s">
        <v>220</v>
      </c>
      <c r="E31" s="27">
        <v>250000</v>
      </c>
      <c r="F31" s="28">
        <v>2498.0625</v>
      </c>
      <c r="G31" s="29">
        <v>1.2771859999999999E-2</v>
      </c>
      <c r="H31" s="17">
        <f>IFERROR(VLOOKUP(B31,'[1]Debt Holding Consolidated'!$C$1:$N$65536,12,FALSE),"")</f>
        <v>8.2050000000000001</v>
      </c>
    </row>
    <row r="32" spans="1:10" ht="25.5" x14ac:dyDescent="0.2">
      <c r="A32" s="25">
        <v>5</v>
      </c>
      <c r="B32" s="26" t="s">
        <v>57</v>
      </c>
      <c r="C32" s="26" t="s">
        <v>58</v>
      </c>
      <c r="D32" s="26" t="s">
        <v>23</v>
      </c>
      <c r="E32" s="27">
        <v>2500</v>
      </c>
      <c r="F32" s="28">
        <v>2496.1999999999998</v>
      </c>
      <c r="G32" s="29">
        <v>1.276234E-2</v>
      </c>
      <c r="H32" s="17">
        <f>IFERROR(VLOOKUP(B32,'[1]Debt Holding Consolidated'!$C$1:$N$65536,12,FALSE),"")</f>
        <v>7.66</v>
      </c>
    </row>
    <row r="33" spans="1:8" ht="25.5" x14ac:dyDescent="0.2">
      <c r="A33" s="25">
        <v>6</v>
      </c>
      <c r="B33" s="26" t="s">
        <v>393</v>
      </c>
      <c r="C33" s="26" t="s">
        <v>394</v>
      </c>
      <c r="D33" s="26" t="s">
        <v>23</v>
      </c>
      <c r="E33" s="27">
        <v>250</v>
      </c>
      <c r="F33" s="28">
        <v>2484.44</v>
      </c>
      <c r="G33" s="29">
        <v>1.270221E-2</v>
      </c>
      <c r="H33" s="17">
        <f>IFERROR(VLOOKUP(B33,'[1]Debt Holding Consolidated'!$C$1:$N$65536,12,FALSE),"")</f>
        <v>8.0850000000000009</v>
      </c>
    </row>
    <row r="34" spans="1:8" ht="25.5" x14ac:dyDescent="0.2">
      <c r="A34" s="25">
        <v>7</v>
      </c>
      <c r="B34" s="26" t="s">
        <v>395</v>
      </c>
      <c r="C34" s="26" t="s">
        <v>396</v>
      </c>
      <c r="D34" s="26" t="s">
        <v>23</v>
      </c>
      <c r="E34" s="27">
        <v>250</v>
      </c>
      <c r="F34" s="28">
        <v>2480.9425000000001</v>
      </c>
      <c r="G34" s="29">
        <v>1.2684330000000001E-2</v>
      </c>
      <c r="H34" s="17">
        <f>IFERROR(VLOOKUP(B34,'[1]Debt Holding Consolidated'!$C$1:$N$65536,12,FALSE),"")</f>
        <v>7.53</v>
      </c>
    </row>
    <row r="35" spans="1:8" ht="25.5" x14ac:dyDescent="0.2">
      <c r="A35" s="25">
        <v>8</v>
      </c>
      <c r="B35" s="26" t="s">
        <v>397</v>
      </c>
      <c r="C35" s="26" t="s">
        <v>398</v>
      </c>
      <c r="D35" s="26" t="s">
        <v>23</v>
      </c>
      <c r="E35" s="27">
        <v>250</v>
      </c>
      <c r="F35" s="28">
        <v>2455.0425</v>
      </c>
      <c r="G35" s="29">
        <v>1.2551909999999999E-2</v>
      </c>
      <c r="H35" s="17">
        <f>IFERROR(VLOOKUP(B35,'[1]Debt Holding Consolidated'!$C$1:$N$65536,12,FALSE),"")</f>
        <v>7.7</v>
      </c>
    </row>
    <row r="36" spans="1:8" x14ac:dyDescent="0.2">
      <c r="A36" s="25">
        <v>9</v>
      </c>
      <c r="B36" s="26" t="s">
        <v>197</v>
      </c>
      <c r="C36" s="26" t="s">
        <v>198</v>
      </c>
      <c r="D36" s="26" t="s">
        <v>196</v>
      </c>
      <c r="E36" s="27">
        <v>2000</v>
      </c>
      <c r="F36" s="28">
        <v>2002.9380000000001</v>
      </c>
      <c r="G36" s="29">
        <v>1.024044E-2</v>
      </c>
      <c r="H36" s="17">
        <f>IFERROR(VLOOKUP(B36,'[1]Debt Holding Consolidated'!$C$1:$N$65536,12,FALSE),"")</f>
        <v>9.0607000000000006</v>
      </c>
    </row>
    <row r="37" spans="1:8" ht="25.5" x14ac:dyDescent="0.2">
      <c r="A37" s="25">
        <v>10</v>
      </c>
      <c r="B37" s="26" t="s">
        <v>218</v>
      </c>
      <c r="C37" s="26" t="s">
        <v>219</v>
      </c>
      <c r="D37" s="26" t="s">
        <v>220</v>
      </c>
      <c r="E37" s="27">
        <v>200</v>
      </c>
      <c r="F37" s="28">
        <v>1998.5419999999999</v>
      </c>
      <c r="G37" s="29">
        <v>1.021796E-2</v>
      </c>
      <c r="H37" s="17">
        <f>IFERROR(VLOOKUP(B37,'[1]Debt Holding Consolidated'!$C$1:$N$65536,12,FALSE),"")</f>
        <v>8.4550000000000001</v>
      </c>
    </row>
    <row r="38" spans="1:8" ht="25.5" x14ac:dyDescent="0.2">
      <c r="A38" s="25">
        <v>11</v>
      </c>
      <c r="B38" s="26" t="s">
        <v>61</v>
      </c>
      <c r="C38" s="26" t="s">
        <v>62</v>
      </c>
      <c r="D38" s="26" t="s">
        <v>23</v>
      </c>
      <c r="E38" s="27">
        <v>1500</v>
      </c>
      <c r="F38" s="28">
        <v>1497.9090000000001</v>
      </c>
      <c r="G38" s="29">
        <v>7.6583700000000003E-3</v>
      </c>
      <c r="H38" s="17">
        <f>IFERROR(VLOOKUP(B38,'[1]Debt Holding Consolidated'!$C$1:$N$65536,12,FALSE),"")</f>
        <v>8.19</v>
      </c>
    </row>
    <row r="39" spans="1:8" x14ac:dyDescent="0.2">
      <c r="A39" s="25">
        <v>12</v>
      </c>
      <c r="B39" s="26" t="s">
        <v>216</v>
      </c>
      <c r="C39" s="26" t="s">
        <v>217</v>
      </c>
      <c r="D39" s="26" t="s">
        <v>196</v>
      </c>
      <c r="E39" s="27">
        <v>1000</v>
      </c>
      <c r="F39" s="28">
        <v>1001.52</v>
      </c>
      <c r="G39" s="29">
        <v>5.1204800000000002E-3</v>
      </c>
      <c r="H39" s="17">
        <f>IFERROR(VLOOKUP(B39,'[1]Debt Holding Consolidated'!$C$1:$N$65536,12,FALSE),"")</f>
        <v>9.0500000000000007</v>
      </c>
    </row>
    <row r="40" spans="1:8" x14ac:dyDescent="0.2">
      <c r="A40" s="15"/>
      <c r="B40" s="15"/>
      <c r="C40" s="16" t="s">
        <v>11</v>
      </c>
      <c r="D40" s="15"/>
      <c r="E40" s="15" t="s">
        <v>12</v>
      </c>
      <c r="F40" s="24">
        <v>29407.580999999998</v>
      </c>
      <c r="G40" s="19">
        <v>0.15035234</v>
      </c>
      <c r="H40" s="17" t="str">
        <f>IFERROR(VLOOKUP(B40,'[1]Debt Holding Consolidated'!$C$1:$N$65536,12,FALSE),"")</f>
        <v/>
      </c>
    </row>
    <row r="41" spans="1:8" x14ac:dyDescent="0.2">
      <c r="A41" s="15"/>
      <c r="B41" s="15"/>
      <c r="C41" s="20"/>
      <c r="D41" s="15"/>
      <c r="E41" s="15"/>
      <c r="F41" s="21"/>
      <c r="G41" s="21"/>
      <c r="H41" s="17" t="str">
        <f>IFERROR(VLOOKUP(B41,'[1]Debt Holding Consolidated'!$C$1:$N$65536,12,FALSE),"")</f>
        <v/>
      </c>
    </row>
    <row r="42" spans="1:8" x14ac:dyDescent="0.2">
      <c r="A42" s="15"/>
      <c r="B42" s="15"/>
      <c r="C42" s="16" t="s">
        <v>67</v>
      </c>
      <c r="D42" s="15"/>
      <c r="E42" s="15"/>
      <c r="F42" s="15"/>
      <c r="G42" s="15"/>
      <c r="H42" s="17" t="str">
        <f>IFERROR(VLOOKUP(B42,'[1]Debt Holding Consolidated'!$C$1:$N$65536,12,FALSE),"")</f>
        <v/>
      </c>
    </row>
    <row r="43" spans="1:8" x14ac:dyDescent="0.2">
      <c r="A43" s="15"/>
      <c r="B43" s="15"/>
      <c r="C43" s="16" t="s">
        <v>11</v>
      </c>
      <c r="D43" s="15"/>
      <c r="E43" s="15" t="s">
        <v>12</v>
      </c>
      <c r="F43" s="18" t="s">
        <v>13</v>
      </c>
      <c r="G43" s="19">
        <v>0</v>
      </c>
      <c r="H43" s="17" t="str">
        <f>IFERROR(VLOOKUP(B43,'[1]Debt Holding Consolidated'!$C$1:$N$65536,12,FALSE),"")</f>
        <v/>
      </c>
    </row>
    <row r="44" spans="1:8" x14ac:dyDescent="0.2">
      <c r="A44" s="15"/>
      <c r="B44" s="15"/>
      <c r="C44" s="20"/>
      <c r="D44" s="15"/>
      <c r="E44" s="15"/>
      <c r="F44" s="21"/>
      <c r="G44" s="21"/>
      <c r="H44" s="17" t="str">
        <f>IFERROR(VLOOKUP(B44,'[1]Debt Holding Consolidated'!$C$1:$N$65536,12,FALSE),"")</f>
        <v/>
      </c>
    </row>
    <row r="45" spans="1:8" x14ac:dyDescent="0.2">
      <c r="A45" s="15"/>
      <c r="B45" s="15"/>
      <c r="C45" s="16" t="s">
        <v>68</v>
      </c>
      <c r="D45" s="15"/>
      <c r="E45" s="15"/>
      <c r="F45" s="15"/>
      <c r="G45" s="15"/>
      <c r="H45" s="17" t="str">
        <f>IFERROR(VLOOKUP(B45,'[1]Debt Holding Consolidated'!$C$1:$N$65536,12,FALSE),"")</f>
        <v/>
      </c>
    </row>
    <row r="46" spans="1:8" x14ac:dyDescent="0.2">
      <c r="A46" s="15"/>
      <c r="B46" s="15"/>
      <c r="C46" s="16" t="s">
        <v>11</v>
      </c>
      <c r="D46" s="15"/>
      <c r="E46" s="15" t="s">
        <v>12</v>
      </c>
      <c r="F46" s="18" t="s">
        <v>13</v>
      </c>
      <c r="G46" s="19">
        <v>0</v>
      </c>
      <c r="H46" s="17" t="str">
        <f>IFERROR(VLOOKUP(B46,'[1]Debt Holding Consolidated'!$C$1:$N$65536,12,FALSE),"")</f>
        <v/>
      </c>
    </row>
    <row r="47" spans="1:8" x14ac:dyDescent="0.2">
      <c r="A47" s="15"/>
      <c r="B47" s="15"/>
      <c r="C47" s="20"/>
      <c r="D47" s="15"/>
      <c r="E47" s="15"/>
      <c r="F47" s="21"/>
      <c r="G47" s="21"/>
      <c r="H47" s="17" t="str">
        <f>IFERROR(VLOOKUP(B47,'[1]Debt Holding Consolidated'!$C$1:$N$65536,12,FALSE),"")</f>
        <v/>
      </c>
    </row>
    <row r="48" spans="1:8" x14ac:dyDescent="0.2">
      <c r="A48" s="15"/>
      <c r="B48" s="15"/>
      <c r="C48" s="16" t="s">
        <v>82</v>
      </c>
      <c r="D48" s="15"/>
      <c r="E48" s="15"/>
      <c r="F48" s="21"/>
      <c r="G48" s="21"/>
      <c r="H48" s="17" t="str">
        <f>IFERROR(VLOOKUP(B48,'[1]Debt Holding Consolidated'!$C$1:$N$65536,12,FALSE),"")</f>
        <v/>
      </c>
    </row>
    <row r="49" spans="1:8" x14ac:dyDescent="0.2">
      <c r="A49" s="15"/>
      <c r="B49" s="15"/>
      <c r="C49" s="16" t="s">
        <v>11</v>
      </c>
      <c r="D49" s="15"/>
      <c r="E49" s="15" t="s">
        <v>12</v>
      </c>
      <c r="F49" s="18" t="s">
        <v>13</v>
      </c>
      <c r="G49" s="19">
        <v>0</v>
      </c>
      <c r="H49" s="17" t="str">
        <f>IFERROR(VLOOKUP(B49,'[1]Debt Holding Consolidated'!$C$1:$N$65536,12,FALSE),"")</f>
        <v/>
      </c>
    </row>
    <row r="50" spans="1:8" x14ac:dyDescent="0.2">
      <c r="A50" s="15"/>
      <c r="B50" s="15"/>
      <c r="C50" s="20"/>
      <c r="D50" s="15"/>
      <c r="E50" s="15"/>
      <c r="F50" s="21"/>
      <c r="G50" s="21"/>
      <c r="H50" s="17" t="str">
        <f>IFERROR(VLOOKUP(B50,'[1]Debt Holding Consolidated'!$C$1:$N$65536,12,FALSE),"")</f>
        <v/>
      </c>
    </row>
    <row r="51" spans="1:8" x14ac:dyDescent="0.2">
      <c r="A51" s="15"/>
      <c r="B51" s="15"/>
      <c r="C51" s="16" t="s">
        <v>83</v>
      </c>
      <c r="D51" s="15"/>
      <c r="E51" s="15"/>
      <c r="F51" s="24">
        <v>29407.580999999998</v>
      </c>
      <c r="G51" s="19">
        <v>0.15035234</v>
      </c>
      <c r="H51" s="17" t="str">
        <f>IFERROR(VLOOKUP(B51,'[1]Debt Holding Consolidated'!$C$1:$N$65536,12,FALSE),"")</f>
        <v/>
      </c>
    </row>
    <row r="52" spans="1:8" x14ac:dyDescent="0.2">
      <c r="A52" s="15"/>
      <c r="B52" s="15"/>
      <c r="C52" s="20"/>
      <c r="D52" s="15"/>
      <c r="E52" s="15"/>
      <c r="F52" s="21"/>
      <c r="G52" s="21"/>
      <c r="H52" s="17" t="str">
        <f>IFERROR(VLOOKUP(B52,'[1]Debt Holding Consolidated'!$C$1:$N$65536,12,FALSE),"")</f>
        <v/>
      </c>
    </row>
    <row r="53" spans="1:8" x14ac:dyDescent="0.2">
      <c r="A53" s="15"/>
      <c r="B53" s="15"/>
      <c r="C53" s="16" t="s">
        <v>84</v>
      </c>
      <c r="D53" s="15"/>
      <c r="E53" s="15"/>
      <c r="F53" s="21"/>
      <c r="G53" s="21"/>
      <c r="H53" s="17" t="str">
        <f>IFERROR(VLOOKUP(B53,'[1]Debt Holding Consolidated'!$C$1:$N$65536,12,FALSE),"")</f>
        <v/>
      </c>
    </row>
    <row r="54" spans="1:8" x14ac:dyDescent="0.2">
      <c r="A54" s="15"/>
      <c r="B54" s="15"/>
      <c r="C54" s="16" t="s">
        <v>85</v>
      </c>
      <c r="D54" s="15"/>
      <c r="E54" s="15"/>
      <c r="F54" s="21"/>
      <c r="G54" s="21"/>
      <c r="H54" s="17" t="str">
        <f>IFERROR(VLOOKUP(B54,'[1]Debt Holding Consolidated'!$C$1:$N$65536,12,FALSE),"")</f>
        <v/>
      </c>
    </row>
    <row r="55" spans="1:8" x14ac:dyDescent="0.2">
      <c r="A55" s="25">
        <v>1</v>
      </c>
      <c r="B55" s="26" t="s">
        <v>151</v>
      </c>
      <c r="C55" s="26" t="s">
        <v>152</v>
      </c>
      <c r="D55" s="26" t="s">
        <v>143</v>
      </c>
      <c r="E55" s="27">
        <v>1400</v>
      </c>
      <c r="F55" s="28">
        <v>6835.9970000000003</v>
      </c>
      <c r="G55" s="29">
        <v>3.4950450000000001E-2</v>
      </c>
      <c r="H55" s="17">
        <f>IFERROR(VLOOKUP(B55,'[1]Debt Holding Consolidated'!$C$1:$N$65536,12,FALSE),"")</f>
        <v>7.3586</v>
      </c>
    </row>
    <row r="56" spans="1:8" x14ac:dyDescent="0.2">
      <c r="A56" s="25">
        <v>2</v>
      </c>
      <c r="B56" s="26" t="s">
        <v>227</v>
      </c>
      <c r="C56" s="26" t="s">
        <v>228</v>
      </c>
      <c r="D56" s="26" t="s">
        <v>143</v>
      </c>
      <c r="E56" s="27">
        <v>1300</v>
      </c>
      <c r="F56" s="28">
        <v>6356.5645000000004</v>
      </c>
      <c r="G56" s="29">
        <v>3.249925E-2</v>
      </c>
      <c r="H56" s="17">
        <f>IFERROR(VLOOKUP(B56,'[1]Debt Holding Consolidated'!$C$1:$N$65536,12,FALSE),"")</f>
        <v>7.42</v>
      </c>
    </row>
    <row r="57" spans="1:8" x14ac:dyDescent="0.2">
      <c r="A57" s="25">
        <v>3</v>
      </c>
      <c r="B57" s="26" t="s">
        <v>399</v>
      </c>
      <c r="C57" s="26" t="s">
        <v>400</v>
      </c>
      <c r="D57" s="26" t="s">
        <v>146</v>
      </c>
      <c r="E57" s="27">
        <v>1000</v>
      </c>
      <c r="F57" s="28">
        <v>4900.83</v>
      </c>
      <c r="G57" s="29">
        <v>2.5056510000000001E-2</v>
      </c>
      <c r="H57" s="17">
        <f>IFERROR(VLOOKUP(B57,'[1]Debt Holding Consolidated'!$C$1:$N$65536,12,FALSE),"")</f>
        <v>7.3127000000000004</v>
      </c>
    </row>
    <row r="58" spans="1:8" x14ac:dyDescent="0.2">
      <c r="A58" s="25">
        <v>4</v>
      </c>
      <c r="B58" s="26" t="s">
        <v>401</v>
      </c>
      <c r="C58" s="26" t="s">
        <v>402</v>
      </c>
      <c r="D58" s="26" t="s">
        <v>161</v>
      </c>
      <c r="E58" s="27">
        <v>1000</v>
      </c>
      <c r="F58" s="28">
        <v>4889.9049999999997</v>
      </c>
      <c r="G58" s="29">
        <v>2.5000649999999999E-2</v>
      </c>
      <c r="H58" s="17">
        <f>IFERROR(VLOOKUP(B58,'[1]Debt Holding Consolidated'!$C$1:$N$65536,12,FALSE),"")</f>
        <v>7.3373999999999997</v>
      </c>
    </row>
    <row r="59" spans="1:8" x14ac:dyDescent="0.2">
      <c r="A59" s="25">
        <v>5</v>
      </c>
      <c r="B59" s="26" t="s">
        <v>403</v>
      </c>
      <c r="C59" s="26" t="s">
        <v>404</v>
      </c>
      <c r="D59" s="26" t="s">
        <v>143</v>
      </c>
      <c r="E59" s="27">
        <v>1000</v>
      </c>
      <c r="F59" s="28">
        <v>4879.47</v>
      </c>
      <c r="G59" s="29">
        <v>2.4947299999999999E-2</v>
      </c>
      <c r="H59" s="17">
        <f>IFERROR(VLOOKUP(B59,'[1]Debt Holding Consolidated'!$C$1:$N$65536,12,FALSE),"")</f>
        <v>7.3902999999999999</v>
      </c>
    </row>
    <row r="60" spans="1:8" x14ac:dyDescent="0.2">
      <c r="A60" s="25">
        <v>6</v>
      </c>
      <c r="B60" s="26" t="s">
        <v>405</v>
      </c>
      <c r="C60" s="26" t="s">
        <v>406</v>
      </c>
      <c r="D60" s="26" t="s">
        <v>143</v>
      </c>
      <c r="E60" s="27">
        <v>1000</v>
      </c>
      <c r="F60" s="28">
        <v>4832.7250000000004</v>
      </c>
      <c r="G60" s="29">
        <v>2.4708310000000001E-2</v>
      </c>
      <c r="H60" s="17">
        <f>IFERROR(VLOOKUP(B60,'[1]Debt Holding Consolidated'!$C$1:$N$65536,12,FALSE),"")</f>
        <v>7.52</v>
      </c>
    </row>
    <row r="61" spans="1:8" x14ac:dyDescent="0.2">
      <c r="A61" s="25">
        <v>7</v>
      </c>
      <c r="B61" s="26" t="s">
        <v>166</v>
      </c>
      <c r="C61" s="26" t="s">
        <v>167</v>
      </c>
      <c r="D61" s="26" t="s">
        <v>143</v>
      </c>
      <c r="E61" s="27">
        <v>900</v>
      </c>
      <c r="F61" s="28">
        <v>4410.18</v>
      </c>
      <c r="G61" s="29">
        <v>2.2547959999999999E-2</v>
      </c>
      <c r="H61" s="17">
        <f>IFERROR(VLOOKUP(B61,'[1]Debt Holding Consolidated'!$C$1:$N$65536,12,FALSE),"")</f>
        <v>7.36</v>
      </c>
    </row>
    <row r="62" spans="1:8" x14ac:dyDescent="0.2">
      <c r="A62" s="25">
        <v>8</v>
      </c>
      <c r="B62" s="26" t="s">
        <v>225</v>
      </c>
      <c r="C62" s="26" t="s">
        <v>226</v>
      </c>
      <c r="D62" s="26" t="s">
        <v>143</v>
      </c>
      <c r="E62" s="27">
        <v>900</v>
      </c>
      <c r="F62" s="28">
        <v>4406.6970000000001</v>
      </c>
      <c r="G62" s="29">
        <v>2.2530149999999999E-2</v>
      </c>
      <c r="H62" s="17">
        <f>IFERROR(VLOOKUP(B62,'[1]Debt Holding Consolidated'!$C$1:$N$65536,12,FALSE),"")</f>
        <v>7.3601000000000001</v>
      </c>
    </row>
    <row r="63" spans="1:8" x14ac:dyDescent="0.2">
      <c r="A63" s="25">
        <v>9</v>
      </c>
      <c r="B63" s="26" t="s">
        <v>159</v>
      </c>
      <c r="C63" s="26" t="s">
        <v>160</v>
      </c>
      <c r="D63" s="26" t="s">
        <v>161</v>
      </c>
      <c r="E63" s="27">
        <v>840</v>
      </c>
      <c r="F63" s="28">
        <v>3920.3766000000001</v>
      </c>
      <c r="G63" s="29">
        <v>2.0043740000000001E-2</v>
      </c>
      <c r="H63" s="17">
        <f>IFERROR(VLOOKUP(B63,'[1]Debt Holding Consolidated'!$C$1:$N$65536,12,FALSE),"")</f>
        <v>7.59</v>
      </c>
    </row>
    <row r="64" spans="1:8" ht="25.5" x14ac:dyDescent="0.2">
      <c r="A64" s="25">
        <v>10</v>
      </c>
      <c r="B64" s="26" t="s">
        <v>233</v>
      </c>
      <c r="C64" s="26" t="s">
        <v>234</v>
      </c>
      <c r="D64" s="26" t="s">
        <v>143</v>
      </c>
      <c r="E64" s="27">
        <v>800</v>
      </c>
      <c r="F64" s="28">
        <v>3881.96</v>
      </c>
      <c r="G64" s="29">
        <v>1.9847320000000002E-2</v>
      </c>
      <c r="H64" s="17">
        <f>IFERROR(VLOOKUP(B64,'[1]Debt Holding Consolidated'!$C$1:$N$65536,12,FALSE),"")</f>
        <v>7.55</v>
      </c>
    </row>
    <row r="65" spans="1:8" ht="25.5" x14ac:dyDescent="0.2">
      <c r="A65" s="25">
        <v>11</v>
      </c>
      <c r="B65" s="26" t="s">
        <v>229</v>
      </c>
      <c r="C65" s="26" t="s">
        <v>230</v>
      </c>
      <c r="D65" s="26" t="s">
        <v>143</v>
      </c>
      <c r="E65" s="27">
        <v>800</v>
      </c>
      <c r="F65" s="28">
        <v>3861.1559999999999</v>
      </c>
      <c r="G65" s="29">
        <v>1.9740959999999998E-2</v>
      </c>
      <c r="H65" s="17">
        <f>IFERROR(VLOOKUP(B65,'[1]Debt Holding Consolidated'!$C$1:$N$65536,12,FALSE),"")</f>
        <v>7.5</v>
      </c>
    </row>
    <row r="66" spans="1:8" x14ac:dyDescent="0.2">
      <c r="A66" s="25">
        <v>12</v>
      </c>
      <c r="B66" s="26" t="s">
        <v>172</v>
      </c>
      <c r="C66" s="26" t="s">
        <v>173</v>
      </c>
      <c r="D66" s="26" t="s">
        <v>161</v>
      </c>
      <c r="E66" s="27">
        <v>800</v>
      </c>
      <c r="F66" s="28">
        <v>3845.7040000000002</v>
      </c>
      <c r="G66" s="29">
        <v>1.9661959999999999E-2</v>
      </c>
      <c r="H66" s="17">
        <f>IFERROR(VLOOKUP(B66,'[1]Debt Holding Consolidated'!$C$1:$N$65536,12,FALSE),"")</f>
        <v>7.5101000000000004</v>
      </c>
    </row>
    <row r="67" spans="1:8" ht="25.5" x14ac:dyDescent="0.2">
      <c r="A67" s="25">
        <v>13</v>
      </c>
      <c r="B67" s="26" t="s">
        <v>223</v>
      </c>
      <c r="C67" s="26" t="s">
        <v>224</v>
      </c>
      <c r="D67" s="26" t="s">
        <v>143</v>
      </c>
      <c r="E67" s="27">
        <v>700</v>
      </c>
      <c r="F67" s="28">
        <v>3418.527</v>
      </c>
      <c r="G67" s="29">
        <v>1.7477929999999999E-2</v>
      </c>
      <c r="H67" s="17">
        <f>IFERROR(VLOOKUP(B67,'[1]Debt Holding Consolidated'!$C$1:$N$65536,12,FALSE),"")</f>
        <v>7.4349999999999996</v>
      </c>
    </row>
    <row r="68" spans="1:8" x14ac:dyDescent="0.2">
      <c r="A68" s="25">
        <v>14</v>
      </c>
      <c r="B68" s="26" t="s">
        <v>162</v>
      </c>
      <c r="C68" s="26" t="s">
        <v>163</v>
      </c>
      <c r="D68" s="26" t="s">
        <v>143</v>
      </c>
      <c r="E68" s="27">
        <v>660</v>
      </c>
      <c r="F68" s="28">
        <v>3175.3688999999999</v>
      </c>
      <c r="G68" s="29">
        <v>1.6234729999999999E-2</v>
      </c>
      <c r="H68" s="17">
        <f>IFERROR(VLOOKUP(B68,'[1]Debt Holding Consolidated'!$C$1:$N$65536,12,FALSE),"")</f>
        <v>7.58</v>
      </c>
    </row>
    <row r="69" spans="1:8" x14ac:dyDescent="0.2">
      <c r="A69" s="25">
        <v>15</v>
      </c>
      <c r="B69" s="26" t="s">
        <v>164</v>
      </c>
      <c r="C69" s="26" t="s">
        <v>165</v>
      </c>
      <c r="D69" s="26" t="s">
        <v>143</v>
      </c>
      <c r="E69" s="27">
        <v>660</v>
      </c>
      <c r="F69" s="28">
        <v>3173.6264999999999</v>
      </c>
      <c r="G69" s="29">
        <v>1.6225819999999998E-2</v>
      </c>
      <c r="H69" s="17">
        <f>IFERROR(VLOOKUP(B69,'[1]Debt Holding Consolidated'!$C$1:$N$65536,12,FALSE),"")</f>
        <v>7.57</v>
      </c>
    </row>
    <row r="70" spans="1:8" x14ac:dyDescent="0.2">
      <c r="A70" s="25">
        <v>16</v>
      </c>
      <c r="B70" s="26" t="s">
        <v>168</v>
      </c>
      <c r="C70" s="26" t="s">
        <v>169</v>
      </c>
      <c r="D70" s="26" t="s">
        <v>161</v>
      </c>
      <c r="E70" s="27">
        <v>600</v>
      </c>
      <c r="F70" s="28">
        <v>2900.154</v>
      </c>
      <c r="G70" s="29">
        <v>1.482764E-2</v>
      </c>
      <c r="H70" s="17">
        <f>IFERROR(VLOOKUP(B70,'[1]Debt Holding Consolidated'!$C$1:$N$65536,12,FALSE),"")</f>
        <v>7.48</v>
      </c>
    </row>
    <row r="71" spans="1:8" x14ac:dyDescent="0.2">
      <c r="A71" s="25">
        <v>17</v>
      </c>
      <c r="B71" s="26" t="s">
        <v>155</v>
      </c>
      <c r="C71" s="26" t="s">
        <v>156</v>
      </c>
      <c r="D71" s="26" t="s">
        <v>143</v>
      </c>
      <c r="E71" s="27">
        <v>600</v>
      </c>
      <c r="F71" s="28">
        <v>2888.4209999999998</v>
      </c>
      <c r="G71" s="29">
        <v>1.476765E-2</v>
      </c>
      <c r="H71" s="17">
        <f>IFERROR(VLOOKUP(B71,'[1]Debt Holding Consolidated'!$C$1:$N$65536,12,FALSE),"")</f>
        <v>7.5</v>
      </c>
    </row>
    <row r="72" spans="1:8" x14ac:dyDescent="0.2">
      <c r="A72" s="25">
        <v>18</v>
      </c>
      <c r="B72" s="26" t="s">
        <v>407</v>
      </c>
      <c r="C72" s="26" t="s">
        <v>408</v>
      </c>
      <c r="D72" s="26" t="s">
        <v>143</v>
      </c>
      <c r="E72" s="27">
        <v>500</v>
      </c>
      <c r="F72" s="28">
        <v>2447.8200000000002</v>
      </c>
      <c r="G72" s="29">
        <v>1.251499E-2</v>
      </c>
      <c r="H72" s="17">
        <f>IFERROR(VLOOKUP(B72,'[1]Debt Holding Consolidated'!$C$1:$N$65536,12,FALSE),"")</f>
        <v>7.41</v>
      </c>
    </row>
    <row r="73" spans="1:8" x14ac:dyDescent="0.2">
      <c r="A73" s="25">
        <v>19</v>
      </c>
      <c r="B73" s="26" t="s">
        <v>409</v>
      </c>
      <c r="C73" s="26" t="s">
        <v>410</v>
      </c>
      <c r="D73" s="26" t="s">
        <v>143</v>
      </c>
      <c r="E73" s="27">
        <v>500</v>
      </c>
      <c r="F73" s="28">
        <v>2444.5300000000002</v>
      </c>
      <c r="G73" s="29">
        <v>1.2498169999999999E-2</v>
      </c>
      <c r="H73" s="17">
        <f>IFERROR(VLOOKUP(B73,'[1]Debt Holding Consolidated'!$C$1:$N$65536,12,FALSE),"")</f>
        <v>7.3948999999999998</v>
      </c>
    </row>
    <row r="74" spans="1:8" ht="25.5" x14ac:dyDescent="0.2">
      <c r="A74" s="25">
        <v>20</v>
      </c>
      <c r="B74" s="26" t="s">
        <v>411</v>
      </c>
      <c r="C74" s="26" t="s">
        <v>412</v>
      </c>
      <c r="D74" s="26" t="s">
        <v>143</v>
      </c>
      <c r="E74" s="27">
        <v>500</v>
      </c>
      <c r="F74" s="28">
        <v>2438.41</v>
      </c>
      <c r="G74" s="29">
        <v>1.246688E-2</v>
      </c>
      <c r="H74" s="17">
        <f>IFERROR(VLOOKUP(B74,'[1]Debt Holding Consolidated'!$C$1:$N$65536,12,FALSE),"")</f>
        <v>7.4349999999999996</v>
      </c>
    </row>
    <row r="75" spans="1:8" x14ac:dyDescent="0.2">
      <c r="A75" s="25">
        <v>21</v>
      </c>
      <c r="B75" s="26" t="s">
        <v>413</v>
      </c>
      <c r="C75" s="26" t="s">
        <v>414</v>
      </c>
      <c r="D75" s="26" t="s">
        <v>143</v>
      </c>
      <c r="E75" s="27">
        <v>500</v>
      </c>
      <c r="F75" s="28">
        <v>2427.1849999999999</v>
      </c>
      <c r="G75" s="29">
        <v>1.240949E-2</v>
      </c>
      <c r="H75" s="17">
        <f>IFERROR(VLOOKUP(B75,'[1]Debt Holding Consolidated'!$C$1:$N$65536,12,FALSE),"")</f>
        <v>7.5</v>
      </c>
    </row>
    <row r="76" spans="1:8" x14ac:dyDescent="0.2">
      <c r="A76" s="25">
        <v>22</v>
      </c>
      <c r="B76" s="26" t="s">
        <v>415</v>
      </c>
      <c r="C76" s="26" t="s">
        <v>416</v>
      </c>
      <c r="D76" s="26" t="s">
        <v>143</v>
      </c>
      <c r="E76" s="27">
        <v>500</v>
      </c>
      <c r="F76" s="28">
        <v>2426.6999999999998</v>
      </c>
      <c r="G76" s="29">
        <v>1.240701E-2</v>
      </c>
      <c r="H76" s="17">
        <f>IFERROR(VLOOKUP(B76,'[1]Debt Holding Consolidated'!$C$1:$N$65536,12,FALSE),"")</f>
        <v>7.5000999999999998</v>
      </c>
    </row>
    <row r="77" spans="1:8" ht="25.5" x14ac:dyDescent="0.2">
      <c r="A77" s="25">
        <v>23</v>
      </c>
      <c r="B77" s="26" t="s">
        <v>417</v>
      </c>
      <c r="C77" s="26" t="s">
        <v>418</v>
      </c>
      <c r="D77" s="26" t="s">
        <v>143</v>
      </c>
      <c r="E77" s="27">
        <v>500</v>
      </c>
      <c r="F77" s="28">
        <v>2420.4250000000002</v>
      </c>
      <c r="G77" s="29">
        <v>1.2374919999999999E-2</v>
      </c>
      <c r="H77" s="17">
        <f>IFERROR(VLOOKUP(B77,'[1]Debt Holding Consolidated'!$C$1:$N$65536,12,FALSE),"")</f>
        <v>7.5</v>
      </c>
    </row>
    <row r="78" spans="1:8" x14ac:dyDescent="0.2">
      <c r="A78" s="25">
        <v>24</v>
      </c>
      <c r="B78" s="26" t="s">
        <v>419</v>
      </c>
      <c r="C78" s="26" t="s">
        <v>420</v>
      </c>
      <c r="D78" s="26" t="s">
        <v>143</v>
      </c>
      <c r="E78" s="27">
        <v>500</v>
      </c>
      <c r="F78" s="28">
        <v>2414.4949999999999</v>
      </c>
      <c r="G78" s="29">
        <v>1.2344610000000001E-2</v>
      </c>
      <c r="H78" s="17">
        <f>IFERROR(VLOOKUP(B78,'[1]Debt Holding Consolidated'!$C$1:$N$65536,12,FALSE),"")</f>
        <v>7.4717000000000002</v>
      </c>
    </row>
    <row r="79" spans="1:8" x14ac:dyDescent="0.2">
      <c r="A79" s="25">
        <v>25</v>
      </c>
      <c r="B79" s="26" t="s">
        <v>421</v>
      </c>
      <c r="C79" s="26" t="s">
        <v>422</v>
      </c>
      <c r="D79" s="26" t="s">
        <v>143</v>
      </c>
      <c r="E79" s="27">
        <v>500</v>
      </c>
      <c r="F79" s="28">
        <v>2413</v>
      </c>
      <c r="G79" s="29">
        <v>1.2336959999999999E-2</v>
      </c>
      <c r="H79" s="17">
        <f>IFERROR(VLOOKUP(B79,'[1]Debt Holding Consolidated'!$C$1:$N$65536,12,FALSE),"")</f>
        <v>7.52</v>
      </c>
    </row>
    <row r="80" spans="1:8" x14ac:dyDescent="0.2">
      <c r="A80" s="25">
        <v>26</v>
      </c>
      <c r="B80" s="26" t="s">
        <v>144</v>
      </c>
      <c r="C80" s="26" t="s">
        <v>145</v>
      </c>
      <c r="D80" s="26" t="s">
        <v>146</v>
      </c>
      <c r="E80" s="27">
        <v>500</v>
      </c>
      <c r="F80" s="28">
        <v>2407.2550000000001</v>
      </c>
      <c r="G80" s="29">
        <v>1.230759E-2</v>
      </c>
      <c r="H80" s="17">
        <f>IFERROR(VLOOKUP(B80,'[1]Debt Holding Consolidated'!$C$1:$N$65536,12,FALSE),"")</f>
        <v>7.48</v>
      </c>
    </row>
    <row r="81" spans="1:10" x14ac:dyDescent="0.2">
      <c r="A81" s="25">
        <v>27</v>
      </c>
      <c r="B81" s="26" t="s">
        <v>423</v>
      </c>
      <c r="C81" s="26" t="s">
        <v>424</v>
      </c>
      <c r="D81" s="26" t="s">
        <v>143</v>
      </c>
      <c r="E81" s="27">
        <v>500</v>
      </c>
      <c r="F81" s="28">
        <v>2398.0050000000001</v>
      </c>
      <c r="G81" s="29">
        <v>1.22603E-2</v>
      </c>
      <c r="H81" s="17">
        <f>IFERROR(VLOOKUP(B81,'[1]Debt Holding Consolidated'!$C$1:$N$65536,12,FALSE),"")</f>
        <v>7.5</v>
      </c>
    </row>
    <row r="82" spans="1:10" x14ac:dyDescent="0.2">
      <c r="A82" s="25">
        <v>28</v>
      </c>
      <c r="B82" s="26" t="s">
        <v>149</v>
      </c>
      <c r="C82" s="26" t="s">
        <v>150</v>
      </c>
      <c r="D82" s="26" t="s">
        <v>143</v>
      </c>
      <c r="E82" s="27">
        <v>500</v>
      </c>
      <c r="F82" s="28">
        <v>2362.3625000000002</v>
      </c>
      <c r="G82" s="29">
        <v>1.207807E-2</v>
      </c>
      <c r="H82" s="17">
        <f>IFERROR(VLOOKUP(B82,'[1]Debt Holding Consolidated'!$C$1:$N$65536,12,FALSE),"")</f>
        <v>7.5949999999999998</v>
      </c>
    </row>
    <row r="83" spans="1:10" x14ac:dyDescent="0.2">
      <c r="A83" s="25">
        <v>29</v>
      </c>
      <c r="B83" s="26" t="s">
        <v>170</v>
      </c>
      <c r="C83" s="26" t="s">
        <v>171</v>
      </c>
      <c r="D83" s="26" t="s">
        <v>143</v>
      </c>
      <c r="E83" s="27">
        <v>400</v>
      </c>
      <c r="F83" s="28">
        <v>1931.2</v>
      </c>
      <c r="G83" s="29">
        <v>9.8736599999999994E-3</v>
      </c>
      <c r="H83" s="17">
        <f>IFERROR(VLOOKUP(B83,'[1]Debt Holding Consolidated'!$C$1:$N$65536,12,FALSE),"")</f>
        <v>7.56</v>
      </c>
    </row>
    <row r="84" spans="1:10" ht="25.5" x14ac:dyDescent="0.2">
      <c r="A84" s="25">
        <v>30</v>
      </c>
      <c r="B84" s="26" t="s">
        <v>153</v>
      </c>
      <c r="C84" s="26" t="s">
        <v>154</v>
      </c>
      <c r="D84" s="26" t="s">
        <v>143</v>
      </c>
      <c r="E84" s="27">
        <v>300</v>
      </c>
      <c r="F84" s="28">
        <v>1446.4994999999999</v>
      </c>
      <c r="G84" s="29">
        <v>7.39553E-3</v>
      </c>
      <c r="H84" s="17">
        <f>IFERROR(VLOOKUP(B84,'[1]Debt Holding Consolidated'!$C$1:$N$65536,12,FALSE),"")</f>
        <v>7.5</v>
      </c>
      <c r="J84"/>
    </row>
    <row r="85" spans="1:10" ht="25.5" x14ac:dyDescent="0.2">
      <c r="A85" s="25">
        <v>31</v>
      </c>
      <c r="B85" s="26" t="s">
        <v>231</v>
      </c>
      <c r="C85" s="26" t="s">
        <v>232</v>
      </c>
      <c r="D85" s="26" t="s">
        <v>143</v>
      </c>
      <c r="E85" s="27">
        <v>300</v>
      </c>
      <c r="F85" s="28">
        <v>1442.4974999999999</v>
      </c>
      <c r="G85" s="29">
        <v>7.3750700000000001E-3</v>
      </c>
      <c r="H85" s="17">
        <f>IFERROR(VLOOKUP(B85,'[1]Debt Holding Consolidated'!$C$1:$N$65536,12,FALSE),"")</f>
        <v>7.5</v>
      </c>
      <c r="J85"/>
    </row>
    <row r="86" spans="1:10" x14ac:dyDescent="0.2">
      <c r="A86" s="25">
        <v>32</v>
      </c>
      <c r="B86" s="26" t="s">
        <v>157</v>
      </c>
      <c r="C86" s="26" t="s">
        <v>158</v>
      </c>
      <c r="D86" s="26" t="s">
        <v>143</v>
      </c>
      <c r="E86" s="27">
        <v>300</v>
      </c>
      <c r="F86" s="28">
        <v>1439.3610000000001</v>
      </c>
      <c r="G86" s="29">
        <v>7.3590299999999999E-3</v>
      </c>
      <c r="H86" s="17">
        <f>IFERROR(VLOOKUP(B86,'[1]Debt Holding Consolidated'!$C$1:$N$65536,12,FALSE),"")</f>
        <v>7.5750000000000002</v>
      </c>
      <c r="J86"/>
    </row>
    <row r="87" spans="1:10" x14ac:dyDescent="0.2">
      <c r="A87" s="25">
        <v>33</v>
      </c>
      <c r="B87" s="26" t="s">
        <v>141</v>
      </c>
      <c r="C87" s="26" t="s">
        <v>142</v>
      </c>
      <c r="D87" s="26" t="s">
        <v>143</v>
      </c>
      <c r="E87" s="27">
        <v>100</v>
      </c>
      <c r="F87" s="28">
        <v>480.87849999999997</v>
      </c>
      <c r="G87" s="29">
        <v>2.4585900000000001E-3</v>
      </c>
      <c r="H87" s="17">
        <f>IFERROR(VLOOKUP(B87,'[1]Debt Holding Consolidated'!$C$1:$N$65536,12,FALSE),"")</f>
        <v>7.52</v>
      </c>
      <c r="J87"/>
    </row>
    <row r="88" spans="1:10" x14ac:dyDescent="0.2">
      <c r="A88" s="15"/>
      <c r="B88" s="15"/>
      <c r="C88" s="16" t="s">
        <v>11</v>
      </c>
      <c r="D88" s="15"/>
      <c r="E88" s="15" t="s">
        <v>12</v>
      </c>
      <c r="F88" s="24">
        <v>105918.2865</v>
      </c>
      <c r="G88" s="19">
        <v>0.54152920000000004</v>
      </c>
      <c r="H88" s="17" t="str">
        <f>IFERROR(VLOOKUP(B88,'[1]Debt Holding Consolidated'!$C$1:$N$65536,12,FALSE),"")</f>
        <v/>
      </c>
      <c r="J88"/>
    </row>
    <row r="89" spans="1:10" x14ac:dyDescent="0.2">
      <c r="A89" s="15"/>
      <c r="B89" s="15"/>
      <c r="C89" s="20"/>
      <c r="D89" s="15"/>
      <c r="E89" s="15"/>
      <c r="F89" s="21"/>
      <c r="G89" s="21"/>
      <c r="H89" s="17" t="str">
        <f>IFERROR(VLOOKUP(B89,'[1]Debt Holding Consolidated'!$C$1:$N$65536,12,FALSE),"")</f>
        <v/>
      </c>
      <c r="J89"/>
    </row>
    <row r="90" spans="1:10" x14ac:dyDescent="0.2">
      <c r="A90" s="15"/>
      <c r="B90" s="15"/>
      <c r="C90" s="16" t="s">
        <v>86</v>
      </c>
      <c r="D90" s="15"/>
      <c r="E90" s="15"/>
      <c r="F90" s="21"/>
      <c r="G90" s="21"/>
      <c r="H90" s="17" t="str">
        <f>IFERROR(VLOOKUP(B90,'[1]Debt Holding Consolidated'!$C$1:$N$65536,12,FALSE),"")</f>
        <v/>
      </c>
      <c r="J90"/>
    </row>
    <row r="91" spans="1:10" x14ac:dyDescent="0.2">
      <c r="A91" s="25">
        <v>1</v>
      </c>
      <c r="B91" s="26" t="s">
        <v>425</v>
      </c>
      <c r="C91" s="26" t="s">
        <v>426</v>
      </c>
      <c r="D91" s="26" t="s">
        <v>143</v>
      </c>
      <c r="E91" s="27">
        <v>1000</v>
      </c>
      <c r="F91" s="28">
        <v>4877.87</v>
      </c>
      <c r="G91" s="29">
        <v>2.4939119999999999E-2</v>
      </c>
      <c r="H91" s="17">
        <f>IFERROR(VLOOKUP(B91,'[1]Debt Holding Consolidated'!$C$1:$N$65536,12,FALSE),"")</f>
        <v>7.43</v>
      </c>
      <c r="J91"/>
    </row>
    <row r="92" spans="1:10" ht="25.5" x14ac:dyDescent="0.2">
      <c r="A92" s="25">
        <v>2</v>
      </c>
      <c r="B92" s="26" t="s">
        <v>427</v>
      </c>
      <c r="C92" s="26" t="s">
        <v>428</v>
      </c>
      <c r="D92" s="26" t="s">
        <v>143</v>
      </c>
      <c r="E92" s="27">
        <v>1000</v>
      </c>
      <c r="F92" s="28">
        <v>4863.59</v>
      </c>
      <c r="G92" s="29">
        <v>2.486611E-2</v>
      </c>
      <c r="H92" s="17">
        <f>IFERROR(VLOOKUP(B92,'[1]Debt Holding Consolidated'!$C$1:$N$65536,12,FALSE),"")</f>
        <v>7.875</v>
      </c>
      <c r="J92"/>
    </row>
    <row r="93" spans="1:10" ht="25.5" x14ac:dyDescent="0.2">
      <c r="A93" s="25">
        <v>3</v>
      </c>
      <c r="B93" s="26" t="s">
        <v>429</v>
      </c>
      <c r="C93" s="26" t="s">
        <v>430</v>
      </c>
      <c r="D93" s="26" t="s">
        <v>143</v>
      </c>
      <c r="E93" s="27">
        <v>1000</v>
      </c>
      <c r="F93" s="28">
        <v>4804.9399999999996</v>
      </c>
      <c r="G93" s="29">
        <v>2.4566250000000001E-2</v>
      </c>
      <c r="H93" s="17">
        <f>IFERROR(VLOOKUP(B93,'[1]Debt Holding Consolidated'!$C$1:$N$65536,12,FALSE),"")</f>
        <v>7.56</v>
      </c>
      <c r="J93"/>
    </row>
    <row r="94" spans="1:10" x14ac:dyDescent="0.2">
      <c r="A94" s="25">
        <v>4</v>
      </c>
      <c r="B94" s="26" t="s">
        <v>431</v>
      </c>
      <c r="C94" s="26" t="s">
        <v>432</v>
      </c>
      <c r="D94" s="26" t="s">
        <v>143</v>
      </c>
      <c r="E94" s="27">
        <v>1000</v>
      </c>
      <c r="F94" s="28">
        <v>4790.9399999999996</v>
      </c>
      <c r="G94" s="29">
        <v>2.449467E-2</v>
      </c>
      <c r="H94" s="17">
        <f>IFERROR(VLOOKUP(B94,'[1]Debt Holding Consolidated'!$C$1:$N$65536,12,FALSE),"")</f>
        <v>8.2524999999999995</v>
      </c>
      <c r="J94"/>
    </row>
    <row r="95" spans="1:10" x14ac:dyDescent="0.2">
      <c r="A95" s="25">
        <v>5</v>
      </c>
      <c r="B95" s="26" t="s">
        <v>433</v>
      </c>
      <c r="C95" s="26" t="s">
        <v>434</v>
      </c>
      <c r="D95" s="26" t="s">
        <v>143</v>
      </c>
      <c r="E95" s="27">
        <v>1000</v>
      </c>
      <c r="F95" s="28">
        <v>4781.96</v>
      </c>
      <c r="G95" s="29">
        <v>2.444876E-2</v>
      </c>
      <c r="H95" s="17">
        <f>IFERROR(VLOOKUP(B95,'[1]Debt Holding Consolidated'!$C$1:$N$65536,12,FALSE),"")</f>
        <v>8.0399999999999991</v>
      </c>
      <c r="J95"/>
    </row>
    <row r="96" spans="1:10" ht="25.5" x14ac:dyDescent="0.2">
      <c r="A96" s="25">
        <v>6</v>
      </c>
      <c r="B96" s="26" t="s">
        <v>178</v>
      </c>
      <c r="C96" s="26" t="s">
        <v>179</v>
      </c>
      <c r="D96" s="26" t="s">
        <v>143</v>
      </c>
      <c r="E96" s="27">
        <v>800</v>
      </c>
      <c r="F96" s="28">
        <v>3902.076</v>
      </c>
      <c r="G96" s="29">
        <v>1.995017E-2</v>
      </c>
      <c r="H96" s="17">
        <f>IFERROR(VLOOKUP(B96,'[1]Debt Holding Consolidated'!$C$1:$N$65536,12,FALSE),"")</f>
        <v>7.9649999999999999</v>
      </c>
      <c r="J96"/>
    </row>
    <row r="97" spans="1:10" x14ac:dyDescent="0.2">
      <c r="A97" s="25">
        <v>7</v>
      </c>
      <c r="B97" s="26" t="s">
        <v>435</v>
      </c>
      <c r="C97" s="26" t="s">
        <v>436</v>
      </c>
      <c r="D97" s="26" t="s">
        <v>143</v>
      </c>
      <c r="E97" s="27">
        <v>500</v>
      </c>
      <c r="F97" s="28">
        <v>2400.6849999999999</v>
      </c>
      <c r="G97" s="29">
        <v>1.2274E-2</v>
      </c>
      <c r="H97" s="17">
        <f>IFERROR(VLOOKUP(B97,'[1]Debt Holding Consolidated'!$C$1:$N$65536,12,FALSE),"")</f>
        <v>7.55</v>
      </c>
      <c r="J97"/>
    </row>
    <row r="98" spans="1:10" ht="25.5" x14ac:dyDescent="0.2">
      <c r="A98" s="25">
        <v>8</v>
      </c>
      <c r="B98" s="26" t="s">
        <v>437</v>
      </c>
      <c r="C98" s="26" t="s">
        <v>438</v>
      </c>
      <c r="D98" s="26" t="s">
        <v>143</v>
      </c>
      <c r="E98" s="27">
        <v>500</v>
      </c>
      <c r="F98" s="28">
        <v>2382.5050000000001</v>
      </c>
      <c r="G98" s="29">
        <v>1.2181050000000001E-2</v>
      </c>
      <c r="H98" s="17">
        <f>IFERROR(VLOOKUP(B98,'[1]Debt Holding Consolidated'!$C$1:$N$65536,12,FALSE),"")</f>
        <v>8.2949999999999999</v>
      </c>
    </row>
    <row r="99" spans="1:10" x14ac:dyDescent="0.2">
      <c r="A99" s="25">
        <v>9</v>
      </c>
      <c r="B99" s="26" t="s">
        <v>180</v>
      </c>
      <c r="C99" s="26" t="s">
        <v>181</v>
      </c>
      <c r="D99" s="26" t="s">
        <v>143</v>
      </c>
      <c r="E99" s="27">
        <v>300</v>
      </c>
      <c r="F99" s="28">
        <v>1441.0695000000001</v>
      </c>
      <c r="G99" s="29">
        <v>7.36777E-3</v>
      </c>
      <c r="H99" s="17">
        <f>IFERROR(VLOOKUP(B99,'[1]Debt Holding Consolidated'!$C$1:$N$65536,12,FALSE),"")</f>
        <v>7.8975</v>
      </c>
    </row>
    <row r="100" spans="1:10" ht="25.5" x14ac:dyDescent="0.2">
      <c r="A100" s="25">
        <v>10</v>
      </c>
      <c r="B100" s="26" t="s">
        <v>184</v>
      </c>
      <c r="C100" s="26" t="s">
        <v>185</v>
      </c>
      <c r="D100" s="26" t="s">
        <v>143</v>
      </c>
      <c r="E100" s="27">
        <v>300</v>
      </c>
      <c r="F100" s="28">
        <v>1415.451</v>
      </c>
      <c r="G100" s="29">
        <v>7.2367899999999999E-3</v>
      </c>
      <c r="H100" s="17">
        <f>IFERROR(VLOOKUP(B100,'[1]Debt Holding Consolidated'!$C$1:$N$65536,12,FALSE),"")</f>
        <v>7.65</v>
      </c>
    </row>
    <row r="101" spans="1:10" x14ac:dyDescent="0.2">
      <c r="A101" s="15"/>
      <c r="B101" s="15"/>
      <c r="C101" s="16" t="s">
        <v>11</v>
      </c>
      <c r="D101" s="15"/>
      <c r="E101" s="15" t="s">
        <v>12</v>
      </c>
      <c r="F101" s="24">
        <v>35661.086499999998</v>
      </c>
      <c r="G101" s="19">
        <v>0.18232469000000001</v>
      </c>
      <c r="H101" s="17" t="str">
        <f>IFERROR(VLOOKUP(B101,'[1]Debt Holding Consolidated'!$C$1:$N$65536,12,FALSE),"")</f>
        <v/>
      </c>
      <c r="J101"/>
    </row>
    <row r="102" spans="1:10" x14ac:dyDescent="0.2">
      <c r="A102" s="15"/>
      <c r="B102" s="15"/>
      <c r="C102" s="20"/>
      <c r="D102" s="15"/>
      <c r="E102" s="15"/>
      <c r="F102" s="21"/>
      <c r="G102" s="21"/>
      <c r="H102" s="17" t="str">
        <f>IFERROR(VLOOKUP(B102,'[1]Debt Holding Consolidated'!$C$1:$N$65536,12,FALSE),"")</f>
        <v/>
      </c>
      <c r="J102"/>
    </row>
    <row r="103" spans="1:10" x14ac:dyDescent="0.2">
      <c r="A103" s="15"/>
      <c r="B103" s="15"/>
      <c r="C103" s="16" t="s">
        <v>87</v>
      </c>
      <c r="D103" s="15"/>
      <c r="E103" s="15"/>
      <c r="F103" s="21"/>
      <c r="G103" s="21"/>
      <c r="H103" s="17" t="str">
        <f>IFERROR(VLOOKUP(B103,'[1]Debt Holding Consolidated'!$C$1:$N$65536,12,FALSE),"")</f>
        <v/>
      </c>
      <c r="J103"/>
    </row>
    <row r="104" spans="1:10" x14ac:dyDescent="0.2">
      <c r="A104" s="25">
        <v>1</v>
      </c>
      <c r="B104" s="26" t="s">
        <v>439</v>
      </c>
      <c r="C104" s="26" t="s">
        <v>440</v>
      </c>
      <c r="D104" s="26" t="s">
        <v>71</v>
      </c>
      <c r="E104" s="27">
        <v>7500000</v>
      </c>
      <c r="F104" s="28">
        <v>7482.6149999999998</v>
      </c>
      <c r="G104" s="29">
        <v>3.8256419999999999E-2</v>
      </c>
      <c r="H104" s="17">
        <f>IFERROR(VLOOKUP(B104,'[1]Debt Holding Consolidated'!$C$1:$N$65536,12,FALSE),"")</f>
        <v>6.5250000000000004</v>
      </c>
      <c r="J104"/>
    </row>
    <row r="105" spans="1:10" x14ac:dyDescent="0.2">
      <c r="A105" s="25">
        <v>2</v>
      </c>
      <c r="B105" s="26" t="s">
        <v>362</v>
      </c>
      <c r="C105" s="26" t="s">
        <v>363</v>
      </c>
      <c r="D105" s="26" t="s">
        <v>71</v>
      </c>
      <c r="E105" s="27">
        <v>5000000</v>
      </c>
      <c r="F105" s="28">
        <v>4976.1099999999997</v>
      </c>
      <c r="G105" s="29">
        <v>2.5441390000000001E-2</v>
      </c>
      <c r="H105" s="17">
        <f>IFERROR(VLOOKUP(B105,'[1]Debt Holding Consolidated'!$C$1:$N$65536,12,FALSE),"")</f>
        <v>6.4897</v>
      </c>
      <c r="J105"/>
    </row>
    <row r="106" spans="1:10" x14ac:dyDescent="0.2">
      <c r="A106" s="25">
        <v>3</v>
      </c>
      <c r="B106" s="26" t="s">
        <v>441</v>
      </c>
      <c r="C106" s="26" t="s">
        <v>442</v>
      </c>
      <c r="D106" s="26" t="s">
        <v>71</v>
      </c>
      <c r="E106" s="27">
        <v>500000</v>
      </c>
      <c r="F106" s="28">
        <v>495.69749999999999</v>
      </c>
      <c r="G106" s="29">
        <v>2.5343599999999998E-3</v>
      </c>
      <c r="H106" s="17">
        <f>IFERROR(VLOOKUP(B106,'[1]Debt Holding Consolidated'!$C$1:$N$65536,12,FALSE),"")</f>
        <v>6.6</v>
      </c>
      <c r="J106"/>
    </row>
    <row r="107" spans="1:10" x14ac:dyDescent="0.2">
      <c r="A107" s="15"/>
      <c r="B107" s="15"/>
      <c r="C107" s="16" t="s">
        <v>11</v>
      </c>
      <c r="D107" s="15"/>
      <c r="E107" s="15" t="s">
        <v>12</v>
      </c>
      <c r="F107" s="24">
        <v>12954.422500000001</v>
      </c>
      <c r="G107" s="19">
        <v>6.6232170000000007E-2</v>
      </c>
      <c r="H107" s="17" t="str">
        <f>IFERROR(VLOOKUP(B107,'[1]Debt Holding Consolidated'!$C$1:$N$65536,12,FALSE),"")</f>
        <v/>
      </c>
      <c r="J107"/>
    </row>
    <row r="108" spans="1:10" x14ac:dyDescent="0.2">
      <c r="A108" s="15"/>
      <c r="B108" s="15"/>
      <c r="C108" s="20"/>
      <c r="D108" s="15"/>
      <c r="E108" s="15"/>
      <c r="F108" s="21"/>
      <c r="G108" s="21"/>
      <c r="H108" s="17" t="str">
        <f>IFERROR(VLOOKUP(B108,'[1]Debt Holding Consolidated'!$C$1:$N$65536,12,FALSE),"")</f>
        <v/>
      </c>
      <c r="J108"/>
    </row>
    <row r="109" spans="1:10" x14ac:dyDescent="0.2">
      <c r="A109" s="15"/>
      <c r="B109" s="15"/>
      <c r="C109" s="16" t="s">
        <v>88</v>
      </c>
      <c r="D109" s="15"/>
      <c r="E109" s="15"/>
      <c r="F109" s="21"/>
      <c r="G109" s="21"/>
      <c r="H109" s="17" t="str">
        <f>IFERROR(VLOOKUP(B109,'[1]Debt Holding Consolidated'!$C$1:$N$65536,12,FALSE),"")</f>
        <v/>
      </c>
    </row>
    <row r="110" spans="1:10" x14ac:dyDescent="0.2">
      <c r="A110" s="25">
        <v>1</v>
      </c>
      <c r="B110" s="26"/>
      <c r="C110" s="26" t="s">
        <v>89</v>
      </c>
      <c r="D110" s="26"/>
      <c r="E110" s="30"/>
      <c r="F110" s="28">
        <v>10293.929430984999</v>
      </c>
      <c r="G110" s="29">
        <v>5.2629839999999997E-2</v>
      </c>
      <c r="H110" s="17">
        <v>6.3551211905931497</v>
      </c>
    </row>
    <row r="111" spans="1:10" x14ac:dyDescent="0.2">
      <c r="A111" s="15"/>
      <c r="B111" s="15"/>
      <c r="C111" s="16" t="s">
        <v>11</v>
      </c>
      <c r="D111" s="15"/>
      <c r="E111" s="15" t="s">
        <v>12</v>
      </c>
      <c r="F111" s="24">
        <v>10293.929430984999</v>
      </c>
      <c r="G111" s="19">
        <v>5.2629839999999997E-2</v>
      </c>
      <c r="H111" s="17" t="str">
        <f>IFERROR(VLOOKUP(B111,'[1]Debt Holding Consolidated'!$C$1:$N$65536,12,FALSE),"")</f>
        <v/>
      </c>
    </row>
    <row r="112" spans="1:10" x14ac:dyDescent="0.2">
      <c r="A112" s="15"/>
      <c r="B112" s="15"/>
      <c r="C112" s="20"/>
      <c r="D112" s="15"/>
      <c r="E112" s="15"/>
      <c r="F112" s="21"/>
      <c r="G112" s="21"/>
      <c r="H112" s="17" t="str">
        <f>IFERROR(VLOOKUP(B112,'[1]Debt Holding Consolidated'!$C$1:$N$65536,12,FALSE),"")</f>
        <v/>
      </c>
    </row>
    <row r="113" spans="1:18" x14ac:dyDescent="0.2">
      <c r="A113" s="15"/>
      <c r="B113" s="15"/>
      <c r="C113" s="16" t="s">
        <v>90</v>
      </c>
      <c r="D113" s="15"/>
      <c r="E113" s="15"/>
      <c r="F113" s="24">
        <v>164827.72493098499</v>
      </c>
      <c r="G113" s="19">
        <v>0.84271589999999996</v>
      </c>
      <c r="H113" s="17" t="str">
        <f>IFERROR(VLOOKUP(B113,'[1]Debt Holding Consolidated'!$C$1:$N$65536,12,FALSE),"")</f>
        <v/>
      </c>
    </row>
    <row r="114" spans="1:18" x14ac:dyDescent="0.2">
      <c r="A114" s="15"/>
      <c r="B114" s="15"/>
      <c r="C114" s="21"/>
      <c r="D114" s="15"/>
      <c r="E114" s="15"/>
      <c r="F114" s="15"/>
      <c r="G114" s="15"/>
      <c r="H114" s="17" t="str">
        <f>IFERROR(VLOOKUP(B114,'[1]Debt Holding Consolidated'!$C$1:$N$65536,12,FALSE),"")</f>
        <v/>
      </c>
    </row>
    <row r="115" spans="1:18" x14ac:dyDescent="0.2">
      <c r="A115" s="15"/>
      <c r="B115" s="15"/>
      <c r="C115" s="16" t="s">
        <v>91</v>
      </c>
      <c r="D115" s="15"/>
      <c r="E115" s="15"/>
      <c r="F115" s="15"/>
      <c r="G115" s="15"/>
      <c r="H115" s="17" t="str">
        <f>IFERROR(VLOOKUP(B115,'[1]Debt Holding Consolidated'!$C$1:$N$65536,12,FALSE),"")</f>
        <v/>
      </c>
    </row>
    <row r="116" spans="1:18" x14ac:dyDescent="0.2">
      <c r="A116" s="15"/>
      <c r="B116" s="15"/>
      <c r="C116" s="16" t="s">
        <v>92</v>
      </c>
      <c r="D116" s="15"/>
      <c r="E116" s="15"/>
      <c r="F116" s="15"/>
      <c r="G116" s="15"/>
      <c r="H116" s="17" t="str">
        <f>IFERROR(VLOOKUP(B116,'[1]Debt Holding Consolidated'!$C$1:$N$65536,12,FALSE),"")</f>
        <v/>
      </c>
    </row>
    <row r="117" spans="1:18" x14ac:dyDescent="0.2">
      <c r="A117" s="15"/>
      <c r="B117" s="15"/>
      <c r="C117" s="16" t="s">
        <v>11</v>
      </c>
      <c r="D117" s="15"/>
      <c r="E117" s="15" t="s">
        <v>12</v>
      </c>
      <c r="F117" s="18" t="s">
        <v>13</v>
      </c>
      <c r="G117" s="19">
        <v>0</v>
      </c>
      <c r="H117" s="17" t="str">
        <f>IFERROR(VLOOKUP(B117,'[1]Debt Holding Consolidated'!$C$1:$N$65536,12,FALSE),"")</f>
        <v/>
      </c>
    </row>
    <row r="118" spans="1:18" x14ac:dyDescent="0.2">
      <c r="A118" s="15"/>
      <c r="B118" s="15"/>
      <c r="C118" s="20"/>
      <c r="D118" s="15"/>
      <c r="E118" s="15"/>
      <c r="F118" s="21"/>
      <c r="G118" s="21"/>
      <c r="H118" s="17" t="str">
        <f>IFERROR(VLOOKUP(B118,'[1]Debt Holding Consolidated'!$C$1:$N$65536,12,FALSE),"")</f>
        <v/>
      </c>
    </row>
    <row r="119" spans="1:18" x14ac:dyDescent="0.2">
      <c r="A119" s="31"/>
      <c r="B119" s="31"/>
      <c r="C119" s="32" t="s">
        <v>517</v>
      </c>
      <c r="D119" s="31"/>
      <c r="E119" s="31"/>
      <c r="F119" s="33"/>
      <c r="G119" s="33"/>
      <c r="H119" s="34"/>
      <c r="L119" s="35"/>
      <c r="M119" s="35"/>
      <c r="N119" s="35"/>
      <c r="O119" s="35"/>
      <c r="P119" s="36"/>
      <c r="Q119" s="36"/>
      <c r="R119" s="36"/>
    </row>
    <row r="120" spans="1:18" ht="25.5" x14ac:dyDescent="0.2">
      <c r="A120" s="25">
        <v>1</v>
      </c>
      <c r="B120" s="26" t="s">
        <v>93</v>
      </c>
      <c r="C120" s="26" t="s">
        <v>94</v>
      </c>
      <c r="D120" s="26"/>
      <c r="E120" s="37">
        <v>4528.5039999999999</v>
      </c>
      <c r="F120" s="28">
        <v>468.763141905</v>
      </c>
      <c r="G120" s="29">
        <v>2.3966500000000002E-3</v>
      </c>
      <c r="H120" s="17"/>
    </row>
    <row r="121" spans="1:18" x14ac:dyDescent="0.2">
      <c r="A121" s="15"/>
      <c r="B121" s="15"/>
      <c r="C121" s="16" t="s">
        <v>11</v>
      </c>
      <c r="D121" s="15"/>
      <c r="E121" s="15" t="s">
        <v>12</v>
      </c>
      <c r="F121" s="24">
        <v>468.763141905</v>
      </c>
      <c r="G121" s="19">
        <v>2.3966500000000002E-3</v>
      </c>
      <c r="H121" s="17" t="s">
        <v>12</v>
      </c>
    </row>
    <row r="122" spans="1:18" x14ac:dyDescent="0.2">
      <c r="A122" s="15"/>
      <c r="B122" s="15"/>
      <c r="C122" s="20"/>
      <c r="D122" s="15"/>
      <c r="E122" s="15"/>
      <c r="F122" s="21"/>
      <c r="G122" s="21"/>
      <c r="H122" s="17" t="str">
        <f>IFERROR(VLOOKUP(B122,'[1]Debt Holding Consolidated'!$C$1:$N$65536,12,FALSE),"")</f>
        <v/>
      </c>
    </row>
    <row r="123" spans="1:18" x14ac:dyDescent="0.2">
      <c r="A123" s="15"/>
      <c r="B123" s="15"/>
      <c r="C123" s="16" t="s">
        <v>95</v>
      </c>
      <c r="D123" s="15"/>
      <c r="E123" s="15"/>
      <c r="F123" s="15"/>
      <c r="G123" s="15"/>
      <c r="H123" s="17" t="str">
        <f>IFERROR(VLOOKUP(B123,'[1]Debt Holding Consolidated'!$C$1:$N$65536,12,FALSE),"")</f>
        <v/>
      </c>
    </row>
    <row r="124" spans="1:18" x14ac:dyDescent="0.2">
      <c r="A124" s="15"/>
      <c r="B124" s="15"/>
      <c r="C124" s="16" t="s">
        <v>96</v>
      </c>
      <c r="D124" s="15"/>
      <c r="E124" s="15"/>
      <c r="F124" s="15"/>
      <c r="G124" s="15"/>
      <c r="H124" s="17" t="str">
        <f>IFERROR(VLOOKUP(B124,'[1]Debt Holding Consolidated'!$C$1:$N$65536,12,FALSE),"")</f>
        <v/>
      </c>
    </row>
    <row r="125" spans="1:18" x14ac:dyDescent="0.2">
      <c r="A125" s="15"/>
      <c r="B125" s="15"/>
      <c r="C125" s="16" t="s">
        <v>11</v>
      </c>
      <c r="D125" s="15"/>
      <c r="E125" s="15" t="s">
        <v>12</v>
      </c>
      <c r="F125" s="18" t="s">
        <v>13</v>
      </c>
      <c r="G125" s="19">
        <v>0</v>
      </c>
      <c r="H125" s="17" t="str">
        <f>IFERROR(VLOOKUP(B125,'[1]Debt Holding Consolidated'!$C$1:$N$65536,12,FALSE),"")</f>
        <v/>
      </c>
    </row>
    <row r="126" spans="1:18" x14ac:dyDescent="0.2">
      <c r="A126" s="15"/>
      <c r="B126" s="15"/>
      <c r="C126" s="20"/>
      <c r="D126" s="15"/>
      <c r="E126" s="15"/>
      <c r="F126" s="21"/>
      <c r="G126" s="21"/>
      <c r="H126" s="17" t="str">
        <f>IFERROR(VLOOKUP(B126,'[1]Debt Holding Consolidated'!$C$1:$N$65536,12,FALSE),"")</f>
        <v/>
      </c>
    </row>
    <row r="127" spans="1:18" x14ac:dyDescent="0.2">
      <c r="A127" s="15"/>
      <c r="B127" s="15"/>
      <c r="C127" s="16" t="s">
        <v>97</v>
      </c>
      <c r="D127" s="15"/>
      <c r="E127" s="15"/>
      <c r="F127" s="21"/>
      <c r="G127" s="21"/>
      <c r="H127" s="17" t="str">
        <f>IFERROR(VLOOKUP(B127,'[1]Debt Holding Consolidated'!$C$1:$N$65536,12,FALSE),"")</f>
        <v/>
      </c>
    </row>
    <row r="128" spans="1:18" x14ac:dyDescent="0.2">
      <c r="A128" s="15"/>
      <c r="B128" s="15"/>
      <c r="C128" s="16" t="s">
        <v>11</v>
      </c>
      <c r="D128" s="15"/>
      <c r="E128" s="15" t="s">
        <v>12</v>
      </c>
      <c r="F128" s="18" t="s">
        <v>13</v>
      </c>
      <c r="G128" s="19">
        <v>0</v>
      </c>
      <c r="H128" s="17" t="str">
        <f>IFERROR(VLOOKUP(B128,'[1]Debt Holding Consolidated'!$C$1:$N$65536,12,FALSE),"")</f>
        <v/>
      </c>
    </row>
    <row r="129" spans="1:8" x14ac:dyDescent="0.2">
      <c r="A129" s="15"/>
      <c r="B129" s="26"/>
      <c r="C129" s="26"/>
      <c r="D129" s="16"/>
      <c r="E129" s="15"/>
      <c r="F129" s="26"/>
      <c r="G129" s="30"/>
      <c r="H129" s="17" t="str">
        <f>IFERROR(VLOOKUP(B129,'[1]Debt Holding Consolidated'!$C$1:$N$65536,12,FALSE),"")</f>
        <v/>
      </c>
    </row>
    <row r="130" spans="1:8" x14ac:dyDescent="0.2">
      <c r="A130" s="30"/>
      <c r="B130" s="26"/>
      <c r="C130" s="26" t="s">
        <v>98</v>
      </c>
      <c r="D130" s="26"/>
      <c r="E130" s="30"/>
      <c r="F130" s="28">
        <f>887.03729647+0.0000159299850463867</f>
        <v>887.03731239998501</v>
      </c>
      <c r="G130" s="29">
        <v>4.5351599999999999E-3</v>
      </c>
      <c r="H130" s="17" t="str">
        <f>IFERROR(VLOOKUP(B130,'[1]Debt Holding Consolidated'!$C$1:$N$65536,12,FALSE),"")</f>
        <v/>
      </c>
    </row>
    <row r="131" spans="1:8" x14ac:dyDescent="0.2">
      <c r="A131" s="20"/>
      <c r="B131" s="20"/>
      <c r="C131" s="16" t="s">
        <v>99</v>
      </c>
      <c r="D131" s="21"/>
      <c r="E131" s="21"/>
      <c r="F131" s="24">
        <f>195591.10636936+0.0000159299850463867</f>
        <v>195591.10638528998</v>
      </c>
      <c r="G131" s="38">
        <v>1.0000000499999999</v>
      </c>
      <c r="H131" s="17" t="str">
        <f>IFERROR(VLOOKUP(B131,'[1]Debt Holding Consolidated'!$C$1:$N$65536,12,FALSE),"")</f>
        <v/>
      </c>
    </row>
    <row r="132" spans="1:8" x14ac:dyDescent="0.2">
      <c r="A132" s="39"/>
      <c r="B132" s="39"/>
      <c r="C132" s="39"/>
      <c r="D132" s="40"/>
      <c r="E132" s="40"/>
      <c r="F132" s="40"/>
      <c r="G132" s="40"/>
    </row>
    <row r="133" spans="1:8" x14ac:dyDescent="0.2">
      <c r="A133" s="41"/>
      <c r="B133" s="113" t="s">
        <v>518</v>
      </c>
      <c r="C133" s="113"/>
      <c r="D133" s="113"/>
      <c r="E133" s="113"/>
      <c r="F133" s="113"/>
      <c r="G133" s="113"/>
      <c r="H133" s="113"/>
    </row>
    <row r="134" spans="1:8" x14ac:dyDescent="0.2">
      <c r="A134" s="41"/>
      <c r="B134" s="113" t="s">
        <v>519</v>
      </c>
      <c r="C134" s="113"/>
      <c r="D134" s="113"/>
      <c r="E134" s="113"/>
      <c r="F134" s="113"/>
      <c r="G134" s="113"/>
      <c r="H134" s="113"/>
    </row>
    <row r="135" spans="1:8" x14ac:dyDescent="0.2">
      <c r="A135" s="41"/>
      <c r="B135" s="113" t="s">
        <v>520</v>
      </c>
      <c r="C135" s="113"/>
      <c r="D135" s="113"/>
      <c r="E135" s="113"/>
      <c r="F135" s="113"/>
      <c r="G135" s="113"/>
      <c r="H135" s="113"/>
    </row>
    <row r="136" spans="1:8" x14ac:dyDescent="0.2">
      <c r="A136" s="41"/>
      <c r="B136" s="41"/>
      <c r="C136" s="41"/>
      <c r="D136" s="43"/>
      <c r="E136" s="43"/>
      <c r="F136" s="43"/>
      <c r="G136" s="43"/>
    </row>
    <row r="137" spans="1:8" x14ac:dyDescent="0.2">
      <c r="A137" s="44"/>
      <c r="B137" s="108" t="s">
        <v>100</v>
      </c>
      <c r="C137" s="109"/>
      <c r="D137" s="110"/>
      <c r="E137" s="45"/>
      <c r="F137" s="46"/>
      <c r="G137" s="46"/>
    </row>
    <row r="138" spans="1:8" ht="25.5" x14ac:dyDescent="0.2">
      <c r="A138" s="44"/>
      <c r="B138" s="111" t="s">
        <v>101</v>
      </c>
      <c r="C138" s="112"/>
      <c r="D138" s="32" t="s">
        <v>546</v>
      </c>
      <c r="E138" s="45"/>
      <c r="F138" s="46"/>
      <c r="G138" s="46"/>
    </row>
    <row r="139" spans="1:8" x14ac:dyDescent="0.2">
      <c r="A139" s="44"/>
      <c r="B139" s="111" t="s">
        <v>103</v>
      </c>
      <c r="C139" s="112"/>
      <c r="D139" s="16" t="s">
        <v>102</v>
      </c>
      <c r="E139" s="45"/>
      <c r="F139" s="46"/>
      <c r="G139" s="46"/>
    </row>
    <row r="140" spans="1:8" x14ac:dyDescent="0.2">
      <c r="A140" s="44"/>
      <c r="B140" s="111" t="s">
        <v>104</v>
      </c>
      <c r="C140" s="112"/>
      <c r="D140" s="21" t="s">
        <v>12</v>
      </c>
      <c r="E140" s="45"/>
      <c r="F140" s="46"/>
      <c r="G140" s="46"/>
    </row>
    <row r="141" spans="1:8" x14ac:dyDescent="0.2">
      <c r="A141" s="47"/>
      <c r="B141" s="48" t="s">
        <v>12</v>
      </c>
      <c r="C141" s="48" t="s">
        <v>535</v>
      </c>
      <c r="D141" s="48" t="s">
        <v>105</v>
      </c>
      <c r="E141" s="47"/>
      <c r="F141" s="47"/>
      <c r="G141" s="47"/>
      <c r="H141" s="49"/>
    </row>
    <row r="142" spans="1:8" x14ac:dyDescent="0.2">
      <c r="A142" s="50"/>
      <c r="B142" s="51" t="s">
        <v>106</v>
      </c>
      <c r="C142" s="52" t="s">
        <v>107</v>
      </c>
      <c r="D142" s="52" t="s">
        <v>108</v>
      </c>
      <c r="E142" s="50"/>
      <c r="F142" s="50"/>
      <c r="G142" s="50"/>
    </row>
    <row r="143" spans="1:8" x14ac:dyDescent="0.2">
      <c r="A143" s="50"/>
      <c r="B143" s="26" t="s">
        <v>109</v>
      </c>
      <c r="C143" s="53">
        <v>2733.2764999999999</v>
      </c>
      <c r="D143" s="53">
        <v>2740.8771999999999</v>
      </c>
      <c r="E143" s="50"/>
      <c r="F143" s="54"/>
      <c r="G143" s="55"/>
    </row>
    <row r="144" spans="1:8" ht="25.5" x14ac:dyDescent="0.2">
      <c r="A144" s="50"/>
      <c r="B144" s="26" t="s">
        <v>570</v>
      </c>
      <c r="C144" s="53">
        <v>1063.4132999999999</v>
      </c>
      <c r="D144" s="53">
        <v>1066.3732</v>
      </c>
      <c r="E144" s="50"/>
      <c r="F144" s="54"/>
      <c r="G144" s="55"/>
    </row>
    <row r="145" spans="1:15" ht="25.5" x14ac:dyDescent="0.2">
      <c r="A145" s="50"/>
      <c r="B145" s="26" t="s">
        <v>571</v>
      </c>
      <c r="C145" s="53">
        <v>1166.8062</v>
      </c>
      <c r="D145" s="53">
        <v>1170.0533</v>
      </c>
      <c r="E145" s="50"/>
      <c r="F145" s="54"/>
      <c r="G145" s="55"/>
    </row>
    <row r="146" spans="1:15" x14ac:dyDescent="0.2">
      <c r="A146" s="50"/>
      <c r="B146" s="26" t="s">
        <v>110</v>
      </c>
      <c r="C146" s="53">
        <v>2534.7901999999999</v>
      </c>
      <c r="D146" s="53">
        <v>2540.5441000000001</v>
      </c>
      <c r="E146" s="50"/>
      <c r="F146" s="54"/>
      <c r="G146" s="55"/>
    </row>
    <row r="147" spans="1:15" ht="25.5" x14ac:dyDescent="0.2">
      <c r="A147" s="50"/>
      <c r="B147" s="26" t="s">
        <v>574</v>
      </c>
      <c r="C147" s="53">
        <v>1062.4745</v>
      </c>
      <c r="D147" s="53">
        <v>1064.8861999999999</v>
      </c>
      <c r="E147" s="50"/>
      <c r="F147" s="54"/>
      <c r="G147" s="55"/>
    </row>
    <row r="148" spans="1:15" ht="25.5" x14ac:dyDescent="0.2">
      <c r="A148" s="50"/>
      <c r="B148" s="26" t="s">
        <v>575</v>
      </c>
      <c r="C148" s="53">
        <v>1129.0114000000001</v>
      </c>
      <c r="D148" s="53">
        <v>1131.5757000000001</v>
      </c>
      <c r="E148" s="50"/>
      <c r="F148" s="54"/>
      <c r="G148" s="55"/>
    </row>
    <row r="149" spans="1:15" x14ac:dyDescent="0.2">
      <c r="A149" s="50"/>
      <c r="B149" s="50"/>
      <c r="C149" s="50"/>
      <c r="D149" s="50"/>
      <c r="E149" s="50"/>
      <c r="F149" s="50"/>
      <c r="G149" s="50"/>
    </row>
    <row r="150" spans="1:15" x14ac:dyDescent="0.2">
      <c r="A150" s="50"/>
      <c r="B150" s="111" t="s">
        <v>578</v>
      </c>
      <c r="C150" s="112"/>
      <c r="D150" s="16" t="s">
        <v>102</v>
      </c>
      <c r="E150" s="50"/>
      <c r="F150" s="50"/>
      <c r="G150" s="50"/>
    </row>
    <row r="151" spans="1:15" x14ac:dyDescent="0.2">
      <c r="A151" s="50"/>
      <c r="B151" s="56"/>
      <c r="C151" s="56"/>
      <c r="D151" s="56"/>
      <c r="E151" s="50"/>
      <c r="F151" s="50"/>
      <c r="G151" s="50"/>
    </row>
    <row r="152" spans="1:15" x14ac:dyDescent="0.2">
      <c r="A152" s="47"/>
      <c r="B152" s="105" t="s">
        <v>111</v>
      </c>
      <c r="C152" s="106"/>
      <c r="D152" s="32" t="s">
        <v>102</v>
      </c>
      <c r="E152" s="57"/>
      <c r="F152" s="47"/>
      <c r="G152" s="47"/>
    </row>
    <row r="153" spans="1:15" x14ac:dyDescent="0.2">
      <c r="A153" s="47"/>
      <c r="B153" s="105" t="s">
        <v>112</v>
      </c>
      <c r="C153" s="106"/>
      <c r="D153" s="32" t="s">
        <v>102</v>
      </c>
      <c r="E153" s="57"/>
      <c r="F153" s="47"/>
      <c r="G153" s="47"/>
    </row>
    <row r="154" spans="1:15" x14ac:dyDescent="0.2">
      <c r="A154" s="47"/>
      <c r="B154" s="105" t="s">
        <v>522</v>
      </c>
      <c r="C154" s="106"/>
      <c r="D154" s="32" t="s">
        <v>102</v>
      </c>
      <c r="E154" s="57"/>
      <c r="F154" s="47"/>
      <c r="G154" s="47"/>
    </row>
    <row r="155" spans="1:15" x14ac:dyDescent="0.2">
      <c r="A155" s="56"/>
      <c r="B155" s="56"/>
      <c r="C155" s="56"/>
      <c r="D155" s="56"/>
      <c r="E155" s="56"/>
      <c r="F155" s="56"/>
      <c r="G155" s="56"/>
    </row>
    <row r="156" spans="1:15" s="58" customFormat="1" x14ac:dyDescent="0.2">
      <c r="B156" s="66" t="s">
        <v>566</v>
      </c>
      <c r="C156" s="66"/>
      <c r="D156" s="66"/>
      <c r="E156" s="66"/>
      <c r="F156" s="66"/>
      <c r="G156" s="66"/>
      <c r="I156"/>
      <c r="J156" s="11"/>
      <c r="K156" s="35"/>
      <c r="L156" s="35"/>
      <c r="M156" s="35"/>
      <c r="N156" s="35"/>
      <c r="O156" s="65"/>
    </row>
    <row r="157" spans="1:15" s="58" customFormat="1" x14ac:dyDescent="0.2">
      <c r="B157" s="67"/>
      <c r="C157" s="67"/>
      <c r="D157" s="67"/>
      <c r="E157" s="67"/>
      <c r="F157" s="67"/>
      <c r="G157" s="67"/>
      <c r="I157"/>
      <c r="J157" s="11"/>
      <c r="K157" s="35"/>
      <c r="L157" s="35"/>
      <c r="M157" s="35"/>
      <c r="N157" s="35"/>
      <c r="O157" s="65"/>
    </row>
    <row r="158" spans="1:15" s="58" customFormat="1" ht="102" x14ac:dyDescent="0.2">
      <c r="B158" s="83" t="s">
        <v>537</v>
      </c>
      <c r="C158" s="83" t="s">
        <v>538</v>
      </c>
      <c r="D158" s="83" t="s">
        <v>539</v>
      </c>
      <c r="E158" s="83" t="s">
        <v>540</v>
      </c>
      <c r="F158" s="83" t="s">
        <v>541</v>
      </c>
      <c r="G158" s="67"/>
      <c r="I158"/>
      <c r="J158" s="11"/>
      <c r="K158" s="35"/>
      <c r="L158" s="35"/>
      <c r="M158" s="35"/>
      <c r="N158" s="35"/>
      <c r="O158" s="65"/>
    </row>
    <row r="159" spans="1:15" s="58" customFormat="1" x14ac:dyDescent="0.2">
      <c r="B159" s="71" t="s">
        <v>542</v>
      </c>
      <c r="C159" s="71" t="s">
        <v>543</v>
      </c>
      <c r="D159" s="8">
        <v>0</v>
      </c>
      <c r="E159" s="9">
        <v>0</v>
      </c>
      <c r="F159" s="72">
        <v>500</v>
      </c>
      <c r="G159" s="67"/>
      <c r="I159"/>
      <c r="J159" s="11"/>
      <c r="K159" s="35"/>
      <c r="L159" s="35"/>
      <c r="M159" s="35"/>
      <c r="N159" s="35"/>
      <c r="O159" s="65"/>
    </row>
    <row r="160" spans="1:15" s="58" customFormat="1" x14ac:dyDescent="0.2">
      <c r="I160"/>
      <c r="J160" s="11"/>
      <c r="K160" s="35"/>
      <c r="L160" s="35"/>
      <c r="M160" s="35"/>
      <c r="N160" s="35"/>
      <c r="O160" s="65"/>
    </row>
    <row r="161" spans="2:17" s="58" customFormat="1" x14ac:dyDescent="0.2">
      <c r="B161" s="118" t="s">
        <v>523</v>
      </c>
      <c r="C161" s="119"/>
      <c r="D161" s="120"/>
      <c r="I161"/>
      <c r="J161" s="11"/>
      <c r="K161" s="35"/>
      <c r="L161" s="35"/>
      <c r="M161" s="35"/>
      <c r="N161" s="35"/>
      <c r="O161" s="65"/>
    </row>
    <row r="162" spans="2:17" s="58" customFormat="1" ht="51" x14ac:dyDescent="0.2">
      <c r="B162" s="121" t="s">
        <v>524</v>
      </c>
      <c r="C162" s="121"/>
      <c r="D162" s="59" t="s">
        <v>388</v>
      </c>
      <c r="I162"/>
      <c r="J162" s="11"/>
      <c r="K162" s="35"/>
      <c r="L162" s="35"/>
      <c r="M162" s="35"/>
      <c r="N162" s="35"/>
      <c r="O162" s="65"/>
    </row>
    <row r="163" spans="2:17" s="58" customFormat="1" x14ac:dyDescent="0.2">
      <c r="B163" s="114" t="s">
        <v>525</v>
      </c>
      <c r="C163" s="114"/>
      <c r="D163" s="60"/>
      <c r="I163"/>
      <c r="J163" s="11"/>
      <c r="K163" s="35"/>
      <c r="L163" s="35"/>
      <c r="M163" s="35"/>
      <c r="N163" s="35"/>
      <c r="O163" s="65"/>
    </row>
    <row r="164" spans="2:17" s="58" customFormat="1" x14ac:dyDescent="0.2">
      <c r="B164" s="114"/>
      <c r="C164" s="114"/>
      <c r="D164" s="61"/>
      <c r="I164"/>
      <c r="J164" s="11"/>
      <c r="K164" s="35"/>
      <c r="L164" s="35"/>
      <c r="M164" s="35"/>
      <c r="N164" s="35"/>
      <c r="O164" s="65"/>
    </row>
    <row r="165" spans="2:17" s="58" customFormat="1" x14ac:dyDescent="0.2">
      <c r="B165" s="114" t="s">
        <v>526</v>
      </c>
      <c r="C165" s="114"/>
      <c r="D165" s="62">
        <v>7.504740121693632</v>
      </c>
      <c r="I165"/>
      <c r="J165" s="11"/>
      <c r="K165" s="35"/>
      <c r="L165" s="35"/>
      <c r="M165" s="35"/>
      <c r="N165" s="35"/>
      <c r="O165" s="65"/>
    </row>
    <row r="166" spans="2:17" s="58" customFormat="1" x14ac:dyDescent="0.2">
      <c r="B166" s="114"/>
      <c r="C166" s="114"/>
      <c r="D166" s="61"/>
      <c r="I166"/>
      <c r="J166" s="11"/>
      <c r="K166" s="35"/>
      <c r="L166" s="35"/>
      <c r="M166" s="35"/>
      <c r="N166" s="35"/>
      <c r="O166" s="65"/>
    </row>
    <row r="167" spans="2:17" s="58" customFormat="1" x14ac:dyDescent="0.2">
      <c r="B167" s="114" t="s">
        <v>527</v>
      </c>
      <c r="C167" s="114"/>
      <c r="D167" s="62">
        <v>0.4736448484944521</v>
      </c>
      <c r="I167"/>
      <c r="J167" s="11"/>
      <c r="K167" s="35"/>
      <c r="L167" s="35"/>
      <c r="M167" s="35"/>
      <c r="N167" s="35"/>
      <c r="O167" s="65"/>
    </row>
    <row r="168" spans="2:17" s="58" customFormat="1" x14ac:dyDescent="0.2">
      <c r="B168" s="114" t="s">
        <v>528</v>
      </c>
      <c r="C168" s="114"/>
      <c r="D168" s="62">
        <v>0.48064795454626441</v>
      </c>
      <c r="I168"/>
      <c r="J168" s="11"/>
      <c r="K168" s="35"/>
      <c r="L168" s="35"/>
      <c r="M168" s="35"/>
      <c r="N168" s="35"/>
      <c r="O168" s="65"/>
    </row>
    <row r="169" spans="2:17" s="58" customFormat="1" x14ac:dyDescent="0.2">
      <c r="B169" s="114"/>
      <c r="C169" s="114"/>
      <c r="D169" s="61"/>
      <c r="I169"/>
      <c r="J169" s="11"/>
      <c r="K169" s="35"/>
      <c r="L169" s="35"/>
      <c r="M169" s="35"/>
      <c r="N169" s="35"/>
      <c r="O169" s="65"/>
    </row>
    <row r="170" spans="2:17" s="58" customFormat="1" ht="25.5" x14ac:dyDescent="0.2">
      <c r="B170" s="114" t="s">
        <v>529</v>
      </c>
      <c r="C170" s="114"/>
      <c r="D170" s="63" t="s">
        <v>564</v>
      </c>
      <c r="I170"/>
      <c r="J170" s="11"/>
      <c r="K170" s="35"/>
      <c r="L170" s="35"/>
      <c r="M170" s="35"/>
      <c r="N170" s="35"/>
      <c r="O170" s="65"/>
    </row>
    <row r="171" spans="2:17" s="58" customFormat="1" x14ac:dyDescent="0.2">
      <c r="B171" s="115" t="s">
        <v>530</v>
      </c>
      <c r="C171" s="117"/>
      <c r="D171" s="116"/>
      <c r="I171"/>
      <c r="J171" s="11"/>
      <c r="K171" s="35"/>
      <c r="L171" s="35"/>
      <c r="M171" s="35"/>
      <c r="N171" s="35"/>
      <c r="O171" s="65"/>
      <c r="P171"/>
      <c r="Q171"/>
    </row>
  </sheetData>
  <mergeCells count="25">
    <mergeCell ref="B171:D171"/>
    <mergeCell ref="B166:C166"/>
    <mergeCell ref="B167:C167"/>
    <mergeCell ref="B168:C168"/>
    <mergeCell ref="B169:C169"/>
    <mergeCell ref="B170:C170"/>
    <mergeCell ref="B161:D161"/>
    <mergeCell ref="B162:C162"/>
    <mergeCell ref="B163:C163"/>
    <mergeCell ref="B164:C164"/>
    <mergeCell ref="B165:C165"/>
    <mergeCell ref="B154:C154"/>
    <mergeCell ref="A1:H1"/>
    <mergeCell ref="A2:H2"/>
    <mergeCell ref="A3:H3"/>
    <mergeCell ref="B137:D137"/>
    <mergeCell ref="B138:C138"/>
    <mergeCell ref="B133:H133"/>
    <mergeCell ref="B134:H134"/>
    <mergeCell ref="B135:H135"/>
    <mergeCell ref="B152:C152"/>
    <mergeCell ref="B153:C153"/>
    <mergeCell ref="B139:C139"/>
    <mergeCell ref="B140:C140"/>
    <mergeCell ref="B150:C150"/>
  </mergeCells>
  <hyperlinks>
    <hyperlink ref="I1" location="Index!B8" display="Index" xr:uid="{DD465D0C-EC6D-4D60-9F48-7062CAE3885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FDCC3-EB72-4B73-9816-FE79D971E61F}">
  <sheetPr>
    <outlinePr summaryBelow="0" summaryRight="0"/>
  </sheetPr>
  <dimension ref="A1:R128"/>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5.42578125" bestFit="1" customWidth="1"/>
    <col min="9" max="9" width="6" bestFit="1" customWidth="1"/>
    <col min="10" max="10" width="50.7109375" style="11" customWidth="1"/>
  </cols>
  <sheetData>
    <row r="1" spans="1:11" ht="15" x14ac:dyDescent="0.2">
      <c r="A1" s="107" t="s">
        <v>0</v>
      </c>
      <c r="B1" s="107"/>
      <c r="C1" s="107"/>
      <c r="D1" s="107"/>
      <c r="E1" s="107"/>
      <c r="F1" s="107"/>
      <c r="G1" s="107"/>
      <c r="H1" s="107"/>
      <c r="I1" s="1" t="s">
        <v>587</v>
      </c>
      <c r="K1" s="1"/>
    </row>
    <row r="2" spans="1:11" ht="15" x14ac:dyDescent="0.2">
      <c r="A2" s="107" t="s">
        <v>443</v>
      </c>
      <c r="B2" s="107"/>
      <c r="C2" s="107"/>
      <c r="D2" s="107"/>
      <c r="E2" s="107"/>
      <c r="F2" s="107"/>
      <c r="G2" s="107"/>
      <c r="H2" s="107"/>
      <c r="J2" s="12" t="s">
        <v>588</v>
      </c>
    </row>
    <row r="3" spans="1:11" ht="15" x14ac:dyDescent="0.2">
      <c r="A3" s="107" t="s">
        <v>501</v>
      </c>
      <c r="B3" s="107"/>
      <c r="C3" s="107"/>
      <c r="D3" s="107"/>
      <c r="E3" s="107"/>
      <c r="F3" s="107"/>
      <c r="G3" s="107"/>
      <c r="H3" s="107"/>
    </row>
    <row r="4" spans="1:11" s="11" customFormat="1" ht="30" x14ac:dyDescent="0.2">
      <c r="A4" s="13" t="s">
        <v>2</v>
      </c>
      <c r="B4" s="13" t="s">
        <v>3</v>
      </c>
      <c r="C4" s="13" t="s">
        <v>4</v>
      </c>
      <c r="D4" s="13" t="s">
        <v>5</v>
      </c>
      <c r="E4" s="13" t="s">
        <v>6</v>
      </c>
      <c r="F4" s="13" t="s">
        <v>7</v>
      </c>
      <c r="G4" s="13" t="s">
        <v>8</v>
      </c>
      <c r="H4" s="14" t="s">
        <v>502</v>
      </c>
      <c r="I4"/>
    </row>
    <row r="5" spans="1:11" x14ac:dyDescent="0.2">
      <c r="A5" s="15"/>
      <c r="B5" s="15"/>
      <c r="C5" s="16" t="s">
        <v>9</v>
      </c>
      <c r="D5" s="15"/>
      <c r="E5" s="15"/>
      <c r="F5" s="15"/>
      <c r="G5" s="15"/>
      <c r="H5" s="17" t="str">
        <f>IFERROR(VLOOKUP(B5,'[1]Debt Holding Consolidated'!$C$1:$N$65536,12,FALSE),"")</f>
        <v/>
      </c>
    </row>
    <row r="6" spans="1:11" x14ac:dyDescent="0.2">
      <c r="A6" s="15"/>
      <c r="B6" s="15"/>
      <c r="C6" s="16" t="s">
        <v>10</v>
      </c>
      <c r="D6" s="15"/>
      <c r="E6" s="15"/>
      <c r="F6" s="15"/>
      <c r="G6" s="15"/>
      <c r="H6" s="17" t="str">
        <f>IFERROR(VLOOKUP(B6,'[1]Debt Holding Consolidated'!$C$1:$N$65536,12,FALSE),"")</f>
        <v/>
      </c>
    </row>
    <row r="7" spans="1:11" x14ac:dyDescent="0.2">
      <c r="A7" s="15"/>
      <c r="B7" s="15"/>
      <c r="C7" s="16" t="s">
        <v>11</v>
      </c>
      <c r="D7" s="15"/>
      <c r="E7" s="15" t="s">
        <v>12</v>
      </c>
      <c r="F7" s="18" t="s">
        <v>13</v>
      </c>
      <c r="G7" s="19">
        <v>0</v>
      </c>
      <c r="H7" s="17" t="str">
        <f>IFERROR(VLOOKUP(B7,'[1]Debt Holding Consolidated'!$C$1:$N$65536,12,FALSE),"")</f>
        <v/>
      </c>
    </row>
    <row r="8" spans="1:11" x14ac:dyDescent="0.2">
      <c r="A8" s="15"/>
      <c r="B8" s="15"/>
      <c r="C8" s="20"/>
      <c r="D8" s="15"/>
      <c r="E8" s="15"/>
      <c r="F8" s="21"/>
      <c r="G8" s="21"/>
      <c r="H8" s="17" t="str">
        <f>IFERROR(VLOOKUP(B8,'[1]Debt Holding Consolidated'!$C$1:$N$65536,12,FALSE),"")</f>
        <v/>
      </c>
    </row>
    <row r="9" spans="1:11" x14ac:dyDescent="0.2">
      <c r="A9" s="15"/>
      <c r="B9" s="15"/>
      <c r="C9" s="16" t="s">
        <v>14</v>
      </c>
      <c r="D9" s="15"/>
      <c r="E9" s="15"/>
      <c r="F9" s="15"/>
      <c r="G9" s="15"/>
      <c r="H9" s="17" t="str">
        <f>IFERROR(VLOOKUP(B9,'[1]Debt Holding Consolidated'!$C$1:$N$65536,12,FALSE),"")</f>
        <v/>
      </c>
    </row>
    <row r="10" spans="1:11" x14ac:dyDescent="0.2">
      <c r="A10" s="15"/>
      <c r="B10" s="15"/>
      <c r="C10" s="16" t="s">
        <v>11</v>
      </c>
      <c r="D10" s="15"/>
      <c r="E10" s="15" t="s">
        <v>12</v>
      </c>
      <c r="F10" s="18" t="s">
        <v>13</v>
      </c>
      <c r="G10" s="19">
        <v>0</v>
      </c>
      <c r="H10" s="17" t="str">
        <f>IFERROR(VLOOKUP(B10,'[1]Debt Holding Consolidated'!$C$1:$N$65536,12,FALSE),"")</f>
        <v/>
      </c>
    </row>
    <row r="11" spans="1:11" x14ac:dyDescent="0.2">
      <c r="A11" s="15"/>
      <c r="B11" s="15"/>
      <c r="C11" s="20"/>
      <c r="D11" s="15"/>
      <c r="E11" s="15"/>
      <c r="F11" s="21"/>
      <c r="G11" s="21"/>
      <c r="H11" s="17" t="str">
        <f>IFERROR(VLOOKUP(B11,'[1]Debt Holding Consolidated'!$C$1:$N$65536,12,FALSE),"")</f>
        <v/>
      </c>
    </row>
    <row r="12" spans="1:11" ht="15" x14ac:dyDescent="0.2">
      <c r="A12" s="15"/>
      <c r="B12" s="15"/>
      <c r="C12" s="16" t="s">
        <v>15</v>
      </c>
      <c r="D12" s="15"/>
      <c r="E12" s="15"/>
      <c r="F12" s="15"/>
      <c r="G12" s="15"/>
      <c r="H12" s="17" t="str">
        <f>IFERROR(VLOOKUP(B12,'[1]Debt Holding Consolidated'!$C$1:$N$65536,12,FALSE),"")</f>
        <v/>
      </c>
      <c r="J12" s="22"/>
    </row>
    <row r="13" spans="1:11" x14ac:dyDescent="0.2">
      <c r="A13" s="15"/>
      <c r="B13" s="15"/>
      <c r="C13" s="16" t="s">
        <v>11</v>
      </c>
      <c r="D13" s="15"/>
      <c r="E13" s="15" t="s">
        <v>12</v>
      </c>
      <c r="F13" s="18" t="s">
        <v>13</v>
      </c>
      <c r="G13" s="19">
        <v>0</v>
      </c>
      <c r="H13" s="17" t="str">
        <f>IFERROR(VLOOKUP(B13,'[1]Debt Holding Consolidated'!$C$1:$N$65536,12,FALSE),"")</f>
        <v/>
      </c>
      <c r="J13" s="23"/>
    </row>
    <row r="14" spans="1:11" ht="25.5" x14ac:dyDescent="0.2">
      <c r="A14" s="15"/>
      <c r="B14" s="15"/>
      <c r="C14" s="20"/>
      <c r="D14" s="15"/>
      <c r="E14" s="15"/>
      <c r="F14" s="21"/>
      <c r="G14" s="21"/>
      <c r="H14" s="17" t="str">
        <f>IFERROR(VLOOKUP(B14,'[1]Debt Holding Consolidated'!$C$1:$N$65536,12,FALSE),"")</f>
        <v/>
      </c>
      <c r="J14" s="23" t="s">
        <v>603</v>
      </c>
    </row>
    <row r="15" spans="1:11" x14ac:dyDescent="0.2">
      <c r="A15" s="15"/>
      <c r="B15" s="15"/>
      <c r="C15" s="16" t="s">
        <v>16</v>
      </c>
      <c r="D15" s="15"/>
      <c r="E15" s="15"/>
      <c r="F15" s="15"/>
      <c r="G15" s="15"/>
      <c r="H15" s="17" t="str">
        <f>IFERROR(VLOOKUP(B15,'[1]Debt Holding Consolidated'!$C$1:$N$65536,12,FALSE),"")</f>
        <v/>
      </c>
    </row>
    <row r="16" spans="1:11" x14ac:dyDescent="0.2">
      <c r="A16" s="15"/>
      <c r="B16" s="15"/>
      <c r="C16" s="16" t="s">
        <v>11</v>
      </c>
      <c r="D16" s="15"/>
      <c r="E16" s="15" t="s">
        <v>12</v>
      </c>
      <c r="F16" s="18" t="s">
        <v>13</v>
      </c>
      <c r="G16" s="19">
        <v>0</v>
      </c>
      <c r="H16" s="17" t="str">
        <f>IFERROR(VLOOKUP(B16,'[1]Debt Holding Consolidated'!$C$1:$N$65536,12,FALSE),"")</f>
        <v/>
      </c>
    </row>
    <row r="17" spans="1:10" x14ac:dyDescent="0.2">
      <c r="A17" s="15"/>
      <c r="B17" s="15"/>
      <c r="C17" s="20"/>
      <c r="D17" s="15"/>
      <c r="E17" s="15"/>
      <c r="F17" s="21"/>
      <c r="G17" s="21"/>
      <c r="H17" s="17" t="str">
        <f>IFERROR(VLOOKUP(B17,'[1]Debt Holding Consolidated'!$C$1:$N$65536,12,FALSE),"")</f>
        <v/>
      </c>
    </row>
    <row r="18" spans="1:10" x14ac:dyDescent="0.2">
      <c r="A18" s="15"/>
      <c r="B18" s="15"/>
      <c r="C18" s="16" t="s">
        <v>17</v>
      </c>
      <c r="D18" s="15"/>
      <c r="E18" s="15"/>
      <c r="F18" s="21"/>
      <c r="G18" s="21"/>
      <c r="H18" s="17" t="str">
        <f>IFERROR(VLOOKUP(B18,'[1]Debt Holding Consolidated'!$C$1:$N$65536,12,FALSE),"")</f>
        <v/>
      </c>
    </row>
    <row r="19" spans="1:10" x14ac:dyDescent="0.2">
      <c r="A19" s="15"/>
      <c r="B19" s="15"/>
      <c r="C19" s="16" t="s">
        <v>11</v>
      </c>
      <c r="D19" s="15"/>
      <c r="E19" s="15" t="s">
        <v>12</v>
      </c>
      <c r="F19" s="18" t="s">
        <v>13</v>
      </c>
      <c r="G19" s="19">
        <v>0</v>
      </c>
      <c r="H19" s="17" t="str">
        <f>IFERROR(VLOOKUP(B19,'[1]Debt Holding Consolidated'!$C$1:$N$65536,12,FALSE),"")</f>
        <v/>
      </c>
    </row>
    <row r="20" spans="1:10" x14ac:dyDescent="0.2">
      <c r="A20" s="15"/>
      <c r="B20" s="15"/>
      <c r="C20" s="20"/>
      <c r="D20" s="15"/>
      <c r="E20" s="15"/>
      <c r="F20" s="21"/>
      <c r="G20" s="21"/>
      <c r="H20" s="17" t="str">
        <f>IFERROR(VLOOKUP(B20,'[1]Debt Holding Consolidated'!$C$1:$N$65536,12,FALSE),"")</f>
        <v/>
      </c>
    </row>
    <row r="21" spans="1:10" x14ac:dyDescent="0.2">
      <c r="A21" s="15"/>
      <c r="B21" s="15"/>
      <c r="C21" s="16" t="s">
        <v>18</v>
      </c>
      <c r="D21" s="15"/>
      <c r="E21" s="15"/>
      <c r="F21" s="21"/>
      <c r="G21" s="21"/>
      <c r="H21" s="17" t="str">
        <f>IFERROR(VLOOKUP(B21,'[1]Debt Holding Consolidated'!$C$1:$N$65536,12,FALSE),"")</f>
        <v/>
      </c>
    </row>
    <row r="22" spans="1:10" ht="15" x14ac:dyDescent="0.2">
      <c r="A22" s="15"/>
      <c r="B22" s="15"/>
      <c r="C22" s="16" t="s">
        <v>11</v>
      </c>
      <c r="D22" s="15"/>
      <c r="E22" s="15" t="s">
        <v>12</v>
      </c>
      <c r="F22" s="18" t="s">
        <v>13</v>
      </c>
      <c r="G22" s="19">
        <v>0</v>
      </c>
      <c r="H22" s="17" t="str">
        <f>IFERROR(VLOOKUP(B22,'[1]Debt Holding Consolidated'!$C$1:$N$65536,12,FALSE),"")</f>
        <v/>
      </c>
      <c r="J22" s="22"/>
    </row>
    <row r="23" spans="1:10" x14ac:dyDescent="0.2">
      <c r="A23" s="15"/>
      <c r="B23" s="15"/>
      <c r="C23" s="20"/>
      <c r="D23" s="15"/>
      <c r="E23" s="15"/>
      <c r="F23" s="21"/>
      <c r="G23" s="21"/>
      <c r="H23" s="17" t="str">
        <f>IFERROR(VLOOKUP(B23,'[1]Debt Holding Consolidated'!$C$1:$N$65536,12,FALSE),"")</f>
        <v/>
      </c>
      <c r="J23" s="23"/>
    </row>
    <row r="24" spans="1:10" x14ac:dyDescent="0.2">
      <c r="A24" s="15"/>
      <c r="B24" s="15"/>
      <c r="C24" s="16" t="s">
        <v>19</v>
      </c>
      <c r="D24" s="15"/>
      <c r="E24" s="15"/>
      <c r="F24" s="24">
        <v>0</v>
      </c>
      <c r="G24" s="19">
        <v>0</v>
      </c>
      <c r="H24" s="17" t="str">
        <f>IFERROR(VLOOKUP(B24,'[1]Debt Holding Consolidated'!$C$1:$N$65536,12,FALSE),"")</f>
        <v/>
      </c>
    </row>
    <row r="25" spans="1:10" x14ac:dyDescent="0.2">
      <c r="A25" s="15"/>
      <c r="B25" s="15"/>
      <c r="C25" s="20"/>
      <c r="D25" s="15"/>
      <c r="E25" s="15"/>
      <c r="F25" s="21"/>
      <c r="G25" s="21"/>
      <c r="H25" s="17" t="str">
        <f>IFERROR(VLOOKUP(B25,'[1]Debt Holding Consolidated'!$C$1:$N$65536,12,FALSE),"")</f>
        <v/>
      </c>
    </row>
    <row r="26" spans="1:10" x14ac:dyDescent="0.2">
      <c r="A26" s="15"/>
      <c r="B26" s="15"/>
      <c r="C26" s="16" t="s">
        <v>20</v>
      </c>
      <c r="D26" s="15"/>
      <c r="E26" s="15"/>
      <c r="F26" s="21"/>
      <c r="G26" s="21"/>
      <c r="H26" s="17" t="str">
        <f>IFERROR(VLOOKUP(B26,'[1]Debt Holding Consolidated'!$C$1:$N$65536,12,FALSE),"")</f>
        <v/>
      </c>
    </row>
    <row r="27" spans="1:10" ht="25.5" x14ac:dyDescent="0.2">
      <c r="A27" s="15"/>
      <c r="B27" s="15"/>
      <c r="C27" s="16" t="s">
        <v>10</v>
      </c>
      <c r="D27" s="15"/>
      <c r="E27" s="15"/>
      <c r="F27" s="21"/>
      <c r="G27" s="21"/>
      <c r="H27" s="17" t="str">
        <f>IFERROR(VLOOKUP(B27,'[1]Debt Holding Consolidated'!$C$1:$N$65536,12,FALSE),"")</f>
        <v/>
      </c>
      <c r="J27" s="11" t="s">
        <v>604</v>
      </c>
    </row>
    <row r="28" spans="1:10" x14ac:dyDescent="0.2">
      <c r="A28" s="25">
        <v>1</v>
      </c>
      <c r="B28" s="26" t="s">
        <v>194</v>
      </c>
      <c r="C28" s="26" t="s">
        <v>195</v>
      </c>
      <c r="D28" s="26" t="s">
        <v>196</v>
      </c>
      <c r="E28" s="27">
        <v>100</v>
      </c>
      <c r="F28" s="28">
        <v>100.4569</v>
      </c>
      <c r="G28" s="29">
        <v>2.32523E-2</v>
      </c>
      <c r="H28" s="17">
        <f>IFERROR(VLOOKUP(B28,'[1]Debt Holding Consolidated'!$C$1:$N$65536,12,FALSE),"")</f>
        <v>8.4499999999999993</v>
      </c>
      <c r="J28" s="23"/>
    </row>
    <row r="29" spans="1:10" x14ac:dyDescent="0.2">
      <c r="A29" s="25">
        <v>2</v>
      </c>
      <c r="B29" s="26" t="s">
        <v>212</v>
      </c>
      <c r="C29" s="26" t="s">
        <v>213</v>
      </c>
      <c r="D29" s="26" t="s">
        <v>209</v>
      </c>
      <c r="E29" s="27">
        <v>100</v>
      </c>
      <c r="F29" s="28">
        <v>100.1717</v>
      </c>
      <c r="G29" s="29">
        <v>2.318628E-2</v>
      </c>
      <c r="H29" s="17">
        <f>IFERROR(VLOOKUP(B29,'[1]Debt Holding Consolidated'!$C$1:$N$65536,12,FALSE),"")</f>
        <v>8.2650000000000006</v>
      </c>
    </row>
    <row r="30" spans="1:10" ht="25.5" x14ac:dyDescent="0.2">
      <c r="A30" s="25">
        <v>3</v>
      </c>
      <c r="B30" s="26" t="s">
        <v>199</v>
      </c>
      <c r="C30" s="26" t="s">
        <v>200</v>
      </c>
      <c r="D30" s="26" t="s">
        <v>23</v>
      </c>
      <c r="E30" s="27">
        <v>10</v>
      </c>
      <c r="F30" s="28">
        <v>97.950699999999998</v>
      </c>
      <c r="G30" s="29">
        <v>2.26722E-2</v>
      </c>
      <c r="H30" s="17">
        <f>IFERROR(VLOOKUP(B30,'[1]Debt Holding Consolidated'!$C$1:$N$65536,12,FALSE),"")</f>
        <v>7.83</v>
      </c>
    </row>
    <row r="31" spans="1:10" x14ac:dyDescent="0.2">
      <c r="A31" s="15"/>
      <c r="B31" s="15"/>
      <c r="C31" s="16" t="s">
        <v>11</v>
      </c>
      <c r="D31" s="15"/>
      <c r="E31" s="15" t="s">
        <v>12</v>
      </c>
      <c r="F31" s="24">
        <v>298.57929999999999</v>
      </c>
      <c r="G31" s="19">
        <v>6.9110779999999997E-2</v>
      </c>
      <c r="H31" s="17" t="str">
        <f>IFERROR(VLOOKUP(B31,'[1]Debt Holding Consolidated'!$C$1:$N$65536,12,FALSE),"")</f>
        <v/>
      </c>
    </row>
    <row r="32" spans="1:10" x14ac:dyDescent="0.2">
      <c r="A32" s="15"/>
      <c r="B32" s="15"/>
      <c r="C32" s="20"/>
      <c r="D32" s="15"/>
      <c r="E32" s="15"/>
      <c r="F32" s="21"/>
      <c r="G32" s="21"/>
      <c r="H32" s="17" t="str">
        <f>IFERROR(VLOOKUP(B32,'[1]Debt Holding Consolidated'!$C$1:$N$65536,12,FALSE),"")</f>
        <v/>
      </c>
    </row>
    <row r="33" spans="1:8" x14ac:dyDescent="0.2">
      <c r="A33" s="15"/>
      <c r="B33" s="15"/>
      <c r="C33" s="16" t="s">
        <v>67</v>
      </c>
      <c r="D33" s="15"/>
      <c r="E33" s="15"/>
      <c r="F33" s="15"/>
      <c r="G33" s="15"/>
      <c r="H33" s="17" t="str">
        <f>IFERROR(VLOOKUP(B33,'[1]Debt Holding Consolidated'!$C$1:$N$65536,12,FALSE),"")</f>
        <v/>
      </c>
    </row>
    <row r="34" spans="1:8" x14ac:dyDescent="0.2">
      <c r="A34" s="15"/>
      <c r="B34" s="15"/>
      <c r="C34" s="16" t="s">
        <v>11</v>
      </c>
      <c r="D34" s="15"/>
      <c r="E34" s="15" t="s">
        <v>12</v>
      </c>
      <c r="F34" s="18" t="s">
        <v>13</v>
      </c>
      <c r="G34" s="19">
        <v>0</v>
      </c>
      <c r="H34" s="17" t="str">
        <f>IFERROR(VLOOKUP(B34,'[1]Debt Holding Consolidated'!$C$1:$N$65536,12,FALSE),"")</f>
        <v/>
      </c>
    </row>
    <row r="35" spans="1:8" x14ac:dyDescent="0.2">
      <c r="A35" s="15"/>
      <c r="B35" s="15"/>
      <c r="C35" s="20"/>
      <c r="D35" s="15"/>
      <c r="E35" s="15"/>
      <c r="F35" s="21"/>
      <c r="G35" s="21"/>
      <c r="H35" s="17" t="str">
        <f>IFERROR(VLOOKUP(B35,'[1]Debt Holding Consolidated'!$C$1:$N$65536,12,FALSE),"")</f>
        <v/>
      </c>
    </row>
    <row r="36" spans="1:8" x14ac:dyDescent="0.2">
      <c r="A36" s="15"/>
      <c r="B36" s="15"/>
      <c r="C36" s="16" t="s">
        <v>68</v>
      </c>
      <c r="D36" s="15"/>
      <c r="E36" s="15"/>
      <c r="F36" s="15"/>
      <c r="G36" s="15"/>
      <c r="H36" s="17" t="str">
        <f>IFERROR(VLOOKUP(B36,'[1]Debt Holding Consolidated'!$C$1:$N$65536,12,FALSE),"")</f>
        <v/>
      </c>
    </row>
    <row r="37" spans="1:8" x14ac:dyDescent="0.2">
      <c r="A37" s="25">
        <v>1</v>
      </c>
      <c r="B37" s="26" t="s">
        <v>69</v>
      </c>
      <c r="C37" s="26" t="s">
        <v>70</v>
      </c>
      <c r="D37" s="26" t="s">
        <v>71</v>
      </c>
      <c r="E37" s="27">
        <v>1500000</v>
      </c>
      <c r="F37" s="28">
        <v>1528.1685</v>
      </c>
      <c r="G37" s="29">
        <v>0.35371814000000001</v>
      </c>
      <c r="H37" s="17">
        <f>IFERROR(VLOOKUP(B37,'[1]Debt Holding Consolidated'!$C$1:$N$65536,12,FALSE),"")</f>
        <v>7.0152000000000001</v>
      </c>
    </row>
    <row r="38" spans="1:8" ht="25.5" x14ac:dyDescent="0.2">
      <c r="A38" s="25">
        <v>2</v>
      </c>
      <c r="B38" s="26" t="s">
        <v>444</v>
      </c>
      <c r="C38" s="26" t="s">
        <v>445</v>
      </c>
      <c r="D38" s="26" t="s">
        <v>71</v>
      </c>
      <c r="E38" s="27">
        <v>1000000</v>
      </c>
      <c r="F38" s="28">
        <v>979.00400000000002</v>
      </c>
      <c r="G38" s="29">
        <v>0.22660556000000001</v>
      </c>
      <c r="H38" s="17">
        <f>IFERROR(VLOOKUP(B38,'[1]Debt Holding Consolidated'!$C$1:$N$65536,12,FALSE),"")</f>
        <v>6.8710000000000004</v>
      </c>
    </row>
    <row r="39" spans="1:8" x14ac:dyDescent="0.2">
      <c r="A39" s="25">
        <v>3</v>
      </c>
      <c r="B39" s="26" t="s">
        <v>76</v>
      </c>
      <c r="C39" s="26" t="s">
        <v>77</v>
      </c>
      <c r="D39" s="26" t="s">
        <v>71</v>
      </c>
      <c r="E39" s="27">
        <v>500000</v>
      </c>
      <c r="F39" s="28">
        <v>510.56849999999997</v>
      </c>
      <c r="G39" s="29">
        <v>0.11817895</v>
      </c>
      <c r="H39" s="17">
        <f>IFERROR(VLOOKUP(B39,'[1]Debt Holding Consolidated'!$C$1:$N$65536,12,FALSE),"")</f>
        <v>6.8924000000000003</v>
      </c>
    </row>
    <row r="40" spans="1:8" ht="25.5" x14ac:dyDescent="0.2">
      <c r="A40" s="25">
        <v>4</v>
      </c>
      <c r="B40" s="26" t="s">
        <v>385</v>
      </c>
      <c r="C40" s="26" t="s">
        <v>386</v>
      </c>
      <c r="D40" s="26" t="s">
        <v>71</v>
      </c>
      <c r="E40" s="27">
        <v>230000</v>
      </c>
      <c r="F40" s="28">
        <v>233.48634000000001</v>
      </c>
      <c r="G40" s="29">
        <v>5.4044010000000003E-2</v>
      </c>
      <c r="H40" s="17">
        <f>IFERROR(VLOOKUP(B40,'[1]Debt Holding Consolidated'!$C$1:$N$65536,12,FALSE),"")</f>
        <v>7.3471000000000002</v>
      </c>
    </row>
    <row r="41" spans="1:8" x14ac:dyDescent="0.2">
      <c r="A41" s="15"/>
      <c r="B41" s="15"/>
      <c r="C41" s="16" t="s">
        <v>11</v>
      </c>
      <c r="D41" s="15"/>
      <c r="E41" s="15" t="s">
        <v>12</v>
      </c>
      <c r="F41" s="24">
        <v>3251.2273399999999</v>
      </c>
      <c r="G41" s="19">
        <v>0.75254666000000003</v>
      </c>
      <c r="H41" s="17" t="str">
        <f>IFERROR(VLOOKUP(B41,'[1]Debt Holding Consolidated'!$C$1:$N$65536,12,FALSE),"")</f>
        <v/>
      </c>
    </row>
    <row r="42" spans="1:8" x14ac:dyDescent="0.2">
      <c r="A42" s="15"/>
      <c r="B42" s="15"/>
      <c r="C42" s="20"/>
      <c r="D42" s="15"/>
      <c r="E42" s="15"/>
      <c r="F42" s="21"/>
      <c r="G42" s="21"/>
      <c r="H42" s="17" t="str">
        <f>IFERROR(VLOOKUP(B42,'[1]Debt Holding Consolidated'!$C$1:$N$65536,12,FALSE),"")</f>
        <v/>
      </c>
    </row>
    <row r="43" spans="1:8" x14ac:dyDescent="0.2">
      <c r="A43" s="15"/>
      <c r="B43" s="15"/>
      <c r="C43" s="16" t="s">
        <v>82</v>
      </c>
      <c r="D43" s="15"/>
      <c r="E43" s="15"/>
      <c r="F43" s="21"/>
      <c r="G43" s="21"/>
      <c r="H43" s="17" t="str">
        <f>IFERROR(VLOOKUP(B43,'[1]Debt Holding Consolidated'!$C$1:$N$65536,12,FALSE),"")</f>
        <v/>
      </c>
    </row>
    <row r="44" spans="1:8" x14ac:dyDescent="0.2">
      <c r="A44" s="15"/>
      <c r="B44" s="15"/>
      <c r="C44" s="16" t="s">
        <v>11</v>
      </c>
      <c r="D44" s="15"/>
      <c r="E44" s="15" t="s">
        <v>12</v>
      </c>
      <c r="F44" s="18" t="s">
        <v>13</v>
      </c>
      <c r="G44" s="19">
        <v>0</v>
      </c>
      <c r="H44" s="17" t="str">
        <f>IFERROR(VLOOKUP(B44,'[1]Debt Holding Consolidated'!$C$1:$N$65536,12,FALSE),"")</f>
        <v/>
      </c>
    </row>
    <row r="45" spans="1:8" x14ac:dyDescent="0.2">
      <c r="A45" s="15"/>
      <c r="B45" s="15"/>
      <c r="C45" s="20"/>
      <c r="D45" s="15"/>
      <c r="E45" s="15"/>
      <c r="F45" s="21"/>
      <c r="G45" s="21"/>
      <c r="H45" s="17" t="str">
        <f>IFERROR(VLOOKUP(B45,'[1]Debt Holding Consolidated'!$C$1:$N$65536,12,FALSE),"")</f>
        <v/>
      </c>
    </row>
    <row r="46" spans="1:8" x14ac:dyDescent="0.2">
      <c r="A46" s="15"/>
      <c r="B46" s="15"/>
      <c r="C46" s="16" t="s">
        <v>83</v>
      </c>
      <c r="D46" s="15"/>
      <c r="E46" s="15"/>
      <c r="F46" s="24">
        <v>3549.8066399999998</v>
      </c>
      <c r="G46" s="19">
        <v>0.82165743999999996</v>
      </c>
      <c r="H46" s="17" t="str">
        <f>IFERROR(VLOOKUP(B46,'[1]Debt Holding Consolidated'!$C$1:$N$65536,12,FALSE),"")</f>
        <v/>
      </c>
    </row>
    <row r="47" spans="1:8" x14ac:dyDescent="0.2">
      <c r="A47" s="15"/>
      <c r="B47" s="15"/>
      <c r="C47" s="20"/>
      <c r="D47" s="15"/>
      <c r="E47" s="15"/>
      <c r="F47" s="21"/>
      <c r="G47" s="21"/>
      <c r="H47" s="17" t="str">
        <f>IFERROR(VLOOKUP(B47,'[1]Debt Holding Consolidated'!$C$1:$N$65536,12,FALSE),"")</f>
        <v/>
      </c>
    </row>
    <row r="48" spans="1:8" x14ac:dyDescent="0.2">
      <c r="A48" s="15"/>
      <c r="B48" s="15"/>
      <c r="C48" s="16" t="s">
        <v>84</v>
      </c>
      <c r="D48" s="15"/>
      <c r="E48" s="15"/>
      <c r="F48" s="21"/>
      <c r="G48" s="21"/>
      <c r="H48" s="17" t="str">
        <f>IFERROR(VLOOKUP(B48,'[1]Debt Holding Consolidated'!$C$1:$N$65536,12,FALSE),"")</f>
        <v/>
      </c>
    </row>
    <row r="49" spans="1:8" x14ac:dyDescent="0.2">
      <c r="A49" s="15"/>
      <c r="B49" s="15"/>
      <c r="C49" s="16" t="s">
        <v>85</v>
      </c>
      <c r="D49" s="15"/>
      <c r="E49" s="15"/>
      <c r="F49" s="21"/>
      <c r="G49" s="21"/>
      <c r="H49" s="17" t="str">
        <f>IFERROR(VLOOKUP(B49,'[1]Debt Holding Consolidated'!$C$1:$N$65536,12,FALSE),"")</f>
        <v/>
      </c>
    </row>
    <row r="50" spans="1:8" x14ac:dyDescent="0.2">
      <c r="A50" s="15"/>
      <c r="B50" s="15"/>
      <c r="C50" s="16" t="s">
        <v>11</v>
      </c>
      <c r="D50" s="15"/>
      <c r="E50" s="15" t="s">
        <v>12</v>
      </c>
      <c r="F50" s="18" t="s">
        <v>13</v>
      </c>
      <c r="G50" s="19">
        <v>0</v>
      </c>
      <c r="H50" s="17" t="str">
        <f>IFERROR(VLOOKUP(B50,'[1]Debt Holding Consolidated'!$C$1:$N$65536,12,FALSE),"")</f>
        <v/>
      </c>
    </row>
    <row r="51" spans="1:8" x14ac:dyDescent="0.2">
      <c r="A51" s="15"/>
      <c r="B51" s="15"/>
      <c r="C51" s="20"/>
      <c r="D51" s="15"/>
      <c r="E51" s="15"/>
      <c r="F51" s="21"/>
      <c r="G51" s="21"/>
      <c r="H51" s="17" t="str">
        <f>IFERROR(VLOOKUP(B51,'[1]Debt Holding Consolidated'!$C$1:$N$65536,12,FALSE),"")</f>
        <v/>
      </c>
    </row>
    <row r="52" spans="1:8" x14ac:dyDescent="0.2">
      <c r="A52" s="15"/>
      <c r="B52" s="15"/>
      <c r="C52" s="16" t="s">
        <v>86</v>
      </c>
      <c r="D52" s="15"/>
      <c r="E52" s="15"/>
      <c r="F52" s="21"/>
      <c r="G52" s="21"/>
      <c r="H52" s="17" t="str">
        <f>IFERROR(VLOOKUP(B52,'[1]Debt Holding Consolidated'!$C$1:$N$65536,12,FALSE),"")</f>
        <v/>
      </c>
    </row>
    <row r="53" spans="1:8" x14ac:dyDescent="0.2">
      <c r="A53" s="15"/>
      <c r="B53" s="15"/>
      <c r="C53" s="16" t="s">
        <v>11</v>
      </c>
      <c r="D53" s="15"/>
      <c r="E53" s="15" t="s">
        <v>12</v>
      </c>
      <c r="F53" s="18" t="s">
        <v>13</v>
      </c>
      <c r="G53" s="19">
        <v>0</v>
      </c>
      <c r="H53" s="17" t="str">
        <f>IFERROR(VLOOKUP(B53,'[1]Debt Holding Consolidated'!$C$1:$N$65536,12,FALSE),"")</f>
        <v/>
      </c>
    </row>
    <row r="54" spans="1:8" x14ac:dyDescent="0.2">
      <c r="A54" s="15"/>
      <c r="B54" s="15"/>
      <c r="C54" s="20"/>
      <c r="D54" s="15"/>
      <c r="E54" s="15"/>
      <c r="F54" s="21"/>
      <c r="G54" s="21"/>
      <c r="H54" s="17" t="str">
        <f>IFERROR(VLOOKUP(B54,'[1]Debt Holding Consolidated'!$C$1:$N$65536,12,FALSE),"")</f>
        <v/>
      </c>
    </row>
    <row r="55" spans="1:8" x14ac:dyDescent="0.2">
      <c r="A55" s="15"/>
      <c r="B55" s="15"/>
      <c r="C55" s="16" t="s">
        <v>87</v>
      </c>
      <c r="D55" s="15"/>
      <c r="E55" s="15"/>
      <c r="F55" s="21"/>
      <c r="G55" s="21"/>
      <c r="H55" s="17" t="str">
        <f>IFERROR(VLOOKUP(B55,'[1]Debt Holding Consolidated'!$C$1:$N$65536,12,FALSE),"")</f>
        <v/>
      </c>
    </row>
    <row r="56" spans="1:8" x14ac:dyDescent="0.2">
      <c r="A56" s="15"/>
      <c r="B56" s="15"/>
      <c r="C56" s="16" t="s">
        <v>11</v>
      </c>
      <c r="D56" s="15"/>
      <c r="E56" s="15" t="s">
        <v>12</v>
      </c>
      <c r="F56" s="18" t="s">
        <v>13</v>
      </c>
      <c r="G56" s="19">
        <v>0</v>
      </c>
      <c r="H56" s="17" t="str">
        <f>IFERROR(VLOOKUP(B56,'[1]Debt Holding Consolidated'!$C$1:$N$65536,12,FALSE),"")</f>
        <v/>
      </c>
    </row>
    <row r="57" spans="1:8" x14ac:dyDescent="0.2">
      <c r="A57" s="15"/>
      <c r="B57" s="15"/>
      <c r="C57" s="20"/>
      <c r="D57" s="15"/>
      <c r="E57" s="15"/>
      <c r="F57" s="21"/>
      <c r="G57" s="21"/>
      <c r="H57" s="17" t="str">
        <f>IFERROR(VLOOKUP(B57,'[1]Debt Holding Consolidated'!$C$1:$N$65536,12,FALSE),"")</f>
        <v/>
      </c>
    </row>
    <row r="58" spans="1:8" x14ac:dyDescent="0.2">
      <c r="A58" s="15"/>
      <c r="B58" s="15"/>
      <c r="C58" s="16" t="s">
        <v>88</v>
      </c>
      <c r="D58" s="15"/>
      <c r="E58" s="15"/>
      <c r="F58" s="21"/>
      <c r="G58" s="21"/>
      <c r="H58" s="17" t="str">
        <f>IFERROR(VLOOKUP(B58,'[1]Debt Holding Consolidated'!$C$1:$N$65536,12,FALSE),"")</f>
        <v/>
      </c>
    </row>
    <row r="59" spans="1:8" x14ac:dyDescent="0.2">
      <c r="A59" s="25">
        <v>1</v>
      </c>
      <c r="B59" s="26"/>
      <c r="C59" s="26" t="s">
        <v>89</v>
      </c>
      <c r="D59" s="26"/>
      <c r="E59" s="30"/>
      <c r="F59" s="28">
        <v>731.33221200100002</v>
      </c>
      <c r="G59" s="29">
        <v>0.16927811000000001</v>
      </c>
      <c r="H59" s="17">
        <v>6.3551211905931497</v>
      </c>
    </row>
    <row r="60" spans="1:8" x14ac:dyDescent="0.2">
      <c r="A60" s="15"/>
      <c r="B60" s="15"/>
      <c r="C60" s="16" t="s">
        <v>11</v>
      </c>
      <c r="D60" s="15"/>
      <c r="E60" s="15" t="s">
        <v>12</v>
      </c>
      <c r="F60" s="24">
        <v>731.33221200100002</v>
      </c>
      <c r="G60" s="19">
        <v>0.16927811000000001</v>
      </c>
      <c r="H60" s="17" t="str">
        <f>IFERROR(VLOOKUP(B60,'[1]Debt Holding Consolidated'!$C$1:$N$65536,12,FALSE),"")</f>
        <v/>
      </c>
    </row>
    <row r="61" spans="1:8" x14ac:dyDescent="0.2">
      <c r="A61" s="15"/>
      <c r="B61" s="15"/>
      <c r="C61" s="20"/>
      <c r="D61" s="15"/>
      <c r="E61" s="15"/>
      <c r="F61" s="21"/>
      <c r="G61" s="21"/>
      <c r="H61" s="17" t="str">
        <f>IFERROR(VLOOKUP(B61,'[1]Debt Holding Consolidated'!$C$1:$N$65536,12,FALSE),"")</f>
        <v/>
      </c>
    </row>
    <row r="62" spans="1:8" x14ac:dyDescent="0.2">
      <c r="A62" s="15"/>
      <c r="B62" s="15"/>
      <c r="C62" s="16" t="s">
        <v>90</v>
      </c>
      <c r="D62" s="15"/>
      <c r="E62" s="15"/>
      <c r="F62" s="24">
        <v>731.33221200100002</v>
      </c>
      <c r="G62" s="19">
        <v>0.16927811000000001</v>
      </c>
      <c r="H62" s="17" t="str">
        <f>IFERROR(VLOOKUP(B62,'[1]Debt Holding Consolidated'!$C$1:$N$65536,12,FALSE),"")</f>
        <v/>
      </c>
    </row>
    <row r="63" spans="1:8" x14ac:dyDescent="0.2">
      <c r="A63" s="15"/>
      <c r="B63" s="15"/>
      <c r="C63" s="21"/>
      <c r="D63" s="15"/>
      <c r="E63" s="15"/>
      <c r="F63" s="15"/>
      <c r="G63" s="15"/>
      <c r="H63" s="17" t="str">
        <f>IFERROR(VLOOKUP(B63,'[1]Debt Holding Consolidated'!$C$1:$N$65536,12,FALSE),"")</f>
        <v/>
      </c>
    </row>
    <row r="64" spans="1:8" x14ac:dyDescent="0.2">
      <c r="A64" s="15"/>
      <c r="B64" s="15"/>
      <c r="C64" s="16" t="s">
        <v>91</v>
      </c>
      <c r="D64" s="15"/>
      <c r="E64" s="15"/>
      <c r="F64" s="15"/>
      <c r="G64" s="15"/>
      <c r="H64" s="17" t="str">
        <f>IFERROR(VLOOKUP(B64,'[1]Debt Holding Consolidated'!$C$1:$N$65536,12,FALSE),"")</f>
        <v/>
      </c>
    </row>
    <row r="65" spans="1:18" x14ac:dyDescent="0.2">
      <c r="A65" s="15"/>
      <c r="B65" s="15"/>
      <c r="C65" s="16" t="s">
        <v>92</v>
      </c>
      <c r="D65" s="15"/>
      <c r="E65" s="15"/>
      <c r="F65" s="15"/>
      <c r="G65" s="15"/>
      <c r="H65" s="17" t="str">
        <f>IFERROR(VLOOKUP(B65,'[1]Debt Holding Consolidated'!$C$1:$N$65536,12,FALSE),"")</f>
        <v/>
      </c>
    </row>
    <row r="66" spans="1:18" x14ac:dyDescent="0.2">
      <c r="A66" s="15"/>
      <c r="B66" s="15"/>
      <c r="C66" s="16" t="s">
        <v>11</v>
      </c>
      <c r="D66" s="15"/>
      <c r="E66" s="15" t="s">
        <v>12</v>
      </c>
      <c r="F66" s="18" t="s">
        <v>13</v>
      </c>
      <c r="G66" s="19">
        <v>0</v>
      </c>
      <c r="H66" s="17" t="str">
        <f>IFERROR(VLOOKUP(B66,'[1]Debt Holding Consolidated'!$C$1:$N$65536,12,FALSE),"")</f>
        <v/>
      </c>
    </row>
    <row r="67" spans="1:18" x14ac:dyDescent="0.2">
      <c r="A67" s="15"/>
      <c r="B67" s="15"/>
      <c r="C67" s="20"/>
      <c r="D67" s="15"/>
      <c r="E67" s="15"/>
      <c r="F67" s="21"/>
      <c r="G67" s="21"/>
      <c r="H67" s="17" t="str">
        <f>IFERROR(VLOOKUP(B67,'[1]Debt Holding Consolidated'!$C$1:$N$65536,12,FALSE),"")</f>
        <v/>
      </c>
    </row>
    <row r="68" spans="1:18" x14ac:dyDescent="0.2">
      <c r="A68" s="31"/>
      <c r="B68" s="31"/>
      <c r="C68" s="32" t="s">
        <v>517</v>
      </c>
      <c r="D68" s="31"/>
      <c r="E68" s="31"/>
      <c r="F68" s="33"/>
      <c r="G68" s="33"/>
      <c r="H68" s="34"/>
      <c r="L68" s="35"/>
      <c r="M68" s="35"/>
      <c r="N68" s="35"/>
      <c r="O68" s="35"/>
      <c r="P68" s="36"/>
      <c r="Q68" s="36"/>
      <c r="R68" s="36"/>
    </row>
    <row r="69" spans="1:18" ht="25.5" x14ac:dyDescent="0.2">
      <c r="A69" s="25">
        <v>1</v>
      </c>
      <c r="B69" s="26" t="s">
        <v>93</v>
      </c>
      <c r="C69" s="26" t="s">
        <v>94</v>
      </c>
      <c r="D69" s="26"/>
      <c r="E69" s="37">
        <v>112.994</v>
      </c>
      <c r="F69" s="28">
        <v>11.696450408</v>
      </c>
      <c r="G69" s="29">
        <v>2.70732E-3</v>
      </c>
      <c r="H69" s="17"/>
    </row>
    <row r="70" spans="1:18" x14ac:dyDescent="0.2">
      <c r="A70" s="15"/>
      <c r="B70" s="15"/>
      <c r="C70" s="16" t="s">
        <v>11</v>
      </c>
      <c r="D70" s="15"/>
      <c r="E70" s="15" t="s">
        <v>12</v>
      </c>
      <c r="F70" s="24">
        <v>11.696450408</v>
      </c>
      <c r="G70" s="19">
        <v>2.70732E-3</v>
      </c>
      <c r="H70" s="17" t="s">
        <v>12</v>
      </c>
    </row>
    <row r="71" spans="1:18" x14ac:dyDescent="0.2">
      <c r="A71" s="15"/>
      <c r="B71" s="15"/>
      <c r="C71" s="20"/>
      <c r="D71" s="15"/>
      <c r="E71" s="15"/>
      <c r="F71" s="21"/>
      <c r="G71" s="21"/>
      <c r="H71" s="17" t="str">
        <f>IFERROR(VLOOKUP(B71,'[1]Debt Holding Consolidated'!$C$1:$N$65536,12,FALSE),"")</f>
        <v/>
      </c>
    </row>
    <row r="72" spans="1:18" x14ac:dyDescent="0.2">
      <c r="A72" s="15"/>
      <c r="B72" s="15"/>
      <c r="C72" s="16" t="s">
        <v>95</v>
      </c>
      <c r="D72" s="15"/>
      <c r="E72" s="15"/>
      <c r="F72" s="15"/>
      <c r="G72" s="15"/>
      <c r="H72" s="17" t="str">
        <f>IFERROR(VLOOKUP(B72,'[1]Debt Holding Consolidated'!$C$1:$N$65536,12,FALSE),"")</f>
        <v/>
      </c>
    </row>
    <row r="73" spans="1:18" x14ac:dyDescent="0.2">
      <c r="A73" s="15"/>
      <c r="B73" s="15"/>
      <c r="C73" s="16" t="s">
        <v>96</v>
      </c>
      <c r="D73" s="15"/>
      <c r="E73" s="15"/>
      <c r="F73" s="15"/>
      <c r="G73" s="15"/>
      <c r="H73" s="17" t="str">
        <f>IFERROR(VLOOKUP(B73,'[1]Debt Holding Consolidated'!$C$1:$N$65536,12,FALSE),"")</f>
        <v/>
      </c>
    </row>
    <row r="74" spans="1:18" x14ac:dyDescent="0.2">
      <c r="A74" s="15"/>
      <c r="B74" s="15"/>
      <c r="C74" s="16" t="s">
        <v>11</v>
      </c>
      <c r="D74" s="15"/>
      <c r="E74" s="15" t="s">
        <v>12</v>
      </c>
      <c r="F74" s="18" t="s">
        <v>13</v>
      </c>
      <c r="G74" s="19">
        <v>0</v>
      </c>
      <c r="H74" s="17" t="str">
        <f>IFERROR(VLOOKUP(B74,'[1]Debt Holding Consolidated'!$C$1:$N$65536,12,FALSE),"")</f>
        <v/>
      </c>
    </row>
    <row r="75" spans="1:18" x14ac:dyDescent="0.2">
      <c r="A75" s="15"/>
      <c r="B75" s="15"/>
      <c r="C75" s="20"/>
      <c r="D75" s="15"/>
      <c r="E75" s="15"/>
      <c r="F75" s="21"/>
      <c r="G75" s="21"/>
      <c r="H75" s="17" t="str">
        <f>IFERROR(VLOOKUP(B75,'[1]Debt Holding Consolidated'!$C$1:$N$65536,12,FALSE),"")</f>
        <v/>
      </c>
    </row>
    <row r="76" spans="1:18" x14ac:dyDescent="0.2">
      <c r="A76" s="15"/>
      <c r="B76" s="15"/>
      <c r="C76" s="16" t="s">
        <v>97</v>
      </c>
      <c r="D76" s="15"/>
      <c r="E76" s="15"/>
      <c r="F76" s="21"/>
      <c r="G76" s="21"/>
      <c r="H76" s="17" t="str">
        <f>IFERROR(VLOOKUP(B76,'[1]Debt Holding Consolidated'!$C$1:$N$65536,12,FALSE),"")</f>
        <v/>
      </c>
    </row>
    <row r="77" spans="1:18" x14ac:dyDescent="0.2">
      <c r="A77" s="15"/>
      <c r="B77" s="15"/>
      <c r="C77" s="16" t="s">
        <v>11</v>
      </c>
      <c r="D77" s="15"/>
      <c r="E77" s="15" t="s">
        <v>12</v>
      </c>
      <c r="F77" s="18" t="s">
        <v>13</v>
      </c>
      <c r="G77" s="19">
        <v>0</v>
      </c>
      <c r="H77" s="17" t="str">
        <f>IFERROR(VLOOKUP(B77,'[1]Debt Holding Consolidated'!$C$1:$N$65536,12,FALSE),"")</f>
        <v/>
      </c>
    </row>
    <row r="78" spans="1:18" x14ac:dyDescent="0.2">
      <c r="A78" s="15"/>
      <c r="B78" s="15"/>
      <c r="C78" s="20"/>
      <c r="D78" s="15"/>
      <c r="E78" s="15"/>
      <c r="F78" s="21"/>
      <c r="G78" s="21"/>
      <c r="H78" s="17" t="str">
        <f>IFERROR(VLOOKUP(B78,'[1]Debt Holding Consolidated'!$C$1:$N$65536,12,FALSE),"")</f>
        <v/>
      </c>
    </row>
    <row r="79" spans="1:18" x14ac:dyDescent="0.2">
      <c r="A79" s="30"/>
      <c r="B79" s="26"/>
      <c r="C79" s="26" t="s">
        <v>98</v>
      </c>
      <c r="D79" s="26"/>
      <c r="E79" s="30"/>
      <c r="F79" s="28">
        <f>27.46473939+0.00101833100020885</f>
        <v>27.465757721000209</v>
      </c>
      <c r="G79" s="29">
        <v>6.3571399999999998E-3</v>
      </c>
      <c r="H79" s="17" t="str">
        <f>IFERROR(VLOOKUP(B79,'[1]Debt Holding Consolidated'!$C$1:$N$65536,12,FALSE),"")</f>
        <v/>
      </c>
    </row>
    <row r="80" spans="1:18" x14ac:dyDescent="0.2">
      <c r="A80" s="20"/>
      <c r="B80" s="20"/>
      <c r="C80" s="16" t="s">
        <v>99</v>
      </c>
      <c r="D80" s="21"/>
      <c r="E80" s="21"/>
      <c r="F80" s="24">
        <f>4320.300041799+0.00101833100020885</f>
        <v>4320.3010601300002</v>
      </c>
      <c r="G80" s="38">
        <v>1.0000000099999999</v>
      </c>
      <c r="H80" s="17" t="str">
        <f>IFERROR(VLOOKUP(B80,'[1]Debt Holding Consolidated'!$C$1:$N$65536,12,FALSE),"")</f>
        <v/>
      </c>
    </row>
    <row r="81" spans="1:10" x14ac:dyDescent="0.2">
      <c r="A81" s="39"/>
      <c r="B81" s="39"/>
      <c r="C81" s="39"/>
      <c r="D81" s="40"/>
      <c r="E81" s="40"/>
      <c r="F81" s="40"/>
      <c r="G81" s="40"/>
    </row>
    <row r="82" spans="1:10" x14ac:dyDescent="0.2">
      <c r="A82" s="41"/>
      <c r="B82" s="113" t="s">
        <v>518</v>
      </c>
      <c r="C82" s="113"/>
      <c r="D82" s="113"/>
      <c r="E82" s="113"/>
      <c r="F82" s="113"/>
      <c r="G82" s="113"/>
      <c r="H82" s="113"/>
    </row>
    <row r="83" spans="1:10" x14ac:dyDescent="0.2">
      <c r="A83" s="41"/>
      <c r="B83" s="113" t="s">
        <v>519</v>
      </c>
      <c r="C83" s="113"/>
      <c r="D83" s="113"/>
      <c r="E83" s="113"/>
      <c r="F83" s="113"/>
      <c r="G83" s="113"/>
      <c r="H83" s="113"/>
    </row>
    <row r="84" spans="1:10" x14ac:dyDescent="0.2">
      <c r="A84" s="41"/>
      <c r="B84" s="113" t="s">
        <v>520</v>
      </c>
      <c r="C84" s="113"/>
      <c r="D84" s="113"/>
      <c r="E84" s="113"/>
      <c r="F84" s="113"/>
      <c r="G84" s="113"/>
      <c r="H84" s="113"/>
      <c r="J84"/>
    </row>
    <row r="85" spans="1:10" x14ac:dyDescent="0.2">
      <c r="A85" s="41"/>
      <c r="B85" s="41"/>
      <c r="C85" s="41"/>
      <c r="D85" s="43"/>
      <c r="E85" s="43"/>
      <c r="F85" s="43"/>
      <c r="G85" s="43"/>
      <c r="J85"/>
    </row>
    <row r="86" spans="1:10" x14ac:dyDescent="0.2">
      <c r="A86" s="44"/>
      <c r="B86" s="108" t="s">
        <v>100</v>
      </c>
      <c r="C86" s="109"/>
      <c r="D86" s="110"/>
      <c r="E86" s="45"/>
      <c r="F86" s="46"/>
      <c r="G86" s="46"/>
      <c r="J86"/>
    </row>
    <row r="87" spans="1:10" ht="25.5" x14ac:dyDescent="0.2">
      <c r="A87" s="44"/>
      <c r="B87" s="111" t="s">
        <v>101</v>
      </c>
      <c r="C87" s="112"/>
      <c r="D87" s="32" t="s">
        <v>536</v>
      </c>
      <c r="E87" s="45"/>
      <c r="F87" s="46"/>
      <c r="G87" s="46"/>
      <c r="J87"/>
    </row>
    <row r="88" spans="1:10" x14ac:dyDescent="0.2">
      <c r="A88" s="44"/>
      <c r="B88" s="111" t="s">
        <v>103</v>
      </c>
      <c r="C88" s="112"/>
      <c r="D88" s="16" t="s">
        <v>102</v>
      </c>
      <c r="E88" s="45"/>
      <c r="F88" s="46"/>
      <c r="G88" s="46"/>
      <c r="J88"/>
    </row>
    <row r="89" spans="1:10" x14ac:dyDescent="0.2">
      <c r="A89" s="44"/>
      <c r="B89" s="111" t="s">
        <v>104</v>
      </c>
      <c r="C89" s="112"/>
      <c r="D89" s="21" t="s">
        <v>12</v>
      </c>
      <c r="E89" s="45"/>
      <c r="F89" s="46"/>
      <c r="G89" s="46"/>
      <c r="J89"/>
    </row>
    <row r="90" spans="1:10" x14ac:dyDescent="0.2">
      <c r="A90" s="47"/>
      <c r="B90" s="48" t="s">
        <v>12</v>
      </c>
      <c r="C90" s="48" t="s">
        <v>535</v>
      </c>
      <c r="D90" s="48" t="s">
        <v>105</v>
      </c>
      <c r="E90" s="47"/>
      <c r="F90" s="47"/>
      <c r="G90" s="47"/>
      <c r="H90" s="49"/>
      <c r="J90"/>
    </row>
    <row r="91" spans="1:10" x14ac:dyDescent="0.2">
      <c r="A91" s="50"/>
      <c r="B91" s="51" t="s">
        <v>106</v>
      </c>
      <c r="C91" s="52" t="s">
        <v>107</v>
      </c>
      <c r="D91" s="52" t="s">
        <v>108</v>
      </c>
      <c r="E91" s="50"/>
      <c r="F91" s="50"/>
      <c r="G91" s="50"/>
      <c r="J91"/>
    </row>
    <row r="92" spans="1:10" x14ac:dyDescent="0.2">
      <c r="A92" s="50"/>
      <c r="B92" s="26" t="s">
        <v>109</v>
      </c>
      <c r="C92" s="53">
        <v>71.868499999999997</v>
      </c>
      <c r="D92" s="53">
        <v>72.203999999999994</v>
      </c>
      <c r="E92" s="50"/>
      <c r="F92" s="54"/>
      <c r="G92" s="55"/>
      <c r="J92"/>
    </row>
    <row r="93" spans="1:10" ht="25.5" x14ac:dyDescent="0.2">
      <c r="A93" s="50"/>
      <c r="B93" s="26" t="s">
        <v>571</v>
      </c>
      <c r="C93" s="53">
        <v>25.872</v>
      </c>
      <c r="D93" s="53">
        <v>25.992799999999999</v>
      </c>
      <c r="E93" s="50"/>
      <c r="F93" s="54"/>
      <c r="G93" s="55"/>
      <c r="J93"/>
    </row>
    <row r="94" spans="1:10" ht="25.5" x14ac:dyDescent="0.2">
      <c r="A94" s="50"/>
      <c r="B94" s="26" t="s">
        <v>573</v>
      </c>
      <c r="C94" s="53">
        <v>14.816000000000001</v>
      </c>
      <c r="D94" s="53">
        <v>14.885199999999999</v>
      </c>
      <c r="E94" s="50"/>
      <c r="F94" s="54"/>
      <c r="G94" s="55"/>
      <c r="J94"/>
    </row>
    <row r="95" spans="1:10" ht="25.5" x14ac:dyDescent="0.2">
      <c r="A95" s="50"/>
      <c r="B95" s="26" t="s">
        <v>446</v>
      </c>
      <c r="C95" s="53">
        <v>73.307000000000002</v>
      </c>
      <c r="D95" s="53">
        <v>73.621600000000001</v>
      </c>
      <c r="E95" s="50"/>
      <c r="F95" s="54"/>
      <c r="G95" s="55"/>
      <c r="J95"/>
    </row>
    <row r="96" spans="1:10" x14ac:dyDescent="0.2">
      <c r="A96" s="50"/>
      <c r="B96" s="26" t="s">
        <v>110</v>
      </c>
      <c r="C96" s="53">
        <v>64.872600000000006</v>
      </c>
      <c r="D96" s="53">
        <v>65.1511</v>
      </c>
      <c r="E96" s="50"/>
      <c r="F96" s="54"/>
      <c r="G96" s="55"/>
      <c r="J96"/>
    </row>
    <row r="97" spans="1:15" x14ac:dyDescent="0.2">
      <c r="A97" s="50"/>
      <c r="B97" s="26" t="s">
        <v>139</v>
      </c>
      <c r="C97" s="53">
        <v>22.157599999999999</v>
      </c>
      <c r="D97" s="53">
        <v>22.252700000000001</v>
      </c>
      <c r="E97" s="50"/>
      <c r="F97" s="54"/>
      <c r="G97" s="55"/>
      <c r="J97"/>
    </row>
    <row r="98" spans="1:15" ht="25.5" x14ac:dyDescent="0.2">
      <c r="A98" s="50"/>
      <c r="B98" s="26" t="s">
        <v>575</v>
      </c>
      <c r="C98" s="53">
        <v>12.9313</v>
      </c>
      <c r="D98" s="53">
        <v>12.986800000000001</v>
      </c>
      <c r="E98" s="50"/>
      <c r="F98" s="54"/>
      <c r="G98" s="55"/>
    </row>
    <row r="99" spans="1:15" ht="25.5" x14ac:dyDescent="0.2">
      <c r="A99" s="50"/>
      <c r="B99" s="26" t="s">
        <v>576</v>
      </c>
      <c r="C99" s="53">
        <v>13.288500000000001</v>
      </c>
      <c r="D99" s="53">
        <v>13.345499999999999</v>
      </c>
      <c r="E99" s="50"/>
      <c r="F99" s="54"/>
      <c r="G99" s="55"/>
    </row>
    <row r="100" spans="1:15" ht="25.5" x14ac:dyDescent="0.2">
      <c r="A100" s="50"/>
      <c r="B100" s="26" t="s">
        <v>577</v>
      </c>
      <c r="C100" s="53">
        <v>13.185</v>
      </c>
      <c r="D100" s="53">
        <v>13.2416</v>
      </c>
      <c r="E100" s="50"/>
      <c r="F100" s="54"/>
      <c r="G100" s="55"/>
    </row>
    <row r="101" spans="1:15" x14ac:dyDescent="0.2">
      <c r="A101" s="50"/>
      <c r="B101" s="50"/>
      <c r="C101" s="50"/>
      <c r="D101" s="50"/>
      <c r="E101" s="50"/>
      <c r="F101" s="50"/>
      <c r="G101" s="50"/>
      <c r="J101"/>
    </row>
    <row r="102" spans="1:15" ht="15" x14ac:dyDescent="0.25">
      <c r="A102" s="50"/>
      <c r="B102" s="111" t="s">
        <v>578</v>
      </c>
      <c r="C102" s="112"/>
      <c r="D102" s="16" t="s">
        <v>102</v>
      </c>
      <c r="E102" s="50"/>
      <c r="F102" s="50"/>
      <c r="G102" s="50"/>
      <c r="I102" s="84"/>
      <c r="J102"/>
    </row>
    <row r="103" spans="1:15" x14ac:dyDescent="0.2">
      <c r="A103" s="50"/>
      <c r="B103" s="56"/>
      <c r="C103" s="56"/>
      <c r="D103" s="56"/>
      <c r="E103" s="50"/>
      <c r="F103" s="50"/>
      <c r="G103" s="50"/>
      <c r="J103"/>
    </row>
    <row r="104" spans="1:15" s="58" customFormat="1" ht="15" x14ac:dyDescent="0.25">
      <c r="A104" s="64"/>
      <c r="B104" s="105" t="s">
        <v>531</v>
      </c>
      <c r="C104" s="106"/>
      <c r="D104" s="32" t="s">
        <v>102</v>
      </c>
      <c r="E104" s="64"/>
      <c r="F104" s="42"/>
      <c r="G104" s="64"/>
      <c r="I104"/>
      <c r="J104"/>
      <c r="K104" s="84"/>
      <c r="L104" s="84"/>
      <c r="M104" s="84"/>
      <c r="N104" s="84"/>
      <c r="O104"/>
    </row>
    <row r="105" spans="1:15" ht="24.75" customHeight="1" x14ac:dyDescent="0.25">
      <c r="A105" s="47"/>
      <c r="B105" s="105" t="s">
        <v>532</v>
      </c>
      <c r="C105" s="106"/>
      <c r="D105" s="32" t="s">
        <v>102</v>
      </c>
      <c r="E105" s="57"/>
      <c r="F105" s="47"/>
      <c r="G105" s="47"/>
      <c r="I105" s="84"/>
      <c r="J105"/>
    </row>
    <row r="106" spans="1:15" x14ac:dyDescent="0.2">
      <c r="A106" s="47"/>
      <c r="B106" s="105" t="s">
        <v>533</v>
      </c>
      <c r="C106" s="106"/>
      <c r="D106" s="32" t="s">
        <v>102</v>
      </c>
      <c r="E106" s="57"/>
      <c r="F106" s="47"/>
      <c r="G106" s="47"/>
      <c r="J106"/>
    </row>
    <row r="107" spans="1:15" x14ac:dyDescent="0.2">
      <c r="A107" s="47"/>
      <c r="B107" s="105" t="s">
        <v>534</v>
      </c>
      <c r="C107" s="106"/>
      <c r="D107" s="32" t="s">
        <v>102</v>
      </c>
      <c r="E107" s="57"/>
      <c r="F107" s="47"/>
      <c r="G107" s="47"/>
      <c r="J107"/>
    </row>
    <row r="108" spans="1:15" ht="15" x14ac:dyDescent="0.25">
      <c r="A108" s="56"/>
      <c r="B108" s="56"/>
      <c r="C108" s="56"/>
      <c r="D108" s="56"/>
      <c r="E108" s="56"/>
      <c r="F108" s="56"/>
      <c r="G108" s="56"/>
      <c r="I108" s="84"/>
      <c r="J108"/>
    </row>
    <row r="109" spans="1:15" s="58" customFormat="1" ht="15" x14ac:dyDescent="0.25">
      <c r="B109" s="124" t="s">
        <v>565</v>
      </c>
      <c r="C109" s="125"/>
      <c r="D109" s="125"/>
      <c r="E109" s="125"/>
      <c r="F109" s="125"/>
      <c r="G109" s="126"/>
      <c r="I109" s="85"/>
      <c r="J109" s="11"/>
      <c r="K109" s="84"/>
      <c r="L109" s="84"/>
      <c r="M109" s="84"/>
      <c r="N109" s="84"/>
      <c r="O109"/>
    </row>
    <row r="110" spans="1:15" s="58" customFormat="1" ht="45" customHeight="1" x14ac:dyDescent="0.25">
      <c r="B110" s="86" t="s">
        <v>547</v>
      </c>
      <c r="C110" s="86" t="s">
        <v>548</v>
      </c>
      <c r="D110" s="127" t="s">
        <v>539</v>
      </c>
      <c r="E110" s="128"/>
      <c r="F110" s="129" t="s">
        <v>540</v>
      </c>
      <c r="G110" s="129"/>
      <c r="H110" s="87"/>
      <c r="I110" s="88"/>
      <c r="J110" s="11"/>
      <c r="K110" s="84"/>
      <c r="L110" s="84"/>
      <c r="M110" s="84"/>
      <c r="N110" s="84"/>
      <c r="O110"/>
    </row>
    <row r="111" spans="1:15" s="58" customFormat="1" ht="25.5" x14ac:dyDescent="0.25">
      <c r="B111" s="89" t="s">
        <v>549</v>
      </c>
      <c r="C111" s="90" t="s">
        <v>550</v>
      </c>
      <c r="D111" s="130">
        <v>0</v>
      </c>
      <c r="E111" s="131"/>
      <c r="F111" s="130">
        <v>0</v>
      </c>
      <c r="G111" s="131"/>
      <c r="H111" s="91"/>
      <c r="I111" s="92"/>
      <c r="J111" s="11"/>
      <c r="K111" s="84"/>
      <c r="L111" s="84"/>
      <c r="M111" s="84"/>
      <c r="N111" s="84"/>
      <c r="O111"/>
    </row>
    <row r="112" spans="1:15" s="58" customFormat="1" ht="15" x14ac:dyDescent="0.25">
      <c r="B112" s="132" t="s">
        <v>551</v>
      </c>
      <c r="C112" s="133"/>
      <c r="D112" s="133"/>
      <c r="E112" s="133"/>
      <c r="F112" s="133"/>
      <c r="G112" s="134"/>
      <c r="H112" s="91"/>
      <c r="I112"/>
      <c r="J112" s="11"/>
      <c r="K112" s="92"/>
      <c r="L112" s="92"/>
      <c r="M112" s="92"/>
      <c r="N112" s="84"/>
      <c r="O112"/>
    </row>
    <row r="113" spans="2:17" s="58" customFormat="1" ht="15" x14ac:dyDescent="0.25">
      <c r="B113" s="129" t="s">
        <v>547</v>
      </c>
      <c r="C113" s="129" t="s">
        <v>548</v>
      </c>
      <c r="D113" s="132" t="s">
        <v>552</v>
      </c>
      <c r="E113" s="133"/>
      <c r="F113" s="134"/>
      <c r="G113" s="89"/>
      <c r="H113" s="91"/>
      <c r="I113"/>
      <c r="J113" s="11"/>
      <c r="K113" s="92"/>
      <c r="L113" s="92"/>
      <c r="M113" s="92"/>
      <c r="N113" s="84"/>
      <c r="O113"/>
    </row>
    <row r="114" spans="2:17" s="58" customFormat="1" ht="76.5" x14ac:dyDescent="0.25">
      <c r="B114" s="129"/>
      <c r="C114" s="129"/>
      <c r="D114" s="93" t="s">
        <v>553</v>
      </c>
      <c r="E114" s="93" t="s">
        <v>554</v>
      </c>
      <c r="F114" s="93" t="s">
        <v>555</v>
      </c>
      <c r="G114" s="93" t="s">
        <v>567</v>
      </c>
      <c r="H114" s="94"/>
      <c r="I114"/>
      <c r="J114" s="11"/>
      <c r="K114" s="92"/>
      <c r="L114" s="92"/>
      <c r="M114" s="92"/>
      <c r="N114" s="84"/>
      <c r="O114"/>
    </row>
    <row r="115" spans="2:17" s="58" customFormat="1" ht="25.5" x14ac:dyDescent="0.2">
      <c r="B115" s="95" t="s">
        <v>549</v>
      </c>
      <c r="C115" s="90" t="s">
        <v>550</v>
      </c>
      <c r="D115" s="96">
        <v>200</v>
      </c>
      <c r="E115" s="96">
        <v>6.8852450999999997</v>
      </c>
      <c r="F115" s="96">
        <v>206.88524509999999</v>
      </c>
      <c r="G115" s="97">
        <f>F115/F80</f>
        <v>4.7886765811124908E-2</v>
      </c>
      <c r="H115" s="98"/>
      <c r="I115"/>
      <c r="J115" s="11"/>
      <c r="K115"/>
      <c r="L115"/>
      <c r="M115"/>
      <c r="N115"/>
      <c r="O115"/>
    </row>
    <row r="116" spans="2:17" s="58" customFormat="1" ht="33.75" customHeight="1" x14ac:dyDescent="0.2">
      <c r="B116" s="135" t="s">
        <v>556</v>
      </c>
      <c r="C116" s="136"/>
      <c r="D116" s="136"/>
      <c r="E116" s="136"/>
      <c r="F116" s="136"/>
      <c r="G116" s="137"/>
      <c r="H116" s="99"/>
      <c r="I116"/>
      <c r="J116" s="11"/>
      <c r="K116"/>
      <c r="L116"/>
      <c r="M116"/>
      <c r="N116"/>
      <c r="O116"/>
    </row>
    <row r="117" spans="2:17" s="58" customFormat="1" x14ac:dyDescent="0.2">
      <c r="H117" s="99"/>
      <c r="I117"/>
      <c r="J117" s="11"/>
      <c r="K117"/>
      <c r="L117"/>
      <c r="M117"/>
      <c r="N117"/>
      <c r="O117"/>
    </row>
    <row r="118" spans="2:17" s="58" customFormat="1" x14ac:dyDescent="0.2">
      <c r="B118" s="118" t="s">
        <v>523</v>
      </c>
      <c r="C118" s="119"/>
      <c r="D118" s="120"/>
      <c r="I118"/>
      <c r="J118" s="11"/>
      <c r="K118"/>
      <c r="L118"/>
      <c r="M118"/>
      <c r="N118"/>
      <c r="O118"/>
    </row>
    <row r="119" spans="2:17" s="58" customFormat="1" ht="51" x14ac:dyDescent="0.2">
      <c r="B119" s="121" t="s">
        <v>524</v>
      </c>
      <c r="C119" s="121"/>
      <c r="D119" s="59" t="s">
        <v>443</v>
      </c>
      <c r="I119"/>
      <c r="J119" s="11"/>
      <c r="K119"/>
      <c r="L119"/>
      <c r="M119"/>
      <c r="N119"/>
      <c r="O119"/>
    </row>
    <row r="120" spans="2:17" s="58" customFormat="1" x14ac:dyDescent="0.2">
      <c r="B120" s="114" t="s">
        <v>525</v>
      </c>
      <c r="C120" s="114"/>
      <c r="D120" s="60"/>
      <c r="I120"/>
      <c r="J120" s="11"/>
      <c r="K120"/>
      <c r="L120"/>
      <c r="M120"/>
      <c r="N120"/>
      <c r="O120"/>
    </row>
    <row r="121" spans="2:17" s="58" customFormat="1" x14ac:dyDescent="0.2">
      <c r="B121" s="114"/>
      <c r="C121" s="114"/>
      <c r="D121" s="61"/>
      <c r="I121"/>
      <c r="J121" s="11"/>
      <c r="K121"/>
      <c r="L121"/>
      <c r="M121"/>
      <c r="N121"/>
      <c r="O121"/>
    </row>
    <row r="122" spans="2:17" s="58" customFormat="1" x14ac:dyDescent="0.2">
      <c r="B122" s="114" t="s">
        <v>526</v>
      </c>
      <c r="C122" s="114"/>
      <c r="D122" s="62">
        <v>6.9606428400275515</v>
      </c>
      <c r="I122"/>
      <c r="J122" s="11"/>
      <c r="K122"/>
      <c r="L122"/>
      <c r="M122"/>
      <c r="N122"/>
      <c r="O122"/>
    </row>
    <row r="123" spans="2:17" s="58" customFormat="1" x14ac:dyDescent="0.2">
      <c r="B123" s="114"/>
      <c r="C123" s="114"/>
      <c r="D123" s="61"/>
      <c r="I123"/>
      <c r="J123" s="11"/>
      <c r="K123"/>
      <c r="L123"/>
      <c r="M123"/>
      <c r="N123"/>
      <c r="O123"/>
    </row>
    <row r="124" spans="2:17" s="58" customFormat="1" x14ac:dyDescent="0.2">
      <c r="B124" s="114" t="s">
        <v>527</v>
      </c>
      <c r="C124" s="114"/>
      <c r="D124" s="62">
        <v>3.6241114050622945</v>
      </c>
      <c r="I124"/>
      <c r="J124" s="11"/>
      <c r="K124"/>
      <c r="L124"/>
      <c r="M124"/>
      <c r="N124"/>
      <c r="O124"/>
    </row>
    <row r="125" spans="2:17" s="58" customFormat="1" x14ac:dyDescent="0.2">
      <c r="B125" s="114" t="s">
        <v>528</v>
      </c>
      <c r="C125" s="114"/>
      <c r="D125" s="62">
        <v>4.6144098032378578</v>
      </c>
      <c r="I125"/>
      <c r="J125" s="11"/>
      <c r="K125"/>
      <c r="L125"/>
      <c r="M125"/>
      <c r="N125"/>
      <c r="O125"/>
    </row>
    <row r="126" spans="2:17" s="58" customFormat="1" x14ac:dyDescent="0.2">
      <c r="B126" s="114"/>
      <c r="C126" s="114"/>
      <c r="D126" s="61"/>
      <c r="I126"/>
      <c r="J126" s="11"/>
      <c r="K126"/>
      <c r="L126"/>
      <c r="M126"/>
      <c r="N126"/>
      <c r="O126"/>
    </row>
    <row r="127" spans="2:17" s="58" customFormat="1" ht="25.5" x14ac:dyDescent="0.2">
      <c r="B127" s="114" t="s">
        <v>529</v>
      </c>
      <c r="C127" s="114"/>
      <c r="D127" s="63" t="s">
        <v>564</v>
      </c>
      <c r="I127"/>
      <c r="J127" s="11"/>
      <c r="K127"/>
      <c r="L127"/>
      <c r="M127"/>
      <c r="N127"/>
      <c r="O127"/>
    </row>
    <row r="128" spans="2:17" s="58" customFormat="1" x14ac:dyDescent="0.2">
      <c r="B128" s="115" t="s">
        <v>530</v>
      </c>
      <c r="C128" s="117"/>
      <c r="D128" s="116"/>
      <c r="I128"/>
      <c r="J128" s="11"/>
      <c r="K128"/>
      <c r="L128"/>
      <c r="M128"/>
      <c r="N128"/>
      <c r="O128"/>
      <c r="P128"/>
      <c r="Q128"/>
    </row>
  </sheetData>
  <mergeCells count="36">
    <mergeCell ref="B128:D128"/>
    <mergeCell ref="B123:C123"/>
    <mergeCell ref="B124:C124"/>
    <mergeCell ref="B125:C125"/>
    <mergeCell ref="B126:C126"/>
    <mergeCell ref="B127:C127"/>
    <mergeCell ref="B118:D118"/>
    <mergeCell ref="B119:C119"/>
    <mergeCell ref="B120:C120"/>
    <mergeCell ref="B121:C121"/>
    <mergeCell ref="B122:C122"/>
    <mergeCell ref="B112:G112"/>
    <mergeCell ref="B113:B114"/>
    <mergeCell ref="C113:C114"/>
    <mergeCell ref="D113:F113"/>
    <mergeCell ref="B116:G116"/>
    <mergeCell ref="B88:C88"/>
    <mergeCell ref="B89:C89"/>
    <mergeCell ref="B102:C102"/>
    <mergeCell ref="B106:C106"/>
    <mergeCell ref="B104:C104"/>
    <mergeCell ref="B105:C105"/>
    <mergeCell ref="A1:H1"/>
    <mergeCell ref="A2:H2"/>
    <mergeCell ref="A3:H3"/>
    <mergeCell ref="B86:D86"/>
    <mergeCell ref="B87:C87"/>
    <mergeCell ref="B82:H82"/>
    <mergeCell ref="B83:H83"/>
    <mergeCell ref="B84:H84"/>
    <mergeCell ref="B107:C107"/>
    <mergeCell ref="B109:G109"/>
    <mergeCell ref="D110:E110"/>
    <mergeCell ref="F110:G110"/>
    <mergeCell ref="D111:E111"/>
    <mergeCell ref="F111:G111"/>
  </mergeCells>
  <hyperlinks>
    <hyperlink ref="I1" location="Index!B9" display="Index" xr:uid="{66214C73-438D-4027-A60E-A3E15A6B7D3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68132-361E-4368-B049-A2D869D483DD}">
  <sheetPr>
    <outlinePr summaryBelow="0" summaryRight="0"/>
  </sheetPr>
  <dimension ref="A1:R131"/>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5.42578125" bestFit="1" customWidth="1"/>
    <col min="9" max="9" width="6" bestFit="1" customWidth="1"/>
    <col min="10" max="10" width="50.7109375" style="11" customWidth="1"/>
  </cols>
  <sheetData>
    <row r="1" spans="1:11" ht="15" x14ac:dyDescent="0.2">
      <c r="A1" s="107" t="s">
        <v>0</v>
      </c>
      <c r="B1" s="107"/>
      <c r="C1" s="107"/>
      <c r="D1" s="107"/>
      <c r="E1" s="107"/>
      <c r="F1" s="107"/>
      <c r="G1" s="107"/>
      <c r="H1" s="107"/>
      <c r="I1" s="1" t="s">
        <v>587</v>
      </c>
      <c r="K1" s="1"/>
    </row>
    <row r="2" spans="1:11" ht="15" x14ac:dyDescent="0.2">
      <c r="A2" s="107" t="s">
        <v>447</v>
      </c>
      <c r="B2" s="107"/>
      <c r="C2" s="107"/>
      <c r="D2" s="107"/>
      <c r="E2" s="107"/>
      <c r="F2" s="107"/>
      <c r="G2" s="107"/>
      <c r="H2" s="107"/>
      <c r="J2" s="12" t="s">
        <v>588</v>
      </c>
    </row>
    <row r="3" spans="1:11" ht="15" x14ac:dyDescent="0.2">
      <c r="A3" s="107" t="s">
        <v>501</v>
      </c>
      <c r="B3" s="107"/>
      <c r="C3" s="107"/>
      <c r="D3" s="107"/>
      <c r="E3" s="107"/>
      <c r="F3" s="107"/>
      <c r="G3" s="107"/>
      <c r="H3" s="107"/>
    </row>
    <row r="4" spans="1:11" s="11" customFormat="1" ht="30" x14ac:dyDescent="0.2">
      <c r="A4" s="13" t="s">
        <v>2</v>
      </c>
      <c r="B4" s="13" t="s">
        <v>3</v>
      </c>
      <c r="C4" s="13" t="s">
        <v>4</v>
      </c>
      <c r="D4" s="13" t="s">
        <v>5</v>
      </c>
      <c r="E4" s="13" t="s">
        <v>6</v>
      </c>
      <c r="F4" s="13" t="s">
        <v>7</v>
      </c>
      <c r="G4" s="13" t="s">
        <v>8</v>
      </c>
      <c r="H4" s="14" t="s">
        <v>502</v>
      </c>
    </row>
    <row r="5" spans="1:11" x14ac:dyDescent="0.2">
      <c r="A5" s="15"/>
      <c r="B5" s="15"/>
      <c r="C5" s="16" t="s">
        <v>9</v>
      </c>
      <c r="D5" s="15"/>
      <c r="E5" s="15"/>
      <c r="F5" s="15"/>
      <c r="G5" s="15"/>
      <c r="H5" s="17" t="str">
        <f>IFERROR(VLOOKUP(B5,'[1]Debt Holding Consolidated'!$C$1:$N$65536,12,FALSE),"")</f>
        <v/>
      </c>
    </row>
    <row r="6" spans="1:11" x14ac:dyDescent="0.2">
      <c r="A6" s="15"/>
      <c r="B6" s="15"/>
      <c r="C6" s="16" t="s">
        <v>10</v>
      </c>
      <c r="D6" s="15"/>
      <c r="E6" s="15"/>
      <c r="F6" s="15"/>
      <c r="G6" s="15"/>
      <c r="H6" s="17" t="str">
        <f>IFERROR(VLOOKUP(B6,'[1]Debt Holding Consolidated'!$C$1:$N$65536,12,FALSE),"")</f>
        <v/>
      </c>
    </row>
    <row r="7" spans="1:11" x14ac:dyDescent="0.2">
      <c r="A7" s="25">
        <v>1</v>
      </c>
      <c r="B7" s="26" t="s">
        <v>448</v>
      </c>
      <c r="C7" s="26" t="s">
        <v>449</v>
      </c>
      <c r="D7" s="26" t="s">
        <v>450</v>
      </c>
      <c r="E7" s="27">
        <v>4400</v>
      </c>
      <c r="F7" s="28">
        <v>70.743200000000002</v>
      </c>
      <c r="G7" s="29">
        <v>2.6467190000000002E-2</v>
      </c>
      <c r="H7" s="17" t="str">
        <f>IFERROR(VLOOKUP(B7,'[1]Debt Holding Consolidated'!$C$1:$N$65536,12,FALSE),"")</f>
        <v/>
      </c>
    </row>
    <row r="8" spans="1:11" x14ac:dyDescent="0.2">
      <c r="A8" s="25">
        <v>2</v>
      </c>
      <c r="B8" s="26" t="s">
        <v>451</v>
      </c>
      <c r="C8" s="26" t="s">
        <v>452</v>
      </c>
      <c r="D8" s="26" t="s">
        <v>453</v>
      </c>
      <c r="E8" s="27">
        <v>2400</v>
      </c>
      <c r="F8" s="28">
        <v>70.168800000000005</v>
      </c>
      <c r="G8" s="29">
        <v>2.6252290000000001E-2</v>
      </c>
      <c r="H8" s="17" t="str">
        <f>IFERROR(VLOOKUP(B8,'[1]Debt Holding Consolidated'!$C$1:$N$65536,12,FALSE),"")</f>
        <v/>
      </c>
    </row>
    <row r="9" spans="1:11" x14ac:dyDescent="0.2">
      <c r="A9" s="25">
        <v>3</v>
      </c>
      <c r="B9" s="26" t="s">
        <v>454</v>
      </c>
      <c r="C9" s="26" t="s">
        <v>455</v>
      </c>
      <c r="D9" s="26" t="s">
        <v>456</v>
      </c>
      <c r="E9" s="27">
        <v>1750</v>
      </c>
      <c r="F9" s="28">
        <v>62.040999999999997</v>
      </c>
      <c r="G9" s="29">
        <v>2.3211430000000002E-2</v>
      </c>
      <c r="H9" s="17" t="str">
        <f>IFERROR(VLOOKUP(B9,'[1]Debt Holding Consolidated'!$C$1:$N$65536,12,FALSE),"")</f>
        <v/>
      </c>
    </row>
    <row r="10" spans="1:11" x14ac:dyDescent="0.2">
      <c r="A10" s="25">
        <v>4</v>
      </c>
      <c r="B10" s="26" t="s">
        <v>457</v>
      </c>
      <c r="C10" s="26" t="s">
        <v>458</v>
      </c>
      <c r="D10" s="26" t="s">
        <v>450</v>
      </c>
      <c r="E10" s="27">
        <v>5000</v>
      </c>
      <c r="F10" s="28">
        <v>58.082500000000003</v>
      </c>
      <c r="G10" s="29">
        <v>2.1730429999999998E-2</v>
      </c>
      <c r="H10" s="17" t="str">
        <f>IFERROR(VLOOKUP(B10,'[1]Debt Holding Consolidated'!$C$1:$N$65536,12,FALSE),"")</f>
        <v/>
      </c>
    </row>
    <row r="11" spans="1:11" x14ac:dyDescent="0.2">
      <c r="A11" s="25">
        <v>5</v>
      </c>
      <c r="B11" s="26" t="s">
        <v>459</v>
      </c>
      <c r="C11" s="26" t="s">
        <v>460</v>
      </c>
      <c r="D11" s="26" t="s">
        <v>461</v>
      </c>
      <c r="E11" s="27">
        <v>3000</v>
      </c>
      <c r="F11" s="28">
        <v>44.151000000000003</v>
      </c>
      <c r="G11" s="29">
        <v>1.6518229999999998E-2</v>
      </c>
      <c r="H11" s="17" t="str">
        <f>IFERROR(VLOOKUP(B11,'[1]Debt Holding Consolidated'!$C$1:$N$65536,12,FALSE),"")</f>
        <v/>
      </c>
    </row>
    <row r="12" spans="1:11" ht="15" x14ac:dyDescent="0.2">
      <c r="A12" s="25">
        <v>6</v>
      </c>
      <c r="B12" s="26" t="s">
        <v>462</v>
      </c>
      <c r="C12" s="26" t="s">
        <v>463</v>
      </c>
      <c r="D12" s="26" t="s">
        <v>464</v>
      </c>
      <c r="E12" s="27">
        <v>1750</v>
      </c>
      <c r="F12" s="28">
        <v>31.906874999999999</v>
      </c>
      <c r="G12" s="29">
        <v>1.1937329999999999E-2</v>
      </c>
      <c r="H12" s="17" t="str">
        <f>IFERROR(VLOOKUP(B12,'[1]Debt Holding Consolidated'!$C$1:$N$65536,12,FALSE),"")</f>
        <v/>
      </c>
      <c r="J12" s="22"/>
    </row>
    <row r="13" spans="1:11" x14ac:dyDescent="0.2">
      <c r="A13" s="25">
        <v>7</v>
      </c>
      <c r="B13" s="26" t="s">
        <v>465</v>
      </c>
      <c r="C13" s="26" t="s">
        <v>466</v>
      </c>
      <c r="D13" s="26" t="s">
        <v>464</v>
      </c>
      <c r="E13" s="27">
        <v>1848</v>
      </c>
      <c r="F13" s="28">
        <v>30.051252000000002</v>
      </c>
      <c r="G13" s="29">
        <v>1.1243090000000001E-2</v>
      </c>
      <c r="H13" s="17" t="str">
        <f>IFERROR(VLOOKUP(B13,'[1]Debt Holding Consolidated'!$C$1:$N$65536,12,FALSE),"")</f>
        <v/>
      </c>
      <c r="J13" s="23"/>
    </row>
    <row r="14" spans="1:11" x14ac:dyDescent="0.2">
      <c r="A14" s="25">
        <v>8</v>
      </c>
      <c r="B14" s="26" t="s">
        <v>467</v>
      </c>
      <c r="C14" s="26" t="s">
        <v>468</v>
      </c>
      <c r="D14" s="26" t="s">
        <v>469</v>
      </c>
      <c r="E14" s="27">
        <v>2000</v>
      </c>
      <c r="F14" s="28">
        <v>29.242000000000001</v>
      </c>
      <c r="G14" s="29">
        <v>1.094032E-2</v>
      </c>
      <c r="H14" s="17" t="str">
        <f>IFERROR(VLOOKUP(B14,'[1]Debt Holding Consolidated'!$C$1:$N$65536,12,FALSE),"")</f>
        <v/>
      </c>
      <c r="J14" s="23"/>
    </row>
    <row r="15" spans="1:11" ht="29.1" customHeight="1" x14ac:dyDescent="0.2">
      <c r="A15" s="100">
        <v>9</v>
      </c>
      <c r="B15" s="101" t="s">
        <v>559</v>
      </c>
      <c r="C15" s="101" t="s">
        <v>560</v>
      </c>
      <c r="D15" s="101" t="s">
        <v>561</v>
      </c>
      <c r="E15" s="102">
        <v>30000</v>
      </c>
      <c r="F15" s="34">
        <f>2803200/10^5</f>
        <v>28.032</v>
      </c>
      <c r="G15" s="103">
        <v>1.0487625085817756E-2</v>
      </c>
      <c r="H15" s="17"/>
    </row>
    <row r="16" spans="1:11" ht="25.5" x14ac:dyDescent="0.2">
      <c r="A16" s="25">
        <v>10</v>
      </c>
      <c r="B16" s="26" t="s">
        <v>470</v>
      </c>
      <c r="C16" s="26" t="s">
        <v>471</v>
      </c>
      <c r="D16" s="26" t="s">
        <v>450</v>
      </c>
      <c r="E16" s="27">
        <v>3000</v>
      </c>
      <c r="F16" s="28">
        <v>24.09</v>
      </c>
      <c r="G16" s="29">
        <v>9.0127999999999996E-3</v>
      </c>
      <c r="H16" s="17" t="str">
        <f>IFERROR(VLOOKUP(B16,'[1]Debt Holding Consolidated'!$C$1:$N$65536,12,FALSE),"")</f>
        <v/>
      </c>
      <c r="J16" s="11" t="s">
        <v>605</v>
      </c>
    </row>
    <row r="17" spans="1:10" x14ac:dyDescent="0.2">
      <c r="A17" s="25">
        <v>11</v>
      </c>
      <c r="B17" s="26" t="s">
        <v>472</v>
      </c>
      <c r="C17" s="26" t="s">
        <v>473</v>
      </c>
      <c r="D17" s="26" t="s">
        <v>450</v>
      </c>
      <c r="E17" s="27">
        <v>2000</v>
      </c>
      <c r="F17" s="28">
        <v>23.062000000000001</v>
      </c>
      <c r="G17" s="29">
        <v>8.6282000000000008E-3</v>
      </c>
      <c r="H17" s="17" t="str">
        <f>IFERROR(VLOOKUP(B17,'[1]Debt Holding Consolidated'!$C$1:$N$65536,12,FALSE),"")</f>
        <v/>
      </c>
    </row>
    <row r="18" spans="1:10" ht="25.5" x14ac:dyDescent="0.2">
      <c r="A18" s="25">
        <v>12</v>
      </c>
      <c r="B18" s="26" t="s">
        <v>474</v>
      </c>
      <c r="C18" s="26" t="s">
        <v>475</v>
      </c>
      <c r="D18" s="26" t="s">
        <v>476</v>
      </c>
      <c r="E18" s="27">
        <v>1000</v>
      </c>
      <c r="F18" s="28">
        <v>17.416499999999999</v>
      </c>
      <c r="G18" s="29">
        <v>6.5160399999999999E-3</v>
      </c>
      <c r="H18" s="17" t="str">
        <f>IFERROR(VLOOKUP(B18,'[1]Debt Holding Consolidated'!$C$1:$N$65536,12,FALSE),"")</f>
        <v/>
      </c>
    </row>
    <row r="19" spans="1:10" ht="25.5" x14ac:dyDescent="0.2">
      <c r="A19" s="25">
        <v>13</v>
      </c>
      <c r="B19" s="26" t="s">
        <v>477</v>
      </c>
      <c r="C19" s="26" t="s">
        <v>478</v>
      </c>
      <c r="D19" s="26" t="s">
        <v>476</v>
      </c>
      <c r="E19" s="27">
        <v>250</v>
      </c>
      <c r="F19" s="28">
        <v>14.2065</v>
      </c>
      <c r="G19" s="29">
        <v>5.3150799999999998E-3</v>
      </c>
      <c r="H19" s="17" t="str">
        <f>IFERROR(VLOOKUP(B19,'[1]Debt Holding Consolidated'!$C$1:$N$65536,12,FALSE),"")</f>
        <v/>
      </c>
    </row>
    <row r="20" spans="1:10" ht="25.5" x14ac:dyDescent="0.2">
      <c r="A20" s="25">
        <v>14</v>
      </c>
      <c r="B20" s="26" t="s">
        <v>479</v>
      </c>
      <c r="C20" s="26" t="s">
        <v>480</v>
      </c>
      <c r="D20" s="26" t="s">
        <v>481</v>
      </c>
      <c r="E20" s="27">
        <v>125</v>
      </c>
      <c r="F20" s="28">
        <v>13.75325</v>
      </c>
      <c r="G20" s="29">
        <v>5.1455099999999998E-3</v>
      </c>
      <c r="H20" s="17" t="str">
        <f>IFERROR(VLOOKUP(B20,'[1]Debt Holding Consolidated'!$C$1:$N$65536,12,FALSE),"")</f>
        <v/>
      </c>
    </row>
    <row r="21" spans="1:10" x14ac:dyDescent="0.2">
      <c r="A21" s="25">
        <v>15</v>
      </c>
      <c r="B21" s="26" t="s">
        <v>482</v>
      </c>
      <c r="C21" s="26" t="s">
        <v>483</v>
      </c>
      <c r="D21" s="26" t="s">
        <v>453</v>
      </c>
      <c r="E21" s="27">
        <v>4000</v>
      </c>
      <c r="F21" s="28">
        <v>13.002000000000001</v>
      </c>
      <c r="G21" s="29">
        <v>4.8644400000000003E-3</v>
      </c>
      <c r="H21" s="17" t="str">
        <f>IFERROR(VLOOKUP(B21,'[1]Debt Holding Consolidated'!$C$1:$N$65536,12,FALSE),"")</f>
        <v/>
      </c>
    </row>
    <row r="22" spans="1:10" ht="15" x14ac:dyDescent="0.2">
      <c r="A22" s="25">
        <v>16</v>
      </c>
      <c r="B22" s="26" t="s">
        <v>484</v>
      </c>
      <c r="C22" s="26" t="s">
        <v>485</v>
      </c>
      <c r="D22" s="26" t="s">
        <v>469</v>
      </c>
      <c r="E22" s="27">
        <v>900</v>
      </c>
      <c r="F22" s="28">
        <v>12.64095</v>
      </c>
      <c r="G22" s="29">
        <v>4.7293600000000002E-3</v>
      </c>
      <c r="H22" s="17" t="str">
        <f>IFERROR(VLOOKUP(B22,'[1]Debt Holding Consolidated'!$C$1:$N$65536,12,FALSE),"")</f>
        <v/>
      </c>
      <c r="J22" s="22"/>
    </row>
    <row r="23" spans="1:10" ht="25.5" x14ac:dyDescent="0.2">
      <c r="A23" s="25">
        <v>17</v>
      </c>
      <c r="B23" s="26" t="s">
        <v>486</v>
      </c>
      <c r="C23" s="26" t="s">
        <v>487</v>
      </c>
      <c r="D23" s="26" t="s">
        <v>481</v>
      </c>
      <c r="E23" s="27">
        <v>450</v>
      </c>
      <c r="F23" s="28">
        <v>11.3058</v>
      </c>
      <c r="G23" s="29">
        <v>4.2298400000000003E-3</v>
      </c>
      <c r="H23" s="17" t="str">
        <f>IFERROR(VLOOKUP(B23,'[1]Debt Holding Consolidated'!$C$1:$N$65536,12,FALSE),"")</f>
        <v/>
      </c>
      <c r="J23" s="23"/>
    </row>
    <row r="24" spans="1:10" x14ac:dyDescent="0.2">
      <c r="A24" s="25">
        <v>18</v>
      </c>
      <c r="B24" s="26" t="s">
        <v>488</v>
      </c>
      <c r="C24" s="26" t="s">
        <v>489</v>
      </c>
      <c r="D24" s="26" t="s">
        <v>490</v>
      </c>
      <c r="E24" s="27">
        <v>2000</v>
      </c>
      <c r="F24" s="28">
        <v>9.7279999999999998</v>
      </c>
      <c r="G24" s="29">
        <v>3.6395400000000001E-3</v>
      </c>
      <c r="H24" s="17" t="str">
        <f>IFERROR(VLOOKUP(B24,'[1]Debt Holding Consolidated'!$C$1:$N$65536,12,FALSE),"")</f>
        <v/>
      </c>
    </row>
    <row r="25" spans="1:10" x14ac:dyDescent="0.2">
      <c r="A25" s="25">
        <v>19</v>
      </c>
      <c r="B25" s="26" t="s">
        <v>491</v>
      </c>
      <c r="C25" s="26" t="s">
        <v>460</v>
      </c>
      <c r="D25" s="26" t="s">
        <v>461</v>
      </c>
      <c r="E25" s="27">
        <v>218</v>
      </c>
      <c r="F25" s="28">
        <v>2.3468789999999999</v>
      </c>
      <c r="G25" s="29">
        <v>8.7803999999999996E-4</v>
      </c>
      <c r="H25" s="17" t="str">
        <f>IFERROR(VLOOKUP(B25,'[1]Debt Holding Consolidated'!$C$1:$N$65536,12,FALSE),"")</f>
        <v/>
      </c>
    </row>
    <row r="26" spans="1:10" x14ac:dyDescent="0.2">
      <c r="A26" s="15"/>
      <c r="B26" s="15"/>
      <c r="C26" s="16" t="s">
        <v>11</v>
      </c>
      <c r="D26" s="15"/>
      <c r="E26" s="15" t="s">
        <v>12</v>
      </c>
      <c r="F26" s="24">
        <f>SUM(F7:F25)</f>
        <v>565.97050599999977</v>
      </c>
      <c r="G26" s="19">
        <f>SUM(G7:G25)</f>
        <v>0.21174678508581776</v>
      </c>
      <c r="H26" s="17" t="str">
        <f>IFERROR(VLOOKUP(B26,'[1]Debt Holding Consolidated'!$C$1:$N$65536,12,FALSE),"")</f>
        <v/>
      </c>
    </row>
    <row r="27" spans="1:10" x14ac:dyDescent="0.2">
      <c r="A27" s="15"/>
      <c r="B27" s="15"/>
      <c r="C27" s="20"/>
      <c r="D27" s="15"/>
      <c r="E27" s="15"/>
      <c r="F27" s="21"/>
      <c r="G27" s="21"/>
      <c r="H27" s="17" t="str">
        <f>IFERROR(VLOOKUP(B27,'[1]Debt Holding Consolidated'!$C$1:$N$65536,12,FALSE),"")</f>
        <v/>
      </c>
    </row>
    <row r="28" spans="1:10" x14ac:dyDescent="0.2">
      <c r="A28" s="15"/>
      <c r="B28" s="15"/>
      <c r="C28" s="16" t="s">
        <v>14</v>
      </c>
      <c r="D28" s="15"/>
      <c r="E28" s="15"/>
      <c r="F28" s="15"/>
      <c r="G28" s="15"/>
      <c r="H28" s="17" t="str">
        <f>IFERROR(VLOOKUP(B28,'[1]Debt Holding Consolidated'!$C$1:$N$65536,12,FALSE),"")</f>
        <v/>
      </c>
      <c r="J28" s="23"/>
    </row>
    <row r="29" spans="1:10" x14ac:dyDescent="0.2">
      <c r="A29" s="15"/>
      <c r="B29" s="15"/>
      <c r="C29" s="16" t="s">
        <v>11</v>
      </c>
      <c r="D29" s="15"/>
      <c r="E29" s="15" t="s">
        <v>12</v>
      </c>
      <c r="F29" s="18" t="s">
        <v>13</v>
      </c>
      <c r="G29" s="19">
        <v>0</v>
      </c>
      <c r="H29" s="17" t="str">
        <f>IFERROR(VLOOKUP(B29,'[1]Debt Holding Consolidated'!$C$1:$N$65536,12,FALSE),"")</f>
        <v/>
      </c>
    </row>
    <row r="30" spans="1:10" x14ac:dyDescent="0.2">
      <c r="A30" s="15"/>
      <c r="B30" s="15"/>
      <c r="C30" s="20"/>
      <c r="D30" s="15"/>
      <c r="E30" s="15"/>
      <c r="F30" s="21"/>
      <c r="G30" s="21"/>
      <c r="H30" s="17" t="str">
        <f>IFERROR(VLOOKUP(B30,'[1]Debt Holding Consolidated'!$C$1:$N$65536,12,FALSE),"")</f>
        <v/>
      </c>
    </row>
    <row r="31" spans="1:10" x14ac:dyDescent="0.2">
      <c r="A31" s="15"/>
      <c r="B31" s="15"/>
      <c r="C31" s="16" t="s">
        <v>15</v>
      </c>
      <c r="D31" s="15"/>
      <c r="E31" s="15"/>
      <c r="F31" s="15"/>
      <c r="G31" s="15"/>
      <c r="H31" s="17" t="str">
        <f>IFERROR(VLOOKUP(B31,'[1]Debt Holding Consolidated'!$C$1:$N$65536,12,FALSE),"")</f>
        <v/>
      </c>
    </row>
    <row r="32" spans="1:10" x14ac:dyDescent="0.2">
      <c r="A32" s="15"/>
      <c r="B32" s="15"/>
      <c r="C32" s="16" t="s">
        <v>11</v>
      </c>
      <c r="D32" s="15"/>
      <c r="E32" s="15" t="s">
        <v>12</v>
      </c>
      <c r="F32" s="18" t="s">
        <v>13</v>
      </c>
      <c r="G32" s="19">
        <v>0</v>
      </c>
      <c r="H32" s="17" t="str">
        <f>IFERROR(VLOOKUP(B32,'[1]Debt Holding Consolidated'!$C$1:$N$65536,12,FALSE),"")</f>
        <v/>
      </c>
    </row>
    <row r="33" spans="1:8" x14ac:dyDescent="0.2">
      <c r="A33" s="15"/>
      <c r="B33" s="15"/>
      <c r="C33" s="20"/>
      <c r="D33" s="15"/>
      <c r="E33" s="15"/>
      <c r="F33" s="21"/>
      <c r="G33" s="21"/>
      <c r="H33" s="17" t="str">
        <f>IFERROR(VLOOKUP(B33,'[1]Debt Holding Consolidated'!$C$1:$N$65536,12,FALSE),"")</f>
        <v/>
      </c>
    </row>
    <row r="34" spans="1:8" x14ac:dyDescent="0.2">
      <c r="A34" s="15"/>
      <c r="B34" s="15"/>
      <c r="C34" s="16" t="s">
        <v>16</v>
      </c>
      <c r="D34" s="15"/>
      <c r="E34" s="15"/>
      <c r="F34" s="15"/>
      <c r="G34" s="15"/>
      <c r="H34" s="17" t="str">
        <f>IFERROR(VLOOKUP(B34,'[1]Debt Holding Consolidated'!$C$1:$N$65536,12,FALSE),"")</f>
        <v/>
      </c>
    </row>
    <row r="35" spans="1:8" x14ac:dyDescent="0.2">
      <c r="A35" s="15"/>
      <c r="B35" s="15"/>
      <c r="C35" s="16" t="s">
        <v>11</v>
      </c>
      <c r="D35" s="15"/>
      <c r="E35" s="15" t="s">
        <v>12</v>
      </c>
      <c r="F35" s="18" t="s">
        <v>13</v>
      </c>
      <c r="G35" s="19">
        <v>0</v>
      </c>
      <c r="H35" s="17" t="str">
        <f>IFERROR(VLOOKUP(B35,'[1]Debt Holding Consolidated'!$C$1:$N$65536,12,FALSE),"")</f>
        <v/>
      </c>
    </row>
    <row r="36" spans="1:8" x14ac:dyDescent="0.2">
      <c r="A36" s="15"/>
      <c r="B36" s="15"/>
      <c r="C36" s="20"/>
      <c r="D36" s="15"/>
      <c r="E36" s="15"/>
      <c r="F36" s="21"/>
      <c r="G36" s="21"/>
      <c r="H36" s="17" t="str">
        <f>IFERROR(VLOOKUP(B36,'[1]Debt Holding Consolidated'!$C$1:$N$65536,12,FALSE),"")</f>
        <v/>
      </c>
    </row>
    <row r="37" spans="1:8" x14ac:dyDescent="0.2">
      <c r="A37" s="15"/>
      <c r="B37" s="15"/>
      <c r="C37" s="16" t="s">
        <v>17</v>
      </c>
      <c r="D37" s="15"/>
      <c r="E37" s="15"/>
      <c r="F37" s="21"/>
      <c r="G37" s="21"/>
      <c r="H37" s="17" t="str">
        <f>IFERROR(VLOOKUP(B37,'[1]Debt Holding Consolidated'!$C$1:$N$65536,12,FALSE),"")</f>
        <v/>
      </c>
    </row>
    <row r="38" spans="1:8" x14ac:dyDescent="0.2">
      <c r="A38" s="15"/>
      <c r="B38" s="15"/>
      <c r="C38" s="16" t="s">
        <v>11</v>
      </c>
      <c r="D38" s="15"/>
      <c r="E38" s="15" t="s">
        <v>12</v>
      </c>
      <c r="F38" s="18" t="s">
        <v>13</v>
      </c>
      <c r="G38" s="19">
        <v>0</v>
      </c>
      <c r="H38" s="17" t="str">
        <f>IFERROR(VLOOKUP(B38,'[1]Debt Holding Consolidated'!$C$1:$N$65536,12,FALSE),"")</f>
        <v/>
      </c>
    </row>
    <row r="39" spans="1:8" x14ac:dyDescent="0.2">
      <c r="A39" s="15"/>
      <c r="B39" s="15"/>
      <c r="C39" s="20"/>
      <c r="D39" s="15"/>
      <c r="E39" s="15"/>
      <c r="F39" s="21"/>
      <c r="G39" s="21"/>
      <c r="H39" s="17" t="str">
        <f>IFERROR(VLOOKUP(B39,'[1]Debt Holding Consolidated'!$C$1:$N$65536,12,FALSE),"")</f>
        <v/>
      </c>
    </row>
    <row r="40" spans="1:8" x14ac:dyDescent="0.2">
      <c r="A40" s="15"/>
      <c r="B40" s="15"/>
      <c r="C40" s="16" t="s">
        <v>18</v>
      </c>
      <c r="D40" s="15"/>
      <c r="E40" s="15"/>
      <c r="F40" s="21"/>
      <c r="G40" s="21"/>
      <c r="H40" s="17" t="str">
        <f>IFERROR(VLOOKUP(B40,'[1]Debt Holding Consolidated'!$C$1:$N$65536,12,FALSE),"")</f>
        <v/>
      </c>
    </row>
    <row r="41" spans="1:8" x14ac:dyDescent="0.2">
      <c r="A41" s="15"/>
      <c r="B41" s="15"/>
      <c r="C41" s="16" t="s">
        <v>11</v>
      </c>
      <c r="D41" s="15"/>
      <c r="E41" s="15" t="s">
        <v>12</v>
      </c>
      <c r="F41" s="18" t="s">
        <v>13</v>
      </c>
      <c r="G41" s="19">
        <v>0</v>
      </c>
      <c r="H41" s="17" t="str">
        <f>IFERROR(VLOOKUP(B41,'[1]Debt Holding Consolidated'!$C$1:$N$65536,12,FALSE),"")</f>
        <v/>
      </c>
    </row>
    <row r="42" spans="1:8" x14ac:dyDescent="0.2">
      <c r="A42" s="15"/>
      <c r="B42" s="15"/>
      <c r="C42" s="20"/>
      <c r="D42" s="15"/>
      <c r="E42" s="15"/>
      <c r="F42" s="21"/>
      <c r="G42" s="21"/>
      <c r="H42" s="17" t="str">
        <f>IFERROR(VLOOKUP(B42,'[1]Debt Holding Consolidated'!$C$1:$N$65536,12,FALSE),"")</f>
        <v/>
      </c>
    </row>
    <row r="43" spans="1:8" x14ac:dyDescent="0.2">
      <c r="A43" s="15"/>
      <c r="B43" s="15"/>
      <c r="C43" s="16" t="s">
        <v>19</v>
      </c>
      <c r="D43" s="15"/>
      <c r="E43" s="15"/>
      <c r="F43" s="24">
        <f>F26</f>
        <v>565.97050599999977</v>
      </c>
      <c r="G43" s="19">
        <f>G26</f>
        <v>0.21174678508581776</v>
      </c>
      <c r="H43" s="17" t="str">
        <f>IFERROR(VLOOKUP(B43,'[1]Debt Holding Consolidated'!$C$1:$N$65536,12,FALSE),"")</f>
        <v/>
      </c>
    </row>
    <row r="44" spans="1:8" x14ac:dyDescent="0.2">
      <c r="A44" s="15"/>
      <c r="B44" s="15"/>
      <c r="C44" s="20"/>
      <c r="D44" s="15"/>
      <c r="E44" s="15"/>
      <c r="F44" s="21"/>
      <c r="G44" s="21"/>
      <c r="H44" s="17" t="str">
        <f>IFERROR(VLOOKUP(B44,'[1]Debt Holding Consolidated'!$C$1:$N$65536,12,FALSE),"")</f>
        <v/>
      </c>
    </row>
    <row r="45" spans="1:8" x14ac:dyDescent="0.2">
      <c r="A45" s="15"/>
      <c r="B45" s="15"/>
      <c r="C45" s="16" t="s">
        <v>20</v>
      </c>
      <c r="D45" s="15"/>
      <c r="E45" s="15"/>
      <c r="F45" s="21"/>
      <c r="G45" s="21"/>
      <c r="H45" s="17" t="str">
        <f>IFERROR(VLOOKUP(B45,'[1]Debt Holding Consolidated'!$C$1:$N$65536,12,FALSE),"")</f>
        <v/>
      </c>
    </row>
    <row r="46" spans="1:8" x14ac:dyDescent="0.2">
      <c r="A46" s="15"/>
      <c r="B46" s="15"/>
      <c r="C46" s="16" t="s">
        <v>10</v>
      </c>
      <c r="D46" s="15"/>
      <c r="E46" s="15"/>
      <c r="F46" s="21"/>
      <c r="G46" s="21"/>
      <c r="H46" s="17" t="str">
        <f>IFERROR(VLOOKUP(B46,'[1]Debt Holding Consolidated'!$C$1:$N$65536,12,FALSE),"")</f>
        <v/>
      </c>
    </row>
    <row r="47" spans="1:8" x14ac:dyDescent="0.2">
      <c r="A47" s="15"/>
      <c r="B47" s="15"/>
      <c r="C47" s="16" t="s">
        <v>11</v>
      </c>
      <c r="D47" s="15"/>
      <c r="E47" s="15" t="s">
        <v>12</v>
      </c>
      <c r="F47" s="18" t="s">
        <v>13</v>
      </c>
      <c r="G47" s="19">
        <v>0</v>
      </c>
      <c r="H47" s="17" t="str">
        <f>IFERROR(VLOOKUP(B47,'[1]Debt Holding Consolidated'!$C$1:$N$65536,12,FALSE),"")</f>
        <v/>
      </c>
    </row>
    <row r="48" spans="1:8" x14ac:dyDescent="0.2">
      <c r="A48" s="15"/>
      <c r="B48" s="15"/>
      <c r="C48" s="20"/>
      <c r="D48" s="15"/>
      <c r="E48" s="15"/>
      <c r="F48" s="21"/>
      <c r="G48" s="21"/>
      <c r="H48" s="17" t="str">
        <f>IFERROR(VLOOKUP(B48,'[1]Debt Holding Consolidated'!$C$1:$N$65536,12,FALSE),"")</f>
        <v/>
      </c>
    </row>
    <row r="49" spans="1:8" x14ac:dyDescent="0.2">
      <c r="A49" s="15"/>
      <c r="B49" s="15"/>
      <c r="C49" s="16" t="s">
        <v>67</v>
      </c>
      <c r="D49" s="15"/>
      <c r="E49" s="15"/>
      <c r="F49" s="15"/>
      <c r="G49" s="15"/>
      <c r="H49" s="17" t="str">
        <f>IFERROR(VLOOKUP(B49,'[1]Debt Holding Consolidated'!$C$1:$N$65536,12,FALSE),"")</f>
        <v/>
      </c>
    </row>
    <row r="50" spans="1:8" x14ac:dyDescent="0.2">
      <c r="A50" s="15"/>
      <c r="B50" s="15"/>
      <c r="C50" s="16" t="s">
        <v>11</v>
      </c>
      <c r="D50" s="15"/>
      <c r="E50" s="15" t="s">
        <v>12</v>
      </c>
      <c r="F50" s="18" t="s">
        <v>13</v>
      </c>
      <c r="G50" s="19">
        <v>0</v>
      </c>
      <c r="H50" s="17" t="str">
        <f>IFERROR(VLOOKUP(B50,'[1]Debt Holding Consolidated'!$C$1:$N$65536,12,FALSE),"")</f>
        <v/>
      </c>
    </row>
    <row r="51" spans="1:8" x14ac:dyDescent="0.2">
      <c r="A51" s="15"/>
      <c r="B51" s="15"/>
      <c r="C51" s="20"/>
      <c r="D51" s="15"/>
      <c r="E51" s="15"/>
      <c r="F51" s="21"/>
      <c r="G51" s="21"/>
      <c r="H51" s="17" t="str">
        <f>IFERROR(VLOOKUP(B51,'[1]Debt Holding Consolidated'!$C$1:$N$65536,12,FALSE),"")</f>
        <v/>
      </c>
    </row>
    <row r="52" spans="1:8" x14ac:dyDescent="0.2">
      <c r="A52" s="15"/>
      <c r="B52" s="15"/>
      <c r="C52" s="16" t="s">
        <v>68</v>
      </c>
      <c r="D52" s="15"/>
      <c r="E52" s="15"/>
      <c r="F52" s="15"/>
      <c r="G52" s="15"/>
      <c r="H52" s="17" t="str">
        <f>IFERROR(VLOOKUP(B52,'[1]Debt Holding Consolidated'!$C$1:$N$65536,12,FALSE),"")</f>
        <v/>
      </c>
    </row>
    <row r="53" spans="1:8" x14ac:dyDescent="0.2">
      <c r="A53" s="25">
        <v>1</v>
      </c>
      <c r="B53" s="26" t="s">
        <v>69</v>
      </c>
      <c r="C53" s="26" t="s">
        <v>70</v>
      </c>
      <c r="D53" s="26" t="s">
        <v>71</v>
      </c>
      <c r="E53" s="27">
        <v>1100000</v>
      </c>
      <c r="F53" s="28">
        <v>1120.6569</v>
      </c>
      <c r="G53" s="29">
        <v>0.41927187999999999</v>
      </c>
      <c r="H53" s="17">
        <f>IFERROR(VLOOKUP(B53,'[1]Debt Holding Consolidated'!$C$1:$N$65536,12,FALSE),"")</f>
        <v>7.0152000000000001</v>
      </c>
    </row>
    <row r="54" spans="1:8" x14ac:dyDescent="0.2">
      <c r="A54" s="25">
        <v>2</v>
      </c>
      <c r="B54" s="26" t="s">
        <v>74</v>
      </c>
      <c r="C54" s="26" t="s">
        <v>75</v>
      </c>
      <c r="D54" s="26" t="s">
        <v>71</v>
      </c>
      <c r="E54" s="27">
        <v>500000</v>
      </c>
      <c r="F54" s="28">
        <v>517.37</v>
      </c>
      <c r="G54" s="29">
        <v>0.19356387999999999</v>
      </c>
      <c r="H54" s="17">
        <f>IFERROR(VLOOKUP(B54,'[1]Debt Holding Consolidated'!$C$1:$N$65536,12,FALSE),"")</f>
        <v>7.1395999999999997</v>
      </c>
    </row>
    <row r="55" spans="1:8" x14ac:dyDescent="0.2">
      <c r="A55" s="15"/>
      <c r="B55" s="15"/>
      <c r="C55" s="16" t="s">
        <v>11</v>
      </c>
      <c r="D55" s="15"/>
      <c r="E55" s="15" t="s">
        <v>12</v>
      </c>
      <c r="F55" s="24">
        <v>1638.0269000000001</v>
      </c>
      <c r="G55" s="19">
        <v>0.61283575999999995</v>
      </c>
      <c r="H55" s="17" t="str">
        <f>IFERROR(VLOOKUP(B55,'[1]Debt Holding Consolidated'!$C$1:$N$65536,12,FALSE),"")</f>
        <v/>
      </c>
    </row>
    <row r="56" spans="1:8" x14ac:dyDescent="0.2">
      <c r="A56" s="15"/>
      <c r="B56" s="15"/>
      <c r="C56" s="20"/>
      <c r="D56" s="15"/>
      <c r="E56" s="15"/>
      <c r="F56" s="21"/>
      <c r="G56" s="21"/>
      <c r="H56" s="17" t="str">
        <f>IFERROR(VLOOKUP(B56,'[1]Debt Holding Consolidated'!$C$1:$N$65536,12,FALSE),"")</f>
        <v/>
      </c>
    </row>
    <row r="57" spans="1:8" x14ac:dyDescent="0.2">
      <c r="A57" s="15"/>
      <c r="B57" s="15"/>
      <c r="C57" s="16" t="s">
        <v>82</v>
      </c>
      <c r="D57" s="15"/>
      <c r="E57" s="15"/>
      <c r="F57" s="21"/>
      <c r="G57" s="21"/>
      <c r="H57" s="17" t="str">
        <f>IFERROR(VLOOKUP(B57,'[1]Debt Holding Consolidated'!$C$1:$N$65536,12,FALSE),"")</f>
        <v/>
      </c>
    </row>
    <row r="58" spans="1:8" x14ac:dyDescent="0.2">
      <c r="A58" s="15"/>
      <c r="B58" s="15"/>
      <c r="C58" s="16" t="s">
        <v>11</v>
      </c>
      <c r="D58" s="15"/>
      <c r="E58" s="15" t="s">
        <v>12</v>
      </c>
      <c r="F58" s="18" t="s">
        <v>13</v>
      </c>
      <c r="G58" s="19">
        <v>0</v>
      </c>
      <c r="H58" s="17" t="str">
        <f>IFERROR(VLOOKUP(B58,'[1]Debt Holding Consolidated'!$C$1:$N$65536,12,FALSE),"")</f>
        <v/>
      </c>
    </row>
    <row r="59" spans="1:8" x14ac:dyDescent="0.2">
      <c r="A59" s="15"/>
      <c r="B59" s="15"/>
      <c r="C59" s="20"/>
      <c r="D59" s="15"/>
      <c r="E59" s="15"/>
      <c r="F59" s="21"/>
      <c r="G59" s="21"/>
      <c r="H59" s="17" t="str">
        <f>IFERROR(VLOOKUP(B59,'[1]Debt Holding Consolidated'!$C$1:$N$65536,12,FALSE),"")</f>
        <v/>
      </c>
    </row>
    <row r="60" spans="1:8" x14ac:dyDescent="0.2">
      <c r="A60" s="15"/>
      <c r="B60" s="15"/>
      <c r="C60" s="16" t="s">
        <v>83</v>
      </c>
      <c r="D60" s="15"/>
      <c r="E60" s="15"/>
      <c r="F60" s="24">
        <v>1638.0269000000001</v>
      </c>
      <c r="G60" s="19">
        <v>0.61283575999999995</v>
      </c>
      <c r="H60" s="17" t="str">
        <f>IFERROR(VLOOKUP(B60,'[1]Debt Holding Consolidated'!$C$1:$N$65536,12,FALSE),"")</f>
        <v/>
      </c>
    </row>
    <row r="61" spans="1:8" x14ac:dyDescent="0.2">
      <c r="A61" s="15"/>
      <c r="B61" s="15"/>
      <c r="C61" s="20"/>
      <c r="D61" s="15"/>
      <c r="E61" s="15"/>
      <c r="F61" s="21"/>
      <c r="G61" s="21"/>
      <c r="H61" s="17" t="str">
        <f>IFERROR(VLOOKUP(B61,'[1]Debt Holding Consolidated'!$C$1:$N$65536,12,FALSE),"")</f>
        <v/>
      </c>
    </row>
    <row r="62" spans="1:8" x14ac:dyDescent="0.2">
      <c r="A62" s="15"/>
      <c r="B62" s="15"/>
      <c r="C62" s="16" t="s">
        <v>84</v>
      </c>
      <c r="D62" s="15"/>
      <c r="E62" s="15"/>
      <c r="F62" s="21"/>
      <c r="G62" s="21"/>
      <c r="H62" s="17" t="str">
        <f>IFERROR(VLOOKUP(B62,'[1]Debt Holding Consolidated'!$C$1:$N$65536,12,FALSE),"")</f>
        <v/>
      </c>
    </row>
    <row r="63" spans="1:8" x14ac:dyDescent="0.2">
      <c r="A63" s="15"/>
      <c r="B63" s="15"/>
      <c r="C63" s="16" t="s">
        <v>85</v>
      </c>
      <c r="D63" s="15"/>
      <c r="E63" s="15"/>
      <c r="F63" s="21"/>
      <c r="G63" s="21"/>
      <c r="H63" s="17" t="str">
        <f>IFERROR(VLOOKUP(B63,'[1]Debt Holding Consolidated'!$C$1:$N$65536,12,FALSE),"")</f>
        <v/>
      </c>
    </row>
    <row r="64" spans="1:8" x14ac:dyDescent="0.2">
      <c r="A64" s="15"/>
      <c r="B64" s="15"/>
      <c r="C64" s="16" t="s">
        <v>11</v>
      </c>
      <c r="D64" s="15"/>
      <c r="E64" s="15" t="s">
        <v>12</v>
      </c>
      <c r="F64" s="18" t="s">
        <v>13</v>
      </c>
      <c r="G64" s="19">
        <v>0</v>
      </c>
      <c r="H64" s="17" t="str">
        <f>IFERROR(VLOOKUP(B64,'[1]Debt Holding Consolidated'!$C$1:$N$65536,12,FALSE),"")</f>
        <v/>
      </c>
    </row>
    <row r="65" spans="1:8" x14ac:dyDescent="0.2">
      <c r="A65" s="15"/>
      <c r="B65" s="15"/>
      <c r="C65" s="20"/>
      <c r="D65" s="15"/>
      <c r="E65" s="15"/>
      <c r="F65" s="21"/>
      <c r="G65" s="21"/>
      <c r="H65" s="17" t="str">
        <f>IFERROR(VLOOKUP(B65,'[1]Debt Holding Consolidated'!$C$1:$N$65536,12,FALSE),"")</f>
        <v/>
      </c>
    </row>
    <row r="66" spans="1:8" x14ac:dyDescent="0.2">
      <c r="A66" s="15"/>
      <c r="B66" s="15"/>
      <c r="C66" s="16" t="s">
        <v>86</v>
      </c>
      <c r="D66" s="15"/>
      <c r="E66" s="15"/>
      <c r="F66" s="21"/>
      <c r="G66" s="21"/>
      <c r="H66" s="17" t="str">
        <f>IFERROR(VLOOKUP(B66,'[1]Debt Holding Consolidated'!$C$1:$N$65536,12,FALSE),"")</f>
        <v/>
      </c>
    </row>
    <row r="67" spans="1:8" x14ac:dyDescent="0.2">
      <c r="A67" s="15"/>
      <c r="B67" s="15"/>
      <c r="C67" s="16" t="s">
        <v>11</v>
      </c>
      <c r="D67" s="15"/>
      <c r="E67" s="15" t="s">
        <v>12</v>
      </c>
      <c r="F67" s="18" t="s">
        <v>13</v>
      </c>
      <c r="G67" s="19">
        <v>0</v>
      </c>
      <c r="H67" s="17" t="str">
        <f>IFERROR(VLOOKUP(B67,'[1]Debt Holding Consolidated'!$C$1:$N$65536,12,FALSE),"")</f>
        <v/>
      </c>
    </row>
    <row r="68" spans="1:8" x14ac:dyDescent="0.2">
      <c r="A68" s="15"/>
      <c r="B68" s="15"/>
      <c r="C68" s="20"/>
      <c r="D68" s="15"/>
      <c r="E68" s="15"/>
      <c r="F68" s="21"/>
      <c r="G68" s="21"/>
      <c r="H68" s="17" t="str">
        <f>IFERROR(VLOOKUP(B68,'[1]Debt Holding Consolidated'!$C$1:$N$65536,12,FALSE),"")</f>
        <v/>
      </c>
    </row>
    <row r="69" spans="1:8" x14ac:dyDescent="0.2">
      <c r="A69" s="15"/>
      <c r="B69" s="15"/>
      <c r="C69" s="16" t="s">
        <v>87</v>
      </c>
      <c r="D69" s="15"/>
      <c r="E69" s="15"/>
      <c r="F69" s="21"/>
      <c r="G69" s="21"/>
      <c r="H69" s="17" t="str">
        <f>IFERROR(VLOOKUP(B69,'[1]Debt Holding Consolidated'!$C$1:$N$65536,12,FALSE),"")</f>
        <v/>
      </c>
    </row>
    <row r="70" spans="1:8" x14ac:dyDescent="0.2">
      <c r="A70" s="15"/>
      <c r="B70" s="15"/>
      <c r="C70" s="16" t="s">
        <v>11</v>
      </c>
      <c r="D70" s="15"/>
      <c r="E70" s="15" t="s">
        <v>12</v>
      </c>
      <c r="F70" s="18" t="s">
        <v>13</v>
      </c>
      <c r="G70" s="19">
        <v>0</v>
      </c>
      <c r="H70" s="17" t="str">
        <f>IFERROR(VLOOKUP(B70,'[1]Debt Holding Consolidated'!$C$1:$N$65536,12,FALSE),"")</f>
        <v/>
      </c>
    </row>
    <row r="71" spans="1:8" x14ac:dyDescent="0.2">
      <c r="A71" s="15"/>
      <c r="B71" s="15"/>
      <c r="C71" s="20"/>
      <c r="D71" s="15"/>
      <c r="E71" s="15"/>
      <c r="F71" s="21"/>
      <c r="G71" s="21"/>
      <c r="H71" s="17" t="str">
        <f>IFERROR(VLOOKUP(B71,'[1]Debt Holding Consolidated'!$C$1:$N$65536,12,FALSE),"")</f>
        <v/>
      </c>
    </row>
    <row r="72" spans="1:8" x14ac:dyDescent="0.2">
      <c r="A72" s="15"/>
      <c r="B72" s="15"/>
      <c r="C72" s="16" t="s">
        <v>88</v>
      </c>
      <c r="D72" s="15"/>
      <c r="E72" s="15"/>
      <c r="F72" s="21"/>
      <c r="G72" s="21"/>
      <c r="H72" s="17" t="str">
        <f>IFERROR(VLOOKUP(B72,'[1]Debt Holding Consolidated'!$C$1:$N$65536,12,FALSE),"")</f>
        <v/>
      </c>
    </row>
    <row r="73" spans="1:8" x14ac:dyDescent="0.2">
      <c r="A73" s="25">
        <v>1</v>
      </c>
      <c r="B73" s="26"/>
      <c r="C73" s="26" t="s">
        <v>89</v>
      </c>
      <c r="D73" s="26"/>
      <c r="E73" s="30"/>
      <c r="F73" s="28">
        <v>448.012647001</v>
      </c>
      <c r="G73" s="29">
        <v>0.16761518</v>
      </c>
      <c r="H73" s="17">
        <v>6.3551211905931497</v>
      </c>
    </row>
    <row r="74" spans="1:8" x14ac:dyDescent="0.2">
      <c r="A74" s="15"/>
      <c r="B74" s="15"/>
      <c r="C74" s="16" t="s">
        <v>11</v>
      </c>
      <c r="D74" s="15"/>
      <c r="E74" s="15" t="s">
        <v>12</v>
      </c>
      <c r="F74" s="24">
        <v>448.012647001</v>
      </c>
      <c r="G74" s="19">
        <v>0.16761518</v>
      </c>
      <c r="H74" s="17" t="str">
        <f>IFERROR(VLOOKUP(B74,'[1]Debt Holding Consolidated'!$C$1:$N$65536,12,FALSE),"")</f>
        <v/>
      </c>
    </row>
    <row r="75" spans="1:8" x14ac:dyDescent="0.2">
      <c r="A75" s="15"/>
      <c r="B75" s="15"/>
      <c r="C75" s="20"/>
      <c r="D75" s="15"/>
      <c r="E75" s="15"/>
      <c r="F75" s="21"/>
      <c r="G75" s="21"/>
      <c r="H75" s="17" t="str">
        <f>IFERROR(VLOOKUP(B75,'[1]Debt Holding Consolidated'!$C$1:$N$65536,12,FALSE),"")</f>
        <v/>
      </c>
    </row>
    <row r="76" spans="1:8" x14ac:dyDescent="0.2">
      <c r="A76" s="15"/>
      <c r="B76" s="15"/>
      <c r="C76" s="16" t="s">
        <v>90</v>
      </c>
      <c r="D76" s="15"/>
      <c r="E76" s="15"/>
      <c r="F76" s="24">
        <v>448.012647001</v>
      </c>
      <c r="G76" s="19">
        <v>0.16761518</v>
      </c>
      <c r="H76" s="17" t="str">
        <f>IFERROR(VLOOKUP(B76,'[1]Debt Holding Consolidated'!$C$1:$N$65536,12,FALSE),"")</f>
        <v/>
      </c>
    </row>
    <row r="77" spans="1:8" x14ac:dyDescent="0.2">
      <c r="A77" s="15"/>
      <c r="B77" s="15"/>
      <c r="C77" s="21"/>
      <c r="D77" s="15"/>
      <c r="E77" s="15"/>
      <c r="F77" s="15"/>
      <c r="G77" s="15"/>
      <c r="H77" s="17" t="str">
        <f>IFERROR(VLOOKUP(B77,'[1]Debt Holding Consolidated'!$C$1:$N$65536,12,FALSE),"")</f>
        <v/>
      </c>
    </row>
    <row r="78" spans="1:8" x14ac:dyDescent="0.2">
      <c r="A78" s="15"/>
      <c r="B78" s="15"/>
      <c r="C78" s="16" t="s">
        <v>91</v>
      </c>
      <c r="D78" s="15"/>
      <c r="E78" s="15"/>
      <c r="F78" s="15"/>
      <c r="G78" s="15"/>
      <c r="H78" s="17" t="str">
        <f>IFERROR(VLOOKUP(B78,'[1]Debt Holding Consolidated'!$C$1:$N$65536,12,FALSE),"")</f>
        <v/>
      </c>
    </row>
    <row r="79" spans="1:8" x14ac:dyDescent="0.2">
      <c r="A79" s="15"/>
      <c r="B79" s="15"/>
      <c r="C79" s="16" t="s">
        <v>92</v>
      </c>
      <c r="D79" s="15"/>
      <c r="E79" s="15"/>
      <c r="F79" s="15"/>
      <c r="G79" s="15"/>
      <c r="H79" s="17" t="str">
        <f>IFERROR(VLOOKUP(B79,'[1]Debt Holding Consolidated'!$C$1:$N$65536,12,FALSE),"")</f>
        <v/>
      </c>
    </row>
    <row r="80" spans="1:8" x14ac:dyDescent="0.2">
      <c r="A80" s="15"/>
      <c r="B80" s="15"/>
      <c r="C80" s="16" t="s">
        <v>11</v>
      </c>
      <c r="D80" s="15"/>
      <c r="E80" s="15" t="s">
        <v>12</v>
      </c>
      <c r="F80" s="18" t="s">
        <v>13</v>
      </c>
      <c r="G80" s="19">
        <v>0</v>
      </c>
      <c r="H80" s="17" t="str">
        <f>IFERROR(VLOOKUP(B80,'[1]Debt Holding Consolidated'!$C$1:$N$65536,12,FALSE),"")</f>
        <v/>
      </c>
    </row>
    <row r="81" spans="1:18" x14ac:dyDescent="0.2">
      <c r="A81" s="15"/>
      <c r="B81" s="15"/>
      <c r="C81" s="20"/>
      <c r="D81" s="15"/>
      <c r="E81" s="15"/>
      <c r="F81" s="21"/>
      <c r="G81" s="21"/>
      <c r="H81" s="17" t="str">
        <f>IFERROR(VLOOKUP(B81,'[1]Debt Holding Consolidated'!$C$1:$N$65536,12,FALSE),"")</f>
        <v/>
      </c>
    </row>
    <row r="82" spans="1:18" x14ac:dyDescent="0.2">
      <c r="A82" s="31"/>
      <c r="B82" s="31"/>
      <c r="C82" s="32" t="s">
        <v>517</v>
      </c>
      <c r="D82" s="31"/>
      <c r="E82" s="31"/>
      <c r="F82" s="33"/>
      <c r="G82" s="33"/>
      <c r="H82" s="34"/>
      <c r="L82" s="35"/>
      <c r="M82" s="35"/>
      <c r="N82" s="35"/>
      <c r="O82" s="35"/>
      <c r="P82" s="36"/>
      <c r="Q82" s="36"/>
      <c r="R82" s="36"/>
    </row>
    <row r="83" spans="1:18" ht="25.5" x14ac:dyDescent="0.2">
      <c r="A83" s="25">
        <v>1</v>
      </c>
      <c r="B83" s="26" t="s">
        <v>93</v>
      </c>
      <c r="C83" s="26" t="s">
        <v>94</v>
      </c>
      <c r="D83" s="26"/>
      <c r="E83" s="37">
        <v>76.796000000000006</v>
      </c>
      <c r="F83" s="28">
        <v>7.9494540020000004</v>
      </c>
      <c r="G83" s="29">
        <v>2.9741300000000002E-3</v>
      </c>
      <c r="H83" s="17"/>
    </row>
    <row r="84" spans="1:18" x14ac:dyDescent="0.2">
      <c r="A84" s="15"/>
      <c r="B84" s="15"/>
      <c r="C84" s="16" t="s">
        <v>11</v>
      </c>
      <c r="D84" s="15"/>
      <c r="E84" s="15" t="s">
        <v>12</v>
      </c>
      <c r="F84" s="24">
        <v>7.9494540020000004</v>
      </c>
      <c r="G84" s="19">
        <v>2.9741300000000002E-3</v>
      </c>
      <c r="H84" s="17" t="s">
        <v>12</v>
      </c>
      <c r="J84"/>
    </row>
    <row r="85" spans="1:18" x14ac:dyDescent="0.2">
      <c r="A85" s="15"/>
      <c r="B85" s="15"/>
      <c r="C85" s="20"/>
      <c r="D85" s="15"/>
      <c r="E85" s="15"/>
      <c r="F85" s="21"/>
      <c r="G85" s="21"/>
      <c r="H85" s="17" t="str">
        <f>IFERROR(VLOOKUP(B85,'[1]Debt Holding Consolidated'!$C$1:$N$65536,12,FALSE),"")</f>
        <v/>
      </c>
      <c r="J85"/>
    </row>
    <row r="86" spans="1:18" x14ac:dyDescent="0.2">
      <c r="A86" s="15"/>
      <c r="B86" s="15"/>
      <c r="C86" s="16" t="s">
        <v>95</v>
      </c>
      <c r="D86" s="15"/>
      <c r="E86" s="15"/>
      <c r="F86" s="15"/>
      <c r="G86" s="15"/>
      <c r="H86" s="17" t="str">
        <f>IFERROR(VLOOKUP(B86,'[1]Debt Holding Consolidated'!$C$1:$N$65536,12,FALSE),"")</f>
        <v/>
      </c>
      <c r="J86"/>
    </row>
    <row r="87" spans="1:18" x14ac:dyDescent="0.2">
      <c r="A87" s="15"/>
      <c r="B87" s="15"/>
      <c r="C87" s="16" t="s">
        <v>96</v>
      </c>
      <c r="D87" s="15"/>
      <c r="E87" s="15"/>
      <c r="F87" s="15"/>
      <c r="G87" s="15"/>
      <c r="H87" s="17" t="str">
        <f>IFERROR(VLOOKUP(B87,'[1]Debt Holding Consolidated'!$C$1:$N$65536,12,FALSE),"")</f>
        <v/>
      </c>
      <c r="J87"/>
    </row>
    <row r="88" spans="1:18" x14ac:dyDescent="0.2">
      <c r="A88" s="15"/>
      <c r="B88" s="15"/>
      <c r="C88" s="16" t="s">
        <v>11</v>
      </c>
      <c r="D88" s="15"/>
      <c r="E88" s="15" t="s">
        <v>12</v>
      </c>
      <c r="F88" s="18" t="s">
        <v>13</v>
      </c>
      <c r="G88" s="19">
        <v>0</v>
      </c>
      <c r="H88" s="17" t="str">
        <f>IFERROR(VLOOKUP(B88,'[1]Debt Holding Consolidated'!$C$1:$N$65536,12,FALSE),"")</f>
        <v/>
      </c>
      <c r="J88"/>
    </row>
    <row r="89" spans="1:18" x14ac:dyDescent="0.2">
      <c r="A89" s="15"/>
      <c r="B89" s="15"/>
      <c r="C89" s="20"/>
      <c r="D89" s="15"/>
      <c r="E89" s="15"/>
      <c r="F89" s="21"/>
      <c r="G89" s="21"/>
      <c r="H89" s="17" t="str">
        <f>IFERROR(VLOOKUP(B89,'[1]Debt Holding Consolidated'!$C$1:$N$65536,12,FALSE),"")</f>
        <v/>
      </c>
      <c r="J89"/>
    </row>
    <row r="90" spans="1:18" x14ac:dyDescent="0.2">
      <c r="A90" s="15"/>
      <c r="B90" s="15"/>
      <c r="C90" s="16" t="s">
        <v>97</v>
      </c>
      <c r="D90" s="15"/>
      <c r="E90" s="15"/>
      <c r="F90" s="21"/>
      <c r="G90" s="21"/>
      <c r="H90" s="17" t="str">
        <f>IFERROR(VLOOKUP(B90,'[1]Debt Holding Consolidated'!$C$1:$N$65536,12,FALSE),"")</f>
        <v/>
      </c>
      <c r="J90"/>
    </row>
    <row r="91" spans="1:18" x14ac:dyDescent="0.2">
      <c r="A91" s="15"/>
      <c r="B91" s="15"/>
      <c r="C91" s="16" t="s">
        <v>11</v>
      </c>
      <c r="D91" s="15"/>
      <c r="E91" s="15" t="s">
        <v>12</v>
      </c>
      <c r="F91" s="18" t="s">
        <v>13</v>
      </c>
      <c r="G91" s="19">
        <v>0</v>
      </c>
      <c r="H91" s="17" t="str">
        <f>IFERROR(VLOOKUP(B91,'[1]Debt Holding Consolidated'!$C$1:$N$65536,12,FALSE),"")</f>
        <v/>
      </c>
      <c r="J91"/>
    </row>
    <row r="92" spans="1:18" x14ac:dyDescent="0.2">
      <c r="A92" s="15"/>
      <c r="B92" s="15"/>
      <c r="C92" s="20"/>
      <c r="D92" s="15"/>
      <c r="E92" s="15"/>
      <c r="F92" s="21"/>
      <c r="G92" s="21"/>
      <c r="H92" s="17" t="str">
        <f>IFERROR(VLOOKUP(B92,'[1]Debt Holding Consolidated'!$C$1:$N$65536,12,FALSE),"")</f>
        <v/>
      </c>
      <c r="J92"/>
    </row>
    <row r="93" spans="1:18" x14ac:dyDescent="0.2">
      <c r="A93" s="30"/>
      <c r="B93" s="26"/>
      <c r="C93" s="26" t="s">
        <v>98</v>
      </c>
      <c r="D93" s="26"/>
      <c r="E93" s="30"/>
      <c r="F93" s="28">
        <v>12.90491851</v>
      </c>
      <c r="G93" s="29">
        <v>4.82812E-3</v>
      </c>
      <c r="H93" s="17" t="str">
        <f>IFERROR(VLOOKUP(B93,'[1]Debt Holding Consolidated'!$C$1:$N$65536,12,FALSE),"")</f>
        <v/>
      </c>
      <c r="J93"/>
    </row>
    <row r="94" spans="1:18" x14ac:dyDescent="0.2">
      <c r="A94" s="20"/>
      <c r="B94" s="20"/>
      <c r="C94" s="16" t="s">
        <v>99</v>
      </c>
      <c r="D94" s="21"/>
      <c r="E94" s="21"/>
      <c r="F94" s="24">
        <f>F43+F60+F76+F84+F93</f>
        <v>2672.8644255129998</v>
      </c>
      <c r="G94" s="38">
        <f>G43+G60+G76+G84+G93</f>
        <v>0.99999997508581773</v>
      </c>
      <c r="H94" s="17" t="str">
        <f>IFERROR(VLOOKUP(B94,'[1]Debt Holding Consolidated'!$C$1:$N$65536,12,FALSE),"")</f>
        <v/>
      </c>
      <c r="J94"/>
    </row>
    <row r="95" spans="1:18" x14ac:dyDescent="0.2">
      <c r="A95" s="39"/>
      <c r="B95" s="39"/>
      <c r="C95" s="39"/>
      <c r="D95" s="40"/>
      <c r="E95" s="40"/>
      <c r="F95" s="40"/>
      <c r="G95" s="40"/>
      <c r="J95"/>
    </row>
    <row r="96" spans="1:18" x14ac:dyDescent="0.2">
      <c r="A96" s="41"/>
      <c r="B96" s="113" t="s">
        <v>518</v>
      </c>
      <c r="C96" s="113"/>
      <c r="D96" s="113"/>
      <c r="E96" s="113"/>
      <c r="F96" s="113"/>
      <c r="G96" s="113"/>
      <c r="H96" s="113"/>
      <c r="J96"/>
    </row>
    <row r="97" spans="1:10" x14ac:dyDescent="0.2">
      <c r="A97" s="41"/>
      <c r="B97" s="113" t="s">
        <v>519</v>
      </c>
      <c r="C97" s="113"/>
      <c r="D97" s="113"/>
      <c r="E97" s="113"/>
      <c r="F97" s="113"/>
      <c r="G97" s="113"/>
      <c r="H97" s="113"/>
      <c r="J97"/>
    </row>
    <row r="98" spans="1:10" x14ac:dyDescent="0.2">
      <c r="A98" s="41"/>
      <c r="B98" s="113" t="s">
        <v>520</v>
      </c>
      <c r="C98" s="113"/>
      <c r="D98" s="113"/>
      <c r="E98" s="113"/>
      <c r="F98" s="113"/>
      <c r="G98" s="113"/>
      <c r="H98" s="113"/>
    </row>
    <row r="99" spans="1:10" x14ac:dyDescent="0.2">
      <c r="A99" s="41"/>
      <c r="B99" s="41"/>
      <c r="C99" s="41"/>
      <c r="D99" s="43"/>
      <c r="E99" s="43"/>
      <c r="F99" s="43"/>
      <c r="G99" s="43"/>
    </row>
    <row r="100" spans="1:10" x14ac:dyDescent="0.2">
      <c r="A100" s="44"/>
      <c r="B100" s="108" t="s">
        <v>100</v>
      </c>
      <c r="C100" s="109"/>
      <c r="D100" s="110"/>
      <c r="E100" s="45"/>
      <c r="F100" s="46"/>
      <c r="G100" s="46"/>
    </row>
    <row r="101" spans="1:10" x14ac:dyDescent="0.2">
      <c r="A101" s="44"/>
      <c r="B101" s="111" t="s">
        <v>101</v>
      </c>
      <c r="C101" s="112"/>
      <c r="D101" s="16" t="s">
        <v>102</v>
      </c>
      <c r="E101" s="45"/>
      <c r="F101" s="46"/>
      <c r="G101" s="46"/>
      <c r="J101"/>
    </row>
    <row r="102" spans="1:10" x14ac:dyDescent="0.2">
      <c r="A102" s="44"/>
      <c r="B102" s="111" t="s">
        <v>103</v>
      </c>
      <c r="C102" s="112"/>
      <c r="D102" s="16" t="s">
        <v>102</v>
      </c>
      <c r="E102" s="45"/>
      <c r="F102" s="46"/>
      <c r="G102" s="46"/>
      <c r="J102"/>
    </row>
    <row r="103" spans="1:10" x14ac:dyDescent="0.2">
      <c r="A103" s="44"/>
      <c r="B103" s="111" t="s">
        <v>104</v>
      </c>
      <c r="C103" s="112"/>
      <c r="D103" s="21" t="s">
        <v>12</v>
      </c>
      <c r="E103" s="45"/>
      <c r="F103" s="46"/>
      <c r="G103" s="46"/>
      <c r="J103"/>
    </row>
    <row r="104" spans="1:10" x14ac:dyDescent="0.2">
      <c r="A104" s="47"/>
      <c r="B104" s="48" t="s">
        <v>12</v>
      </c>
      <c r="C104" s="48" t="s">
        <v>535</v>
      </c>
      <c r="D104" s="48" t="s">
        <v>105</v>
      </c>
      <c r="E104" s="47"/>
      <c r="F104" s="47"/>
      <c r="G104" s="47"/>
      <c r="H104" s="49"/>
      <c r="J104"/>
    </row>
    <row r="105" spans="1:10" x14ac:dyDescent="0.2">
      <c r="A105" s="50"/>
      <c r="B105" s="51" t="s">
        <v>106</v>
      </c>
      <c r="C105" s="52" t="s">
        <v>107</v>
      </c>
      <c r="D105" s="52" t="s">
        <v>108</v>
      </c>
      <c r="E105" s="50"/>
      <c r="F105" s="50"/>
      <c r="G105" s="50"/>
      <c r="J105"/>
    </row>
    <row r="106" spans="1:10" x14ac:dyDescent="0.2">
      <c r="A106" s="50"/>
      <c r="B106" s="26" t="s">
        <v>109</v>
      </c>
      <c r="C106" s="53">
        <v>30.937799999999999</v>
      </c>
      <c r="D106" s="53">
        <v>30.862300000000001</v>
      </c>
      <c r="E106" s="50"/>
      <c r="F106" s="54"/>
      <c r="G106" s="55"/>
      <c r="J106"/>
    </row>
    <row r="107" spans="1:10" ht="25.5" x14ac:dyDescent="0.2">
      <c r="A107" s="50"/>
      <c r="B107" s="26" t="s">
        <v>570</v>
      </c>
      <c r="C107" s="53">
        <v>13.5533</v>
      </c>
      <c r="D107" s="53">
        <v>13.520300000000001</v>
      </c>
      <c r="E107" s="50"/>
      <c r="F107" s="54"/>
      <c r="G107" s="55"/>
      <c r="J107"/>
    </row>
    <row r="108" spans="1:10" ht="25.5" x14ac:dyDescent="0.2">
      <c r="A108" s="50"/>
      <c r="B108" s="26" t="s">
        <v>571</v>
      </c>
      <c r="C108" s="53">
        <v>20.439399999999999</v>
      </c>
      <c r="D108" s="53">
        <v>20.389500000000002</v>
      </c>
      <c r="E108" s="50"/>
      <c r="F108" s="54"/>
      <c r="G108" s="55"/>
      <c r="J108"/>
    </row>
    <row r="109" spans="1:10" ht="25.5" x14ac:dyDescent="0.2">
      <c r="A109" s="50"/>
      <c r="B109" s="26" t="s">
        <v>572</v>
      </c>
      <c r="C109" s="53">
        <v>20.4206</v>
      </c>
      <c r="D109" s="53">
        <v>20.370799999999999</v>
      </c>
      <c r="E109" s="50"/>
      <c r="F109" s="54"/>
      <c r="G109" s="55"/>
    </row>
    <row r="110" spans="1:10" x14ac:dyDescent="0.2">
      <c r="A110" s="50"/>
      <c r="B110" s="26" t="s">
        <v>110</v>
      </c>
      <c r="C110" s="53">
        <v>28.3111</v>
      </c>
      <c r="D110" s="53">
        <v>28.23</v>
      </c>
      <c r="E110" s="50"/>
      <c r="F110" s="54"/>
      <c r="G110" s="55"/>
    </row>
    <row r="111" spans="1:10" ht="25.5" x14ac:dyDescent="0.2">
      <c r="A111" s="50"/>
      <c r="B111" s="26" t="s">
        <v>574</v>
      </c>
      <c r="C111" s="53">
        <v>13.446199999999999</v>
      </c>
      <c r="D111" s="53">
        <v>13.4077</v>
      </c>
      <c r="E111" s="50"/>
      <c r="F111" s="54"/>
      <c r="G111" s="55"/>
    </row>
    <row r="112" spans="1:10" ht="25.5" x14ac:dyDescent="0.2">
      <c r="A112" s="50"/>
      <c r="B112" s="26" t="s">
        <v>575</v>
      </c>
      <c r="C112" s="53">
        <v>18.601400000000002</v>
      </c>
      <c r="D112" s="53">
        <v>18.548100000000002</v>
      </c>
      <c r="E112" s="50"/>
      <c r="F112" s="54"/>
      <c r="G112" s="55"/>
    </row>
    <row r="113" spans="1:18" ht="25.5" x14ac:dyDescent="0.2">
      <c r="A113" s="50"/>
      <c r="B113" s="26" t="s">
        <v>576</v>
      </c>
      <c r="C113" s="53">
        <v>18.512699999999999</v>
      </c>
      <c r="D113" s="53">
        <v>18.459700000000002</v>
      </c>
      <c r="E113" s="50"/>
      <c r="F113" s="54"/>
      <c r="G113" s="55"/>
    </row>
    <row r="114" spans="1:18" x14ac:dyDescent="0.2">
      <c r="A114" s="50"/>
      <c r="B114" s="50"/>
      <c r="C114" s="50"/>
      <c r="D114" s="50"/>
      <c r="E114" s="50"/>
      <c r="F114" s="50"/>
      <c r="G114" s="50"/>
    </row>
    <row r="115" spans="1:18" x14ac:dyDescent="0.2">
      <c r="A115" s="50"/>
      <c r="B115" s="111" t="s">
        <v>578</v>
      </c>
      <c r="C115" s="112"/>
      <c r="D115" s="16" t="s">
        <v>102</v>
      </c>
      <c r="E115" s="50"/>
      <c r="F115" s="50"/>
      <c r="G115" s="50"/>
    </row>
    <row r="116" spans="1:18" x14ac:dyDescent="0.2">
      <c r="A116" s="50"/>
      <c r="B116" s="56"/>
      <c r="C116" s="56"/>
      <c r="D116" s="56"/>
      <c r="E116" s="50"/>
      <c r="F116" s="50"/>
      <c r="G116" s="50"/>
    </row>
    <row r="117" spans="1:18" x14ac:dyDescent="0.2">
      <c r="A117" s="47"/>
      <c r="B117" s="105" t="s">
        <v>111</v>
      </c>
      <c r="C117" s="106"/>
      <c r="D117" s="32" t="s">
        <v>102</v>
      </c>
      <c r="E117" s="57"/>
      <c r="F117" s="47"/>
      <c r="G117" s="47"/>
    </row>
    <row r="118" spans="1:18" x14ac:dyDescent="0.2">
      <c r="A118" s="47"/>
      <c r="B118" s="105" t="s">
        <v>112</v>
      </c>
      <c r="C118" s="106"/>
      <c r="D118" s="32" t="s">
        <v>102</v>
      </c>
      <c r="E118" s="57"/>
      <c r="F118" s="47"/>
      <c r="G118" s="47"/>
    </row>
    <row r="119" spans="1:18" x14ac:dyDescent="0.2">
      <c r="A119" s="47"/>
      <c r="B119" s="105" t="s">
        <v>522</v>
      </c>
      <c r="C119" s="106"/>
      <c r="D119" s="32" t="s">
        <v>102</v>
      </c>
      <c r="E119" s="57"/>
      <c r="F119" s="47"/>
      <c r="G119" s="47"/>
    </row>
    <row r="120" spans="1:18" x14ac:dyDescent="0.2">
      <c r="A120" s="56"/>
      <c r="B120" s="56"/>
      <c r="C120" s="56"/>
      <c r="D120" s="56"/>
      <c r="E120" s="56"/>
      <c r="F120" s="56"/>
      <c r="G120" s="56"/>
    </row>
    <row r="121" spans="1:18" s="58" customFormat="1" x14ac:dyDescent="0.2">
      <c r="B121" s="118" t="s">
        <v>523</v>
      </c>
      <c r="C121" s="119"/>
      <c r="D121" s="120"/>
      <c r="I121"/>
      <c r="J121" s="11"/>
      <c r="K121" s="35"/>
      <c r="L121" s="35"/>
      <c r="M121" s="35"/>
      <c r="N121" s="35"/>
      <c r="O121"/>
      <c r="R121"/>
    </row>
    <row r="122" spans="1:18" s="58" customFormat="1" ht="38.25" x14ac:dyDescent="0.2">
      <c r="B122" s="121" t="s">
        <v>524</v>
      </c>
      <c r="C122" s="121"/>
      <c r="D122" s="59" t="s">
        <v>447</v>
      </c>
      <c r="I122"/>
      <c r="J122" s="11"/>
      <c r="K122" s="35"/>
      <c r="L122" s="35"/>
      <c r="M122" s="35"/>
      <c r="N122" s="35"/>
      <c r="O122"/>
      <c r="R122"/>
    </row>
    <row r="123" spans="1:18" s="58" customFormat="1" x14ac:dyDescent="0.2">
      <c r="B123" s="114" t="s">
        <v>525</v>
      </c>
      <c r="C123" s="114"/>
      <c r="D123" s="60"/>
      <c r="I123"/>
      <c r="J123" s="11"/>
      <c r="K123" s="35"/>
      <c r="L123" s="35"/>
      <c r="M123" s="35"/>
      <c r="N123" s="35"/>
      <c r="O123"/>
      <c r="R123"/>
    </row>
    <row r="124" spans="1:18" s="58" customFormat="1" x14ac:dyDescent="0.2">
      <c r="B124" s="114"/>
      <c r="C124" s="114"/>
      <c r="D124" s="61"/>
      <c r="I124"/>
      <c r="J124" s="11"/>
      <c r="K124" s="35"/>
      <c r="L124" s="35"/>
      <c r="M124" s="35"/>
      <c r="N124" s="35"/>
      <c r="O124"/>
    </row>
    <row r="125" spans="1:18" s="58" customFormat="1" x14ac:dyDescent="0.2">
      <c r="B125" s="114" t="s">
        <v>526</v>
      </c>
      <c r="C125" s="114"/>
      <c r="D125" s="62">
        <v>6.9085938433967575</v>
      </c>
      <c r="I125"/>
      <c r="J125" s="11"/>
      <c r="K125" s="35"/>
      <c r="L125" s="35"/>
      <c r="M125" s="35"/>
      <c r="N125" s="35"/>
      <c r="O125"/>
    </row>
    <row r="126" spans="1:18" s="58" customFormat="1" x14ac:dyDescent="0.2">
      <c r="B126" s="114"/>
      <c r="C126" s="114"/>
      <c r="D126" s="61"/>
      <c r="I126"/>
      <c r="J126" s="11"/>
      <c r="K126" s="35"/>
      <c r="L126" s="35"/>
      <c r="M126" s="35"/>
      <c r="N126" s="35"/>
      <c r="O126"/>
    </row>
    <row r="127" spans="1:18" s="58" customFormat="1" x14ac:dyDescent="0.2">
      <c r="B127" s="114" t="s">
        <v>557</v>
      </c>
      <c r="C127" s="114"/>
      <c r="D127" s="62">
        <v>6.7497968482796429</v>
      </c>
      <c r="I127"/>
      <c r="J127" s="11"/>
      <c r="K127" s="35"/>
      <c r="L127" s="35"/>
      <c r="M127" s="35"/>
      <c r="N127" s="35"/>
      <c r="O127"/>
    </row>
    <row r="128" spans="1:18" s="58" customFormat="1" x14ac:dyDescent="0.2">
      <c r="B128" s="114" t="s">
        <v>558</v>
      </c>
      <c r="C128" s="114"/>
      <c r="D128" s="62">
        <v>12.000291796744538</v>
      </c>
      <c r="I128"/>
      <c r="J128" s="11"/>
      <c r="K128" s="35"/>
      <c r="L128" s="35"/>
      <c r="M128" s="35"/>
      <c r="N128" s="35"/>
      <c r="O128"/>
    </row>
    <row r="129" spans="2:15" s="58" customFormat="1" x14ac:dyDescent="0.2">
      <c r="B129" s="114"/>
      <c r="C129" s="114"/>
      <c r="D129" s="61"/>
      <c r="I129"/>
      <c r="J129" s="11"/>
      <c r="K129" s="35"/>
      <c r="L129" s="35"/>
      <c r="M129" s="35"/>
      <c r="N129" s="35"/>
      <c r="O129"/>
    </row>
    <row r="130" spans="2:15" s="58" customFormat="1" x14ac:dyDescent="0.2">
      <c r="B130" s="114" t="s">
        <v>529</v>
      </c>
      <c r="C130" s="114"/>
      <c r="D130" s="63" t="s">
        <v>564</v>
      </c>
      <c r="I130"/>
      <c r="J130" s="11"/>
      <c r="K130" s="35"/>
      <c r="L130" s="35"/>
      <c r="M130" s="35"/>
      <c r="N130" s="35"/>
      <c r="O130"/>
    </row>
    <row r="131" spans="2:15" s="58" customFormat="1" x14ac:dyDescent="0.2">
      <c r="B131" s="115" t="s">
        <v>530</v>
      </c>
      <c r="C131" s="117"/>
      <c r="D131" s="116"/>
      <c r="I131"/>
      <c r="J131" s="11"/>
      <c r="K131" s="35"/>
      <c r="L131" s="35"/>
      <c r="M131" s="35"/>
      <c r="N131" s="35"/>
      <c r="O131"/>
    </row>
  </sheetData>
  <mergeCells count="25">
    <mergeCell ref="B128:C128"/>
    <mergeCell ref="B129:C129"/>
    <mergeCell ref="B130:C130"/>
    <mergeCell ref="B131:D131"/>
    <mergeCell ref="B121:D121"/>
    <mergeCell ref="B124:C124"/>
    <mergeCell ref="B125:C125"/>
    <mergeCell ref="B126:C126"/>
    <mergeCell ref="B127:C127"/>
    <mergeCell ref="B122:C122"/>
    <mergeCell ref="B123:C123"/>
    <mergeCell ref="B119:C119"/>
    <mergeCell ref="A1:H1"/>
    <mergeCell ref="A2:H2"/>
    <mergeCell ref="A3:H3"/>
    <mergeCell ref="B100:D100"/>
    <mergeCell ref="B101:C101"/>
    <mergeCell ref="B96:H96"/>
    <mergeCell ref="B97:H97"/>
    <mergeCell ref="B98:H98"/>
    <mergeCell ref="B117:C117"/>
    <mergeCell ref="B118:C118"/>
    <mergeCell ref="B102:C102"/>
    <mergeCell ref="B103:C103"/>
    <mergeCell ref="B115:C115"/>
  </mergeCells>
  <hyperlinks>
    <hyperlink ref="I1" location="Index!B10" display="Index" xr:uid="{745FF00F-30E5-4C66-9F71-769E1CFD20E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2229-22DB-4BC5-9E99-0F0C59216CB9}">
  <sheetPr>
    <outlinePr summaryBelow="0" summaryRight="0"/>
  </sheetPr>
  <dimension ref="A1:V124"/>
  <sheetViews>
    <sheetView showGridLines="0" workbookViewId="0">
      <selection sqref="A1:H1"/>
    </sheetView>
  </sheetViews>
  <sheetFormatPr defaultRowHeight="12.75" x14ac:dyDescent="0.2"/>
  <cols>
    <col min="1" max="1" width="5.85546875" bestFit="1" customWidth="1"/>
    <col min="2" max="2" width="20.5703125" customWidth="1"/>
    <col min="3" max="3" width="39.140625" bestFit="1" customWidth="1"/>
    <col min="4" max="4" width="10.7109375" bestFit="1" customWidth="1"/>
    <col min="5" max="5" width="8.7109375" bestFit="1" customWidth="1"/>
    <col min="6" max="6" width="10.140625" bestFit="1" customWidth="1"/>
    <col min="7" max="7" width="14" bestFit="1" customWidth="1"/>
    <col min="8" max="8" width="5.42578125" bestFit="1" customWidth="1"/>
    <col min="9" max="9" width="7.28515625" customWidth="1"/>
    <col min="10" max="10" width="50.7109375" style="11" customWidth="1"/>
  </cols>
  <sheetData>
    <row r="1" spans="1:11" ht="15" x14ac:dyDescent="0.2">
      <c r="A1" s="107" t="s">
        <v>0</v>
      </c>
      <c r="B1" s="107"/>
      <c r="C1" s="107"/>
      <c r="D1" s="107"/>
      <c r="E1" s="107"/>
      <c r="F1" s="107"/>
      <c r="G1" s="107"/>
      <c r="H1" s="107"/>
      <c r="I1" s="1" t="s">
        <v>587</v>
      </c>
      <c r="K1" s="1"/>
    </row>
    <row r="2" spans="1:11" ht="15" x14ac:dyDescent="0.2">
      <c r="A2" s="107" t="s">
        <v>492</v>
      </c>
      <c r="B2" s="107"/>
      <c r="C2" s="107"/>
      <c r="D2" s="107"/>
      <c r="E2" s="107"/>
      <c r="F2" s="107"/>
      <c r="G2" s="107"/>
      <c r="H2" s="107"/>
      <c r="J2" s="12" t="s">
        <v>588</v>
      </c>
    </row>
    <row r="3" spans="1:11" ht="15" x14ac:dyDescent="0.2">
      <c r="A3" s="107" t="s">
        <v>501</v>
      </c>
      <c r="B3" s="107"/>
      <c r="C3" s="107"/>
      <c r="D3" s="107"/>
      <c r="E3" s="107"/>
      <c r="F3" s="107"/>
      <c r="G3" s="107"/>
      <c r="H3" s="107"/>
    </row>
    <row r="4" spans="1:11" s="11" customFormat="1" ht="30" x14ac:dyDescent="0.2">
      <c r="A4" s="13" t="s">
        <v>2</v>
      </c>
      <c r="B4" s="13" t="s">
        <v>3</v>
      </c>
      <c r="C4" s="13" t="s">
        <v>4</v>
      </c>
      <c r="D4" s="13" t="s">
        <v>5</v>
      </c>
      <c r="E4" s="13" t="s">
        <v>6</v>
      </c>
      <c r="F4" s="13" t="s">
        <v>7</v>
      </c>
      <c r="G4" s="13" t="s">
        <v>8</v>
      </c>
      <c r="H4" s="14" t="s">
        <v>516</v>
      </c>
    </row>
    <row r="5" spans="1:11" x14ac:dyDescent="0.2">
      <c r="A5" s="15"/>
      <c r="B5" s="15"/>
      <c r="C5" s="16" t="s">
        <v>9</v>
      </c>
      <c r="D5" s="15"/>
      <c r="E5" s="15"/>
      <c r="F5" s="15"/>
      <c r="G5" s="15"/>
      <c r="H5" s="17" t="str">
        <f>IFERROR(VLOOKUP(B5,'[1]Debt Holding Consolidated'!$C$1:$N$65536,12,FALSE),"")</f>
        <v/>
      </c>
    </row>
    <row r="6" spans="1:11" x14ac:dyDescent="0.2">
      <c r="A6" s="15"/>
      <c r="B6" s="15"/>
      <c r="C6" s="16" t="s">
        <v>10</v>
      </c>
      <c r="D6" s="15"/>
      <c r="E6" s="15"/>
      <c r="F6" s="15"/>
      <c r="G6" s="15"/>
      <c r="H6" s="17" t="str">
        <f>IFERROR(VLOOKUP(B6,'[1]Debt Holding Consolidated'!$C$1:$N$65536,12,FALSE),"")</f>
        <v/>
      </c>
    </row>
    <row r="7" spans="1:11" x14ac:dyDescent="0.2">
      <c r="A7" s="15"/>
      <c r="B7" s="15"/>
      <c r="C7" s="16" t="s">
        <v>11</v>
      </c>
      <c r="D7" s="15"/>
      <c r="E7" s="15" t="s">
        <v>12</v>
      </c>
      <c r="F7" s="18" t="s">
        <v>13</v>
      </c>
      <c r="G7" s="19">
        <v>0</v>
      </c>
      <c r="H7" s="17" t="str">
        <f>IFERROR(VLOOKUP(B7,'[1]Debt Holding Consolidated'!$C$1:$N$65536,12,FALSE),"")</f>
        <v/>
      </c>
    </row>
    <row r="8" spans="1:11" x14ac:dyDescent="0.2">
      <c r="A8" s="15"/>
      <c r="B8" s="15"/>
      <c r="C8" s="20"/>
      <c r="D8" s="15"/>
      <c r="E8" s="15"/>
      <c r="F8" s="21"/>
      <c r="G8" s="21"/>
      <c r="H8" s="17" t="str">
        <f>IFERROR(VLOOKUP(B8,'[1]Debt Holding Consolidated'!$C$1:$N$65536,12,FALSE),"")</f>
        <v/>
      </c>
    </row>
    <row r="9" spans="1:11" x14ac:dyDescent="0.2">
      <c r="A9" s="15"/>
      <c r="B9" s="15"/>
      <c r="C9" s="16" t="s">
        <v>14</v>
      </c>
      <c r="D9" s="15"/>
      <c r="E9" s="15"/>
      <c r="F9" s="15"/>
      <c r="G9" s="15"/>
      <c r="H9" s="17" t="str">
        <f>IFERROR(VLOOKUP(B9,'[1]Debt Holding Consolidated'!$C$1:$N$65536,12,FALSE),"")</f>
        <v/>
      </c>
    </row>
    <row r="10" spans="1:11" x14ac:dyDescent="0.2">
      <c r="A10" s="15"/>
      <c r="B10" s="15"/>
      <c r="C10" s="16" t="s">
        <v>11</v>
      </c>
      <c r="D10" s="15"/>
      <c r="E10" s="15" t="s">
        <v>12</v>
      </c>
      <c r="F10" s="18" t="s">
        <v>13</v>
      </c>
      <c r="G10" s="19">
        <v>0</v>
      </c>
      <c r="H10" s="17" t="str">
        <f>IFERROR(VLOOKUP(B10,'[1]Debt Holding Consolidated'!$C$1:$N$65536,12,FALSE),"")</f>
        <v/>
      </c>
    </row>
    <row r="11" spans="1:11" x14ac:dyDescent="0.2">
      <c r="A11" s="15"/>
      <c r="B11" s="15"/>
      <c r="C11" s="20"/>
      <c r="D11" s="15"/>
      <c r="E11" s="15"/>
      <c r="F11" s="21"/>
      <c r="G11" s="21"/>
      <c r="H11" s="17" t="str">
        <f>IFERROR(VLOOKUP(B11,'[1]Debt Holding Consolidated'!$C$1:$N$65536,12,FALSE),"")</f>
        <v/>
      </c>
    </row>
    <row r="12" spans="1:11" ht="15" x14ac:dyDescent="0.2">
      <c r="A12" s="15"/>
      <c r="B12" s="15"/>
      <c r="C12" s="16" t="s">
        <v>15</v>
      </c>
      <c r="D12" s="15"/>
      <c r="E12" s="15"/>
      <c r="F12" s="15"/>
      <c r="G12" s="15"/>
      <c r="H12" s="17" t="str">
        <f>IFERROR(VLOOKUP(B12,'[1]Debt Holding Consolidated'!$C$1:$N$65536,12,FALSE),"")</f>
        <v/>
      </c>
      <c r="J12" s="22"/>
    </row>
    <row r="13" spans="1:11" x14ac:dyDescent="0.2">
      <c r="A13" s="15"/>
      <c r="B13" s="15"/>
      <c r="C13" s="16" t="s">
        <v>11</v>
      </c>
      <c r="D13" s="15"/>
      <c r="E13" s="15" t="s">
        <v>12</v>
      </c>
      <c r="F13" s="18" t="s">
        <v>13</v>
      </c>
      <c r="G13" s="19">
        <v>0</v>
      </c>
      <c r="H13" s="17" t="str">
        <f>IFERROR(VLOOKUP(B13,'[1]Debt Holding Consolidated'!$C$1:$N$65536,12,FALSE),"")</f>
        <v/>
      </c>
      <c r="J13" s="23"/>
    </row>
    <row r="14" spans="1:11" x14ac:dyDescent="0.2">
      <c r="A14" s="15"/>
      <c r="B14" s="15"/>
      <c r="C14" s="20"/>
      <c r="D14" s="15"/>
      <c r="E14" s="15"/>
      <c r="F14" s="21"/>
      <c r="G14" s="21"/>
      <c r="H14" s="17" t="str">
        <f>IFERROR(VLOOKUP(B14,'[1]Debt Holding Consolidated'!$C$1:$N$65536,12,FALSE),"")</f>
        <v/>
      </c>
      <c r="J14" s="23" t="s">
        <v>606</v>
      </c>
    </row>
    <row r="15" spans="1:11" x14ac:dyDescent="0.2">
      <c r="A15" s="15"/>
      <c r="B15" s="15"/>
      <c r="C15" s="16" t="s">
        <v>16</v>
      </c>
      <c r="D15" s="15"/>
      <c r="E15" s="15"/>
      <c r="F15" s="15"/>
      <c r="G15" s="15"/>
      <c r="H15" s="17" t="str">
        <f>IFERROR(VLOOKUP(B15,'[1]Debt Holding Consolidated'!$C$1:$N$65536,12,FALSE),"")</f>
        <v/>
      </c>
    </row>
    <row r="16" spans="1:11" x14ac:dyDescent="0.2">
      <c r="A16" s="15"/>
      <c r="B16" s="15"/>
      <c r="C16" s="16" t="s">
        <v>11</v>
      </c>
      <c r="D16" s="15"/>
      <c r="E16" s="15" t="s">
        <v>12</v>
      </c>
      <c r="F16" s="18" t="s">
        <v>13</v>
      </c>
      <c r="G16" s="19">
        <v>0</v>
      </c>
      <c r="H16" s="17" t="str">
        <f>IFERROR(VLOOKUP(B16,'[1]Debt Holding Consolidated'!$C$1:$N$65536,12,FALSE),"")</f>
        <v/>
      </c>
    </row>
    <row r="17" spans="1:10" x14ac:dyDescent="0.2">
      <c r="A17" s="15"/>
      <c r="B17" s="15"/>
      <c r="C17" s="20"/>
      <c r="D17" s="15"/>
      <c r="E17" s="15"/>
      <c r="F17" s="21"/>
      <c r="G17" s="21"/>
      <c r="H17" s="17" t="str">
        <f>IFERROR(VLOOKUP(B17,'[1]Debt Holding Consolidated'!$C$1:$N$65536,12,FALSE),"")</f>
        <v/>
      </c>
    </row>
    <row r="18" spans="1:10" x14ac:dyDescent="0.2">
      <c r="A18" s="15"/>
      <c r="B18" s="15"/>
      <c r="C18" s="16" t="s">
        <v>17</v>
      </c>
      <c r="D18" s="15"/>
      <c r="E18" s="15"/>
      <c r="F18" s="21"/>
      <c r="G18" s="21"/>
      <c r="H18" s="17" t="str">
        <f>IFERROR(VLOOKUP(B18,'[1]Debt Holding Consolidated'!$C$1:$N$65536,12,FALSE),"")</f>
        <v/>
      </c>
    </row>
    <row r="19" spans="1:10" x14ac:dyDescent="0.2">
      <c r="A19" s="15"/>
      <c r="B19" s="15"/>
      <c r="C19" s="16" t="s">
        <v>11</v>
      </c>
      <c r="D19" s="15"/>
      <c r="E19" s="15" t="s">
        <v>12</v>
      </c>
      <c r="F19" s="18" t="s">
        <v>13</v>
      </c>
      <c r="G19" s="19">
        <v>0</v>
      </c>
      <c r="H19" s="17" t="str">
        <f>IFERROR(VLOOKUP(B19,'[1]Debt Holding Consolidated'!$C$1:$N$65536,12,FALSE),"")</f>
        <v/>
      </c>
    </row>
    <row r="20" spans="1:10" x14ac:dyDescent="0.2">
      <c r="A20" s="15"/>
      <c r="B20" s="15"/>
      <c r="C20" s="20"/>
      <c r="D20" s="15"/>
      <c r="E20" s="15"/>
      <c r="F20" s="21"/>
      <c r="G20" s="21"/>
      <c r="H20" s="17" t="str">
        <f>IFERROR(VLOOKUP(B20,'[1]Debt Holding Consolidated'!$C$1:$N$65536,12,FALSE),"")</f>
        <v/>
      </c>
    </row>
    <row r="21" spans="1:10" x14ac:dyDescent="0.2">
      <c r="A21" s="15"/>
      <c r="B21" s="15"/>
      <c r="C21" s="16" t="s">
        <v>18</v>
      </c>
      <c r="D21" s="15"/>
      <c r="E21" s="15"/>
      <c r="F21" s="21"/>
      <c r="G21" s="21"/>
      <c r="H21" s="17" t="str">
        <f>IFERROR(VLOOKUP(B21,'[1]Debt Holding Consolidated'!$C$1:$N$65536,12,FALSE),"")</f>
        <v/>
      </c>
    </row>
    <row r="22" spans="1:10" ht="15" x14ac:dyDescent="0.2">
      <c r="A22" s="15"/>
      <c r="B22" s="15"/>
      <c r="C22" s="16" t="s">
        <v>11</v>
      </c>
      <c r="D22" s="15"/>
      <c r="E22" s="15" t="s">
        <v>12</v>
      </c>
      <c r="F22" s="18" t="s">
        <v>13</v>
      </c>
      <c r="G22" s="19">
        <v>0</v>
      </c>
      <c r="H22" s="17" t="str">
        <f>IFERROR(VLOOKUP(B22,'[1]Debt Holding Consolidated'!$C$1:$N$65536,12,FALSE),"")</f>
        <v/>
      </c>
      <c r="J22" s="22"/>
    </row>
    <row r="23" spans="1:10" x14ac:dyDescent="0.2">
      <c r="A23" s="15"/>
      <c r="B23" s="15"/>
      <c r="C23" s="20"/>
      <c r="D23" s="15"/>
      <c r="E23" s="15"/>
      <c r="F23" s="21"/>
      <c r="G23" s="21"/>
      <c r="H23" s="17" t="str">
        <f>IFERROR(VLOOKUP(B23,'[1]Debt Holding Consolidated'!$C$1:$N$65536,12,FALSE),"")</f>
        <v/>
      </c>
      <c r="J23" s="23"/>
    </row>
    <row r="24" spans="1:10" x14ac:dyDescent="0.2">
      <c r="A24" s="15"/>
      <c r="B24" s="15"/>
      <c r="C24" s="16" t="s">
        <v>19</v>
      </c>
      <c r="D24" s="15"/>
      <c r="E24" s="15"/>
      <c r="F24" s="24">
        <v>0</v>
      </c>
      <c r="G24" s="19">
        <v>0</v>
      </c>
      <c r="H24" s="17" t="str">
        <f>IFERROR(VLOOKUP(B24,'[1]Debt Holding Consolidated'!$C$1:$N$65536,12,FALSE),"")</f>
        <v/>
      </c>
    </row>
    <row r="25" spans="1:10" x14ac:dyDescent="0.2">
      <c r="A25" s="15"/>
      <c r="B25" s="15"/>
      <c r="C25" s="20"/>
      <c r="D25" s="15"/>
      <c r="E25" s="15"/>
      <c r="F25" s="21"/>
      <c r="G25" s="21"/>
      <c r="H25" s="17" t="str">
        <f>IFERROR(VLOOKUP(B25,'[1]Debt Holding Consolidated'!$C$1:$N$65536,12,FALSE),"")</f>
        <v/>
      </c>
    </row>
    <row r="26" spans="1:10" x14ac:dyDescent="0.2">
      <c r="A26" s="15"/>
      <c r="B26" s="15"/>
      <c r="C26" s="16" t="s">
        <v>20</v>
      </c>
      <c r="D26" s="15"/>
      <c r="E26" s="15"/>
      <c r="F26" s="21"/>
      <c r="G26" s="21"/>
      <c r="H26" s="17" t="str">
        <f>IFERROR(VLOOKUP(B26,'[1]Debt Holding Consolidated'!$C$1:$N$65536,12,FALSE),"")</f>
        <v/>
      </c>
    </row>
    <row r="27" spans="1:10" x14ac:dyDescent="0.2">
      <c r="A27" s="15"/>
      <c r="B27" s="15"/>
      <c r="C27" s="16" t="s">
        <v>10</v>
      </c>
      <c r="D27" s="15"/>
      <c r="E27" s="15"/>
      <c r="F27" s="21"/>
      <c r="G27" s="21"/>
      <c r="H27" s="17" t="str">
        <f>IFERROR(VLOOKUP(B27,'[1]Debt Holding Consolidated'!$C$1:$N$65536,12,FALSE),"")</f>
        <v/>
      </c>
    </row>
    <row r="28" spans="1:10" x14ac:dyDescent="0.2">
      <c r="A28" s="15"/>
      <c r="B28" s="15"/>
      <c r="C28" s="16" t="s">
        <v>11</v>
      </c>
      <c r="D28" s="15"/>
      <c r="E28" s="15" t="s">
        <v>12</v>
      </c>
      <c r="F28" s="18" t="s">
        <v>13</v>
      </c>
      <c r="G28" s="19">
        <v>0</v>
      </c>
      <c r="H28" s="17" t="str">
        <f>IFERROR(VLOOKUP(B28,'[1]Debt Holding Consolidated'!$C$1:$N$65536,12,FALSE),"")</f>
        <v/>
      </c>
      <c r="J28" s="23" t="s">
        <v>607</v>
      </c>
    </row>
    <row r="29" spans="1:10" x14ac:dyDescent="0.2">
      <c r="A29" s="15"/>
      <c r="B29" s="15"/>
      <c r="C29" s="20"/>
      <c r="D29" s="15"/>
      <c r="E29" s="15"/>
      <c r="F29" s="21"/>
      <c r="G29" s="21"/>
      <c r="H29" s="17" t="str">
        <f>IFERROR(VLOOKUP(B29,'[1]Debt Holding Consolidated'!$C$1:$N$65536,12,FALSE),"")</f>
        <v/>
      </c>
    </row>
    <row r="30" spans="1:10" x14ac:dyDescent="0.2">
      <c r="A30" s="15"/>
      <c r="B30" s="15"/>
      <c r="C30" s="16" t="s">
        <v>67</v>
      </c>
      <c r="D30" s="15"/>
      <c r="E30" s="15"/>
      <c r="F30" s="15"/>
      <c r="G30" s="15"/>
      <c r="H30" s="17" t="str">
        <f>IFERROR(VLOOKUP(B30,'[1]Debt Holding Consolidated'!$C$1:$N$65536,12,FALSE),"")</f>
        <v/>
      </c>
    </row>
    <row r="31" spans="1:10" x14ac:dyDescent="0.2">
      <c r="A31" s="15"/>
      <c r="B31" s="15"/>
      <c r="C31" s="16" t="s">
        <v>11</v>
      </c>
      <c r="D31" s="15"/>
      <c r="E31" s="15" t="s">
        <v>12</v>
      </c>
      <c r="F31" s="18" t="s">
        <v>13</v>
      </c>
      <c r="G31" s="19">
        <v>0</v>
      </c>
      <c r="H31" s="17" t="str">
        <f>IFERROR(VLOOKUP(B31,'[1]Debt Holding Consolidated'!$C$1:$N$65536,12,FALSE),"")</f>
        <v/>
      </c>
    </row>
    <row r="32" spans="1:10" x14ac:dyDescent="0.2">
      <c r="A32" s="15"/>
      <c r="B32" s="15"/>
      <c r="C32" s="20"/>
      <c r="D32" s="15"/>
      <c r="E32" s="15"/>
      <c r="F32" s="21"/>
      <c r="G32" s="21"/>
      <c r="H32" s="17" t="str">
        <f>IFERROR(VLOOKUP(B32,'[1]Debt Holding Consolidated'!$C$1:$N$65536,12,FALSE),"")</f>
        <v/>
      </c>
    </row>
    <row r="33" spans="1:8" x14ac:dyDescent="0.2">
      <c r="A33" s="15"/>
      <c r="B33" s="15"/>
      <c r="C33" s="16" t="s">
        <v>68</v>
      </c>
      <c r="D33" s="15"/>
      <c r="E33" s="15"/>
      <c r="F33" s="15"/>
      <c r="G33" s="15"/>
      <c r="H33" s="17" t="str">
        <f>IFERROR(VLOOKUP(B33,'[1]Debt Holding Consolidated'!$C$1:$N$65536,12,FALSE),"")</f>
        <v/>
      </c>
    </row>
    <row r="34" spans="1:8" x14ac:dyDescent="0.2">
      <c r="A34" s="15"/>
      <c r="B34" s="15"/>
      <c r="C34" s="16" t="s">
        <v>11</v>
      </c>
      <c r="D34" s="15"/>
      <c r="E34" s="15" t="s">
        <v>12</v>
      </c>
      <c r="F34" s="18" t="s">
        <v>13</v>
      </c>
      <c r="G34" s="19">
        <v>0</v>
      </c>
      <c r="H34" s="17" t="str">
        <f>IFERROR(VLOOKUP(B34,'[1]Debt Holding Consolidated'!$C$1:$N$65536,12,FALSE),"")</f>
        <v/>
      </c>
    </row>
    <row r="35" spans="1:8" x14ac:dyDescent="0.2">
      <c r="A35" s="15"/>
      <c r="B35" s="15"/>
      <c r="C35" s="20"/>
      <c r="D35" s="15"/>
      <c r="E35" s="15"/>
      <c r="F35" s="21"/>
      <c r="G35" s="21"/>
      <c r="H35" s="17" t="str">
        <f>IFERROR(VLOOKUP(B35,'[1]Debt Holding Consolidated'!$C$1:$N$65536,12,FALSE),"")</f>
        <v/>
      </c>
    </row>
    <row r="36" spans="1:8" x14ac:dyDescent="0.2">
      <c r="A36" s="15"/>
      <c r="B36" s="15"/>
      <c r="C36" s="16" t="s">
        <v>82</v>
      </c>
      <c r="D36" s="15"/>
      <c r="E36" s="15"/>
      <c r="F36" s="21"/>
      <c r="G36" s="21"/>
      <c r="H36" s="17" t="str">
        <f>IFERROR(VLOOKUP(B36,'[1]Debt Holding Consolidated'!$C$1:$N$65536,12,FALSE),"")</f>
        <v/>
      </c>
    </row>
    <row r="37" spans="1:8" x14ac:dyDescent="0.2">
      <c r="A37" s="15"/>
      <c r="B37" s="15"/>
      <c r="C37" s="16" t="s">
        <v>11</v>
      </c>
      <c r="D37" s="15"/>
      <c r="E37" s="15" t="s">
        <v>12</v>
      </c>
      <c r="F37" s="18" t="s">
        <v>13</v>
      </c>
      <c r="G37" s="19">
        <v>0</v>
      </c>
      <c r="H37" s="17" t="str">
        <f>IFERROR(VLOOKUP(B37,'[1]Debt Holding Consolidated'!$C$1:$N$65536,12,FALSE),"")</f>
        <v/>
      </c>
    </row>
    <row r="38" spans="1:8" x14ac:dyDescent="0.2">
      <c r="A38" s="15"/>
      <c r="B38" s="15"/>
      <c r="C38" s="20"/>
      <c r="D38" s="15"/>
      <c r="E38" s="15"/>
      <c r="F38" s="21"/>
      <c r="G38" s="21"/>
      <c r="H38" s="17" t="str">
        <f>IFERROR(VLOOKUP(B38,'[1]Debt Holding Consolidated'!$C$1:$N$65536,12,FALSE),"")</f>
        <v/>
      </c>
    </row>
    <row r="39" spans="1:8" x14ac:dyDescent="0.2">
      <c r="A39" s="15"/>
      <c r="B39" s="15"/>
      <c r="C39" s="16" t="s">
        <v>83</v>
      </c>
      <c r="D39" s="15"/>
      <c r="E39" s="15"/>
      <c r="F39" s="24">
        <v>0</v>
      </c>
      <c r="G39" s="19">
        <v>0</v>
      </c>
      <c r="H39" s="17" t="str">
        <f>IFERROR(VLOOKUP(B39,'[1]Debt Holding Consolidated'!$C$1:$N$65536,12,FALSE),"")</f>
        <v/>
      </c>
    </row>
    <row r="40" spans="1:8" x14ac:dyDescent="0.2">
      <c r="A40" s="15"/>
      <c r="B40" s="15"/>
      <c r="C40" s="20"/>
      <c r="D40" s="15"/>
      <c r="E40" s="15"/>
      <c r="F40" s="21"/>
      <c r="G40" s="21"/>
      <c r="H40" s="17" t="str">
        <f>IFERROR(VLOOKUP(B40,'[1]Debt Holding Consolidated'!$C$1:$N$65536,12,FALSE),"")</f>
        <v/>
      </c>
    </row>
    <row r="41" spans="1:8" x14ac:dyDescent="0.2">
      <c r="A41" s="15"/>
      <c r="B41" s="15"/>
      <c r="C41" s="16" t="s">
        <v>84</v>
      </c>
      <c r="D41" s="15"/>
      <c r="E41" s="15"/>
      <c r="F41" s="21"/>
      <c r="G41" s="21"/>
      <c r="H41" s="17" t="str">
        <f>IFERROR(VLOOKUP(B41,'[1]Debt Holding Consolidated'!$C$1:$N$65536,12,FALSE),"")</f>
        <v/>
      </c>
    </row>
    <row r="42" spans="1:8" x14ac:dyDescent="0.2">
      <c r="A42" s="15"/>
      <c r="B42" s="15"/>
      <c r="C42" s="16" t="s">
        <v>85</v>
      </c>
      <c r="D42" s="15"/>
      <c r="E42" s="15"/>
      <c r="F42" s="21"/>
      <c r="G42" s="21"/>
      <c r="H42" s="17" t="str">
        <f>IFERROR(VLOOKUP(B42,'[1]Debt Holding Consolidated'!$C$1:$N$65536,12,FALSE),"")</f>
        <v/>
      </c>
    </row>
    <row r="43" spans="1:8" x14ac:dyDescent="0.2">
      <c r="A43" s="15"/>
      <c r="B43" s="15"/>
      <c r="C43" s="16" t="s">
        <v>11</v>
      </c>
      <c r="D43" s="15"/>
      <c r="E43" s="15" t="s">
        <v>12</v>
      </c>
      <c r="F43" s="18" t="s">
        <v>13</v>
      </c>
      <c r="G43" s="19">
        <v>0</v>
      </c>
      <c r="H43" s="17" t="str">
        <f>IFERROR(VLOOKUP(B43,'[1]Debt Holding Consolidated'!$C$1:$N$65536,12,FALSE),"")</f>
        <v/>
      </c>
    </row>
    <row r="44" spans="1:8" x14ac:dyDescent="0.2">
      <c r="A44" s="15"/>
      <c r="B44" s="15"/>
      <c r="C44" s="20"/>
      <c r="D44" s="15"/>
      <c r="E44" s="15"/>
      <c r="F44" s="21"/>
      <c r="G44" s="21"/>
      <c r="H44" s="17" t="str">
        <f>IFERROR(VLOOKUP(B44,'[1]Debt Holding Consolidated'!$C$1:$N$65536,12,FALSE),"")</f>
        <v/>
      </c>
    </row>
    <row r="45" spans="1:8" x14ac:dyDescent="0.2">
      <c r="A45" s="15"/>
      <c r="B45" s="15"/>
      <c r="C45" s="16" t="s">
        <v>86</v>
      </c>
      <c r="D45" s="15"/>
      <c r="E45" s="15"/>
      <c r="F45" s="21"/>
      <c r="G45" s="21"/>
      <c r="H45" s="17" t="str">
        <f>IFERROR(VLOOKUP(B45,'[1]Debt Holding Consolidated'!$C$1:$N$65536,12,FALSE),"")</f>
        <v/>
      </c>
    </row>
    <row r="46" spans="1:8" x14ac:dyDescent="0.2">
      <c r="A46" s="15"/>
      <c r="B46" s="15"/>
      <c r="C46" s="16" t="s">
        <v>11</v>
      </c>
      <c r="D46" s="15"/>
      <c r="E46" s="15" t="s">
        <v>12</v>
      </c>
      <c r="F46" s="18" t="s">
        <v>13</v>
      </c>
      <c r="G46" s="19">
        <v>0</v>
      </c>
      <c r="H46" s="17" t="str">
        <f>IFERROR(VLOOKUP(B46,'[1]Debt Holding Consolidated'!$C$1:$N$65536,12,FALSE),"")</f>
        <v/>
      </c>
    </row>
    <row r="47" spans="1:8" x14ac:dyDescent="0.2">
      <c r="A47" s="15"/>
      <c r="B47" s="15"/>
      <c r="C47" s="20"/>
      <c r="D47" s="15"/>
      <c r="E47" s="15"/>
      <c r="F47" s="21"/>
      <c r="G47" s="21"/>
      <c r="H47" s="17" t="str">
        <f>IFERROR(VLOOKUP(B47,'[1]Debt Holding Consolidated'!$C$1:$N$65536,12,FALSE),"")</f>
        <v/>
      </c>
    </row>
    <row r="48" spans="1:8" x14ac:dyDescent="0.2">
      <c r="A48" s="15"/>
      <c r="B48" s="15"/>
      <c r="C48" s="16" t="s">
        <v>87</v>
      </c>
      <c r="D48" s="15"/>
      <c r="E48" s="15"/>
      <c r="F48" s="21"/>
      <c r="G48" s="21"/>
      <c r="H48" s="17" t="str">
        <f>IFERROR(VLOOKUP(B48,'[1]Debt Holding Consolidated'!$C$1:$N$65536,12,FALSE),"")</f>
        <v/>
      </c>
    </row>
    <row r="49" spans="1:8" x14ac:dyDescent="0.2">
      <c r="A49" s="25">
        <v>1</v>
      </c>
      <c r="B49" s="26" t="s">
        <v>493</v>
      </c>
      <c r="C49" s="26" t="s">
        <v>494</v>
      </c>
      <c r="D49" s="26" t="s">
        <v>71</v>
      </c>
      <c r="E49" s="27">
        <v>2000000</v>
      </c>
      <c r="F49" s="28">
        <v>1992.902</v>
      </c>
      <c r="G49" s="29">
        <v>2.5513250000000001E-2</v>
      </c>
      <c r="H49" s="17">
        <f>IFERROR(VLOOKUP(B49,'[1]Debt Holding Consolidated'!$C$1:$N$65536,12,FALSE),"")</f>
        <v>6.5</v>
      </c>
    </row>
    <row r="50" spans="1:8" x14ac:dyDescent="0.2">
      <c r="A50" s="25">
        <v>2</v>
      </c>
      <c r="B50" s="26" t="s">
        <v>495</v>
      </c>
      <c r="C50" s="26" t="s">
        <v>496</v>
      </c>
      <c r="D50" s="26" t="s">
        <v>71</v>
      </c>
      <c r="E50" s="27">
        <v>1500000</v>
      </c>
      <c r="F50" s="28">
        <v>1498.386</v>
      </c>
      <c r="G50" s="29">
        <v>1.918243E-2</v>
      </c>
      <c r="H50" s="17">
        <f>IFERROR(VLOOKUP(B50,'[1]Debt Holding Consolidated'!$C$1:$N$65536,12,FALSE),"")</f>
        <v>6.55</v>
      </c>
    </row>
    <row r="51" spans="1:8" x14ac:dyDescent="0.2">
      <c r="A51" s="25">
        <v>3</v>
      </c>
      <c r="B51" s="26" t="s">
        <v>497</v>
      </c>
      <c r="C51" s="26" t="s">
        <v>498</v>
      </c>
      <c r="D51" s="26" t="s">
        <v>71</v>
      </c>
      <c r="E51" s="27">
        <v>500000</v>
      </c>
      <c r="F51" s="28">
        <v>497.61099999999999</v>
      </c>
      <c r="G51" s="29">
        <v>6.3704499999999997E-3</v>
      </c>
      <c r="H51" s="17">
        <f>IFERROR(VLOOKUP(B51,'[1]Debt Holding Consolidated'!$C$1:$N$65536,12,FALSE),"")</f>
        <v>6.4897</v>
      </c>
    </row>
    <row r="52" spans="1:8" x14ac:dyDescent="0.2">
      <c r="A52" s="15"/>
      <c r="B52" s="15"/>
      <c r="C52" s="16" t="s">
        <v>11</v>
      </c>
      <c r="D52" s="15"/>
      <c r="E52" s="15" t="s">
        <v>12</v>
      </c>
      <c r="F52" s="24">
        <v>3988.8989999999999</v>
      </c>
      <c r="G52" s="19">
        <v>5.1066130000000001E-2</v>
      </c>
      <c r="H52" s="17" t="str">
        <f>IFERROR(VLOOKUP(B52,'[1]Debt Holding Consolidated'!$C$1:$N$65536,12,FALSE),"")</f>
        <v/>
      </c>
    </row>
    <row r="53" spans="1:8" x14ac:dyDescent="0.2">
      <c r="A53" s="15"/>
      <c r="B53" s="15"/>
      <c r="C53" s="20"/>
      <c r="D53" s="15"/>
      <c r="E53" s="15"/>
      <c r="F53" s="21"/>
      <c r="G53" s="21"/>
      <c r="H53" s="17" t="str">
        <f>IFERROR(VLOOKUP(B53,'[1]Debt Holding Consolidated'!$C$1:$N$65536,12,FALSE),"")</f>
        <v/>
      </c>
    </row>
    <row r="54" spans="1:8" x14ac:dyDescent="0.2">
      <c r="A54" s="15"/>
      <c r="B54" s="15"/>
      <c r="C54" s="16" t="s">
        <v>88</v>
      </c>
      <c r="D54" s="15"/>
      <c r="E54" s="15"/>
      <c r="F54" s="21"/>
      <c r="G54" s="21"/>
      <c r="H54" s="17" t="str">
        <f>IFERROR(VLOOKUP(B54,'[1]Debt Holding Consolidated'!$C$1:$N$65536,12,FALSE),"")</f>
        <v/>
      </c>
    </row>
    <row r="55" spans="1:8" x14ac:dyDescent="0.2">
      <c r="A55" s="25">
        <v>1</v>
      </c>
      <c r="B55" s="26"/>
      <c r="C55" s="26" t="s">
        <v>372</v>
      </c>
      <c r="D55" s="26"/>
      <c r="E55" s="30"/>
      <c r="F55" s="28">
        <v>61983.332000000002</v>
      </c>
      <c r="G55" s="29">
        <v>0.79351430000000001</v>
      </c>
      <c r="H55" s="17">
        <v>6.4538720175611077</v>
      </c>
    </row>
    <row r="56" spans="1:8" x14ac:dyDescent="0.2">
      <c r="A56" s="25">
        <v>2</v>
      </c>
      <c r="B56" s="26"/>
      <c r="C56" s="26" t="s">
        <v>89</v>
      </c>
      <c r="D56" s="26"/>
      <c r="E56" s="30"/>
      <c r="F56" s="28">
        <v>11516.331740998001</v>
      </c>
      <c r="G56" s="29">
        <v>0.14743276</v>
      </c>
      <c r="H56" s="17">
        <v>6.3551211905931497</v>
      </c>
    </row>
    <row r="57" spans="1:8" x14ac:dyDescent="0.2">
      <c r="A57" s="15"/>
      <c r="B57" s="15"/>
      <c r="C57" s="16" t="s">
        <v>11</v>
      </c>
      <c r="D57" s="15"/>
      <c r="E57" s="15" t="s">
        <v>12</v>
      </c>
      <c r="F57" s="24">
        <v>73499.663740998003</v>
      </c>
      <c r="G57" s="19">
        <v>0.94094705999999995</v>
      </c>
      <c r="H57" s="17" t="str">
        <f>IFERROR(VLOOKUP(B57,'[1]Debt Holding Consolidated'!$C$1:$N$65536,12,FALSE),"")</f>
        <v/>
      </c>
    </row>
    <row r="58" spans="1:8" x14ac:dyDescent="0.2">
      <c r="A58" s="15"/>
      <c r="B58" s="15"/>
      <c r="C58" s="20"/>
      <c r="D58" s="15"/>
      <c r="E58" s="15"/>
      <c r="F58" s="21"/>
      <c r="G58" s="21"/>
      <c r="H58" s="17" t="str">
        <f>IFERROR(VLOOKUP(B58,'[1]Debt Holding Consolidated'!$C$1:$N$65536,12,FALSE),"")</f>
        <v/>
      </c>
    </row>
    <row r="59" spans="1:8" x14ac:dyDescent="0.2">
      <c r="A59" s="15"/>
      <c r="B59" s="15"/>
      <c r="C59" s="16" t="s">
        <v>90</v>
      </c>
      <c r="D59" s="15"/>
      <c r="E59" s="15"/>
      <c r="F59" s="24">
        <v>77488.562740997993</v>
      </c>
      <c r="G59" s="19">
        <v>0.99201318999999999</v>
      </c>
      <c r="H59" s="17" t="str">
        <f>IFERROR(VLOOKUP(B59,'[1]Debt Holding Consolidated'!$C$1:$N$65536,12,FALSE),"")</f>
        <v/>
      </c>
    </row>
    <row r="60" spans="1:8" x14ac:dyDescent="0.2">
      <c r="A60" s="15"/>
      <c r="B60" s="15"/>
      <c r="C60" s="21"/>
      <c r="D60" s="15"/>
      <c r="E60" s="15"/>
      <c r="F60" s="15"/>
      <c r="G60" s="15"/>
      <c r="H60" s="17" t="str">
        <f>IFERROR(VLOOKUP(B60,'[1]Debt Holding Consolidated'!$C$1:$N$65536,12,FALSE),"")</f>
        <v/>
      </c>
    </row>
    <row r="61" spans="1:8" x14ac:dyDescent="0.2">
      <c r="A61" s="15"/>
      <c r="B61" s="15"/>
      <c r="C61" s="16" t="s">
        <v>91</v>
      </c>
      <c r="D61" s="15"/>
      <c r="E61" s="15"/>
      <c r="F61" s="15"/>
      <c r="G61" s="15"/>
      <c r="H61" s="17" t="str">
        <f>IFERROR(VLOOKUP(B61,'[1]Debt Holding Consolidated'!$C$1:$N$65536,12,FALSE),"")</f>
        <v/>
      </c>
    </row>
    <row r="62" spans="1:8" x14ac:dyDescent="0.2">
      <c r="A62" s="15"/>
      <c r="B62" s="15"/>
      <c r="C62" s="16" t="s">
        <v>92</v>
      </c>
      <c r="D62" s="15"/>
      <c r="E62" s="15"/>
      <c r="F62" s="15"/>
      <c r="G62" s="15"/>
      <c r="H62" s="17" t="str">
        <f>IFERROR(VLOOKUP(B62,'[1]Debt Holding Consolidated'!$C$1:$N$65536,12,FALSE),"")</f>
        <v/>
      </c>
    </row>
    <row r="63" spans="1:8" x14ac:dyDescent="0.2">
      <c r="A63" s="15"/>
      <c r="B63" s="15"/>
      <c r="C63" s="16" t="s">
        <v>11</v>
      </c>
      <c r="D63" s="15"/>
      <c r="E63" s="15" t="s">
        <v>12</v>
      </c>
      <c r="F63" s="18" t="s">
        <v>13</v>
      </c>
      <c r="G63" s="19">
        <v>0</v>
      </c>
      <c r="H63" s="17" t="str">
        <f>IFERROR(VLOOKUP(B63,'[1]Debt Holding Consolidated'!$C$1:$N$65536,12,FALSE),"")</f>
        <v/>
      </c>
    </row>
    <row r="64" spans="1:8" x14ac:dyDescent="0.2">
      <c r="A64" s="15"/>
      <c r="B64" s="15"/>
      <c r="C64" s="20"/>
      <c r="D64" s="15"/>
      <c r="E64" s="15"/>
      <c r="F64" s="21"/>
      <c r="G64" s="21"/>
      <c r="H64" s="17" t="str">
        <f>IFERROR(VLOOKUP(B64,'[1]Debt Holding Consolidated'!$C$1:$N$65536,12,FALSE),"")</f>
        <v/>
      </c>
    </row>
    <row r="65" spans="1:8" x14ac:dyDescent="0.2">
      <c r="A65" s="15"/>
      <c r="B65" s="15"/>
      <c r="C65" s="16" t="s">
        <v>95</v>
      </c>
      <c r="D65" s="15"/>
      <c r="E65" s="15"/>
      <c r="F65" s="15"/>
      <c r="G65" s="15"/>
      <c r="H65" s="17" t="str">
        <f>IFERROR(VLOOKUP(B65,'[1]Debt Holding Consolidated'!$C$1:$N$65536,12,FALSE),"")</f>
        <v/>
      </c>
    </row>
    <row r="66" spans="1:8" x14ac:dyDescent="0.2">
      <c r="A66" s="15"/>
      <c r="B66" s="15"/>
      <c r="C66" s="16" t="s">
        <v>96</v>
      </c>
      <c r="D66" s="15"/>
      <c r="E66" s="15"/>
      <c r="F66" s="15"/>
      <c r="G66" s="15"/>
      <c r="H66" s="17" t="str">
        <f>IFERROR(VLOOKUP(B66,'[1]Debt Holding Consolidated'!$C$1:$N$65536,12,FALSE),"")</f>
        <v/>
      </c>
    </row>
    <row r="67" spans="1:8" x14ac:dyDescent="0.2">
      <c r="A67" s="15"/>
      <c r="B67" s="15"/>
      <c r="C67" s="16" t="s">
        <v>11</v>
      </c>
      <c r="D67" s="15"/>
      <c r="E67" s="15" t="s">
        <v>12</v>
      </c>
      <c r="F67" s="18" t="s">
        <v>13</v>
      </c>
      <c r="G67" s="19">
        <v>0</v>
      </c>
      <c r="H67" s="17" t="str">
        <f>IFERROR(VLOOKUP(B67,'[1]Debt Holding Consolidated'!$C$1:$N$65536,12,FALSE),"")</f>
        <v/>
      </c>
    </row>
    <row r="68" spans="1:8" x14ac:dyDescent="0.2">
      <c r="A68" s="15"/>
      <c r="B68" s="15"/>
      <c r="C68" s="20"/>
      <c r="D68" s="15"/>
      <c r="E68" s="15"/>
      <c r="F68" s="21"/>
      <c r="G68" s="21"/>
      <c r="H68" s="17" t="str">
        <f>IFERROR(VLOOKUP(B68,'[1]Debt Holding Consolidated'!$C$1:$N$65536,12,FALSE),"")</f>
        <v/>
      </c>
    </row>
    <row r="69" spans="1:8" x14ac:dyDescent="0.2">
      <c r="A69" s="15"/>
      <c r="B69" s="15"/>
      <c r="C69" s="16" t="s">
        <v>97</v>
      </c>
      <c r="D69" s="15"/>
      <c r="E69" s="15"/>
      <c r="F69" s="21"/>
      <c r="G69" s="21"/>
      <c r="H69" s="17" t="str">
        <f>IFERROR(VLOOKUP(B69,'[1]Debt Holding Consolidated'!$C$1:$N$65536,12,FALSE),"")</f>
        <v/>
      </c>
    </row>
    <row r="70" spans="1:8" x14ac:dyDescent="0.2">
      <c r="A70" s="15"/>
      <c r="B70" s="15"/>
      <c r="C70" s="16" t="s">
        <v>11</v>
      </c>
      <c r="D70" s="15"/>
      <c r="E70" s="15" t="s">
        <v>12</v>
      </c>
      <c r="F70" s="18" t="s">
        <v>13</v>
      </c>
      <c r="G70" s="19">
        <v>0</v>
      </c>
      <c r="H70" s="17" t="str">
        <f>IFERROR(VLOOKUP(B70,'[1]Debt Holding Consolidated'!$C$1:$N$65536,12,FALSE),"")</f>
        <v/>
      </c>
    </row>
    <row r="71" spans="1:8" x14ac:dyDescent="0.2">
      <c r="A71" s="15"/>
      <c r="B71" s="15"/>
      <c r="C71" s="20"/>
      <c r="D71" s="15"/>
      <c r="E71" s="15"/>
      <c r="F71" s="21"/>
      <c r="G71" s="21"/>
      <c r="H71" s="17" t="str">
        <f>IFERROR(VLOOKUP(B71,'[1]Debt Holding Consolidated'!$C$1:$N$65536,12,FALSE),"")</f>
        <v/>
      </c>
    </row>
    <row r="72" spans="1:8" x14ac:dyDescent="0.2">
      <c r="A72" s="30"/>
      <c r="B72" s="26"/>
      <c r="C72" s="26" t="s">
        <v>98</v>
      </c>
      <c r="D72" s="26"/>
      <c r="E72" s="30"/>
      <c r="F72" s="28">
        <v>623.86999003000005</v>
      </c>
      <c r="G72" s="29">
        <v>7.9868200000000004E-3</v>
      </c>
      <c r="H72" s="17" t="str">
        <f>IFERROR(VLOOKUP(B72,'[1]Debt Holding Consolidated'!$C$1:$N$65536,12,FALSE),"")</f>
        <v/>
      </c>
    </row>
    <row r="73" spans="1:8" x14ac:dyDescent="0.2">
      <c r="A73" s="20"/>
      <c r="B73" s="20"/>
      <c r="C73" s="16" t="s">
        <v>99</v>
      </c>
      <c r="D73" s="21"/>
      <c r="E73" s="21"/>
      <c r="F73" s="24">
        <v>78112.432731028006</v>
      </c>
      <c r="G73" s="38">
        <v>1.0000000099999999</v>
      </c>
      <c r="H73" s="17" t="str">
        <f>IFERROR(VLOOKUP(B73,'[1]Debt Holding Consolidated'!$C$1:$N$65536,12,FALSE),"")</f>
        <v/>
      </c>
    </row>
    <row r="74" spans="1:8" x14ac:dyDescent="0.2">
      <c r="A74" s="39"/>
      <c r="B74" s="39"/>
      <c r="C74" s="39"/>
      <c r="D74" s="40"/>
      <c r="E74" s="40"/>
      <c r="F74" s="40"/>
      <c r="G74" s="40"/>
    </row>
    <row r="75" spans="1:8" x14ac:dyDescent="0.2">
      <c r="A75" s="41"/>
      <c r="B75" s="113" t="s">
        <v>518</v>
      </c>
      <c r="C75" s="113"/>
      <c r="D75" s="113"/>
      <c r="E75" s="113"/>
      <c r="F75" s="113"/>
      <c r="G75" s="113"/>
      <c r="H75" s="113"/>
    </row>
    <row r="76" spans="1:8" x14ac:dyDescent="0.2">
      <c r="A76" s="41"/>
      <c r="B76" s="113" t="s">
        <v>519</v>
      </c>
      <c r="C76" s="113"/>
      <c r="D76" s="113"/>
      <c r="E76" s="113"/>
      <c r="F76" s="113"/>
      <c r="G76" s="113"/>
      <c r="H76" s="113"/>
    </row>
    <row r="77" spans="1:8" x14ac:dyDescent="0.2">
      <c r="A77" s="41"/>
      <c r="B77" s="113" t="s">
        <v>520</v>
      </c>
      <c r="C77" s="113"/>
      <c r="D77" s="113"/>
      <c r="E77" s="113"/>
      <c r="F77" s="113"/>
      <c r="G77" s="113"/>
      <c r="H77" s="113"/>
    </row>
    <row r="78" spans="1:8" x14ac:dyDescent="0.2">
      <c r="A78" s="41"/>
      <c r="B78" s="41"/>
      <c r="C78" s="41"/>
      <c r="D78" s="43"/>
      <c r="E78" s="43"/>
      <c r="F78" s="43"/>
      <c r="G78" s="43"/>
    </row>
    <row r="79" spans="1:8" x14ac:dyDescent="0.2">
      <c r="A79" s="44"/>
      <c r="B79" s="108" t="s">
        <v>100</v>
      </c>
      <c r="C79" s="109"/>
      <c r="D79" s="110"/>
      <c r="E79" s="45"/>
      <c r="F79" s="46"/>
      <c r="G79" s="46"/>
    </row>
    <row r="80" spans="1:8" x14ac:dyDescent="0.2">
      <c r="A80" s="44"/>
      <c r="B80" s="111" t="s">
        <v>101</v>
      </c>
      <c r="C80" s="112"/>
      <c r="D80" s="16" t="s">
        <v>102</v>
      </c>
      <c r="E80" s="45"/>
      <c r="F80" s="46"/>
      <c r="G80" s="46"/>
    </row>
    <row r="81" spans="1:10" x14ac:dyDescent="0.2">
      <c r="A81" s="44"/>
      <c r="B81" s="111" t="s">
        <v>103</v>
      </c>
      <c r="C81" s="112"/>
      <c r="D81" s="16" t="s">
        <v>102</v>
      </c>
      <c r="E81" s="45"/>
      <c r="F81" s="46"/>
      <c r="G81" s="46"/>
    </row>
    <row r="82" spans="1:10" x14ac:dyDescent="0.2">
      <c r="A82" s="44"/>
      <c r="B82" s="111" t="s">
        <v>104</v>
      </c>
      <c r="C82" s="112"/>
      <c r="D82" s="21" t="s">
        <v>12</v>
      </c>
      <c r="E82" s="45"/>
      <c r="F82" s="46"/>
      <c r="G82" s="46"/>
    </row>
    <row r="83" spans="1:10" x14ac:dyDescent="0.2">
      <c r="A83" s="47"/>
      <c r="B83" s="48" t="s">
        <v>12</v>
      </c>
      <c r="C83" s="48" t="s">
        <v>535</v>
      </c>
      <c r="D83" s="48" t="s">
        <v>105</v>
      </c>
      <c r="E83" s="47"/>
      <c r="F83" s="47"/>
      <c r="G83" s="47"/>
      <c r="H83" s="49"/>
    </row>
    <row r="84" spans="1:10" x14ac:dyDescent="0.2">
      <c r="A84" s="50"/>
      <c r="B84" s="51" t="s">
        <v>106</v>
      </c>
      <c r="C84" s="52" t="s">
        <v>107</v>
      </c>
      <c r="D84" s="52" t="s">
        <v>108</v>
      </c>
      <c r="E84" s="50"/>
      <c r="F84" s="50"/>
      <c r="G84" s="50"/>
      <c r="J84"/>
    </row>
    <row r="85" spans="1:10" x14ac:dyDescent="0.2">
      <c r="A85" s="50"/>
      <c r="B85" s="26" t="s">
        <v>109</v>
      </c>
      <c r="C85" s="53">
        <v>1300.1116999999999</v>
      </c>
      <c r="D85" s="53">
        <v>1303.4979000000001</v>
      </c>
      <c r="E85" s="50"/>
      <c r="F85" s="54"/>
      <c r="G85" s="55"/>
      <c r="J85"/>
    </row>
    <row r="86" spans="1:10" x14ac:dyDescent="0.2">
      <c r="A86" s="50"/>
      <c r="B86" s="26" t="s">
        <v>579</v>
      </c>
      <c r="C86" s="53">
        <v>1000.03</v>
      </c>
      <c r="D86" s="53">
        <v>1000.03</v>
      </c>
      <c r="E86" s="50"/>
      <c r="F86" s="54"/>
      <c r="G86" s="55"/>
      <c r="J86"/>
    </row>
    <row r="87" spans="1:10" ht="25.5" x14ac:dyDescent="0.2">
      <c r="A87" s="50"/>
      <c r="B87" s="26" t="s">
        <v>580</v>
      </c>
      <c r="C87" s="53">
        <v>1049.2229</v>
      </c>
      <c r="D87" s="53">
        <v>1049.3819000000001</v>
      </c>
      <c r="E87" s="50"/>
      <c r="F87" s="54"/>
      <c r="G87" s="55"/>
      <c r="J87"/>
    </row>
    <row r="88" spans="1:10" ht="25.5" x14ac:dyDescent="0.2">
      <c r="A88" s="50"/>
      <c r="B88" s="26" t="s">
        <v>581</v>
      </c>
      <c r="C88" s="53">
        <v>1064.4740999999999</v>
      </c>
      <c r="D88" s="53">
        <v>1064.6669999999999</v>
      </c>
      <c r="E88" s="50"/>
      <c r="F88" s="54"/>
      <c r="G88" s="55"/>
      <c r="J88"/>
    </row>
    <row r="89" spans="1:10" ht="25.5" x14ac:dyDescent="0.2">
      <c r="A89" s="50"/>
      <c r="B89" s="26" t="s">
        <v>570</v>
      </c>
      <c r="C89" s="53">
        <v>1045.0717999999999</v>
      </c>
      <c r="D89" s="53">
        <v>1047.7947999999999</v>
      </c>
      <c r="E89" s="50"/>
      <c r="F89" s="54"/>
      <c r="G89" s="55"/>
      <c r="J89"/>
    </row>
    <row r="90" spans="1:10" x14ac:dyDescent="0.2">
      <c r="A90" s="50"/>
      <c r="B90" s="26" t="s">
        <v>110</v>
      </c>
      <c r="C90" s="53">
        <v>1293.2011</v>
      </c>
      <c r="D90" s="53">
        <v>1296.5107</v>
      </c>
      <c r="E90" s="50"/>
      <c r="F90" s="54"/>
      <c r="G90" s="55"/>
      <c r="J90"/>
    </row>
    <row r="91" spans="1:10" ht="25.5" x14ac:dyDescent="0.2">
      <c r="A91" s="50"/>
      <c r="B91" s="26" t="s">
        <v>582</v>
      </c>
      <c r="C91" s="53">
        <v>1000.03</v>
      </c>
      <c r="D91" s="53">
        <v>1000.03</v>
      </c>
      <c r="E91" s="50"/>
      <c r="F91" s="54"/>
      <c r="G91" s="55"/>
      <c r="J91"/>
    </row>
    <row r="92" spans="1:10" ht="25.5" x14ac:dyDescent="0.2">
      <c r="A92" s="50"/>
      <c r="B92" s="26" t="s">
        <v>583</v>
      </c>
      <c r="C92" s="53">
        <v>1048.0302999999999</v>
      </c>
      <c r="D92" s="53">
        <v>1048.4241999999999</v>
      </c>
      <c r="E92" s="50"/>
      <c r="F92" s="54"/>
      <c r="G92" s="55"/>
      <c r="J92"/>
    </row>
    <row r="93" spans="1:10" ht="25.5" x14ac:dyDescent="0.2">
      <c r="A93" s="50"/>
      <c r="B93" s="26" t="s">
        <v>584</v>
      </c>
      <c r="C93" s="53">
        <v>1065.9108000000001</v>
      </c>
      <c r="D93" s="53">
        <v>1066.0927999999999</v>
      </c>
      <c r="E93" s="50"/>
      <c r="F93" s="54"/>
      <c r="G93" s="55"/>
      <c r="J93"/>
    </row>
    <row r="94" spans="1:10" ht="25.5" x14ac:dyDescent="0.2">
      <c r="A94" s="50"/>
      <c r="B94" s="26" t="s">
        <v>574</v>
      </c>
      <c r="C94" s="53">
        <v>1041.3213000000001</v>
      </c>
      <c r="D94" s="53">
        <v>1043.9884999999999</v>
      </c>
      <c r="E94" s="50"/>
      <c r="F94" s="54"/>
      <c r="G94" s="55"/>
      <c r="J94"/>
    </row>
    <row r="95" spans="1:10" ht="25.5" x14ac:dyDescent="0.2">
      <c r="A95" s="50"/>
      <c r="B95" s="26" t="s">
        <v>585</v>
      </c>
      <c r="C95" s="53">
        <v>1000</v>
      </c>
      <c r="D95" s="53">
        <v>1000</v>
      </c>
      <c r="E95" s="50"/>
      <c r="F95" s="54"/>
      <c r="G95" s="55"/>
      <c r="J95"/>
    </row>
    <row r="96" spans="1:10" ht="25.5" x14ac:dyDescent="0.2">
      <c r="A96" s="50"/>
      <c r="B96" s="26" t="s">
        <v>586</v>
      </c>
      <c r="C96" s="53">
        <v>1158.0134</v>
      </c>
      <c r="D96" s="53">
        <v>1161.0295000000001</v>
      </c>
      <c r="E96" s="50"/>
      <c r="F96" s="54"/>
      <c r="G96" s="55"/>
      <c r="J96"/>
    </row>
    <row r="97" spans="1:10" ht="38.25" x14ac:dyDescent="0.2">
      <c r="A97" s="50"/>
      <c r="B97" s="26" t="s">
        <v>499</v>
      </c>
      <c r="C97" s="53">
        <v>1157.9988000000001</v>
      </c>
      <c r="D97" s="53">
        <v>1161.0147999999999</v>
      </c>
      <c r="E97" s="50"/>
      <c r="F97" s="54"/>
      <c r="G97" s="55"/>
      <c r="J97"/>
    </row>
    <row r="98" spans="1:10" ht="38.25" x14ac:dyDescent="0.2">
      <c r="A98" s="50"/>
      <c r="B98" s="26" t="s">
        <v>500</v>
      </c>
      <c r="C98" s="53">
        <v>1000</v>
      </c>
      <c r="D98" s="53">
        <v>1000</v>
      </c>
      <c r="E98" s="50"/>
      <c r="F98" s="54"/>
      <c r="G98" s="55"/>
    </row>
    <row r="99" spans="1:10" x14ac:dyDescent="0.2">
      <c r="A99" s="50"/>
      <c r="B99" s="50"/>
      <c r="C99" s="50"/>
      <c r="D99" s="50"/>
      <c r="E99" s="50"/>
      <c r="F99" s="50"/>
      <c r="G99" s="50"/>
    </row>
    <row r="100" spans="1:10" x14ac:dyDescent="0.2">
      <c r="A100" s="50"/>
      <c r="B100" s="111" t="s">
        <v>578</v>
      </c>
      <c r="C100" s="112"/>
      <c r="D100" s="16" t="s">
        <v>12</v>
      </c>
      <c r="E100" s="50"/>
      <c r="F100" s="50"/>
      <c r="G100" s="50"/>
    </row>
    <row r="101" spans="1:10" x14ac:dyDescent="0.2">
      <c r="A101" s="50"/>
      <c r="B101" s="75" t="s">
        <v>106</v>
      </c>
      <c r="C101" s="76" t="s">
        <v>373</v>
      </c>
      <c r="D101" s="76" t="s">
        <v>374</v>
      </c>
      <c r="E101" s="50"/>
      <c r="F101" s="50"/>
      <c r="G101" s="50"/>
      <c r="J101"/>
    </row>
    <row r="102" spans="1:10" x14ac:dyDescent="0.2">
      <c r="A102" s="50"/>
      <c r="B102" s="26" t="s">
        <v>579</v>
      </c>
      <c r="C102" s="77">
        <v>2.5855709999999998</v>
      </c>
      <c r="D102" s="30" t="s">
        <v>375</v>
      </c>
      <c r="E102" s="50"/>
      <c r="F102" s="54"/>
      <c r="G102" s="55"/>
      <c r="J102"/>
    </row>
    <row r="103" spans="1:10" ht="25.5" x14ac:dyDescent="0.2">
      <c r="A103" s="50"/>
      <c r="B103" s="26" t="s">
        <v>580</v>
      </c>
      <c r="C103" s="77">
        <v>2.5455999999999999</v>
      </c>
      <c r="D103" s="30" t="s">
        <v>375</v>
      </c>
      <c r="E103" s="50"/>
      <c r="F103" s="54"/>
      <c r="G103" s="55"/>
      <c r="J103"/>
    </row>
    <row r="104" spans="1:10" ht="25.5" x14ac:dyDescent="0.2">
      <c r="A104" s="50"/>
      <c r="B104" s="26" t="s">
        <v>581</v>
      </c>
      <c r="C104" s="77">
        <v>2.5855000000000001</v>
      </c>
      <c r="D104" s="30" t="s">
        <v>375</v>
      </c>
      <c r="E104" s="50"/>
      <c r="F104" s="54"/>
      <c r="G104" s="55"/>
      <c r="J104"/>
    </row>
    <row r="105" spans="1:10" ht="25.5" x14ac:dyDescent="0.2">
      <c r="A105" s="50"/>
      <c r="B105" s="26" t="s">
        <v>582</v>
      </c>
      <c r="C105" s="77">
        <v>2.5106350000000002</v>
      </c>
      <c r="D105" s="30" t="s">
        <v>375</v>
      </c>
      <c r="E105" s="50"/>
      <c r="F105" s="54"/>
      <c r="G105" s="55"/>
      <c r="J105"/>
    </row>
    <row r="106" spans="1:10" ht="25.5" x14ac:dyDescent="0.2">
      <c r="A106" s="50"/>
      <c r="B106" s="26" t="s">
        <v>583</v>
      </c>
      <c r="C106" s="77">
        <v>2.2059000000000002</v>
      </c>
      <c r="D106" s="30" t="s">
        <v>375</v>
      </c>
      <c r="E106" s="50"/>
      <c r="F106" s="54"/>
      <c r="G106" s="55"/>
      <c r="J106"/>
    </row>
    <row r="107" spans="1:10" ht="25.5" x14ac:dyDescent="0.2">
      <c r="A107" s="50"/>
      <c r="B107" s="26" t="s">
        <v>584</v>
      </c>
      <c r="C107" s="77">
        <v>2.5436999999999999</v>
      </c>
      <c r="D107" s="30" t="s">
        <v>375</v>
      </c>
      <c r="E107" s="50"/>
      <c r="F107" s="54"/>
      <c r="G107" s="55"/>
      <c r="J107"/>
    </row>
    <row r="108" spans="1:10" x14ac:dyDescent="0.2">
      <c r="A108" s="50"/>
      <c r="B108" s="78"/>
      <c r="C108" s="78"/>
      <c r="D108" s="79"/>
      <c r="E108" s="50"/>
      <c r="F108" s="54"/>
      <c r="G108" s="55"/>
      <c r="J108"/>
    </row>
    <row r="109" spans="1:10" x14ac:dyDescent="0.2">
      <c r="A109" s="47"/>
      <c r="B109" s="105" t="s">
        <v>111</v>
      </c>
      <c r="C109" s="106"/>
      <c r="D109" s="32" t="s">
        <v>102</v>
      </c>
      <c r="E109" s="57"/>
      <c r="F109" s="47"/>
      <c r="G109" s="47"/>
      <c r="I109" s="35"/>
    </row>
    <row r="110" spans="1:10" x14ac:dyDescent="0.2">
      <c r="A110" s="47"/>
      <c r="B110" s="105" t="s">
        <v>112</v>
      </c>
      <c r="C110" s="106"/>
      <c r="D110" s="32" t="s">
        <v>102</v>
      </c>
      <c r="E110" s="57"/>
      <c r="F110" s="47"/>
      <c r="G110" s="47"/>
      <c r="I110" s="35"/>
    </row>
    <row r="111" spans="1:10" x14ac:dyDescent="0.2">
      <c r="A111" s="47"/>
      <c r="B111" s="105" t="s">
        <v>522</v>
      </c>
      <c r="C111" s="106"/>
      <c r="D111" s="32" t="s">
        <v>102</v>
      </c>
      <c r="E111" s="57"/>
      <c r="F111" s="47"/>
      <c r="G111" s="47"/>
      <c r="I111" s="35"/>
    </row>
    <row r="112" spans="1:10" x14ac:dyDescent="0.2">
      <c r="A112" s="56"/>
      <c r="B112" s="56"/>
      <c r="C112" s="56"/>
      <c r="D112" s="56"/>
      <c r="E112" s="56"/>
      <c r="F112" s="56"/>
      <c r="G112" s="56"/>
      <c r="I112" s="35"/>
    </row>
    <row r="113" spans="2:22" s="58" customFormat="1" x14ac:dyDescent="0.2">
      <c r="B113" s="118" t="s">
        <v>523</v>
      </c>
      <c r="C113" s="119"/>
      <c r="D113" s="120"/>
      <c r="I113" s="35"/>
      <c r="J113" s="11"/>
      <c r="K113" s="35"/>
      <c r="L113" s="35"/>
      <c r="M113" s="35"/>
      <c r="N113" s="35"/>
      <c r="O113" s="65"/>
      <c r="R113"/>
      <c r="S113"/>
      <c r="T113"/>
      <c r="U113"/>
      <c r="V113"/>
    </row>
    <row r="114" spans="2:22" s="58" customFormat="1" ht="38.25" x14ac:dyDescent="0.2">
      <c r="B114" s="121" t="s">
        <v>524</v>
      </c>
      <c r="C114" s="121"/>
      <c r="D114" s="59" t="s">
        <v>492</v>
      </c>
      <c r="I114"/>
      <c r="J114" s="11"/>
      <c r="K114" s="35"/>
      <c r="L114" s="35"/>
      <c r="M114" s="35"/>
      <c r="N114" s="35"/>
      <c r="O114" s="65"/>
      <c r="R114"/>
      <c r="S114"/>
      <c r="T114"/>
      <c r="U114"/>
      <c r="V114"/>
    </row>
    <row r="115" spans="2:22" s="58" customFormat="1" x14ac:dyDescent="0.2">
      <c r="B115" s="114" t="s">
        <v>525</v>
      </c>
      <c r="C115" s="114"/>
      <c r="D115" s="60"/>
      <c r="I115"/>
      <c r="J115" s="11"/>
      <c r="K115" s="35"/>
      <c r="L115" s="35"/>
      <c r="M115" s="35"/>
      <c r="N115" s="35"/>
      <c r="O115" s="65"/>
    </row>
    <row r="116" spans="2:22" s="58" customFormat="1" x14ac:dyDescent="0.2">
      <c r="B116" s="114"/>
      <c r="C116" s="114"/>
      <c r="D116" s="61"/>
      <c r="I116"/>
      <c r="J116" s="11"/>
      <c r="K116" s="35"/>
      <c r="L116" s="35"/>
      <c r="M116" s="35"/>
      <c r="N116" s="35"/>
      <c r="O116" s="65"/>
    </row>
    <row r="117" spans="2:22" s="58" customFormat="1" x14ac:dyDescent="0.2">
      <c r="B117" s="114" t="s">
        <v>526</v>
      </c>
      <c r="C117" s="114"/>
      <c r="D117" s="62">
        <v>6.3870233514796455</v>
      </c>
      <c r="I117"/>
      <c r="J117" s="11"/>
      <c r="K117" s="35"/>
      <c r="L117" s="35"/>
      <c r="M117" s="35"/>
      <c r="N117" s="35"/>
      <c r="O117" s="65"/>
    </row>
    <row r="118" spans="2:22" s="58" customFormat="1" x14ac:dyDescent="0.2">
      <c r="B118" s="114"/>
      <c r="C118" s="114"/>
      <c r="D118" s="61"/>
      <c r="I118"/>
      <c r="J118" s="11"/>
      <c r="K118" s="35"/>
      <c r="L118" s="35"/>
      <c r="M118" s="35"/>
      <c r="N118" s="35"/>
      <c r="O118" s="65"/>
    </row>
    <row r="119" spans="2:22" s="58" customFormat="1" x14ac:dyDescent="0.2">
      <c r="B119" s="114" t="s">
        <v>562</v>
      </c>
      <c r="C119" s="114"/>
      <c r="D119" s="62">
        <v>1</v>
      </c>
      <c r="I119"/>
      <c r="J119" s="11"/>
      <c r="K119" s="35"/>
      <c r="L119" s="35"/>
      <c r="M119" s="35"/>
      <c r="N119" s="35"/>
      <c r="O119" s="65"/>
    </row>
    <row r="120" spans="2:22" s="58" customFormat="1" x14ac:dyDescent="0.2">
      <c r="B120" s="114" t="s">
        <v>563</v>
      </c>
      <c r="C120" s="114"/>
      <c r="D120" s="62">
        <v>1</v>
      </c>
      <c r="I120"/>
      <c r="J120" s="11"/>
      <c r="K120" s="35"/>
      <c r="L120" s="35"/>
      <c r="M120" s="35"/>
      <c r="N120" s="35"/>
      <c r="O120" s="65"/>
    </row>
    <row r="121" spans="2:22" s="58" customFormat="1" x14ac:dyDescent="0.2">
      <c r="B121" s="114"/>
      <c r="C121" s="114"/>
      <c r="D121" s="61"/>
      <c r="I121"/>
      <c r="J121" s="11"/>
      <c r="K121" s="35"/>
      <c r="L121" s="35"/>
      <c r="M121" s="35"/>
      <c r="N121" s="35"/>
      <c r="O121" s="65"/>
    </row>
    <row r="122" spans="2:22" s="58" customFormat="1" ht="25.5" x14ac:dyDescent="0.2">
      <c r="B122" s="114" t="s">
        <v>529</v>
      </c>
      <c r="C122" s="114"/>
      <c r="D122" s="63" t="s">
        <v>564</v>
      </c>
      <c r="I122"/>
      <c r="J122" s="11"/>
      <c r="K122" s="35"/>
      <c r="L122" s="35"/>
      <c r="M122" s="35"/>
      <c r="N122" s="35"/>
      <c r="O122" s="65"/>
    </row>
    <row r="123" spans="2:22" s="58" customFormat="1" x14ac:dyDescent="0.2">
      <c r="B123" s="115" t="s">
        <v>530</v>
      </c>
      <c r="C123" s="117"/>
      <c r="D123" s="116"/>
      <c r="I123"/>
      <c r="J123" s="11"/>
      <c r="K123" s="35"/>
      <c r="L123" s="35"/>
      <c r="M123" s="35"/>
      <c r="N123" s="35"/>
      <c r="O123" s="65"/>
    </row>
    <row r="124" spans="2:22" x14ac:dyDescent="0.2">
      <c r="H124" s="104"/>
    </row>
  </sheetData>
  <mergeCells count="25">
    <mergeCell ref="B120:C120"/>
    <mergeCell ref="B121:C121"/>
    <mergeCell ref="B122:C122"/>
    <mergeCell ref="B123:D123"/>
    <mergeCell ref="B115:C115"/>
    <mergeCell ref="B116:C116"/>
    <mergeCell ref="B117:C117"/>
    <mergeCell ref="B118:C118"/>
    <mergeCell ref="B119:C119"/>
    <mergeCell ref="B114:C114"/>
    <mergeCell ref="A1:H1"/>
    <mergeCell ref="A2:H2"/>
    <mergeCell ref="A3:H3"/>
    <mergeCell ref="B79:D79"/>
    <mergeCell ref="B80:C80"/>
    <mergeCell ref="B81:C81"/>
    <mergeCell ref="B82:C82"/>
    <mergeCell ref="B100:C100"/>
    <mergeCell ref="B110:C110"/>
    <mergeCell ref="B75:H75"/>
    <mergeCell ref="B76:H76"/>
    <mergeCell ref="B77:H77"/>
    <mergeCell ref="B109:C109"/>
    <mergeCell ref="B113:D113"/>
    <mergeCell ref="B111:C111"/>
  </mergeCells>
  <hyperlinks>
    <hyperlink ref="I1" location="Index!B11" display="Index" xr:uid="{0353708D-6713-449C-BA01-224AFF0D3AD4}"/>
  </hyperlinks>
  <pageMargins left="5.000000074505806E-2" right="5.000000074505806E-2" top="0.30000001192092896" bottom="0.20000000298023224" header="0" footer="0"/>
  <pageSetup paperSize="9" orientation="landscape" horizontalDpi="0" verticalDpi="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1280cc4-0d31-4364-abb0-c943aa8453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23C3B566D3C7046A94BBB269CF37ECE" ma:contentTypeVersion="14" ma:contentTypeDescription="Create a new document." ma:contentTypeScope="" ma:versionID="769d6f9f71695ef0cfae93a9a985b0d8">
  <xsd:schema xmlns:xsd="http://www.w3.org/2001/XMLSchema" xmlns:xs="http://www.w3.org/2001/XMLSchema" xmlns:p="http://schemas.microsoft.com/office/2006/metadata/properties" xmlns:ns3="e1280cc4-0d31-4364-abb0-c943aa845386" xmlns:ns4="1d27d2ac-1b61-453a-890d-c9d78133ceb5" targetNamespace="http://schemas.microsoft.com/office/2006/metadata/properties" ma:root="true" ma:fieldsID="8b58a5369135c9bd5d259b012f90eae4" ns3:_="" ns4:_="">
    <xsd:import namespace="e1280cc4-0d31-4364-abb0-c943aa845386"/>
    <xsd:import namespace="1d27d2ac-1b61-453a-890d-c9d78133ceb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SystemTag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280cc4-0d31-4364-abb0-c943aa8453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27d2ac-1b61-453a-890d-c9d78133ceb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CA2AD8-6D16-40D6-BCB9-C02CC799C3D4}">
  <ds:schemaRefs>
    <ds:schemaRef ds:uri="http://purl.org/dc/terms/"/>
    <ds:schemaRef ds:uri="http://schemas.microsoft.com/office/infopath/2007/PartnerControls"/>
    <ds:schemaRef ds:uri="e1280cc4-0d31-4364-abb0-c943aa845386"/>
    <ds:schemaRef ds:uri="http://schemas.microsoft.com/office/2006/metadata/properties"/>
    <ds:schemaRef ds:uri="http://schemas.microsoft.com/office/2006/documentManagement/types"/>
    <ds:schemaRef ds:uri="http://purl.org/dc/dcmitype/"/>
    <ds:schemaRef ds:uri="1d27d2ac-1b61-453a-890d-c9d78133ceb5"/>
    <ds:schemaRef ds:uri="http://www.w3.org/XML/1998/namespace"/>
    <ds:schemaRef ds:uri="http://schemas.openxmlformats.org/package/2006/metadata/core-properties"/>
    <ds:schemaRef ds:uri="http://purl.org/dc/elements/1.1/"/>
  </ds:schemaRefs>
</ds:datastoreItem>
</file>

<file path=customXml/itemProps2.xml><?xml version="1.0" encoding="utf-8"?>
<ds:datastoreItem xmlns:ds="http://schemas.openxmlformats.org/officeDocument/2006/customXml" ds:itemID="{A04EFAC7-FBC8-4331-BD27-FC92E13445EA}">
  <ds:schemaRefs>
    <ds:schemaRef ds:uri="http://schemas.microsoft.com/sharepoint/v3/contenttype/forms"/>
  </ds:schemaRefs>
</ds:datastoreItem>
</file>

<file path=customXml/itemProps3.xml><?xml version="1.0" encoding="utf-8"?>
<ds:datastoreItem xmlns:ds="http://schemas.openxmlformats.org/officeDocument/2006/customXml" ds:itemID="{1408044C-ED87-4F8F-AB74-93C4B49087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280cc4-0d31-4364-abb0-c943aa845386"/>
    <ds:schemaRef ds:uri="1d27d2ac-1b61-453a-890d-c9d78133ce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Swapna.N - Sundaram Mutual</dc:creator>
  <cp:lastModifiedBy>Thiruselvan V - Sundaram Mutual</cp:lastModifiedBy>
  <dcterms:created xsi:type="dcterms:W3CDTF">2024-08-18T06:16:32Z</dcterms:created>
  <dcterms:modified xsi:type="dcterms:W3CDTF">2024-08-20T04:32:10Z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0x010100523C3B566D3C7046A94BBB269CF37ECE</vt:lpwstr>
  </property>
</Properties>
</file>