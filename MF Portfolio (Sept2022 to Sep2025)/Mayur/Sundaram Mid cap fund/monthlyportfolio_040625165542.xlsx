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U:\Swapna\OPERATIONS\PORTFOLIO\Temp\Final sent\"/>
    </mc:Choice>
  </mc:AlternateContent>
  <xr:revisionPtr revIDLastSave="0" documentId="13_ncr:1_{1F5FDAD5-82BC-43AA-98B0-113047E196AA}" xr6:coauthVersionLast="47" xr6:coauthVersionMax="47" xr10:uidLastSave="{00000000-0000-0000-0000-000000000000}"/>
  <bookViews>
    <workbookView xWindow="-120" yWindow="-120" windowWidth="29040" windowHeight="15840" tabRatio="778" xr2:uid="{B6DC923B-9A62-4A0F-9D71-88F6E84C560C}"/>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3" i="10" l="1"/>
  <c r="F72" i="10"/>
  <c r="G99" i="9"/>
  <c r="G48" i="9"/>
  <c r="F48" i="9"/>
  <c r="F99" i="9" s="1"/>
  <c r="F85" i="8"/>
  <c r="F84" i="8"/>
  <c r="F144" i="7"/>
  <c r="F100" i="6"/>
  <c r="F99" i="6"/>
  <c r="F147" i="5"/>
  <c r="F148" i="5"/>
  <c r="F106" i="4"/>
  <c r="F107" i="4"/>
  <c r="F117" i="3"/>
  <c r="F118" i="3"/>
  <c r="F107" i="2"/>
  <c r="F106" i="2"/>
  <c r="J148" i="9" l="1"/>
  <c r="F13" i="9"/>
  <c r="F30" i="9" s="1"/>
  <c r="G119" i="8"/>
  <c r="I184" i="7"/>
  <c r="F184" i="7"/>
  <c r="F141" i="7"/>
  <c r="F140" i="7"/>
  <c r="F139" i="7"/>
  <c r="F138" i="7"/>
  <c r="F8" i="7"/>
  <c r="F25" i="7" s="1"/>
  <c r="F143" i="7" s="1"/>
  <c r="I160" i="6"/>
  <c r="J160" i="6" s="1"/>
  <c r="J159" i="6"/>
  <c r="I159" i="6"/>
  <c r="I158" i="6"/>
  <c r="J158" i="6" s="1"/>
  <c r="G158" i="6"/>
  <c r="I157" i="6"/>
  <c r="J157" i="6" s="1"/>
  <c r="I184" i="5"/>
  <c r="F184" i="5"/>
  <c r="F8" i="5"/>
  <c r="F25" i="5" s="1"/>
  <c r="I166" i="4"/>
  <c r="F166" i="4"/>
  <c r="I161" i="4"/>
  <c r="J161" i="4" s="1"/>
  <c r="I160" i="4"/>
  <c r="J160" i="4" s="1"/>
  <c r="I159" i="4"/>
  <c r="J159" i="4" s="1"/>
  <c r="F8" i="4"/>
  <c r="F25" i="4" s="1"/>
  <c r="G110" i="1"/>
  <c r="F110" i="1"/>
  <c r="G89" i="9"/>
  <c r="F89" i="9"/>
  <c r="G75" i="8"/>
  <c r="F75" i="8"/>
  <c r="G128" i="7"/>
  <c r="F128" i="7"/>
  <c r="G90" i="6"/>
  <c r="F90" i="6"/>
  <c r="G138" i="5"/>
  <c r="F138" i="5"/>
  <c r="G97" i="4"/>
  <c r="F97" i="4"/>
  <c r="G108" i="3"/>
  <c r="F108" i="3"/>
  <c r="G97" i="2"/>
  <c r="F97" i="2"/>
  <c r="G100" i="1"/>
  <c r="F100" i="1"/>
  <c r="G13" i="9" l="1"/>
  <c r="G30" i="9" s="1"/>
  <c r="G143" i="7"/>
  <c r="G144" i="7" s="1"/>
</calcChain>
</file>

<file path=xl/sharedStrings.xml><?xml version="1.0" encoding="utf-8"?>
<sst xmlns="http://schemas.openxmlformats.org/spreadsheetml/2006/main" count="3373" uniqueCount="738">
  <si>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</si>
  <si>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</si>
  <si>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</si>
  <si>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</si>
  <si>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</si>
  <si>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</si>
  <si>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</si>
  <si>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</si>
  <si>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</si>
  <si>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</si>
  <si>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</si>
  <si>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</si>
  <si>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</si>
  <si>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</si>
  <si>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</si>
  <si>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</si>
  <si>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</si>
  <si>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</si>
  <si>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</si>
  <si>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</si>
  <si>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</si>
  <si>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</si>
  <si>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</si>
  <si>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</si>
  <si>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</si>
  <si>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</si>
  <si>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INE557F08FR8</t>
  </si>
  <si>
    <t>National Housing Bank - 7.22% - 23/07/2026**</t>
  </si>
  <si>
    <t>INE115A07QJ2</t>
  </si>
  <si>
    <t>LIC Housing Finance Ltd - 7.7% - 16/05/2028**</t>
  </si>
  <si>
    <t>INE261F08EJ7</t>
  </si>
  <si>
    <t>National Bank for Agriculture &amp; Rural Development - 7.64% - 06/12/2029**</t>
  </si>
  <si>
    <t>ICRA AAA</t>
  </si>
  <si>
    <t>INE261F08EH1</t>
  </si>
  <si>
    <t>National Bank for Agriculture &amp; Rural Development - 7.62% - 10/05/2029**</t>
  </si>
  <si>
    <t>INE040A08930</t>
  </si>
  <si>
    <t>HDFC Bank Ltd (Prev HDFC Ltd) - 7.65% - 25/05/2033</t>
  </si>
  <si>
    <t>INE020B08EK4</t>
  </si>
  <si>
    <t>REC LTD - 7.46% - 30/06/2028**</t>
  </si>
  <si>
    <t>INE053F08304</t>
  </si>
  <si>
    <t>Indian Railway Finance Corporation Ltd - 7.23% - 15/10/2026**</t>
  </si>
  <si>
    <t>INE020B08EL2</t>
  </si>
  <si>
    <t>REC LTD - 7.44% - 30/04/2026**</t>
  </si>
  <si>
    <t>INE134E08MX3</t>
  </si>
  <si>
    <t>Power Finance Corporation Ltd - 7.6% - 13/04/2029**</t>
  </si>
  <si>
    <t>INE296A07SV1</t>
  </si>
  <si>
    <t>Bajaj Finance Ltd - 7.82% - 31/01/2034**</t>
  </si>
  <si>
    <t>INE242A08544</t>
  </si>
  <si>
    <t>Indian Oil Corporation Ltd - 7.44% - 25/11/2027</t>
  </si>
  <si>
    <t>INE557F08FS6</t>
  </si>
  <si>
    <t>National Housing Bank - 7.4% - 16/07/2026</t>
  </si>
  <si>
    <t>INE040A08666</t>
  </si>
  <si>
    <t>HDFC Bank Ltd (Prev HDFC Ltd) - 7.8% - 03/05/2033**</t>
  </si>
  <si>
    <t>INE020B08EP3</t>
  </si>
  <si>
    <t>REC LTD - 7.77% - 30/09/2026**</t>
  </si>
  <si>
    <t>INE752E08783</t>
  </si>
  <si>
    <t>Power Grid Corporation of India Ltd - 6.94% - 15/04/2035**</t>
  </si>
  <si>
    <t>INE261F08DX0</t>
  </si>
  <si>
    <t>National Bank for Agriculture &amp; Rural Development - 7.58% - 31/07/2026</t>
  </si>
  <si>
    <t>INE134E08IO0</t>
  </si>
  <si>
    <t>Power Finance Corporation Ltd - 7.23% - 05/01/2027**</t>
  </si>
  <si>
    <t>INE0KUG08084</t>
  </si>
  <si>
    <t>National Bank for Financing Infrastructure and Development - 7.04% - 07/04/2035**</t>
  </si>
  <si>
    <t>INE756I07FG5</t>
  </si>
  <si>
    <t>HDB Financial Services Ltd - 7.4091% - 05/06/2028</t>
  </si>
  <si>
    <t>INE134E08NS1</t>
  </si>
  <si>
    <t>Power Finance Corporation Ltd - 6.61% - 15/07/2028</t>
  </si>
  <si>
    <t>INE115A07MW4</t>
  </si>
  <si>
    <t>LIC Housing Finance Ltd - 7.95% - 29/01/2028**</t>
  </si>
  <si>
    <t>INE556F08KH1</t>
  </si>
  <si>
    <t>Small Industries Development Bank of India - 7.43% - 31/08/2026**</t>
  </si>
  <si>
    <t>INE041007100</t>
  </si>
  <si>
    <t>Embassy Office Parks REIT - 7.77% - 05/06/2025**</t>
  </si>
  <si>
    <t>INE296A07SU3</t>
  </si>
  <si>
    <t>Bajaj Finance Ltd - 7.87% - 08/02/2034</t>
  </si>
  <si>
    <t>INE556F08KP4</t>
  </si>
  <si>
    <t>Small Industries Development Bank of India - 7.68% - 10/08/2027</t>
  </si>
  <si>
    <t>(b) Privately Placed / Unlisted</t>
  </si>
  <si>
    <t>(c) Govt Security</t>
  </si>
  <si>
    <t>IN0020240126</t>
  </si>
  <si>
    <t>6.79% Central Government Securities 07/10/2034</t>
  </si>
  <si>
    <t>Sovereign</t>
  </si>
  <si>
    <t>IN0020230135</t>
  </si>
  <si>
    <t>7.32% Government Securities-13/11/2030</t>
  </si>
  <si>
    <t>IN3120240400</t>
  </si>
  <si>
    <t>6.96% Tamil Nadu State Government Securities - 04/12/2028</t>
  </si>
  <si>
    <t>IN0020230051</t>
  </si>
  <si>
    <t>7.30% Government Securities - 19/06/2053</t>
  </si>
  <si>
    <t>IN0020240118</t>
  </si>
  <si>
    <t>7.09% Central Government Securities 05/08/2054</t>
  </si>
  <si>
    <t>IN0020250018</t>
  </si>
  <si>
    <t>6.90% Central Government Securities 15/04/2065</t>
  </si>
  <si>
    <t>IN0020230077</t>
  </si>
  <si>
    <t>7.18%  Government Securities - 24/07/2037</t>
  </si>
  <si>
    <t>IN0020230101</t>
  </si>
  <si>
    <t>7.37% Government Securities-23/10/2028</t>
  </si>
  <si>
    <t>IN0020250026</t>
  </si>
  <si>
    <t>6.33% Central Government Securities 05/05/2035</t>
  </si>
  <si>
    <t>IN0020240019</t>
  </si>
  <si>
    <t>7.10% Central Government Securities 08/04/2034</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</si>
  <si>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</si>
  <si>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</si>
  <si>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</si>
  <si>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</si>
  <si>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</si>
  <si>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</si>
  <si>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</si>
  <si>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</si>
  <si>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</si>
  <si>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</si>
  <si>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</si>
  <si>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</si>
  <si>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</si>
  <si>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</si>
  <si>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</si>
  <si>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</si>
  <si>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</si>
  <si>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</si>
  <si>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</si>
  <si>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</si>
  <si>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</si>
  <si>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</si>
  <si>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</si>
  <si>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</si>
  <si>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</si>
  <si>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</si>
  <si>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</si>
  <si>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</si>
  <si>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</si>
  <si>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</si>
  <si>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</si>
  <si>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</si>
  <si>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</si>
  <si>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</si>
  <si>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</si>
  <si>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</si>
  <si>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</si>
  <si>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INE031A08962</t>
  </si>
  <si>
    <t>Housing and Urban Development Corp. Ltd - 6.9% - 23/04/2032</t>
  </si>
  <si>
    <t>INE557F08FY4</t>
  </si>
  <si>
    <t>National Housing Bank - 7.59% - 14/07/2027**</t>
  </si>
  <si>
    <t>INE556F08KF5</t>
  </si>
  <si>
    <t>Small Industries Development Bank of India - 7.54% - 12/01/2026**</t>
  </si>
  <si>
    <t>INE134E08LK2</t>
  </si>
  <si>
    <t>Power Finance Corporation Ltd - 6.09% - 27/08/2026**</t>
  </si>
  <si>
    <t>INE514E08GE8</t>
  </si>
  <si>
    <t>Export Import Bank of India - 7.35% - 27/07/2028</t>
  </si>
  <si>
    <t>INE752E08734</t>
  </si>
  <si>
    <t>Power Grid Corporation of India Ltd - 7.35% - 12/03/2034**</t>
  </si>
  <si>
    <t>INE261F08EM1</t>
  </si>
  <si>
    <t>National Bank for Agriculture &amp; Rural Development - 7.53% - 24/03/2028**</t>
  </si>
  <si>
    <t>INE0KUG08035</t>
  </si>
  <si>
    <t>National Bank for Financing Infrastructure and Development - 7.43% - 04/07/2034**</t>
  </si>
  <si>
    <t>INE261F08EF5</t>
  </si>
  <si>
    <t>National Bank for Agriculture &amp; Rural Development - 7.8% - 15/03/2027</t>
  </si>
  <si>
    <t>INE053F08338</t>
  </si>
  <si>
    <t>Indian Railway Finance Corporation Ltd - 7.68% - 24/11/2026**</t>
  </si>
  <si>
    <t>IN0020240027</t>
  </si>
  <si>
    <t>7.23% Central Government Securities 15/04/2039</t>
  </si>
  <si>
    <t>INE562A16ON3</t>
  </si>
  <si>
    <t>Indian Bank - 25/03/2026**</t>
  </si>
  <si>
    <t>CRISIL A1+</t>
  </si>
  <si>
    <t>INE562A16NR6</t>
  </si>
  <si>
    <t>Indian Bank - 09/06/2025**</t>
  </si>
  <si>
    <t>INE040A16GE5</t>
  </si>
  <si>
    <t>HDFC Bank Ltd - 04/02/2026</t>
  </si>
  <si>
    <t>INE514E16CK7</t>
  </si>
  <si>
    <t>Export Import Bank of India - 20/03/2026**</t>
  </si>
  <si>
    <t>Direct Plan - Bonus</t>
  </si>
  <si>
    <t>Regular Plan - Bonus</t>
  </si>
  <si>
    <t>Sundaram Money Market Fund</t>
  </si>
  <si>
    <t>IN3120150187</t>
  </si>
  <si>
    <t>8.38% Tamil Nadu State Development Loan - 27/01/2026</t>
  </si>
  <si>
    <t>INE160A16RK5</t>
  </si>
  <si>
    <t>Punjab National Bank - 18/03/2026**</t>
  </si>
  <si>
    <t>INE040A16GS5</t>
  </si>
  <si>
    <t>HDFC Bank Ltd - 24/03/2026**</t>
  </si>
  <si>
    <t>INE562A16OG7</t>
  </si>
  <si>
    <t>Indian Bank - 06/03/2026**</t>
  </si>
  <si>
    <t>INE476A16B64</t>
  </si>
  <si>
    <t>Canara Bank - 18/03/2026</t>
  </si>
  <si>
    <t>INE237A168Z9</t>
  </si>
  <si>
    <t>Kotak Mahindra Bank Ltd - 19/03/2026**</t>
  </si>
  <si>
    <t>INE556F16BG5</t>
  </si>
  <si>
    <t>Small Industries Development Bank of India - 26/03/2026**</t>
  </si>
  <si>
    <t>INE261F16967</t>
  </si>
  <si>
    <t>National Bank for Agriculture &amp; Rural Development - 27/02/2026**</t>
  </si>
  <si>
    <t>INE556F16BB6</t>
  </si>
  <si>
    <t>Small Industries Development Bank of India - 27/02/2026**</t>
  </si>
  <si>
    <t>INE008A16W82</t>
  </si>
  <si>
    <t>IDBI Bank Ltd - 02/09/2025**</t>
  </si>
  <si>
    <t>INE238AD6AM2</t>
  </si>
  <si>
    <t>Axis Bank Ltd - 04/02/2026**</t>
  </si>
  <si>
    <t>INE949L16CY1</t>
  </si>
  <si>
    <t>AU Small Finance Bank Ltd - 28/10/2025**</t>
  </si>
  <si>
    <t>INE095A16X85</t>
  </si>
  <si>
    <t>IndusInd Bank Ltd - 05/12/2025**</t>
  </si>
  <si>
    <t>INE562A16OA0</t>
  </si>
  <si>
    <t>Indian Bank - 04/02/2026**</t>
  </si>
  <si>
    <t>INE084A16DC4</t>
  </si>
  <si>
    <t>Bank of India - 06/02/2026</t>
  </si>
  <si>
    <t>INE261F16959</t>
  </si>
  <si>
    <t>National Bank for Agriculture &amp; Rural Development - 17/02/2026**</t>
  </si>
  <si>
    <t>INE237A165Z5</t>
  </si>
  <si>
    <t>Kotak Mahindra Bank Ltd - 18/02/2026**</t>
  </si>
  <si>
    <t>INE237A166Z3</t>
  </si>
  <si>
    <t>Kotak Mahindra Bank Ltd - 27/02/2026**</t>
  </si>
  <si>
    <t>INE008A16X99</t>
  </si>
  <si>
    <t>IDBI Bank Ltd - 23/02/2026**</t>
  </si>
  <si>
    <t>INE237A167Z1</t>
  </si>
  <si>
    <t>Kotak Mahindra Bank Ltd - 13/03/2026**</t>
  </si>
  <si>
    <t>INE476A16B31</t>
  </si>
  <si>
    <t>Canara Bank - 13/03/2026**</t>
  </si>
  <si>
    <t>INE040A16GW7</t>
  </si>
  <si>
    <t>HDFC Bank Ltd - 19/05/2026**</t>
  </si>
  <si>
    <t>INE092T16XX1</t>
  </si>
  <si>
    <t>IDFC First Bank Ltd - 23/01/2026**</t>
  </si>
  <si>
    <t>INE476A16A65</t>
  </si>
  <si>
    <t>Canara Bank - 24/02/2026**</t>
  </si>
  <si>
    <t>INE261F16AA7</t>
  </si>
  <si>
    <t>National Bank for Agriculture &amp; Rural Development - 25/03/2026**</t>
  </si>
  <si>
    <t>INE556F16BA8</t>
  </si>
  <si>
    <t>Small Industries Development Bank of India - 06/02/2026**</t>
  </si>
  <si>
    <t>INE763G14XJ8</t>
  </si>
  <si>
    <t>ICICI Securities Ltd - 03/03/2026**</t>
  </si>
  <si>
    <t>INE144H14HG8</t>
  </si>
  <si>
    <t>Deutsche Investments India Private Ltd - 22/12/2025**</t>
  </si>
  <si>
    <t>INE121A14XO2</t>
  </si>
  <si>
    <t>Cholamandalam Investment and Finance Co Ltd - 26/05/2026**</t>
  </si>
  <si>
    <t>INE403D14544</t>
  </si>
  <si>
    <t>Bharti Telecom Ltd - 17/10/2025</t>
  </si>
  <si>
    <t>INE115A14FJ1</t>
  </si>
  <si>
    <t>LIC Housing Finance Ltd - 18/02/2026**</t>
  </si>
  <si>
    <t>INE338I14JI6</t>
  </si>
  <si>
    <t>Motilal Oswal Financial Services Ltd - 25/02/2026**</t>
  </si>
  <si>
    <t>INE763G14YJ6</t>
  </si>
  <si>
    <t>ICICI Securities Ltd - 15/05/2026**</t>
  </si>
  <si>
    <t>INE09OL14HG3</t>
  </si>
  <si>
    <t>Birla Group Holdings Pvt Ltd - 22/05/2026**</t>
  </si>
  <si>
    <t>INE572E14JM1</t>
  </si>
  <si>
    <t>PNB Housing Finance Ltd - 25/09/2025**</t>
  </si>
  <si>
    <t>INE121A14XG8</t>
  </si>
  <si>
    <t>Cholamandalam Investment and Finance Co Ltd - 14/11/2025**</t>
  </si>
  <si>
    <t>INE338I14JF2</t>
  </si>
  <si>
    <t>Motilal Oswal Financial Services Ltd - 06/02/2026**</t>
  </si>
  <si>
    <t>INE144H14HM6</t>
  </si>
  <si>
    <t>Deutsche Investments India Private Ltd - 09/09/2025**</t>
  </si>
  <si>
    <t>INE121A14XK0</t>
  </si>
  <si>
    <t>Cholamandalam Investment and Finance Co Ltd - 22/05/2026**</t>
  </si>
  <si>
    <t>IN002024Z479</t>
  </si>
  <si>
    <t>364 Days - T Bill - 05/03/2026</t>
  </si>
  <si>
    <t>IN002024Z453</t>
  </si>
  <si>
    <t>364 Days - T Bill - 20/02/2026</t>
  </si>
  <si>
    <t>Reverse Repo</t>
  </si>
  <si>
    <t>Sundaram Low Duration Fund</t>
  </si>
  <si>
    <t>INE477A07373</t>
  </si>
  <si>
    <t>Can Fin Homes Ltd - 8.45% - 27/05/2026**</t>
  </si>
  <si>
    <t>IND AA+</t>
  </si>
  <si>
    <t>INE721A07SB0</t>
  </si>
  <si>
    <t>Shriram Finance Ltd - 9.2% - 22/05/2026**</t>
  </si>
  <si>
    <t>CRISIL AA+</t>
  </si>
  <si>
    <t>INE020B08ED9</t>
  </si>
  <si>
    <t>REC LTD - 7.56% - 30/06/2026**</t>
  </si>
  <si>
    <t>INE403D08181</t>
  </si>
  <si>
    <t>Bharti Telecom Ltd - 8.9% - 04/12/2025**</t>
  </si>
  <si>
    <t>INE572E07183</t>
  </si>
  <si>
    <t>PNB Housing Finance Ltd - 8.15% - 29/07/2027**</t>
  </si>
  <si>
    <t>INE134E08IE1</t>
  </si>
  <si>
    <t>Power Finance Corporation Ltd - 8.03% - 02/05/2026</t>
  </si>
  <si>
    <t>INE523H07CB9</t>
  </si>
  <si>
    <t>JM Financial Products Ltd - 8.92% - 16/11/2026**</t>
  </si>
  <si>
    <t>CRISIL AA</t>
  </si>
  <si>
    <t>INE414G07II5</t>
  </si>
  <si>
    <t>Muthoot Finance Ltd - 8.4% - 28/08/2028</t>
  </si>
  <si>
    <t>INE414G07HI7</t>
  </si>
  <si>
    <t>Muthoot Finance Ltd - 8.3% - 06/01/2026**</t>
  </si>
  <si>
    <t>INE477A07415</t>
  </si>
  <si>
    <t>Can Fin Homes Ltd - 8.09% - 04/01/2027**</t>
  </si>
  <si>
    <t>INE233A08121</t>
  </si>
  <si>
    <t>Godrej Industries Ltd - 8.36% - 28/08/2026**</t>
  </si>
  <si>
    <t>INE020B08FF1</t>
  </si>
  <si>
    <t>REC LTD - 7.56% - 31/08/2027**</t>
  </si>
  <si>
    <t>INE121A07QT9</t>
  </si>
  <si>
    <t>Cholamandalam Investment and Finance Co Ltd - 8.45% - 21/11/2025**</t>
  </si>
  <si>
    <t>ICRA AA+</t>
  </si>
  <si>
    <t>INE414G07JL7</t>
  </si>
  <si>
    <t>Muthoot Finance Ltd - 8.65% - 31/01/2028**</t>
  </si>
  <si>
    <t>IN0020240050</t>
  </si>
  <si>
    <t>7.04% Central Government Securities 03/06/2029</t>
  </si>
  <si>
    <t>IN0020220037</t>
  </si>
  <si>
    <t>7.38% Central Government Securities 20/06/2027</t>
  </si>
  <si>
    <t>INE028A16HY6</t>
  </si>
  <si>
    <t>Bank of Baroda - 12/12/2025**</t>
  </si>
  <si>
    <t>IND A1+</t>
  </si>
  <si>
    <t>INE092T16YI0</t>
  </si>
  <si>
    <t>IDFC First Bank Ltd - 25/05/2026**</t>
  </si>
  <si>
    <t>INE238AD6918</t>
  </si>
  <si>
    <t>Axis Bank Ltd - 09/09/2025</t>
  </si>
  <si>
    <t>INE040A16GF2</t>
  </si>
  <si>
    <t>HDFC Bank Ltd - 06/02/2026**</t>
  </si>
  <si>
    <t>INE261F16983</t>
  </si>
  <si>
    <t>National Bank for Agriculture &amp; Rural Development - 13/03/2026**</t>
  </si>
  <si>
    <t>Sundaram Liquid Fund</t>
  </si>
  <si>
    <t>INE115A07PZ0</t>
  </si>
  <si>
    <t>LIC Housing Finance Ltd - 7.38% - 18/08/2025</t>
  </si>
  <si>
    <t>INE414G07HT4</t>
  </si>
  <si>
    <t>Muthoot Finance Ltd - 8.6% - 25/08/2025**</t>
  </si>
  <si>
    <t>INE134E08LO4</t>
  </si>
  <si>
    <t>Power Finance Corporation Ltd - 7.13% - 08/08/2025</t>
  </si>
  <si>
    <t>INE238AD6AR1</t>
  </si>
  <si>
    <t>Axis Bank Ltd - 13/08/2025**</t>
  </si>
  <si>
    <t>INE160A16RV2</t>
  </si>
  <si>
    <t>Punjab National Bank - 14/08/2025**</t>
  </si>
  <si>
    <t>INE476A16C22</t>
  </si>
  <si>
    <t>Canara Bank - 26/08/2025**</t>
  </si>
  <si>
    <t>INE562A16OK9</t>
  </si>
  <si>
    <t>Indian Bank - 16/06/2025</t>
  </si>
  <si>
    <t>INE028A16HX8</t>
  </si>
  <si>
    <t>Bank of Baroda - 10/06/2025**</t>
  </si>
  <si>
    <t>INE238AD6876</t>
  </si>
  <si>
    <t>Axis Bank Ltd - 16/07/2025**</t>
  </si>
  <si>
    <t>INE160A16RU4</t>
  </si>
  <si>
    <t>Punjab National Bank - 12/08/2025**</t>
  </si>
  <si>
    <t>INE562A16OU8</t>
  </si>
  <si>
    <t>Indian Bank - 14/08/2025**</t>
  </si>
  <si>
    <t>INE040A16GV9</t>
  </si>
  <si>
    <t>HDFC Bank Ltd - 18/08/2025**</t>
  </si>
  <si>
    <t>INE565A16BB8</t>
  </si>
  <si>
    <t>Indian Overseas Bank - 22/08/2025**</t>
  </si>
  <si>
    <t>CARE A1+</t>
  </si>
  <si>
    <t>INE160A16RJ7</t>
  </si>
  <si>
    <t>Punjab National Bank - 16/06/2025</t>
  </si>
  <si>
    <t>INE476A16B56</t>
  </si>
  <si>
    <t>Canara Bank - 17/06/2025**</t>
  </si>
  <si>
    <t>INE238AD6868</t>
  </si>
  <si>
    <t>Axis Bank Ltd - 15/07/2025</t>
  </si>
  <si>
    <t>INE237A162Y5</t>
  </si>
  <si>
    <t>Kotak Mahindra Bank Ltd - 22/08/2025**</t>
  </si>
  <si>
    <t>INE476A16C06</t>
  </si>
  <si>
    <t>Canara Bank - 22/08/2025**</t>
  </si>
  <si>
    <t>INE040A16FJ6</t>
  </si>
  <si>
    <t>HDFC Bank Ltd - 22/08/2025**</t>
  </si>
  <si>
    <t>INE028A16GV4</t>
  </si>
  <si>
    <t>Bank of Baroda - 06/06/2025</t>
  </si>
  <si>
    <t>INE562A16NH7</t>
  </si>
  <si>
    <t>Indian Bank - 20/08/2025**</t>
  </si>
  <si>
    <t>INE094A14JT9</t>
  </si>
  <si>
    <t>Hindustan Petroleum Corporation Ltd - 10/06/2025</t>
  </si>
  <si>
    <t>INE261F14NL2</t>
  </si>
  <si>
    <t>National Bank for Agriculture &amp; Rural Development - 20/06/2025**</t>
  </si>
  <si>
    <t>INE002A14LD2</t>
  </si>
  <si>
    <t>Reliance Industries Ltd - 23/06/2025**</t>
  </si>
  <si>
    <t>INE110L14TM4</t>
  </si>
  <si>
    <t>Reliance Jio Infocomm Ltd - 16/07/2025**</t>
  </si>
  <si>
    <t>INE002A14LG5</t>
  </si>
  <si>
    <t>Reliance Industries Ltd - 24/06/2025**</t>
  </si>
  <si>
    <t>INE556F14LC8</t>
  </si>
  <si>
    <t>Small Industries Development Bank of India - 09/07/2025**</t>
  </si>
  <si>
    <t>INE929O14DK9</t>
  </si>
  <si>
    <t>Reliance Retail Ventures Ltd - 14/08/2025**</t>
  </si>
  <si>
    <t>INE296A14ZX8</t>
  </si>
  <si>
    <t>Bajaj Finance Ltd - 12/06/2025**</t>
  </si>
  <si>
    <t>INE242A14XP3</t>
  </si>
  <si>
    <t>Indian Oil Corporation Ltd - 16/06/2025**</t>
  </si>
  <si>
    <t>INE261F14NK4</t>
  </si>
  <si>
    <t>National Bank for Agriculture &amp; Rural Development - 16/06/2025**</t>
  </si>
  <si>
    <t>INE763G14XW1</t>
  </si>
  <si>
    <t>ICICI Securities Ltd - 19/06/2025**</t>
  </si>
  <si>
    <t>INE110L14TK8</t>
  </si>
  <si>
    <t>Reliance Jio Infocomm Ltd - 23/06/2025**</t>
  </si>
  <si>
    <t>INE094A14JV5</t>
  </si>
  <si>
    <t>Hindustan Petroleum Corporation Ltd - 25/06/2025**</t>
  </si>
  <si>
    <t>INE572E14JT6</t>
  </si>
  <si>
    <t>PNB Housing Finance Ltd - 15/07/2025**</t>
  </si>
  <si>
    <t>INE081A14FQ0</t>
  </si>
  <si>
    <t>Tata Steel Ltd - 07/08/2025**</t>
  </si>
  <si>
    <t>ICRA A1+</t>
  </si>
  <si>
    <t>INE763G14YG2</t>
  </si>
  <si>
    <t>ICICI Securities Ltd - 08/08/2025**</t>
  </si>
  <si>
    <t>INE763G14YI8</t>
  </si>
  <si>
    <t>ICICI Securities Ltd - 12/08/2025**</t>
  </si>
  <si>
    <t>INE700G14OG5</t>
  </si>
  <si>
    <t>HDFC Securities Ltd - 13/08/2025**</t>
  </si>
  <si>
    <t>INE178A14HO5</t>
  </si>
  <si>
    <t>Chennai Petroleum Corporation Ltd - 18/08/2025**</t>
  </si>
  <si>
    <t>INE289B14JR7</t>
  </si>
  <si>
    <t>GIC Housing Finance Ltd - 26/08/2025**</t>
  </si>
  <si>
    <t>INE790I14FZ0</t>
  </si>
  <si>
    <t>HSBC InvestDirect Financial Services India Limited - 26/08/2025**</t>
  </si>
  <si>
    <t>INE556F14KZ1</t>
  </si>
  <si>
    <t>Small Industries Development Bank of India - 10/06/2025</t>
  </si>
  <si>
    <t>INE414G14TR9</t>
  </si>
  <si>
    <t>Muthoot Finance Ltd - 10/06/2025</t>
  </si>
  <si>
    <t>INE261F14NH0</t>
  </si>
  <si>
    <t>National Bank for Agriculture &amp; Rural Development - 12/06/2025**</t>
  </si>
  <si>
    <t>INE929O14DG7</t>
  </si>
  <si>
    <t>Reliance Retail Ventures Ltd - 12/06/2025**</t>
  </si>
  <si>
    <t>INE071G14GR4</t>
  </si>
  <si>
    <t>ICICI Home Finance Company Ltd - 16/07/2025**</t>
  </si>
  <si>
    <t>INE700G14NW4</t>
  </si>
  <si>
    <t>HDFC Securities Ltd - 15/07/2025**</t>
  </si>
  <si>
    <t>INE047A14AI9</t>
  </si>
  <si>
    <t>Grasim Industries Ltd - 24/07/2025**</t>
  </si>
  <si>
    <t>INE071G14GU8</t>
  </si>
  <si>
    <t>ICICI Home Finance Company Ltd - 14/08/2025**</t>
  </si>
  <si>
    <t>INE912E14MD2</t>
  </si>
  <si>
    <t>SBI FACTORS LTD - 20/08/2025**</t>
  </si>
  <si>
    <t>INE870H14VF1</t>
  </si>
  <si>
    <t>Network18 Media &amp; Investments Ltd - 28/08/2025**</t>
  </si>
  <si>
    <t>INE912E14MF7</t>
  </si>
  <si>
    <t>SBI FACTORS LTD - 28/08/2025**</t>
  </si>
  <si>
    <t>INE763G14XQ3</t>
  </si>
  <si>
    <t>ICICI Securities Ltd - 09/06/2025**</t>
  </si>
  <si>
    <t>INE763G14XT7</t>
  </si>
  <si>
    <t>ICICI Securities Ltd - 12/06/2025**</t>
  </si>
  <si>
    <t>INE103A14447</t>
  </si>
  <si>
    <t>Mangalore Refinery and Petrochemicals Ltd - 24/07/2025**</t>
  </si>
  <si>
    <t>INE338I14KD5</t>
  </si>
  <si>
    <t>Motilal Oswal Financial Services Ltd - 08/08/2025**</t>
  </si>
  <si>
    <t>INE01C314BP1</t>
  </si>
  <si>
    <t>Bajaj Financial Securities Ltd - 13/08/2025**</t>
  </si>
  <si>
    <t>INE572E14JU4</t>
  </si>
  <si>
    <t>PNB Housing Finance Ltd - 18/08/2025**</t>
  </si>
  <si>
    <t>INE261F14NT5</t>
  </si>
  <si>
    <t>National Bank for Agriculture &amp; Rural Development - 22/08/2025**</t>
  </si>
  <si>
    <t>INE144H14HO2</t>
  </si>
  <si>
    <t>Deutsche Investments India Private Ltd - 19/08/2025**</t>
  </si>
  <si>
    <t>INE850D14TZ4</t>
  </si>
  <si>
    <t>Godrej Agrovet Ltd - 26/08/2025**</t>
  </si>
  <si>
    <t>INE865C14NT0</t>
  </si>
  <si>
    <t>Aditya Birla Money Ltd - 25/08/2025**</t>
  </si>
  <si>
    <t>INE212K14AU3</t>
  </si>
  <si>
    <t>SBI Cap securities Ltd - 18/06/2025</t>
  </si>
  <si>
    <t>INE790I14FX5</t>
  </si>
  <si>
    <t>HSBC InvestDirect Financial Services India Limited - 25/06/2025**</t>
  </si>
  <si>
    <t>INE338I14KF0</t>
  </si>
  <si>
    <t>Motilal Oswal Financial Services Ltd - 14/08/2025**</t>
  </si>
  <si>
    <t>INE417C14959</t>
  </si>
  <si>
    <t>Pilani Investment and Industries Corporation Ltd. - 22/08/2025**</t>
  </si>
  <si>
    <t>IN002025X059</t>
  </si>
  <si>
    <t>91 Days - T Bill - 01/08/2025</t>
  </si>
  <si>
    <t>IN002024X508</t>
  </si>
  <si>
    <t>91 Days - T Bill - 19/06/2025</t>
  </si>
  <si>
    <t>IN002024Z198</t>
  </si>
  <si>
    <t>364 Days - T Bill - 07/08/2025</t>
  </si>
  <si>
    <t>IN002024Y373</t>
  </si>
  <si>
    <t>182 Days - T Bill - 27/06/2025</t>
  </si>
  <si>
    <t>IN002024Z222</t>
  </si>
  <si>
    <t>364 Days - T Bill - 28/08/2025</t>
  </si>
  <si>
    <t>Sundaram Short Duration Fund</t>
  </si>
  <si>
    <t>INE134E08MJ2</t>
  </si>
  <si>
    <t>Power Finance Corporation Ltd - 7.77% - 15/04/2028**</t>
  </si>
  <si>
    <t>INE121A07RZ4</t>
  </si>
  <si>
    <t>Cholamandalam Investment and Finance Co Ltd - 8.54% - 12/04/2029**</t>
  </si>
  <si>
    <t>INE020B08EI8</t>
  </si>
  <si>
    <t>REC LTD - 7.51% - 31/07/2026</t>
  </si>
  <si>
    <t>INE134E08LP1</t>
  </si>
  <si>
    <t>Power Finance Corporation Ltd - 7.13% - 15/07/2026</t>
  </si>
  <si>
    <t>INE146O07557</t>
  </si>
  <si>
    <t>Hinduja Leyland Finance Ltd - 8.4% - 06/05/2027**</t>
  </si>
  <si>
    <t>INE115A07PI6</t>
  </si>
  <si>
    <t>LIC Housing Finance Ltd - 6.17% - 03/09/2026**</t>
  </si>
  <si>
    <t>IN3120230484</t>
  </si>
  <si>
    <t>7.44% Tamil Nadu State Government Securities -20/03/2034</t>
  </si>
  <si>
    <t>Sundaram Ultra Short Duration Fund</t>
  </si>
  <si>
    <t>INE071G07637</t>
  </si>
  <si>
    <t>ICICI Home Finance Company Ltd - 8.061% - 25/03/2026**</t>
  </si>
  <si>
    <t>INE756I07EJ2</t>
  </si>
  <si>
    <t>HDB Financial Services Ltd - 7.65% - 10/09/2027**</t>
  </si>
  <si>
    <t>INE756I07EI4</t>
  </si>
  <si>
    <t>HDB Financial Services Ltd - 7.5% - 23/09/2025**</t>
  </si>
  <si>
    <t>INE756I07EN4</t>
  </si>
  <si>
    <t>HDB Financial Services Ltd - 7.84% - 14/07/2026**</t>
  </si>
  <si>
    <t>INE040A16FM0</t>
  </si>
  <si>
    <t>HDFC Bank Ltd - 19/09/2025**</t>
  </si>
  <si>
    <t>INE171A16MM9</t>
  </si>
  <si>
    <t>The Federal Bank Ltd - 28/11/2025**</t>
  </si>
  <si>
    <t>INE238AD6991</t>
  </si>
  <si>
    <t>Axis Bank Ltd - 12/11/2025**</t>
  </si>
  <si>
    <t>INE238AD6983</t>
  </si>
  <si>
    <t>Axis Bank Ltd - 13/11/2025</t>
  </si>
  <si>
    <t>INE692A16IC3</t>
  </si>
  <si>
    <t>Union Bank of India - 04/12/2025**</t>
  </si>
  <si>
    <t>INE556F16AX2</t>
  </si>
  <si>
    <t>Small Industries Development Bank of India - 05/12/2025</t>
  </si>
  <si>
    <t>INE476A16ZT9</t>
  </si>
  <si>
    <t>Canara Bank - 18/12/2025**</t>
  </si>
  <si>
    <t>INE476A16A24</t>
  </si>
  <si>
    <t>Canara Bank - 03/02/2026**</t>
  </si>
  <si>
    <t>INE095A16Y50</t>
  </si>
  <si>
    <t>IndusInd Bank Ltd - 04/02/2026**</t>
  </si>
  <si>
    <t>INE238AD6900</t>
  </si>
  <si>
    <t>Axis Bank Ltd - 04/09/2025</t>
  </si>
  <si>
    <t>INE171A16MK3</t>
  </si>
  <si>
    <t>The Federal Bank Ltd - 25/11/2025**</t>
  </si>
  <si>
    <t>INE040A16FY5</t>
  </si>
  <si>
    <t>HDFC Bank Ltd - 04/12/2025**</t>
  </si>
  <si>
    <t>INE692A16II0</t>
  </si>
  <si>
    <t>Union Bank of India - 18/12/2025**</t>
  </si>
  <si>
    <t>INE556F16AY0</t>
  </si>
  <si>
    <t>Small Industries Development Bank of India - 13/01/2026**</t>
  </si>
  <si>
    <t>INE261F16975</t>
  </si>
  <si>
    <t>National Bank for Agriculture &amp; Rural Development - 10/03/2026**</t>
  </si>
  <si>
    <t>INE556F16BD2</t>
  </si>
  <si>
    <t>Small Industries Development Bank of India - 11/03/2026**</t>
  </si>
  <si>
    <t>INE115A14FF9</t>
  </si>
  <si>
    <t>LIC Housing Finance Ltd - 11/09/2025**</t>
  </si>
  <si>
    <t>INE121A14XQ7</t>
  </si>
  <si>
    <t>Cholamandalam Investment and Finance Co Ltd - 28/05/2026**</t>
  </si>
  <si>
    <t>INE824H14QT9</t>
  </si>
  <si>
    <t>Julius Baer Capital (India) Private Ltd - 17/06/2025**</t>
  </si>
  <si>
    <t>Sundaram Medium Duration Fund</t>
  </si>
  <si>
    <t>IN0020210186</t>
  </si>
  <si>
    <t>5.74% Central Government Securities 15/11/2026</t>
  </si>
  <si>
    <t>Sundaram Conservative Hybrid Fund</t>
  </si>
  <si>
    <t>INE040A01034</t>
  </si>
  <si>
    <t>HDFC Bank Ltd</t>
  </si>
  <si>
    <t>Banks</t>
  </si>
  <si>
    <t>INE090A01021</t>
  </si>
  <si>
    <t>ICICI Bank Ltd</t>
  </si>
  <si>
    <t>INE002A01018</t>
  </si>
  <si>
    <t>Reliance Industries Ltd</t>
  </si>
  <si>
    <t>Petroleum Products</t>
  </si>
  <si>
    <t>INE397D01024</t>
  </si>
  <si>
    <t>Bharti Airtel Ltd</t>
  </si>
  <si>
    <t>Telecom - Services</t>
  </si>
  <si>
    <t>INE860A01027</t>
  </si>
  <si>
    <t>HCL Technologies Ltd</t>
  </si>
  <si>
    <t>It - Software</t>
  </si>
  <si>
    <t>INE009A01021</t>
  </si>
  <si>
    <t>Infosys Ltd</t>
  </si>
  <si>
    <t>INE238A01034</t>
  </si>
  <si>
    <t>Axis Bank Ltd</t>
  </si>
  <si>
    <t>INE062A01020</t>
  </si>
  <si>
    <t>State Bank of India</t>
  </si>
  <si>
    <t>INE154A01025</t>
  </si>
  <si>
    <t>ITC Ltd</t>
  </si>
  <si>
    <t>Diversified Fmcg</t>
  </si>
  <si>
    <t>INE029A01011</t>
  </si>
  <si>
    <t>Bharat Petroleum Corporation Ltd</t>
  </si>
  <si>
    <t>INE018A01030</t>
  </si>
  <si>
    <t>Larsen &amp; Toubro Ltd</t>
  </si>
  <si>
    <t>Construction</t>
  </si>
  <si>
    <t>INE196A01026</t>
  </si>
  <si>
    <t>Marico Ltd</t>
  </si>
  <si>
    <t>Agricultural Food &amp; Other Products</t>
  </si>
  <si>
    <t>INE481G01011</t>
  </si>
  <si>
    <t>Ultratech Cement Ltd</t>
  </si>
  <si>
    <t>Cement &amp; Cement Products</t>
  </si>
  <si>
    <t>INE237A01028</t>
  </si>
  <si>
    <t>Kotak Mahindra Bank Ltd</t>
  </si>
  <si>
    <t>INE917I01010</t>
  </si>
  <si>
    <t>Bajaj Auto Ltd</t>
  </si>
  <si>
    <t>Automobiles</t>
  </si>
  <si>
    <t>INE854D01024</t>
  </si>
  <si>
    <t>United Spirits Ltd</t>
  </si>
  <si>
    <t>Beverages</t>
  </si>
  <si>
    <t>INE726G01019</t>
  </si>
  <si>
    <t>ICICI Prudential Life Insurance Company Ltd</t>
  </si>
  <si>
    <t>Insurance</t>
  </si>
  <si>
    <t>INE797F01020</t>
  </si>
  <si>
    <t>Jubilant Foodworks Ltd</t>
  </si>
  <si>
    <t>Leisure Services</t>
  </si>
  <si>
    <t>INE540L01014</t>
  </si>
  <si>
    <t>Alkem Laboratories Ltd</t>
  </si>
  <si>
    <t>Pharmaceuticals &amp; Biotechnology</t>
  </si>
  <si>
    <t>INE585B01010</t>
  </si>
  <si>
    <t>Maruti Suzuki India Ltd</t>
  </si>
  <si>
    <t>INE603J01030</t>
  </si>
  <si>
    <t>PI Industries Ltd</t>
  </si>
  <si>
    <t>Fertilizers &amp; Agrochemicals</t>
  </si>
  <si>
    <t>INE047A01021</t>
  </si>
  <si>
    <t>Grasim Industries Ltd</t>
  </si>
  <si>
    <t>IN9397D01014</t>
  </si>
  <si>
    <t>Sundaram Overnight Fund</t>
  </si>
  <si>
    <t>IN002024X482</t>
  </si>
  <si>
    <t>91 Days - T Bill - 05/06/2025</t>
  </si>
  <si>
    <t>IN002024X490</t>
  </si>
  <si>
    <t>91 Days - T Bill - 12/06/2025</t>
  </si>
  <si>
    <t>IN002024Y365</t>
  </si>
  <si>
    <t>182 Days - T Bill - 19/06/2025</t>
  </si>
  <si>
    <t>Fortnightly Portfolio Statement as on 31 May 2025</t>
  </si>
  <si>
    <t>YTM (%)*</t>
  </si>
  <si>
    <t>S. No.</t>
  </si>
  <si>
    <t>ACRONYM</t>
  </si>
  <si>
    <t>SCHEME NAME</t>
  </si>
  <si>
    <t>SFRLTP</t>
  </si>
  <si>
    <t>SFRSTP</t>
  </si>
  <si>
    <t>SMMF</t>
  </si>
  <si>
    <t>SPLDF</t>
  </si>
  <si>
    <t>SPMON</t>
  </si>
  <si>
    <t>SPSDF</t>
  </si>
  <si>
    <t>SPUSDF</t>
  </si>
  <si>
    <t>SUNBDS</t>
  </si>
  <si>
    <t>SUNMIA</t>
  </si>
  <si>
    <t>SUNONF</t>
  </si>
  <si>
    <t>(b) Corporate Debt Market Development Fund</t>
  </si>
  <si>
    <t>**Non Traded Securities - Wherever applicable</t>
  </si>
  <si>
    <t>^ Net current assets includes interest accrued on fixed income securities - Wherever applicable</t>
  </si>
  <si>
    <t># percentage to NAV of security is less than 0.01% - Wherever applicable</t>
  </si>
  <si>
    <t>At the beginning</t>
  </si>
  <si>
    <t>d) IDCW declared during the period (Rupees per unit)</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</si>
  <si>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</si>
  <si>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</si>
  <si>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</si>
  <si>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</si>
  <si>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</si>
  <si>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</si>
  <si>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</si>
  <si>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</si>
  <si>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</si>
  <si>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Scheme Riskometer :</t>
  </si>
  <si>
    <t>Tier I Benchmark Riskometer :</t>
  </si>
  <si>
    <t xml:space="preserve">                    NIFTY Corporate Bond Index A-II</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</si>
  <si>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</si>
  <si>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</si>
  <si>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</si>
  <si>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</si>
  <si>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           NIFTY Banking and PSU Debt Index A-II</t>
  </si>
  <si>
    <t>++ Aggregate Investments by Other schemes of Sundaram Mutual Fund - Rs.17,110.13 Lakhs</t>
  </si>
  <si>
    <t xml:space="preserve">                    NIFTY Money Market Index A-I</t>
  </si>
  <si>
    <t>INE0JEI23010</t>
  </si>
  <si>
    <t>Roadstar Infra Investment Trust (InvIT)</t>
  </si>
  <si>
    <t>Services</t>
  </si>
  <si>
    <t>#</t>
  </si>
  <si>
    <t>Refer below point i)</t>
  </si>
  <si>
    <t>Average Maturity  (years)</t>
  </si>
  <si>
    <t>ISIN</t>
  </si>
  <si>
    <t>NAME OF THE SECURITY</t>
  </si>
  <si>
    <t>VALUE OF THE SECURITY CONSIDERED UNDER NET RECEIVABLES</t>
  </si>
  <si>
    <t>% TO AUM</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</si>
  <si>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</si>
  <si>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</si>
  <si>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</si>
  <si>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</si>
  <si>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</si>
  <si>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</si>
  <si>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</si>
  <si>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 (Rs. in Lacs)</t>
  </si>
  <si>
    <t>Amount Recovered 30th Sep 2021</t>
  </si>
  <si>
    <t xml:space="preserve">Further amount received on 31-Aug-2024 </t>
  </si>
  <si>
    <t xml:space="preserve">Total settlement till date  </t>
  </si>
  <si>
    <t xml:space="preserve">PRINCIPAL </t>
  </si>
  <si>
    <t>Interest Accrued till 3rd June 2019</t>
  </si>
  <si>
    <t xml:space="preserve">Interest not accrued due to category by rating agency as default till maturity </t>
  </si>
  <si>
    <t xml:space="preserve">Total </t>
  </si>
  <si>
    <t xml:space="preserve"> ## (Rs. in Lacs)</t>
  </si>
  <si>
    <t xml:space="preserve">Total Cost  </t>
  </si>
  <si>
    <t xml:space="preserve">Discounting Charges / Interest accrued till maturity </t>
  </si>
  <si>
    <t>Total CP Outstanding</t>
  </si>
  <si>
    <t xml:space="preserve"> Amount Recovered - 06th Mar 2025</t>
  </si>
  <si>
    <t>Total settlement till date</t>
  </si>
  <si>
    <t>CASH</t>
  </si>
  <si>
    <t>INVIT Units</t>
  </si>
  <si>
    <t>INE121H14JU3</t>
  </si>
  <si>
    <t xml:space="preserve">IL&amp;FS Financial Services Ltd. 24SEP18 CP </t>
  </si>
  <si>
    <t>## The Boards of these companies have set February 17th as the record date for the allocation of InvIT units and cash distribution. Accordingly, on the 5th of March 2025, we received the Total cash of Rs. 3.17 Crs .Further as a part of the distribution we have received  INVITs amounting to Rs. 2 Crs having face value is Rs. 25,00,000 per unit subsequently in the month of April ’25. The above-mentioned cash and  INVITs units are allocated to respective scheme based  on their exposure.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</si>
  <si>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</si>
  <si>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</si>
  <si>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</si>
  <si>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</si>
  <si>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https://www.sundarammutual.com/pdf2/2025/Rationale_for_Valuation/Update_on_ILFS_Financial_Services_Recovery_06_03_2025.pdf</t>
  </si>
  <si>
    <t xml:space="preserve">              NIFTY Low Duration Debt Index A-I</t>
  </si>
  <si>
    <t>++ Aggregate Investments by Other schemes of Sundaram Mutual Fund - Rs. 6,889.25 Lakhs</t>
  </si>
  <si>
    <t>Amount Recovered - 06th Mar 2025</t>
  </si>
  <si>
    <t xml:space="preserve">                      NIFTY Liquid Index A-I</t>
  </si>
  <si>
    <t>9.05% Dewan Housing Finance Corporation Ltd-NCD-09/09/2019</t>
  </si>
  <si>
    <t>Dewan Housing Finance Corporation Ltd-9.10%-09/09/2019</t>
  </si>
  <si>
    <t>INE202B07654</t>
  </si>
  <si>
    <t>11.55%_Prev 11.45%-Dewan Housing Finance Corp Ltd-12/09/2019  ##</t>
  </si>
  <si>
    <t>9.10%-Dewan Housing Finance Corporation Ltd-16/08/2019 ##</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</si>
  <si>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</si>
  <si>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</si>
  <si>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</si>
  <si>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</si>
  <si>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</si>
  <si>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</si>
  <si>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</si>
  <si>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</si>
  <si>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</si>
  <si>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</si>
  <si>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Nifty Short Duration Debt Index A-II</t>
  </si>
  <si>
    <t>Interest Rate Swaps</t>
  </si>
  <si>
    <t>Interest Rate Swaps Pay Fix Receive Floating (11/12/2025) (FV 2500 Lacs)~</t>
  </si>
  <si>
    <t>Interest Rate Swaps Pay Fix Receive Floating (06/03/2026) (FV 2500 Lacs)~</t>
  </si>
  <si>
    <t>Interest Rate Swaps Pay Fix Receive Floating (20/03/2026) (FV 2500 Lacs)~</t>
  </si>
  <si>
    <t>Interest Rate Swaps Pay Fix Receive Floating (26/05/2026) (FV 2500 Lacs)~</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</si>
  <si>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</si>
  <si>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Refer below point h)</t>
  </si>
  <si>
    <t>Swap Type</t>
  </si>
  <si>
    <t>Underlying Security</t>
  </si>
  <si>
    <t>Long Position</t>
  </si>
  <si>
    <t>Short Position</t>
  </si>
  <si>
    <t>Notional Value (Rs. in lacs.)</t>
  </si>
  <si>
    <t>Maturity date</t>
  </si>
  <si>
    <t>Fixed to Float</t>
  </si>
  <si>
    <t xml:space="preserve">Shriram Finance Ltd </t>
  </si>
  <si>
    <t>Receiving Floating</t>
  </si>
  <si>
    <t>Pay Fixed</t>
  </si>
  <si>
    <t>NABARD</t>
  </si>
  <si>
    <t>REC Ltd</t>
  </si>
  <si>
    <t xml:space="preserve">          NIFTY Ultra Short Duration Debt Index A-I</t>
  </si>
  <si>
    <t>Regular Plan - Quarterly IDCW</t>
  </si>
  <si>
    <t>INE528G08394</t>
  </si>
  <si>
    <t>9%-YES BANK LTD-NCD-Call opt-18/10/2022-Perpetual Bond $</t>
  </si>
  <si>
    <t>TOTAL AMOUNT INCLUDING INTEREST DUE TO THE SCHEME</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</si>
  <si>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</si>
  <si>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</si>
  <si>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</si>
  <si>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 xml:space="preserve">          NIFTY Medium Duration Debt Index A-III</t>
  </si>
  <si>
    <t>INE0GGX23010</t>
  </si>
  <si>
    <t>Power Grid Infrastructure Investment Trust(InvIT)</t>
  </si>
  <si>
    <t>Power</t>
  </si>
  <si>
    <t>Bharti Airtel Ltd - Partly Paid Right Shares</t>
  </si>
  <si>
    <t>Macaulay Duration - only for Debt portion (years)</t>
  </si>
  <si>
    <t>Average Maturity  - only for Debt portion (years)</t>
  </si>
  <si>
    <t>VALUE OF THE SECURITY CONSIDERED 
UNDER NET RECEIVABLES</t>
  </si>
  <si>
    <t xml:space="preserve">11.55% Prev 11.45%-Dewan Housing Finance Corp Ltd-12/09/2019  </t>
  </si>
  <si>
    <t>Amount Recovered (Rs. In Lacs) 30th Sep 2021</t>
  </si>
  <si>
    <t>Further amount received on 31/08/2024  (Rs. In Lacs)</t>
  </si>
  <si>
    <t xml:space="preserve">11.55%_Prev 11.45%-Dewan Housing Finance Corp Ltd-12/09/2019  </t>
  </si>
  <si>
    <t xml:space="preserve">      CRISIL Hybrid 85 Plus 15 - Conservative Index</t>
  </si>
  <si>
    <t>Macaulay Duration (Days)</t>
  </si>
  <si>
    <t>Average Maturity (Days)</t>
  </si>
  <si>
    <t xml:space="preserve">                        NIFTY 1D Rate Index</t>
  </si>
  <si>
    <t>YTM (%)</t>
  </si>
  <si>
    <t>Direct Plan - Quarterly IDCW</t>
  </si>
  <si>
    <t>Direct Plan - Annual IDCW</t>
  </si>
  <si>
    <t>Regular Plan - Halfyearly IDCW</t>
  </si>
  <si>
    <t>Regular Plan - Annual IDCW</t>
  </si>
  <si>
    <t>Direct Plan - Monthly IDCW</t>
  </si>
  <si>
    <t>Direct Plan - Halfyearly IDCW</t>
  </si>
  <si>
    <t>Regular Plan - Monthly IDCW</t>
  </si>
  <si>
    <t>31-May-2025</t>
  </si>
  <si>
    <t>i) Exposure to securities classified as below investment grade or default as on 31-May-2025:-</t>
  </si>
  <si>
    <t>h)  Hedging Positions through Swaps as on 31-May-2025:-</t>
  </si>
  <si>
    <t>% to AUM as on  31-May-2025</t>
  </si>
  <si>
    <t>h) Exposure to securities classified as below investment grade or default as on 31-May-2025:-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</si>
</sst>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0;\-#,##0.000000"/>
    <numFmt numFmtId="173" formatCode="[$-1014009]#,##0.00;\(#,##0.00\)"/>
    <numFmt numFmtId="174" formatCode="dd\-mmm\-yyyy"/>
    <numFmt numFmtId="175" formatCode="[$-1014009]#,##0;\(#,##0\)"/>
    <numFmt numFmtId="176" formatCode="dd/mmm/yyyy"/>
  </numFmts>
  <fonts count="40" x14ac:knownFonts="1">
    <font>
      <sz val="10"/>
      <name val="Arial"/>
      <charset val="1"/>
    </font>
    <font>
      <sz val="11"/>
      <color theme="1"/>
      <name val="Aptos Narrow"/>
      <family val="2"/>
      <scheme val="minor"/>
    </font>
    <font>
      <sz val="11"/>
      <color theme="1"/>
      <name val="Aptos Narrow"/>
      <family val="2"/>
      <scheme val="minor"/>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sz val="10"/>
      <name val="Arial"/>
      <family val="2"/>
    </font>
    <font>
      <b/>
      <sz val="11"/>
      <color theme="0"/>
      <name val="Aptos Narrow"/>
      <family val="2"/>
      <scheme val="minor"/>
    </font>
    <font>
      <sz val="11"/>
      <color theme="0"/>
      <name val="Aptos Narrow"/>
      <family val="2"/>
      <scheme val="minor"/>
    </font>
    <font>
      <b/>
      <sz val="11"/>
      <color theme="1"/>
      <name val="Calibri"/>
      <family val="2"/>
    </font>
    <font>
      <b/>
      <sz val="11"/>
      <name val="Calibri"/>
      <family val="2"/>
    </font>
    <font>
      <sz val="11"/>
      <color theme="1"/>
      <name val="Calibri"/>
      <family val="2"/>
    </font>
    <font>
      <u/>
      <sz val="11"/>
      <color theme="10"/>
      <name val="Calibri"/>
      <family val="2"/>
    </font>
    <font>
      <sz val="11"/>
      <name val="Calibri"/>
      <family val="2"/>
    </font>
    <font>
      <b/>
      <i/>
      <sz val="10"/>
      <color indexed="8"/>
      <name val="Calibri"/>
      <family val="2"/>
    </font>
    <font>
      <sz val="10"/>
      <name val="Calibri"/>
      <family val="2"/>
    </font>
    <font>
      <b/>
      <sz val="10"/>
      <name val="Calibri"/>
      <family val="2"/>
    </font>
    <font>
      <b/>
      <sz val="10"/>
      <name val="Arial"/>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u/>
      <sz val="8.5"/>
      <name val="Verdana"/>
      <family val="2"/>
    </font>
    <font>
      <sz val="8.5"/>
      <name val="Verdan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theme="1"/>
      <name val="Arial"/>
      <family val="2"/>
    </font>
    <font>
      <sz val="11"/>
      <name val="Aptos Narrow"/>
      <family val="2"/>
      <scheme val="minor"/>
    </font>
    <font>
      <b/>
      <sz val="10"/>
      <color theme="1"/>
      <name val="Calibri"/>
      <family val="2"/>
    </font>
    <font>
      <sz val="10"/>
      <color theme="1"/>
      <name val="Calibri"/>
      <family val="2"/>
    </font>
    <font>
      <b/>
      <sz val="11"/>
      <name val="Aptos Narrow"/>
      <family val="2"/>
      <scheme val="minor"/>
    </font>
  </fonts>
  <fills count="2">
    <fill>
      <patternFill patternType="none"/>
    </fill>
    <fill>
      <patternFill patternType="gray125"/>
    </fill>
  </fills>
  <borders count="2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0">
    <xf numFmtId="0" fontId="0" fillId="0" borderId="0">
      <alignment wrapText="1"/>
    </xf>
    <xf numFmtId="164" fontId="7" fillId="0" borderId="0" applyFont="0" applyFill="0" applyBorder="0" applyAlignment="0" applyProtection="0"/>
    <xf numFmtId="0" fontId="9" fillId="0" borderId="0" applyNumberFormat="0" applyFill="0" applyBorder="0" applyAlignment="0" applyProtection="0">
      <alignment wrapText="1"/>
    </xf>
    <xf numFmtId="164" fontId="13" fillId="0" borderId="0" applyFont="0" applyFill="0" applyBorder="0" applyAlignment="0" applyProtection="0"/>
    <xf numFmtId="9" fontId="13" fillId="0" borderId="0" applyFont="0" applyFill="0" applyBorder="0" applyAlignment="0" applyProtection="0"/>
    <xf numFmtId="0" fontId="2" fillId="0" borderId="0"/>
    <xf numFmtId="0" fontId="2" fillId="0" borderId="0"/>
    <xf numFmtId="0" fontId="7" fillId="0" borderId="0">
      <alignment wrapText="1"/>
    </xf>
    <xf numFmtId="164" fontId="7" fillId="0" borderId="0" applyFont="0" applyFill="0" applyBorder="0" applyAlignment="0" applyProtection="0"/>
    <xf numFmtId="9" fontId="27" fillId="0" borderId="0" applyFont="0" applyFill="0" applyBorder="0" applyAlignment="0" applyProtection="0"/>
    <xf numFmtId="164" fontId="7" fillId="0" borderId="0" applyFont="0" applyFill="0" applyBorder="0" applyAlignment="0" applyProtection="0"/>
    <xf numFmtId="0" fontId="2" fillId="0" borderId="0"/>
    <xf numFmtId="0" fontId="2" fillId="0" borderId="0"/>
    <xf numFmtId="164" fontId="7" fillId="0" borderId="0" applyFont="0" applyFill="0" applyBorder="0" applyAlignment="0" applyProtection="0"/>
    <xf numFmtId="0" fontId="1" fillId="0" borderId="0"/>
    <xf numFmtId="164" fontId="7" fillId="0" borderId="0" applyFont="0" applyFill="0" applyBorder="0" applyAlignment="0" applyProtection="0"/>
    <xf numFmtId="164" fontId="7" fillId="0" borderId="0" applyFont="0" applyFill="0" applyBorder="0" applyAlignment="0" applyProtection="0"/>
    <xf numFmtId="0" fontId="1" fillId="0" borderId="0"/>
    <xf numFmtId="0" fontId="1" fillId="0" borderId="0"/>
    <xf numFmtId="0" fontId="1" fillId="0" borderId="0"/>
  </cellStyleXfs>
  <cellXfs count="244">
    <xf numFmtId="0" fontId="0" fillId="0" borderId="0" xfId="0">
      <alignment wrapText="1"/>
    </xf>
    <xf numFmtId="0" fontId="16" fillId="0" borderId="7" xfId="5" applyFont="1" applyBorder="1" applyAlignment="1">
      <alignment horizontal="center"/>
    </xf>
    <xf numFmtId="0" fontId="17" fillId="0" borderId="7" xfId="5" applyFont="1" applyBorder="1" applyAlignment="1">
      <alignment horizontal="center" vertical="center"/>
    </xf>
    <xf numFmtId="0" fontId="18" fillId="0" borderId="0" xfId="6" applyFont="1"/>
    <xf numFmtId="0" fontId="18" fillId="0" borderId="7" xfId="5" applyFont="1" applyBorder="1" applyAlignment="1">
      <alignment horizontal="center"/>
    </xf>
    <xf numFmtId="0" fontId="19" fillId="0" borderId="7" xfId="2" applyFont="1" applyFill="1" applyBorder="1" applyAlignment="1">
      <alignment vertical="center"/>
    </xf>
    <xf numFmtId="0" fontId="20" fillId="0" borderId="7" xfId="5" applyFont="1" applyBorder="1" applyAlignment="1">
      <alignment vertical="top"/>
    </xf>
    <xf numFmtId="4" fontId="26" fillId="0" borderId="9" xfId="9" applyNumberFormat="1" applyFont="1" applyFill="1" applyBorder="1"/>
    <xf numFmtId="164" fontId="26" fillId="0" borderId="9" xfId="10" applyFont="1" applyFill="1" applyBorder="1"/>
    <xf numFmtId="164" fontId="26" fillId="0" borderId="0" xfId="8" applyFont="1" applyFill="1" applyBorder="1"/>
    <xf numFmtId="164" fontId="26" fillId="0" borderId="7" xfId="10" applyFont="1" applyFill="1" applyBorder="1"/>
    <xf numFmtId="4" fontId="26" fillId="0" borderId="7" xfId="9" applyNumberFormat="1" applyFont="1" applyFill="1" applyBorder="1"/>
    <xf numFmtId="164" fontId="8" fillId="0" borderId="7" xfId="1" applyFont="1" applyFill="1" applyBorder="1" applyAlignment="1">
      <alignment horizontal="center" vertical="center" wrapText="1" readingOrder="1"/>
    </xf>
    <xf numFmtId="0" fontId="0" fillId="0" borderId="0" xfId="0" applyAlignment="1">
      <alignment horizontal="center" vertical="center" wrapText="1"/>
    </xf>
    <xf numFmtId="0" fontId="8" fillId="0" borderId="7" xfId="0" applyFont="1" applyBorder="1" applyAlignment="1">
      <alignment horizontal="center" vertical="center" wrapText="1" readingOrder="1"/>
    </xf>
    <xf numFmtId="0" fontId="10" fillId="0" borderId="0" xfId="2" applyFont="1" applyFill="1" applyBorder="1" applyAlignment="1">
      <alignment horizontal="center" vertical="center" wrapText="1"/>
    </xf>
    <xf numFmtId="4" fontId="26" fillId="0" borderId="0" xfId="9" applyNumberFormat="1" applyFont="1" applyFill="1" applyBorder="1"/>
    <xf numFmtId="0" fontId="11" fillId="0" borderId="4" xfId="0" applyFont="1" applyBorder="1" applyAlignment="1">
      <alignment horizontal="right" vertical="top" wrapText="1" readingOrder="1"/>
    </xf>
    <xf numFmtId="0" fontId="12" fillId="0" borderId="4" xfId="0" applyFont="1" applyBorder="1" applyAlignment="1">
      <alignment horizontal="left" vertical="center" wrapText="1" readingOrder="1"/>
    </xf>
    <xf numFmtId="166" fontId="11" fillId="0" borderId="8" xfId="0" applyNumberFormat="1" applyFont="1" applyBorder="1" applyAlignment="1">
      <alignment horizontal="right" vertical="center" wrapText="1" readingOrder="1"/>
    </xf>
    <xf numFmtId="0" fontId="3" fillId="0" borderId="4" xfId="0" applyFont="1" applyBorder="1" applyAlignment="1">
      <alignment horizontal="right" vertical="top" wrapText="1" readingOrder="1"/>
    </xf>
    <xf numFmtId="0" fontId="4" fillId="0" borderId="4" xfId="0" applyFont="1" applyBorder="1" applyAlignment="1">
      <alignment horizontal="left" vertical="center" wrapText="1" readingOrder="1"/>
    </xf>
    <xf numFmtId="0" fontId="4" fillId="0" borderId="4" xfId="0" applyFont="1" applyBorder="1" applyAlignment="1">
      <alignment horizontal="right" vertical="center" wrapText="1" readingOrder="1"/>
    </xf>
    <xf numFmtId="165" fontId="4"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0" fontId="5" fillId="0" borderId="4" xfId="0" applyFont="1" applyBorder="1" applyAlignment="1">
      <alignment horizontal="right" vertical="center" wrapText="1" readingOrder="1"/>
    </xf>
    <xf numFmtId="166" fontId="4" fillId="0" borderId="4" xfId="0" applyNumberFormat="1" applyFont="1" applyBorder="1" applyAlignment="1">
      <alignment horizontal="right" vertical="center" wrapText="1" readingOrder="1"/>
    </xf>
    <xf numFmtId="167" fontId="3" fillId="0" borderId="4" xfId="0" applyNumberFormat="1" applyFont="1" applyBorder="1" applyAlignment="1">
      <alignment horizontal="right" vertical="center" wrapText="1" readingOrder="1"/>
    </xf>
    <xf numFmtId="0" fontId="3" fillId="0" borderId="4" xfId="0" applyFont="1" applyBorder="1" applyAlignment="1">
      <alignment horizontal="left" vertical="center" wrapText="1" readingOrder="1"/>
    </xf>
    <xf numFmtId="168" fontId="3" fillId="0" borderId="4" xfId="0" applyNumberFormat="1" applyFont="1" applyBorder="1" applyAlignment="1">
      <alignment horizontal="right" vertical="center" wrapText="1" readingOrder="1"/>
    </xf>
    <xf numFmtId="166" fontId="3" fillId="0" borderId="4" xfId="0" applyNumberFormat="1"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0" fontId="3" fillId="0" borderId="4" xfId="0" applyFont="1" applyBorder="1" applyAlignment="1">
      <alignment horizontal="right" vertical="center" wrapText="1" readingOrder="1"/>
    </xf>
    <xf numFmtId="170" fontId="4" fillId="0" borderId="4" xfId="0" applyNumberFormat="1" applyFont="1" applyBorder="1" applyAlignment="1">
      <alignment horizontal="right" vertical="center" wrapText="1" readingOrder="1"/>
    </xf>
    <xf numFmtId="0" fontId="5" fillId="0" borderId="5" xfId="0" applyFont="1" applyBorder="1" applyAlignment="1">
      <alignment horizontal="left" vertical="center" wrapText="1" readingOrder="1"/>
    </xf>
    <xf numFmtId="0" fontId="5" fillId="0" borderId="5" xfId="0" applyFont="1" applyBorder="1" applyAlignment="1">
      <alignment horizontal="right" vertical="center" wrapText="1" readingOrder="1"/>
    </xf>
    <xf numFmtId="0" fontId="21" fillId="0" borderId="0" xfId="0" applyFont="1" applyAlignment="1">
      <alignment horizontal="left" vertical="center" wrapText="1" readingOrder="1"/>
    </xf>
    <xf numFmtId="0" fontId="11" fillId="0" borderId="0" xfId="0" applyFont="1" applyAlignment="1">
      <alignment horizontal="lef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21" fillId="0" borderId="6" xfId="0" applyFont="1" applyBorder="1" applyAlignment="1">
      <alignment horizontal="right" vertical="center" wrapText="1" readingOrder="1"/>
    </xf>
    <xf numFmtId="0" fontId="21" fillId="0" borderId="0" xfId="0" applyFont="1" applyAlignment="1">
      <alignment horizontal="right" vertical="center" wrapText="1" readingOrder="1"/>
    </xf>
    <xf numFmtId="0" fontId="21" fillId="0" borderId="4" xfId="0" applyFont="1" applyBorder="1" applyAlignment="1">
      <alignment horizontal="right" vertical="center" wrapText="1" readingOrder="1"/>
    </xf>
    <xf numFmtId="0" fontId="11" fillId="0" borderId="0" xfId="0" applyFont="1" applyAlignment="1">
      <alignment horizontal="right" vertical="top" wrapText="1" readingOrder="1"/>
    </xf>
    <xf numFmtId="0" fontId="12" fillId="0" borderId="4" xfId="0" applyFont="1" applyBorder="1" applyAlignment="1">
      <alignment horizontal="right" vertical="top" wrapText="1" readingOrder="1"/>
    </xf>
    <xf numFmtId="0" fontId="12" fillId="0" borderId="4" xfId="0" applyFont="1" applyBorder="1" applyAlignment="1">
      <alignment horizontal="left" vertical="top" wrapText="1" readingOrder="1"/>
    </xf>
    <xf numFmtId="174" fontId="12" fillId="0" borderId="4" xfId="0" applyNumberFormat="1" applyFont="1" applyBorder="1" applyAlignment="1">
      <alignment horizontal="right" vertical="top" wrapText="1" readingOrder="1"/>
    </xf>
    <xf numFmtId="0" fontId="3" fillId="0" borderId="0" xfId="0" applyFont="1" applyAlignment="1">
      <alignment horizontal="right" vertical="top" wrapText="1" readingOrder="1"/>
    </xf>
    <xf numFmtId="171" fontId="3" fillId="0" borderId="4" xfId="0" applyNumberFormat="1" applyFont="1" applyBorder="1" applyAlignment="1">
      <alignment horizontal="right" vertical="center" wrapText="1" readingOrder="1"/>
    </xf>
    <xf numFmtId="0" fontId="3" fillId="0" borderId="0" xfId="0" applyFont="1" applyAlignment="1">
      <alignment horizontal="left" vertical="center" wrapText="1" readingOrder="1"/>
    </xf>
    <xf numFmtId="0" fontId="3" fillId="0" borderId="0" xfId="0" applyFont="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172" fontId="3" fillId="0" borderId="4" xfId="0" applyNumberFormat="1" applyFont="1" applyBorder="1" applyAlignment="1">
      <alignment horizontal="right" vertical="center" wrapText="1" readingOrder="1"/>
    </xf>
    <xf numFmtId="0" fontId="0" fillId="0" borderId="0" xfId="0" applyAlignment="1">
      <alignment horizontal="center" vertical="top" readingOrder="1"/>
    </xf>
    <xf numFmtId="0" fontId="11" fillId="0" borderId="6" xfId="0" applyFont="1" applyBorder="1" applyAlignment="1">
      <alignment horizontal="right" vertical="top" wrapText="1" readingOrder="1"/>
    </xf>
    <xf numFmtId="0" fontId="7" fillId="0" borderId="0" xfId="7">
      <alignment wrapText="1"/>
    </xf>
    <xf numFmtId="0" fontId="22" fillId="0" borderId="0" xfId="0" applyFont="1" applyAlignment="1">
      <alignment vertical="center" wrapText="1"/>
    </xf>
    <xf numFmtId="0" fontId="0" fillId="0" borderId="0" xfId="0" applyAlignment="1">
      <alignment vertical="center" wrapText="1"/>
    </xf>
    <xf numFmtId="0" fontId="23" fillId="0" borderId="9" xfId="0" applyFont="1" applyBorder="1" applyAlignment="1">
      <alignment horizontal="center" vertical="center" wrapText="1"/>
    </xf>
    <xf numFmtId="0" fontId="22" fillId="0" borderId="9" xfId="0" applyFont="1" applyBorder="1" applyAlignment="1">
      <alignment vertical="center" wrapText="1"/>
    </xf>
    <xf numFmtId="0" fontId="22" fillId="0" borderId="9" xfId="0" applyFont="1" applyBorder="1" applyAlignment="1">
      <alignment horizontal="justify" vertical="center" wrapText="1"/>
    </xf>
    <xf numFmtId="173" fontId="12" fillId="0" borderId="4" xfId="0" applyNumberFormat="1" applyFont="1" applyBorder="1" applyAlignment="1">
      <alignment horizontal="left" vertical="center" wrapText="1" readingOrder="1"/>
    </xf>
    <xf numFmtId="175" fontId="12" fillId="0" borderId="4" xfId="0" applyNumberFormat="1" applyFont="1" applyBorder="1" applyAlignment="1">
      <alignment horizontal="left" vertical="center" wrapText="1" readingOrder="1"/>
    </xf>
    <xf numFmtId="175" fontId="12" fillId="0" borderId="4" xfId="0" quotePrefix="1" applyNumberFormat="1" applyFont="1" applyBorder="1" applyAlignment="1">
      <alignment horizontal="left" vertical="center" wrapText="1" readingOrder="1"/>
    </xf>
    <xf numFmtId="164" fontId="0" fillId="0" borderId="0" xfId="8" applyFont="1" applyFill="1" applyAlignment="1">
      <alignment wrapText="1"/>
    </xf>
    <xf numFmtId="0" fontId="24" fillId="0" borderId="0" xfId="0" applyFont="1">
      <alignment wrapText="1"/>
    </xf>
    <xf numFmtId="0" fontId="24" fillId="0" borderId="0" xfId="0" applyFont="1" applyAlignment="1"/>
    <xf numFmtId="0" fontId="0" fillId="0" borderId="0" xfId="0" applyAlignment="1"/>
    <xf numFmtId="167" fontId="11" fillId="0" borderId="4" xfId="0" applyNumberFormat="1" applyFont="1" applyBorder="1" applyAlignment="1">
      <alignment horizontal="right" vertical="center" wrapText="1" readingOrder="1"/>
    </xf>
    <xf numFmtId="0" fontId="11" fillId="0" borderId="4" xfId="0" applyFont="1" applyBorder="1" applyAlignment="1">
      <alignment horizontal="left" vertical="center" wrapText="1" readingOrder="1"/>
    </xf>
    <xf numFmtId="168" fontId="11" fillId="0" borderId="4" xfId="0" applyNumberFormat="1" applyFont="1" applyBorder="1" applyAlignment="1">
      <alignment horizontal="right" vertical="center" wrapText="1" readingOrder="1"/>
    </xf>
    <xf numFmtId="166" fontId="11" fillId="0" borderId="4" xfId="0" applyNumberFormat="1" applyFont="1" applyBorder="1" applyAlignment="1">
      <alignment horizontal="right" vertical="center" wrapText="1" readingOrder="1"/>
    </xf>
    <xf numFmtId="165" fontId="11" fillId="0" borderId="4" xfId="0" applyNumberFormat="1" applyFont="1" applyBorder="1" applyAlignment="1">
      <alignment horizontal="right" vertical="center" wrapText="1" readingOrder="1"/>
    </xf>
    <xf numFmtId="0" fontId="24" fillId="0" borderId="0" xfId="0" applyFont="1" applyAlignment="1">
      <alignment horizontal="center" vertical="center" wrapText="1"/>
    </xf>
    <xf numFmtId="0" fontId="21" fillId="0" borderId="4" xfId="0" applyFont="1" applyBorder="1" applyAlignment="1">
      <alignment horizontal="left" vertical="center" wrapText="1" readingOrder="1"/>
    </xf>
    <xf numFmtId="166" fontId="11" fillId="0" borderId="9" xfId="0" applyNumberFormat="1" applyFont="1" applyBorder="1" applyAlignment="1">
      <alignment horizontal="right" vertical="center" wrapText="1" readingOrder="1"/>
    </xf>
    <xf numFmtId="0" fontId="22" fillId="0" borderId="0" xfId="0" applyFont="1">
      <alignment wrapText="1"/>
    </xf>
    <xf numFmtId="169" fontId="11" fillId="0" borderId="4" xfId="0" applyNumberFormat="1" applyFont="1" applyBorder="1" applyAlignment="1">
      <alignment horizontal="right" vertical="center" wrapText="1" readingOrder="1"/>
    </xf>
    <xf numFmtId="166" fontId="12" fillId="0" borderId="4" xfId="0" applyNumberFormat="1" applyFont="1" applyBorder="1" applyAlignment="1">
      <alignment horizontal="right" vertical="center" wrapText="1" readingOrder="1"/>
    </xf>
    <xf numFmtId="165" fontId="12" fillId="0" borderId="4" xfId="0" applyNumberFormat="1" applyFont="1" applyBorder="1" applyAlignment="1">
      <alignment horizontal="right" vertical="center" wrapText="1" readingOrder="1"/>
    </xf>
    <xf numFmtId="0" fontId="3" fillId="0" borderId="5" xfId="0" applyFont="1" applyBorder="1" applyAlignment="1">
      <alignment horizontal="left" vertical="center" wrapText="1" readingOrder="1"/>
    </xf>
    <xf numFmtId="0" fontId="4" fillId="0" borderId="5" xfId="0" applyFont="1" applyBorder="1" applyAlignment="1">
      <alignment horizontal="left" vertical="center" wrapText="1" readingOrder="1"/>
    </xf>
    <xf numFmtId="14" fontId="22" fillId="0" borderId="9" xfId="0" quotePrefix="1" applyNumberFormat="1" applyFont="1" applyBorder="1" applyAlignment="1">
      <alignment horizontal="justify" vertical="center" wrapText="1"/>
    </xf>
    <xf numFmtId="0" fontId="25" fillId="0" borderId="9" xfId="5" applyFont="1" applyBorder="1" applyAlignment="1">
      <alignment horizontal="center" vertical="center"/>
    </xf>
    <xf numFmtId="0" fontId="25" fillId="0" borderId="9" xfId="5" applyFont="1" applyBorder="1" applyAlignment="1">
      <alignment horizontal="center" vertical="center" wrapText="1"/>
    </xf>
    <xf numFmtId="0" fontId="7" fillId="0" borderId="0" xfId="7" applyAlignment="1">
      <alignment vertical="center" wrapText="1"/>
    </xf>
    <xf numFmtId="0" fontId="26" fillId="0" borderId="9" xfId="5" applyFont="1" applyBorder="1" applyAlignment="1">
      <alignment vertical="center"/>
    </xf>
    <xf numFmtId="0" fontId="26" fillId="0" borderId="9" xfId="5" applyFont="1" applyBorder="1" applyAlignment="1">
      <alignment wrapText="1"/>
    </xf>
    <xf numFmtId="0" fontId="26" fillId="0" borderId="9" xfId="5" applyFont="1" applyBorder="1"/>
    <xf numFmtId="0" fontId="25" fillId="0" borderId="9" xfId="5" applyFont="1" applyBorder="1" applyAlignment="1">
      <alignment horizontal="center"/>
    </xf>
    <xf numFmtId="4" fontId="26" fillId="0" borderId="9" xfId="5" applyNumberFormat="1" applyFont="1" applyBorder="1"/>
    <xf numFmtId="2" fontId="26" fillId="0" borderId="9" xfId="5" applyNumberFormat="1" applyFont="1" applyBorder="1"/>
    <xf numFmtId="4" fontId="7" fillId="0" borderId="9" xfId="7" applyNumberFormat="1" applyBorder="1">
      <alignment wrapText="1"/>
    </xf>
    <xf numFmtId="0" fontId="28" fillId="0" borderId="0" xfId="0" applyFont="1" applyAlignment="1"/>
    <xf numFmtId="0" fontId="9" fillId="0" borderId="0" xfId="2" applyFill="1" applyAlignment="1"/>
    <xf numFmtId="0" fontId="11" fillId="0" borderId="0" xfId="0" applyFont="1" applyAlignment="1">
      <alignment horizontal="right" vertical="center" wrapText="1" readingOrder="1"/>
    </xf>
    <xf numFmtId="0" fontId="14" fillId="0" borderId="0" xfId="12" applyFont="1" applyAlignment="1">
      <alignment horizontal="center" vertical="center"/>
    </xf>
    <xf numFmtId="0" fontId="2" fillId="0" borderId="0" xfId="12" applyAlignment="1">
      <alignment wrapText="1"/>
    </xf>
    <xf numFmtId="4" fontId="15" fillId="0" borderId="0" xfId="12" applyNumberFormat="1" applyFont="1"/>
    <xf numFmtId="0" fontId="36" fillId="0" borderId="0" xfId="12" applyFont="1" applyAlignment="1">
      <alignment wrapText="1"/>
    </xf>
    <xf numFmtId="0" fontId="37" fillId="0" borderId="9" xfId="12" applyFont="1" applyBorder="1" applyAlignment="1">
      <alignment horizontal="center" vertical="center"/>
    </xf>
    <xf numFmtId="0" fontId="37" fillId="0" borderId="0" xfId="12" applyFont="1" applyAlignment="1">
      <alignment horizontal="center" vertical="center"/>
    </xf>
    <xf numFmtId="0" fontId="38" fillId="0" borderId="9" xfId="12" applyFont="1" applyBorder="1" applyAlignment="1">
      <alignment vertical="center"/>
    </xf>
    <xf numFmtId="0" fontId="38" fillId="0" borderId="9" xfId="12" applyFont="1" applyBorder="1" applyAlignment="1">
      <alignment vertical="center" wrapText="1"/>
    </xf>
    <xf numFmtId="0" fontId="38" fillId="0" borderId="0" xfId="12" applyFont="1" applyAlignment="1">
      <alignment horizontal="center" vertical="center"/>
    </xf>
    <xf numFmtId="0" fontId="37" fillId="0" borderId="9" xfId="12" applyFont="1" applyBorder="1" applyAlignment="1">
      <alignment horizontal="center" vertical="center" wrapText="1"/>
    </xf>
    <xf numFmtId="0" fontId="39" fillId="0" borderId="0" xfId="12" applyFont="1" applyAlignment="1">
      <alignment horizontal="center" vertical="center"/>
    </xf>
    <xf numFmtId="0" fontId="38" fillId="0" borderId="9" xfId="12" applyFont="1" applyBorder="1" applyAlignment="1">
      <alignment horizontal="left" vertical="center"/>
    </xf>
    <xf numFmtId="4" fontId="38" fillId="0" borderId="9" xfId="12" applyNumberFormat="1" applyFont="1" applyBorder="1" applyAlignment="1">
      <alignment horizontal="right" vertical="center"/>
    </xf>
    <xf numFmtId="10" fontId="38" fillId="0" borderId="9" xfId="9" applyNumberFormat="1" applyFont="1" applyFill="1" applyBorder="1" applyAlignment="1">
      <alignment vertical="center"/>
    </xf>
    <xf numFmtId="164" fontId="36" fillId="0" borderId="0" xfId="8" applyFont="1" applyFill="1" applyAlignment="1">
      <alignment vertical="center"/>
    </xf>
    <xf numFmtId="164" fontId="38" fillId="0" borderId="0" xfId="8" applyFont="1" applyFill="1" applyAlignment="1">
      <alignment horizontal="center" vertical="center"/>
    </xf>
    <xf numFmtId="165" fontId="22" fillId="0" borderId="4" xfId="0" applyNumberFormat="1" applyFont="1" applyBorder="1" applyAlignment="1">
      <alignment horizontal="right" vertical="center" wrapText="1" readingOrder="1"/>
    </xf>
    <xf numFmtId="164" fontId="0" fillId="0" borderId="0" xfId="3" applyFont="1" applyFill="1" applyAlignment="1">
      <alignment wrapText="1"/>
    </xf>
    <xf numFmtId="164" fontId="0" fillId="0" borderId="0" xfId="0" applyNumberFormat="1">
      <alignment wrapText="1"/>
    </xf>
    <xf numFmtId="10" fontId="0" fillId="0" borderId="0" xfId="4" applyNumberFormat="1" applyFont="1" applyFill="1" applyAlignment="1">
      <alignment wrapText="1"/>
    </xf>
    <xf numFmtId="0" fontId="21" fillId="0" borderId="9" xfId="0" applyFont="1" applyBorder="1" applyAlignment="1">
      <alignment horizontal="left" vertical="center" wrapText="1" readingOrder="1"/>
    </xf>
    <xf numFmtId="0" fontId="29" fillId="0" borderId="9" xfId="0" applyFont="1" applyBorder="1">
      <alignment wrapText="1"/>
    </xf>
    <xf numFmtId="0" fontId="21" fillId="0" borderId="9" xfId="0" applyFont="1" applyBorder="1" applyAlignment="1">
      <alignment horizontal="right" vertical="center" wrapText="1" readingOrder="1"/>
    </xf>
    <xf numFmtId="0" fontId="0" fillId="0" borderId="9" xfId="0" applyBorder="1">
      <alignment wrapText="1"/>
    </xf>
    <xf numFmtId="0" fontId="30" fillId="0" borderId="9" xfId="0" applyFont="1" applyBorder="1">
      <alignment wrapText="1"/>
    </xf>
    <xf numFmtId="168" fontId="11" fillId="0" borderId="9" xfId="0" applyNumberFormat="1" applyFont="1" applyBorder="1" applyAlignment="1">
      <alignment horizontal="right" vertical="center" wrapText="1" readingOrder="1"/>
    </xf>
    <xf numFmtId="165" fontId="11" fillId="0" borderId="9" xfId="0" applyNumberFormat="1" applyFont="1" applyBorder="1" applyAlignment="1">
      <alignment horizontal="right" vertical="center" wrapText="1" readingOrder="1"/>
    </xf>
    <xf numFmtId="0" fontId="28" fillId="0" borderId="0" xfId="11" applyFont="1"/>
    <xf numFmtId="0" fontId="0" fillId="0" borderId="0" xfId="0" applyAlignment="1">
      <alignment horizontal="center" vertical="center"/>
    </xf>
    <xf numFmtId="0" fontId="31" fillId="0" borderId="7" xfId="0" applyFont="1" applyBorder="1" applyAlignment="1">
      <alignment horizontal="center" vertical="center" wrapText="1"/>
    </xf>
    <xf numFmtId="0" fontId="32" fillId="0" borderId="7" xfId="0" applyFont="1" applyBorder="1" applyAlignment="1">
      <alignment horizontal="center" vertical="center" wrapText="1"/>
    </xf>
    <xf numFmtId="10" fontId="0" fillId="0" borderId="0" xfId="4" applyNumberFormat="1" applyFont="1" applyFill="1" applyAlignment="1">
      <alignment horizontal="center" vertical="center" wrapText="1"/>
    </xf>
    <xf numFmtId="0" fontId="0" fillId="0" borderId="0" xfId="0" applyAlignment="1">
      <alignment vertical="center"/>
    </xf>
    <xf numFmtId="0" fontId="33" fillId="0" borderId="7" xfId="0" applyFont="1" applyBorder="1" applyAlignment="1">
      <alignment vertical="center"/>
    </xf>
    <xf numFmtId="0" fontId="34" fillId="0" borderId="7" xfId="0" applyFont="1" applyBorder="1" applyAlignment="1">
      <alignment vertical="center" wrapText="1"/>
    </xf>
    <xf numFmtId="0" fontId="34" fillId="0" borderId="7" xfId="0" applyFont="1" applyBorder="1" applyAlignment="1">
      <alignment vertical="center"/>
    </xf>
    <xf numFmtId="164" fontId="33" fillId="0" borderId="7" xfId="8" applyFont="1" applyFill="1" applyBorder="1" applyAlignment="1">
      <alignment vertical="center"/>
    </xf>
    <xf numFmtId="176" fontId="33" fillId="0" borderId="7" xfId="0" applyNumberFormat="1" applyFont="1" applyBorder="1" applyAlignment="1">
      <alignment vertical="center"/>
    </xf>
    <xf numFmtId="10" fontId="0" fillId="0" borderId="0" xfId="4" applyNumberFormat="1" applyFont="1" applyFill="1" applyAlignment="1">
      <alignment vertical="center" wrapText="1"/>
    </xf>
    <xf numFmtId="10" fontId="35" fillId="0" borderId="0" xfId="4" applyNumberFormat="1" applyFont="1" applyFill="1" applyAlignment="1"/>
    <xf numFmtId="0" fontId="35" fillId="0" borderId="0" xfId="0" applyFont="1" applyAlignment="1"/>
    <xf numFmtId="0" fontId="23" fillId="0" borderId="0" xfId="0" applyFont="1" applyAlignment="1">
      <alignment vertical="center" readingOrder="1"/>
    </xf>
    <xf numFmtId="0" fontId="25" fillId="0" borderId="7" xfId="5" applyFont="1" applyBorder="1" applyAlignment="1">
      <alignment horizontal="center" vertical="center" wrapText="1"/>
    </xf>
    <xf numFmtId="0" fontId="26" fillId="0" borderId="7" xfId="5" applyFont="1" applyBorder="1"/>
    <xf numFmtId="0" fontId="26" fillId="0" borderId="7" xfId="5" applyFont="1" applyBorder="1" applyAlignment="1">
      <alignment wrapText="1"/>
    </xf>
    <xf numFmtId="4" fontId="22" fillId="0" borderId="7" xfId="0" applyNumberFormat="1" applyFont="1" applyBorder="1" applyAlignment="1">
      <alignment vertical="center"/>
    </xf>
    <xf numFmtId="43" fontId="26" fillId="0" borderId="7" xfId="5" applyNumberFormat="1" applyFont="1" applyBorder="1"/>
    <xf numFmtId="0" fontId="26" fillId="0" borderId="0" xfId="5" applyFont="1"/>
    <xf numFmtId="0" fontId="26" fillId="0" borderId="0" xfId="5" applyFont="1" applyAlignment="1">
      <alignment wrapText="1"/>
    </xf>
    <xf numFmtId="4" fontId="22" fillId="0" borderId="0" xfId="0" applyNumberFormat="1" applyFont="1" applyAlignment="1">
      <alignment vertical="center"/>
    </xf>
    <xf numFmtId="43" fontId="26" fillId="0" borderId="0" xfId="5" applyNumberFormat="1" applyFont="1"/>
    <xf numFmtId="0" fontId="26" fillId="0" borderId="0" xfId="5" applyFont="1" applyAlignment="1">
      <alignment vertical="center" wrapText="1"/>
    </xf>
    <xf numFmtId="0" fontId="23" fillId="0" borderId="7" xfId="0" applyFont="1" applyBorder="1" applyAlignment="1">
      <alignment horizontal="center" vertical="center" wrapText="1"/>
    </xf>
    <xf numFmtId="0" fontId="22" fillId="0" borderId="7" xfId="0" applyFont="1" applyBorder="1" applyAlignment="1">
      <alignment vertical="center" wrapText="1"/>
    </xf>
    <xf numFmtId="0" fontId="22" fillId="0" borderId="7" xfId="0" applyFont="1" applyBorder="1" applyAlignment="1">
      <alignment horizontal="justify" vertical="center" wrapText="1"/>
    </xf>
    <xf numFmtId="0" fontId="28" fillId="0" borderId="0" xfId="0" applyFont="1" applyAlignment="1">
      <alignment horizontal="left" vertical="top" readingOrder="1"/>
    </xf>
    <xf numFmtId="164" fontId="26" fillId="0" borderId="9" xfId="8" applyFont="1" applyFill="1" applyBorder="1"/>
    <xf numFmtId="43" fontId="26" fillId="0" borderId="9" xfId="5" applyNumberFormat="1" applyFont="1" applyBorder="1"/>
    <xf numFmtId="4" fontId="26" fillId="0" borderId="0" xfId="5" applyNumberFormat="1" applyFont="1"/>
    <xf numFmtId="4" fontId="22" fillId="0" borderId="9" xfId="0" applyNumberFormat="1" applyFont="1" applyBorder="1" applyAlignment="1">
      <alignment vertical="center"/>
    </xf>
    <xf numFmtId="0" fontId="12" fillId="0" borderId="0" xfId="0" applyFont="1" applyAlignment="1">
      <alignment horizontal="left" vertical="center" wrapText="1" readingOrder="1"/>
    </xf>
    <xf numFmtId="0" fontId="21" fillId="0" borderId="0" xfId="7" applyFont="1" applyAlignment="1">
      <alignment horizontal="left" vertical="center" wrapText="1" readingOrder="1"/>
    </xf>
    <xf numFmtId="165" fontId="38" fillId="0" borderId="4" xfId="0" applyNumberFormat="1" applyFont="1" applyBorder="1" applyAlignment="1">
      <alignment horizontal="right" vertical="center" wrapText="1" readingOrder="1"/>
    </xf>
    <xf numFmtId="0" fontId="11" fillId="0" borderId="9" xfId="0" applyFont="1" applyBorder="1" applyAlignment="1">
      <alignment horizontal="left" vertical="center" wrapText="1" readingOrder="1"/>
    </xf>
    <xf numFmtId="0" fontId="11" fillId="0" borderId="10" xfId="0" applyFont="1" applyBorder="1" applyAlignment="1">
      <alignment horizontal="left" vertical="center" wrapText="1" readingOrder="1"/>
    </xf>
    <xf numFmtId="0" fontId="11" fillId="0" borderId="12" xfId="0" applyFont="1" applyBorder="1" applyAlignment="1">
      <alignment horizontal="left" vertical="center" wrapText="1" readingOrder="1"/>
    </xf>
    <xf numFmtId="0" fontId="11" fillId="0" borderId="11" xfId="0" applyFont="1" applyBorder="1" applyAlignment="1">
      <alignment horizontal="left" vertical="center" wrapText="1" readingOrder="1"/>
    </xf>
    <xf numFmtId="0" fontId="23" fillId="0" borderId="10" xfId="0" applyFont="1" applyBorder="1" applyAlignment="1">
      <alignment horizontal="center" vertical="center"/>
    </xf>
    <xf numFmtId="0" fontId="23" fillId="0" borderId="11" xfId="0" applyFont="1" applyBorder="1" applyAlignment="1">
      <alignment horizontal="center" vertical="center"/>
    </xf>
    <xf numFmtId="0" fontId="23" fillId="0" borderId="12" xfId="0" applyFont="1" applyBorder="1" applyAlignment="1">
      <alignment horizontal="center" vertical="center"/>
    </xf>
    <xf numFmtId="0" fontId="12" fillId="0" borderId="9" xfId="0" applyFont="1" applyBorder="1" applyAlignment="1">
      <alignment horizontal="center" vertical="center" wrapText="1" readingOrder="1"/>
    </xf>
    <xf numFmtId="0" fontId="11" fillId="0" borderId="0" xfId="0" applyFont="1" applyAlignment="1">
      <alignment horizontal="left" vertical="center" wrapText="1" readingOrder="1"/>
    </xf>
    <xf numFmtId="0" fontId="12" fillId="0" borderId="1" xfId="0" applyFont="1" applyBorder="1" applyAlignment="1">
      <alignment horizontal="left" vertical="center" wrapText="1" readingOrder="1"/>
    </xf>
    <xf numFmtId="0" fontId="12" fillId="0" borderId="2" xfId="0" applyFont="1" applyBorder="1" applyAlignment="1">
      <alignment horizontal="left" vertical="center" wrapText="1" readingOrder="1"/>
    </xf>
    <xf numFmtId="0" fontId="12" fillId="0" borderId="3" xfId="0" applyFont="1" applyBorder="1" applyAlignment="1">
      <alignment horizontal="left" vertical="center" wrapText="1" readingOrder="1"/>
    </xf>
    <xf numFmtId="0" fontId="11" fillId="0" borderId="1" xfId="0" applyFont="1" applyBorder="1" applyAlignment="1">
      <alignment horizontal="left" vertical="center" wrapText="1" readingOrder="1"/>
    </xf>
    <xf numFmtId="0" fontId="11" fillId="0" borderId="3" xfId="0" applyFont="1" applyBorder="1" applyAlignment="1">
      <alignment horizontal="left" vertical="center" wrapText="1" readingOrder="1"/>
    </xf>
    <xf numFmtId="0" fontId="8" fillId="0" borderId="7" xfId="0" applyFont="1" applyBorder="1" applyAlignment="1">
      <alignment horizontal="center" vertical="center" wrapText="1" readingOrder="1"/>
    </xf>
    <xf numFmtId="0" fontId="3" fillId="0" borderId="1" xfId="0" applyFont="1" applyBorder="1" applyAlignment="1">
      <alignment horizontal="left" vertical="center" wrapText="1" readingOrder="1"/>
    </xf>
    <xf numFmtId="0" fontId="3" fillId="0" borderId="3" xfId="0" applyFont="1" applyBorder="1" applyAlignment="1">
      <alignment horizontal="left" vertical="center" wrapText="1" readingOrder="1"/>
    </xf>
    <xf numFmtId="0" fontId="11" fillId="0" borderId="13" xfId="0" applyFont="1" applyBorder="1" applyAlignment="1">
      <alignment horizontal="left" vertical="center" wrapText="1" readingOrder="1"/>
    </xf>
    <xf numFmtId="0" fontId="12" fillId="0" borderId="10" xfId="0" applyFont="1" applyBorder="1" applyAlignment="1">
      <alignment horizontal="center" vertical="center" wrapText="1" readingOrder="1"/>
    </xf>
    <xf numFmtId="0" fontId="12" fillId="0" borderId="12" xfId="0" applyFont="1" applyBorder="1" applyAlignment="1">
      <alignment horizontal="center" vertical="center" wrapText="1" readingOrder="1"/>
    </xf>
    <xf numFmtId="0" fontId="11" fillId="0" borderId="0" xfId="7" quotePrefix="1" applyFont="1" applyAlignment="1">
      <alignment horizontal="left" vertical="center" wrapText="1" readingOrder="1"/>
    </xf>
    <xf numFmtId="0" fontId="11" fillId="0" borderId="0" xfId="7" applyFont="1" applyAlignment="1">
      <alignment horizontal="left" vertical="center" wrapText="1" readingOrder="1"/>
    </xf>
    <xf numFmtId="0" fontId="26" fillId="0" borderId="0" xfId="5" applyFont="1" applyAlignment="1">
      <alignment horizontal="justify" vertical="center" wrapText="1"/>
    </xf>
    <xf numFmtId="0" fontId="25" fillId="0" borderId="14" xfId="5" applyFont="1" applyBorder="1" applyAlignment="1">
      <alignment horizontal="center" vertical="center" wrapText="1"/>
    </xf>
    <xf numFmtId="0" fontId="25" fillId="0" borderId="8" xfId="5" applyFont="1" applyBorder="1" applyAlignment="1">
      <alignment horizontal="center" vertical="center" wrapText="1"/>
    </xf>
    <xf numFmtId="0" fontId="25" fillId="0" borderId="14" xfId="5" applyFont="1" applyBorder="1" applyAlignment="1">
      <alignment horizontal="center" vertical="center"/>
    </xf>
    <xf numFmtId="0" fontId="25" fillId="0" borderId="15" xfId="5" applyFont="1" applyBorder="1" applyAlignment="1">
      <alignment horizontal="center" vertical="center"/>
    </xf>
    <xf numFmtId="0" fontId="25" fillId="0" borderId="8" xfId="5" applyFont="1" applyBorder="1" applyAlignment="1">
      <alignment horizontal="center" vertical="center"/>
    </xf>
    <xf numFmtId="0" fontId="25" fillId="0" borderId="10" xfId="5" applyFont="1" applyBorder="1" applyAlignment="1">
      <alignment horizontal="center" vertical="center"/>
    </xf>
    <xf numFmtId="0" fontId="25" fillId="0" borderId="11" xfId="5" applyFont="1" applyBorder="1" applyAlignment="1">
      <alignment horizontal="center" vertical="center"/>
    </xf>
    <xf numFmtId="0" fontId="25" fillId="0" borderId="12" xfId="5" applyFont="1" applyBorder="1" applyAlignment="1">
      <alignment horizontal="center" vertical="center"/>
    </xf>
    <xf numFmtId="0" fontId="25" fillId="0" borderId="10" xfId="5" applyFont="1" applyBorder="1" applyAlignment="1">
      <alignment horizontal="center" vertical="center" wrapText="1"/>
    </xf>
    <xf numFmtId="0" fontId="25" fillId="0" borderId="11" xfId="5" applyFont="1" applyBorder="1" applyAlignment="1">
      <alignment horizontal="center" vertical="center" wrapText="1"/>
    </xf>
    <xf numFmtId="0" fontId="25" fillId="0" borderId="12" xfId="5" applyFont="1" applyBorder="1" applyAlignment="1">
      <alignment horizontal="center" vertical="center" wrapText="1"/>
    </xf>
    <xf numFmtId="0" fontId="25" fillId="0" borderId="16" xfId="5" applyFont="1" applyBorder="1" applyAlignment="1">
      <alignment horizontal="center" vertical="center" wrapText="1"/>
    </xf>
    <xf numFmtId="0" fontId="25" fillId="0" borderId="17" xfId="5" applyFont="1" applyBorder="1" applyAlignment="1">
      <alignment horizontal="center" vertical="center" wrapText="1"/>
    </xf>
    <xf numFmtId="0" fontId="25" fillId="0" borderId="9" xfId="5" applyFont="1" applyBorder="1" applyAlignment="1">
      <alignment horizontal="center" vertical="center"/>
    </xf>
    <xf numFmtId="0" fontId="25" fillId="0" borderId="9" xfId="5" applyFont="1" applyBorder="1" applyAlignment="1">
      <alignment horizontal="center" vertical="center" wrapText="1"/>
    </xf>
    <xf numFmtId="164" fontId="26" fillId="0" borderId="9" xfId="8" applyFont="1" applyFill="1" applyBorder="1" applyAlignment="1">
      <alignment horizontal="center"/>
    </xf>
    <xf numFmtId="0" fontId="26" fillId="0" borderId="9" xfId="5" applyFont="1" applyBorder="1" applyAlignment="1">
      <alignment horizontal="center"/>
    </xf>
    <xf numFmtId="0" fontId="25" fillId="0" borderId="9" xfId="5" applyFont="1" applyBorder="1" applyAlignment="1">
      <alignment horizontal="center"/>
    </xf>
    <xf numFmtId="0" fontId="25" fillId="0" borderId="9" xfId="5" applyFont="1" applyBorder="1" applyAlignment="1">
      <alignment horizontal="center" wrapText="1"/>
    </xf>
    <xf numFmtId="0" fontId="11" fillId="0" borderId="0" xfId="0" quotePrefix="1" applyFont="1" applyAlignment="1">
      <alignment horizontal="left" vertical="center" wrapText="1" readingOrder="1"/>
    </xf>
    <xf numFmtId="0" fontId="26" fillId="0" borderId="0" xfId="5" applyFont="1" applyAlignment="1">
      <alignment horizontal="left" vertical="center" wrapText="1"/>
    </xf>
    <xf numFmtId="0" fontId="25" fillId="0" borderId="0" xfId="5" applyFont="1" applyAlignment="1">
      <alignment horizontal="center"/>
    </xf>
    <xf numFmtId="164" fontId="26" fillId="0" borderId="10" xfId="8" applyFont="1" applyFill="1" applyBorder="1" applyAlignment="1">
      <alignment horizontal="center"/>
    </xf>
    <xf numFmtId="164" fontId="26" fillId="0" borderId="11" xfId="8" applyFont="1" applyFill="1" applyBorder="1" applyAlignment="1">
      <alignment horizontal="center"/>
    </xf>
    <xf numFmtId="164" fontId="26" fillId="0" borderId="12" xfId="8" applyFont="1" applyFill="1" applyBorder="1" applyAlignment="1">
      <alignment horizontal="center"/>
    </xf>
    <xf numFmtId="0" fontId="26" fillId="0" borderId="0" xfId="5" applyFont="1" applyAlignment="1">
      <alignment horizontal="center"/>
    </xf>
    <xf numFmtId="0" fontId="25" fillId="0" borderId="10" xfId="5" applyFont="1" applyBorder="1" applyAlignment="1">
      <alignment horizontal="center" wrapText="1"/>
    </xf>
    <xf numFmtId="0" fontId="25" fillId="0" borderId="11" xfId="5" applyFont="1" applyBorder="1" applyAlignment="1">
      <alignment horizontal="center" wrapText="1"/>
    </xf>
    <xf numFmtId="0" fontId="25" fillId="0" borderId="12" xfId="5" applyFont="1" applyBorder="1" applyAlignment="1">
      <alignment horizontal="center" wrapText="1"/>
    </xf>
    <xf numFmtId="0" fontId="25" fillId="0" borderId="10" xfId="5" applyFont="1" applyBorder="1" applyAlignment="1">
      <alignment horizontal="center"/>
    </xf>
    <xf numFmtId="0" fontId="25" fillId="0" borderId="12" xfId="5" applyFont="1" applyBorder="1" applyAlignment="1">
      <alignment horizontal="center"/>
    </xf>
    <xf numFmtId="0" fontId="28" fillId="0" borderId="0" xfId="0" applyFont="1" applyAlignment="1">
      <alignment horizontal="left" vertical="top" readingOrder="1"/>
    </xf>
    <xf numFmtId="0" fontId="12" fillId="0" borderId="7" xfId="0" applyFont="1" applyBorder="1" applyAlignment="1">
      <alignment horizontal="center" vertical="center" wrapText="1" readingOrder="1"/>
    </xf>
    <xf numFmtId="0" fontId="11" fillId="0" borderId="7" xfId="0" applyFont="1" applyBorder="1" applyAlignment="1">
      <alignment horizontal="left" vertical="center" wrapText="1" readingOrder="1"/>
    </xf>
    <xf numFmtId="0" fontId="23" fillId="0" borderId="19" xfId="0" applyFont="1" applyBorder="1" applyAlignment="1">
      <alignment horizontal="center" vertical="center"/>
    </xf>
    <xf numFmtId="0" fontId="23" fillId="0" borderId="20" xfId="0" applyFont="1" applyBorder="1" applyAlignment="1">
      <alignment horizontal="center" vertical="center"/>
    </xf>
    <xf numFmtId="0" fontId="23" fillId="0" borderId="21" xfId="0" applyFont="1" applyBorder="1" applyAlignment="1">
      <alignment horizontal="center" vertical="center"/>
    </xf>
    <xf numFmtId="0" fontId="25" fillId="0" borderId="18" xfId="5" applyFont="1" applyBorder="1" applyAlignment="1">
      <alignment horizontal="center" vertical="center"/>
    </xf>
    <xf numFmtId="0" fontId="25" fillId="0" borderId="19" xfId="5" applyFont="1" applyBorder="1" applyAlignment="1">
      <alignment horizontal="center" vertical="center"/>
    </xf>
    <xf numFmtId="0" fontId="25" fillId="0" borderId="20" xfId="5" applyFont="1" applyBorder="1" applyAlignment="1">
      <alignment horizontal="center" vertical="center"/>
    </xf>
    <xf numFmtId="0" fontId="25" fillId="0" borderId="21" xfId="5" applyFont="1" applyBorder="1" applyAlignment="1">
      <alignment horizontal="center" vertical="center"/>
    </xf>
    <xf numFmtId="0" fontId="25" fillId="0" borderId="19" xfId="5" applyFont="1" applyBorder="1" applyAlignment="1">
      <alignment horizontal="center" vertical="center" wrapText="1"/>
    </xf>
    <xf numFmtId="0" fontId="25" fillId="0" borderId="20" xfId="5" applyFont="1" applyBorder="1" applyAlignment="1">
      <alignment horizontal="center" vertical="center" wrapText="1"/>
    </xf>
    <xf numFmtId="0" fontId="25" fillId="0" borderId="21" xfId="5" applyFont="1" applyBorder="1" applyAlignment="1">
      <alignment horizontal="center" vertical="center" wrapText="1"/>
    </xf>
    <xf numFmtId="0" fontId="25" fillId="0" borderId="18" xfId="5" applyFont="1" applyBorder="1" applyAlignment="1">
      <alignment horizontal="center" vertical="center" wrapText="1"/>
    </xf>
    <xf numFmtId="0" fontId="11" fillId="0" borderId="0" xfId="0" applyFont="1" applyAlignment="1">
      <alignment horizontal="justify" vertical="top" wrapText="1" readingOrder="1"/>
    </xf>
    <xf numFmtId="0" fontId="37" fillId="0" borderId="9" xfId="12" applyFont="1" applyBorder="1" applyAlignment="1">
      <alignment horizontal="center" vertical="center"/>
    </xf>
    <xf numFmtId="0" fontId="37" fillId="0" borderId="10" xfId="12" applyFont="1" applyBorder="1" applyAlignment="1">
      <alignment horizontal="center" vertical="center"/>
    </xf>
    <xf numFmtId="0" fontId="37" fillId="0" borderId="11" xfId="12" applyFont="1" applyBorder="1" applyAlignment="1">
      <alignment horizontal="center" vertical="center"/>
    </xf>
    <xf numFmtId="0" fontId="37" fillId="0" borderId="12" xfId="12" applyFont="1" applyBorder="1" applyAlignment="1">
      <alignment horizontal="center" vertical="center"/>
    </xf>
    <xf numFmtId="0" fontId="38" fillId="0" borderId="10" xfId="12" applyFont="1" applyBorder="1" applyAlignment="1">
      <alignment horizontal="left" vertical="center" wrapText="1"/>
    </xf>
    <xf numFmtId="0" fontId="38" fillId="0" borderId="11" xfId="12" applyFont="1" applyBorder="1" applyAlignment="1">
      <alignment horizontal="left" vertical="center" wrapText="1"/>
    </xf>
    <xf numFmtId="0" fontId="38" fillId="0" borderId="12" xfId="12" applyFont="1" applyBorder="1" applyAlignment="1">
      <alignment horizontal="left" vertical="center" wrapText="1"/>
    </xf>
    <xf numFmtId="0" fontId="23" fillId="0" borderId="10" xfId="0" applyFont="1" applyBorder="1" applyAlignment="1">
      <alignment horizontal="left" vertical="center" readingOrder="1"/>
    </xf>
    <xf numFmtId="0" fontId="23" fillId="0" borderId="11" xfId="0" applyFont="1" applyBorder="1" applyAlignment="1">
      <alignment horizontal="left" vertical="center" readingOrder="1"/>
    </xf>
    <xf numFmtId="0" fontId="23" fillId="0" borderId="12" xfId="0" applyFont="1" applyBorder="1" applyAlignment="1">
      <alignment horizontal="left" vertical="center" readingOrder="1"/>
    </xf>
    <xf numFmtId="0" fontId="37" fillId="0" borderId="10" xfId="12" applyFont="1" applyBorder="1" applyAlignment="1">
      <alignment horizontal="center" vertical="center" wrapText="1"/>
    </xf>
    <xf numFmtId="0" fontId="37" fillId="0" borderId="12" xfId="12" applyFont="1" applyBorder="1" applyAlignment="1">
      <alignment horizontal="center" vertical="center" wrapText="1"/>
    </xf>
    <xf numFmtId="164" fontId="38" fillId="0" borderId="10" xfId="8" applyFont="1" applyFill="1" applyBorder="1" applyAlignment="1">
      <alignment horizontal="center" vertical="center"/>
    </xf>
    <xf numFmtId="164" fontId="38" fillId="0" borderId="12" xfId="8" applyFont="1" applyFill="1" applyBorder="1" applyAlignment="1">
      <alignment horizontal="center" vertical="center"/>
    </xf>
    <xf numFmtId="0" fontId="28" fillId="0" borderId="9" xfId="0" applyFont="1" applyBorder="1" applyAlignment="1">
      <alignment horizontal="left" vertical="top" readingOrder="1"/>
    </xf>
  </cellXfs>
  <cellStyles count="20">
    <cellStyle name="Comma" xfId="3" builtinId="3"/>
    <cellStyle name="Comma 2" xfId="8" xr:uid="{FE37E17E-7992-4552-9365-3F0579CA8411}"/>
    <cellStyle name="Comma 2 2" xfId="10" xr:uid="{970786F1-3F17-433C-9B22-392C6DCEA9C6}"/>
    <cellStyle name="Comma 2 2 2" xfId="16" xr:uid="{C92C0EA7-5FFF-4D13-B6CF-1104D2452EFA}"/>
    <cellStyle name="Comma 2 3" xfId="15" xr:uid="{990F62D7-8DF6-4BC7-B912-3EFBA2793A1C}"/>
    <cellStyle name="Comma 3" xfId="1" xr:uid="{84317083-4043-4CE5-ADB1-5EF98A5621F3}"/>
    <cellStyle name="Comma 3 2" xfId="13" xr:uid="{7F53632D-DEC3-4867-8EB2-82ECBFB0AE44}"/>
    <cellStyle name="Hyperlink 2" xfId="2" xr:uid="{DF79D00B-28E8-4525-B729-3393D6D12E98}"/>
    <cellStyle name="Normal" xfId="0" builtinId="0"/>
    <cellStyle name="Normal 2 2 2" xfId="5" xr:uid="{C4D7406A-A2F5-4029-A194-7AD07D68854F}"/>
    <cellStyle name="Normal 2 2 2 2" xfId="14" xr:uid="{A1A2CD8D-B639-4ADF-9290-D20205BE0486}"/>
    <cellStyle name="Normal 2 2 3" xfId="12" xr:uid="{346A91B0-758E-413B-B34C-1C4E197023F2}"/>
    <cellStyle name="Normal 2 2 3 2" xfId="18" xr:uid="{3AF17A62-8DFD-4A54-AE42-0E0956805568}"/>
    <cellStyle name="Normal 2 3" xfId="6" xr:uid="{D34C608C-5465-428F-910A-397378CE046E}"/>
    <cellStyle name="Normal 2 3 2" xfId="19" xr:uid="{B55436A4-109C-4C04-B8FD-156151D0248E}"/>
    <cellStyle name="Normal 3" xfId="7" xr:uid="{F4AD3272-8025-40B9-9836-56BD2293118A}"/>
    <cellStyle name="Normal 4" xfId="11" xr:uid="{3C998B7E-1789-4F80-8310-D2B0CE6E724E}"/>
    <cellStyle name="Normal 4 2" xfId="17" xr:uid="{A6FE62C6-CC69-4504-9296-D2CC7BE5BC76}"/>
    <cellStyle name="Percent" xfId="4" builtinId="5"/>
    <cellStyle name="Percent 2" xfId="9" xr:uid="{513B36A1-9E3B-4593-97A5-4232C92A00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155</xdr:row>
      <xdr:rowOff>0</xdr:rowOff>
    </xdr:from>
    <xdr:to>
      <xdr:col>2</xdr:col>
      <xdr:colOff>2095500</xdr:colOff>
      <xdr:row>156</xdr:row>
      <xdr:rowOff>27375</xdr:rowOff>
    </xdr:to>
    <xdr:pic>
      <xdr:nvPicPr>
        <xdr:cNvPr id="4" name="Picture 3">
          <a:extLst>
            <a:ext uri="{FF2B5EF4-FFF2-40B4-BE49-F238E27FC236}">
              <a16:creationId xmlns:a16="http://schemas.microsoft.com/office/drawing/2014/main" id="{A027788E-E4B5-4390-986B-175F2196A9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556325"/>
          <a:ext cx="34480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57152</xdr:colOff>
      <xdr:row>160</xdr:row>
      <xdr:rowOff>180976</xdr:rowOff>
    </xdr:from>
    <xdr:to>
      <xdr:col>2</xdr:col>
      <xdr:colOff>1952626</xdr:colOff>
      <xdr:row>161</xdr:row>
      <xdr:rowOff>65476</xdr:rowOff>
    </xdr:to>
    <xdr:pic>
      <xdr:nvPicPr>
        <xdr:cNvPr id="5" name="Picture 4">
          <a:extLst>
            <a:ext uri="{FF2B5EF4-FFF2-40B4-BE49-F238E27FC236}">
              <a16:creationId xmlns:a16="http://schemas.microsoft.com/office/drawing/2014/main" id="{71C27298-C38A-4C8B-A600-673E2606439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7677" y="34337626"/>
          <a:ext cx="3248024"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xdr:colOff>
      <xdr:row>154</xdr:row>
      <xdr:rowOff>0</xdr:rowOff>
    </xdr:from>
    <xdr:to>
      <xdr:col>2</xdr:col>
      <xdr:colOff>1847851</xdr:colOff>
      <xdr:row>166</xdr:row>
      <xdr:rowOff>36900</xdr:rowOff>
    </xdr:to>
    <xdr:pic>
      <xdr:nvPicPr>
        <xdr:cNvPr id="2" name="Picture 1">
          <a:extLst>
            <a:ext uri="{FF2B5EF4-FFF2-40B4-BE49-F238E27FC236}">
              <a16:creationId xmlns:a16="http://schemas.microsoft.com/office/drawing/2014/main" id="{8DF39496-E5FC-4A1A-A521-D103D42321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6" y="30356175"/>
          <a:ext cx="32194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149</xdr:row>
      <xdr:rowOff>0</xdr:rowOff>
    </xdr:from>
    <xdr:to>
      <xdr:col>2</xdr:col>
      <xdr:colOff>1828800</xdr:colOff>
      <xdr:row>149</xdr:row>
      <xdr:rowOff>1980000</xdr:rowOff>
    </xdr:to>
    <xdr:pic>
      <xdr:nvPicPr>
        <xdr:cNvPr id="4" name="Picture 3">
          <a:extLst>
            <a:ext uri="{FF2B5EF4-FFF2-40B4-BE49-F238E27FC236}">
              <a16:creationId xmlns:a16="http://schemas.microsoft.com/office/drawing/2014/main" id="{C890D5CB-EB39-485F-AE71-E06F4981476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2842200"/>
          <a:ext cx="320040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160</xdr:row>
      <xdr:rowOff>0</xdr:rowOff>
    </xdr:from>
    <xdr:to>
      <xdr:col>2</xdr:col>
      <xdr:colOff>2015039</xdr:colOff>
      <xdr:row>161</xdr:row>
      <xdr:rowOff>27375</xdr:rowOff>
    </xdr:to>
    <xdr:pic>
      <xdr:nvPicPr>
        <xdr:cNvPr id="4" name="Picture 3">
          <a:extLst>
            <a:ext uri="{FF2B5EF4-FFF2-40B4-BE49-F238E27FC236}">
              <a16:creationId xmlns:a16="http://schemas.microsoft.com/office/drawing/2014/main" id="{1566B1AF-8BCB-4F6E-9AB1-7C0EC5063A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338709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166</xdr:row>
      <xdr:rowOff>0</xdr:rowOff>
    </xdr:from>
    <xdr:to>
      <xdr:col>2</xdr:col>
      <xdr:colOff>2015039</xdr:colOff>
      <xdr:row>166</xdr:row>
      <xdr:rowOff>1980000</xdr:rowOff>
    </xdr:to>
    <xdr:pic>
      <xdr:nvPicPr>
        <xdr:cNvPr id="5" name="Picture 4">
          <a:extLst>
            <a:ext uri="{FF2B5EF4-FFF2-40B4-BE49-F238E27FC236}">
              <a16:creationId xmlns:a16="http://schemas.microsoft.com/office/drawing/2014/main" id="{BDE2723A-D917-4D42-A477-4F751E4730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66331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185</xdr:row>
      <xdr:rowOff>200025</xdr:rowOff>
    </xdr:from>
    <xdr:to>
      <xdr:col>2</xdr:col>
      <xdr:colOff>2129339</xdr:colOff>
      <xdr:row>185</xdr:row>
      <xdr:rowOff>2180025</xdr:rowOff>
    </xdr:to>
    <xdr:pic>
      <xdr:nvPicPr>
        <xdr:cNvPr id="12" name="Picture 11">
          <a:extLst>
            <a:ext uri="{FF2B5EF4-FFF2-40B4-BE49-F238E27FC236}">
              <a16:creationId xmlns:a16="http://schemas.microsoft.com/office/drawing/2014/main" id="{253D50FC-2CF6-4256-B666-CA79EF938C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41052750"/>
          <a:ext cx="35009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180</xdr:row>
      <xdr:rowOff>0</xdr:rowOff>
    </xdr:from>
    <xdr:to>
      <xdr:col>2</xdr:col>
      <xdr:colOff>2200275</xdr:colOff>
      <xdr:row>181</xdr:row>
      <xdr:rowOff>151200</xdr:rowOff>
    </xdr:to>
    <xdr:pic>
      <xdr:nvPicPr>
        <xdr:cNvPr id="13" name="Picture 12">
          <a:extLst>
            <a:ext uri="{FF2B5EF4-FFF2-40B4-BE49-F238E27FC236}">
              <a16:creationId xmlns:a16="http://schemas.microsoft.com/office/drawing/2014/main" id="{E664B204-7280-4609-99A9-39EF5BEF5FD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3400" y="38252400"/>
          <a:ext cx="3495675" cy="210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204</xdr:row>
      <xdr:rowOff>0</xdr:rowOff>
    </xdr:from>
    <xdr:to>
      <xdr:col>2</xdr:col>
      <xdr:colOff>2015039</xdr:colOff>
      <xdr:row>205</xdr:row>
      <xdr:rowOff>27375</xdr:rowOff>
    </xdr:to>
    <xdr:pic>
      <xdr:nvPicPr>
        <xdr:cNvPr id="4" name="Picture 3">
          <a:extLst>
            <a:ext uri="{FF2B5EF4-FFF2-40B4-BE49-F238E27FC236}">
              <a16:creationId xmlns:a16="http://schemas.microsoft.com/office/drawing/2014/main" id="{130B4E5E-E60B-4C0A-8220-4D1CAA166B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407860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209</xdr:row>
      <xdr:rowOff>0</xdr:rowOff>
    </xdr:from>
    <xdr:to>
      <xdr:col>2</xdr:col>
      <xdr:colOff>2015039</xdr:colOff>
      <xdr:row>209</xdr:row>
      <xdr:rowOff>1980000</xdr:rowOff>
    </xdr:to>
    <xdr:pic>
      <xdr:nvPicPr>
        <xdr:cNvPr id="5" name="Picture 4">
          <a:extLst>
            <a:ext uri="{FF2B5EF4-FFF2-40B4-BE49-F238E27FC236}">
              <a16:creationId xmlns:a16="http://schemas.microsoft.com/office/drawing/2014/main" id="{A6D814C8-34B8-4ACB-8A48-0E14C976DAB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433863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173</xdr:row>
      <xdr:rowOff>0</xdr:rowOff>
    </xdr:from>
    <xdr:to>
      <xdr:col>2</xdr:col>
      <xdr:colOff>2009775</xdr:colOff>
      <xdr:row>174</xdr:row>
      <xdr:rowOff>27375</xdr:rowOff>
    </xdr:to>
    <xdr:pic>
      <xdr:nvPicPr>
        <xdr:cNvPr id="6" name="Picture 5">
          <a:extLst>
            <a:ext uri="{FF2B5EF4-FFF2-40B4-BE49-F238E27FC236}">
              <a16:creationId xmlns:a16="http://schemas.microsoft.com/office/drawing/2014/main" id="{2E554841-E6FF-41D4-84F5-43240BD685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36852225"/>
          <a:ext cx="338137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178</xdr:row>
      <xdr:rowOff>0</xdr:rowOff>
    </xdr:from>
    <xdr:to>
      <xdr:col>2</xdr:col>
      <xdr:colOff>2015040</xdr:colOff>
      <xdr:row>178</xdr:row>
      <xdr:rowOff>1980000</xdr:rowOff>
    </xdr:to>
    <xdr:pic>
      <xdr:nvPicPr>
        <xdr:cNvPr id="7" name="Picture 6">
          <a:extLst>
            <a:ext uri="{FF2B5EF4-FFF2-40B4-BE49-F238E27FC236}">
              <a16:creationId xmlns:a16="http://schemas.microsoft.com/office/drawing/2014/main" id="{0189F1E9-CDE7-40EE-B733-C93C57CC4F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1" y="394525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210</xdr:row>
      <xdr:rowOff>0</xdr:rowOff>
    </xdr:from>
    <xdr:to>
      <xdr:col>2</xdr:col>
      <xdr:colOff>2015039</xdr:colOff>
      <xdr:row>210</xdr:row>
      <xdr:rowOff>1980000</xdr:rowOff>
    </xdr:to>
    <xdr:pic>
      <xdr:nvPicPr>
        <xdr:cNvPr id="4" name="Picture 3">
          <a:extLst>
            <a:ext uri="{FF2B5EF4-FFF2-40B4-BE49-F238E27FC236}">
              <a16:creationId xmlns:a16="http://schemas.microsoft.com/office/drawing/2014/main" id="{94ECE5FF-7823-472F-B0FA-3EC72928DB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447770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204</xdr:row>
      <xdr:rowOff>0</xdr:rowOff>
    </xdr:from>
    <xdr:to>
      <xdr:col>2</xdr:col>
      <xdr:colOff>1971675</xdr:colOff>
      <xdr:row>205</xdr:row>
      <xdr:rowOff>27375</xdr:rowOff>
    </xdr:to>
    <xdr:pic>
      <xdr:nvPicPr>
        <xdr:cNvPr id="5" name="Picture 4">
          <a:extLst>
            <a:ext uri="{FF2B5EF4-FFF2-40B4-BE49-F238E27FC236}">
              <a16:creationId xmlns:a16="http://schemas.microsoft.com/office/drawing/2014/main" id="{DC37CD2C-58FA-4D2F-9424-2055320578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41852850"/>
          <a:ext cx="334327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134</xdr:row>
      <xdr:rowOff>0</xdr:rowOff>
    </xdr:from>
    <xdr:to>
      <xdr:col>2</xdr:col>
      <xdr:colOff>2076449</xdr:colOff>
      <xdr:row>135</xdr:row>
      <xdr:rowOff>27375</xdr:rowOff>
    </xdr:to>
    <xdr:pic>
      <xdr:nvPicPr>
        <xdr:cNvPr id="4" name="Picture 3">
          <a:extLst>
            <a:ext uri="{FF2B5EF4-FFF2-40B4-BE49-F238E27FC236}">
              <a16:creationId xmlns:a16="http://schemas.microsoft.com/office/drawing/2014/main" id="{D3AE1B79-70E7-430D-B049-FA6E5AE0AF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7355800"/>
          <a:ext cx="344804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9526</xdr:colOff>
      <xdr:row>139</xdr:row>
      <xdr:rowOff>38101</xdr:rowOff>
    </xdr:from>
    <xdr:to>
      <xdr:col>2</xdr:col>
      <xdr:colOff>2038349</xdr:colOff>
      <xdr:row>139</xdr:row>
      <xdr:rowOff>2018101</xdr:rowOff>
    </xdr:to>
    <xdr:pic>
      <xdr:nvPicPr>
        <xdr:cNvPr id="5" name="Picture 4">
          <a:extLst>
            <a:ext uri="{FF2B5EF4-FFF2-40B4-BE49-F238E27FC236}">
              <a16:creationId xmlns:a16="http://schemas.microsoft.com/office/drawing/2014/main" id="{B82DE9A1-0EE2-4BC1-A034-35A1593C57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6726" y="29994226"/>
          <a:ext cx="34004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160</xdr:row>
      <xdr:rowOff>0</xdr:rowOff>
    </xdr:from>
    <xdr:to>
      <xdr:col>2</xdr:col>
      <xdr:colOff>2076450</xdr:colOff>
      <xdr:row>161</xdr:row>
      <xdr:rowOff>28576</xdr:rowOff>
    </xdr:to>
    <xdr:pic>
      <xdr:nvPicPr>
        <xdr:cNvPr id="4" name="Picture 3">
          <a:extLst>
            <a:ext uri="{FF2B5EF4-FFF2-40B4-BE49-F238E27FC236}">
              <a16:creationId xmlns:a16="http://schemas.microsoft.com/office/drawing/2014/main" id="{00CA6199-2E7B-4947-BCB2-3872253750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30718125"/>
          <a:ext cx="3448050" cy="1981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165</xdr:row>
      <xdr:rowOff>0</xdr:rowOff>
    </xdr:from>
    <xdr:to>
      <xdr:col>2</xdr:col>
      <xdr:colOff>2095500</xdr:colOff>
      <xdr:row>165</xdr:row>
      <xdr:rowOff>1980000</xdr:rowOff>
    </xdr:to>
    <xdr:pic>
      <xdr:nvPicPr>
        <xdr:cNvPr id="5" name="Picture 4">
          <a:extLst>
            <a:ext uri="{FF2B5EF4-FFF2-40B4-BE49-F238E27FC236}">
              <a16:creationId xmlns:a16="http://schemas.microsoft.com/office/drawing/2014/main" id="{129C6469-6FA9-42FA-B1DB-49F85B00EC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3318450"/>
          <a:ext cx="346710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116</xdr:row>
      <xdr:rowOff>161924</xdr:rowOff>
    </xdr:from>
    <xdr:to>
      <xdr:col>2</xdr:col>
      <xdr:colOff>2093623</xdr:colOff>
      <xdr:row>117</xdr:row>
      <xdr:rowOff>1979999</xdr:rowOff>
    </xdr:to>
    <xdr:pic>
      <xdr:nvPicPr>
        <xdr:cNvPr id="4" name="Picture 3">
          <a:extLst>
            <a:ext uri="{FF2B5EF4-FFF2-40B4-BE49-F238E27FC236}">
              <a16:creationId xmlns:a16="http://schemas.microsoft.com/office/drawing/2014/main" id="{85D5FF3F-8742-4DAB-BB97-B736BD2D1E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2374224"/>
          <a:ext cx="34652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112</xdr:row>
      <xdr:rowOff>0</xdr:rowOff>
    </xdr:from>
    <xdr:to>
      <xdr:col>2</xdr:col>
      <xdr:colOff>2016000</xdr:colOff>
      <xdr:row>113</xdr:row>
      <xdr:rowOff>25899</xdr:rowOff>
    </xdr:to>
    <xdr:pic>
      <xdr:nvPicPr>
        <xdr:cNvPr id="5" name="Picture 4">
          <a:extLst>
            <a:ext uri="{FF2B5EF4-FFF2-40B4-BE49-F238E27FC236}">
              <a16:creationId xmlns:a16="http://schemas.microsoft.com/office/drawing/2014/main" id="{1412B11C-178A-4B95-8169-F6F552350C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457200" y="19773900"/>
          <a:ext cx="3387600" cy="1978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0DA99-58DC-4D8C-B144-463E94E00DCD}">
  <dimension ref="A1:C11"/>
  <sheetViews>
    <sheetView tabSelected="1" workbookViewId="0">
      <selection activeCell="D23" sqref="D23"/>
    </sheetView>
  </sheetViews>
  <sheetFormatPr defaultColWidth="8.85546875" defaultRowHeight="15" x14ac:dyDescent="0.25"/>
  <cols>
    <col min="1" max="1" width="6.140625" style="3" bestFit="1" customWidth="1"/>
    <col min="2" max="2" width="10.85546875" style="3" bestFit="1" customWidth="1"/>
    <col min="3" max="3" width="35" style="3" bestFit="1" customWidth="1"/>
    <col min="4" max="16384" width="8.85546875" style="3"/>
  </cols>
  <sheetData>
    <row r="1" spans="1:3" x14ac:dyDescent="0.25">
      <c r="A1" s="1" t="s">
        <v>583</v>
      </c>
      <c r="B1" s="2" t="s">
        <v>584</v>
      </c>
      <c r="C1" s="2" t="s">
        <v>585</v>
      </c>
    </row>
    <row r="2" spans="1:3" x14ac:dyDescent="0.25">
      <c r="A2" s="4">
        <v>1</v>
      </c>
      <c r="B2" s="5" t="s">
        <v>586</v>
      </c>
      <c r="C2" s="6" t="s">
        <v>1</v>
      </c>
    </row>
    <row r="3" spans="1:3" x14ac:dyDescent="0.25">
      <c r="A3" s="4">
        <v>2</v>
      </c>
      <c r="B3" s="5" t="s">
        <v>587</v>
      </c>
      <c r="C3" s="6" t="s">
        <v>132</v>
      </c>
    </row>
    <row r="4" spans="1:3" x14ac:dyDescent="0.25">
      <c r="A4" s="4">
        <v>3</v>
      </c>
      <c r="B4" s="5" t="s">
        <v>588</v>
      </c>
      <c r="C4" s="6" t="s">
        <v>170</v>
      </c>
    </row>
    <row r="5" spans="1:3" x14ac:dyDescent="0.25">
      <c r="A5" s="4">
        <v>4</v>
      </c>
      <c r="B5" s="5" t="s">
        <v>589</v>
      </c>
      <c r="C5" s="6" t="s">
        <v>254</v>
      </c>
    </row>
    <row r="6" spans="1:3" x14ac:dyDescent="0.25">
      <c r="A6" s="4">
        <v>5</v>
      </c>
      <c r="B6" s="5" t="s">
        <v>590</v>
      </c>
      <c r="C6" s="6" t="s">
        <v>302</v>
      </c>
    </row>
    <row r="7" spans="1:3" x14ac:dyDescent="0.25">
      <c r="A7" s="4">
        <v>6</v>
      </c>
      <c r="B7" s="5" t="s">
        <v>591</v>
      </c>
      <c r="C7" s="6" t="s">
        <v>449</v>
      </c>
    </row>
    <row r="8" spans="1:3" x14ac:dyDescent="0.25">
      <c r="A8" s="4">
        <v>7</v>
      </c>
      <c r="B8" s="5" t="s">
        <v>592</v>
      </c>
      <c r="C8" s="6" t="s">
        <v>464</v>
      </c>
    </row>
    <row r="9" spans="1:3" x14ac:dyDescent="0.25">
      <c r="A9" s="4">
        <v>8</v>
      </c>
      <c r="B9" s="5" t="s">
        <v>593</v>
      </c>
      <c r="C9" s="6" t="s">
        <v>511</v>
      </c>
    </row>
    <row r="10" spans="1:3" x14ac:dyDescent="0.25">
      <c r="A10" s="4">
        <v>9</v>
      </c>
      <c r="B10" s="5" t="s">
        <v>594</v>
      </c>
      <c r="C10" s="6" t="s">
        <v>514</v>
      </c>
    </row>
    <row r="11" spans="1:3" x14ac:dyDescent="0.25">
      <c r="A11" s="4">
        <v>10</v>
      </c>
      <c r="B11" s="5" t="s">
        <v>595</v>
      </c>
      <c r="C11" s="6" t="s">
        <v>574</v>
      </c>
    </row>
  </sheetData>
  <hyperlinks>
    <hyperlink ref="B3" location="SFRSTP!A1" display="SFRSTP" xr:uid="{E2B84E10-3CC7-4E80-8D0D-57F43D65F018}"/>
    <hyperlink ref="B4" location="SMMF!A1" display="SMMF" xr:uid="{4E8D1CB9-BAE5-43B6-BFAF-E7B79D12B41B}"/>
    <hyperlink ref="B5" location="SPLDF!A1" display="SPLDF" xr:uid="{3877F1CF-F07B-4130-B9EA-C34C60365013}"/>
    <hyperlink ref="B6" location="SPMON!A1" display="SPMON" xr:uid="{BB7B8E71-5A8D-4FB0-97CA-1983CBBA3652}"/>
    <hyperlink ref="B7" location="SPSDF!A1" display="SPSDF" xr:uid="{07C2BA81-3F99-4D5B-9BC3-2E787DDBDEA8}"/>
    <hyperlink ref="B8" location="SPUSDF!A1" display="SPUSDF" xr:uid="{4668D1E3-9A38-4413-88EF-B91CF3C65611}"/>
    <hyperlink ref="B9" location="SUNBDS!A1" display="SUNBDS" xr:uid="{D07DACDC-009B-44A0-815E-5E4CB0759255}"/>
    <hyperlink ref="B10" location="SUNMIA!A1" display="SUNMIA" xr:uid="{D4C6CAFE-3C5E-4C9A-ABA7-E0CC8DC2FF61}"/>
    <hyperlink ref="B11" location="SUNONF!A1" display="SUNONF" xr:uid="{2989F94A-119E-44FE-AB20-2B4C3982394E}"/>
    <hyperlink ref="B2" location="SFRLTP!A1" display="SFRLTP" xr:uid="{AAED53A5-049C-4CF0-8C83-BF239E1280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FB7D0-1766-40EE-9786-FC493E50B124}">
  <sheetPr>
    <outlinePr summaryBelow="0" summaryRight="0"/>
  </sheetPr>
  <dimension ref="A1:Q161"/>
  <sheetViews>
    <sheetView showGridLines="0" workbookViewId="0">
      <selection activeCell="F8" sqref="F8"/>
    </sheetView>
  </sheetViews>
  <sheetFormatPr defaultRowHeight="12.75" x14ac:dyDescent="0.2"/>
  <cols>
    <col min="1" max="1" width="5.85546875" bestFit="1" customWidth="1"/>
    <col min="2" max="2" width="20.28515625" bestFit="1" customWidth="1"/>
    <col min="3" max="3" width="39.140625" bestFit="1" customWidth="1"/>
    <col min="4" max="4" width="12.140625" customWidth="1"/>
    <col min="5" max="5" width="9.42578125" bestFit="1" customWidth="1"/>
    <col min="6" max="6" width="10.140625" bestFit="1" customWidth="1"/>
    <col min="7" max="7" width="14" bestFit="1" customWidth="1"/>
    <col min="8" max="8" width="9.85546875" customWidth="1"/>
  </cols>
  <sheetData>
    <row r="1" spans="1:9" ht="15" x14ac:dyDescent="0.2">
      <c r="A1" s="174" t="s">
        <v>0</v>
      </c>
      <c r="B1" s="174"/>
      <c r="C1" s="174"/>
      <c r="D1" s="174"/>
      <c r="E1" s="174"/>
      <c r="F1" s="174"/>
      <c r="G1" s="174"/>
      <c r="H1" s="174"/>
      <c r="I1" s="15"/>
    </row>
    <row r="2" spans="1:9" ht="15" x14ac:dyDescent="0.2">
      <c r="A2" s="174" t="s">
        <v>1</v>
      </c>
      <c r="B2" s="174"/>
      <c r="C2" s="174"/>
      <c r="D2" s="174"/>
      <c r="E2" s="174"/>
      <c r="F2" s="174"/>
      <c r="G2" s="174"/>
      <c r="H2" s="174"/>
    </row>
    <row r="3" spans="1:9" ht="15" x14ac:dyDescent="0.2">
      <c r="A3" s="174" t="s">
        <v>581</v>
      </c>
      <c r="B3" s="174"/>
      <c r="C3" s="174"/>
      <c r="D3" s="174"/>
      <c r="E3" s="174"/>
      <c r="F3" s="174"/>
      <c r="G3" s="174"/>
      <c r="H3" s="174"/>
    </row>
    <row r="4" spans="1:9" s="13" customFormat="1" ht="30" x14ac:dyDescent="0.2">
      <c r="A4" s="14" t="s">
        <v>2</v>
      </c>
      <c r="B4" s="14" t="s">
        <v>3</v>
      </c>
      <c r="C4" s="14" t="s">
        <v>4</v>
      </c>
      <c r="D4" s="14" t="s">
        <v>5</v>
      </c>
      <c r="E4" s="14" t="s">
        <v>6</v>
      </c>
      <c r="F4" s="14" t="s">
        <v>7</v>
      </c>
      <c r="G4" s="14" t="s">
        <v>8</v>
      </c>
      <c r="H4" s="12" t="s">
        <v>582</v>
      </c>
    </row>
    <row r="5" spans="1:9" x14ac:dyDescent="0.2">
      <c r="A5" s="17"/>
      <c r="B5" s="17"/>
      <c r="C5" s="18" t="s">
        <v>9</v>
      </c>
      <c r="D5" s="17"/>
      <c r="E5" s="17"/>
      <c r="F5" s="17"/>
      <c r="G5" s="17"/>
      <c r="H5" s="19" t="s">
        <v>12</v>
      </c>
    </row>
    <row r="6" spans="1:9" x14ac:dyDescent="0.2">
      <c r="A6" s="20"/>
      <c r="B6" s="20"/>
      <c r="C6" s="21" t="s">
        <v>10</v>
      </c>
      <c r="D6" s="20"/>
      <c r="E6" s="20"/>
      <c r="F6" s="20"/>
      <c r="G6" s="20"/>
      <c r="H6" s="19" t="s">
        <v>12</v>
      </c>
    </row>
    <row r="7" spans="1:9" x14ac:dyDescent="0.2">
      <c r="A7" s="20"/>
      <c r="B7" s="20"/>
      <c r="C7" s="21" t="s">
        <v>11</v>
      </c>
      <c r="D7" s="20"/>
      <c r="E7" s="20" t="s">
        <v>12</v>
      </c>
      <c r="F7" s="22" t="s">
        <v>13</v>
      </c>
      <c r="G7" s="23">
        <v>0</v>
      </c>
      <c r="H7" s="19" t="s">
        <v>12</v>
      </c>
    </row>
    <row r="8" spans="1:9" x14ac:dyDescent="0.2">
      <c r="A8" s="20"/>
      <c r="B8" s="20"/>
      <c r="C8" s="24"/>
      <c r="D8" s="20"/>
      <c r="E8" s="20"/>
      <c r="F8" s="25"/>
      <c r="G8" s="25"/>
      <c r="H8" s="19" t="s">
        <v>12</v>
      </c>
    </row>
    <row r="9" spans="1:9" x14ac:dyDescent="0.2">
      <c r="A9" s="20"/>
      <c r="B9" s="20"/>
      <c r="C9" s="21" t="s">
        <v>14</v>
      </c>
      <c r="D9" s="20"/>
      <c r="E9" s="20"/>
      <c r="F9" s="20"/>
      <c r="G9" s="20"/>
      <c r="H9" s="19" t="s">
        <v>12</v>
      </c>
    </row>
    <row r="10" spans="1:9" x14ac:dyDescent="0.2">
      <c r="A10" s="20"/>
      <c r="B10" s="20"/>
      <c r="C10" s="21" t="s">
        <v>11</v>
      </c>
      <c r="D10" s="20"/>
      <c r="E10" s="20" t="s">
        <v>12</v>
      </c>
      <c r="F10" s="22" t="s">
        <v>13</v>
      </c>
      <c r="G10" s="23">
        <v>0</v>
      </c>
      <c r="H10" s="19" t="s">
        <v>12</v>
      </c>
    </row>
    <row r="11" spans="1:9" x14ac:dyDescent="0.2">
      <c r="A11" s="20"/>
      <c r="B11" s="20"/>
      <c r="C11" s="24"/>
      <c r="D11" s="20"/>
      <c r="E11" s="20"/>
      <c r="F11" s="25"/>
      <c r="G11" s="25"/>
      <c r="H11" s="19" t="s">
        <v>12</v>
      </c>
    </row>
    <row r="12" spans="1:9" x14ac:dyDescent="0.2">
      <c r="A12" s="20"/>
      <c r="B12" s="20"/>
      <c r="C12" s="21" t="s">
        <v>15</v>
      </c>
      <c r="D12" s="20"/>
      <c r="E12" s="20"/>
      <c r="F12" s="20"/>
      <c r="G12" s="20"/>
      <c r="H12" s="19" t="s">
        <v>12</v>
      </c>
    </row>
    <row r="13" spans="1:9" x14ac:dyDescent="0.2">
      <c r="A13" s="20"/>
      <c r="B13" s="20"/>
      <c r="C13" s="21" t="s">
        <v>11</v>
      </c>
      <c r="D13" s="20"/>
      <c r="E13" s="20" t="s">
        <v>12</v>
      </c>
      <c r="F13" s="22" t="s">
        <v>13</v>
      </c>
      <c r="G13" s="23">
        <v>0</v>
      </c>
      <c r="H13" s="19" t="s">
        <v>12</v>
      </c>
    </row>
    <row r="14" spans="1:9" x14ac:dyDescent="0.2">
      <c r="A14" s="20"/>
      <c r="B14" s="20"/>
      <c r="C14" s="24"/>
      <c r="D14" s="20"/>
      <c r="E14" s="20"/>
      <c r="F14" s="25"/>
      <c r="G14" s="25"/>
      <c r="H14" s="19" t="s">
        <v>12</v>
      </c>
    </row>
    <row r="15" spans="1:9" x14ac:dyDescent="0.2">
      <c r="A15" s="20"/>
      <c r="B15" s="20"/>
      <c r="C15" s="21" t="s">
        <v>16</v>
      </c>
      <c r="D15" s="20"/>
      <c r="E15" s="20"/>
      <c r="F15" s="20"/>
      <c r="G15" s="20"/>
      <c r="H15" s="19" t="s">
        <v>12</v>
      </c>
    </row>
    <row r="16" spans="1:9" x14ac:dyDescent="0.2">
      <c r="A16" s="20"/>
      <c r="B16" s="20"/>
      <c r="C16" s="21" t="s">
        <v>11</v>
      </c>
      <c r="D16" s="20"/>
      <c r="E16" s="20" t="s">
        <v>12</v>
      </c>
      <c r="F16" s="22" t="s">
        <v>13</v>
      </c>
      <c r="G16" s="23">
        <v>0</v>
      </c>
      <c r="H16" s="19" t="s">
        <v>12</v>
      </c>
    </row>
    <row r="17" spans="1:8" x14ac:dyDescent="0.2">
      <c r="A17" s="20"/>
      <c r="B17" s="20"/>
      <c r="C17" s="24"/>
      <c r="D17" s="20"/>
      <c r="E17" s="20"/>
      <c r="F17" s="25"/>
      <c r="G17" s="25"/>
      <c r="H17" s="19" t="s">
        <v>12</v>
      </c>
    </row>
    <row r="18" spans="1:8" x14ac:dyDescent="0.2">
      <c r="A18" s="20"/>
      <c r="B18" s="20"/>
      <c r="C18" s="21" t="s">
        <v>17</v>
      </c>
      <c r="D18" s="20"/>
      <c r="E18" s="20"/>
      <c r="F18" s="25"/>
      <c r="G18" s="25"/>
      <c r="H18" s="19" t="s">
        <v>12</v>
      </c>
    </row>
    <row r="19" spans="1:8" x14ac:dyDescent="0.2">
      <c r="A19" s="20"/>
      <c r="B19" s="20"/>
      <c r="C19" s="21" t="s">
        <v>11</v>
      </c>
      <c r="D19" s="20"/>
      <c r="E19" s="20" t="s">
        <v>12</v>
      </c>
      <c r="F19" s="22" t="s">
        <v>13</v>
      </c>
      <c r="G19" s="23">
        <v>0</v>
      </c>
      <c r="H19" s="19" t="s">
        <v>12</v>
      </c>
    </row>
    <row r="20" spans="1:8" x14ac:dyDescent="0.2">
      <c r="A20" s="20"/>
      <c r="B20" s="20"/>
      <c r="C20" s="24"/>
      <c r="D20" s="20"/>
      <c r="E20" s="20"/>
      <c r="F20" s="25"/>
      <c r="G20" s="25"/>
      <c r="H20" s="19" t="s">
        <v>12</v>
      </c>
    </row>
    <row r="21" spans="1:8" x14ac:dyDescent="0.2">
      <c r="A21" s="20"/>
      <c r="B21" s="20"/>
      <c r="C21" s="21" t="s">
        <v>18</v>
      </c>
      <c r="D21" s="20"/>
      <c r="E21" s="20"/>
      <c r="F21" s="25"/>
      <c r="G21" s="25"/>
      <c r="H21" s="19" t="s">
        <v>12</v>
      </c>
    </row>
    <row r="22" spans="1:8" x14ac:dyDescent="0.2">
      <c r="A22" s="20"/>
      <c r="B22" s="20"/>
      <c r="C22" s="21" t="s">
        <v>11</v>
      </c>
      <c r="D22" s="20"/>
      <c r="E22" s="20" t="s">
        <v>12</v>
      </c>
      <c r="F22" s="22" t="s">
        <v>13</v>
      </c>
      <c r="G22" s="23">
        <v>0</v>
      </c>
      <c r="H22" s="19" t="s">
        <v>12</v>
      </c>
    </row>
    <row r="23" spans="1:8" x14ac:dyDescent="0.2">
      <c r="A23" s="20"/>
      <c r="B23" s="20"/>
      <c r="C23" s="24"/>
      <c r="D23" s="20"/>
      <c r="E23" s="20"/>
      <c r="F23" s="25"/>
      <c r="G23" s="25"/>
      <c r="H23" s="19" t="s">
        <v>12</v>
      </c>
    </row>
    <row r="24" spans="1:8" x14ac:dyDescent="0.2">
      <c r="A24" s="20"/>
      <c r="B24" s="20"/>
      <c r="C24" s="21" t="s">
        <v>19</v>
      </c>
      <c r="D24" s="20"/>
      <c r="E24" s="20"/>
      <c r="F24" s="26">
        <v>0</v>
      </c>
      <c r="G24" s="23">
        <v>0</v>
      </c>
      <c r="H24" s="19" t="s">
        <v>12</v>
      </c>
    </row>
    <row r="25" spans="1:8" x14ac:dyDescent="0.2">
      <c r="A25" s="20"/>
      <c r="B25" s="20"/>
      <c r="C25" s="24"/>
      <c r="D25" s="20"/>
      <c r="E25" s="20"/>
      <c r="F25" s="25"/>
      <c r="G25" s="25"/>
      <c r="H25" s="19" t="s">
        <v>12</v>
      </c>
    </row>
    <row r="26" spans="1:8" x14ac:dyDescent="0.2">
      <c r="A26" s="20"/>
      <c r="B26" s="20"/>
      <c r="C26" s="21" t="s">
        <v>20</v>
      </c>
      <c r="D26" s="20"/>
      <c r="E26" s="20"/>
      <c r="F26" s="25"/>
      <c r="G26" s="25"/>
      <c r="H26" s="19" t="s">
        <v>12</v>
      </c>
    </row>
    <row r="27" spans="1:8" x14ac:dyDescent="0.2">
      <c r="A27" s="20"/>
      <c r="B27" s="20"/>
      <c r="C27" s="21" t="s">
        <v>10</v>
      </c>
      <c r="D27" s="20"/>
      <c r="E27" s="20"/>
      <c r="F27" s="25"/>
      <c r="G27" s="25"/>
      <c r="H27" s="19" t="s">
        <v>12</v>
      </c>
    </row>
    <row r="28" spans="1:8" ht="25.5" x14ac:dyDescent="0.2">
      <c r="A28" s="27">
        <v>1</v>
      </c>
      <c r="B28" s="28" t="s">
        <v>21</v>
      </c>
      <c r="C28" s="28" t="s">
        <v>22</v>
      </c>
      <c r="D28" s="28" t="s">
        <v>23</v>
      </c>
      <c r="E28" s="29">
        <v>5000</v>
      </c>
      <c r="F28" s="30">
        <v>5183.71</v>
      </c>
      <c r="G28" s="31">
        <v>7.2108060000000002E-2</v>
      </c>
      <c r="H28" s="19">
        <v>6.5941999999999998</v>
      </c>
    </row>
    <row r="29" spans="1:8" ht="25.5" x14ac:dyDescent="0.2">
      <c r="A29" s="27">
        <v>2</v>
      </c>
      <c r="B29" s="28" t="s">
        <v>24</v>
      </c>
      <c r="C29" s="28" t="s">
        <v>25</v>
      </c>
      <c r="D29" s="28" t="s">
        <v>23</v>
      </c>
      <c r="E29" s="29">
        <v>4000</v>
      </c>
      <c r="F29" s="30">
        <v>4113.82</v>
      </c>
      <c r="G29" s="31">
        <v>5.722534E-2</v>
      </c>
      <c r="H29" s="19">
        <v>6.57</v>
      </c>
    </row>
    <row r="30" spans="1:8" x14ac:dyDescent="0.2">
      <c r="A30" s="27">
        <v>3</v>
      </c>
      <c r="B30" s="28" t="s">
        <v>26</v>
      </c>
      <c r="C30" s="28" t="s">
        <v>27</v>
      </c>
      <c r="D30" s="28" t="s">
        <v>23</v>
      </c>
      <c r="E30" s="29">
        <v>4000</v>
      </c>
      <c r="F30" s="30">
        <v>4027.4520000000002</v>
      </c>
      <c r="G30" s="31">
        <v>5.6023919999999998E-2</v>
      </c>
      <c r="H30" s="19">
        <v>6.6</v>
      </c>
    </row>
    <row r="31" spans="1:8" x14ac:dyDescent="0.2">
      <c r="A31" s="27">
        <v>4</v>
      </c>
      <c r="B31" s="28" t="s">
        <v>28</v>
      </c>
      <c r="C31" s="28" t="s">
        <v>29</v>
      </c>
      <c r="D31" s="28" t="s">
        <v>23</v>
      </c>
      <c r="E31" s="29">
        <v>300</v>
      </c>
      <c r="F31" s="30">
        <v>3060.7620000000002</v>
      </c>
      <c r="G31" s="31">
        <v>4.257677E-2</v>
      </c>
      <c r="H31" s="19">
        <v>6.915</v>
      </c>
    </row>
    <row r="32" spans="1:8" ht="25.5" x14ac:dyDescent="0.2">
      <c r="A32" s="27">
        <v>5</v>
      </c>
      <c r="B32" s="28" t="s">
        <v>30</v>
      </c>
      <c r="C32" s="28" t="s">
        <v>31</v>
      </c>
      <c r="D32" s="28" t="s">
        <v>32</v>
      </c>
      <c r="E32" s="29">
        <v>2500</v>
      </c>
      <c r="F32" s="30">
        <v>2590.4025000000001</v>
      </c>
      <c r="G32" s="31">
        <v>3.6033820000000001E-2</v>
      </c>
      <c r="H32" s="19">
        <v>6.67</v>
      </c>
    </row>
    <row r="33" spans="1:8" ht="25.5" x14ac:dyDescent="0.2">
      <c r="A33" s="27">
        <v>6</v>
      </c>
      <c r="B33" s="28" t="s">
        <v>33</v>
      </c>
      <c r="C33" s="28" t="s">
        <v>34</v>
      </c>
      <c r="D33" s="28" t="s">
        <v>23</v>
      </c>
      <c r="E33" s="29">
        <v>2500</v>
      </c>
      <c r="F33" s="30">
        <v>2580.0625</v>
      </c>
      <c r="G33" s="31">
        <v>3.5889989999999997E-2</v>
      </c>
      <c r="H33" s="19">
        <v>6.665</v>
      </c>
    </row>
    <row r="34" spans="1:8" ht="25.5" x14ac:dyDescent="0.2">
      <c r="A34" s="27">
        <v>7</v>
      </c>
      <c r="B34" s="28" t="s">
        <v>35</v>
      </c>
      <c r="C34" s="28" t="s">
        <v>36</v>
      </c>
      <c r="D34" s="28" t="s">
        <v>23</v>
      </c>
      <c r="E34" s="29">
        <v>2500</v>
      </c>
      <c r="F34" s="30">
        <v>2579.46</v>
      </c>
      <c r="G34" s="31">
        <v>3.5881610000000001E-2</v>
      </c>
      <c r="H34" s="19">
        <v>5.7</v>
      </c>
    </row>
    <row r="35" spans="1:8" x14ac:dyDescent="0.2">
      <c r="A35" s="27">
        <v>8</v>
      </c>
      <c r="B35" s="28" t="s">
        <v>37</v>
      </c>
      <c r="C35" s="28" t="s">
        <v>38</v>
      </c>
      <c r="D35" s="28" t="s">
        <v>23</v>
      </c>
      <c r="E35" s="29">
        <v>2500</v>
      </c>
      <c r="F35" s="30">
        <v>2561.3325</v>
      </c>
      <c r="G35" s="31">
        <v>3.562945E-2</v>
      </c>
      <c r="H35" s="19">
        <v>6.5481999999999996</v>
      </c>
    </row>
    <row r="36" spans="1:8" ht="25.5" x14ac:dyDescent="0.2">
      <c r="A36" s="27">
        <v>9</v>
      </c>
      <c r="B36" s="28" t="s">
        <v>39</v>
      </c>
      <c r="C36" s="28" t="s">
        <v>40</v>
      </c>
      <c r="D36" s="28" t="s">
        <v>23</v>
      </c>
      <c r="E36" s="29">
        <v>2500</v>
      </c>
      <c r="F36" s="30">
        <v>2522.1750000000002</v>
      </c>
      <c r="G36" s="31">
        <v>3.5084749999999998E-2</v>
      </c>
      <c r="H36" s="19">
        <v>6.5545999999999998</v>
      </c>
    </row>
    <row r="37" spans="1:8" x14ac:dyDescent="0.2">
      <c r="A37" s="27">
        <v>10</v>
      </c>
      <c r="B37" s="28" t="s">
        <v>41</v>
      </c>
      <c r="C37" s="28" t="s">
        <v>42</v>
      </c>
      <c r="D37" s="28" t="s">
        <v>23</v>
      </c>
      <c r="E37" s="29">
        <v>2500</v>
      </c>
      <c r="F37" s="30">
        <v>2519.5574999999999</v>
      </c>
      <c r="G37" s="31">
        <v>3.5048330000000003E-2</v>
      </c>
      <c r="H37" s="19">
        <v>6.5449999999999999</v>
      </c>
    </row>
    <row r="38" spans="1:8" ht="25.5" x14ac:dyDescent="0.2">
      <c r="A38" s="27">
        <v>11</v>
      </c>
      <c r="B38" s="28" t="s">
        <v>43</v>
      </c>
      <c r="C38" s="28" t="s">
        <v>44</v>
      </c>
      <c r="D38" s="28" t="s">
        <v>23</v>
      </c>
      <c r="E38" s="29">
        <v>2000</v>
      </c>
      <c r="F38" s="30">
        <v>2063.114</v>
      </c>
      <c r="G38" s="31">
        <v>2.8698970000000001E-2</v>
      </c>
      <c r="H38" s="19">
        <v>6.64</v>
      </c>
    </row>
    <row r="39" spans="1:8" x14ac:dyDescent="0.2">
      <c r="A39" s="27">
        <v>12</v>
      </c>
      <c r="B39" s="28" t="s">
        <v>45</v>
      </c>
      <c r="C39" s="28" t="s">
        <v>46</v>
      </c>
      <c r="D39" s="28" t="s">
        <v>23</v>
      </c>
      <c r="E39" s="29">
        <v>2000</v>
      </c>
      <c r="F39" s="30">
        <v>2053.3240000000001</v>
      </c>
      <c r="G39" s="31">
        <v>2.8562790000000001E-2</v>
      </c>
      <c r="H39" s="19">
        <v>7.3837999999999999</v>
      </c>
    </row>
    <row r="40" spans="1:8" ht="25.5" x14ac:dyDescent="0.2">
      <c r="A40" s="27">
        <v>13</v>
      </c>
      <c r="B40" s="28" t="s">
        <v>47</v>
      </c>
      <c r="C40" s="28" t="s">
        <v>48</v>
      </c>
      <c r="D40" s="28" t="s">
        <v>32</v>
      </c>
      <c r="E40" s="29">
        <v>200</v>
      </c>
      <c r="F40" s="30">
        <v>2046.1880000000001</v>
      </c>
      <c r="G40" s="31">
        <v>2.8463519999999999E-2</v>
      </c>
      <c r="H40" s="19">
        <v>6.38</v>
      </c>
    </row>
    <row r="41" spans="1:8" x14ac:dyDescent="0.2">
      <c r="A41" s="27">
        <v>14</v>
      </c>
      <c r="B41" s="28" t="s">
        <v>49</v>
      </c>
      <c r="C41" s="28" t="s">
        <v>50</v>
      </c>
      <c r="D41" s="28" t="s">
        <v>23</v>
      </c>
      <c r="E41" s="29">
        <v>2000</v>
      </c>
      <c r="F41" s="30">
        <v>2016.7159999999999</v>
      </c>
      <c r="G41" s="31">
        <v>2.805355E-2</v>
      </c>
      <c r="H41" s="19">
        <v>6.6</v>
      </c>
    </row>
    <row r="42" spans="1:8" ht="25.5" x14ac:dyDescent="0.2">
      <c r="A42" s="27">
        <v>15</v>
      </c>
      <c r="B42" s="28" t="s">
        <v>51</v>
      </c>
      <c r="C42" s="28" t="s">
        <v>52</v>
      </c>
      <c r="D42" s="28" t="s">
        <v>23</v>
      </c>
      <c r="E42" s="29">
        <v>1500</v>
      </c>
      <c r="F42" s="30">
        <v>1568.5440000000001</v>
      </c>
      <c r="G42" s="31">
        <v>2.1819249999999998E-2</v>
      </c>
      <c r="H42" s="19">
        <v>7.0250000000000004</v>
      </c>
    </row>
    <row r="43" spans="1:8" x14ac:dyDescent="0.2">
      <c r="A43" s="27">
        <v>16</v>
      </c>
      <c r="B43" s="28" t="s">
        <v>53</v>
      </c>
      <c r="C43" s="28" t="s">
        <v>54</v>
      </c>
      <c r="D43" s="28" t="s">
        <v>23</v>
      </c>
      <c r="E43" s="29">
        <v>1500</v>
      </c>
      <c r="F43" s="30">
        <v>1521.81</v>
      </c>
      <c r="G43" s="31">
        <v>2.1169159999999999E-2</v>
      </c>
      <c r="H43" s="19">
        <v>6.55</v>
      </c>
    </row>
    <row r="44" spans="1:8" ht="25.5" x14ac:dyDescent="0.2">
      <c r="A44" s="27">
        <v>17</v>
      </c>
      <c r="B44" s="28" t="s">
        <v>55</v>
      </c>
      <c r="C44" s="28" t="s">
        <v>56</v>
      </c>
      <c r="D44" s="28" t="s">
        <v>23</v>
      </c>
      <c r="E44" s="29">
        <v>1500</v>
      </c>
      <c r="F44" s="30">
        <v>1518.924</v>
      </c>
      <c r="G44" s="31">
        <v>2.112901E-2</v>
      </c>
      <c r="H44" s="19">
        <v>6.76</v>
      </c>
    </row>
    <row r="45" spans="1:8" ht="25.5" x14ac:dyDescent="0.2">
      <c r="A45" s="27">
        <v>18</v>
      </c>
      <c r="B45" s="28" t="s">
        <v>57</v>
      </c>
      <c r="C45" s="28" t="s">
        <v>58</v>
      </c>
      <c r="D45" s="28" t="s">
        <v>23</v>
      </c>
      <c r="E45" s="29">
        <v>1500</v>
      </c>
      <c r="F45" s="30">
        <v>1515.1395</v>
      </c>
      <c r="G45" s="31">
        <v>2.1076370000000001E-2</v>
      </c>
      <c r="H45" s="19">
        <v>6.62</v>
      </c>
    </row>
    <row r="46" spans="1:8" ht="25.5" x14ac:dyDescent="0.2">
      <c r="A46" s="27">
        <v>19</v>
      </c>
      <c r="B46" s="28" t="s">
        <v>59</v>
      </c>
      <c r="C46" s="28" t="s">
        <v>60</v>
      </c>
      <c r="D46" s="28" t="s">
        <v>32</v>
      </c>
      <c r="E46" s="29">
        <v>150</v>
      </c>
      <c r="F46" s="30">
        <v>1515.105</v>
      </c>
      <c r="G46" s="31">
        <v>2.107589E-2</v>
      </c>
      <c r="H46" s="19">
        <v>6.5167999999999999</v>
      </c>
    </row>
    <row r="47" spans="1:8" ht="25.5" x14ac:dyDescent="0.2">
      <c r="A47" s="27">
        <v>20</v>
      </c>
      <c r="B47" s="28" t="s">
        <v>61</v>
      </c>
      <c r="C47" s="28" t="s">
        <v>62</v>
      </c>
      <c r="D47" s="28" t="s">
        <v>23</v>
      </c>
      <c r="E47" s="29">
        <v>1500</v>
      </c>
      <c r="F47" s="30">
        <v>1507.1685</v>
      </c>
      <c r="G47" s="31">
        <v>2.096549E-2</v>
      </c>
      <c r="H47" s="19">
        <v>6.9672000000000001</v>
      </c>
    </row>
    <row r="48" spans="1:8" ht="25.5" x14ac:dyDescent="0.2">
      <c r="A48" s="27">
        <v>21</v>
      </c>
      <c r="B48" s="28" t="s">
        <v>63</v>
      </c>
      <c r="C48" s="28" t="s">
        <v>64</v>
      </c>
      <c r="D48" s="28" t="s">
        <v>23</v>
      </c>
      <c r="E48" s="29">
        <v>1400</v>
      </c>
      <c r="F48" s="30">
        <v>1402.2652</v>
      </c>
      <c r="G48" s="31">
        <v>1.9506229999999999E-2</v>
      </c>
      <c r="H48" s="19">
        <v>7.343</v>
      </c>
    </row>
    <row r="49" spans="1:8" ht="25.5" x14ac:dyDescent="0.2">
      <c r="A49" s="27">
        <v>22</v>
      </c>
      <c r="B49" s="28" t="s">
        <v>65</v>
      </c>
      <c r="C49" s="28" t="s">
        <v>66</v>
      </c>
      <c r="D49" s="28" t="s">
        <v>23</v>
      </c>
      <c r="E49" s="29">
        <v>1300</v>
      </c>
      <c r="F49" s="30">
        <v>1301.8304000000001</v>
      </c>
      <c r="G49" s="31">
        <v>1.8109130000000001E-2</v>
      </c>
      <c r="H49" s="19">
        <v>6.5644999999999998</v>
      </c>
    </row>
    <row r="50" spans="1:8" x14ac:dyDescent="0.2">
      <c r="A50" s="27">
        <v>23</v>
      </c>
      <c r="B50" s="28" t="s">
        <v>67</v>
      </c>
      <c r="C50" s="28" t="s">
        <v>68</v>
      </c>
      <c r="D50" s="28" t="s">
        <v>23</v>
      </c>
      <c r="E50" s="29">
        <v>100</v>
      </c>
      <c r="F50" s="30">
        <v>1023.822</v>
      </c>
      <c r="G50" s="31">
        <v>1.424189E-2</v>
      </c>
      <c r="H50" s="19">
        <v>6.915</v>
      </c>
    </row>
    <row r="51" spans="1:8" ht="25.5" x14ac:dyDescent="0.2">
      <c r="A51" s="27">
        <v>24</v>
      </c>
      <c r="B51" s="28" t="s">
        <v>69</v>
      </c>
      <c r="C51" s="28" t="s">
        <v>70</v>
      </c>
      <c r="D51" s="28" t="s">
        <v>23</v>
      </c>
      <c r="E51" s="29">
        <v>1000</v>
      </c>
      <c r="F51" s="30">
        <v>1009.096</v>
      </c>
      <c r="G51" s="31">
        <v>1.4037040000000001E-2</v>
      </c>
      <c r="H51" s="19">
        <v>6.6092000000000004</v>
      </c>
    </row>
    <row r="52" spans="1:8" ht="25.5" x14ac:dyDescent="0.2">
      <c r="A52" s="27">
        <v>25</v>
      </c>
      <c r="B52" s="28" t="s">
        <v>71</v>
      </c>
      <c r="C52" s="28" t="s">
        <v>72</v>
      </c>
      <c r="D52" s="28" t="s">
        <v>23</v>
      </c>
      <c r="E52" s="29">
        <v>1000</v>
      </c>
      <c r="F52" s="30">
        <v>1000.072</v>
      </c>
      <c r="G52" s="31">
        <v>1.391151E-2</v>
      </c>
      <c r="H52" s="19">
        <v>7.02</v>
      </c>
    </row>
    <row r="53" spans="1:8" x14ac:dyDescent="0.2">
      <c r="A53" s="27">
        <v>26</v>
      </c>
      <c r="B53" s="28" t="s">
        <v>73</v>
      </c>
      <c r="C53" s="28" t="s">
        <v>74</v>
      </c>
      <c r="D53" s="28" t="s">
        <v>23</v>
      </c>
      <c r="E53" s="29">
        <v>500</v>
      </c>
      <c r="F53" s="30">
        <v>515.41899999999998</v>
      </c>
      <c r="G53" s="31">
        <v>7.16974E-3</v>
      </c>
      <c r="H53" s="19">
        <v>7.3674999999999997</v>
      </c>
    </row>
    <row r="54" spans="1:8" ht="25.5" x14ac:dyDescent="0.2">
      <c r="A54" s="27">
        <v>27</v>
      </c>
      <c r="B54" s="28" t="s">
        <v>75</v>
      </c>
      <c r="C54" s="28" t="s">
        <v>76</v>
      </c>
      <c r="D54" s="28" t="s">
        <v>23</v>
      </c>
      <c r="E54" s="29">
        <v>500</v>
      </c>
      <c r="F54" s="30">
        <v>510.988</v>
      </c>
      <c r="G54" s="31">
        <v>7.1081099999999999E-3</v>
      </c>
      <c r="H54" s="19">
        <v>6.5774999999999997</v>
      </c>
    </row>
    <row r="55" spans="1:8" x14ac:dyDescent="0.2">
      <c r="A55" s="20"/>
      <c r="B55" s="20"/>
      <c r="C55" s="21" t="s">
        <v>11</v>
      </c>
      <c r="D55" s="20"/>
      <c r="E55" s="20" t="s">
        <v>12</v>
      </c>
      <c r="F55" s="26">
        <v>55828.259599999998</v>
      </c>
      <c r="G55" s="23">
        <v>0.77659968999999995</v>
      </c>
      <c r="H55" s="19" t="s">
        <v>12</v>
      </c>
    </row>
    <row r="56" spans="1:8" x14ac:dyDescent="0.2">
      <c r="A56" s="20"/>
      <c r="B56" s="20"/>
      <c r="C56" s="24"/>
      <c r="D56" s="20"/>
      <c r="E56" s="20"/>
      <c r="F56" s="25"/>
      <c r="G56" s="25"/>
      <c r="H56" s="19" t="s">
        <v>12</v>
      </c>
    </row>
    <row r="57" spans="1:8" x14ac:dyDescent="0.2">
      <c r="A57" s="20"/>
      <c r="B57" s="20"/>
      <c r="C57" s="21" t="s">
        <v>77</v>
      </c>
      <c r="D57" s="20"/>
      <c r="E57" s="20"/>
      <c r="F57" s="20"/>
      <c r="G57" s="20"/>
      <c r="H57" s="19" t="s">
        <v>12</v>
      </c>
    </row>
    <row r="58" spans="1:8" x14ac:dyDescent="0.2">
      <c r="A58" s="20"/>
      <c r="B58" s="20"/>
      <c r="C58" s="21" t="s">
        <v>11</v>
      </c>
      <c r="D58" s="20"/>
      <c r="E58" s="20" t="s">
        <v>12</v>
      </c>
      <c r="F58" s="22" t="s">
        <v>13</v>
      </c>
      <c r="G58" s="23">
        <v>0</v>
      </c>
      <c r="H58" s="19" t="s">
        <v>12</v>
      </c>
    </row>
    <row r="59" spans="1:8" x14ac:dyDescent="0.2">
      <c r="A59" s="20"/>
      <c r="B59" s="20"/>
      <c r="C59" s="24"/>
      <c r="D59" s="20"/>
      <c r="E59" s="20"/>
      <c r="F59" s="25"/>
      <c r="G59" s="25"/>
      <c r="H59" s="19" t="s">
        <v>12</v>
      </c>
    </row>
    <row r="60" spans="1:8" x14ac:dyDescent="0.2">
      <c r="A60" s="20"/>
      <c r="B60" s="20"/>
      <c r="C60" s="21" t="s">
        <v>78</v>
      </c>
      <c r="D60" s="20"/>
      <c r="E60" s="20"/>
      <c r="F60" s="20"/>
      <c r="G60" s="20"/>
      <c r="H60" s="19" t="s">
        <v>12</v>
      </c>
    </row>
    <row r="61" spans="1:8" ht="25.5" x14ac:dyDescent="0.2">
      <c r="A61" s="27">
        <v>1</v>
      </c>
      <c r="B61" s="28" t="s">
        <v>79</v>
      </c>
      <c r="C61" s="28" t="s">
        <v>80</v>
      </c>
      <c r="D61" s="28" t="s">
        <v>81</v>
      </c>
      <c r="E61" s="29">
        <v>4000000</v>
      </c>
      <c r="F61" s="30">
        <v>4143.7160000000003</v>
      </c>
      <c r="G61" s="31">
        <v>5.7641209999999998E-2</v>
      </c>
      <c r="H61" s="19">
        <v>6.3731</v>
      </c>
    </row>
    <row r="62" spans="1:8" x14ac:dyDescent="0.2">
      <c r="A62" s="27">
        <v>2</v>
      </c>
      <c r="B62" s="28" t="s">
        <v>82</v>
      </c>
      <c r="C62" s="28" t="s">
        <v>83</v>
      </c>
      <c r="D62" s="28" t="s">
        <v>81</v>
      </c>
      <c r="E62" s="29">
        <v>2000000</v>
      </c>
      <c r="F62" s="30">
        <v>2126.6619999999998</v>
      </c>
      <c r="G62" s="31">
        <v>2.9582959999999998E-2</v>
      </c>
      <c r="H62" s="19">
        <v>6.0298999999999996</v>
      </c>
    </row>
    <row r="63" spans="1:8" ht="25.5" x14ac:dyDescent="0.2">
      <c r="A63" s="27">
        <v>3</v>
      </c>
      <c r="B63" s="28" t="s">
        <v>84</v>
      </c>
      <c r="C63" s="28" t="s">
        <v>85</v>
      </c>
      <c r="D63" s="28" t="s">
        <v>81</v>
      </c>
      <c r="E63" s="29">
        <v>1500000</v>
      </c>
      <c r="F63" s="30">
        <v>1543.2750000000001</v>
      </c>
      <c r="G63" s="31">
        <v>2.1467750000000001E-2</v>
      </c>
      <c r="H63" s="19">
        <v>6.1261000000000001</v>
      </c>
    </row>
    <row r="64" spans="1:8" x14ac:dyDescent="0.2">
      <c r="A64" s="27">
        <v>4</v>
      </c>
      <c r="B64" s="28" t="s">
        <v>86</v>
      </c>
      <c r="C64" s="28" t="s">
        <v>87</v>
      </c>
      <c r="D64" s="28" t="s">
        <v>81</v>
      </c>
      <c r="E64" s="29">
        <v>1000000</v>
      </c>
      <c r="F64" s="30">
        <v>1060.299</v>
      </c>
      <c r="G64" s="31">
        <v>1.47493E-2</v>
      </c>
      <c r="H64" s="19">
        <v>6.9306999999999999</v>
      </c>
    </row>
    <row r="65" spans="1:8" ht="25.5" x14ac:dyDescent="0.2">
      <c r="A65" s="27">
        <v>5</v>
      </c>
      <c r="B65" s="28" t="s">
        <v>88</v>
      </c>
      <c r="C65" s="28" t="s">
        <v>89</v>
      </c>
      <c r="D65" s="28" t="s">
        <v>81</v>
      </c>
      <c r="E65" s="29">
        <v>1000000</v>
      </c>
      <c r="F65" s="30">
        <v>1033.3130000000001</v>
      </c>
      <c r="G65" s="31">
        <v>1.437391E-2</v>
      </c>
      <c r="H65" s="19">
        <v>6.9405999999999999</v>
      </c>
    </row>
    <row r="66" spans="1:8" ht="25.5" x14ac:dyDescent="0.2">
      <c r="A66" s="27">
        <v>6</v>
      </c>
      <c r="B66" s="28" t="s">
        <v>90</v>
      </c>
      <c r="C66" s="28" t="s">
        <v>91</v>
      </c>
      <c r="D66" s="28" t="s">
        <v>81</v>
      </c>
      <c r="E66" s="29">
        <v>1000000</v>
      </c>
      <c r="F66" s="30">
        <v>1006.732</v>
      </c>
      <c r="G66" s="31">
        <v>1.400416E-2</v>
      </c>
      <c r="H66" s="19">
        <v>6.9669999999999996</v>
      </c>
    </row>
    <row r="67" spans="1:8" x14ac:dyDescent="0.2">
      <c r="A67" s="27">
        <v>7</v>
      </c>
      <c r="B67" s="28" t="s">
        <v>92</v>
      </c>
      <c r="C67" s="28" t="s">
        <v>93</v>
      </c>
      <c r="D67" s="28" t="s">
        <v>81</v>
      </c>
      <c r="E67" s="29">
        <v>500000</v>
      </c>
      <c r="F67" s="30">
        <v>532.51700000000005</v>
      </c>
      <c r="G67" s="31">
        <v>7.4075800000000004E-3</v>
      </c>
      <c r="H67" s="19">
        <v>6.5026999999999999</v>
      </c>
    </row>
    <row r="68" spans="1:8" x14ac:dyDescent="0.2">
      <c r="A68" s="27">
        <v>8</v>
      </c>
      <c r="B68" s="28" t="s">
        <v>94</v>
      </c>
      <c r="C68" s="28" t="s">
        <v>95</v>
      </c>
      <c r="D68" s="28" t="s">
        <v>81</v>
      </c>
      <c r="E68" s="29">
        <v>500000</v>
      </c>
      <c r="F68" s="30">
        <v>524.62800000000004</v>
      </c>
      <c r="G68" s="31">
        <v>7.2978399999999999E-3</v>
      </c>
      <c r="H68" s="19">
        <v>5.8318000000000003</v>
      </c>
    </row>
    <row r="69" spans="1:8" ht="25.5" x14ac:dyDescent="0.2">
      <c r="A69" s="27">
        <v>9</v>
      </c>
      <c r="B69" s="28" t="s">
        <v>96</v>
      </c>
      <c r="C69" s="28" t="s">
        <v>97</v>
      </c>
      <c r="D69" s="28" t="s">
        <v>81</v>
      </c>
      <c r="E69" s="29">
        <v>500000</v>
      </c>
      <c r="F69" s="30">
        <v>504.14049999999997</v>
      </c>
      <c r="G69" s="31">
        <v>7.0128500000000002E-3</v>
      </c>
      <c r="H69" s="19">
        <v>6.3128000000000002</v>
      </c>
    </row>
    <row r="70" spans="1:8" ht="25.5" x14ac:dyDescent="0.2">
      <c r="A70" s="27">
        <v>10</v>
      </c>
      <c r="B70" s="28" t="s">
        <v>98</v>
      </c>
      <c r="C70" s="28" t="s">
        <v>99</v>
      </c>
      <c r="D70" s="28" t="s">
        <v>81</v>
      </c>
      <c r="E70" s="29">
        <v>200000</v>
      </c>
      <c r="F70" s="30">
        <v>210.83600000000001</v>
      </c>
      <c r="G70" s="31">
        <v>2.9328399999999999E-3</v>
      </c>
      <c r="H70" s="19">
        <v>6.3898000000000001</v>
      </c>
    </row>
    <row r="71" spans="1:8" x14ac:dyDescent="0.2">
      <c r="A71" s="20"/>
      <c r="B71" s="20"/>
      <c r="C71" s="21" t="s">
        <v>11</v>
      </c>
      <c r="D71" s="20"/>
      <c r="E71" s="20" t="s">
        <v>12</v>
      </c>
      <c r="F71" s="26">
        <v>12686.1185</v>
      </c>
      <c r="G71" s="23">
        <v>0.1764704</v>
      </c>
      <c r="H71" s="19" t="s">
        <v>12</v>
      </c>
    </row>
    <row r="72" spans="1:8" x14ac:dyDescent="0.2">
      <c r="A72" s="20"/>
      <c r="B72" s="20"/>
      <c r="C72" s="24"/>
      <c r="D72" s="20"/>
      <c r="E72" s="20"/>
      <c r="F72" s="25"/>
      <c r="G72" s="25"/>
      <c r="H72" s="19" t="s">
        <v>12</v>
      </c>
    </row>
    <row r="73" spans="1:8" x14ac:dyDescent="0.2">
      <c r="A73" s="20"/>
      <c r="B73" s="20"/>
      <c r="C73" s="21" t="s">
        <v>100</v>
      </c>
      <c r="D73" s="20"/>
      <c r="E73" s="20"/>
      <c r="F73" s="25"/>
      <c r="G73" s="25"/>
      <c r="H73" s="19" t="s">
        <v>12</v>
      </c>
    </row>
    <row r="74" spans="1:8" x14ac:dyDescent="0.2">
      <c r="A74" s="20"/>
      <c r="B74" s="20"/>
      <c r="C74" s="21" t="s">
        <v>11</v>
      </c>
      <c r="D74" s="20"/>
      <c r="E74" s="20" t="s">
        <v>12</v>
      </c>
      <c r="F74" s="22" t="s">
        <v>13</v>
      </c>
      <c r="G74" s="23">
        <v>0</v>
      </c>
      <c r="H74" s="19" t="s">
        <v>12</v>
      </c>
    </row>
    <row r="75" spans="1:8" x14ac:dyDescent="0.2">
      <c r="A75" s="20"/>
      <c r="B75" s="20"/>
      <c r="C75" s="24"/>
      <c r="D75" s="20"/>
      <c r="E75" s="20"/>
      <c r="F75" s="25"/>
      <c r="G75" s="25"/>
      <c r="H75" s="19" t="s">
        <v>12</v>
      </c>
    </row>
    <row r="76" spans="1:8" x14ac:dyDescent="0.2">
      <c r="A76" s="20"/>
      <c r="B76" s="20"/>
      <c r="C76" s="21" t="s">
        <v>101</v>
      </c>
      <c r="D76" s="20"/>
      <c r="E76" s="20"/>
      <c r="F76" s="26">
        <v>68514.378100000002</v>
      </c>
      <c r="G76" s="23">
        <v>0.95307008999999998</v>
      </c>
      <c r="H76" s="19" t="s">
        <v>12</v>
      </c>
    </row>
    <row r="77" spans="1:8" x14ac:dyDescent="0.2">
      <c r="A77" s="20"/>
      <c r="B77" s="20"/>
      <c r="C77" s="24"/>
      <c r="D77" s="20"/>
      <c r="E77" s="20"/>
      <c r="F77" s="25"/>
      <c r="G77" s="25"/>
      <c r="H77" s="19" t="s">
        <v>12</v>
      </c>
    </row>
    <row r="78" spans="1:8" x14ac:dyDescent="0.2">
      <c r="A78" s="20"/>
      <c r="B78" s="20"/>
      <c r="C78" s="21" t="s">
        <v>102</v>
      </c>
      <c r="D78" s="20"/>
      <c r="E78" s="20"/>
      <c r="F78" s="25"/>
      <c r="G78" s="25"/>
      <c r="H78" s="19" t="s">
        <v>12</v>
      </c>
    </row>
    <row r="79" spans="1:8" x14ac:dyDescent="0.2">
      <c r="A79" s="20"/>
      <c r="B79" s="20"/>
      <c r="C79" s="21" t="s">
        <v>103</v>
      </c>
      <c r="D79" s="20"/>
      <c r="E79" s="20"/>
      <c r="F79" s="25"/>
      <c r="G79" s="25"/>
      <c r="H79" s="19" t="s">
        <v>12</v>
      </c>
    </row>
    <row r="80" spans="1:8" x14ac:dyDescent="0.2">
      <c r="A80" s="20"/>
      <c r="B80" s="20"/>
      <c r="C80" s="21" t="s">
        <v>11</v>
      </c>
      <c r="D80" s="20"/>
      <c r="E80" s="20" t="s">
        <v>12</v>
      </c>
      <c r="F80" s="22" t="s">
        <v>13</v>
      </c>
      <c r="G80" s="23">
        <v>0</v>
      </c>
      <c r="H80" s="19" t="s">
        <v>12</v>
      </c>
    </row>
    <row r="81" spans="1:8" x14ac:dyDescent="0.2">
      <c r="A81" s="20"/>
      <c r="B81" s="20"/>
      <c r="C81" s="24"/>
      <c r="D81" s="20"/>
      <c r="E81" s="20"/>
      <c r="F81" s="25"/>
      <c r="G81" s="25"/>
      <c r="H81" s="19" t="s">
        <v>12</v>
      </c>
    </row>
    <row r="82" spans="1:8" x14ac:dyDescent="0.2">
      <c r="A82" s="20"/>
      <c r="B82" s="20"/>
      <c r="C82" s="21" t="s">
        <v>104</v>
      </c>
      <c r="D82" s="20"/>
      <c r="E82" s="20"/>
      <c r="F82" s="25"/>
      <c r="G82" s="25"/>
      <c r="H82" s="19" t="s">
        <v>12</v>
      </c>
    </row>
    <row r="83" spans="1:8" x14ac:dyDescent="0.2">
      <c r="A83" s="20"/>
      <c r="B83" s="20"/>
      <c r="C83" s="21" t="s">
        <v>11</v>
      </c>
      <c r="D83" s="20"/>
      <c r="E83" s="20" t="s">
        <v>12</v>
      </c>
      <c r="F83" s="22" t="s">
        <v>13</v>
      </c>
      <c r="G83" s="23">
        <v>0</v>
      </c>
      <c r="H83" s="19" t="s">
        <v>12</v>
      </c>
    </row>
    <row r="84" spans="1:8" x14ac:dyDescent="0.2">
      <c r="A84" s="20"/>
      <c r="B84" s="20"/>
      <c r="C84" s="24"/>
      <c r="D84" s="20"/>
      <c r="E84" s="20"/>
      <c r="F84" s="25"/>
      <c r="G84" s="25"/>
      <c r="H84" s="19" t="s">
        <v>12</v>
      </c>
    </row>
    <row r="85" spans="1:8" x14ac:dyDescent="0.2">
      <c r="A85" s="20"/>
      <c r="B85" s="20"/>
      <c r="C85" s="21" t="s">
        <v>105</v>
      </c>
      <c r="D85" s="20"/>
      <c r="E85" s="20"/>
      <c r="F85" s="25"/>
      <c r="G85" s="25"/>
      <c r="H85" s="19" t="s">
        <v>12</v>
      </c>
    </row>
    <row r="86" spans="1:8" x14ac:dyDescent="0.2">
      <c r="A86" s="20"/>
      <c r="B86" s="20"/>
      <c r="C86" s="21" t="s">
        <v>11</v>
      </c>
      <c r="D86" s="20"/>
      <c r="E86" s="20" t="s">
        <v>12</v>
      </c>
      <c r="F86" s="22" t="s">
        <v>13</v>
      </c>
      <c r="G86" s="23">
        <v>0</v>
      </c>
      <c r="H86" s="19" t="s">
        <v>12</v>
      </c>
    </row>
    <row r="87" spans="1:8" x14ac:dyDescent="0.2">
      <c r="A87" s="20"/>
      <c r="B87" s="20"/>
      <c r="C87" s="24"/>
      <c r="D87" s="20"/>
      <c r="E87" s="20"/>
      <c r="F87" s="25"/>
      <c r="G87" s="25"/>
      <c r="H87" s="19" t="s">
        <v>12</v>
      </c>
    </row>
    <row r="88" spans="1:8" x14ac:dyDescent="0.2">
      <c r="A88" s="20"/>
      <c r="B88" s="20"/>
      <c r="C88" s="21" t="s">
        <v>106</v>
      </c>
      <c r="D88" s="20"/>
      <c r="E88" s="20"/>
      <c r="F88" s="25"/>
      <c r="G88" s="25"/>
      <c r="H88" s="19" t="s">
        <v>12</v>
      </c>
    </row>
    <row r="89" spans="1:8" x14ac:dyDescent="0.2">
      <c r="A89" s="27">
        <v>1</v>
      </c>
      <c r="B89" s="28"/>
      <c r="C89" s="28" t="s">
        <v>107</v>
      </c>
      <c r="D89" s="28"/>
      <c r="E89" s="32"/>
      <c r="F89" s="30">
        <v>1514.6066758060001</v>
      </c>
      <c r="G89" s="31">
        <v>2.1068949999999999E-2</v>
      </c>
      <c r="H89" s="19">
        <v>5.76</v>
      </c>
    </row>
    <row r="90" spans="1:8" x14ac:dyDescent="0.2">
      <c r="A90" s="20"/>
      <c r="B90" s="20"/>
      <c r="C90" s="21" t="s">
        <v>11</v>
      </c>
      <c r="D90" s="20"/>
      <c r="E90" s="20" t="s">
        <v>12</v>
      </c>
      <c r="F90" s="26">
        <v>1514.6066758060001</v>
      </c>
      <c r="G90" s="23">
        <v>2.1068949999999999E-2</v>
      </c>
      <c r="H90" s="19" t="s">
        <v>12</v>
      </c>
    </row>
    <row r="91" spans="1:8" x14ac:dyDescent="0.2">
      <c r="A91" s="20"/>
      <c r="B91" s="20"/>
      <c r="C91" s="24"/>
      <c r="D91" s="20"/>
      <c r="E91" s="20"/>
      <c r="F91" s="25"/>
      <c r="G91" s="25"/>
      <c r="H91" s="19" t="s">
        <v>12</v>
      </c>
    </row>
    <row r="92" spans="1:8" x14ac:dyDescent="0.2">
      <c r="A92" s="20"/>
      <c r="B92" s="20"/>
      <c r="C92" s="21" t="s">
        <v>108</v>
      </c>
      <c r="D92" s="20"/>
      <c r="E92" s="20"/>
      <c r="F92" s="26">
        <v>1514.6066758060001</v>
      </c>
      <c r="G92" s="23">
        <v>2.1068949999999999E-2</v>
      </c>
      <c r="H92" s="19" t="s">
        <v>12</v>
      </c>
    </row>
    <row r="93" spans="1:8" x14ac:dyDescent="0.2">
      <c r="A93" s="20"/>
      <c r="B93" s="20"/>
      <c r="C93" s="25"/>
      <c r="D93" s="20"/>
      <c r="E93" s="20"/>
      <c r="F93" s="20"/>
      <c r="G93" s="20"/>
      <c r="H93" s="19" t="s">
        <v>12</v>
      </c>
    </row>
    <row r="94" spans="1:8" x14ac:dyDescent="0.2">
      <c r="A94" s="20"/>
      <c r="B94" s="20"/>
      <c r="C94" s="21" t="s">
        <v>109</v>
      </c>
      <c r="D94" s="20"/>
      <c r="E94" s="20"/>
      <c r="F94" s="20"/>
      <c r="G94" s="20"/>
      <c r="H94" s="19" t="s">
        <v>12</v>
      </c>
    </row>
    <row r="95" spans="1:8" x14ac:dyDescent="0.2">
      <c r="A95" s="20"/>
      <c r="B95" s="20"/>
      <c r="C95" s="21" t="s">
        <v>110</v>
      </c>
      <c r="D95" s="20"/>
      <c r="E95" s="20"/>
      <c r="F95" s="20"/>
      <c r="G95" s="20"/>
      <c r="H95" s="19" t="s">
        <v>12</v>
      </c>
    </row>
    <row r="96" spans="1:8" x14ac:dyDescent="0.2">
      <c r="A96" s="20"/>
      <c r="B96" s="20"/>
      <c r="C96" s="21" t="s">
        <v>11</v>
      </c>
      <c r="D96" s="20"/>
      <c r="E96" s="20" t="s">
        <v>12</v>
      </c>
      <c r="F96" s="22" t="s">
        <v>13</v>
      </c>
      <c r="G96" s="23">
        <v>0</v>
      </c>
      <c r="H96" s="19" t="s">
        <v>12</v>
      </c>
    </row>
    <row r="97" spans="1:17" x14ac:dyDescent="0.2">
      <c r="A97" s="17"/>
      <c r="B97" s="17"/>
      <c r="C97" s="75"/>
      <c r="D97" s="17"/>
      <c r="E97" s="17"/>
      <c r="F97" s="42"/>
      <c r="G97" s="42"/>
      <c r="H97" s="19" t="s">
        <v>12</v>
      </c>
    </row>
    <row r="98" spans="1:17" x14ac:dyDescent="0.2">
      <c r="A98" s="17"/>
      <c r="B98" s="17"/>
      <c r="C98" s="18" t="s">
        <v>596</v>
      </c>
      <c r="D98" s="17"/>
      <c r="E98" s="17"/>
      <c r="F98" s="42"/>
      <c r="G98" s="42"/>
      <c r="H98" s="19" t="s">
        <v>12</v>
      </c>
      <c r="K98" s="56"/>
      <c r="L98" s="56"/>
      <c r="M98" s="56"/>
      <c r="N98" s="56"/>
      <c r="O98" s="77"/>
      <c r="P98" s="77"/>
      <c r="Q98" s="77"/>
    </row>
    <row r="99" spans="1:17" ht="25.5" x14ac:dyDescent="0.2">
      <c r="A99" s="69">
        <v>1</v>
      </c>
      <c r="B99" s="70" t="s">
        <v>111</v>
      </c>
      <c r="C99" s="70" t="s">
        <v>112</v>
      </c>
      <c r="D99" s="70"/>
      <c r="E99" s="78">
        <v>2586.3710000000001</v>
      </c>
      <c r="F99" s="72">
        <v>289.43959405200002</v>
      </c>
      <c r="G99" s="73">
        <v>4.0262500000000003E-3</v>
      </c>
      <c r="H99" s="19"/>
    </row>
    <row r="100" spans="1:17" x14ac:dyDescent="0.2">
      <c r="A100" s="17"/>
      <c r="B100" s="17"/>
      <c r="C100" s="18" t="s">
        <v>11</v>
      </c>
      <c r="D100" s="17"/>
      <c r="E100" s="17" t="s">
        <v>12</v>
      </c>
      <c r="F100" s="79">
        <f>SUM(F99)</f>
        <v>289.43959405200002</v>
      </c>
      <c r="G100" s="80">
        <f>SUM(G99)</f>
        <v>4.0262500000000003E-3</v>
      </c>
      <c r="H100" s="19" t="s">
        <v>12</v>
      </c>
    </row>
    <row r="101" spans="1:17" x14ac:dyDescent="0.2">
      <c r="A101" s="20"/>
      <c r="B101" s="20"/>
      <c r="C101" s="24"/>
      <c r="D101" s="20"/>
      <c r="E101" s="20"/>
      <c r="F101" s="25"/>
      <c r="G101" s="25"/>
      <c r="H101" s="19" t="s">
        <v>12</v>
      </c>
    </row>
    <row r="102" spans="1:17" x14ac:dyDescent="0.2">
      <c r="A102" s="20"/>
      <c r="B102" s="20"/>
      <c r="C102" s="21" t="s">
        <v>113</v>
      </c>
      <c r="D102" s="20"/>
      <c r="E102" s="20"/>
      <c r="F102" s="20"/>
      <c r="G102" s="20"/>
      <c r="H102" s="19" t="s">
        <v>12</v>
      </c>
    </row>
    <row r="103" spans="1:17" x14ac:dyDescent="0.2">
      <c r="A103" s="20"/>
      <c r="B103" s="20"/>
      <c r="C103" s="21" t="s">
        <v>114</v>
      </c>
      <c r="D103" s="20"/>
      <c r="E103" s="20"/>
      <c r="F103" s="20"/>
      <c r="G103" s="20"/>
      <c r="H103" s="19" t="s">
        <v>12</v>
      </c>
    </row>
    <row r="104" spans="1:17" x14ac:dyDescent="0.2">
      <c r="A104" s="20"/>
      <c r="B104" s="20"/>
      <c r="C104" s="21" t="s">
        <v>11</v>
      </c>
      <c r="D104" s="20"/>
      <c r="E104" s="20" t="s">
        <v>12</v>
      </c>
      <c r="F104" s="22" t="s">
        <v>13</v>
      </c>
      <c r="G104" s="23">
        <v>0</v>
      </c>
      <c r="H104" s="19" t="s">
        <v>12</v>
      </c>
    </row>
    <row r="105" spans="1:17" x14ac:dyDescent="0.2">
      <c r="A105" s="20"/>
      <c r="B105" s="20"/>
      <c r="C105" s="24"/>
      <c r="D105" s="20"/>
      <c r="E105" s="20"/>
      <c r="F105" s="25"/>
      <c r="G105" s="25"/>
      <c r="H105" s="19" t="s">
        <v>12</v>
      </c>
    </row>
    <row r="106" spans="1:17" x14ac:dyDescent="0.2">
      <c r="A106" s="20"/>
      <c r="B106" s="20"/>
      <c r="C106" s="21" t="s">
        <v>115</v>
      </c>
      <c r="D106" s="20"/>
      <c r="E106" s="20"/>
      <c r="F106" s="25"/>
      <c r="G106" s="25"/>
      <c r="H106" s="19" t="s">
        <v>12</v>
      </c>
    </row>
    <row r="107" spans="1:17" x14ac:dyDescent="0.2">
      <c r="A107" s="20"/>
      <c r="B107" s="20"/>
      <c r="C107" s="21" t="s">
        <v>11</v>
      </c>
      <c r="D107" s="20"/>
      <c r="E107" s="20" t="s">
        <v>12</v>
      </c>
      <c r="F107" s="22" t="s">
        <v>13</v>
      </c>
      <c r="G107" s="23">
        <v>0</v>
      </c>
      <c r="H107" s="19" t="s">
        <v>12</v>
      </c>
    </row>
    <row r="108" spans="1:17" x14ac:dyDescent="0.2">
      <c r="A108" s="20"/>
      <c r="B108" s="20"/>
      <c r="C108" s="24"/>
      <c r="D108" s="20"/>
      <c r="E108" s="20"/>
      <c r="F108" s="25"/>
      <c r="G108" s="25"/>
      <c r="H108" s="19" t="s">
        <v>12</v>
      </c>
    </row>
    <row r="109" spans="1:17" x14ac:dyDescent="0.2">
      <c r="A109" s="32"/>
      <c r="B109" s="28"/>
      <c r="C109" s="28" t="s">
        <v>116</v>
      </c>
      <c r="D109" s="28"/>
      <c r="E109" s="32"/>
      <c r="F109" s="30">
        <v>1569.6571325800001</v>
      </c>
      <c r="G109" s="31">
        <v>2.183473E-2</v>
      </c>
      <c r="H109" s="19" t="s">
        <v>12</v>
      </c>
    </row>
    <row r="110" spans="1:17" x14ac:dyDescent="0.2">
      <c r="A110" s="24"/>
      <c r="B110" s="24"/>
      <c r="C110" s="21" t="s">
        <v>117</v>
      </c>
      <c r="D110" s="25"/>
      <c r="E110" s="25"/>
      <c r="F110" s="26">
        <f>F109+F100+F92+F76+F24</f>
        <v>71888.081502437999</v>
      </c>
      <c r="G110" s="33">
        <f>G109+G100+G92+G76+G242%</f>
        <v>1.0000000199999999</v>
      </c>
      <c r="H110" s="19" t="s">
        <v>12</v>
      </c>
    </row>
    <row r="111" spans="1:17" x14ac:dyDescent="0.2">
      <c r="A111" s="34"/>
      <c r="B111" s="34"/>
      <c r="C111" s="34"/>
      <c r="D111" s="35"/>
      <c r="E111" s="35"/>
      <c r="F111" s="35"/>
      <c r="G111" s="35"/>
    </row>
    <row r="112" spans="1:17" x14ac:dyDescent="0.2">
      <c r="A112" s="36"/>
      <c r="B112" s="168" t="s">
        <v>597</v>
      </c>
      <c r="C112" s="168"/>
      <c r="D112" s="168"/>
      <c r="E112" s="168"/>
      <c r="F112" s="168"/>
      <c r="G112" s="168"/>
      <c r="H112" s="168"/>
    </row>
    <row r="113" spans="1:8" x14ac:dyDescent="0.2">
      <c r="A113" s="36"/>
      <c r="B113" s="168" t="s">
        <v>598</v>
      </c>
      <c r="C113" s="168"/>
      <c r="D113" s="168"/>
      <c r="E113" s="168"/>
      <c r="F113" s="168"/>
      <c r="G113" s="168"/>
      <c r="H113" s="168"/>
    </row>
    <row r="114" spans="1:8" x14ac:dyDescent="0.2">
      <c r="A114" s="36"/>
      <c r="B114" s="168" t="s">
        <v>599</v>
      </c>
      <c r="C114" s="168"/>
      <c r="D114" s="168"/>
      <c r="E114" s="168"/>
      <c r="F114" s="168"/>
      <c r="G114" s="168"/>
      <c r="H114" s="168"/>
    </row>
    <row r="115" spans="1:8" x14ac:dyDescent="0.2">
      <c r="A115" s="38"/>
      <c r="B115" s="38"/>
      <c r="C115" s="38"/>
      <c r="D115" s="39"/>
      <c r="E115" s="39"/>
      <c r="F115" s="39"/>
      <c r="G115" s="39"/>
    </row>
    <row r="116" spans="1:8" x14ac:dyDescent="0.2">
      <c r="A116" s="36"/>
      <c r="B116" s="169" t="s">
        <v>118</v>
      </c>
      <c r="C116" s="170"/>
      <c r="D116" s="171"/>
      <c r="E116" s="40"/>
      <c r="F116" s="41"/>
      <c r="G116" s="41"/>
    </row>
    <row r="117" spans="1:8" x14ac:dyDescent="0.2">
      <c r="A117" s="36"/>
      <c r="B117" s="172" t="s">
        <v>119</v>
      </c>
      <c r="C117" s="173"/>
      <c r="D117" s="18" t="s">
        <v>120</v>
      </c>
      <c r="E117" s="40"/>
      <c r="F117" s="41"/>
      <c r="G117" s="41"/>
    </row>
    <row r="118" spans="1:8" x14ac:dyDescent="0.2">
      <c r="A118" s="36"/>
      <c r="B118" s="172" t="s">
        <v>121</v>
      </c>
      <c r="C118" s="173"/>
      <c r="D118" s="18" t="s">
        <v>120</v>
      </c>
      <c r="E118" s="40"/>
      <c r="F118" s="41"/>
      <c r="G118" s="41"/>
    </row>
    <row r="119" spans="1:8" x14ac:dyDescent="0.2">
      <c r="A119" s="36"/>
      <c r="B119" s="172" t="s">
        <v>122</v>
      </c>
      <c r="C119" s="173"/>
      <c r="D119" s="42" t="s">
        <v>12</v>
      </c>
      <c r="E119" s="40"/>
      <c r="F119" s="41"/>
      <c r="G119" s="41"/>
    </row>
    <row r="120" spans="1:8" x14ac:dyDescent="0.2">
      <c r="A120" s="43"/>
      <c r="B120" s="44" t="s">
        <v>12</v>
      </c>
      <c r="C120" s="44" t="s">
        <v>600</v>
      </c>
      <c r="D120" s="44" t="s">
        <v>123</v>
      </c>
      <c r="E120" s="43"/>
      <c r="F120" s="43"/>
      <c r="G120" s="43"/>
    </row>
    <row r="121" spans="1:8" x14ac:dyDescent="0.2">
      <c r="A121" s="43"/>
      <c r="B121" s="45" t="s">
        <v>124</v>
      </c>
      <c r="C121" s="46">
        <v>45792</v>
      </c>
      <c r="D121" s="46">
        <v>45808</v>
      </c>
      <c r="E121" s="43"/>
      <c r="F121" s="43"/>
      <c r="G121" s="43"/>
    </row>
    <row r="122" spans="1:8" x14ac:dyDescent="0.2">
      <c r="A122" s="47"/>
      <c r="B122" s="28" t="s">
        <v>125</v>
      </c>
      <c r="C122" s="48">
        <v>41.399900000000002</v>
      </c>
      <c r="D122" s="48">
        <v>41.651600000000002</v>
      </c>
      <c r="E122" s="47"/>
      <c r="F122" s="49"/>
      <c r="G122" s="50"/>
    </row>
    <row r="123" spans="1:8" ht="25.5" x14ac:dyDescent="0.2">
      <c r="A123" s="47"/>
      <c r="B123" s="28" t="s">
        <v>730</v>
      </c>
      <c r="C123" s="48">
        <v>18.066099999999999</v>
      </c>
      <c r="D123" s="48">
        <v>18.072500000000002</v>
      </c>
      <c r="E123" s="47"/>
      <c r="F123" s="49"/>
      <c r="G123" s="50"/>
    </row>
    <row r="124" spans="1:8" ht="25.5" x14ac:dyDescent="0.2">
      <c r="A124" s="47"/>
      <c r="B124" s="28" t="s">
        <v>726</v>
      </c>
      <c r="C124" s="48">
        <v>20.1645</v>
      </c>
      <c r="D124" s="48">
        <v>20.286999999999999</v>
      </c>
      <c r="E124" s="47"/>
      <c r="F124" s="49"/>
      <c r="G124" s="50"/>
    </row>
    <row r="125" spans="1:8" ht="25.5" x14ac:dyDescent="0.2">
      <c r="A125" s="47"/>
      <c r="B125" s="28" t="s">
        <v>731</v>
      </c>
      <c r="C125" s="48">
        <v>17.665600000000001</v>
      </c>
      <c r="D125" s="48">
        <v>17.7729</v>
      </c>
      <c r="E125" s="47"/>
      <c r="F125" s="49"/>
      <c r="G125" s="50"/>
    </row>
    <row r="126" spans="1:8" ht="25.5" x14ac:dyDescent="0.2">
      <c r="A126" s="47"/>
      <c r="B126" s="28" t="s">
        <v>727</v>
      </c>
      <c r="C126" s="48">
        <v>18.420000000000002</v>
      </c>
      <c r="D126" s="48">
        <v>18.5319</v>
      </c>
      <c r="E126" s="47"/>
      <c r="F126" s="49"/>
      <c r="G126" s="50"/>
    </row>
    <row r="127" spans="1:8" x14ac:dyDescent="0.2">
      <c r="A127" s="47"/>
      <c r="B127" s="28" t="s">
        <v>126</v>
      </c>
      <c r="C127" s="48">
        <v>40.045099999999998</v>
      </c>
      <c r="D127" s="48">
        <v>40.284599999999998</v>
      </c>
      <c r="E127" s="47"/>
      <c r="F127" s="49"/>
      <c r="G127" s="50"/>
    </row>
    <row r="128" spans="1:8" ht="25.5" x14ac:dyDescent="0.2">
      <c r="A128" s="47"/>
      <c r="B128" s="28" t="s">
        <v>732</v>
      </c>
      <c r="C128" s="48">
        <v>17.052099999999999</v>
      </c>
      <c r="D128" s="48">
        <v>17.056699999999999</v>
      </c>
      <c r="E128" s="47"/>
      <c r="F128" s="49"/>
      <c r="G128" s="50"/>
    </row>
    <row r="129" spans="1:14" ht="25.5" x14ac:dyDescent="0.2">
      <c r="A129" s="47"/>
      <c r="B129" s="28" t="s">
        <v>702</v>
      </c>
      <c r="C129" s="48">
        <v>19.540600000000001</v>
      </c>
      <c r="D129" s="48">
        <v>19.657499999999999</v>
      </c>
      <c r="E129" s="47"/>
      <c r="F129" s="49"/>
      <c r="G129" s="50"/>
    </row>
    <row r="130" spans="1:14" ht="25.5" x14ac:dyDescent="0.2">
      <c r="A130" s="47"/>
      <c r="B130" s="28" t="s">
        <v>728</v>
      </c>
      <c r="C130" s="48">
        <v>17.5304</v>
      </c>
      <c r="D130" s="48">
        <v>17.635200000000001</v>
      </c>
      <c r="E130" s="47"/>
      <c r="F130" s="49"/>
      <c r="G130" s="50"/>
    </row>
    <row r="131" spans="1:14" ht="25.5" x14ac:dyDescent="0.2">
      <c r="A131" s="47"/>
      <c r="B131" s="28" t="s">
        <v>729</v>
      </c>
      <c r="C131" s="48">
        <v>17.854399999999998</v>
      </c>
      <c r="D131" s="48">
        <v>17.961200000000002</v>
      </c>
      <c r="E131" s="47"/>
      <c r="F131" s="49"/>
      <c r="G131" s="50"/>
    </row>
    <row r="132" spans="1:14" x14ac:dyDescent="0.2">
      <c r="A132" s="47"/>
      <c r="B132" s="47"/>
      <c r="C132" s="47"/>
      <c r="D132" s="47"/>
      <c r="E132" s="47"/>
      <c r="F132" s="47"/>
      <c r="G132" s="47"/>
    </row>
    <row r="133" spans="1:14" x14ac:dyDescent="0.2">
      <c r="A133" s="47"/>
      <c r="B133" s="175" t="s">
        <v>601</v>
      </c>
      <c r="C133" s="176"/>
      <c r="D133" s="21" t="s">
        <v>12</v>
      </c>
      <c r="E133" s="47"/>
      <c r="F133" s="47"/>
      <c r="G133" s="47"/>
    </row>
    <row r="134" spans="1:14" x14ac:dyDescent="0.2">
      <c r="A134" s="47"/>
      <c r="B134" s="51" t="s">
        <v>124</v>
      </c>
      <c r="C134" s="52" t="s">
        <v>127</v>
      </c>
      <c r="D134" s="52" t="s">
        <v>128</v>
      </c>
      <c r="E134" s="47"/>
      <c r="F134" s="47"/>
      <c r="G134" s="47"/>
    </row>
    <row r="135" spans="1:14" ht="25.5" x14ac:dyDescent="0.2">
      <c r="A135" s="47"/>
      <c r="B135" s="28" t="s">
        <v>730</v>
      </c>
      <c r="C135" s="53">
        <v>0.10299999999999999</v>
      </c>
      <c r="D135" s="32" t="s">
        <v>129</v>
      </c>
      <c r="E135" s="47"/>
      <c r="F135" s="49"/>
      <c r="G135" s="50"/>
    </row>
    <row r="136" spans="1:14" ht="25.5" x14ac:dyDescent="0.2">
      <c r="A136" s="47"/>
      <c r="B136" s="28" t="s">
        <v>732</v>
      </c>
      <c r="C136" s="53">
        <v>9.7000000000000003E-2</v>
      </c>
      <c r="D136" s="32" t="s">
        <v>129</v>
      </c>
      <c r="E136" s="47"/>
      <c r="F136" s="49"/>
      <c r="G136" s="50"/>
    </row>
    <row r="137" spans="1:14" x14ac:dyDescent="0.2">
      <c r="A137" s="47"/>
      <c r="B137" s="54"/>
      <c r="C137" s="54"/>
      <c r="D137" s="54"/>
      <c r="E137" s="47"/>
      <c r="F137" s="47"/>
      <c r="G137" s="47"/>
    </row>
    <row r="138" spans="1:14" x14ac:dyDescent="0.2">
      <c r="A138" s="43"/>
      <c r="B138" s="172" t="s">
        <v>130</v>
      </c>
      <c r="C138" s="173"/>
      <c r="D138" s="18" t="s">
        <v>120</v>
      </c>
      <c r="E138" s="55"/>
      <c r="F138" s="43"/>
      <c r="G138" s="43"/>
    </row>
    <row r="139" spans="1:14" x14ac:dyDescent="0.2">
      <c r="A139" s="43"/>
      <c r="B139" s="172" t="s">
        <v>131</v>
      </c>
      <c r="C139" s="173"/>
      <c r="D139" s="18" t="s">
        <v>120</v>
      </c>
      <c r="E139" s="55"/>
      <c r="F139" s="43"/>
      <c r="G139" s="43"/>
    </row>
    <row r="140" spans="1:14" x14ac:dyDescent="0.2">
      <c r="A140" s="43"/>
      <c r="B140" s="172" t="s">
        <v>602</v>
      </c>
      <c r="C140" s="173"/>
      <c r="D140" s="18" t="s">
        <v>120</v>
      </c>
      <c r="E140" s="55"/>
      <c r="F140" s="43"/>
      <c r="G140" s="43"/>
    </row>
    <row r="141" spans="1:14" x14ac:dyDescent="0.2">
      <c r="A141" s="54"/>
      <c r="B141" s="54"/>
      <c r="C141" s="54"/>
      <c r="D141" s="54"/>
      <c r="E141" s="54"/>
      <c r="F141" s="54"/>
      <c r="G141" s="54"/>
    </row>
    <row r="142" spans="1:14" s="57" customFormat="1" x14ac:dyDescent="0.2">
      <c r="B142" s="164" t="s">
        <v>603</v>
      </c>
      <c r="C142" s="165"/>
      <c r="D142" s="166"/>
      <c r="H142"/>
      <c r="I142"/>
      <c r="J142" s="56"/>
      <c r="K142" s="56"/>
      <c r="L142" s="56"/>
      <c r="M142" s="56"/>
      <c r="N142" s="56"/>
    </row>
    <row r="143" spans="1:14" s="57" customFormat="1" ht="38.25" x14ac:dyDescent="0.2">
      <c r="B143" s="167" t="s">
        <v>604</v>
      </c>
      <c r="C143" s="167"/>
      <c r="D143" s="59" t="s">
        <v>1</v>
      </c>
      <c r="H143"/>
      <c r="I143"/>
      <c r="J143" s="56"/>
      <c r="K143" s="56"/>
      <c r="L143" s="56"/>
      <c r="M143" s="56"/>
      <c r="N143" s="56"/>
    </row>
    <row r="144" spans="1:14" s="57" customFormat="1" x14ac:dyDescent="0.2">
      <c r="B144" s="160" t="s">
        <v>605</v>
      </c>
      <c r="C144" s="160"/>
      <c r="D144" s="60"/>
      <c r="H144"/>
      <c r="I144"/>
      <c r="J144" s="56"/>
      <c r="K144" s="56"/>
      <c r="L144" s="56"/>
      <c r="M144" s="56"/>
      <c r="N144" s="56"/>
    </row>
    <row r="145" spans="2:14" s="57" customFormat="1" x14ac:dyDescent="0.2">
      <c r="B145" s="161"/>
      <c r="C145" s="162"/>
      <c r="D145" s="61"/>
      <c r="H145"/>
      <c r="I145"/>
      <c r="J145" s="56"/>
      <c r="K145" s="56"/>
      <c r="L145" s="56"/>
      <c r="M145" s="56"/>
      <c r="N145" s="56"/>
    </row>
    <row r="146" spans="2:14" s="57" customFormat="1" x14ac:dyDescent="0.2">
      <c r="B146" s="160" t="s">
        <v>606</v>
      </c>
      <c r="C146" s="160"/>
      <c r="D146" s="62">
        <v>6.5924233281423001</v>
      </c>
      <c r="H146"/>
      <c r="I146"/>
      <c r="J146" s="56"/>
      <c r="K146" s="56"/>
      <c r="L146" s="56"/>
      <c r="M146" s="56"/>
      <c r="N146" s="56"/>
    </row>
    <row r="147" spans="2:14" s="57" customFormat="1" x14ac:dyDescent="0.2">
      <c r="B147" s="161"/>
      <c r="C147" s="162"/>
      <c r="D147" s="61"/>
      <c r="H147"/>
      <c r="I147"/>
      <c r="J147" s="56"/>
      <c r="K147" s="56"/>
      <c r="L147" s="56"/>
      <c r="M147" s="56"/>
      <c r="N147" s="56"/>
    </row>
    <row r="148" spans="2:14" s="57" customFormat="1" x14ac:dyDescent="0.2">
      <c r="B148" s="160" t="s">
        <v>607</v>
      </c>
      <c r="C148" s="160"/>
      <c r="D148" s="62">
        <v>3.7170696044044997</v>
      </c>
      <c r="H148"/>
      <c r="I148"/>
      <c r="J148" s="56"/>
      <c r="K148" s="56"/>
      <c r="L148" s="56"/>
      <c r="M148" s="56"/>
      <c r="N148" s="56"/>
    </row>
    <row r="149" spans="2:14" s="57" customFormat="1" x14ac:dyDescent="0.2">
      <c r="B149" s="160" t="s">
        <v>608</v>
      </c>
      <c r="C149" s="160"/>
      <c r="D149" s="62">
        <v>5.3428052195572633</v>
      </c>
      <c r="H149"/>
      <c r="I149"/>
      <c r="J149" s="56"/>
      <c r="K149" s="56"/>
      <c r="L149" s="56"/>
      <c r="M149" s="56"/>
      <c r="N149" s="56"/>
    </row>
    <row r="150" spans="2:14" s="57" customFormat="1" x14ac:dyDescent="0.2">
      <c r="B150" s="161"/>
      <c r="C150" s="162"/>
      <c r="D150" s="61"/>
      <c r="I150"/>
      <c r="J150" s="56"/>
      <c r="K150" s="56"/>
      <c r="L150" s="56"/>
      <c r="M150" s="56"/>
      <c r="N150" s="56"/>
    </row>
    <row r="151" spans="2:14" s="57" customFormat="1" x14ac:dyDescent="0.2">
      <c r="B151" s="160" t="s">
        <v>609</v>
      </c>
      <c r="C151" s="160"/>
      <c r="D151" s="64" t="s">
        <v>733</v>
      </c>
      <c r="I151"/>
      <c r="J151" s="56"/>
      <c r="K151" s="56"/>
      <c r="L151" s="56"/>
      <c r="M151" s="56"/>
      <c r="N151" s="58"/>
    </row>
    <row r="152" spans="2:14" s="57" customFormat="1" x14ac:dyDescent="0.2">
      <c r="B152" s="161" t="s">
        <v>610</v>
      </c>
      <c r="C152" s="163"/>
      <c r="D152" s="162"/>
      <c r="I152"/>
      <c r="J152" s="56"/>
      <c r="K152" s="56"/>
      <c r="L152" s="56"/>
      <c r="M152" s="56"/>
      <c r="N152" s="56"/>
    </row>
    <row r="154" spans="2:14" ht="25.5" x14ac:dyDescent="0.2">
      <c r="B154" s="66" t="s">
        <v>611</v>
      </c>
    </row>
    <row r="156" spans="2:14" ht="153.75" customHeight="1" x14ac:dyDescent="0.2"/>
    <row r="159" spans="2:14" x14ac:dyDescent="0.2">
      <c r="B159" s="67" t="s">
        <v>612</v>
      </c>
      <c r="C159" s="68"/>
      <c r="D159" s="67"/>
    </row>
    <row r="160" spans="2:14" x14ac:dyDescent="0.2">
      <c r="B160" s="67" t="s">
        <v>613</v>
      </c>
      <c r="D160" s="67"/>
    </row>
    <row r="161" customFormat="1" ht="165" customHeight="1" x14ac:dyDescent="0.2"/>
  </sheetData>
  <mergeCells count="25">
    <mergeCell ref="A1:H1"/>
    <mergeCell ref="A2:H2"/>
    <mergeCell ref="A3:H3"/>
    <mergeCell ref="B133:C133"/>
    <mergeCell ref="B118:C118"/>
    <mergeCell ref="B119:C119"/>
    <mergeCell ref="B142:D142"/>
    <mergeCell ref="B143:C143"/>
    <mergeCell ref="B112:H112"/>
    <mergeCell ref="B113:H113"/>
    <mergeCell ref="B114:H114"/>
    <mergeCell ref="B116:D116"/>
    <mergeCell ref="B117:C117"/>
    <mergeCell ref="B138:C138"/>
    <mergeCell ref="B139:C139"/>
    <mergeCell ref="B140:C140"/>
    <mergeCell ref="B149:C149"/>
    <mergeCell ref="B150:C150"/>
    <mergeCell ref="B151:C151"/>
    <mergeCell ref="B152:D152"/>
    <mergeCell ref="B144:C144"/>
    <mergeCell ref="B145:C145"/>
    <mergeCell ref="B146:C146"/>
    <mergeCell ref="B147:C147"/>
    <mergeCell ref="B148:C148"/>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D5F12-58BE-471D-ABDC-055CCE2A1E98}">
  <sheetPr>
    <outlinePr summaryBelow="0" summaryRight="0"/>
  </sheetPr>
  <dimension ref="A1:R15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9" ht="15" x14ac:dyDescent="0.2">
      <c r="A1" s="174" t="s">
        <v>0</v>
      </c>
      <c r="B1" s="174"/>
      <c r="C1" s="174"/>
      <c r="D1" s="174"/>
      <c r="E1" s="174"/>
      <c r="F1" s="174"/>
      <c r="G1" s="174"/>
      <c r="H1" s="174"/>
      <c r="I1" s="15"/>
    </row>
    <row r="2" spans="1:9" ht="15" x14ac:dyDescent="0.2">
      <c r="A2" s="174" t="s">
        <v>132</v>
      </c>
      <c r="B2" s="174"/>
      <c r="C2" s="174"/>
      <c r="D2" s="174"/>
      <c r="E2" s="174"/>
      <c r="F2" s="174"/>
      <c r="G2" s="174"/>
      <c r="H2" s="174"/>
    </row>
    <row r="3" spans="1:9" ht="15" x14ac:dyDescent="0.2">
      <c r="A3" s="174" t="s">
        <v>581</v>
      </c>
      <c r="B3" s="174"/>
      <c r="C3" s="174"/>
      <c r="D3" s="174"/>
      <c r="E3" s="174"/>
      <c r="F3" s="174"/>
      <c r="G3" s="174"/>
      <c r="H3" s="174"/>
    </row>
    <row r="4" spans="1:9" s="13" customFormat="1" ht="30" x14ac:dyDescent="0.2">
      <c r="A4" s="14" t="s">
        <v>2</v>
      </c>
      <c r="B4" s="14" t="s">
        <v>3</v>
      </c>
      <c r="C4" s="14" t="s">
        <v>4</v>
      </c>
      <c r="D4" s="14" t="s">
        <v>5</v>
      </c>
      <c r="E4" s="14" t="s">
        <v>6</v>
      </c>
      <c r="F4" s="14" t="s">
        <v>7</v>
      </c>
      <c r="G4" s="14" t="s">
        <v>8</v>
      </c>
      <c r="H4" s="12" t="s">
        <v>582</v>
      </c>
    </row>
    <row r="5" spans="1:9" x14ac:dyDescent="0.2">
      <c r="A5" s="17"/>
      <c r="B5" s="17"/>
      <c r="C5" s="18" t="s">
        <v>9</v>
      </c>
      <c r="D5" s="17"/>
      <c r="E5" s="17"/>
      <c r="F5" s="17"/>
      <c r="G5" s="17"/>
      <c r="H5" s="19" t="s">
        <v>12</v>
      </c>
    </row>
    <row r="6" spans="1:9" ht="24" customHeight="1" x14ac:dyDescent="0.2">
      <c r="A6" s="20"/>
      <c r="B6" s="20"/>
      <c r="C6" s="21" t="s">
        <v>10</v>
      </c>
      <c r="D6" s="20"/>
      <c r="E6" s="20"/>
      <c r="F6" s="20"/>
      <c r="G6" s="20"/>
      <c r="H6" s="19" t="s">
        <v>12</v>
      </c>
    </row>
    <row r="7" spans="1:9" ht="14.1" customHeight="1" x14ac:dyDescent="0.2">
      <c r="A7" s="20"/>
      <c r="B7" s="20"/>
      <c r="C7" s="21" t="s">
        <v>11</v>
      </c>
      <c r="D7" s="20"/>
      <c r="E7" s="20" t="s">
        <v>12</v>
      </c>
      <c r="F7" s="22" t="s">
        <v>13</v>
      </c>
      <c r="G7" s="23">
        <v>0</v>
      </c>
      <c r="H7" s="19" t="s">
        <v>12</v>
      </c>
    </row>
    <row r="8" spans="1:9" ht="14.1" customHeight="1" x14ac:dyDescent="0.2">
      <c r="A8" s="20"/>
      <c r="B8" s="20"/>
      <c r="C8" s="24"/>
      <c r="D8" s="20"/>
      <c r="E8" s="20"/>
      <c r="F8" s="25"/>
      <c r="G8" s="25"/>
      <c r="H8" s="19" t="s">
        <v>12</v>
      </c>
    </row>
    <row r="9" spans="1:9" ht="14.1" customHeight="1" x14ac:dyDescent="0.2">
      <c r="A9" s="20"/>
      <c r="B9" s="20"/>
      <c r="C9" s="21" t="s">
        <v>14</v>
      </c>
      <c r="D9" s="20"/>
      <c r="E9" s="20"/>
      <c r="F9" s="20"/>
      <c r="G9" s="20"/>
      <c r="H9" s="19" t="s">
        <v>12</v>
      </c>
    </row>
    <row r="10" spans="1:9" ht="14.1" customHeight="1" x14ac:dyDescent="0.2">
      <c r="A10" s="20"/>
      <c r="B10" s="20"/>
      <c r="C10" s="21" t="s">
        <v>11</v>
      </c>
      <c r="D10" s="20"/>
      <c r="E10" s="20" t="s">
        <v>12</v>
      </c>
      <c r="F10" s="22" t="s">
        <v>13</v>
      </c>
      <c r="G10" s="23">
        <v>0</v>
      </c>
      <c r="H10" s="19" t="s">
        <v>12</v>
      </c>
    </row>
    <row r="11" spans="1:9" ht="14.1" customHeight="1" x14ac:dyDescent="0.2">
      <c r="A11" s="20"/>
      <c r="B11" s="20"/>
      <c r="C11" s="24"/>
      <c r="D11" s="20"/>
      <c r="E11" s="20"/>
      <c r="F11" s="25"/>
      <c r="G11" s="25"/>
      <c r="H11" s="19" t="s">
        <v>12</v>
      </c>
    </row>
    <row r="12" spans="1:9" ht="14.1" customHeight="1" x14ac:dyDescent="0.2">
      <c r="A12" s="20"/>
      <c r="B12" s="20"/>
      <c r="C12" s="21" t="s">
        <v>15</v>
      </c>
      <c r="D12" s="20"/>
      <c r="E12" s="20"/>
      <c r="F12" s="20"/>
      <c r="G12" s="20"/>
      <c r="H12" s="19" t="s">
        <v>12</v>
      </c>
    </row>
    <row r="13" spans="1:9" ht="14.1" customHeight="1" x14ac:dyDescent="0.2">
      <c r="A13" s="20"/>
      <c r="B13" s="20"/>
      <c r="C13" s="21" t="s">
        <v>11</v>
      </c>
      <c r="D13" s="20"/>
      <c r="E13" s="20" t="s">
        <v>12</v>
      </c>
      <c r="F13" s="22" t="s">
        <v>13</v>
      </c>
      <c r="G13" s="23">
        <v>0</v>
      </c>
      <c r="H13" s="19" t="s">
        <v>12</v>
      </c>
    </row>
    <row r="14" spans="1:9" ht="14.1" customHeight="1" x14ac:dyDescent="0.2">
      <c r="A14" s="20"/>
      <c r="B14" s="20"/>
      <c r="C14" s="24"/>
      <c r="D14" s="20"/>
      <c r="E14" s="20"/>
      <c r="F14" s="25"/>
      <c r="G14" s="25"/>
      <c r="H14" s="19" t="s">
        <v>12</v>
      </c>
    </row>
    <row r="15" spans="1:9" ht="14.1" customHeight="1" x14ac:dyDescent="0.2">
      <c r="A15" s="20"/>
      <c r="B15" s="20"/>
      <c r="C15" s="21" t="s">
        <v>16</v>
      </c>
      <c r="D15" s="20"/>
      <c r="E15" s="20"/>
      <c r="F15" s="20"/>
      <c r="G15" s="20"/>
      <c r="H15" s="19" t="s">
        <v>12</v>
      </c>
    </row>
    <row r="16" spans="1:9" ht="14.1" customHeight="1" x14ac:dyDescent="0.2">
      <c r="A16" s="20"/>
      <c r="B16" s="20"/>
      <c r="C16" s="21" t="s">
        <v>11</v>
      </c>
      <c r="D16" s="20"/>
      <c r="E16" s="20" t="s">
        <v>12</v>
      </c>
      <c r="F16" s="22" t="s">
        <v>13</v>
      </c>
      <c r="G16" s="23">
        <v>0</v>
      </c>
      <c r="H16" s="19" t="s">
        <v>12</v>
      </c>
    </row>
    <row r="17" spans="1:8" ht="14.1" customHeight="1" x14ac:dyDescent="0.2">
      <c r="A17" s="20"/>
      <c r="B17" s="20"/>
      <c r="C17" s="24"/>
      <c r="D17" s="20"/>
      <c r="E17" s="20"/>
      <c r="F17" s="25"/>
      <c r="G17" s="25"/>
      <c r="H17" s="19" t="s">
        <v>12</v>
      </c>
    </row>
    <row r="18" spans="1:8" ht="14.1" customHeight="1" x14ac:dyDescent="0.2">
      <c r="A18" s="20"/>
      <c r="B18" s="20"/>
      <c r="C18" s="21" t="s">
        <v>17</v>
      </c>
      <c r="D18" s="20"/>
      <c r="E18" s="20"/>
      <c r="F18" s="25"/>
      <c r="G18" s="25"/>
      <c r="H18" s="19" t="s">
        <v>12</v>
      </c>
    </row>
    <row r="19" spans="1:8" ht="14.1" customHeight="1" x14ac:dyDescent="0.2">
      <c r="A19" s="20"/>
      <c r="B19" s="20"/>
      <c r="C19" s="21" t="s">
        <v>11</v>
      </c>
      <c r="D19" s="20"/>
      <c r="E19" s="20" t="s">
        <v>12</v>
      </c>
      <c r="F19" s="22" t="s">
        <v>13</v>
      </c>
      <c r="G19" s="23">
        <v>0</v>
      </c>
      <c r="H19" s="19" t="s">
        <v>12</v>
      </c>
    </row>
    <row r="20" spans="1:8" ht="14.1" customHeight="1" x14ac:dyDescent="0.2">
      <c r="A20" s="20"/>
      <c r="B20" s="20"/>
      <c r="C20" s="24"/>
      <c r="D20" s="20"/>
      <c r="E20" s="20"/>
      <c r="F20" s="25"/>
      <c r="G20" s="25"/>
      <c r="H20" s="19" t="s">
        <v>12</v>
      </c>
    </row>
    <row r="21" spans="1:8" ht="14.1" customHeight="1" x14ac:dyDescent="0.2">
      <c r="A21" s="20"/>
      <c r="B21" s="20"/>
      <c r="C21" s="21" t="s">
        <v>18</v>
      </c>
      <c r="D21" s="20"/>
      <c r="E21" s="20"/>
      <c r="F21" s="25"/>
      <c r="G21" s="25"/>
      <c r="H21" s="19" t="s">
        <v>12</v>
      </c>
    </row>
    <row r="22" spans="1:8" ht="14.1" customHeight="1" x14ac:dyDescent="0.2">
      <c r="A22" s="20"/>
      <c r="B22" s="20"/>
      <c r="C22" s="21" t="s">
        <v>11</v>
      </c>
      <c r="D22" s="20"/>
      <c r="E22" s="20" t="s">
        <v>12</v>
      </c>
      <c r="F22" s="22" t="s">
        <v>13</v>
      </c>
      <c r="G22" s="23">
        <v>0</v>
      </c>
      <c r="H22" s="19" t="s">
        <v>12</v>
      </c>
    </row>
    <row r="23" spans="1:8" ht="14.1" customHeight="1" x14ac:dyDescent="0.2">
      <c r="A23" s="20"/>
      <c r="B23" s="20"/>
      <c r="C23" s="24"/>
      <c r="D23" s="20"/>
      <c r="E23" s="20"/>
      <c r="F23" s="25"/>
      <c r="G23" s="25"/>
      <c r="H23" s="19" t="s">
        <v>12</v>
      </c>
    </row>
    <row r="24" spans="1:8" ht="18" customHeight="1" x14ac:dyDescent="0.2">
      <c r="A24" s="20"/>
      <c r="B24" s="20"/>
      <c r="C24" s="21" t="s">
        <v>19</v>
      </c>
      <c r="D24" s="20"/>
      <c r="E24" s="20"/>
      <c r="F24" s="26">
        <v>0</v>
      </c>
      <c r="G24" s="23">
        <v>0</v>
      </c>
      <c r="H24" s="19" t="s">
        <v>12</v>
      </c>
    </row>
    <row r="25" spans="1:8" ht="14.1" customHeight="1" x14ac:dyDescent="0.2">
      <c r="A25" s="20"/>
      <c r="B25" s="20"/>
      <c r="C25" s="24"/>
      <c r="D25" s="20"/>
      <c r="E25" s="20"/>
      <c r="F25" s="25"/>
      <c r="G25" s="25"/>
      <c r="H25" s="19" t="s">
        <v>12</v>
      </c>
    </row>
    <row r="26" spans="1:8" ht="14.1" customHeight="1" x14ac:dyDescent="0.2">
      <c r="A26" s="20"/>
      <c r="B26" s="20"/>
      <c r="C26" s="21" t="s">
        <v>20</v>
      </c>
      <c r="D26" s="20"/>
      <c r="E26" s="20"/>
      <c r="F26" s="25"/>
      <c r="G26" s="25"/>
      <c r="H26" s="19" t="s">
        <v>12</v>
      </c>
    </row>
    <row r="27" spans="1:8" ht="24" customHeight="1" x14ac:dyDescent="0.2">
      <c r="A27" s="20"/>
      <c r="B27" s="20"/>
      <c r="C27" s="21" t="s">
        <v>10</v>
      </c>
      <c r="D27" s="20"/>
      <c r="E27" s="20"/>
      <c r="F27" s="25"/>
      <c r="G27" s="25"/>
      <c r="H27" s="19" t="s">
        <v>12</v>
      </c>
    </row>
    <row r="28" spans="1:8" ht="29.1" customHeight="1" x14ac:dyDescent="0.2">
      <c r="A28" s="27">
        <v>1</v>
      </c>
      <c r="B28" s="28" t="s">
        <v>47</v>
      </c>
      <c r="C28" s="28" t="s">
        <v>48</v>
      </c>
      <c r="D28" s="28" t="s">
        <v>32</v>
      </c>
      <c r="E28" s="29">
        <v>300</v>
      </c>
      <c r="F28" s="30">
        <v>3069.2820000000002</v>
      </c>
      <c r="G28" s="31">
        <v>6.5107319999999996E-2</v>
      </c>
      <c r="H28" s="19">
        <v>6.38</v>
      </c>
    </row>
    <row r="29" spans="1:8" ht="17.100000000000001" customHeight="1" x14ac:dyDescent="0.2">
      <c r="A29" s="27">
        <v>2</v>
      </c>
      <c r="B29" s="28" t="s">
        <v>133</v>
      </c>
      <c r="C29" s="28" t="s">
        <v>134</v>
      </c>
      <c r="D29" s="28" t="s">
        <v>32</v>
      </c>
      <c r="E29" s="29">
        <v>250</v>
      </c>
      <c r="F29" s="30">
        <v>2562.0124999999998</v>
      </c>
      <c r="G29" s="31">
        <v>5.434684E-2</v>
      </c>
      <c r="H29" s="19">
        <v>6.5481999999999996</v>
      </c>
    </row>
    <row r="30" spans="1:8" ht="17.100000000000001" customHeight="1" x14ac:dyDescent="0.2">
      <c r="A30" s="27">
        <v>3</v>
      </c>
      <c r="B30" s="28" t="s">
        <v>135</v>
      </c>
      <c r="C30" s="28" t="s">
        <v>136</v>
      </c>
      <c r="D30" s="28" t="s">
        <v>23</v>
      </c>
      <c r="E30" s="29">
        <v>2500</v>
      </c>
      <c r="F30" s="30">
        <v>2553.2125000000001</v>
      </c>
      <c r="G30" s="31">
        <v>5.4160170000000001E-2</v>
      </c>
      <c r="H30" s="19">
        <v>6.8758999999999997</v>
      </c>
    </row>
    <row r="31" spans="1:8" ht="29.1" customHeight="1" x14ac:dyDescent="0.2">
      <c r="A31" s="27">
        <v>4</v>
      </c>
      <c r="B31" s="28" t="s">
        <v>137</v>
      </c>
      <c r="C31" s="28" t="s">
        <v>138</v>
      </c>
      <c r="D31" s="28" t="s">
        <v>32</v>
      </c>
      <c r="E31" s="29">
        <v>2500</v>
      </c>
      <c r="F31" s="30">
        <v>2523.8000000000002</v>
      </c>
      <c r="G31" s="31">
        <v>5.3536250000000001E-2</v>
      </c>
      <c r="H31" s="19">
        <v>6.7190000000000003</v>
      </c>
    </row>
    <row r="32" spans="1:8" ht="29.1" customHeight="1" x14ac:dyDescent="0.2">
      <c r="A32" s="27">
        <v>5</v>
      </c>
      <c r="B32" s="28" t="s">
        <v>139</v>
      </c>
      <c r="C32" s="28" t="s">
        <v>140</v>
      </c>
      <c r="D32" s="28" t="s">
        <v>23</v>
      </c>
      <c r="E32" s="29">
        <v>2000</v>
      </c>
      <c r="F32" s="30">
        <v>2043.664</v>
      </c>
      <c r="G32" s="31">
        <v>4.3351340000000002E-2</v>
      </c>
      <c r="H32" s="19">
        <v>6.4649999999999999</v>
      </c>
    </row>
    <row r="33" spans="1:8" ht="29.1" customHeight="1" x14ac:dyDescent="0.2">
      <c r="A33" s="27">
        <v>6</v>
      </c>
      <c r="B33" s="28" t="s">
        <v>141</v>
      </c>
      <c r="C33" s="28" t="s">
        <v>142</v>
      </c>
      <c r="D33" s="28" t="s">
        <v>32</v>
      </c>
      <c r="E33" s="29">
        <v>200</v>
      </c>
      <c r="F33" s="30">
        <v>2010.268</v>
      </c>
      <c r="G33" s="31">
        <v>4.2642930000000002E-2</v>
      </c>
      <c r="H33" s="19">
        <v>6.5991999999999997</v>
      </c>
    </row>
    <row r="34" spans="1:8" ht="29.1" customHeight="1" x14ac:dyDescent="0.2">
      <c r="A34" s="27">
        <v>7</v>
      </c>
      <c r="B34" s="28" t="s">
        <v>143</v>
      </c>
      <c r="C34" s="28" t="s">
        <v>144</v>
      </c>
      <c r="D34" s="28" t="s">
        <v>32</v>
      </c>
      <c r="E34" s="29">
        <v>200</v>
      </c>
      <c r="F34" s="30">
        <v>1988.682</v>
      </c>
      <c r="G34" s="31">
        <v>4.2185029999999998E-2</v>
      </c>
      <c r="H34" s="19">
        <v>6.55</v>
      </c>
    </row>
    <row r="35" spans="1:8" ht="29.1" customHeight="1" x14ac:dyDescent="0.2">
      <c r="A35" s="27">
        <v>8</v>
      </c>
      <c r="B35" s="28" t="s">
        <v>33</v>
      </c>
      <c r="C35" s="28" t="s">
        <v>34</v>
      </c>
      <c r="D35" s="28" t="s">
        <v>23</v>
      </c>
      <c r="E35" s="29">
        <v>1500</v>
      </c>
      <c r="F35" s="30">
        <v>1548.0374999999999</v>
      </c>
      <c r="G35" s="31">
        <v>3.2837829999999998E-2</v>
      </c>
      <c r="H35" s="19">
        <v>6.665</v>
      </c>
    </row>
    <row r="36" spans="1:8" ht="29.1" customHeight="1" x14ac:dyDescent="0.2">
      <c r="A36" s="27">
        <v>9</v>
      </c>
      <c r="B36" s="28" t="s">
        <v>145</v>
      </c>
      <c r="C36" s="28" t="s">
        <v>146</v>
      </c>
      <c r="D36" s="28" t="s">
        <v>23</v>
      </c>
      <c r="E36" s="29">
        <v>1500</v>
      </c>
      <c r="F36" s="30">
        <v>1536.1215</v>
      </c>
      <c r="G36" s="31">
        <v>3.2585070000000001E-2</v>
      </c>
      <c r="H36" s="19">
        <v>6.48</v>
      </c>
    </row>
    <row r="37" spans="1:8" ht="29.1" customHeight="1" x14ac:dyDescent="0.2">
      <c r="A37" s="27">
        <v>10</v>
      </c>
      <c r="B37" s="28" t="s">
        <v>39</v>
      </c>
      <c r="C37" s="28" t="s">
        <v>40</v>
      </c>
      <c r="D37" s="28" t="s">
        <v>23</v>
      </c>
      <c r="E37" s="29">
        <v>1500</v>
      </c>
      <c r="F37" s="30">
        <v>1513.3050000000001</v>
      </c>
      <c r="G37" s="31">
        <v>3.2101070000000002E-2</v>
      </c>
      <c r="H37" s="19">
        <v>6.5545999999999998</v>
      </c>
    </row>
    <row r="38" spans="1:8" ht="29.1" customHeight="1" x14ac:dyDescent="0.2">
      <c r="A38" s="27">
        <v>11</v>
      </c>
      <c r="B38" s="28" t="s">
        <v>147</v>
      </c>
      <c r="C38" s="28" t="s">
        <v>148</v>
      </c>
      <c r="D38" s="28" t="s">
        <v>23</v>
      </c>
      <c r="E38" s="29">
        <v>1000</v>
      </c>
      <c r="F38" s="30">
        <v>1038.5940000000001</v>
      </c>
      <c r="G38" s="31">
        <v>2.2031240000000001E-2</v>
      </c>
      <c r="H38" s="19">
        <v>6.75</v>
      </c>
    </row>
    <row r="39" spans="1:8" ht="29.1" customHeight="1" x14ac:dyDescent="0.2">
      <c r="A39" s="27">
        <v>12</v>
      </c>
      <c r="B39" s="28" t="s">
        <v>24</v>
      </c>
      <c r="C39" s="28" t="s">
        <v>25</v>
      </c>
      <c r="D39" s="28" t="s">
        <v>23</v>
      </c>
      <c r="E39" s="29">
        <v>1000</v>
      </c>
      <c r="F39" s="30">
        <v>1028.4549999999999</v>
      </c>
      <c r="G39" s="31">
        <v>2.1816160000000001E-2</v>
      </c>
      <c r="H39" s="19">
        <v>6.57</v>
      </c>
    </row>
    <row r="40" spans="1:8" ht="29.1" customHeight="1" x14ac:dyDescent="0.2">
      <c r="A40" s="27">
        <v>13</v>
      </c>
      <c r="B40" s="28" t="s">
        <v>149</v>
      </c>
      <c r="C40" s="28" t="s">
        <v>150</v>
      </c>
      <c r="D40" s="28" t="s">
        <v>32</v>
      </c>
      <c r="E40" s="29">
        <v>1000</v>
      </c>
      <c r="F40" s="30">
        <v>1022.552</v>
      </c>
      <c r="G40" s="31">
        <v>2.1690939999999999E-2</v>
      </c>
      <c r="H40" s="19">
        <v>6.61</v>
      </c>
    </row>
    <row r="41" spans="1:8" ht="29.1" customHeight="1" x14ac:dyDescent="0.2">
      <c r="A41" s="27">
        <v>14</v>
      </c>
      <c r="B41" s="28" t="s">
        <v>55</v>
      </c>
      <c r="C41" s="28" t="s">
        <v>56</v>
      </c>
      <c r="D41" s="28" t="s">
        <v>23</v>
      </c>
      <c r="E41" s="29">
        <v>1000</v>
      </c>
      <c r="F41" s="30">
        <v>1012.616</v>
      </c>
      <c r="G41" s="31">
        <v>2.1480180000000001E-2</v>
      </c>
      <c r="H41" s="19">
        <v>6.76</v>
      </c>
    </row>
    <row r="42" spans="1:8" ht="29.1" customHeight="1" x14ac:dyDescent="0.2">
      <c r="A42" s="27">
        <v>15</v>
      </c>
      <c r="B42" s="28" t="s">
        <v>65</v>
      </c>
      <c r="C42" s="28" t="s">
        <v>66</v>
      </c>
      <c r="D42" s="28" t="s">
        <v>23</v>
      </c>
      <c r="E42" s="29">
        <v>1000</v>
      </c>
      <c r="F42" s="30">
        <v>1001.408</v>
      </c>
      <c r="G42" s="31">
        <v>2.124243E-2</v>
      </c>
      <c r="H42" s="19">
        <v>6.5644999999999998</v>
      </c>
    </row>
    <row r="43" spans="1:8" ht="29.1" customHeight="1" x14ac:dyDescent="0.2">
      <c r="A43" s="27">
        <v>16</v>
      </c>
      <c r="B43" s="28" t="s">
        <v>43</v>
      </c>
      <c r="C43" s="28" t="s">
        <v>44</v>
      </c>
      <c r="D43" s="28" t="s">
        <v>23</v>
      </c>
      <c r="E43" s="29">
        <v>500</v>
      </c>
      <c r="F43" s="30">
        <v>515.77850000000001</v>
      </c>
      <c r="G43" s="31">
        <v>1.0940979999999999E-2</v>
      </c>
      <c r="H43" s="19">
        <v>6.64</v>
      </c>
    </row>
    <row r="44" spans="1:8" ht="29.1" customHeight="1" x14ac:dyDescent="0.2">
      <c r="A44" s="27">
        <v>17</v>
      </c>
      <c r="B44" s="28" t="s">
        <v>151</v>
      </c>
      <c r="C44" s="28" t="s">
        <v>152</v>
      </c>
      <c r="D44" s="28" t="s">
        <v>23</v>
      </c>
      <c r="E44" s="29">
        <v>500</v>
      </c>
      <c r="F44" s="30">
        <v>515.10599999999999</v>
      </c>
      <c r="G44" s="31">
        <v>1.0926719999999999E-2</v>
      </c>
      <c r="H44" s="19">
        <v>6.9672000000000001</v>
      </c>
    </row>
    <row r="45" spans="1:8" ht="29.1" customHeight="1" x14ac:dyDescent="0.2">
      <c r="A45" s="27">
        <v>18</v>
      </c>
      <c r="B45" s="28" t="s">
        <v>153</v>
      </c>
      <c r="C45" s="28" t="s">
        <v>154</v>
      </c>
      <c r="D45" s="28" t="s">
        <v>32</v>
      </c>
      <c r="E45" s="29">
        <v>500</v>
      </c>
      <c r="F45" s="30">
        <v>509.82549999999998</v>
      </c>
      <c r="G45" s="31">
        <v>1.08147E-2</v>
      </c>
      <c r="H45" s="19">
        <v>6.5730000000000004</v>
      </c>
    </row>
    <row r="46" spans="1:8" ht="29.1" customHeight="1" x14ac:dyDescent="0.2">
      <c r="A46" s="27">
        <v>19</v>
      </c>
      <c r="B46" s="28" t="s">
        <v>155</v>
      </c>
      <c r="C46" s="28" t="s">
        <v>156</v>
      </c>
      <c r="D46" s="28" t="s">
        <v>23</v>
      </c>
      <c r="E46" s="29">
        <v>500</v>
      </c>
      <c r="F46" s="30">
        <v>507.53149999999999</v>
      </c>
      <c r="G46" s="31">
        <v>1.0766039999999999E-2</v>
      </c>
      <c r="H46" s="19">
        <v>6.5545999999999998</v>
      </c>
    </row>
    <row r="47" spans="1:8" ht="17.100000000000001" customHeight="1" x14ac:dyDescent="0.2">
      <c r="A47" s="27">
        <v>20</v>
      </c>
      <c r="B47" s="28" t="s">
        <v>53</v>
      </c>
      <c r="C47" s="28" t="s">
        <v>54</v>
      </c>
      <c r="D47" s="28" t="s">
        <v>23</v>
      </c>
      <c r="E47" s="29">
        <v>500</v>
      </c>
      <c r="F47" s="30">
        <v>507.27</v>
      </c>
      <c r="G47" s="31">
        <v>1.0760489999999999E-2</v>
      </c>
      <c r="H47" s="19">
        <v>6.55</v>
      </c>
    </row>
    <row r="48" spans="1:8" ht="29.1" customHeight="1" x14ac:dyDescent="0.2">
      <c r="A48" s="27">
        <v>21</v>
      </c>
      <c r="B48" s="28" t="s">
        <v>59</v>
      </c>
      <c r="C48" s="28" t="s">
        <v>60</v>
      </c>
      <c r="D48" s="28" t="s">
        <v>32</v>
      </c>
      <c r="E48" s="29">
        <v>50</v>
      </c>
      <c r="F48" s="30">
        <v>505.03500000000003</v>
      </c>
      <c r="G48" s="31">
        <v>1.071308E-2</v>
      </c>
      <c r="H48" s="19">
        <v>6.5167999999999999</v>
      </c>
    </row>
    <row r="49" spans="1:8" ht="29.1" customHeight="1" x14ac:dyDescent="0.2">
      <c r="A49" s="27">
        <v>22</v>
      </c>
      <c r="B49" s="28" t="s">
        <v>49</v>
      </c>
      <c r="C49" s="28" t="s">
        <v>50</v>
      </c>
      <c r="D49" s="28" t="s">
        <v>23</v>
      </c>
      <c r="E49" s="29">
        <v>500</v>
      </c>
      <c r="F49" s="30">
        <v>504.17899999999997</v>
      </c>
      <c r="G49" s="31">
        <v>1.069493E-2</v>
      </c>
      <c r="H49" s="19">
        <v>6.6</v>
      </c>
    </row>
    <row r="50" spans="1:8" ht="14.1" customHeight="1" x14ac:dyDescent="0.2">
      <c r="A50" s="20"/>
      <c r="B50" s="20"/>
      <c r="C50" s="21" t="s">
        <v>11</v>
      </c>
      <c r="D50" s="20"/>
      <c r="E50" s="20" t="s">
        <v>12</v>
      </c>
      <c r="F50" s="26">
        <v>30016.735499999999</v>
      </c>
      <c r="G50" s="23">
        <v>0.63673173999999999</v>
      </c>
      <c r="H50" s="19" t="s">
        <v>12</v>
      </c>
    </row>
    <row r="51" spans="1:8" ht="14.1" customHeight="1" x14ac:dyDescent="0.2">
      <c r="A51" s="20"/>
      <c r="B51" s="20"/>
      <c r="C51" s="24"/>
      <c r="D51" s="20"/>
      <c r="E51" s="20"/>
      <c r="F51" s="25"/>
      <c r="G51" s="25"/>
      <c r="H51" s="19" t="s">
        <v>12</v>
      </c>
    </row>
    <row r="52" spans="1:8" ht="14.1" customHeight="1" x14ac:dyDescent="0.2">
      <c r="A52" s="20"/>
      <c r="B52" s="20"/>
      <c r="C52" s="21" t="s">
        <v>77</v>
      </c>
      <c r="D52" s="20"/>
      <c r="E52" s="20"/>
      <c r="F52" s="20"/>
      <c r="G52" s="20"/>
      <c r="H52" s="19" t="s">
        <v>12</v>
      </c>
    </row>
    <row r="53" spans="1:8" ht="14.1" customHeight="1" x14ac:dyDescent="0.2">
      <c r="A53" s="20"/>
      <c r="B53" s="20"/>
      <c r="C53" s="21" t="s">
        <v>11</v>
      </c>
      <c r="D53" s="20"/>
      <c r="E53" s="20" t="s">
        <v>12</v>
      </c>
      <c r="F53" s="22" t="s">
        <v>13</v>
      </c>
      <c r="G53" s="23">
        <v>0</v>
      </c>
      <c r="H53" s="19" t="s">
        <v>12</v>
      </c>
    </row>
    <row r="54" spans="1:8" ht="14.1" customHeight="1" x14ac:dyDescent="0.2">
      <c r="A54" s="20"/>
      <c r="B54" s="20"/>
      <c r="C54" s="24"/>
      <c r="D54" s="20"/>
      <c r="E54" s="20"/>
      <c r="F54" s="25"/>
      <c r="G54" s="25"/>
      <c r="H54" s="19" t="s">
        <v>12</v>
      </c>
    </row>
    <row r="55" spans="1:8" ht="14.1" customHeight="1" x14ac:dyDescent="0.2">
      <c r="A55" s="20"/>
      <c r="B55" s="20"/>
      <c r="C55" s="21" t="s">
        <v>78</v>
      </c>
      <c r="D55" s="20"/>
      <c r="E55" s="20"/>
      <c r="F55" s="20"/>
      <c r="G55" s="20"/>
      <c r="H55" s="19" t="s">
        <v>12</v>
      </c>
    </row>
    <row r="56" spans="1:8" ht="29.1" customHeight="1" x14ac:dyDescent="0.2">
      <c r="A56" s="27">
        <v>1</v>
      </c>
      <c r="B56" s="28" t="s">
        <v>79</v>
      </c>
      <c r="C56" s="28" t="s">
        <v>80</v>
      </c>
      <c r="D56" s="28" t="s">
        <v>81</v>
      </c>
      <c r="E56" s="29">
        <v>4000000</v>
      </c>
      <c r="F56" s="30">
        <v>4143.7160000000003</v>
      </c>
      <c r="G56" s="31">
        <v>8.7898809999999994E-2</v>
      </c>
      <c r="H56" s="19">
        <v>6.3731</v>
      </c>
    </row>
    <row r="57" spans="1:8" ht="17.100000000000001" customHeight="1" x14ac:dyDescent="0.2">
      <c r="A57" s="27">
        <v>2</v>
      </c>
      <c r="B57" s="28" t="s">
        <v>82</v>
      </c>
      <c r="C57" s="28" t="s">
        <v>83</v>
      </c>
      <c r="D57" s="28" t="s">
        <v>81</v>
      </c>
      <c r="E57" s="29">
        <v>1000000</v>
      </c>
      <c r="F57" s="30">
        <v>1063.3309999999999</v>
      </c>
      <c r="G57" s="31">
        <v>2.2555970000000002E-2</v>
      </c>
      <c r="H57" s="19">
        <v>6.0298999999999996</v>
      </c>
    </row>
    <row r="58" spans="1:8" ht="29.1" customHeight="1" x14ac:dyDescent="0.2">
      <c r="A58" s="27">
        <v>3</v>
      </c>
      <c r="B58" s="28" t="s">
        <v>84</v>
      </c>
      <c r="C58" s="28" t="s">
        <v>85</v>
      </c>
      <c r="D58" s="28" t="s">
        <v>81</v>
      </c>
      <c r="E58" s="29">
        <v>1000000</v>
      </c>
      <c r="F58" s="30">
        <v>1028.8499999999999</v>
      </c>
      <c r="G58" s="31">
        <v>2.182454E-2</v>
      </c>
      <c r="H58" s="19">
        <v>6.1261000000000001</v>
      </c>
    </row>
    <row r="59" spans="1:8" ht="29.1" customHeight="1" x14ac:dyDescent="0.2">
      <c r="A59" s="27">
        <v>4</v>
      </c>
      <c r="B59" s="28" t="s">
        <v>157</v>
      </c>
      <c r="C59" s="28" t="s">
        <v>158</v>
      </c>
      <c r="D59" s="28" t="s">
        <v>81</v>
      </c>
      <c r="E59" s="29">
        <v>500000</v>
      </c>
      <c r="F59" s="30">
        <v>536.60900000000004</v>
      </c>
      <c r="G59" s="31">
        <v>1.138285E-2</v>
      </c>
      <c r="H59" s="19">
        <v>6.5266999999999999</v>
      </c>
    </row>
    <row r="60" spans="1:8" ht="29.1" customHeight="1" x14ac:dyDescent="0.2">
      <c r="A60" s="27">
        <v>5</v>
      </c>
      <c r="B60" s="28" t="s">
        <v>86</v>
      </c>
      <c r="C60" s="28" t="s">
        <v>87</v>
      </c>
      <c r="D60" s="28" t="s">
        <v>81</v>
      </c>
      <c r="E60" s="29">
        <v>500000</v>
      </c>
      <c r="F60" s="30">
        <v>530.14949999999999</v>
      </c>
      <c r="G60" s="31">
        <v>1.124583E-2</v>
      </c>
      <c r="H60" s="19">
        <v>6.9306999999999999</v>
      </c>
    </row>
    <row r="61" spans="1:8" ht="29.1" customHeight="1" x14ac:dyDescent="0.2">
      <c r="A61" s="27">
        <v>6</v>
      </c>
      <c r="B61" s="28" t="s">
        <v>88</v>
      </c>
      <c r="C61" s="28" t="s">
        <v>89</v>
      </c>
      <c r="D61" s="28" t="s">
        <v>81</v>
      </c>
      <c r="E61" s="29">
        <v>500000</v>
      </c>
      <c r="F61" s="30">
        <v>516.65650000000005</v>
      </c>
      <c r="G61" s="31">
        <v>1.095961E-2</v>
      </c>
      <c r="H61" s="19">
        <v>6.9405999999999999</v>
      </c>
    </row>
    <row r="62" spans="1:8" ht="29.1" customHeight="1" x14ac:dyDescent="0.2">
      <c r="A62" s="27">
        <v>7</v>
      </c>
      <c r="B62" s="28" t="s">
        <v>90</v>
      </c>
      <c r="C62" s="28" t="s">
        <v>91</v>
      </c>
      <c r="D62" s="28" t="s">
        <v>81</v>
      </c>
      <c r="E62" s="29">
        <v>500000</v>
      </c>
      <c r="F62" s="30">
        <v>503.36599999999999</v>
      </c>
      <c r="G62" s="31">
        <v>1.067768E-2</v>
      </c>
      <c r="H62" s="19">
        <v>6.9669999999999996</v>
      </c>
    </row>
    <row r="63" spans="1:8" ht="29.1" customHeight="1" x14ac:dyDescent="0.2">
      <c r="A63" s="27">
        <v>8</v>
      </c>
      <c r="B63" s="28" t="s">
        <v>98</v>
      </c>
      <c r="C63" s="28" t="s">
        <v>99</v>
      </c>
      <c r="D63" s="28" t="s">
        <v>81</v>
      </c>
      <c r="E63" s="29">
        <v>200000</v>
      </c>
      <c r="F63" s="30">
        <v>210.83600000000001</v>
      </c>
      <c r="G63" s="31">
        <v>4.4723699999999998E-3</v>
      </c>
      <c r="H63" s="19">
        <v>6.3898000000000001</v>
      </c>
    </row>
    <row r="64" spans="1:8" ht="14.1" customHeight="1" x14ac:dyDescent="0.2">
      <c r="A64" s="20"/>
      <c r="B64" s="20"/>
      <c r="C64" s="21" t="s">
        <v>11</v>
      </c>
      <c r="D64" s="20"/>
      <c r="E64" s="20" t="s">
        <v>12</v>
      </c>
      <c r="F64" s="26">
        <v>8533.5139999999992</v>
      </c>
      <c r="G64" s="23">
        <v>0.18101766</v>
      </c>
      <c r="H64" s="19" t="s">
        <v>12</v>
      </c>
    </row>
    <row r="65" spans="1:8" ht="14.1" customHeight="1" x14ac:dyDescent="0.2">
      <c r="A65" s="20"/>
      <c r="B65" s="20"/>
      <c r="C65" s="24"/>
      <c r="D65" s="20"/>
      <c r="E65" s="20"/>
      <c r="F65" s="25"/>
      <c r="G65" s="25"/>
      <c r="H65" s="19" t="s">
        <v>12</v>
      </c>
    </row>
    <row r="66" spans="1:8" ht="14.1" customHeight="1" x14ac:dyDescent="0.2">
      <c r="A66" s="20"/>
      <c r="B66" s="20"/>
      <c r="C66" s="21" t="s">
        <v>100</v>
      </c>
      <c r="D66" s="20"/>
      <c r="E66" s="20"/>
      <c r="F66" s="25"/>
      <c r="G66" s="25"/>
      <c r="H66" s="19" t="s">
        <v>12</v>
      </c>
    </row>
    <row r="67" spans="1:8" ht="14.1" customHeight="1" x14ac:dyDescent="0.2">
      <c r="A67" s="20"/>
      <c r="B67" s="20"/>
      <c r="C67" s="21" t="s">
        <v>11</v>
      </c>
      <c r="D67" s="20"/>
      <c r="E67" s="20" t="s">
        <v>12</v>
      </c>
      <c r="F67" s="22" t="s">
        <v>13</v>
      </c>
      <c r="G67" s="23">
        <v>0</v>
      </c>
      <c r="H67" s="19" t="s">
        <v>12</v>
      </c>
    </row>
    <row r="68" spans="1:8" ht="14.1" customHeight="1" x14ac:dyDescent="0.2">
      <c r="A68" s="20"/>
      <c r="B68" s="20"/>
      <c r="C68" s="24"/>
      <c r="D68" s="20"/>
      <c r="E68" s="20"/>
      <c r="F68" s="25"/>
      <c r="G68" s="25"/>
      <c r="H68" s="19" t="s">
        <v>12</v>
      </c>
    </row>
    <row r="69" spans="1:8" ht="14.1" customHeight="1" x14ac:dyDescent="0.2">
      <c r="A69" s="20"/>
      <c r="B69" s="20"/>
      <c r="C69" s="21" t="s">
        <v>101</v>
      </c>
      <c r="D69" s="20"/>
      <c r="E69" s="20"/>
      <c r="F69" s="26">
        <v>38550.249499999998</v>
      </c>
      <c r="G69" s="23">
        <v>0.81774939999999996</v>
      </c>
      <c r="H69" s="19" t="s">
        <v>12</v>
      </c>
    </row>
    <row r="70" spans="1:8" ht="14.1" customHeight="1" x14ac:dyDescent="0.2">
      <c r="A70" s="20"/>
      <c r="B70" s="20"/>
      <c r="C70" s="24"/>
      <c r="D70" s="20"/>
      <c r="E70" s="20"/>
      <c r="F70" s="25"/>
      <c r="G70" s="25"/>
      <c r="H70" s="19" t="s">
        <v>12</v>
      </c>
    </row>
    <row r="71" spans="1:8" ht="14.1" customHeight="1" x14ac:dyDescent="0.2">
      <c r="A71" s="20"/>
      <c r="B71" s="20"/>
      <c r="C71" s="21" t="s">
        <v>102</v>
      </c>
      <c r="D71" s="20"/>
      <c r="E71" s="20"/>
      <c r="F71" s="25"/>
      <c r="G71" s="25"/>
      <c r="H71" s="19" t="s">
        <v>12</v>
      </c>
    </row>
    <row r="72" spans="1:8" ht="14.1" customHeight="1" x14ac:dyDescent="0.2">
      <c r="A72" s="20"/>
      <c r="B72" s="20"/>
      <c r="C72" s="21" t="s">
        <v>103</v>
      </c>
      <c r="D72" s="20"/>
      <c r="E72" s="20"/>
      <c r="F72" s="25"/>
      <c r="G72" s="25"/>
      <c r="H72" s="19" t="s">
        <v>12</v>
      </c>
    </row>
    <row r="73" spans="1:8" ht="17.100000000000001" customHeight="1" x14ac:dyDescent="0.2">
      <c r="A73" s="27">
        <v>1</v>
      </c>
      <c r="B73" s="28" t="s">
        <v>159</v>
      </c>
      <c r="C73" s="28" t="s">
        <v>160</v>
      </c>
      <c r="D73" s="28" t="s">
        <v>161</v>
      </c>
      <c r="E73" s="29">
        <v>400</v>
      </c>
      <c r="F73" s="30">
        <v>1900.856</v>
      </c>
      <c r="G73" s="31">
        <v>4.032202E-2</v>
      </c>
      <c r="H73" s="19">
        <v>6.41</v>
      </c>
    </row>
    <row r="74" spans="1:8" ht="17.100000000000001" customHeight="1" x14ac:dyDescent="0.2">
      <c r="A74" s="27">
        <v>2</v>
      </c>
      <c r="B74" s="28" t="s">
        <v>162</v>
      </c>
      <c r="C74" s="28" t="s">
        <v>163</v>
      </c>
      <c r="D74" s="28" t="s">
        <v>161</v>
      </c>
      <c r="E74" s="29">
        <v>200</v>
      </c>
      <c r="F74" s="30">
        <v>998.62300000000005</v>
      </c>
      <c r="G74" s="31">
        <v>2.118335E-2</v>
      </c>
      <c r="H74" s="19">
        <v>6.29</v>
      </c>
    </row>
    <row r="75" spans="1:8" ht="17.100000000000001" customHeight="1" x14ac:dyDescent="0.2">
      <c r="A75" s="27">
        <v>3</v>
      </c>
      <c r="B75" s="28" t="s">
        <v>164</v>
      </c>
      <c r="C75" s="28" t="s">
        <v>165</v>
      </c>
      <c r="D75" s="28" t="s">
        <v>161</v>
      </c>
      <c r="E75" s="29">
        <v>100</v>
      </c>
      <c r="F75" s="30">
        <v>479.1635</v>
      </c>
      <c r="G75" s="31">
        <v>1.0164279999999999E-2</v>
      </c>
      <c r="H75" s="19">
        <v>6.4</v>
      </c>
    </row>
    <row r="76" spans="1:8" ht="29.1" customHeight="1" x14ac:dyDescent="0.2">
      <c r="A76" s="27">
        <v>4</v>
      </c>
      <c r="B76" s="28" t="s">
        <v>166</v>
      </c>
      <c r="C76" s="28" t="s">
        <v>167</v>
      </c>
      <c r="D76" s="28" t="s">
        <v>161</v>
      </c>
      <c r="E76" s="29">
        <v>100</v>
      </c>
      <c r="F76" s="30">
        <v>475.774</v>
      </c>
      <c r="G76" s="31">
        <v>1.009238E-2</v>
      </c>
      <c r="H76" s="19">
        <v>6.3650000000000002</v>
      </c>
    </row>
    <row r="77" spans="1:8" ht="14.1" customHeight="1" x14ac:dyDescent="0.2">
      <c r="A77" s="20"/>
      <c r="B77" s="20"/>
      <c r="C77" s="21" t="s">
        <v>11</v>
      </c>
      <c r="D77" s="20"/>
      <c r="E77" s="20" t="s">
        <v>12</v>
      </c>
      <c r="F77" s="26">
        <v>3854.4164999999998</v>
      </c>
      <c r="G77" s="23">
        <v>8.1762029999999999E-2</v>
      </c>
      <c r="H77" s="19" t="s">
        <v>12</v>
      </c>
    </row>
    <row r="78" spans="1:8" ht="14.1" customHeight="1" x14ac:dyDescent="0.2">
      <c r="A78" s="20"/>
      <c r="B78" s="20"/>
      <c r="C78" s="24"/>
      <c r="D78" s="20"/>
      <c r="E78" s="20"/>
      <c r="F78" s="25"/>
      <c r="G78" s="25"/>
      <c r="H78" s="19" t="s">
        <v>12</v>
      </c>
    </row>
    <row r="79" spans="1:8" ht="14.1" customHeight="1" x14ac:dyDescent="0.2">
      <c r="A79" s="20"/>
      <c r="B79" s="20"/>
      <c r="C79" s="21" t="s">
        <v>104</v>
      </c>
      <c r="D79" s="20"/>
      <c r="E79" s="20"/>
      <c r="F79" s="25"/>
      <c r="G79" s="25"/>
      <c r="H79" s="19" t="s">
        <v>12</v>
      </c>
    </row>
    <row r="80" spans="1:8" ht="14.1" customHeight="1" x14ac:dyDescent="0.2">
      <c r="A80" s="20"/>
      <c r="B80" s="20"/>
      <c r="C80" s="21" t="s">
        <v>11</v>
      </c>
      <c r="D80" s="20"/>
      <c r="E80" s="20" t="s">
        <v>12</v>
      </c>
      <c r="F80" s="22" t="s">
        <v>13</v>
      </c>
      <c r="G80" s="23">
        <v>0</v>
      </c>
      <c r="H80" s="19" t="s">
        <v>12</v>
      </c>
    </row>
    <row r="81" spans="1:17" ht="14.1" customHeight="1" x14ac:dyDescent="0.2">
      <c r="A81" s="20"/>
      <c r="B81" s="20"/>
      <c r="C81" s="24"/>
      <c r="D81" s="20"/>
      <c r="E81" s="20"/>
      <c r="F81" s="25"/>
      <c r="G81" s="25"/>
      <c r="H81" s="19" t="s">
        <v>12</v>
      </c>
    </row>
    <row r="82" spans="1:17" ht="14.1" customHeight="1" x14ac:dyDescent="0.2">
      <c r="A82" s="20"/>
      <c r="B82" s="20"/>
      <c r="C82" s="21" t="s">
        <v>105</v>
      </c>
      <c r="D82" s="20"/>
      <c r="E82" s="20"/>
      <c r="F82" s="25"/>
      <c r="G82" s="25"/>
      <c r="H82" s="19" t="s">
        <v>12</v>
      </c>
    </row>
    <row r="83" spans="1:17" ht="14.1" customHeight="1" x14ac:dyDescent="0.2">
      <c r="A83" s="20"/>
      <c r="B83" s="20"/>
      <c r="C83" s="21" t="s">
        <v>11</v>
      </c>
      <c r="D83" s="20"/>
      <c r="E83" s="20" t="s">
        <v>12</v>
      </c>
      <c r="F83" s="22" t="s">
        <v>13</v>
      </c>
      <c r="G83" s="23">
        <v>0</v>
      </c>
      <c r="H83" s="19" t="s">
        <v>12</v>
      </c>
    </row>
    <row r="84" spans="1:17" ht="14.1" customHeight="1" x14ac:dyDescent="0.2">
      <c r="A84" s="20"/>
      <c r="B84" s="20"/>
      <c r="C84" s="24"/>
      <c r="D84" s="20"/>
      <c r="E84" s="20"/>
      <c r="F84" s="25"/>
      <c r="G84" s="25"/>
      <c r="H84" s="19" t="s">
        <v>12</v>
      </c>
    </row>
    <row r="85" spans="1:17" ht="14.1" customHeight="1" x14ac:dyDescent="0.2">
      <c r="A85" s="20"/>
      <c r="B85" s="20"/>
      <c r="C85" s="21" t="s">
        <v>106</v>
      </c>
      <c r="D85" s="20"/>
      <c r="E85" s="20"/>
      <c r="F85" s="25"/>
      <c r="G85" s="25"/>
      <c r="H85" s="19" t="s">
        <v>12</v>
      </c>
    </row>
    <row r="86" spans="1:17" ht="17.100000000000001" customHeight="1" x14ac:dyDescent="0.2">
      <c r="A86" s="27">
        <v>1</v>
      </c>
      <c r="B86" s="28"/>
      <c r="C86" s="28" t="s">
        <v>107</v>
      </c>
      <c r="D86" s="28"/>
      <c r="E86" s="32"/>
      <c r="F86" s="30">
        <v>3874.1387176110002</v>
      </c>
      <c r="G86" s="31">
        <v>8.2180390000000006E-2</v>
      </c>
      <c r="H86" s="19">
        <v>5.76</v>
      </c>
    </row>
    <row r="87" spans="1:17" ht="14.1" customHeight="1" x14ac:dyDescent="0.2">
      <c r="A87" s="20"/>
      <c r="B87" s="20"/>
      <c r="C87" s="21" t="s">
        <v>11</v>
      </c>
      <c r="D87" s="20"/>
      <c r="E87" s="20" t="s">
        <v>12</v>
      </c>
      <c r="F87" s="26">
        <v>3874.1387176110002</v>
      </c>
      <c r="G87" s="23">
        <v>8.2180390000000006E-2</v>
      </c>
      <c r="H87" s="19" t="s">
        <v>12</v>
      </c>
    </row>
    <row r="88" spans="1:17" ht="14.1" customHeight="1" x14ac:dyDescent="0.2">
      <c r="A88" s="20"/>
      <c r="B88" s="20"/>
      <c r="C88" s="24"/>
      <c r="D88" s="20"/>
      <c r="E88" s="20"/>
      <c r="F88" s="25"/>
      <c r="G88" s="25"/>
      <c r="H88" s="19" t="s">
        <v>12</v>
      </c>
    </row>
    <row r="89" spans="1:17" ht="14.1" customHeight="1" x14ac:dyDescent="0.2">
      <c r="A89" s="20"/>
      <c r="B89" s="20"/>
      <c r="C89" s="21" t="s">
        <v>108</v>
      </c>
      <c r="D89" s="20"/>
      <c r="E89" s="20"/>
      <c r="F89" s="26">
        <v>7728.5552176110004</v>
      </c>
      <c r="G89" s="23">
        <v>0.16394242000000001</v>
      </c>
      <c r="H89" s="19" t="s">
        <v>12</v>
      </c>
    </row>
    <row r="90" spans="1:17" ht="14.1" customHeight="1" x14ac:dyDescent="0.2">
      <c r="A90" s="20"/>
      <c r="B90" s="20"/>
      <c r="C90" s="25"/>
      <c r="D90" s="20"/>
      <c r="E90" s="20"/>
      <c r="F90" s="20"/>
      <c r="G90" s="20"/>
      <c r="H90" s="19" t="s">
        <v>12</v>
      </c>
    </row>
    <row r="91" spans="1:17" ht="14.1" customHeight="1" x14ac:dyDescent="0.2">
      <c r="A91" s="20"/>
      <c r="B91" s="20"/>
      <c r="C91" s="21" t="s">
        <v>109</v>
      </c>
      <c r="D91" s="20"/>
      <c r="E91" s="20"/>
      <c r="F91" s="20"/>
      <c r="G91" s="20"/>
      <c r="H91" s="19" t="s">
        <v>12</v>
      </c>
    </row>
    <row r="92" spans="1:17" ht="14.1" customHeight="1" x14ac:dyDescent="0.2">
      <c r="A92" s="20"/>
      <c r="B92" s="20"/>
      <c r="C92" s="21" t="s">
        <v>110</v>
      </c>
      <c r="D92" s="20"/>
      <c r="E92" s="20"/>
      <c r="F92" s="20"/>
      <c r="G92" s="20"/>
      <c r="H92" s="19" t="s">
        <v>12</v>
      </c>
    </row>
    <row r="93" spans="1:17" ht="14.1" customHeight="1" x14ac:dyDescent="0.2">
      <c r="A93" s="20"/>
      <c r="B93" s="20"/>
      <c r="C93" s="21" t="s">
        <v>11</v>
      </c>
      <c r="D93" s="20"/>
      <c r="E93" s="20" t="s">
        <v>12</v>
      </c>
      <c r="F93" s="22" t="s">
        <v>13</v>
      </c>
      <c r="G93" s="23">
        <v>0</v>
      </c>
      <c r="H93" s="19" t="s">
        <v>12</v>
      </c>
    </row>
    <row r="94" spans="1:17" x14ac:dyDescent="0.2">
      <c r="A94" s="17"/>
      <c r="B94" s="17"/>
      <c r="C94" s="75"/>
      <c r="D94" s="17"/>
      <c r="E94" s="17"/>
      <c r="F94" s="42"/>
      <c r="G94" s="42"/>
      <c r="H94" s="76" t="s">
        <v>12</v>
      </c>
    </row>
    <row r="95" spans="1:17" ht="25.5" x14ac:dyDescent="0.2">
      <c r="A95" s="17"/>
      <c r="B95" s="17"/>
      <c r="C95" s="18" t="s">
        <v>596</v>
      </c>
      <c r="D95" s="17"/>
      <c r="E95" s="17"/>
      <c r="F95" s="42"/>
      <c r="G95" s="42"/>
      <c r="H95" s="72"/>
      <c r="K95" s="56"/>
      <c r="L95" s="56"/>
      <c r="M95" s="56"/>
      <c r="N95" s="56"/>
      <c r="O95" s="77"/>
      <c r="P95" s="77"/>
      <c r="Q95" s="77"/>
    </row>
    <row r="96" spans="1:17" ht="25.5" x14ac:dyDescent="0.2">
      <c r="A96" s="69">
        <v>1</v>
      </c>
      <c r="B96" s="70" t="s">
        <v>111</v>
      </c>
      <c r="C96" s="70" t="s">
        <v>112</v>
      </c>
      <c r="D96" s="70"/>
      <c r="E96" s="78">
        <v>1138.2429999999999</v>
      </c>
      <c r="F96" s="72">
        <v>127.38025281500001</v>
      </c>
      <c r="G96" s="73">
        <v>2.7020600000000001E-3</v>
      </c>
      <c r="H96" s="76"/>
    </row>
    <row r="97" spans="1:8" x14ac:dyDescent="0.2">
      <c r="A97" s="17"/>
      <c r="B97" s="17"/>
      <c r="C97" s="18" t="s">
        <v>11</v>
      </c>
      <c r="D97" s="17"/>
      <c r="E97" s="17" t="s">
        <v>12</v>
      </c>
      <c r="F97" s="79">
        <f>SUM(F96)</f>
        <v>127.38025281500001</v>
      </c>
      <c r="G97" s="80">
        <f>SUM(G96)</f>
        <v>2.7020600000000001E-3</v>
      </c>
      <c r="H97" s="76" t="s">
        <v>12</v>
      </c>
    </row>
    <row r="98" spans="1:8" x14ac:dyDescent="0.2">
      <c r="A98" s="20"/>
      <c r="B98" s="20"/>
      <c r="C98" s="24"/>
      <c r="D98" s="20"/>
      <c r="E98" s="20"/>
      <c r="F98" s="25"/>
      <c r="G98" s="25"/>
      <c r="H98" s="19" t="s">
        <v>12</v>
      </c>
    </row>
    <row r="99" spans="1:8" ht="14.1" customHeight="1" x14ac:dyDescent="0.2">
      <c r="A99" s="20"/>
      <c r="B99" s="20"/>
      <c r="C99" s="21" t="s">
        <v>113</v>
      </c>
      <c r="D99" s="20"/>
      <c r="E99" s="20"/>
      <c r="F99" s="20"/>
      <c r="G99" s="20"/>
      <c r="H99" s="19" t="s">
        <v>12</v>
      </c>
    </row>
    <row r="100" spans="1:8" ht="14.1" customHeight="1" x14ac:dyDescent="0.2">
      <c r="A100" s="20"/>
      <c r="B100" s="20"/>
      <c r="C100" s="21" t="s">
        <v>114</v>
      </c>
      <c r="D100" s="20"/>
      <c r="E100" s="20"/>
      <c r="F100" s="20"/>
      <c r="G100" s="20"/>
      <c r="H100" s="19" t="s">
        <v>12</v>
      </c>
    </row>
    <row r="101" spans="1:8" ht="14.1" customHeight="1" x14ac:dyDescent="0.2">
      <c r="A101" s="20"/>
      <c r="B101" s="20"/>
      <c r="C101" s="21" t="s">
        <v>11</v>
      </c>
      <c r="D101" s="20"/>
      <c r="E101" s="20" t="s">
        <v>12</v>
      </c>
      <c r="F101" s="22" t="s">
        <v>13</v>
      </c>
      <c r="G101" s="23">
        <v>0</v>
      </c>
      <c r="H101" s="19" t="s">
        <v>12</v>
      </c>
    </row>
    <row r="102" spans="1:8" ht="14.1" customHeight="1" x14ac:dyDescent="0.2">
      <c r="A102" s="20"/>
      <c r="B102" s="20"/>
      <c r="C102" s="24"/>
      <c r="D102" s="20"/>
      <c r="E102" s="20"/>
      <c r="F102" s="25"/>
      <c r="G102" s="25"/>
      <c r="H102" s="19" t="s">
        <v>12</v>
      </c>
    </row>
    <row r="103" spans="1:8" ht="24" customHeight="1" x14ac:dyDescent="0.2">
      <c r="A103" s="20"/>
      <c r="B103" s="20"/>
      <c r="C103" s="21" t="s">
        <v>115</v>
      </c>
      <c r="D103" s="20"/>
      <c r="E103" s="20"/>
      <c r="F103" s="25"/>
      <c r="G103" s="25"/>
      <c r="H103" s="19" t="s">
        <v>12</v>
      </c>
    </row>
    <row r="104" spans="1:8" ht="14.1" customHeight="1" x14ac:dyDescent="0.2">
      <c r="A104" s="20"/>
      <c r="B104" s="20"/>
      <c r="C104" s="21" t="s">
        <v>11</v>
      </c>
      <c r="D104" s="20"/>
      <c r="E104" s="20" t="s">
        <v>12</v>
      </c>
      <c r="F104" s="22" t="s">
        <v>13</v>
      </c>
      <c r="G104" s="23">
        <v>0</v>
      </c>
      <c r="H104" s="19" t="s">
        <v>12</v>
      </c>
    </row>
    <row r="105" spans="1:8" ht="14.1" customHeight="1" x14ac:dyDescent="0.2">
      <c r="A105" s="20"/>
      <c r="B105" s="20"/>
      <c r="C105" s="24"/>
      <c r="D105" s="20"/>
      <c r="E105" s="20"/>
      <c r="F105" s="25"/>
      <c r="G105" s="25"/>
      <c r="H105" s="19" t="s">
        <v>12</v>
      </c>
    </row>
    <row r="106" spans="1:8" ht="18" customHeight="1" x14ac:dyDescent="0.2">
      <c r="A106" s="32"/>
      <c r="B106" s="28"/>
      <c r="C106" s="28" t="s">
        <v>116</v>
      </c>
      <c r="D106" s="28"/>
      <c r="E106" s="32"/>
      <c r="F106" s="30">
        <f>735.70293383-0.000288126001358032</f>
        <v>735.70264570399866</v>
      </c>
      <c r="G106" s="31">
        <v>1.5606139999999999E-2</v>
      </c>
      <c r="H106" s="19" t="s">
        <v>12</v>
      </c>
    </row>
    <row r="107" spans="1:8" ht="14.1" customHeight="1" x14ac:dyDescent="0.2">
      <c r="A107" s="24"/>
      <c r="B107" s="24"/>
      <c r="C107" s="21" t="s">
        <v>117</v>
      </c>
      <c r="D107" s="25"/>
      <c r="E107" s="25"/>
      <c r="F107" s="26">
        <f>47141.887904256-0.000288126001358032</f>
        <v>47141.88761613</v>
      </c>
      <c r="G107" s="33">
        <v>1.0000000200000001</v>
      </c>
      <c r="H107" s="19" t="s">
        <v>12</v>
      </c>
    </row>
    <row r="108" spans="1:8" ht="14.1" customHeight="1" x14ac:dyDescent="0.2">
      <c r="A108" s="34"/>
      <c r="B108" s="34"/>
      <c r="C108" s="34"/>
      <c r="D108" s="35"/>
      <c r="E108" s="35"/>
      <c r="F108" s="35"/>
      <c r="G108" s="35"/>
    </row>
    <row r="109" spans="1:8" x14ac:dyDescent="0.2">
      <c r="A109" s="36"/>
      <c r="B109" s="168" t="s">
        <v>597</v>
      </c>
      <c r="C109" s="168"/>
      <c r="D109" s="168"/>
      <c r="E109" s="168"/>
      <c r="F109" s="168"/>
      <c r="G109" s="168"/>
      <c r="H109" s="168"/>
    </row>
    <row r="110" spans="1:8" x14ac:dyDescent="0.2">
      <c r="A110" s="36"/>
      <c r="B110" s="168" t="s">
        <v>598</v>
      </c>
      <c r="C110" s="168"/>
      <c r="D110" s="168"/>
      <c r="E110" s="168"/>
      <c r="F110" s="168"/>
      <c r="G110" s="168"/>
      <c r="H110" s="168"/>
    </row>
    <row r="111" spans="1:8" x14ac:dyDescent="0.2">
      <c r="A111" s="36"/>
      <c r="B111" s="168" t="s">
        <v>599</v>
      </c>
      <c r="C111" s="168"/>
      <c r="D111" s="168"/>
      <c r="E111" s="168"/>
      <c r="F111" s="168"/>
      <c r="G111" s="168"/>
      <c r="H111" s="168"/>
    </row>
    <row r="112" spans="1:8" x14ac:dyDescent="0.2">
      <c r="A112" s="38"/>
      <c r="B112" s="38"/>
      <c r="C112" s="38"/>
      <c r="D112" s="39"/>
      <c r="E112" s="39"/>
      <c r="F112" s="39"/>
      <c r="G112" s="39"/>
    </row>
    <row r="113" spans="1:7" x14ac:dyDescent="0.2">
      <c r="A113" s="36"/>
      <c r="B113" s="169" t="s">
        <v>118</v>
      </c>
      <c r="C113" s="170"/>
      <c r="D113" s="171"/>
      <c r="E113" s="40"/>
      <c r="F113" s="41"/>
      <c r="G113" s="41"/>
    </row>
    <row r="114" spans="1:7" x14ac:dyDescent="0.2">
      <c r="A114" s="36"/>
      <c r="B114" s="172" t="s">
        <v>119</v>
      </c>
      <c r="C114" s="173"/>
      <c r="D114" s="18" t="s">
        <v>120</v>
      </c>
      <c r="E114" s="40"/>
      <c r="F114" s="41"/>
      <c r="G114" s="41"/>
    </row>
    <row r="115" spans="1:7" x14ac:dyDescent="0.2">
      <c r="A115" s="36"/>
      <c r="B115" s="172" t="s">
        <v>121</v>
      </c>
      <c r="C115" s="173"/>
      <c r="D115" s="18" t="s">
        <v>120</v>
      </c>
      <c r="E115" s="40"/>
      <c r="F115" s="41"/>
      <c r="G115" s="41"/>
    </row>
    <row r="116" spans="1:7" x14ac:dyDescent="0.2">
      <c r="A116" s="36"/>
      <c r="B116" s="172" t="s">
        <v>122</v>
      </c>
      <c r="C116" s="173"/>
      <c r="D116" s="42" t="s">
        <v>12</v>
      </c>
      <c r="E116" s="40"/>
      <c r="F116" s="41"/>
      <c r="G116" s="41"/>
    </row>
    <row r="117" spans="1:7" x14ac:dyDescent="0.2">
      <c r="A117" s="43"/>
      <c r="B117" s="44" t="s">
        <v>12</v>
      </c>
      <c r="C117" s="44" t="s">
        <v>600</v>
      </c>
      <c r="D117" s="44" t="s">
        <v>123</v>
      </c>
      <c r="E117" s="43"/>
      <c r="F117" s="43"/>
      <c r="G117" s="43"/>
    </row>
    <row r="118" spans="1:7" x14ac:dyDescent="0.2">
      <c r="A118" s="43"/>
      <c r="B118" s="45" t="s">
        <v>124</v>
      </c>
      <c r="C118" s="46">
        <v>45792</v>
      </c>
      <c r="D118" s="46">
        <v>45808</v>
      </c>
      <c r="E118" s="43"/>
      <c r="F118" s="43"/>
      <c r="G118" s="43"/>
    </row>
    <row r="119" spans="1:7" ht="17.100000000000001" customHeight="1" x14ac:dyDescent="0.2">
      <c r="A119" s="47"/>
      <c r="B119" s="28" t="s">
        <v>125</v>
      </c>
      <c r="C119" s="48">
        <v>43.515700000000002</v>
      </c>
      <c r="D119" s="48">
        <v>43.763199999999998</v>
      </c>
      <c r="E119" s="47"/>
      <c r="F119" s="49"/>
      <c r="G119" s="50"/>
    </row>
    <row r="120" spans="1:7" ht="17.100000000000001" customHeight="1" x14ac:dyDescent="0.2">
      <c r="A120" s="47"/>
      <c r="B120" s="28" t="s">
        <v>168</v>
      </c>
      <c r="C120" s="48">
        <v>21.769600000000001</v>
      </c>
      <c r="D120" s="48">
        <v>21.8934</v>
      </c>
      <c r="E120" s="47"/>
      <c r="F120" s="49"/>
      <c r="G120" s="50"/>
    </row>
    <row r="121" spans="1:7" ht="29.1" customHeight="1" x14ac:dyDescent="0.2">
      <c r="A121" s="47"/>
      <c r="B121" s="28" t="s">
        <v>730</v>
      </c>
      <c r="C121" s="48">
        <v>11.756</v>
      </c>
      <c r="D121" s="48">
        <v>11.755599999999999</v>
      </c>
      <c r="E121" s="47"/>
      <c r="F121" s="49"/>
      <c r="G121" s="50"/>
    </row>
    <row r="122" spans="1:7" ht="17.100000000000001" customHeight="1" x14ac:dyDescent="0.2">
      <c r="A122" s="47"/>
      <c r="B122" s="28" t="s">
        <v>126</v>
      </c>
      <c r="C122" s="48">
        <v>42.913899999999998</v>
      </c>
      <c r="D122" s="48">
        <v>43.1554</v>
      </c>
      <c r="E122" s="47"/>
      <c r="F122" s="49"/>
      <c r="G122" s="50"/>
    </row>
    <row r="123" spans="1:7" ht="17.100000000000001" customHeight="1" x14ac:dyDescent="0.2">
      <c r="A123" s="47"/>
      <c r="B123" s="28" t="s">
        <v>169</v>
      </c>
      <c r="C123" s="48">
        <v>21.6403</v>
      </c>
      <c r="D123" s="48">
        <v>21.762</v>
      </c>
      <c r="E123" s="47"/>
      <c r="F123" s="49"/>
      <c r="G123" s="50"/>
    </row>
    <row r="124" spans="1:7" ht="29.1" customHeight="1" x14ac:dyDescent="0.2">
      <c r="A124" s="47"/>
      <c r="B124" s="28" t="s">
        <v>732</v>
      </c>
      <c r="C124" s="48">
        <v>11.8043</v>
      </c>
      <c r="D124" s="48">
        <v>11.8025</v>
      </c>
      <c r="E124" s="47"/>
      <c r="F124" s="49"/>
      <c r="G124" s="50"/>
    </row>
    <row r="125" spans="1:7" ht="14.1" customHeight="1" x14ac:dyDescent="0.2">
      <c r="A125" s="47"/>
      <c r="B125" s="47"/>
      <c r="C125" s="47"/>
      <c r="D125" s="47"/>
      <c r="E125" s="47"/>
      <c r="F125" s="47"/>
      <c r="G125" s="47"/>
    </row>
    <row r="126" spans="1:7" ht="17.100000000000001" customHeight="1" x14ac:dyDescent="0.2">
      <c r="A126" s="47"/>
      <c r="B126" s="175" t="s">
        <v>601</v>
      </c>
      <c r="C126" s="176"/>
      <c r="D126" s="21" t="s">
        <v>12</v>
      </c>
      <c r="E126" s="47"/>
      <c r="F126" s="47"/>
      <c r="G126" s="47"/>
    </row>
    <row r="127" spans="1:7" ht="18" customHeight="1" x14ac:dyDescent="0.2">
      <c r="A127" s="47"/>
      <c r="B127" s="51" t="s">
        <v>124</v>
      </c>
      <c r="C127" s="52" t="s">
        <v>127</v>
      </c>
      <c r="D127" s="52" t="s">
        <v>128</v>
      </c>
      <c r="E127" s="47"/>
      <c r="F127" s="47"/>
      <c r="G127" s="47"/>
    </row>
    <row r="128" spans="1:7" ht="29.1" customHeight="1" x14ac:dyDescent="0.2">
      <c r="A128" s="47"/>
      <c r="B128" s="28" t="s">
        <v>730</v>
      </c>
      <c r="C128" s="53">
        <v>6.7000000000000004E-2</v>
      </c>
      <c r="D128" s="32" t="s">
        <v>129</v>
      </c>
      <c r="E128" s="47"/>
      <c r="F128" s="49"/>
      <c r="G128" s="50"/>
    </row>
    <row r="129" spans="1:18" ht="29.1" customHeight="1" x14ac:dyDescent="0.2">
      <c r="A129" s="47"/>
      <c r="B129" s="28" t="s">
        <v>732</v>
      </c>
      <c r="C129" s="53">
        <v>6.8000000000000005E-2</v>
      </c>
      <c r="D129" s="53">
        <v>6.8000000000000005E-2</v>
      </c>
      <c r="E129" s="47"/>
      <c r="F129" s="49"/>
      <c r="G129" s="50"/>
    </row>
    <row r="130" spans="1:18" x14ac:dyDescent="0.2">
      <c r="A130" s="47"/>
      <c r="B130" s="54"/>
      <c r="C130" s="54"/>
      <c r="D130" s="54"/>
      <c r="E130" s="47"/>
      <c r="F130" s="47"/>
      <c r="G130" s="47"/>
    </row>
    <row r="131" spans="1:18" s="57" customFormat="1" x14ac:dyDescent="0.2">
      <c r="A131" s="96"/>
      <c r="B131" s="172" t="s">
        <v>614</v>
      </c>
      <c r="C131" s="173"/>
      <c r="D131" s="18" t="s">
        <v>120</v>
      </c>
      <c r="E131" s="96"/>
      <c r="F131" s="37"/>
      <c r="G131" s="96"/>
      <c r="I131"/>
      <c r="J131"/>
      <c r="K131" s="56"/>
      <c r="L131" s="56"/>
      <c r="M131" s="56"/>
      <c r="N131" s="56"/>
      <c r="O131" s="58"/>
    </row>
    <row r="132" spans="1:18" x14ac:dyDescent="0.2">
      <c r="A132" s="43"/>
      <c r="B132" s="172" t="s">
        <v>615</v>
      </c>
      <c r="C132" s="173"/>
      <c r="D132" s="18" t="s">
        <v>120</v>
      </c>
      <c r="E132" s="55"/>
      <c r="F132" s="43"/>
      <c r="G132" s="43"/>
    </row>
    <row r="133" spans="1:18" x14ac:dyDescent="0.2">
      <c r="A133" s="43"/>
      <c r="B133" s="172" t="s">
        <v>616</v>
      </c>
      <c r="C133" s="173"/>
      <c r="D133" s="18" t="s">
        <v>120</v>
      </c>
      <c r="E133" s="55"/>
      <c r="F133" s="43"/>
      <c r="G133" s="43"/>
    </row>
    <row r="134" spans="1:18" x14ac:dyDescent="0.2">
      <c r="A134" s="43"/>
      <c r="B134" s="172" t="s">
        <v>617</v>
      </c>
      <c r="C134" s="173"/>
      <c r="D134" s="18" t="s">
        <v>120</v>
      </c>
      <c r="E134" s="55"/>
      <c r="F134" s="43"/>
      <c r="G134" s="43"/>
    </row>
    <row r="135" spans="1:18" x14ac:dyDescent="0.2">
      <c r="A135" s="54"/>
      <c r="B135" s="54"/>
      <c r="C135" s="54"/>
      <c r="D135" s="54"/>
      <c r="E135" s="54"/>
      <c r="F135" s="54"/>
      <c r="G135" s="54"/>
    </row>
    <row r="136" spans="1:18" s="57" customFormat="1" x14ac:dyDescent="0.2">
      <c r="B136" s="164" t="s">
        <v>603</v>
      </c>
      <c r="C136" s="165"/>
      <c r="D136" s="166"/>
      <c r="I136"/>
      <c r="J136" s="13"/>
      <c r="K136" s="56"/>
      <c r="L136" s="56"/>
      <c r="M136" s="56"/>
      <c r="N136" s="56"/>
      <c r="O136" s="58"/>
    </row>
    <row r="137" spans="1:18" s="57" customFormat="1" ht="25.5" x14ac:dyDescent="0.2">
      <c r="B137" s="167" t="s">
        <v>604</v>
      </c>
      <c r="C137" s="167"/>
      <c r="D137" s="59" t="s">
        <v>132</v>
      </c>
      <c r="I137"/>
      <c r="J137" s="13"/>
      <c r="K137" s="56"/>
      <c r="L137" s="56"/>
      <c r="M137" s="56"/>
      <c r="N137" s="56"/>
      <c r="O137" s="58"/>
    </row>
    <row r="138" spans="1:18" s="57" customFormat="1" x14ac:dyDescent="0.2">
      <c r="B138" s="160" t="s">
        <v>605</v>
      </c>
      <c r="C138" s="160"/>
      <c r="D138" s="60"/>
      <c r="I138"/>
      <c r="J138" s="13"/>
      <c r="K138" s="56"/>
      <c r="L138" s="56"/>
      <c r="M138" s="56"/>
      <c r="N138" s="56"/>
      <c r="O138" s="58"/>
    </row>
    <row r="139" spans="1:18" s="57" customFormat="1" x14ac:dyDescent="0.2">
      <c r="B139" s="160"/>
      <c r="C139" s="160"/>
      <c r="D139" s="61"/>
      <c r="I139"/>
      <c r="J139"/>
      <c r="K139" s="56"/>
      <c r="L139" s="56"/>
      <c r="M139" s="56"/>
      <c r="N139" s="56"/>
      <c r="O139" s="58"/>
    </row>
    <row r="140" spans="1:18" s="57" customFormat="1" x14ac:dyDescent="0.2">
      <c r="B140" s="160" t="s">
        <v>606</v>
      </c>
      <c r="C140" s="160"/>
      <c r="D140" s="62">
        <v>6.4798195503930627</v>
      </c>
      <c r="I140"/>
      <c r="J140"/>
      <c r="K140" s="56"/>
      <c r="L140" s="56"/>
      <c r="M140" s="56"/>
      <c r="N140" s="56"/>
      <c r="O140" s="58"/>
    </row>
    <row r="141" spans="1:18" s="57" customFormat="1" x14ac:dyDescent="0.2">
      <c r="B141" s="160"/>
      <c r="C141" s="160"/>
      <c r="D141" s="61"/>
      <c r="I141"/>
      <c r="J141" s="13"/>
      <c r="K141" s="56"/>
      <c r="L141" s="56"/>
      <c r="M141" s="56"/>
      <c r="N141" s="56"/>
      <c r="O141" s="58"/>
    </row>
    <row r="142" spans="1:18" s="57" customFormat="1" x14ac:dyDescent="0.2">
      <c r="B142" s="160" t="s">
        <v>607</v>
      </c>
      <c r="C142" s="160"/>
      <c r="D142" s="62">
        <v>3.3079041963415685</v>
      </c>
      <c r="I142"/>
      <c r="J142" s="13"/>
      <c r="K142" s="56"/>
      <c r="L142" s="56"/>
      <c r="M142" s="56"/>
      <c r="N142" s="56"/>
      <c r="O142" s="58"/>
    </row>
    <row r="143" spans="1:18" s="57" customFormat="1" x14ac:dyDescent="0.2">
      <c r="B143" s="160" t="s">
        <v>608</v>
      </c>
      <c r="C143" s="160"/>
      <c r="D143" s="62">
        <v>4.5505874445275234</v>
      </c>
      <c r="I143"/>
      <c r="J143" s="13"/>
      <c r="K143" s="56"/>
      <c r="L143" s="56"/>
      <c r="M143" s="56"/>
      <c r="N143" s="56"/>
      <c r="O143" s="58"/>
    </row>
    <row r="144" spans="1:18" s="57" customFormat="1" x14ac:dyDescent="0.2">
      <c r="B144" s="160"/>
      <c r="C144" s="160"/>
      <c r="D144" s="61"/>
      <c r="I144"/>
      <c r="J144" s="13"/>
      <c r="K144" s="56"/>
      <c r="L144" s="56"/>
      <c r="M144" s="56"/>
      <c r="N144" s="56"/>
      <c r="O144" s="58"/>
      <c r="R144"/>
    </row>
    <row r="145" spans="2:18" s="57" customFormat="1" x14ac:dyDescent="0.2">
      <c r="B145" s="160" t="s">
        <v>609</v>
      </c>
      <c r="C145" s="160"/>
      <c r="D145" s="64" t="s">
        <v>733</v>
      </c>
      <c r="I145"/>
      <c r="J145" s="13"/>
      <c r="K145" s="56"/>
      <c r="L145" s="56"/>
      <c r="M145" s="56"/>
      <c r="N145" s="56"/>
      <c r="O145" s="58"/>
    </row>
    <row r="146" spans="2:18" s="57" customFormat="1" x14ac:dyDescent="0.2">
      <c r="B146" s="161" t="s">
        <v>610</v>
      </c>
      <c r="C146" s="163"/>
      <c r="D146" s="162"/>
      <c r="I146"/>
      <c r="J146" s="13"/>
      <c r="K146" s="56"/>
      <c r="L146" s="56"/>
      <c r="M146" s="56"/>
      <c r="N146" s="56"/>
      <c r="O146" s="58"/>
      <c r="R146"/>
    </row>
    <row r="147" spans="2:18" x14ac:dyDescent="0.2">
      <c r="J147" s="13"/>
    </row>
    <row r="148" spans="2:18" x14ac:dyDescent="0.2">
      <c r="B148" s="66" t="s">
        <v>611</v>
      </c>
    </row>
    <row r="149" spans="2:18" ht="5.25" customHeight="1" x14ac:dyDescent="0.2"/>
    <row r="150" spans="2:18" ht="168" customHeight="1" x14ac:dyDescent="0.2"/>
    <row r="153" spans="2:18" x14ac:dyDescent="0.2">
      <c r="B153" s="67" t="s">
        <v>612</v>
      </c>
      <c r="C153" s="68"/>
      <c r="D153" s="67"/>
    </row>
    <row r="154" spans="2:18" x14ac:dyDescent="0.2">
      <c r="B154" s="67" t="s">
        <v>618</v>
      </c>
      <c r="D154" s="67"/>
    </row>
    <row r="156" spans="2:18" x14ac:dyDescent="0.2">
      <c r="J156" s="13"/>
    </row>
    <row r="157" spans="2:18" x14ac:dyDescent="0.2">
      <c r="J157" s="13"/>
    </row>
    <row r="158" spans="2:18" x14ac:dyDescent="0.2">
      <c r="J158" s="13"/>
    </row>
  </sheetData>
  <mergeCells count="26">
    <mergeCell ref="B131:C131"/>
    <mergeCell ref="B132:C132"/>
    <mergeCell ref="B133:C133"/>
    <mergeCell ref="B134:C134"/>
    <mergeCell ref="B126:C126"/>
    <mergeCell ref="B111:H111"/>
    <mergeCell ref="B113:D113"/>
    <mergeCell ref="B114:C114"/>
    <mergeCell ref="B115:C115"/>
    <mergeCell ref="B116:C116"/>
    <mergeCell ref="A1:H1"/>
    <mergeCell ref="A2:H2"/>
    <mergeCell ref="A3:H3"/>
    <mergeCell ref="B109:H109"/>
    <mergeCell ref="B110:H110"/>
    <mergeCell ref="B136:D136"/>
    <mergeCell ref="B137:C137"/>
    <mergeCell ref="B138:C138"/>
    <mergeCell ref="B139:C139"/>
    <mergeCell ref="B146:D146"/>
    <mergeCell ref="B141:C141"/>
    <mergeCell ref="B142:C142"/>
    <mergeCell ref="B143:C143"/>
    <mergeCell ref="B144:C144"/>
    <mergeCell ref="B145:C145"/>
    <mergeCell ref="B140:C140"/>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D3DB5-CBDB-4BA9-8FE7-E5566C770588}">
  <sheetPr>
    <outlinePr summaryBelow="0" summaryRight="0"/>
  </sheetPr>
  <dimension ref="A1:Q17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9" ht="15" x14ac:dyDescent="0.2">
      <c r="A1" s="174" t="s">
        <v>0</v>
      </c>
      <c r="B1" s="174"/>
      <c r="C1" s="174"/>
      <c r="D1" s="174"/>
      <c r="E1" s="174"/>
      <c r="F1" s="174"/>
      <c r="G1" s="174"/>
      <c r="H1" s="174"/>
      <c r="I1" s="15"/>
    </row>
    <row r="2" spans="1:9" ht="15" x14ac:dyDescent="0.2">
      <c r="A2" s="174" t="s">
        <v>170</v>
      </c>
      <c r="B2" s="174"/>
      <c r="C2" s="174"/>
      <c r="D2" s="174"/>
      <c r="E2" s="174"/>
      <c r="F2" s="174"/>
      <c r="G2" s="174"/>
      <c r="H2" s="174"/>
    </row>
    <row r="3" spans="1:9" ht="15" x14ac:dyDescent="0.2">
      <c r="A3" s="174" t="s">
        <v>581</v>
      </c>
      <c r="B3" s="174"/>
      <c r="C3" s="174"/>
      <c r="D3" s="174"/>
      <c r="E3" s="174"/>
      <c r="F3" s="174"/>
      <c r="G3" s="174"/>
      <c r="H3" s="174"/>
    </row>
    <row r="4" spans="1:9" s="13" customFormat="1" ht="30" x14ac:dyDescent="0.2">
      <c r="A4" s="14" t="s">
        <v>2</v>
      </c>
      <c r="B4" s="14" t="s">
        <v>3</v>
      </c>
      <c r="C4" s="14" t="s">
        <v>4</v>
      </c>
      <c r="D4" s="14" t="s">
        <v>5</v>
      </c>
      <c r="E4" s="14" t="s">
        <v>6</v>
      </c>
      <c r="F4" s="14" t="s">
        <v>7</v>
      </c>
      <c r="G4" s="14" t="s">
        <v>8</v>
      </c>
      <c r="H4" s="12" t="s">
        <v>582</v>
      </c>
    </row>
    <row r="5" spans="1:9" x14ac:dyDescent="0.2">
      <c r="A5" s="17"/>
      <c r="B5" s="17"/>
      <c r="C5" s="18" t="s">
        <v>9</v>
      </c>
      <c r="D5" s="17"/>
      <c r="E5" s="17"/>
      <c r="F5" s="17"/>
      <c r="G5" s="17"/>
      <c r="H5" s="19"/>
    </row>
    <row r="6" spans="1:9" ht="24" customHeight="1" x14ac:dyDescent="0.2">
      <c r="A6" s="20"/>
      <c r="B6" s="20"/>
      <c r="C6" s="21" t="s">
        <v>10</v>
      </c>
      <c r="D6" s="20"/>
      <c r="E6" s="20"/>
      <c r="F6" s="20"/>
      <c r="G6" s="20"/>
      <c r="H6" s="19" t="s">
        <v>12</v>
      </c>
    </row>
    <row r="7" spans="1:9" ht="14.1" customHeight="1" x14ac:dyDescent="0.2">
      <c r="A7" s="20"/>
      <c r="B7" s="20"/>
      <c r="C7" s="21" t="s">
        <v>11</v>
      </c>
      <c r="D7" s="20"/>
      <c r="E7" s="20" t="s">
        <v>12</v>
      </c>
      <c r="F7" s="22" t="s">
        <v>13</v>
      </c>
      <c r="G7" s="23">
        <v>0</v>
      </c>
      <c r="H7" s="19" t="s">
        <v>12</v>
      </c>
    </row>
    <row r="8" spans="1:9" ht="14.1" customHeight="1" x14ac:dyDescent="0.2">
      <c r="A8" s="20"/>
      <c r="B8" s="20"/>
      <c r="C8" s="24"/>
      <c r="D8" s="20"/>
      <c r="E8" s="20"/>
      <c r="F8" s="25"/>
      <c r="G8" s="25"/>
      <c r="H8" s="19" t="s">
        <v>12</v>
      </c>
    </row>
    <row r="9" spans="1:9" ht="14.1" customHeight="1" x14ac:dyDescent="0.2">
      <c r="A9" s="20"/>
      <c r="B9" s="20"/>
      <c r="C9" s="21" t="s">
        <v>14</v>
      </c>
      <c r="D9" s="20"/>
      <c r="E9" s="20"/>
      <c r="F9" s="20"/>
      <c r="G9" s="20"/>
      <c r="H9" s="19" t="s">
        <v>12</v>
      </c>
    </row>
    <row r="10" spans="1:9" ht="14.1" customHeight="1" x14ac:dyDescent="0.2">
      <c r="A10" s="20"/>
      <c r="B10" s="20"/>
      <c r="C10" s="21" t="s">
        <v>11</v>
      </c>
      <c r="D10" s="20"/>
      <c r="E10" s="20" t="s">
        <v>12</v>
      </c>
      <c r="F10" s="22" t="s">
        <v>13</v>
      </c>
      <c r="G10" s="23">
        <v>0</v>
      </c>
      <c r="H10" s="19" t="s">
        <v>12</v>
      </c>
    </row>
    <row r="11" spans="1:9" ht="14.1" customHeight="1" x14ac:dyDescent="0.2">
      <c r="A11" s="20"/>
      <c r="B11" s="20"/>
      <c r="C11" s="24"/>
      <c r="D11" s="20"/>
      <c r="E11" s="20"/>
      <c r="F11" s="25"/>
      <c r="G11" s="25"/>
      <c r="H11" s="19" t="s">
        <v>12</v>
      </c>
    </row>
    <row r="12" spans="1:9" ht="14.1" customHeight="1" x14ac:dyDescent="0.2">
      <c r="A12" s="20"/>
      <c r="B12" s="20"/>
      <c r="C12" s="21" t="s">
        <v>15</v>
      </c>
      <c r="D12" s="20"/>
      <c r="E12" s="20"/>
      <c r="F12" s="20"/>
      <c r="G12" s="20"/>
      <c r="H12" s="19" t="s">
        <v>12</v>
      </c>
    </row>
    <row r="13" spans="1:9" ht="14.1" customHeight="1" x14ac:dyDescent="0.2">
      <c r="A13" s="20"/>
      <c r="B13" s="20"/>
      <c r="C13" s="21" t="s">
        <v>11</v>
      </c>
      <c r="D13" s="20"/>
      <c r="E13" s="20" t="s">
        <v>12</v>
      </c>
      <c r="F13" s="22" t="s">
        <v>13</v>
      </c>
      <c r="G13" s="23">
        <v>0</v>
      </c>
      <c r="H13" s="19" t="s">
        <v>12</v>
      </c>
    </row>
    <row r="14" spans="1:9" ht="14.1" customHeight="1" x14ac:dyDescent="0.2">
      <c r="A14" s="20"/>
      <c r="B14" s="20"/>
      <c r="C14" s="24"/>
      <c r="D14" s="20"/>
      <c r="E14" s="20"/>
      <c r="F14" s="25"/>
      <c r="G14" s="25"/>
      <c r="H14" s="19" t="s">
        <v>12</v>
      </c>
    </row>
    <row r="15" spans="1:9" ht="14.1" customHeight="1" x14ac:dyDescent="0.2">
      <c r="A15" s="20"/>
      <c r="B15" s="20"/>
      <c r="C15" s="21" t="s">
        <v>16</v>
      </c>
      <c r="D15" s="20"/>
      <c r="E15" s="20"/>
      <c r="F15" s="20"/>
      <c r="G15" s="20"/>
      <c r="H15" s="19" t="s">
        <v>12</v>
      </c>
    </row>
    <row r="16" spans="1:9" ht="14.1" customHeight="1" x14ac:dyDescent="0.2">
      <c r="A16" s="20"/>
      <c r="B16" s="20"/>
      <c r="C16" s="21" t="s">
        <v>11</v>
      </c>
      <c r="D16" s="20"/>
      <c r="E16" s="20" t="s">
        <v>12</v>
      </c>
      <c r="F16" s="22" t="s">
        <v>13</v>
      </c>
      <c r="G16" s="23">
        <v>0</v>
      </c>
      <c r="H16" s="19" t="s">
        <v>12</v>
      </c>
    </row>
    <row r="17" spans="1:8" ht="14.1" customHeight="1" x14ac:dyDescent="0.2">
      <c r="A17" s="20"/>
      <c r="B17" s="20"/>
      <c r="C17" s="24"/>
      <c r="D17" s="20"/>
      <c r="E17" s="20"/>
      <c r="F17" s="25"/>
      <c r="G17" s="25"/>
      <c r="H17" s="19" t="s">
        <v>12</v>
      </c>
    </row>
    <row r="18" spans="1:8" ht="14.1" customHeight="1" x14ac:dyDescent="0.2">
      <c r="A18" s="20"/>
      <c r="B18" s="20"/>
      <c r="C18" s="21" t="s">
        <v>17</v>
      </c>
      <c r="D18" s="20"/>
      <c r="E18" s="20"/>
      <c r="F18" s="25"/>
      <c r="G18" s="25"/>
      <c r="H18" s="19" t="s">
        <v>12</v>
      </c>
    </row>
    <row r="19" spans="1:8" ht="14.1" customHeight="1" x14ac:dyDescent="0.2">
      <c r="A19" s="20"/>
      <c r="B19" s="20"/>
      <c r="C19" s="21" t="s">
        <v>11</v>
      </c>
      <c r="D19" s="20"/>
      <c r="E19" s="20" t="s">
        <v>12</v>
      </c>
      <c r="F19" s="22" t="s">
        <v>13</v>
      </c>
      <c r="G19" s="23">
        <v>0</v>
      </c>
      <c r="H19" s="19" t="s">
        <v>12</v>
      </c>
    </row>
    <row r="20" spans="1:8" ht="14.1" customHeight="1" x14ac:dyDescent="0.2">
      <c r="A20" s="20"/>
      <c r="B20" s="20"/>
      <c r="C20" s="24"/>
      <c r="D20" s="20"/>
      <c r="E20" s="20"/>
      <c r="F20" s="25"/>
      <c r="G20" s="25"/>
      <c r="H20" s="19" t="s">
        <v>12</v>
      </c>
    </row>
    <row r="21" spans="1:8" ht="14.1" customHeight="1" x14ac:dyDescent="0.2">
      <c r="A21" s="20"/>
      <c r="B21" s="20"/>
      <c r="C21" s="21" t="s">
        <v>18</v>
      </c>
      <c r="D21" s="20"/>
      <c r="E21" s="20"/>
      <c r="F21" s="25"/>
      <c r="G21" s="25"/>
      <c r="H21" s="19" t="s">
        <v>12</v>
      </c>
    </row>
    <row r="22" spans="1:8" ht="14.1" customHeight="1" x14ac:dyDescent="0.2">
      <c r="A22" s="20"/>
      <c r="B22" s="20"/>
      <c r="C22" s="21" t="s">
        <v>11</v>
      </c>
      <c r="D22" s="20"/>
      <c r="E22" s="20" t="s">
        <v>12</v>
      </c>
      <c r="F22" s="22" t="s">
        <v>13</v>
      </c>
      <c r="G22" s="23">
        <v>0</v>
      </c>
      <c r="H22" s="19" t="s">
        <v>12</v>
      </c>
    </row>
    <row r="23" spans="1:8" ht="14.1" customHeight="1" x14ac:dyDescent="0.2">
      <c r="A23" s="20"/>
      <c r="B23" s="20"/>
      <c r="C23" s="24"/>
      <c r="D23" s="20"/>
      <c r="E23" s="20"/>
      <c r="F23" s="25"/>
      <c r="G23" s="25"/>
      <c r="H23" s="19" t="s">
        <v>12</v>
      </c>
    </row>
    <row r="24" spans="1:8" ht="18" customHeight="1" x14ac:dyDescent="0.2">
      <c r="A24" s="20"/>
      <c r="B24" s="20"/>
      <c r="C24" s="21" t="s">
        <v>19</v>
      </c>
      <c r="D24" s="20"/>
      <c r="E24" s="20"/>
      <c r="F24" s="26">
        <v>0</v>
      </c>
      <c r="G24" s="23">
        <v>0</v>
      </c>
      <c r="H24" s="19" t="s">
        <v>12</v>
      </c>
    </row>
    <row r="25" spans="1:8" ht="14.1" customHeight="1" x14ac:dyDescent="0.2">
      <c r="A25" s="20"/>
      <c r="B25" s="20"/>
      <c r="C25" s="24"/>
      <c r="D25" s="20"/>
      <c r="E25" s="20"/>
      <c r="F25" s="25"/>
      <c r="G25" s="25"/>
      <c r="H25" s="19" t="s">
        <v>12</v>
      </c>
    </row>
    <row r="26" spans="1:8" ht="14.1" customHeight="1" x14ac:dyDescent="0.2">
      <c r="A26" s="20"/>
      <c r="B26" s="20"/>
      <c r="C26" s="21" t="s">
        <v>20</v>
      </c>
      <c r="D26" s="20"/>
      <c r="E26" s="20"/>
      <c r="F26" s="25"/>
      <c r="G26" s="25"/>
      <c r="H26" s="19" t="s">
        <v>12</v>
      </c>
    </row>
    <row r="27" spans="1:8" ht="24" customHeight="1" x14ac:dyDescent="0.2">
      <c r="A27" s="20"/>
      <c r="B27" s="20"/>
      <c r="C27" s="21" t="s">
        <v>10</v>
      </c>
      <c r="D27" s="20"/>
      <c r="E27" s="20"/>
      <c r="F27" s="25"/>
      <c r="G27" s="25"/>
      <c r="H27" s="19" t="s">
        <v>12</v>
      </c>
    </row>
    <row r="28" spans="1:8" ht="14.1" customHeight="1" x14ac:dyDescent="0.2">
      <c r="A28" s="20"/>
      <c r="B28" s="20"/>
      <c r="C28" s="21" t="s">
        <v>11</v>
      </c>
      <c r="D28" s="20"/>
      <c r="E28" s="20" t="s">
        <v>12</v>
      </c>
      <c r="F28" s="22" t="s">
        <v>13</v>
      </c>
      <c r="G28" s="23">
        <v>0</v>
      </c>
      <c r="H28" s="19" t="s">
        <v>12</v>
      </c>
    </row>
    <row r="29" spans="1:8" ht="14.1" customHeight="1" x14ac:dyDescent="0.2">
      <c r="A29" s="20"/>
      <c r="B29" s="20"/>
      <c r="C29" s="24"/>
      <c r="D29" s="20"/>
      <c r="E29" s="20"/>
      <c r="F29" s="25"/>
      <c r="G29" s="25"/>
      <c r="H29" s="19" t="s">
        <v>12</v>
      </c>
    </row>
    <row r="30" spans="1:8" ht="14.1" customHeight="1" x14ac:dyDescent="0.2">
      <c r="A30" s="20"/>
      <c r="B30" s="20"/>
      <c r="C30" s="21" t="s">
        <v>77</v>
      </c>
      <c r="D30" s="20"/>
      <c r="E30" s="20"/>
      <c r="F30" s="20"/>
      <c r="G30" s="20"/>
      <c r="H30" s="19" t="s">
        <v>12</v>
      </c>
    </row>
    <row r="31" spans="1:8" ht="14.1" customHeight="1" x14ac:dyDescent="0.2">
      <c r="A31" s="20"/>
      <c r="B31" s="20"/>
      <c r="C31" s="21" t="s">
        <v>11</v>
      </c>
      <c r="D31" s="20"/>
      <c r="E31" s="20" t="s">
        <v>12</v>
      </c>
      <c r="F31" s="22" t="s">
        <v>13</v>
      </c>
      <c r="G31" s="23">
        <v>0</v>
      </c>
      <c r="H31" s="19" t="s">
        <v>12</v>
      </c>
    </row>
    <row r="32" spans="1:8" ht="14.1" customHeight="1" x14ac:dyDescent="0.2">
      <c r="A32" s="20"/>
      <c r="B32" s="20"/>
      <c r="C32" s="24"/>
      <c r="D32" s="20"/>
      <c r="E32" s="20"/>
      <c r="F32" s="25"/>
      <c r="G32" s="25"/>
      <c r="H32" s="19" t="s">
        <v>12</v>
      </c>
    </row>
    <row r="33" spans="1:8" ht="14.1" customHeight="1" x14ac:dyDescent="0.2">
      <c r="A33" s="20"/>
      <c r="B33" s="20"/>
      <c r="C33" s="21" t="s">
        <v>78</v>
      </c>
      <c r="D33" s="20"/>
      <c r="E33" s="20"/>
      <c r="F33" s="20"/>
      <c r="G33" s="20"/>
      <c r="H33" s="19" t="s">
        <v>12</v>
      </c>
    </row>
    <row r="34" spans="1:8" ht="29.1" customHeight="1" x14ac:dyDescent="0.2">
      <c r="A34" s="27">
        <v>1</v>
      </c>
      <c r="B34" s="28" t="s">
        <v>171</v>
      </c>
      <c r="C34" s="28" t="s">
        <v>172</v>
      </c>
      <c r="D34" s="28" t="s">
        <v>81</v>
      </c>
      <c r="E34" s="29">
        <v>4000000</v>
      </c>
      <c r="F34" s="30">
        <v>4064.424</v>
      </c>
      <c r="G34" s="31">
        <v>2.99812E-2</v>
      </c>
      <c r="H34" s="19">
        <v>5.9047000000000001</v>
      </c>
    </row>
    <row r="35" spans="1:8" ht="14.1" customHeight="1" x14ac:dyDescent="0.2">
      <c r="A35" s="20"/>
      <c r="B35" s="20"/>
      <c r="C35" s="21" t="s">
        <v>11</v>
      </c>
      <c r="D35" s="20"/>
      <c r="E35" s="20" t="s">
        <v>12</v>
      </c>
      <c r="F35" s="26">
        <v>4064.424</v>
      </c>
      <c r="G35" s="23">
        <v>2.99812E-2</v>
      </c>
      <c r="H35" s="19" t="s">
        <v>12</v>
      </c>
    </row>
    <row r="36" spans="1:8" ht="14.1" customHeight="1" x14ac:dyDescent="0.2">
      <c r="A36" s="20"/>
      <c r="B36" s="20"/>
      <c r="C36" s="24"/>
      <c r="D36" s="20"/>
      <c r="E36" s="20"/>
      <c r="F36" s="25"/>
      <c r="G36" s="25"/>
      <c r="H36" s="19" t="s">
        <v>12</v>
      </c>
    </row>
    <row r="37" spans="1:8" ht="14.1" customHeight="1" x14ac:dyDescent="0.2">
      <c r="A37" s="20"/>
      <c r="B37" s="20"/>
      <c r="C37" s="21" t="s">
        <v>100</v>
      </c>
      <c r="D37" s="20"/>
      <c r="E37" s="20"/>
      <c r="F37" s="25"/>
      <c r="G37" s="25"/>
      <c r="H37" s="19" t="s">
        <v>12</v>
      </c>
    </row>
    <row r="38" spans="1:8" ht="14.1" customHeight="1" x14ac:dyDescent="0.2">
      <c r="A38" s="20"/>
      <c r="B38" s="20"/>
      <c r="C38" s="21" t="s">
        <v>11</v>
      </c>
      <c r="D38" s="20"/>
      <c r="E38" s="20" t="s">
        <v>12</v>
      </c>
      <c r="F38" s="22" t="s">
        <v>13</v>
      </c>
      <c r="G38" s="23">
        <v>0</v>
      </c>
      <c r="H38" s="19" t="s">
        <v>12</v>
      </c>
    </row>
    <row r="39" spans="1:8" ht="14.1" customHeight="1" x14ac:dyDescent="0.2">
      <c r="A39" s="20"/>
      <c r="B39" s="20"/>
      <c r="C39" s="24"/>
      <c r="D39" s="20"/>
      <c r="E39" s="20"/>
      <c r="F39" s="25"/>
      <c r="G39" s="25"/>
      <c r="H39" s="19" t="s">
        <v>12</v>
      </c>
    </row>
    <row r="40" spans="1:8" ht="14.1" customHeight="1" x14ac:dyDescent="0.2">
      <c r="A40" s="20"/>
      <c r="B40" s="20"/>
      <c r="C40" s="21" t="s">
        <v>101</v>
      </c>
      <c r="D40" s="20"/>
      <c r="E40" s="20"/>
      <c r="F40" s="26">
        <v>4064.424</v>
      </c>
      <c r="G40" s="23">
        <v>2.99812E-2</v>
      </c>
      <c r="H40" s="19" t="s">
        <v>12</v>
      </c>
    </row>
    <row r="41" spans="1:8" ht="14.1" customHeight="1" x14ac:dyDescent="0.2">
      <c r="A41" s="20"/>
      <c r="B41" s="20"/>
      <c r="C41" s="24"/>
      <c r="D41" s="20"/>
      <c r="E41" s="20"/>
      <c r="F41" s="25"/>
      <c r="G41" s="25"/>
      <c r="H41" s="19" t="s">
        <v>12</v>
      </c>
    </row>
    <row r="42" spans="1:8" ht="14.1" customHeight="1" x14ac:dyDescent="0.2">
      <c r="A42" s="20"/>
      <c r="B42" s="20"/>
      <c r="C42" s="21" t="s">
        <v>102</v>
      </c>
      <c r="D42" s="20"/>
      <c r="E42" s="20"/>
      <c r="F42" s="25"/>
      <c r="G42" s="25"/>
      <c r="H42" s="19" t="s">
        <v>12</v>
      </c>
    </row>
    <row r="43" spans="1:8" ht="14.1" customHeight="1" x14ac:dyDescent="0.2">
      <c r="A43" s="20"/>
      <c r="B43" s="20"/>
      <c r="C43" s="21" t="s">
        <v>103</v>
      </c>
      <c r="D43" s="20"/>
      <c r="E43" s="20"/>
      <c r="F43" s="25"/>
      <c r="G43" s="25"/>
      <c r="H43" s="19" t="s">
        <v>12</v>
      </c>
    </row>
    <row r="44" spans="1:8" ht="29.1" customHeight="1" x14ac:dyDescent="0.2">
      <c r="A44" s="27">
        <v>1</v>
      </c>
      <c r="B44" s="28" t="s">
        <v>166</v>
      </c>
      <c r="C44" s="28" t="s">
        <v>167</v>
      </c>
      <c r="D44" s="28" t="s">
        <v>161</v>
      </c>
      <c r="E44" s="29">
        <v>1700</v>
      </c>
      <c r="F44" s="30">
        <v>8088.1580000000004</v>
      </c>
      <c r="G44" s="31">
        <v>5.9662260000000002E-2</v>
      </c>
      <c r="H44" s="19">
        <v>6.3650000000000002</v>
      </c>
    </row>
    <row r="45" spans="1:8" ht="17.100000000000001" customHeight="1" x14ac:dyDescent="0.2">
      <c r="A45" s="27">
        <v>2</v>
      </c>
      <c r="B45" s="28" t="s">
        <v>173</v>
      </c>
      <c r="C45" s="28" t="s">
        <v>174</v>
      </c>
      <c r="D45" s="28" t="s">
        <v>161</v>
      </c>
      <c r="E45" s="29">
        <v>1500</v>
      </c>
      <c r="F45" s="30">
        <v>7137.0825000000004</v>
      </c>
      <c r="G45" s="31">
        <v>5.2646650000000003E-2</v>
      </c>
      <c r="H45" s="19">
        <v>6.4</v>
      </c>
    </row>
    <row r="46" spans="1:8" ht="17.100000000000001" customHeight="1" x14ac:dyDescent="0.2">
      <c r="A46" s="27">
        <v>3</v>
      </c>
      <c r="B46" s="28" t="s">
        <v>175</v>
      </c>
      <c r="C46" s="28" t="s">
        <v>176</v>
      </c>
      <c r="D46" s="28" t="s">
        <v>161</v>
      </c>
      <c r="E46" s="29">
        <v>1500</v>
      </c>
      <c r="F46" s="30">
        <v>7128.3</v>
      </c>
      <c r="G46" s="31">
        <v>5.2581870000000003E-2</v>
      </c>
      <c r="H46" s="19">
        <v>6.43</v>
      </c>
    </row>
    <row r="47" spans="1:8" ht="17.100000000000001" customHeight="1" x14ac:dyDescent="0.2">
      <c r="A47" s="27">
        <v>4</v>
      </c>
      <c r="B47" s="28" t="s">
        <v>177</v>
      </c>
      <c r="C47" s="28" t="s">
        <v>178</v>
      </c>
      <c r="D47" s="28" t="s">
        <v>161</v>
      </c>
      <c r="E47" s="29">
        <v>1000</v>
      </c>
      <c r="F47" s="30">
        <v>4767.26</v>
      </c>
      <c r="G47" s="31">
        <v>3.5165670000000003E-2</v>
      </c>
      <c r="H47" s="19">
        <v>6.41</v>
      </c>
    </row>
    <row r="48" spans="1:8" ht="17.100000000000001" customHeight="1" x14ac:dyDescent="0.2">
      <c r="A48" s="27">
        <v>5</v>
      </c>
      <c r="B48" s="28" t="s">
        <v>179</v>
      </c>
      <c r="C48" s="28" t="s">
        <v>180</v>
      </c>
      <c r="D48" s="28" t="s">
        <v>161</v>
      </c>
      <c r="E48" s="29">
        <v>1000</v>
      </c>
      <c r="F48" s="30">
        <v>4758.0550000000003</v>
      </c>
      <c r="G48" s="31">
        <v>3.509777E-2</v>
      </c>
      <c r="H48" s="19">
        <v>6.4</v>
      </c>
    </row>
    <row r="49" spans="1:8" ht="17.100000000000001" customHeight="1" x14ac:dyDescent="0.2">
      <c r="A49" s="27">
        <v>6</v>
      </c>
      <c r="B49" s="28" t="s">
        <v>181</v>
      </c>
      <c r="C49" s="28" t="s">
        <v>182</v>
      </c>
      <c r="D49" s="28" t="s">
        <v>161</v>
      </c>
      <c r="E49" s="29">
        <v>1000</v>
      </c>
      <c r="F49" s="30">
        <v>4757.7150000000001</v>
      </c>
      <c r="G49" s="31">
        <v>3.5095260000000003E-2</v>
      </c>
      <c r="H49" s="19">
        <v>6.3875000000000002</v>
      </c>
    </row>
    <row r="50" spans="1:8" ht="29.1" customHeight="1" x14ac:dyDescent="0.2">
      <c r="A50" s="27">
        <v>7</v>
      </c>
      <c r="B50" s="28" t="s">
        <v>183</v>
      </c>
      <c r="C50" s="28" t="s">
        <v>184</v>
      </c>
      <c r="D50" s="28" t="s">
        <v>161</v>
      </c>
      <c r="E50" s="29">
        <v>900</v>
      </c>
      <c r="F50" s="30">
        <v>4275.4634999999998</v>
      </c>
      <c r="G50" s="31">
        <v>3.153794E-2</v>
      </c>
      <c r="H50" s="19">
        <v>6.4325999999999999</v>
      </c>
    </row>
    <row r="51" spans="1:8" ht="29.1" customHeight="1" x14ac:dyDescent="0.2">
      <c r="A51" s="27">
        <v>8</v>
      </c>
      <c r="B51" s="28" t="s">
        <v>185</v>
      </c>
      <c r="C51" s="28" t="s">
        <v>186</v>
      </c>
      <c r="D51" s="28" t="s">
        <v>161</v>
      </c>
      <c r="E51" s="29">
        <v>800</v>
      </c>
      <c r="F51" s="30">
        <v>3818.1480000000001</v>
      </c>
      <c r="G51" s="31">
        <v>2.816455E-2</v>
      </c>
      <c r="H51" s="19">
        <v>6.415</v>
      </c>
    </row>
    <row r="52" spans="1:8" ht="29.1" customHeight="1" x14ac:dyDescent="0.2">
      <c r="A52" s="27">
        <v>9</v>
      </c>
      <c r="B52" s="28" t="s">
        <v>187</v>
      </c>
      <c r="C52" s="28" t="s">
        <v>188</v>
      </c>
      <c r="D52" s="28" t="s">
        <v>161</v>
      </c>
      <c r="E52" s="29">
        <v>800</v>
      </c>
      <c r="F52" s="30">
        <v>3817.5360000000001</v>
      </c>
      <c r="G52" s="31">
        <v>2.8160040000000001E-2</v>
      </c>
      <c r="H52" s="19">
        <v>6.4375999999999998</v>
      </c>
    </row>
    <row r="53" spans="1:8" ht="17.100000000000001" customHeight="1" x14ac:dyDescent="0.2">
      <c r="A53" s="27">
        <v>10</v>
      </c>
      <c r="B53" s="28" t="s">
        <v>189</v>
      </c>
      <c r="C53" s="28" t="s">
        <v>190</v>
      </c>
      <c r="D53" s="28" t="s">
        <v>161</v>
      </c>
      <c r="E53" s="29">
        <v>600</v>
      </c>
      <c r="F53" s="30">
        <v>2951.8620000000001</v>
      </c>
      <c r="G53" s="31">
        <v>2.1774399999999999E-2</v>
      </c>
      <c r="H53" s="19">
        <v>6.4002999999999997</v>
      </c>
    </row>
    <row r="54" spans="1:8" ht="17.100000000000001" customHeight="1" x14ac:dyDescent="0.2">
      <c r="A54" s="27">
        <v>11</v>
      </c>
      <c r="B54" s="28" t="s">
        <v>191</v>
      </c>
      <c r="C54" s="28" t="s">
        <v>192</v>
      </c>
      <c r="D54" s="28" t="s">
        <v>161</v>
      </c>
      <c r="E54" s="29">
        <v>600</v>
      </c>
      <c r="F54" s="30">
        <v>2874.1410000000001</v>
      </c>
      <c r="G54" s="31">
        <v>2.1201089999999999E-2</v>
      </c>
      <c r="H54" s="19">
        <v>6.4450000000000003</v>
      </c>
    </row>
    <row r="55" spans="1:8" ht="17.100000000000001" customHeight="1" x14ac:dyDescent="0.2">
      <c r="A55" s="27">
        <v>12</v>
      </c>
      <c r="B55" s="28" t="s">
        <v>193</v>
      </c>
      <c r="C55" s="28" t="s">
        <v>194</v>
      </c>
      <c r="D55" s="28" t="s">
        <v>161</v>
      </c>
      <c r="E55" s="29">
        <v>500</v>
      </c>
      <c r="F55" s="30">
        <v>2432.7674999999999</v>
      </c>
      <c r="G55" s="31">
        <v>1.7945300000000001E-2</v>
      </c>
      <c r="H55" s="19">
        <v>6.77</v>
      </c>
    </row>
    <row r="56" spans="1:8" ht="17.100000000000001" customHeight="1" x14ac:dyDescent="0.2">
      <c r="A56" s="27">
        <v>13</v>
      </c>
      <c r="B56" s="28" t="s">
        <v>195</v>
      </c>
      <c r="C56" s="28" t="s">
        <v>196</v>
      </c>
      <c r="D56" s="28" t="s">
        <v>161</v>
      </c>
      <c r="E56" s="29">
        <v>500</v>
      </c>
      <c r="F56" s="30">
        <v>2415.6275000000001</v>
      </c>
      <c r="G56" s="31">
        <v>1.7818859999999999E-2</v>
      </c>
      <c r="H56" s="19">
        <v>6.8174999999999999</v>
      </c>
    </row>
    <row r="57" spans="1:8" ht="17.100000000000001" customHeight="1" x14ac:dyDescent="0.2">
      <c r="A57" s="27">
        <v>14</v>
      </c>
      <c r="B57" s="28" t="s">
        <v>197</v>
      </c>
      <c r="C57" s="28" t="s">
        <v>198</v>
      </c>
      <c r="D57" s="28" t="s">
        <v>161</v>
      </c>
      <c r="E57" s="29">
        <v>500</v>
      </c>
      <c r="F57" s="30">
        <v>2395.585</v>
      </c>
      <c r="G57" s="31">
        <v>1.7671019999999999E-2</v>
      </c>
      <c r="H57" s="19">
        <v>6.415</v>
      </c>
    </row>
    <row r="58" spans="1:8" ht="17.100000000000001" customHeight="1" x14ac:dyDescent="0.2">
      <c r="A58" s="27">
        <v>15</v>
      </c>
      <c r="B58" s="28" t="s">
        <v>199</v>
      </c>
      <c r="C58" s="28" t="s">
        <v>200</v>
      </c>
      <c r="D58" s="28" t="s">
        <v>161</v>
      </c>
      <c r="E58" s="29">
        <v>500</v>
      </c>
      <c r="F58" s="30">
        <v>2393.4425000000001</v>
      </c>
      <c r="G58" s="31">
        <v>1.7655219999999999E-2</v>
      </c>
      <c r="H58" s="19">
        <v>6.5</v>
      </c>
    </row>
    <row r="59" spans="1:8" ht="29.1" customHeight="1" x14ac:dyDescent="0.2">
      <c r="A59" s="27">
        <v>16</v>
      </c>
      <c r="B59" s="28" t="s">
        <v>201</v>
      </c>
      <c r="C59" s="28" t="s">
        <v>202</v>
      </c>
      <c r="D59" s="28" t="s">
        <v>161</v>
      </c>
      <c r="E59" s="29">
        <v>500</v>
      </c>
      <c r="F59" s="30">
        <v>2390.3525</v>
      </c>
      <c r="G59" s="31">
        <v>1.7632419999999999E-2</v>
      </c>
      <c r="H59" s="19">
        <v>6.415</v>
      </c>
    </row>
    <row r="60" spans="1:8" ht="17.100000000000001" customHeight="1" x14ac:dyDescent="0.2">
      <c r="A60" s="27">
        <v>17</v>
      </c>
      <c r="B60" s="28" t="s">
        <v>203</v>
      </c>
      <c r="C60" s="28" t="s">
        <v>204</v>
      </c>
      <c r="D60" s="28" t="s">
        <v>161</v>
      </c>
      <c r="E60" s="29">
        <v>500</v>
      </c>
      <c r="F60" s="30">
        <v>2390.3200000000002</v>
      </c>
      <c r="G60" s="31">
        <v>1.7632180000000001E-2</v>
      </c>
      <c r="H60" s="19">
        <v>6.3925000000000001</v>
      </c>
    </row>
    <row r="61" spans="1:8" ht="17.100000000000001" customHeight="1" x14ac:dyDescent="0.2">
      <c r="A61" s="27">
        <v>18</v>
      </c>
      <c r="B61" s="28" t="s">
        <v>205</v>
      </c>
      <c r="C61" s="28" t="s">
        <v>206</v>
      </c>
      <c r="D61" s="28" t="s">
        <v>161</v>
      </c>
      <c r="E61" s="29">
        <v>500</v>
      </c>
      <c r="F61" s="30">
        <v>2386.7224999999999</v>
      </c>
      <c r="G61" s="31">
        <v>1.760565E-2</v>
      </c>
      <c r="H61" s="19">
        <v>6.3925000000000001</v>
      </c>
    </row>
    <row r="62" spans="1:8" ht="17.100000000000001" customHeight="1" x14ac:dyDescent="0.2">
      <c r="A62" s="27">
        <v>19</v>
      </c>
      <c r="B62" s="28" t="s">
        <v>207</v>
      </c>
      <c r="C62" s="28" t="s">
        <v>208</v>
      </c>
      <c r="D62" s="28" t="s">
        <v>161</v>
      </c>
      <c r="E62" s="29">
        <v>500</v>
      </c>
      <c r="F62" s="30">
        <v>2385.69</v>
      </c>
      <c r="G62" s="31">
        <v>1.7598030000000001E-2</v>
      </c>
      <c r="H62" s="19">
        <v>6.5503</v>
      </c>
    </row>
    <row r="63" spans="1:8" ht="17.100000000000001" customHeight="1" x14ac:dyDescent="0.2">
      <c r="A63" s="27">
        <v>20</v>
      </c>
      <c r="B63" s="28" t="s">
        <v>209</v>
      </c>
      <c r="C63" s="28" t="s">
        <v>210</v>
      </c>
      <c r="D63" s="28" t="s">
        <v>161</v>
      </c>
      <c r="E63" s="29">
        <v>500</v>
      </c>
      <c r="F63" s="30">
        <v>2381.2375000000002</v>
      </c>
      <c r="G63" s="31">
        <v>1.7565190000000001E-2</v>
      </c>
      <c r="H63" s="19">
        <v>6.3875000000000002</v>
      </c>
    </row>
    <row r="64" spans="1:8" ht="17.100000000000001" customHeight="1" x14ac:dyDescent="0.2">
      <c r="A64" s="27">
        <v>21</v>
      </c>
      <c r="B64" s="28" t="s">
        <v>211</v>
      </c>
      <c r="C64" s="28" t="s">
        <v>212</v>
      </c>
      <c r="D64" s="28" t="s">
        <v>161</v>
      </c>
      <c r="E64" s="29">
        <v>500</v>
      </c>
      <c r="F64" s="30">
        <v>2381.0149999999999</v>
      </c>
      <c r="G64" s="31">
        <v>1.7563550000000001E-2</v>
      </c>
      <c r="H64" s="19">
        <v>6.4</v>
      </c>
    </row>
    <row r="65" spans="1:8" ht="17.100000000000001" customHeight="1" x14ac:dyDescent="0.2">
      <c r="A65" s="27">
        <v>22</v>
      </c>
      <c r="B65" s="28" t="s">
        <v>213</v>
      </c>
      <c r="C65" s="28" t="s">
        <v>214</v>
      </c>
      <c r="D65" s="28" t="s">
        <v>161</v>
      </c>
      <c r="E65" s="29">
        <v>500</v>
      </c>
      <c r="F65" s="30">
        <v>2351.9974999999999</v>
      </c>
      <c r="G65" s="31">
        <v>1.73495E-2</v>
      </c>
      <c r="H65" s="19">
        <v>6.5250000000000004</v>
      </c>
    </row>
    <row r="66" spans="1:8" ht="17.100000000000001" customHeight="1" x14ac:dyDescent="0.2">
      <c r="A66" s="27">
        <v>23</v>
      </c>
      <c r="B66" s="28" t="s">
        <v>164</v>
      </c>
      <c r="C66" s="28" t="s">
        <v>165</v>
      </c>
      <c r="D66" s="28" t="s">
        <v>161</v>
      </c>
      <c r="E66" s="29">
        <v>400</v>
      </c>
      <c r="F66" s="30">
        <v>1916.654</v>
      </c>
      <c r="G66" s="31">
        <v>1.413819E-2</v>
      </c>
      <c r="H66" s="19">
        <v>6.4</v>
      </c>
    </row>
    <row r="67" spans="1:8" ht="17.100000000000001" customHeight="1" x14ac:dyDescent="0.2">
      <c r="A67" s="27">
        <v>24</v>
      </c>
      <c r="B67" s="28" t="s">
        <v>215</v>
      </c>
      <c r="C67" s="28" t="s">
        <v>216</v>
      </c>
      <c r="D67" s="28" t="s">
        <v>161</v>
      </c>
      <c r="E67" s="29">
        <v>300</v>
      </c>
      <c r="F67" s="30">
        <v>1438.3425</v>
      </c>
      <c r="G67" s="31">
        <v>1.060993E-2</v>
      </c>
      <c r="H67" s="19">
        <v>6.63</v>
      </c>
    </row>
    <row r="68" spans="1:8" ht="17.100000000000001" customHeight="1" x14ac:dyDescent="0.2">
      <c r="A68" s="27">
        <v>25</v>
      </c>
      <c r="B68" s="28" t="s">
        <v>217</v>
      </c>
      <c r="C68" s="28" t="s">
        <v>218</v>
      </c>
      <c r="D68" s="28" t="s">
        <v>161</v>
      </c>
      <c r="E68" s="29">
        <v>300</v>
      </c>
      <c r="F68" s="30">
        <v>1432.626</v>
      </c>
      <c r="G68" s="31">
        <v>1.0567760000000001E-2</v>
      </c>
      <c r="H68" s="19">
        <v>6.4050000000000002</v>
      </c>
    </row>
    <row r="69" spans="1:8" ht="29.1" customHeight="1" x14ac:dyDescent="0.2">
      <c r="A69" s="27">
        <v>26</v>
      </c>
      <c r="B69" s="28" t="s">
        <v>219</v>
      </c>
      <c r="C69" s="28" t="s">
        <v>220</v>
      </c>
      <c r="D69" s="28" t="s">
        <v>161</v>
      </c>
      <c r="E69" s="29">
        <v>300</v>
      </c>
      <c r="F69" s="30">
        <v>1425.6420000000001</v>
      </c>
      <c r="G69" s="31">
        <v>1.051624E-2</v>
      </c>
      <c r="H69" s="19">
        <v>6.41</v>
      </c>
    </row>
    <row r="70" spans="1:8" ht="29.1" customHeight="1" x14ac:dyDescent="0.2">
      <c r="A70" s="27">
        <v>27</v>
      </c>
      <c r="B70" s="28" t="s">
        <v>221</v>
      </c>
      <c r="C70" s="28" t="s">
        <v>222</v>
      </c>
      <c r="D70" s="28" t="s">
        <v>161</v>
      </c>
      <c r="E70" s="29">
        <v>200</v>
      </c>
      <c r="F70" s="30">
        <v>957.77</v>
      </c>
      <c r="G70" s="31">
        <v>7.0649900000000002E-3</v>
      </c>
      <c r="H70" s="19">
        <v>6.4375999999999998</v>
      </c>
    </row>
    <row r="71" spans="1:8" ht="17.100000000000001" customHeight="1" x14ac:dyDescent="0.2">
      <c r="A71" s="27">
        <v>28</v>
      </c>
      <c r="B71" s="28" t="s">
        <v>159</v>
      </c>
      <c r="C71" s="28" t="s">
        <v>160</v>
      </c>
      <c r="D71" s="28" t="s">
        <v>161</v>
      </c>
      <c r="E71" s="29">
        <v>100</v>
      </c>
      <c r="F71" s="30">
        <v>475.214</v>
      </c>
      <c r="G71" s="31">
        <v>3.50541E-3</v>
      </c>
      <c r="H71" s="19">
        <v>6.41</v>
      </c>
    </row>
    <row r="72" spans="1:8" ht="14.1" customHeight="1" x14ac:dyDescent="0.2">
      <c r="A72" s="20"/>
      <c r="B72" s="20"/>
      <c r="C72" s="21" t="s">
        <v>11</v>
      </c>
      <c r="D72" s="20"/>
      <c r="E72" s="20" t="s">
        <v>12</v>
      </c>
      <c r="F72" s="26">
        <v>88324.726999999999</v>
      </c>
      <c r="G72" s="23">
        <v>0.65152694</v>
      </c>
      <c r="H72" s="19" t="s">
        <v>12</v>
      </c>
    </row>
    <row r="73" spans="1:8" ht="14.1" customHeight="1" x14ac:dyDescent="0.2">
      <c r="A73" s="20"/>
      <c r="B73" s="20"/>
      <c r="C73" s="24"/>
      <c r="D73" s="20"/>
      <c r="E73" s="20"/>
      <c r="F73" s="25"/>
      <c r="G73" s="25"/>
      <c r="H73" s="19" t="s">
        <v>12</v>
      </c>
    </row>
    <row r="74" spans="1:8" ht="14.1" customHeight="1" x14ac:dyDescent="0.2">
      <c r="A74" s="20"/>
      <c r="B74" s="20"/>
      <c r="C74" s="21" t="s">
        <v>104</v>
      </c>
      <c r="D74" s="20"/>
      <c r="E74" s="20"/>
      <c r="F74" s="25"/>
      <c r="G74" s="25"/>
      <c r="H74" s="19" t="s">
        <v>12</v>
      </c>
    </row>
    <row r="75" spans="1:8" ht="17.100000000000001" customHeight="1" x14ac:dyDescent="0.2">
      <c r="A75" s="27">
        <v>1</v>
      </c>
      <c r="B75" s="28" t="s">
        <v>223</v>
      </c>
      <c r="C75" s="28" t="s">
        <v>224</v>
      </c>
      <c r="D75" s="28" t="s">
        <v>161</v>
      </c>
      <c r="E75" s="29">
        <v>800</v>
      </c>
      <c r="F75" s="30">
        <v>3802.6039999999998</v>
      </c>
      <c r="G75" s="31">
        <v>2.8049890000000001E-2</v>
      </c>
      <c r="H75" s="19">
        <v>6.89</v>
      </c>
    </row>
    <row r="76" spans="1:8" ht="29.1" customHeight="1" x14ac:dyDescent="0.2">
      <c r="A76" s="27">
        <v>2</v>
      </c>
      <c r="B76" s="28" t="s">
        <v>225</v>
      </c>
      <c r="C76" s="28" t="s">
        <v>226</v>
      </c>
      <c r="D76" s="28" t="s">
        <v>161</v>
      </c>
      <c r="E76" s="29">
        <v>700</v>
      </c>
      <c r="F76" s="30">
        <v>3365.3305</v>
      </c>
      <c r="G76" s="31">
        <v>2.482434E-2</v>
      </c>
      <c r="H76" s="19">
        <v>7.16</v>
      </c>
    </row>
    <row r="77" spans="1:8" ht="29.1" customHeight="1" x14ac:dyDescent="0.2">
      <c r="A77" s="27">
        <v>3</v>
      </c>
      <c r="B77" s="28" t="s">
        <v>227</v>
      </c>
      <c r="C77" s="28" t="s">
        <v>228</v>
      </c>
      <c r="D77" s="28" t="s">
        <v>161</v>
      </c>
      <c r="E77" s="29">
        <v>700</v>
      </c>
      <c r="F77" s="30">
        <v>3269.2869999999998</v>
      </c>
      <c r="G77" s="31">
        <v>2.4115879999999999E-2</v>
      </c>
      <c r="H77" s="19">
        <v>7.1749999999999998</v>
      </c>
    </row>
    <row r="78" spans="1:8" ht="17.100000000000001" customHeight="1" x14ac:dyDescent="0.2">
      <c r="A78" s="27">
        <v>4</v>
      </c>
      <c r="B78" s="28" t="s">
        <v>229</v>
      </c>
      <c r="C78" s="28" t="s">
        <v>230</v>
      </c>
      <c r="D78" s="28" t="s">
        <v>161</v>
      </c>
      <c r="E78" s="29">
        <v>500</v>
      </c>
      <c r="F78" s="30">
        <v>2434.1075000000001</v>
      </c>
      <c r="G78" s="31">
        <v>1.7955180000000001E-2</v>
      </c>
      <c r="H78" s="19">
        <v>7.16</v>
      </c>
    </row>
    <row r="79" spans="1:8" ht="17.100000000000001" customHeight="1" x14ac:dyDescent="0.2">
      <c r="A79" s="27">
        <v>5</v>
      </c>
      <c r="B79" s="28" t="s">
        <v>231</v>
      </c>
      <c r="C79" s="28" t="s">
        <v>232</v>
      </c>
      <c r="D79" s="28" t="s">
        <v>161</v>
      </c>
      <c r="E79" s="29">
        <v>500</v>
      </c>
      <c r="F79" s="30">
        <v>2387.6550000000002</v>
      </c>
      <c r="G79" s="31">
        <v>1.7612530000000001E-2</v>
      </c>
      <c r="H79" s="19">
        <v>6.5549999999999997</v>
      </c>
    </row>
    <row r="80" spans="1:8" ht="29.1" customHeight="1" x14ac:dyDescent="0.2">
      <c r="A80" s="27">
        <v>6</v>
      </c>
      <c r="B80" s="28" t="s">
        <v>233</v>
      </c>
      <c r="C80" s="28" t="s">
        <v>234</v>
      </c>
      <c r="D80" s="28" t="s">
        <v>161</v>
      </c>
      <c r="E80" s="29">
        <v>500</v>
      </c>
      <c r="F80" s="30">
        <v>2372.0774999999999</v>
      </c>
      <c r="G80" s="31">
        <v>1.7497619999999998E-2</v>
      </c>
      <c r="H80" s="19">
        <v>7.3174999999999999</v>
      </c>
    </row>
    <row r="81" spans="1:8" ht="17.100000000000001" customHeight="1" x14ac:dyDescent="0.2">
      <c r="A81" s="27">
        <v>7</v>
      </c>
      <c r="B81" s="28" t="s">
        <v>235</v>
      </c>
      <c r="C81" s="28" t="s">
        <v>236</v>
      </c>
      <c r="D81" s="28" t="s">
        <v>161</v>
      </c>
      <c r="E81" s="29">
        <v>500</v>
      </c>
      <c r="F81" s="30">
        <v>2344.7424999999998</v>
      </c>
      <c r="G81" s="31">
        <v>1.7295979999999999E-2</v>
      </c>
      <c r="H81" s="19">
        <v>6.9450000000000003</v>
      </c>
    </row>
    <row r="82" spans="1:8" ht="29.1" customHeight="1" x14ac:dyDescent="0.2">
      <c r="A82" s="27">
        <v>8</v>
      </c>
      <c r="B82" s="28" t="s">
        <v>237</v>
      </c>
      <c r="C82" s="28" t="s">
        <v>238</v>
      </c>
      <c r="D82" s="28" t="s">
        <v>161</v>
      </c>
      <c r="E82" s="29">
        <v>500</v>
      </c>
      <c r="F82" s="30">
        <v>2337.3449999999998</v>
      </c>
      <c r="G82" s="31">
        <v>1.7241409999999999E-2</v>
      </c>
      <c r="H82" s="19">
        <v>7.1550000000000002</v>
      </c>
    </row>
    <row r="83" spans="1:8" ht="17.100000000000001" customHeight="1" x14ac:dyDescent="0.2">
      <c r="A83" s="27">
        <v>9</v>
      </c>
      <c r="B83" s="28" t="s">
        <v>239</v>
      </c>
      <c r="C83" s="28" t="s">
        <v>240</v>
      </c>
      <c r="D83" s="28" t="s">
        <v>161</v>
      </c>
      <c r="E83" s="29">
        <v>300</v>
      </c>
      <c r="F83" s="30">
        <v>1469.184</v>
      </c>
      <c r="G83" s="31">
        <v>1.083743E-2</v>
      </c>
      <c r="H83" s="19">
        <v>6.6</v>
      </c>
    </row>
    <row r="84" spans="1:8" ht="29.1" customHeight="1" x14ac:dyDescent="0.2">
      <c r="A84" s="27">
        <v>10</v>
      </c>
      <c r="B84" s="28" t="s">
        <v>241</v>
      </c>
      <c r="C84" s="28" t="s">
        <v>242</v>
      </c>
      <c r="D84" s="28" t="s">
        <v>161</v>
      </c>
      <c r="E84" s="29">
        <v>300</v>
      </c>
      <c r="F84" s="30">
        <v>1452.8235</v>
      </c>
      <c r="G84" s="31">
        <v>1.0716750000000001E-2</v>
      </c>
      <c r="H84" s="19">
        <v>7.14</v>
      </c>
    </row>
    <row r="85" spans="1:8" ht="29.1" customHeight="1" x14ac:dyDescent="0.2">
      <c r="A85" s="27">
        <v>11</v>
      </c>
      <c r="B85" s="28" t="s">
        <v>243</v>
      </c>
      <c r="C85" s="28" t="s">
        <v>244</v>
      </c>
      <c r="D85" s="28" t="s">
        <v>161</v>
      </c>
      <c r="E85" s="29">
        <v>300</v>
      </c>
      <c r="F85" s="30">
        <v>1428.4079999999999</v>
      </c>
      <c r="G85" s="31">
        <v>1.053664E-2</v>
      </c>
      <c r="H85" s="19">
        <v>7.3174999999999999</v>
      </c>
    </row>
    <row r="86" spans="1:8" ht="29.1" customHeight="1" x14ac:dyDescent="0.2">
      <c r="A86" s="27">
        <v>12</v>
      </c>
      <c r="B86" s="28" t="s">
        <v>245</v>
      </c>
      <c r="C86" s="28" t="s">
        <v>246</v>
      </c>
      <c r="D86" s="28" t="s">
        <v>161</v>
      </c>
      <c r="E86" s="29">
        <v>200</v>
      </c>
      <c r="F86" s="30">
        <v>981.17700000000002</v>
      </c>
      <c r="G86" s="31">
        <v>7.23765E-3</v>
      </c>
      <c r="H86" s="19">
        <v>7.0025000000000004</v>
      </c>
    </row>
    <row r="87" spans="1:8" ht="29.1" customHeight="1" x14ac:dyDescent="0.2">
      <c r="A87" s="27">
        <v>13</v>
      </c>
      <c r="B87" s="28" t="s">
        <v>247</v>
      </c>
      <c r="C87" s="28" t="s">
        <v>248</v>
      </c>
      <c r="D87" s="28" t="s">
        <v>161</v>
      </c>
      <c r="E87" s="29">
        <v>100</v>
      </c>
      <c r="F87" s="30">
        <v>467.38400000000001</v>
      </c>
      <c r="G87" s="31">
        <v>3.44766E-3</v>
      </c>
      <c r="H87" s="19">
        <v>7.1749999999999998</v>
      </c>
    </row>
    <row r="88" spans="1:8" ht="14.1" customHeight="1" x14ac:dyDescent="0.2">
      <c r="A88" s="20"/>
      <c r="B88" s="20"/>
      <c r="C88" s="21" t="s">
        <v>11</v>
      </c>
      <c r="D88" s="20"/>
      <c r="E88" s="20" t="s">
        <v>12</v>
      </c>
      <c r="F88" s="26">
        <v>28112.125499999998</v>
      </c>
      <c r="G88" s="23">
        <v>0.20736895999999999</v>
      </c>
      <c r="H88" s="19" t="s">
        <v>12</v>
      </c>
    </row>
    <row r="89" spans="1:8" ht="14.1" customHeight="1" x14ac:dyDescent="0.2">
      <c r="A89" s="20"/>
      <c r="B89" s="20"/>
      <c r="C89" s="24"/>
      <c r="D89" s="20"/>
      <c r="E89" s="20"/>
      <c r="F89" s="25"/>
      <c r="G89" s="25"/>
      <c r="H89" s="19" t="s">
        <v>12</v>
      </c>
    </row>
    <row r="90" spans="1:8" ht="14.1" customHeight="1" x14ac:dyDescent="0.2">
      <c r="A90" s="20"/>
      <c r="B90" s="20"/>
      <c r="C90" s="21" t="s">
        <v>105</v>
      </c>
      <c r="D90" s="20"/>
      <c r="E90" s="20"/>
      <c r="F90" s="25"/>
      <c r="G90" s="25"/>
      <c r="H90" s="19" t="s">
        <v>12</v>
      </c>
    </row>
    <row r="91" spans="1:8" ht="17.100000000000001" customHeight="1" x14ac:dyDescent="0.2">
      <c r="A91" s="27">
        <v>1</v>
      </c>
      <c r="B91" s="28" t="s">
        <v>249</v>
      </c>
      <c r="C91" s="28" t="s">
        <v>250</v>
      </c>
      <c r="D91" s="28" t="s">
        <v>81</v>
      </c>
      <c r="E91" s="29">
        <v>5000000</v>
      </c>
      <c r="F91" s="30">
        <v>4796.21</v>
      </c>
      <c r="G91" s="31">
        <v>3.5379220000000003E-2</v>
      </c>
      <c r="H91" s="19">
        <v>5.5989000000000004</v>
      </c>
    </row>
    <row r="92" spans="1:8" ht="17.100000000000001" customHeight="1" x14ac:dyDescent="0.2">
      <c r="A92" s="27">
        <v>2</v>
      </c>
      <c r="B92" s="28" t="s">
        <v>251</v>
      </c>
      <c r="C92" s="28" t="s">
        <v>252</v>
      </c>
      <c r="D92" s="28" t="s">
        <v>81</v>
      </c>
      <c r="E92" s="29">
        <v>2500000</v>
      </c>
      <c r="F92" s="30">
        <v>2402.67</v>
      </c>
      <c r="G92" s="31">
        <v>1.7723280000000001E-2</v>
      </c>
      <c r="H92" s="19">
        <v>5.6007999999999996</v>
      </c>
    </row>
    <row r="93" spans="1:8" ht="14.1" customHeight="1" x14ac:dyDescent="0.2">
      <c r="A93" s="20"/>
      <c r="B93" s="20"/>
      <c r="C93" s="21" t="s">
        <v>11</v>
      </c>
      <c r="D93" s="20"/>
      <c r="E93" s="20" t="s">
        <v>12</v>
      </c>
      <c r="F93" s="26">
        <v>7198.88</v>
      </c>
      <c r="G93" s="23">
        <v>5.3102499999999997E-2</v>
      </c>
      <c r="H93" s="19" t="s">
        <v>12</v>
      </c>
    </row>
    <row r="94" spans="1:8" ht="14.1" customHeight="1" x14ac:dyDescent="0.2">
      <c r="A94" s="20"/>
      <c r="B94" s="20"/>
      <c r="C94" s="24"/>
      <c r="D94" s="20"/>
      <c r="E94" s="20"/>
      <c r="F94" s="25"/>
      <c r="G94" s="25"/>
      <c r="H94" s="19" t="s">
        <v>12</v>
      </c>
    </row>
    <row r="95" spans="1:8" ht="14.1" customHeight="1" x14ac:dyDescent="0.2">
      <c r="A95" s="20"/>
      <c r="B95" s="20"/>
      <c r="C95" s="21" t="s">
        <v>106</v>
      </c>
      <c r="D95" s="20"/>
      <c r="E95" s="20"/>
      <c r="F95" s="25"/>
      <c r="G95" s="25"/>
      <c r="H95" s="19" t="s">
        <v>12</v>
      </c>
    </row>
    <row r="96" spans="1:8" ht="17.100000000000001" customHeight="1" x14ac:dyDescent="0.2">
      <c r="A96" s="27">
        <v>1</v>
      </c>
      <c r="B96" s="28"/>
      <c r="C96" s="28" t="s">
        <v>253</v>
      </c>
      <c r="D96" s="28"/>
      <c r="E96" s="32"/>
      <c r="F96" s="30">
        <v>4999.952773</v>
      </c>
      <c r="G96" s="31">
        <v>3.6882129999999999E-2</v>
      </c>
      <c r="H96" s="19">
        <v>5.85</v>
      </c>
    </row>
    <row r="97" spans="1:17" ht="17.100000000000001" customHeight="1" x14ac:dyDescent="0.2">
      <c r="A97" s="27">
        <v>2</v>
      </c>
      <c r="B97" s="28"/>
      <c r="C97" s="28" t="s">
        <v>107</v>
      </c>
      <c r="D97" s="28"/>
      <c r="E97" s="32"/>
      <c r="F97" s="30">
        <v>3586.1634280009998</v>
      </c>
      <c r="G97" s="31">
        <v>2.6453319999999999E-2</v>
      </c>
      <c r="H97" s="19">
        <v>5.76</v>
      </c>
    </row>
    <row r="98" spans="1:17" ht="14.1" customHeight="1" x14ac:dyDescent="0.2">
      <c r="A98" s="20"/>
      <c r="B98" s="20"/>
      <c r="C98" s="21" t="s">
        <v>11</v>
      </c>
      <c r="D98" s="20"/>
      <c r="E98" s="20" t="s">
        <v>12</v>
      </c>
      <c r="F98" s="26">
        <v>8586.1162010009994</v>
      </c>
      <c r="G98" s="23">
        <v>6.3335450000000001E-2</v>
      </c>
      <c r="H98" s="19" t="s">
        <v>12</v>
      </c>
    </row>
    <row r="99" spans="1:17" ht="14.1" customHeight="1" x14ac:dyDescent="0.2">
      <c r="A99" s="20"/>
      <c r="B99" s="20"/>
      <c r="C99" s="24"/>
      <c r="D99" s="20"/>
      <c r="E99" s="20"/>
      <c r="F99" s="25"/>
      <c r="G99" s="25"/>
      <c r="H99" s="19" t="s">
        <v>12</v>
      </c>
    </row>
    <row r="100" spans="1:17" ht="14.1" customHeight="1" x14ac:dyDescent="0.2">
      <c r="A100" s="20"/>
      <c r="B100" s="20"/>
      <c r="C100" s="21" t="s">
        <v>108</v>
      </c>
      <c r="D100" s="20"/>
      <c r="E100" s="20"/>
      <c r="F100" s="26">
        <v>132221.848701001</v>
      </c>
      <c r="G100" s="23">
        <v>0.97533384999999995</v>
      </c>
      <c r="H100" s="19" t="s">
        <v>12</v>
      </c>
    </row>
    <row r="101" spans="1:17" ht="14.1" customHeight="1" x14ac:dyDescent="0.2">
      <c r="A101" s="20"/>
      <c r="B101" s="20"/>
      <c r="C101" s="25"/>
      <c r="D101" s="20"/>
      <c r="E101" s="20"/>
      <c r="F101" s="20"/>
      <c r="G101" s="20"/>
      <c r="H101" s="19" t="s">
        <v>12</v>
      </c>
    </row>
    <row r="102" spans="1:17" ht="14.1" customHeight="1" x14ac:dyDescent="0.2">
      <c r="A102" s="20"/>
      <c r="B102" s="20"/>
      <c r="C102" s="21" t="s">
        <v>109</v>
      </c>
      <c r="D102" s="20"/>
      <c r="E102" s="20"/>
      <c r="F102" s="20"/>
      <c r="G102" s="20"/>
      <c r="H102" s="19" t="s">
        <v>12</v>
      </c>
    </row>
    <row r="103" spans="1:17" ht="14.1" customHeight="1" x14ac:dyDescent="0.2">
      <c r="A103" s="20"/>
      <c r="B103" s="20"/>
      <c r="C103" s="21" t="s">
        <v>110</v>
      </c>
      <c r="D103" s="20"/>
      <c r="E103" s="20"/>
      <c r="F103" s="20"/>
      <c r="G103" s="20"/>
      <c r="H103" s="19" t="s">
        <v>12</v>
      </c>
    </row>
    <row r="104" spans="1:17" ht="14.1" customHeight="1" x14ac:dyDescent="0.2">
      <c r="A104" s="20"/>
      <c r="B104" s="20"/>
      <c r="C104" s="21" t="s">
        <v>11</v>
      </c>
      <c r="D104" s="20"/>
      <c r="E104" s="20" t="s">
        <v>12</v>
      </c>
      <c r="F104" s="22" t="s">
        <v>13</v>
      </c>
      <c r="G104" s="23">
        <v>0</v>
      </c>
      <c r="H104" s="19" t="s">
        <v>12</v>
      </c>
    </row>
    <row r="105" spans="1:17" x14ac:dyDescent="0.2">
      <c r="A105" s="17"/>
      <c r="B105" s="17"/>
      <c r="C105" s="75"/>
      <c r="D105" s="17"/>
      <c r="E105" s="17"/>
      <c r="F105" s="42"/>
      <c r="G105" s="42"/>
      <c r="H105" s="76" t="s">
        <v>12</v>
      </c>
    </row>
    <row r="106" spans="1:17" ht="25.5" x14ac:dyDescent="0.2">
      <c r="A106" s="17"/>
      <c r="B106" s="17"/>
      <c r="C106" s="18" t="s">
        <v>596</v>
      </c>
      <c r="D106" s="17"/>
      <c r="E106" s="17"/>
      <c r="F106" s="42"/>
      <c r="G106" s="42"/>
      <c r="H106" s="72"/>
      <c r="K106" s="56"/>
      <c r="L106" s="56"/>
      <c r="M106" s="56"/>
      <c r="N106" s="56"/>
      <c r="O106" s="77"/>
      <c r="P106" s="77"/>
      <c r="Q106" s="77"/>
    </row>
    <row r="107" spans="1:17" ht="25.5" x14ac:dyDescent="0.2">
      <c r="A107" s="69">
        <v>1</v>
      </c>
      <c r="B107" s="70" t="s">
        <v>111</v>
      </c>
      <c r="C107" s="70" t="s">
        <v>112</v>
      </c>
      <c r="D107" s="70"/>
      <c r="E107" s="78">
        <v>1363.741</v>
      </c>
      <c r="F107" s="72">
        <v>152.61563071699999</v>
      </c>
      <c r="G107" s="73">
        <v>1.1257699999999999E-3</v>
      </c>
      <c r="H107" s="76"/>
    </row>
    <row r="108" spans="1:17" x14ac:dyDescent="0.2">
      <c r="A108" s="17"/>
      <c r="B108" s="17"/>
      <c r="C108" s="18" t="s">
        <v>11</v>
      </c>
      <c r="D108" s="17"/>
      <c r="E108" s="17" t="s">
        <v>12</v>
      </c>
      <c r="F108" s="79">
        <f>SUM(F107)</f>
        <v>152.61563071699999</v>
      </c>
      <c r="G108" s="80">
        <f>SUM(G107)</f>
        <v>1.1257699999999999E-3</v>
      </c>
      <c r="H108" s="76" t="s">
        <v>12</v>
      </c>
    </row>
    <row r="109" spans="1:17" x14ac:dyDescent="0.2">
      <c r="A109" s="20"/>
      <c r="B109" s="20"/>
      <c r="C109" s="24"/>
      <c r="D109" s="20"/>
      <c r="E109" s="20"/>
      <c r="F109" s="25"/>
      <c r="G109" s="25"/>
      <c r="H109" s="19" t="s">
        <v>12</v>
      </c>
    </row>
    <row r="110" spans="1:17" ht="14.1" customHeight="1" x14ac:dyDescent="0.2">
      <c r="A110" s="20"/>
      <c r="B110" s="20"/>
      <c r="C110" s="21" t="s">
        <v>113</v>
      </c>
      <c r="D110" s="20"/>
      <c r="E110" s="20"/>
      <c r="F110" s="20"/>
      <c r="G110" s="20"/>
      <c r="H110" s="19" t="s">
        <v>12</v>
      </c>
    </row>
    <row r="111" spans="1:17" ht="14.1" customHeight="1" x14ac:dyDescent="0.2">
      <c r="A111" s="20"/>
      <c r="B111" s="20"/>
      <c r="C111" s="21" t="s">
        <v>114</v>
      </c>
      <c r="D111" s="20"/>
      <c r="E111" s="20"/>
      <c r="F111" s="20"/>
      <c r="G111" s="20"/>
      <c r="H111" s="19" t="s">
        <v>12</v>
      </c>
    </row>
    <row r="112" spans="1:17" ht="14.1" customHeight="1" x14ac:dyDescent="0.2">
      <c r="A112" s="20"/>
      <c r="B112" s="20"/>
      <c r="C112" s="21" t="s">
        <v>11</v>
      </c>
      <c r="D112" s="20"/>
      <c r="E112" s="20" t="s">
        <v>12</v>
      </c>
      <c r="F112" s="22" t="s">
        <v>13</v>
      </c>
      <c r="G112" s="23">
        <v>0</v>
      </c>
      <c r="H112" s="19" t="s">
        <v>12</v>
      </c>
    </row>
    <row r="113" spans="1:8" ht="14.1" customHeight="1" x14ac:dyDescent="0.2">
      <c r="A113" s="20"/>
      <c r="B113" s="20"/>
      <c r="C113" s="24"/>
      <c r="D113" s="20"/>
      <c r="E113" s="20"/>
      <c r="F113" s="25"/>
      <c r="G113" s="25"/>
      <c r="H113" s="19" t="s">
        <v>12</v>
      </c>
    </row>
    <row r="114" spans="1:8" ht="24" customHeight="1" x14ac:dyDescent="0.2">
      <c r="A114" s="20"/>
      <c r="B114" s="20"/>
      <c r="C114" s="21" t="s">
        <v>115</v>
      </c>
      <c r="D114" s="20"/>
      <c r="E114" s="20"/>
      <c r="F114" s="25"/>
      <c r="G114" s="25"/>
      <c r="H114" s="19" t="s">
        <v>12</v>
      </c>
    </row>
    <row r="115" spans="1:8" ht="14.1" customHeight="1" x14ac:dyDescent="0.2">
      <c r="A115" s="20"/>
      <c r="B115" s="20"/>
      <c r="C115" s="21" t="s">
        <v>11</v>
      </c>
      <c r="D115" s="20"/>
      <c r="E115" s="20" t="s">
        <v>12</v>
      </c>
      <c r="F115" s="22" t="s">
        <v>13</v>
      </c>
      <c r="G115" s="23">
        <v>0</v>
      </c>
      <c r="H115" s="19" t="s">
        <v>12</v>
      </c>
    </row>
    <row r="116" spans="1:8" ht="14.1" customHeight="1" x14ac:dyDescent="0.2">
      <c r="A116" s="20"/>
      <c r="B116" s="28"/>
      <c r="C116" s="28"/>
      <c r="D116" s="21"/>
      <c r="E116" s="20"/>
      <c r="F116" s="28"/>
      <c r="G116" s="32"/>
      <c r="H116" s="19" t="s">
        <v>12</v>
      </c>
    </row>
    <row r="117" spans="1:8" ht="18" customHeight="1" x14ac:dyDescent="0.2">
      <c r="A117" s="32"/>
      <c r="B117" s="28"/>
      <c r="C117" s="28" t="s">
        <v>116</v>
      </c>
      <c r="D117" s="28"/>
      <c r="E117" s="32"/>
      <c r="F117" s="30">
        <f>-873.14704784-0.0000602379989624023</f>
        <v>-873.14710807799895</v>
      </c>
      <c r="G117" s="31">
        <v>-6.4407700000000002E-3</v>
      </c>
      <c r="H117" s="19" t="s">
        <v>12</v>
      </c>
    </row>
    <row r="118" spans="1:8" ht="14.1" customHeight="1" x14ac:dyDescent="0.2">
      <c r="A118" s="24"/>
      <c r="B118" s="24"/>
      <c r="C118" s="21" t="s">
        <v>117</v>
      </c>
      <c r="D118" s="25"/>
      <c r="E118" s="25"/>
      <c r="F118" s="26">
        <f>135565.741283878-0.0000602379989624023</f>
        <v>135565.74122363998</v>
      </c>
      <c r="G118" s="33">
        <v>1.0000000499999999</v>
      </c>
      <c r="H118" s="19" t="s">
        <v>12</v>
      </c>
    </row>
    <row r="119" spans="1:8" ht="14.1" customHeight="1" x14ac:dyDescent="0.2">
      <c r="A119" s="34"/>
      <c r="B119" s="34"/>
      <c r="C119" s="34"/>
      <c r="D119" s="35"/>
      <c r="E119" s="35"/>
      <c r="F119" s="35"/>
      <c r="G119" s="35"/>
    </row>
    <row r="120" spans="1:8" x14ac:dyDescent="0.2">
      <c r="A120" s="36"/>
      <c r="B120" s="168" t="s">
        <v>597</v>
      </c>
      <c r="C120" s="168"/>
      <c r="D120" s="168"/>
      <c r="E120" s="168"/>
      <c r="F120" s="168"/>
      <c r="G120" s="168"/>
      <c r="H120" s="168"/>
    </row>
    <row r="121" spans="1:8" x14ac:dyDescent="0.2">
      <c r="A121" s="36"/>
      <c r="B121" s="168" t="s">
        <v>598</v>
      </c>
      <c r="C121" s="168"/>
      <c r="D121" s="168"/>
      <c r="E121" s="168"/>
      <c r="F121" s="168"/>
      <c r="G121" s="168"/>
      <c r="H121" s="168"/>
    </row>
    <row r="122" spans="1:8" x14ac:dyDescent="0.2">
      <c r="A122" s="36"/>
      <c r="B122" s="168" t="s">
        <v>599</v>
      </c>
      <c r="C122" s="168"/>
      <c r="D122" s="168"/>
      <c r="E122" s="168"/>
      <c r="F122" s="168"/>
      <c r="G122" s="168"/>
      <c r="H122" s="168"/>
    </row>
    <row r="123" spans="1:8" x14ac:dyDescent="0.2">
      <c r="A123" s="158"/>
      <c r="B123" s="180" t="s">
        <v>619</v>
      </c>
      <c r="C123" s="181"/>
      <c r="D123" s="181"/>
      <c r="E123" s="181"/>
      <c r="F123" s="181"/>
      <c r="G123" s="181"/>
      <c r="H123" s="181"/>
    </row>
    <row r="124" spans="1:8" x14ac:dyDescent="0.2">
      <c r="A124" s="38"/>
      <c r="B124" s="38"/>
      <c r="C124" s="38"/>
      <c r="D124" s="39"/>
      <c r="E124" s="39"/>
      <c r="F124" s="39"/>
      <c r="G124" s="39"/>
    </row>
    <row r="125" spans="1:8" x14ac:dyDescent="0.2">
      <c r="A125" s="36"/>
      <c r="B125" s="169" t="s">
        <v>118</v>
      </c>
      <c r="C125" s="170"/>
      <c r="D125" s="171"/>
      <c r="E125" s="40"/>
      <c r="F125" s="41"/>
      <c r="G125" s="41"/>
    </row>
    <row r="126" spans="1:8" x14ac:dyDescent="0.2">
      <c r="A126" s="36"/>
      <c r="B126" s="172" t="s">
        <v>119</v>
      </c>
      <c r="C126" s="173"/>
      <c r="D126" s="18" t="s">
        <v>120</v>
      </c>
      <c r="E126" s="40"/>
      <c r="F126" s="41"/>
      <c r="G126" s="41"/>
    </row>
    <row r="127" spans="1:8" x14ac:dyDescent="0.2">
      <c r="A127" s="36"/>
      <c r="B127" s="172" t="s">
        <v>121</v>
      </c>
      <c r="C127" s="173"/>
      <c r="D127" s="18" t="s">
        <v>120</v>
      </c>
      <c r="E127" s="40"/>
      <c r="F127" s="41"/>
      <c r="G127" s="41"/>
    </row>
    <row r="128" spans="1:8" x14ac:dyDescent="0.2">
      <c r="A128" s="36"/>
      <c r="B128" s="172" t="s">
        <v>122</v>
      </c>
      <c r="C128" s="173"/>
      <c r="D128" s="42" t="s">
        <v>12</v>
      </c>
      <c r="E128" s="40"/>
      <c r="F128" s="41"/>
      <c r="G128" s="41"/>
    </row>
    <row r="129" spans="1:9" x14ac:dyDescent="0.2">
      <c r="A129" s="43"/>
      <c r="B129" s="44" t="s">
        <v>12</v>
      </c>
      <c r="C129" s="44" t="s">
        <v>600</v>
      </c>
      <c r="D129" s="44" t="s">
        <v>123</v>
      </c>
      <c r="E129" s="43"/>
      <c r="F129" s="43"/>
      <c r="G129" s="43"/>
    </row>
    <row r="130" spans="1:9" x14ac:dyDescent="0.2">
      <c r="A130" s="43"/>
      <c r="B130" s="45" t="s">
        <v>124</v>
      </c>
      <c r="C130" s="46">
        <v>45792</v>
      </c>
      <c r="D130" s="46">
        <v>45808</v>
      </c>
      <c r="E130" s="43"/>
      <c r="F130" s="43"/>
      <c r="G130" s="43"/>
    </row>
    <row r="131" spans="1:9" ht="17.100000000000001" customHeight="1" x14ac:dyDescent="0.2">
      <c r="A131" s="47"/>
      <c r="B131" s="28" t="s">
        <v>125</v>
      </c>
      <c r="C131" s="48">
        <v>14.974299999999999</v>
      </c>
      <c r="D131" s="48">
        <v>15.0341</v>
      </c>
      <c r="E131" s="47"/>
      <c r="F131" s="49"/>
      <c r="G131" s="50"/>
    </row>
    <row r="132" spans="1:9" ht="29.1" customHeight="1" x14ac:dyDescent="0.2">
      <c r="A132" s="47"/>
      <c r="B132" s="28" t="s">
        <v>730</v>
      </c>
      <c r="C132" s="48">
        <v>11.2935</v>
      </c>
      <c r="D132" s="48">
        <v>11.282400000000001</v>
      </c>
      <c r="E132" s="47"/>
      <c r="F132" s="49"/>
      <c r="G132" s="50"/>
    </row>
    <row r="133" spans="1:9" ht="29.1" customHeight="1" x14ac:dyDescent="0.2">
      <c r="A133" s="47"/>
      <c r="B133" s="28" t="s">
        <v>726</v>
      </c>
      <c r="C133" s="48">
        <v>12.808999999999999</v>
      </c>
      <c r="D133" s="48">
        <v>12.860099999999999</v>
      </c>
      <c r="E133" s="47"/>
      <c r="F133" s="49"/>
      <c r="G133" s="50"/>
    </row>
    <row r="134" spans="1:9" ht="17.100000000000001" customHeight="1" x14ac:dyDescent="0.2">
      <c r="A134" s="47"/>
      <c r="B134" s="28" t="s">
        <v>126</v>
      </c>
      <c r="C134" s="48">
        <v>14.876799999999999</v>
      </c>
      <c r="D134" s="48">
        <v>14.9354</v>
      </c>
      <c r="E134" s="47"/>
      <c r="F134" s="49"/>
      <c r="G134" s="50"/>
    </row>
    <row r="135" spans="1:9" ht="29.1" customHeight="1" x14ac:dyDescent="0.2">
      <c r="A135" s="47"/>
      <c r="B135" s="28" t="s">
        <v>732</v>
      </c>
      <c r="C135" s="48">
        <v>11.2675</v>
      </c>
      <c r="D135" s="48">
        <v>11.255699999999999</v>
      </c>
      <c r="E135" s="47"/>
      <c r="F135" s="49"/>
      <c r="G135" s="50"/>
    </row>
    <row r="136" spans="1:9" ht="29.1" customHeight="1" x14ac:dyDescent="0.2">
      <c r="A136" s="47"/>
      <c r="B136" s="28" t="s">
        <v>702</v>
      </c>
      <c r="C136" s="48">
        <v>12.723800000000001</v>
      </c>
      <c r="D136" s="48">
        <v>12.773899999999999</v>
      </c>
      <c r="E136" s="47"/>
      <c r="F136" s="49"/>
      <c r="G136" s="50"/>
    </row>
    <row r="137" spans="1:9" ht="14.1" customHeight="1" x14ac:dyDescent="0.2">
      <c r="A137" s="47"/>
      <c r="B137" s="47"/>
      <c r="C137" s="47"/>
      <c r="D137" s="47"/>
      <c r="E137" s="47"/>
      <c r="F137" s="47"/>
      <c r="G137" s="47"/>
    </row>
    <row r="138" spans="1:9" ht="17.100000000000001" customHeight="1" x14ac:dyDescent="0.2">
      <c r="A138" s="47"/>
      <c r="B138" s="175" t="s">
        <v>601</v>
      </c>
      <c r="C138" s="176"/>
      <c r="D138" s="21" t="s">
        <v>12</v>
      </c>
      <c r="E138" s="47"/>
      <c r="F138" s="47"/>
      <c r="G138" s="47"/>
    </row>
    <row r="139" spans="1:9" ht="18" customHeight="1" x14ac:dyDescent="0.2">
      <c r="A139" s="47"/>
      <c r="B139" s="51" t="s">
        <v>124</v>
      </c>
      <c r="C139" s="52" t="s">
        <v>127</v>
      </c>
      <c r="D139" s="52" t="s">
        <v>128</v>
      </c>
      <c r="E139" s="47"/>
      <c r="F139" s="47"/>
      <c r="G139" s="47"/>
    </row>
    <row r="140" spans="1:9" ht="29.1" customHeight="1" x14ac:dyDescent="0.2">
      <c r="A140" s="47"/>
      <c r="B140" s="28" t="s">
        <v>730</v>
      </c>
      <c r="C140" s="53">
        <v>5.6000000000000001E-2</v>
      </c>
      <c r="D140" s="32" t="s">
        <v>129</v>
      </c>
      <c r="E140" s="47"/>
      <c r="F140" s="49"/>
      <c r="G140" s="50"/>
    </row>
    <row r="141" spans="1:9" ht="29.1" customHeight="1" x14ac:dyDescent="0.2">
      <c r="A141" s="47"/>
      <c r="B141" s="28" t="s">
        <v>732</v>
      </c>
      <c r="C141" s="53">
        <v>5.6000000000000001E-2</v>
      </c>
      <c r="D141" s="32" t="s">
        <v>129</v>
      </c>
      <c r="E141" s="47"/>
      <c r="F141" s="49"/>
      <c r="G141" s="50"/>
    </row>
    <row r="142" spans="1:9" ht="14.1" customHeight="1" x14ac:dyDescent="0.2">
      <c r="A142" s="47"/>
      <c r="B142" s="81"/>
      <c r="C142" s="81"/>
      <c r="D142" s="82"/>
      <c r="E142" s="47"/>
      <c r="F142" s="49"/>
      <c r="G142" s="50"/>
    </row>
    <row r="143" spans="1:9" x14ac:dyDescent="0.2">
      <c r="A143" s="43"/>
      <c r="B143" s="172" t="s">
        <v>130</v>
      </c>
      <c r="C143" s="173"/>
      <c r="D143" s="18" t="s">
        <v>120</v>
      </c>
      <c r="E143" s="55"/>
      <c r="F143" s="43"/>
      <c r="G143" s="43"/>
      <c r="I143" s="116"/>
    </row>
    <row r="144" spans="1:9" x14ac:dyDescent="0.2">
      <c r="A144" s="43"/>
      <c r="B144" s="172" t="s">
        <v>131</v>
      </c>
      <c r="C144" s="173"/>
      <c r="D144" s="18" t="s">
        <v>120</v>
      </c>
      <c r="E144" s="55"/>
      <c r="F144" s="43"/>
      <c r="G144" s="43"/>
      <c r="I144" s="116"/>
    </row>
    <row r="145" spans="1:16" x14ac:dyDescent="0.2">
      <c r="A145" s="43"/>
      <c r="B145" s="172" t="s">
        <v>602</v>
      </c>
      <c r="C145" s="173"/>
      <c r="D145" s="18" t="s">
        <v>120</v>
      </c>
      <c r="E145" s="55"/>
      <c r="F145" s="43"/>
      <c r="G145" s="43"/>
      <c r="I145" s="116"/>
    </row>
    <row r="146" spans="1:16" x14ac:dyDescent="0.2">
      <c r="A146" s="54"/>
      <c r="B146" s="54"/>
      <c r="C146" s="54"/>
      <c r="D146" s="54"/>
      <c r="E146" s="54"/>
      <c r="F146" s="54"/>
      <c r="G146" s="54"/>
      <c r="I146" s="116"/>
    </row>
    <row r="147" spans="1:16" s="57" customFormat="1" x14ac:dyDescent="0.2">
      <c r="B147" s="164" t="s">
        <v>603</v>
      </c>
      <c r="C147" s="165"/>
      <c r="D147" s="166"/>
      <c r="I147" s="116"/>
      <c r="J147" s="56"/>
      <c r="K147" s="56"/>
      <c r="L147" s="56"/>
      <c r="M147" s="56"/>
      <c r="N147" s="58"/>
    </row>
    <row r="148" spans="1:16" s="57" customFormat="1" ht="25.5" x14ac:dyDescent="0.2">
      <c r="B148" s="178" t="s">
        <v>604</v>
      </c>
      <c r="C148" s="179"/>
      <c r="D148" s="59" t="s">
        <v>170</v>
      </c>
      <c r="I148" s="116"/>
      <c r="J148" s="56"/>
      <c r="K148" s="56"/>
      <c r="L148" s="56"/>
      <c r="M148" s="56"/>
      <c r="N148" s="58"/>
    </row>
    <row r="149" spans="1:16" s="57" customFormat="1" x14ac:dyDescent="0.2">
      <c r="B149" s="161" t="s">
        <v>605</v>
      </c>
      <c r="C149" s="162"/>
      <c r="D149" s="60"/>
      <c r="I149" s="116"/>
      <c r="J149" s="56"/>
      <c r="K149" s="56"/>
      <c r="L149" s="56"/>
      <c r="M149" s="56"/>
      <c r="N149" s="58"/>
    </row>
    <row r="150" spans="1:16" s="57" customFormat="1" x14ac:dyDescent="0.2">
      <c r="B150" s="161"/>
      <c r="C150" s="162"/>
      <c r="D150" s="61"/>
      <c r="I150" s="116"/>
      <c r="J150" s="56"/>
      <c r="K150" s="56"/>
      <c r="L150" s="56"/>
      <c r="M150" s="56"/>
      <c r="N150" s="58"/>
    </row>
    <row r="151" spans="1:16" s="57" customFormat="1" x14ac:dyDescent="0.2">
      <c r="B151" s="161" t="s">
        <v>606</v>
      </c>
      <c r="C151" s="177"/>
      <c r="D151" s="62">
        <v>6.4670997297116619</v>
      </c>
      <c r="I151" s="116"/>
      <c r="J151" s="56"/>
      <c r="K151" s="56"/>
      <c r="L151" s="56"/>
      <c r="M151" s="56"/>
      <c r="N151" s="58"/>
    </row>
    <row r="152" spans="1:16" s="57" customFormat="1" x14ac:dyDescent="0.2">
      <c r="B152" s="161"/>
      <c r="C152" s="162"/>
      <c r="D152" s="61"/>
      <c r="I152" s="116"/>
      <c r="J152" s="56"/>
      <c r="K152" s="56"/>
      <c r="L152" s="56"/>
      <c r="M152" s="56"/>
      <c r="N152" s="58"/>
    </row>
    <row r="153" spans="1:16" s="57" customFormat="1" x14ac:dyDescent="0.2">
      <c r="B153" s="161" t="s">
        <v>607</v>
      </c>
      <c r="C153" s="177"/>
      <c r="D153" s="62">
        <v>0.6870268401007279</v>
      </c>
      <c r="I153" s="116"/>
      <c r="J153" s="56"/>
      <c r="K153" s="56"/>
      <c r="L153" s="56"/>
      <c r="M153" s="56"/>
      <c r="N153" s="58"/>
    </row>
    <row r="154" spans="1:16" s="57" customFormat="1" x14ac:dyDescent="0.2">
      <c r="B154" s="161" t="s">
        <v>608</v>
      </c>
      <c r="C154" s="177"/>
      <c r="D154" s="62">
        <v>0.6870268401007279</v>
      </c>
      <c r="I154" s="116"/>
      <c r="J154" s="56"/>
      <c r="K154" s="56"/>
      <c r="L154" s="56"/>
      <c r="M154" s="56"/>
      <c r="N154" s="58"/>
    </row>
    <row r="155" spans="1:16" s="57" customFormat="1" x14ac:dyDescent="0.2">
      <c r="B155" s="161"/>
      <c r="C155" s="162"/>
      <c r="D155" s="61"/>
      <c r="I155" s="116"/>
      <c r="J155" s="56"/>
      <c r="K155" s="56"/>
      <c r="L155" s="56"/>
      <c r="M155" s="56"/>
      <c r="N155" s="58"/>
    </row>
    <row r="156" spans="1:16" s="57" customFormat="1" x14ac:dyDescent="0.2">
      <c r="B156" s="160" t="s">
        <v>609</v>
      </c>
      <c r="C156" s="160"/>
      <c r="D156" s="64" t="s">
        <v>733</v>
      </c>
      <c r="I156" s="116"/>
      <c r="J156" s="56"/>
      <c r="K156" s="56"/>
      <c r="L156" s="56"/>
      <c r="M156" s="56"/>
      <c r="N156" s="58"/>
    </row>
    <row r="157" spans="1:16" s="57" customFormat="1" x14ac:dyDescent="0.2">
      <c r="B157" s="161" t="s">
        <v>610</v>
      </c>
      <c r="C157" s="163"/>
      <c r="D157" s="162"/>
      <c r="I157" s="116"/>
      <c r="J157" s="56"/>
      <c r="K157" s="56"/>
      <c r="L157" s="56"/>
      <c r="M157" s="56"/>
      <c r="N157" s="58"/>
      <c r="O157"/>
      <c r="P157"/>
    </row>
    <row r="158" spans="1:16" x14ac:dyDescent="0.2">
      <c r="I158" s="116"/>
    </row>
    <row r="159" spans="1:16" x14ac:dyDescent="0.2">
      <c r="B159" s="66" t="s">
        <v>611</v>
      </c>
      <c r="I159" s="116"/>
    </row>
    <row r="160" spans="1:16" x14ac:dyDescent="0.2">
      <c r="I160" s="116"/>
    </row>
    <row r="161" spans="2:9" ht="153.75" customHeight="1" x14ac:dyDescent="0.2">
      <c r="I161" s="116"/>
    </row>
    <row r="162" spans="2:9" x14ac:dyDescent="0.2">
      <c r="I162" s="116"/>
    </row>
    <row r="163" spans="2:9" x14ac:dyDescent="0.2">
      <c r="I163" s="116"/>
    </row>
    <row r="164" spans="2:9" x14ac:dyDescent="0.2">
      <c r="B164" s="67" t="s">
        <v>612</v>
      </c>
      <c r="C164" s="68"/>
      <c r="D164" s="67"/>
      <c r="I164" s="116"/>
    </row>
    <row r="165" spans="2:9" x14ac:dyDescent="0.2">
      <c r="B165" s="67" t="s">
        <v>620</v>
      </c>
      <c r="C165" s="68"/>
      <c r="D165" s="67"/>
      <c r="I165" s="116"/>
    </row>
    <row r="166" spans="2:9" x14ac:dyDescent="0.2">
      <c r="D166" s="67"/>
      <c r="I166" s="116"/>
    </row>
    <row r="167" spans="2:9" ht="165" customHeight="1" x14ac:dyDescent="0.2">
      <c r="I167" s="116"/>
    </row>
    <row r="168" spans="2:9" x14ac:dyDescent="0.2">
      <c r="I168" s="116"/>
    </row>
    <row r="169" spans="2:9" x14ac:dyDescent="0.2">
      <c r="I169" s="116"/>
    </row>
    <row r="170" spans="2:9" x14ac:dyDescent="0.2">
      <c r="I170" s="116"/>
    </row>
    <row r="171" spans="2:9" x14ac:dyDescent="0.2">
      <c r="I171" s="116"/>
    </row>
  </sheetData>
  <mergeCells count="26">
    <mergeCell ref="A1:H1"/>
    <mergeCell ref="A2:H2"/>
    <mergeCell ref="A3:H3"/>
    <mergeCell ref="B138:C138"/>
    <mergeCell ref="B127:C127"/>
    <mergeCell ref="B128:C128"/>
    <mergeCell ref="B123:H123"/>
    <mergeCell ref="B147:D147"/>
    <mergeCell ref="B120:H120"/>
    <mergeCell ref="B121:H121"/>
    <mergeCell ref="B122:H122"/>
    <mergeCell ref="B125:D125"/>
    <mergeCell ref="B126:C126"/>
    <mergeCell ref="B143:C143"/>
    <mergeCell ref="B144:C144"/>
    <mergeCell ref="B145:C145"/>
    <mergeCell ref="B148:C148"/>
    <mergeCell ref="B149:C149"/>
    <mergeCell ref="B150:C150"/>
    <mergeCell ref="B151:C151"/>
    <mergeCell ref="B152:C152"/>
    <mergeCell ref="B153:C153"/>
    <mergeCell ref="B154:C154"/>
    <mergeCell ref="B155:C155"/>
    <mergeCell ref="B156:C156"/>
    <mergeCell ref="B157:D157"/>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1DB07-D955-47BC-BC21-8A285DAECB03}">
  <sheetPr>
    <outlinePr summaryBelow="0" summaryRight="0"/>
  </sheetPr>
  <dimension ref="A1:T18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9" ht="15" x14ac:dyDescent="0.2">
      <c r="A1" s="174" t="s">
        <v>0</v>
      </c>
      <c r="B1" s="174"/>
      <c r="C1" s="174"/>
      <c r="D1" s="174"/>
      <c r="E1" s="174"/>
      <c r="F1" s="174"/>
      <c r="G1" s="174"/>
      <c r="H1" s="174"/>
      <c r="I1" s="15"/>
    </row>
    <row r="2" spans="1:9" ht="15" x14ac:dyDescent="0.2">
      <c r="A2" s="174" t="s">
        <v>254</v>
      </c>
      <c r="B2" s="174"/>
      <c r="C2" s="174"/>
      <c r="D2" s="174"/>
      <c r="E2" s="174"/>
      <c r="F2" s="174"/>
      <c r="G2" s="174"/>
      <c r="H2" s="174"/>
    </row>
    <row r="3" spans="1:9" ht="15" x14ac:dyDescent="0.2">
      <c r="A3" s="174" t="s">
        <v>581</v>
      </c>
      <c r="B3" s="174"/>
      <c r="C3" s="174"/>
      <c r="D3" s="174"/>
      <c r="E3" s="174"/>
      <c r="F3" s="174"/>
      <c r="G3" s="174"/>
      <c r="H3" s="174"/>
    </row>
    <row r="4" spans="1:9" s="13" customFormat="1" ht="30" x14ac:dyDescent="0.2">
      <c r="A4" s="14" t="s">
        <v>2</v>
      </c>
      <c r="B4" s="14" t="s">
        <v>3</v>
      </c>
      <c r="C4" s="14" t="s">
        <v>4</v>
      </c>
      <c r="D4" s="14" t="s">
        <v>5</v>
      </c>
      <c r="E4" s="14" t="s">
        <v>6</v>
      </c>
      <c r="F4" s="14" t="s">
        <v>7</v>
      </c>
      <c r="G4" s="14" t="s">
        <v>8</v>
      </c>
      <c r="H4" s="12" t="s">
        <v>582</v>
      </c>
    </row>
    <row r="5" spans="1:9" x14ac:dyDescent="0.2">
      <c r="A5" s="17"/>
      <c r="B5" s="17"/>
      <c r="C5" s="18" t="s">
        <v>9</v>
      </c>
      <c r="D5" s="17"/>
      <c r="E5" s="17"/>
      <c r="F5" s="17"/>
      <c r="G5" s="17"/>
      <c r="H5" s="19" t="s">
        <v>12</v>
      </c>
    </row>
    <row r="6" spans="1:9" ht="25.5" x14ac:dyDescent="0.2">
      <c r="A6" s="20"/>
      <c r="B6" s="20"/>
      <c r="C6" s="21" t="s">
        <v>10</v>
      </c>
      <c r="D6" s="20"/>
      <c r="E6" s="20"/>
      <c r="F6" s="20"/>
      <c r="G6" s="20"/>
      <c r="H6" s="19" t="s">
        <v>12</v>
      </c>
    </row>
    <row r="7" spans="1:9" x14ac:dyDescent="0.2">
      <c r="A7" s="27">
        <v>1</v>
      </c>
      <c r="B7" s="70" t="s">
        <v>621</v>
      </c>
      <c r="C7" s="70" t="s">
        <v>622</v>
      </c>
      <c r="D7" s="70" t="s">
        <v>623</v>
      </c>
      <c r="E7" s="71">
        <v>8000</v>
      </c>
      <c r="F7" s="72">
        <v>0.01</v>
      </c>
      <c r="G7" s="113" t="s">
        <v>624</v>
      </c>
      <c r="H7" s="19" t="s">
        <v>12</v>
      </c>
      <c r="I7" s="116"/>
    </row>
    <row r="8" spans="1:9" x14ac:dyDescent="0.2">
      <c r="A8" s="20"/>
      <c r="B8" s="20"/>
      <c r="C8" s="21" t="s">
        <v>11</v>
      </c>
      <c r="D8" s="20"/>
      <c r="E8" s="20" t="s">
        <v>12</v>
      </c>
      <c r="F8" s="26">
        <f>SUM(F7)</f>
        <v>0.01</v>
      </c>
      <c r="G8" s="23">
        <v>0</v>
      </c>
      <c r="H8" s="19" t="s">
        <v>12</v>
      </c>
    </row>
    <row r="9" spans="1:9" x14ac:dyDescent="0.2">
      <c r="A9" s="20"/>
      <c r="B9" s="20"/>
      <c r="C9" s="24"/>
      <c r="D9" s="20"/>
      <c r="E9" s="20"/>
      <c r="F9" s="25"/>
      <c r="G9" s="25"/>
      <c r="H9" s="19" t="s">
        <v>12</v>
      </c>
    </row>
    <row r="10" spans="1:9" x14ac:dyDescent="0.2">
      <c r="A10" s="20"/>
      <c r="B10" s="20"/>
      <c r="C10" s="21" t="s">
        <v>14</v>
      </c>
      <c r="D10" s="20"/>
      <c r="E10" s="20"/>
      <c r="F10" s="20"/>
      <c r="G10" s="20"/>
      <c r="H10" s="19" t="s">
        <v>12</v>
      </c>
    </row>
    <row r="11" spans="1:9" x14ac:dyDescent="0.2">
      <c r="A11" s="20"/>
      <c r="B11" s="20"/>
      <c r="C11" s="21" t="s">
        <v>11</v>
      </c>
      <c r="D11" s="20"/>
      <c r="E11" s="20" t="s">
        <v>12</v>
      </c>
      <c r="F11" s="22" t="s">
        <v>13</v>
      </c>
      <c r="G11" s="23">
        <v>0</v>
      </c>
      <c r="H11" s="19" t="s">
        <v>12</v>
      </c>
    </row>
    <row r="12" spans="1:9" x14ac:dyDescent="0.2">
      <c r="A12" s="20"/>
      <c r="B12" s="20"/>
      <c r="C12" s="24"/>
      <c r="D12" s="20"/>
      <c r="E12" s="20"/>
      <c r="F12" s="25"/>
      <c r="G12" s="25"/>
      <c r="H12" s="19" t="s">
        <v>12</v>
      </c>
    </row>
    <row r="13" spans="1:9" x14ac:dyDescent="0.2">
      <c r="A13" s="20"/>
      <c r="B13" s="20"/>
      <c r="C13" s="21" t="s">
        <v>15</v>
      </c>
      <c r="D13" s="20"/>
      <c r="E13" s="20"/>
      <c r="F13" s="20"/>
      <c r="G13" s="20"/>
      <c r="H13" s="19" t="s">
        <v>12</v>
      </c>
    </row>
    <row r="14" spans="1:9" x14ac:dyDescent="0.2">
      <c r="A14" s="20"/>
      <c r="B14" s="20"/>
      <c r="C14" s="21" t="s">
        <v>11</v>
      </c>
      <c r="D14" s="20"/>
      <c r="E14" s="20" t="s">
        <v>12</v>
      </c>
      <c r="F14" s="22" t="s">
        <v>13</v>
      </c>
      <c r="G14" s="23">
        <v>0</v>
      </c>
      <c r="H14" s="19" t="s">
        <v>12</v>
      </c>
    </row>
    <row r="15" spans="1:9" x14ac:dyDescent="0.2">
      <c r="A15" s="20"/>
      <c r="B15" s="20"/>
      <c r="C15" s="24"/>
      <c r="D15" s="20"/>
      <c r="E15" s="20"/>
      <c r="F15" s="25"/>
      <c r="G15" s="25"/>
      <c r="H15" s="19" t="s">
        <v>12</v>
      </c>
    </row>
    <row r="16" spans="1:9" x14ac:dyDescent="0.2">
      <c r="A16" s="20"/>
      <c r="B16" s="20"/>
      <c r="C16" s="21" t="s">
        <v>16</v>
      </c>
      <c r="D16" s="20"/>
      <c r="E16" s="20"/>
      <c r="F16" s="20"/>
      <c r="G16" s="20"/>
      <c r="H16" s="19" t="s">
        <v>12</v>
      </c>
    </row>
    <row r="17" spans="1:8" x14ac:dyDescent="0.2">
      <c r="A17" s="20"/>
      <c r="B17" s="20"/>
      <c r="C17" s="21" t="s">
        <v>11</v>
      </c>
      <c r="D17" s="20"/>
      <c r="E17" s="20" t="s">
        <v>12</v>
      </c>
      <c r="F17" s="22" t="s">
        <v>13</v>
      </c>
      <c r="G17" s="23">
        <v>0</v>
      </c>
      <c r="H17" s="19" t="s">
        <v>12</v>
      </c>
    </row>
    <row r="18" spans="1:8" x14ac:dyDescent="0.2">
      <c r="A18" s="20"/>
      <c r="B18" s="20"/>
      <c r="C18" s="24"/>
      <c r="D18" s="20"/>
      <c r="E18" s="20"/>
      <c r="F18" s="25"/>
      <c r="G18" s="25"/>
      <c r="H18" s="19" t="s">
        <v>12</v>
      </c>
    </row>
    <row r="19" spans="1:8" x14ac:dyDescent="0.2">
      <c r="A19" s="20"/>
      <c r="B19" s="20"/>
      <c r="C19" s="21" t="s">
        <v>17</v>
      </c>
      <c r="D19" s="20"/>
      <c r="E19" s="20"/>
      <c r="F19" s="25"/>
      <c r="G19" s="25"/>
      <c r="H19" s="19" t="s">
        <v>12</v>
      </c>
    </row>
    <row r="20" spans="1:8" x14ac:dyDescent="0.2">
      <c r="A20" s="20"/>
      <c r="B20" s="20"/>
      <c r="C20" s="21" t="s">
        <v>11</v>
      </c>
      <c r="D20" s="20"/>
      <c r="E20" s="20" t="s">
        <v>12</v>
      </c>
      <c r="F20" s="22" t="s">
        <v>13</v>
      </c>
      <c r="G20" s="23">
        <v>0</v>
      </c>
      <c r="H20" s="19" t="s">
        <v>12</v>
      </c>
    </row>
    <row r="21" spans="1:8" x14ac:dyDescent="0.2">
      <c r="A21" s="20"/>
      <c r="B21" s="20"/>
      <c r="C21" s="24"/>
      <c r="D21" s="20"/>
      <c r="E21" s="20"/>
      <c r="F21" s="25"/>
      <c r="G21" s="25"/>
      <c r="H21" s="19" t="s">
        <v>12</v>
      </c>
    </row>
    <row r="22" spans="1:8" x14ac:dyDescent="0.2">
      <c r="A22" s="20"/>
      <c r="B22" s="20"/>
      <c r="C22" s="21" t="s">
        <v>18</v>
      </c>
      <c r="D22" s="20"/>
      <c r="E22" s="20"/>
      <c r="F22" s="25"/>
      <c r="G22" s="25"/>
      <c r="H22" s="19" t="s">
        <v>12</v>
      </c>
    </row>
    <row r="23" spans="1:8" x14ac:dyDescent="0.2">
      <c r="A23" s="20"/>
      <c r="B23" s="20"/>
      <c r="C23" s="21" t="s">
        <v>11</v>
      </c>
      <c r="D23" s="20"/>
      <c r="E23" s="20" t="s">
        <v>12</v>
      </c>
      <c r="F23" s="22" t="s">
        <v>13</v>
      </c>
      <c r="G23" s="23">
        <v>0</v>
      </c>
      <c r="H23" s="19" t="s">
        <v>12</v>
      </c>
    </row>
    <row r="24" spans="1:8" x14ac:dyDescent="0.2">
      <c r="A24" s="20"/>
      <c r="B24" s="20"/>
      <c r="C24" s="24"/>
      <c r="D24" s="20"/>
      <c r="E24" s="20"/>
      <c r="F24" s="25"/>
      <c r="G24" s="25"/>
      <c r="H24" s="19" t="s">
        <v>12</v>
      </c>
    </row>
    <row r="25" spans="1:8" x14ac:dyDescent="0.2">
      <c r="A25" s="20"/>
      <c r="B25" s="20"/>
      <c r="C25" s="21" t="s">
        <v>19</v>
      </c>
      <c r="D25" s="20"/>
      <c r="E25" s="20"/>
      <c r="F25" s="26">
        <f>F8</f>
        <v>0.01</v>
      </c>
      <c r="G25" s="23">
        <v>0</v>
      </c>
      <c r="H25" s="19" t="s">
        <v>12</v>
      </c>
    </row>
    <row r="26" spans="1:8" x14ac:dyDescent="0.2">
      <c r="A26" s="20"/>
      <c r="B26" s="20"/>
      <c r="C26" s="24"/>
      <c r="D26" s="20"/>
      <c r="E26" s="20"/>
      <c r="F26" s="25"/>
      <c r="G26" s="25"/>
      <c r="H26" s="19" t="s">
        <v>12</v>
      </c>
    </row>
    <row r="27" spans="1:8" x14ac:dyDescent="0.2">
      <c r="A27" s="20"/>
      <c r="B27" s="20"/>
      <c r="C27" s="21" t="s">
        <v>20</v>
      </c>
      <c r="D27" s="20"/>
      <c r="E27" s="20"/>
      <c r="F27" s="25"/>
      <c r="G27" s="25"/>
      <c r="H27" s="19" t="s">
        <v>12</v>
      </c>
    </row>
    <row r="28" spans="1:8" ht="25.5" x14ac:dyDescent="0.2">
      <c r="A28" s="20"/>
      <c r="B28" s="20"/>
      <c r="C28" s="21" t="s">
        <v>10</v>
      </c>
      <c r="D28" s="20"/>
      <c r="E28" s="20"/>
      <c r="F28" s="25"/>
      <c r="G28" s="25"/>
      <c r="H28" s="19" t="s">
        <v>12</v>
      </c>
    </row>
    <row r="29" spans="1:8" ht="25.5" x14ac:dyDescent="0.2">
      <c r="A29" s="27">
        <v>1</v>
      </c>
      <c r="B29" s="28" t="s">
        <v>255</v>
      </c>
      <c r="C29" s="28" t="s">
        <v>256</v>
      </c>
      <c r="D29" s="28" t="s">
        <v>257</v>
      </c>
      <c r="E29" s="29">
        <v>1500</v>
      </c>
      <c r="F29" s="30">
        <v>1520.751</v>
      </c>
      <c r="G29" s="31">
        <v>3.8171749999999997E-2</v>
      </c>
      <c r="H29" s="19">
        <v>6.9450000000000003</v>
      </c>
    </row>
    <row r="30" spans="1:8" ht="25.5" x14ac:dyDescent="0.2">
      <c r="A30" s="27">
        <v>2</v>
      </c>
      <c r="B30" s="28" t="s">
        <v>258</v>
      </c>
      <c r="C30" s="28" t="s">
        <v>259</v>
      </c>
      <c r="D30" s="28" t="s">
        <v>260</v>
      </c>
      <c r="E30" s="29">
        <v>1500</v>
      </c>
      <c r="F30" s="30">
        <v>1516.9994999999999</v>
      </c>
      <c r="G30" s="31">
        <v>3.8077590000000001E-2</v>
      </c>
      <c r="H30" s="19">
        <v>7.9249999999999998</v>
      </c>
    </row>
    <row r="31" spans="1:8" x14ac:dyDescent="0.2">
      <c r="A31" s="27">
        <v>3</v>
      </c>
      <c r="B31" s="28" t="s">
        <v>261</v>
      </c>
      <c r="C31" s="28" t="s">
        <v>262</v>
      </c>
      <c r="D31" s="28" t="s">
        <v>23</v>
      </c>
      <c r="E31" s="29">
        <v>1500</v>
      </c>
      <c r="F31" s="30">
        <v>1514.9684999999999</v>
      </c>
      <c r="G31" s="31">
        <v>3.8026610000000002E-2</v>
      </c>
      <c r="H31" s="19">
        <v>6.5549999999999997</v>
      </c>
    </row>
    <row r="32" spans="1:8" x14ac:dyDescent="0.2">
      <c r="A32" s="27">
        <v>4</v>
      </c>
      <c r="B32" s="28" t="s">
        <v>263</v>
      </c>
      <c r="C32" s="28" t="s">
        <v>264</v>
      </c>
      <c r="D32" s="28" t="s">
        <v>260</v>
      </c>
      <c r="E32" s="29">
        <v>1200</v>
      </c>
      <c r="F32" s="30">
        <v>1205.8548000000001</v>
      </c>
      <c r="G32" s="31">
        <v>3.026767E-2</v>
      </c>
      <c r="H32" s="19">
        <v>7.5750000000000002</v>
      </c>
    </row>
    <row r="33" spans="1:8" ht="25.5" x14ac:dyDescent="0.2">
      <c r="A33" s="27">
        <v>5</v>
      </c>
      <c r="B33" s="28" t="s">
        <v>75</v>
      </c>
      <c r="C33" s="28" t="s">
        <v>76</v>
      </c>
      <c r="D33" s="28" t="s">
        <v>23</v>
      </c>
      <c r="E33" s="29">
        <v>1000</v>
      </c>
      <c r="F33" s="30">
        <v>1021.976</v>
      </c>
      <c r="G33" s="31">
        <v>2.56522E-2</v>
      </c>
      <c r="H33" s="19">
        <v>6.5774999999999997</v>
      </c>
    </row>
    <row r="34" spans="1:8" ht="25.5" x14ac:dyDescent="0.2">
      <c r="A34" s="27">
        <v>6</v>
      </c>
      <c r="B34" s="28" t="s">
        <v>265</v>
      </c>
      <c r="C34" s="28" t="s">
        <v>266</v>
      </c>
      <c r="D34" s="28" t="s">
        <v>257</v>
      </c>
      <c r="E34" s="29">
        <v>1000</v>
      </c>
      <c r="F34" s="30">
        <v>1014.7</v>
      </c>
      <c r="G34" s="31">
        <v>2.546957E-2</v>
      </c>
      <c r="H34" s="19">
        <v>7.3784999999999998</v>
      </c>
    </row>
    <row r="35" spans="1:8" ht="25.5" x14ac:dyDescent="0.2">
      <c r="A35" s="27">
        <v>7</v>
      </c>
      <c r="B35" s="28" t="s">
        <v>267</v>
      </c>
      <c r="C35" s="28" t="s">
        <v>268</v>
      </c>
      <c r="D35" s="28" t="s">
        <v>23</v>
      </c>
      <c r="E35" s="29">
        <v>100</v>
      </c>
      <c r="F35" s="30">
        <v>1012.439</v>
      </c>
      <c r="G35" s="31">
        <v>2.5412819999999999E-2</v>
      </c>
      <c r="H35" s="19">
        <v>6.55</v>
      </c>
    </row>
    <row r="36" spans="1:8" ht="25.5" x14ac:dyDescent="0.2">
      <c r="A36" s="27">
        <v>8</v>
      </c>
      <c r="B36" s="28" t="s">
        <v>69</v>
      </c>
      <c r="C36" s="28" t="s">
        <v>70</v>
      </c>
      <c r="D36" s="28" t="s">
        <v>23</v>
      </c>
      <c r="E36" s="29">
        <v>1000</v>
      </c>
      <c r="F36" s="30">
        <v>1009.096</v>
      </c>
      <c r="G36" s="31">
        <v>2.532891E-2</v>
      </c>
      <c r="H36" s="19">
        <v>6.6092000000000004</v>
      </c>
    </row>
    <row r="37" spans="1:8" ht="25.5" x14ac:dyDescent="0.2">
      <c r="A37" s="27">
        <v>9</v>
      </c>
      <c r="B37" s="28" t="s">
        <v>39</v>
      </c>
      <c r="C37" s="28" t="s">
        <v>40</v>
      </c>
      <c r="D37" s="28" t="s">
        <v>23</v>
      </c>
      <c r="E37" s="29">
        <v>1000</v>
      </c>
      <c r="F37" s="30">
        <v>1008.87</v>
      </c>
      <c r="G37" s="31">
        <v>2.532324E-2</v>
      </c>
      <c r="H37" s="19">
        <v>6.5545999999999998</v>
      </c>
    </row>
    <row r="38" spans="1:8" ht="25.5" x14ac:dyDescent="0.2">
      <c r="A38" s="27">
        <v>10</v>
      </c>
      <c r="B38" s="28" t="s">
        <v>269</v>
      </c>
      <c r="C38" s="28" t="s">
        <v>270</v>
      </c>
      <c r="D38" s="28" t="s">
        <v>271</v>
      </c>
      <c r="E38" s="29">
        <v>1000</v>
      </c>
      <c r="F38" s="30">
        <v>1007.948</v>
      </c>
      <c r="G38" s="31">
        <v>2.5300090000000001E-2</v>
      </c>
      <c r="H38" s="19">
        <v>8.4749999999999996</v>
      </c>
    </row>
    <row r="39" spans="1:8" x14ac:dyDescent="0.2">
      <c r="A39" s="27">
        <v>11</v>
      </c>
      <c r="B39" s="28" t="s">
        <v>272</v>
      </c>
      <c r="C39" s="28" t="s">
        <v>273</v>
      </c>
      <c r="D39" s="28" t="s">
        <v>260</v>
      </c>
      <c r="E39" s="29">
        <v>1000</v>
      </c>
      <c r="F39" s="30">
        <v>1006.878</v>
      </c>
      <c r="G39" s="31">
        <v>2.5273239999999999E-2</v>
      </c>
      <c r="H39" s="19">
        <v>8.1281999999999996</v>
      </c>
    </row>
    <row r="40" spans="1:8" ht="25.5" x14ac:dyDescent="0.2">
      <c r="A40" s="27">
        <v>12</v>
      </c>
      <c r="B40" s="28" t="s">
        <v>274</v>
      </c>
      <c r="C40" s="28" t="s">
        <v>275</v>
      </c>
      <c r="D40" s="28" t="s">
        <v>260</v>
      </c>
      <c r="E40" s="29">
        <v>100</v>
      </c>
      <c r="F40" s="30">
        <v>1002.866</v>
      </c>
      <c r="G40" s="31">
        <v>2.5172529999999999E-2</v>
      </c>
      <c r="H40" s="19">
        <v>7.55</v>
      </c>
    </row>
    <row r="41" spans="1:8" ht="25.5" x14ac:dyDescent="0.2">
      <c r="A41" s="27">
        <v>13</v>
      </c>
      <c r="B41" s="28" t="s">
        <v>276</v>
      </c>
      <c r="C41" s="28" t="s">
        <v>277</v>
      </c>
      <c r="D41" s="28" t="s">
        <v>32</v>
      </c>
      <c r="E41" s="29">
        <v>900</v>
      </c>
      <c r="F41" s="30">
        <v>912.40560000000005</v>
      </c>
      <c r="G41" s="31">
        <v>2.2901919999999999E-2</v>
      </c>
      <c r="H41" s="19">
        <v>7.1349999999999998</v>
      </c>
    </row>
    <row r="42" spans="1:8" ht="25.5" x14ac:dyDescent="0.2">
      <c r="A42" s="27">
        <v>14</v>
      </c>
      <c r="B42" s="28" t="s">
        <v>278</v>
      </c>
      <c r="C42" s="28" t="s">
        <v>279</v>
      </c>
      <c r="D42" s="28" t="s">
        <v>260</v>
      </c>
      <c r="E42" s="29">
        <v>900</v>
      </c>
      <c r="F42" s="30">
        <v>910.66769999999997</v>
      </c>
      <c r="G42" s="31">
        <v>2.2858300000000002E-2</v>
      </c>
      <c r="H42" s="19">
        <v>7.28</v>
      </c>
    </row>
    <row r="43" spans="1:8" x14ac:dyDescent="0.2">
      <c r="A43" s="27">
        <v>15</v>
      </c>
      <c r="B43" s="28" t="s">
        <v>280</v>
      </c>
      <c r="C43" s="28" t="s">
        <v>281</v>
      </c>
      <c r="D43" s="28" t="s">
        <v>32</v>
      </c>
      <c r="E43" s="29">
        <v>500</v>
      </c>
      <c r="F43" s="30">
        <v>510.23500000000001</v>
      </c>
      <c r="G43" s="31">
        <v>1.2807199999999999E-2</v>
      </c>
      <c r="H43" s="19">
        <v>6.53</v>
      </c>
    </row>
    <row r="44" spans="1:8" ht="25.5" x14ac:dyDescent="0.2">
      <c r="A44" s="27">
        <v>16</v>
      </c>
      <c r="B44" s="28" t="s">
        <v>153</v>
      </c>
      <c r="C44" s="28" t="s">
        <v>154</v>
      </c>
      <c r="D44" s="28" t="s">
        <v>32</v>
      </c>
      <c r="E44" s="29">
        <v>500</v>
      </c>
      <c r="F44" s="30">
        <v>509.82549999999998</v>
      </c>
      <c r="G44" s="31">
        <v>1.279692E-2</v>
      </c>
      <c r="H44" s="19">
        <v>6.5730000000000004</v>
      </c>
    </row>
    <row r="45" spans="1:8" x14ac:dyDescent="0.2">
      <c r="A45" s="27">
        <v>17</v>
      </c>
      <c r="B45" s="28" t="s">
        <v>53</v>
      </c>
      <c r="C45" s="28" t="s">
        <v>54</v>
      </c>
      <c r="D45" s="28" t="s">
        <v>23</v>
      </c>
      <c r="E45" s="29">
        <v>500</v>
      </c>
      <c r="F45" s="30">
        <v>507.27</v>
      </c>
      <c r="G45" s="31">
        <v>1.2732780000000001E-2</v>
      </c>
      <c r="H45" s="19">
        <v>6.55</v>
      </c>
    </row>
    <row r="46" spans="1:8" ht="25.5" x14ac:dyDescent="0.2">
      <c r="A46" s="27">
        <v>18</v>
      </c>
      <c r="B46" s="28" t="s">
        <v>282</v>
      </c>
      <c r="C46" s="28" t="s">
        <v>283</v>
      </c>
      <c r="D46" s="28" t="s">
        <v>284</v>
      </c>
      <c r="E46" s="29">
        <v>50</v>
      </c>
      <c r="F46" s="30">
        <v>501.90300000000002</v>
      </c>
      <c r="G46" s="31">
        <v>1.2598059999999999E-2</v>
      </c>
      <c r="H46" s="19">
        <v>7.2949999999999999</v>
      </c>
    </row>
    <row r="47" spans="1:8" ht="25.5" x14ac:dyDescent="0.2">
      <c r="A47" s="27">
        <v>19</v>
      </c>
      <c r="B47" s="28" t="s">
        <v>71</v>
      </c>
      <c r="C47" s="28" t="s">
        <v>72</v>
      </c>
      <c r="D47" s="28" t="s">
        <v>23</v>
      </c>
      <c r="E47" s="29">
        <v>500</v>
      </c>
      <c r="F47" s="30">
        <v>500.036</v>
      </c>
      <c r="G47" s="31">
        <v>1.25512E-2</v>
      </c>
      <c r="H47" s="19">
        <v>7.02</v>
      </c>
    </row>
    <row r="48" spans="1:8" ht="25.5" x14ac:dyDescent="0.2">
      <c r="A48" s="27">
        <v>20</v>
      </c>
      <c r="B48" s="28" t="s">
        <v>285</v>
      </c>
      <c r="C48" s="28" t="s">
        <v>286</v>
      </c>
      <c r="D48" s="28" t="s">
        <v>260</v>
      </c>
      <c r="E48" s="29">
        <v>350</v>
      </c>
      <c r="F48" s="30">
        <v>354.19965000000002</v>
      </c>
      <c r="G48" s="31">
        <v>8.8906200000000001E-3</v>
      </c>
      <c r="H48" s="19">
        <v>8.1</v>
      </c>
    </row>
    <row r="49" spans="1:8" x14ac:dyDescent="0.2">
      <c r="A49" s="20"/>
      <c r="B49" s="20"/>
      <c r="C49" s="21" t="s">
        <v>11</v>
      </c>
      <c r="D49" s="20"/>
      <c r="E49" s="20" t="s">
        <v>12</v>
      </c>
      <c r="F49" s="26">
        <v>18549.88925</v>
      </c>
      <c r="G49" s="23">
        <v>0.46561321999999999</v>
      </c>
      <c r="H49" s="19" t="s">
        <v>12</v>
      </c>
    </row>
    <row r="50" spans="1:8" x14ac:dyDescent="0.2">
      <c r="A50" s="20"/>
      <c r="B50" s="20"/>
      <c r="C50" s="24"/>
      <c r="D50" s="20"/>
      <c r="E50" s="20"/>
      <c r="F50" s="25"/>
      <c r="G50" s="25"/>
      <c r="H50" s="19" t="s">
        <v>12</v>
      </c>
    </row>
    <row r="51" spans="1:8" x14ac:dyDescent="0.2">
      <c r="A51" s="20"/>
      <c r="B51" s="20"/>
      <c r="C51" s="21" t="s">
        <v>77</v>
      </c>
      <c r="D51" s="20"/>
      <c r="E51" s="20"/>
      <c r="F51" s="20"/>
      <c r="G51" s="20"/>
      <c r="H51" s="19" t="s">
        <v>12</v>
      </c>
    </row>
    <row r="52" spans="1:8" x14ac:dyDescent="0.2">
      <c r="A52" s="20"/>
      <c r="B52" s="20"/>
      <c r="C52" s="21" t="s">
        <v>11</v>
      </c>
      <c r="D52" s="20"/>
      <c r="E52" s="20" t="s">
        <v>12</v>
      </c>
      <c r="F52" s="22" t="s">
        <v>13</v>
      </c>
      <c r="G52" s="23">
        <v>0</v>
      </c>
      <c r="H52" s="19" t="s">
        <v>12</v>
      </c>
    </row>
    <row r="53" spans="1:8" x14ac:dyDescent="0.2">
      <c r="A53" s="20"/>
      <c r="B53" s="20"/>
      <c r="C53" s="24"/>
      <c r="D53" s="20"/>
      <c r="E53" s="20"/>
      <c r="F53" s="25"/>
      <c r="G53" s="25"/>
      <c r="H53" s="19" t="s">
        <v>12</v>
      </c>
    </row>
    <row r="54" spans="1:8" x14ac:dyDescent="0.2">
      <c r="A54" s="20"/>
      <c r="B54" s="20"/>
      <c r="C54" s="21" t="s">
        <v>78</v>
      </c>
      <c r="D54" s="20"/>
      <c r="E54" s="20"/>
      <c r="F54" s="20"/>
      <c r="G54" s="20"/>
      <c r="H54" s="19" t="s">
        <v>12</v>
      </c>
    </row>
    <row r="55" spans="1:8" ht="25.5" x14ac:dyDescent="0.2">
      <c r="A55" s="27">
        <v>1</v>
      </c>
      <c r="B55" s="28" t="s">
        <v>82</v>
      </c>
      <c r="C55" s="28" t="s">
        <v>83</v>
      </c>
      <c r="D55" s="28" t="s">
        <v>81</v>
      </c>
      <c r="E55" s="29">
        <v>500000</v>
      </c>
      <c r="F55" s="30">
        <v>531.66549999999995</v>
      </c>
      <c r="G55" s="31">
        <v>1.334512E-2</v>
      </c>
      <c r="H55" s="19">
        <v>6.0298999999999996</v>
      </c>
    </row>
    <row r="56" spans="1:8" ht="25.5" x14ac:dyDescent="0.2">
      <c r="A56" s="27">
        <v>2</v>
      </c>
      <c r="B56" s="28" t="s">
        <v>287</v>
      </c>
      <c r="C56" s="28" t="s">
        <v>288</v>
      </c>
      <c r="D56" s="28" t="s">
        <v>81</v>
      </c>
      <c r="E56" s="29">
        <v>400000</v>
      </c>
      <c r="F56" s="30">
        <v>416.63799999999998</v>
      </c>
      <c r="G56" s="31">
        <v>1.0457859999999999E-2</v>
      </c>
      <c r="H56" s="19">
        <v>5.9455</v>
      </c>
    </row>
    <row r="57" spans="1:8" ht="25.5" x14ac:dyDescent="0.2">
      <c r="A57" s="27">
        <v>3</v>
      </c>
      <c r="B57" s="28" t="s">
        <v>289</v>
      </c>
      <c r="C57" s="28" t="s">
        <v>290</v>
      </c>
      <c r="D57" s="28" t="s">
        <v>81</v>
      </c>
      <c r="E57" s="29">
        <v>300000</v>
      </c>
      <c r="F57" s="30">
        <v>309.58139999999997</v>
      </c>
      <c r="G57" s="31">
        <v>7.7706800000000003E-3</v>
      </c>
      <c r="H57" s="19">
        <v>5.7880000000000003</v>
      </c>
    </row>
    <row r="58" spans="1:8" x14ac:dyDescent="0.2">
      <c r="A58" s="20"/>
      <c r="B58" s="20"/>
      <c r="C58" s="21" t="s">
        <v>11</v>
      </c>
      <c r="D58" s="20"/>
      <c r="E58" s="20" t="s">
        <v>12</v>
      </c>
      <c r="F58" s="26">
        <v>1257.8849</v>
      </c>
      <c r="G58" s="23">
        <v>3.1573660000000003E-2</v>
      </c>
      <c r="H58" s="19" t="s">
        <v>12</v>
      </c>
    </row>
    <row r="59" spans="1:8" x14ac:dyDescent="0.2">
      <c r="A59" s="20"/>
      <c r="B59" s="20"/>
      <c r="C59" s="24"/>
      <c r="D59" s="20"/>
      <c r="E59" s="20"/>
      <c r="F59" s="25"/>
      <c r="G59" s="25"/>
      <c r="H59" s="19" t="s">
        <v>12</v>
      </c>
    </row>
    <row r="60" spans="1:8" x14ac:dyDescent="0.2">
      <c r="A60" s="20"/>
      <c r="B60" s="20"/>
      <c r="C60" s="21" t="s">
        <v>100</v>
      </c>
      <c r="D60" s="20"/>
      <c r="E60" s="20"/>
      <c r="F60" s="25"/>
      <c r="G60" s="25"/>
      <c r="H60" s="19" t="s">
        <v>12</v>
      </c>
    </row>
    <row r="61" spans="1:8" x14ac:dyDescent="0.2">
      <c r="A61" s="20"/>
      <c r="B61" s="20"/>
      <c r="C61" s="21" t="s">
        <v>11</v>
      </c>
      <c r="D61" s="20"/>
      <c r="E61" s="20" t="s">
        <v>12</v>
      </c>
      <c r="F61" s="22" t="s">
        <v>13</v>
      </c>
      <c r="G61" s="23">
        <v>0</v>
      </c>
      <c r="H61" s="19" t="s">
        <v>12</v>
      </c>
    </row>
    <row r="62" spans="1:8" x14ac:dyDescent="0.2">
      <c r="A62" s="20"/>
      <c r="B62" s="20"/>
      <c r="C62" s="24"/>
      <c r="D62" s="20"/>
      <c r="E62" s="20"/>
      <c r="F62" s="25"/>
      <c r="G62" s="25"/>
      <c r="H62" s="19" t="s">
        <v>12</v>
      </c>
    </row>
    <row r="63" spans="1:8" x14ac:dyDescent="0.2">
      <c r="A63" s="20"/>
      <c r="B63" s="20"/>
      <c r="C63" s="21" t="s">
        <v>101</v>
      </c>
      <c r="D63" s="20"/>
      <c r="E63" s="20"/>
      <c r="F63" s="26">
        <v>19807.774150000001</v>
      </c>
      <c r="G63" s="23">
        <v>0.49718688</v>
      </c>
      <c r="H63" s="19" t="s">
        <v>12</v>
      </c>
    </row>
    <row r="64" spans="1:8" x14ac:dyDescent="0.2">
      <c r="A64" s="20"/>
      <c r="B64" s="20"/>
      <c r="C64" s="24"/>
      <c r="D64" s="20"/>
      <c r="E64" s="20"/>
      <c r="F64" s="25"/>
      <c r="G64" s="25"/>
      <c r="H64" s="19" t="s">
        <v>12</v>
      </c>
    </row>
    <row r="65" spans="1:8" x14ac:dyDescent="0.2">
      <c r="A65" s="20"/>
      <c r="B65" s="20"/>
      <c r="C65" s="21" t="s">
        <v>102</v>
      </c>
      <c r="D65" s="20"/>
      <c r="E65" s="20"/>
      <c r="F65" s="25"/>
      <c r="G65" s="25"/>
      <c r="H65" s="19" t="s">
        <v>12</v>
      </c>
    </row>
    <row r="66" spans="1:8" x14ac:dyDescent="0.2">
      <c r="A66" s="20"/>
      <c r="B66" s="20"/>
      <c r="C66" s="21" t="s">
        <v>103</v>
      </c>
      <c r="D66" s="20"/>
      <c r="E66" s="20"/>
      <c r="F66" s="25"/>
      <c r="G66" s="25"/>
      <c r="H66" s="19" t="s">
        <v>12</v>
      </c>
    </row>
    <row r="67" spans="1:8" x14ac:dyDescent="0.2">
      <c r="A67" s="27">
        <v>1</v>
      </c>
      <c r="B67" s="28" t="s">
        <v>173</v>
      </c>
      <c r="C67" s="28" t="s">
        <v>174</v>
      </c>
      <c r="D67" s="28" t="s">
        <v>161</v>
      </c>
      <c r="E67" s="29">
        <v>500</v>
      </c>
      <c r="F67" s="30">
        <v>2379.0275000000001</v>
      </c>
      <c r="G67" s="31">
        <v>5.9714999999999997E-2</v>
      </c>
      <c r="H67" s="19">
        <v>6.4</v>
      </c>
    </row>
    <row r="68" spans="1:8" x14ac:dyDescent="0.2">
      <c r="A68" s="27">
        <v>2</v>
      </c>
      <c r="B68" s="28" t="s">
        <v>291</v>
      </c>
      <c r="C68" s="28" t="s">
        <v>292</v>
      </c>
      <c r="D68" s="28" t="s">
        <v>293</v>
      </c>
      <c r="E68" s="29">
        <v>400</v>
      </c>
      <c r="F68" s="30">
        <v>1934.056</v>
      </c>
      <c r="G68" s="31">
        <v>4.8545949999999997E-2</v>
      </c>
      <c r="H68" s="19">
        <v>6.4150999999999998</v>
      </c>
    </row>
    <row r="69" spans="1:8" x14ac:dyDescent="0.2">
      <c r="A69" s="27">
        <v>3</v>
      </c>
      <c r="B69" s="28" t="s">
        <v>294</v>
      </c>
      <c r="C69" s="28" t="s">
        <v>295</v>
      </c>
      <c r="D69" s="28" t="s">
        <v>161</v>
      </c>
      <c r="E69" s="29">
        <v>400</v>
      </c>
      <c r="F69" s="30">
        <v>1876.934</v>
      </c>
      <c r="G69" s="31">
        <v>4.711216E-2</v>
      </c>
      <c r="H69" s="19">
        <v>6.6849999999999996</v>
      </c>
    </row>
    <row r="70" spans="1:8" x14ac:dyDescent="0.2">
      <c r="A70" s="27">
        <v>4</v>
      </c>
      <c r="B70" s="28" t="s">
        <v>296</v>
      </c>
      <c r="C70" s="28" t="s">
        <v>297</v>
      </c>
      <c r="D70" s="28" t="s">
        <v>161</v>
      </c>
      <c r="E70" s="29">
        <v>200</v>
      </c>
      <c r="F70" s="30">
        <v>983.08600000000001</v>
      </c>
      <c r="G70" s="31">
        <v>2.467604E-2</v>
      </c>
      <c r="H70" s="19">
        <v>6.28</v>
      </c>
    </row>
    <row r="71" spans="1:8" x14ac:dyDescent="0.2">
      <c r="A71" s="27">
        <v>5</v>
      </c>
      <c r="B71" s="28" t="s">
        <v>298</v>
      </c>
      <c r="C71" s="28" t="s">
        <v>299</v>
      </c>
      <c r="D71" s="28" t="s">
        <v>161</v>
      </c>
      <c r="E71" s="29">
        <v>200</v>
      </c>
      <c r="F71" s="30">
        <v>957.81100000000004</v>
      </c>
      <c r="G71" s="31">
        <v>2.404162E-2</v>
      </c>
      <c r="H71" s="19">
        <v>6.431</v>
      </c>
    </row>
    <row r="72" spans="1:8" ht="25.5" x14ac:dyDescent="0.2">
      <c r="A72" s="27">
        <v>6</v>
      </c>
      <c r="B72" s="28" t="s">
        <v>185</v>
      </c>
      <c r="C72" s="28" t="s">
        <v>186</v>
      </c>
      <c r="D72" s="28" t="s">
        <v>161</v>
      </c>
      <c r="E72" s="29">
        <v>200</v>
      </c>
      <c r="F72" s="30">
        <v>954.53700000000003</v>
      </c>
      <c r="G72" s="31">
        <v>2.395945E-2</v>
      </c>
      <c r="H72" s="19">
        <v>6.415</v>
      </c>
    </row>
    <row r="73" spans="1:8" ht="25.5" x14ac:dyDescent="0.2">
      <c r="A73" s="27">
        <v>7</v>
      </c>
      <c r="B73" s="28" t="s">
        <v>187</v>
      </c>
      <c r="C73" s="28" t="s">
        <v>188</v>
      </c>
      <c r="D73" s="28" t="s">
        <v>161</v>
      </c>
      <c r="E73" s="29">
        <v>200</v>
      </c>
      <c r="F73" s="30">
        <v>954.38400000000001</v>
      </c>
      <c r="G73" s="31">
        <v>2.3955609999999999E-2</v>
      </c>
      <c r="H73" s="19">
        <v>6.4375999999999998</v>
      </c>
    </row>
    <row r="74" spans="1:8" ht="25.5" x14ac:dyDescent="0.2">
      <c r="A74" s="27">
        <v>8</v>
      </c>
      <c r="B74" s="28" t="s">
        <v>300</v>
      </c>
      <c r="C74" s="28" t="s">
        <v>301</v>
      </c>
      <c r="D74" s="28" t="s">
        <v>161</v>
      </c>
      <c r="E74" s="29">
        <v>200</v>
      </c>
      <c r="F74" s="30">
        <v>952.33600000000001</v>
      </c>
      <c r="G74" s="31">
        <v>2.39042E-2</v>
      </c>
      <c r="H74" s="19">
        <v>6.41</v>
      </c>
    </row>
    <row r="75" spans="1:8" ht="25.5" x14ac:dyDescent="0.2">
      <c r="A75" s="27">
        <v>9</v>
      </c>
      <c r="B75" s="28" t="s">
        <v>166</v>
      </c>
      <c r="C75" s="28" t="s">
        <v>167</v>
      </c>
      <c r="D75" s="28" t="s">
        <v>161</v>
      </c>
      <c r="E75" s="29">
        <v>200</v>
      </c>
      <c r="F75" s="30">
        <v>951.548</v>
      </c>
      <c r="G75" s="31">
        <v>2.388442E-2</v>
      </c>
      <c r="H75" s="19">
        <v>6.3650000000000002</v>
      </c>
    </row>
    <row r="76" spans="1:8" ht="25.5" x14ac:dyDescent="0.2">
      <c r="A76" s="27">
        <v>10</v>
      </c>
      <c r="B76" s="28" t="s">
        <v>219</v>
      </c>
      <c r="C76" s="28" t="s">
        <v>220</v>
      </c>
      <c r="D76" s="28" t="s">
        <v>161</v>
      </c>
      <c r="E76" s="29">
        <v>100</v>
      </c>
      <c r="F76" s="30">
        <v>475.214</v>
      </c>
      <c r="G76" s="31">
        <v>1.192815E-2</v>
      </c>
      <c r="H76" s="19">
        <v>6.41</v>
      </c>
    </row>
    <row r="77" spans="1:8" x14ac:dyDescent="0.2">
      <c r="A77" s="20"/>
      <c r="B77" s="20"/>
      <c r="C77" s="21" t="s">
        <v>11</v>
      </c>
      <c r="D77" s="20"/>
      <c r="E77" s="20" t="s">
        <v>12</v>
      </c>
      <c r="F77" s="26">
        <v>12418.933499999999</v>
      </c>
      <c r="G77" s="23">
        <v>0.31172260000000002</v>
      </c>
      <c r="H77" s="19" t="s">
        <v>12</v>
      </c>
    </row>
    <row r="78" spans="1:8" x14ac:dyDescent="0.2">
      <c r="A78" s="20"/>
      <c r="B78" s="20"/>
      <c r="C78" s="24"/>
      <c r="D78" s="20"/>
      <c r="E78" s="20"/>
      <c r="F78" s="25"/>
      <c r="G78" s="25"/>
      <c r="H78" s="19" t="s">
        <v>12</v>
      </c>
    </row>
    <row r="79" spans="1:8" x14ac:dyDescent="0.2">
      <c r="A79" s="20"/>
      <c r="B79" s="20"/>
      <c r="C79" s="21" t="s">
        <v>104</v>
      </c>
      <c r="D79" s="20"/>
      <c r="E79" s="20"/>
      <c r="F79" s="25"/>
      <c r="G79" s="25"/>
      <c r="H79" s="19" t="s">
        <v>12</v>
      </c>
    </row>
    <row r="80" spans="1:8" x14ac:dyDescent="0.2">
      <c r="A80" s="20"/>
      <c r="B80" s="20"/>
      <c r="C80" s="21" t="s">
        <v>11</v>
      </c>
      <c r="D80" s="20"/>
      <c r="E80" s="20" t="s">
        <v>12</v>
      </c>
      <c r="F80" s="22" t="s">
        <v>13</v>
      </c>
      <c r="G80" s="23">
        <v>0</v>
      </c>
      <c r="H80" s="19" t="s">
        <v>12</v>
      </c>
    </row>
    <row r="81" spans="1:17" x14ac:dyDescent="0.2">
      <c r="A81" s="20"/>
      <c r="B81" s="20"/>
      <c r="C81" s="24"/>
      <c r="D81" s="20"/>
      <c r="E81" s="20"/>
      <c r="F81" s="25"/>
      <c r="G81" s="25"/>
      <c r="H81" s="19" t="s">
        <v>12</v>
      </c>
    </row>
    <row r="82" spans="1:17" x14ac:dyDescent="0.2">
      <c r="A82" s="20"/>
      <c r="B82" s="20"/>
      <c r="C82" s="21" t="s">
        <v>105</v>
      </c>
      <c r="D82" s="20"/>
      <c r="E82" s="20"/>
      <c r="F82" s="25"/>
      <c r="G82" s="25"/>
      <c r="H82" s="19" t="s">
        <v>12</v>
      </c>
    </row>
    <row r="83" spans="1:17" x14ac:dyDescent="0.2">
      <c r="A83" s="20"/>
      <c r="B83" s="20"/>
      <c r="C83" s="21" t="s">
        <v>11</v>
      </c>
      <c r="D83" s="20"/>
      <c r="E83" s="20" t="s">
        <v>12</v>
      </c>
      <c r="F83" s="22" t="s">
        <v>13</v>
      </c>
      <c r="G83" s="23">
        <v>0</v>
      </c>
      <c r="H83" s="19" t="s">
        <v>12</v>
      </c>
    </row>
    <row r="84" spans="1:17" x14ac:dyDescent="0.2">
      <c r="A84" s="20"/>
      <c r="B84" s="20"/>
      <c r="C84" s="24"/>
      <c r="D84" s="20"/>
      <c r="E84" s="20"/>
      <c r="F84" s="25"/>
      <c r="G84" s="25"/>
      <c r="H84" s="19" t="s">
        <v>12</v>
      </c>
    </row>
    <row r="85" spans="1:17" x14ac:dyDescent="0.2">
      <c r="A85" s="20"/>
      <c r="B85" s="20"/>
      <c r="C85" s="21" t="s">
        <v>106</v>
      </c>
      <c r="D85" s="20"/>
      <c r="E85" s="20"/>
      <c r="F85" s="25"/>
      <c r="G85" s="25"/>
      <c r="H85" s="19" t="s">
        <v>12</v>
      </c>
    </row>
    <row r="86" spans="1:17" x14ac:dyDescent="0.2">
      <c r="A86" s="27">
        <v>1</v>
      </c>
      <c r="B86" s="28"/>
      <c r="C86" s="28" t="s">
        <v>107</v>
      </c>
      <c r="D86" s="28"/>
      <c r="E86" s="32"/>
      <c r="F86" s="30">
        <v>6843.7687353749998</v>
      </c>
      <c r="G86" s="31">
        <v>0.17178266</v>
      </c>
      <c r="H86" s="19">
        <v>5.76</v>
      </c>
    </row>
    <row r="87" spans="1:17" x14ac:dyDescent="0.2">
      <c r="A87" s="20"/>
      <c r="B87" s="20"/>
      <c r="C87" s="21" t="s">
        <v>11</v>
      </c>
      <c r="D87" s="20"/>
      <c r="E87" s="20" t="s">
        <v>12</v>
      </c>
      <c r="F87" s="26">
        <v>6843.7687353749998</v>
      </c>
      <c r="G87" s="23">
        <v>0.17178266</v>
      </c>
      <c r="H87" s="19" t="s">
        <v>12</v>
      </c>
    </row>
    <row r="88" spans="1:17" x14ac:dyDescent="0.2">
      <c r="A88" s="20"/>
      <c r="B88" s="20"/>
      <c r="C88" s="24"/>
      <c r="D88" s="20"/>
      <c r="E88" s="20"/>
      <c r="F88" s="25"/>
      <c r="G88" s="25"/>
      <c r="H88" s="19" t="s">
        <v>12</v>
      </c>
    </row>
    <row r="89" spans="1:17" x14ac:dyDescent="0.2">
      <c r="A89" s="20"/>
      <c r="B89" s="20"/>
      <c r="C89" s="21" t="s">
        <v>108</v>
      </c>
      <c r="D89" s="20"/>
      <c r="E89" s="20"/>
      <c r="F89" s="26">
        <v>19262.702235375</v>
      </c>
      <c r="G89" s="23">
        <v>0.48350525999999999</v>
      </c>
      <c r="H89" s="19" t="s">
        <v>12</v>
      </c>
    </row>
    <row r="90" spans="1:17" x14ac:dyDescent="0.2">
      <c r="A90" s="20"/>
      <c r="B90" s="20"/>
      <c r="C90" s="25"/>
      <c r="D90" s="20"/>
      <c r="E90" s="20"/>
      <c r="F90" s="20"/>
      <c r="G90" s="20"/>
      <c r="H90" s="19" t="s">
        <v>12</v>
      </c>
    </row>
    <row r="91" spans="1:17" x14ac:dyDescent="0.2">
      <c r="A91" s="20"/>
      <c r="B91" s="20"/>
      <c r="C91" s="21" t="s">
        <v>109</v>
      </c>
      <c r="D91" s="20"/>
      <c r="E91" s="20"/>
      <c r="F91" s="20"/>
      <c r="G91" s="20"/>
      <c r="H91" s="19" t="s">
        <v>12</v>
      </c>
    </row>
    <row r="92" spans="1:17" x14ac:dyDescent="0.2">
      <c r="A92" s="20"/>
      <c r="B92" s="20"/>
      <c r="C92" s="21" t="s">
        <v>110</v>
      </c>
      <c r="D92" s="20"/>
      <c r="E92" s="20"/>
      <c r="F92" s="20"/>
      <c r="G92" s="20"/>
      <c r="H92" s="19" t="s">
        <v>12</v>
      </c>
    </row>
    <row r="93" spans="1:17" x14ac:dyDescent="0.2">
      <c r="A93" s="20"/>
      <c r="B93" s="20"/>
      <c r="C93" s="21" t="s">
        <v>11</v>
      </c>
      <c r="D93" s="20"/>
      <c r="E93" s="20" t="s">
        <v>12</v>
      </c>
      <c r="F93" s="22" t="s">
        <v>13</v>
      </c>
      <c r="G93" s="23">
        <v>0</v>
      </c>
      <c r="H93" s="19" t="s">
        <v>12</v>
      </c>
    </row>
    <row r="94" spans="1:17" x14ac:dyDescent="0.2">
      <c r="A94" s="17"/>
      <c r="B94" s="17"/>
      <c r="C94" s="75"/>
      <c r="D94" s="17"/>
      <c r="E94" s="17"/>
      <c r="F94" s="42"/>
      <c r="G94" s="42"/>
      <c r="H94" s="76" t="s">
        <v>12</v>
      </c>
    </row>
    <row r="95" spans="1:17" ht="25.5" x14ac:dyDescent="0.2">
      <c r="A95" s="17"/>
      <c r="B95" s="17"/>
      <c r="C95" s="18" t="s">
        <v>596</v>
      </c>
      <c r="D95" s="17"/>
      <c r="E95" s="17"/>
      <c r="F95" s="42"/>
      <c r="G95" s="42"/>
      <c r="H95" s="72"/>
      <c r="K95" s="56"/>
      <c r="L95" s="56"/>
      <c r="M95" s="56"/>
      <c r="N95" s="56"/>
      <c r="O95" s="77"/>
      <c r="P95" s="77"/>
      <c r="Q95" s="77"/>
    </row>
    <row r="96" spans="1:17" ht="25.5" x14ac:dyDescent="0.2">
      <c r="A96" s="69">
        <v>1</v>
      </c>
      <c r="B96" s="70" t="s">
        <v>111</v>
      </c>
      <c r="C96" s="70" t="s">
        <v>112</v>
      </c>
      <c r="D96" s="70"/>
      <c r="E96" s="78">
        <v>1043.4449999999999</v>
      </c>
      <c r="F96" s="72">
        <v>116.771452052</v>
      </c>
      <c r="G96" s="73">
        <v>2.9310299999999998E-3</v>
      </c>
      <c r="H96" s="76"/>
    </row>
    <row r="97" spans="1:8" x14ac:dyDescent="0.2">
      <c r="A97" s="17"/>
      <c r="B97" s="17"/>
      <c r="C97" s="18" t="s">
        <v>11</v>
      </c>
      <c r="D97" s="17"/>
      <c r="E97" s="17" t="s">
        <v>12</v>
      </c>
      <c r="F97" s="79">
        <f>SUM(F96)</f>
        <v>116.771452052</v>
      </c>
      <c r="G97" s="80">
        <f>SUM(G96)</f>
        <v>2.9310299999999998E-3</v>
      </c>
      <c r="H97" s="76" t="s">
        <v>12</v>
      </c>
    </row>
    <row r="98" spans="1:8" x14ac:dyDescent="0.2">
      <c r="A98" s="20"/>
      <c r="B98" s="20"/>
      <c r="C98" s="24"/>
      <c r="D98" s="20"/>
      <c r="E98" s="20"/>
      <c r="F98" s="25"/>
      <c r="G98" s="25"/>
      <c r="H98" s="19" t="s">
        <v>12</v>
      </c>
    </row>
    <row r="99" spans="1:8" x14ac:dyDescent="0.2">
      <c r="A99" s="20"/>
      <c r="B99" s="20"/>
      <c r="C99" s="21" t="s">
        <v>113</v>
      </c>
      <c r="D99" s="20"/>
      <c r="E99" s="20"/>
      <c r="F99" s="20"/>
      <c r="G99" s="20"/>
      <c r="H99" s="19" t="s">
        <v>12</v>
      </c>
    </row>
    <row r="100" spans="1:8" x14ac:dyDescent="0.2">
      <c r="A100" s="20"/>
      <c r="B100" s="20"/>
      <c r="C100" s="21" t="s">
        <v>114</v>
      </c>
      <c r="D100" s="20"/>
      <c r="E100" s="20"/>
      <c r="F100" s="20"/>
      <c r="G100" s="20"/>
      <c r="H100" s="19" t="s">
        <v>12</v>
      </c>
    </row>
    <row r="101" spans="1:8" x14ac:dyDescent="0.2">
      <c r="A101" s="20"/>
      <c r="B101" s="20"/>
      <c r="C101" s="21" t="s">
        <v>11</v>
      </c>
      <c r="D101" s="20"/>
      <c r="E101" s="20" t="s">
        <v>12</v>
      </c>
      <c r="F101" s="22" t="s">
        <v>13</v>
      </c>
      <c r="G101" s="23">
        <v>0</v>
      </c>
      <c r="H101" s="19" t="s">
        <v>12</v>
      </c>
    </row>
    <row r="102" spans="1:8" x14ac:dyDescent="0.2">
      <c r="A102" s="20"/>
      <c r="B102" s="20"/>
      <c r="C102" s="24"/>
      <c r="D102" s="20"/>
      <c r="E102" s="20"/>
      <c r="F102" s="25"/>
      <c r="G102" s="25"/>
      <c r="H102" s="19" t="s">
        <v>12</v>
      </c>
    </row>
    <row r="103" spans="1:8" ht="25.5" x14ac:dyDescent="0.2">
      <c r="A103" s="20"/>
      <c r="B103" s="20"/>
      <c r="C103" s="21" t="s">
        <v>115</v>
      </c>
      <c r="D103" s="20"/>
      <c r="E103" s="20"/>
      <c r="F103" s="25"/>
      <c r="G103" s="25"/>
      <c r="H103" s="19" t="s">
        <v>12</v>
      </c>
    </row>
    <row r="104" spans="1:8" x14ac:dyDescent="0.2">
      <c r="A104" s="20"/>
      <c r="B104" s="20"/>
      <c r="C104" s="21" t="s">
        <v>11</v>
      </c>
      <c r="D104" s="20"/>
      <c r="E104" s="20" t="s">
        <v>12</v>
      </c>
      <c r="F104" s="22" t="s">
        <v>13</v>
      </c>
      <c r="G104" s="23">
        <v>0</v>
      </c>
      <c r="H104" s="19" t="s">
        <v>12</v>
      </c>
    </row>
    <row r="105" spans="1:8" x14ac:dyDescent="0.2">
      <c r="A105" s="20"/>
      <c r="B105" s="20"/>
      <c r="C105" s="24"/>
      <c r="D105" s="20"/>
      <c r="E105" s="20"/>
      <c r="F105" s="25"/>
      <c r="G105" s="25"/>
      <c r="H105" s="19" t="s">
        <v>12</v>
      </c>
    </row>
    <row r="106" spans="1:8" x14ac:dyDescent="0.2">
      <c r="A106" s="32"/>
      <c r="B106" s="28"/>
      <c r="C106" s="28" t="s">
        <v>116</v>
      </c>
      <c r="D106" s="28"/>
      <c r="E106" s="32"/>
      <c r="F106" s="30">
        <f>652.4477792-0.00430789700031281</f>
        <v>652.44347130299968</v>
      </c>
      <c r="G106" s="31">
        <v>1.6376829999999998E-2</v>
      </c>
      <c r="H106" s="19" t="s">
        <v>12</v>
      </c>
    </row>
    <row r="107" spans="1:8" x14ac:dyDescent="0.2">
      <c r="A107" s="24"/>
      <c r="B107" s="24"/>
      <c r="C107" s="21" t="s">
        <v>117</v>
      </c>
      <c r="D107" s="25"/>
      <c r="E107" s="25"/>
      <c r="F107" s="26">
        <f>39839.695616627-0.00430789700031281</f>
        <v>39839.691308730005</v>
      </c>
      <c r="G107" s="33">
        <v>1</v>
      </c>
      <c r="H107" s="19" t="s">
        <v>12</v>
      </c>
    </row>
    <row r="108" spans="1:8" x14ac:dyDescent="0.2">
      <c r="A108" s="34"/>
      <c r="B108" s="34"/>
      <c r="C108" s="34"/>
      <c r="D108" s="35"/>
      <c r="E108" s="35"/>
      <c r="F108" s="35"/>
      <c r="G108" s="35"/>
    </row>
    <row r="109" spans="1:8" x14ac:dyDescent="0.2">
      <c r="A109" s="36"/>
      <c r="B109" s="168" t="s">
        <v>597</v>
      </c>
      <c r="C109" s="168"/>
      <c r="D109" s="168"/>
      <c r="E109" s="168"/>
      <c r="F109" s="168"/>
      <c r="G109" s="168"/>
      <c r="H109" s="168"/>
    </row>
    <row r="110" spans="1:8" x14ac:dyDescent="0.2">
      <c r="A110" s="36"/>
      <c r="B110" s="168" t="s">
        <v>598</v>
      </c>
      <c r="C110" s="168"/>
      <c r="D110" s="168"/>
      <c r="E110" s="168"/>
      <c r="F110" s="168"/>
      <c r="G110" s="168"/>
      <c r="H110" s="168"/>
    </row>
    <row r="111" spans="1:8" x14ac:dyDescent="0.2">
      <c r="A111" s="36"/>
      <c r="B111" s="168" t="s">
        <v>599</v>
      </c>
      <c r="C111" s="168"/>
      <c r="D111" s="168"/>
      <c r="E111" s="168"/>
      <c r="F111" s="168"/>
      <c r="G111" s="168"/>
      <c r="H111" s="168"/>
    </row>
    <row r="112" spans="1:8" x14ac:dyDescent="0.2">
      <c r="A112" s="38"/>
      <c r="B112" s="38"/>
      <c r="C112" s="38"/>
      <c r="D112" s="39"/>
      <c r="E112" s="39"/>
      <c r="F112" s="39"/>
      <c r="G112" s="39"/>
    </row>
    <row r="113" spans="1:7" x14ac:dyDescent="0.2">
      <c r="A113" s="36"/>
      <c r="B113" s="169" t="s">
        <v>118</v>
      </c>
      <c r="C113" s="170"/>
      <c r="D113" s="171"/>
      <c r="E113" s="40"/>
      <c r="F113" s="41"/>
      <c r="G113" s="41"/>
    </row>
    <row r="114" spans="1:7" ht="24" customHeight="1" x14ac:dyDescent="0.2">
      <c r="A114" s="36"/>
      <c r="B114" s="172" t="s">
        <v>119</v>
      </c>
      <c r="C114" s="173"/>
      <c r="D114" s="18" t="s">
        <v>625</v>
      </c>
      <c r="E114" s="40"/>
      <c r="F114" s="41"/>
      <c r="G114" s="41"/>
    </row>
    <row r="115" spans="1:7" x14ac:dyDescent="0.2">
      <c r="A115" s="36"/>
      <c r="B115" s="172" t="s">
        <v>121</v>
      </c>
      <c r="C115" s="173"/>
      <c r="D115" s="18" t="s">
        <v>120</v>
      </c>
      <c r="E115" s="40"/>
      <c r="F115" s="41"/>
      <c r="G115" s="41"/>
    </row>
    <row r="116" spans="1:7" x14ac:dyDescent="0.2">
      <c r="A116" s="36"/>
      <c r="B116" s="172" t="s">
        <v>122</v>
      </c>
      <c r="C116" s="173"/>
      <c r="D116" s="42" t="s">
        <v>12</v>
      </c>
      <c r="E116" s="40"/>
      <c r="F116" s="41"/>
      <c r="G116" s="41"/>
    </row>
    <row r="117" spans="1:7" x14ac:dyDescent="0.2">
      <c r="A117" s="43"/>
      <c r="B117" s="44" t="s">
        <v>12</v>
      </c>
      <c r="C117" s="44" t="s">
        <v>600</v>
      </c>
      <c r="D117" s="44" t="s">
        <v>123</v>
      </c>
      <c r="E117" s="43"/>
      <c r="F117" s="43"/>
      <c r="G117" s="43"/>
    </row>
    <row r="118" spans="1:7" x14ac:dyDescent="0.2">
      <c r="A118" s="43"/>
      <c r="B118" s="45" t="s">
        <v>124</v>
      </c>
      <c r="C118" s="46">
        <v>45792</v>
      </c>
      <c r="D118" s="46">
        <v>45808</v>
      </c>
      <c r="E118" s="43"/>
      <c r="F118" s="43"/>
      <c r="G118" s="43"/>
    </row>
    <row r="119" spans="1:7" x14ac:dyDescent="0.2">
      <c r="A119" s="47"/>
      <c r="B119" s="28" t="s">
        <v>125</v>
      </c>
      <c r="C119" s="48">
        <v>3681.3211000000001</v>
      </c>
      <c r="D119" s="48">
        <v>3695.9277000000002</v>
      </c>
      <c r="E119" s="47"/>
      <c r="F119" s="49"/>
      <c r="G119" s="50"/>
    </row>
    <row r="120" spans="1:7" ht="25.5" x14ac:dyDescent="0.2">
      <c r="A120" s="47"/>
      <c r="B120" s="28" t="s">
        <v>730</v>
      </c>
      <c r="C120" s="48">
        <v>1108.3757000000001</v>
      </c>
      <c r="D120" s="48">
        <v>1106.3530000000001</v>
      </c>
      <c r="E120" s="47"/>
      <c r="F120" s="49"/>
      <c r="G120" s="50"/>
    </row>
    <row r="121" spans="1:7" ht="25.5" x14ac:dyDescent="0.2">
      <c r="A121" s="47"/>
      <c r="B121" s="28" t="s">
        <v>726</v>
      </c>
      <c r="C121" s="48">
        <v>1265.5952</v>
      </c>
      <c r="D121" s="48">
        <v>1270.6167</v>
      </c>
      <c r="E121" s="47"/>
      <c r="F121" s="49"/>
      <c r="G121" s="50"/>
    </row>
    <row r="122" spans="1:7" x14ac:dyDescent="0.2">
      <c r="A122" s="47"/>
      <c r="B122" s="28" t="s">
        <v>126</v>
      </c>
      <c r="C122" s="48">
        <v>3436.6676000000002</v>
      </c>
      <c r="D122" s="48">
        <v>3449.1685000000002</v>
      </c>
      <c r="E122" s="47"/>
      <c r="F122" s="49"/>
      <c r="G122" s="50"/>
    </row>
    <row r="123" spans="1:7" x14ac:dyDescent="0.2">
      <c r="A123" s="47"/>
      <c r="B123" s="28" t="s">
        <v>169</v>
      </c>
      <c r="C123" s="48">
        <v>1330.9223</v>
      </c>
      <c r="D123" s="48">
        <v>1335.7637999999999</v>
      </c>
      <c r="E123" s="47"/>
      <c r="F123" s="49"/>
      <c r="G123" s="50"/>
    </row>
    <row r="124" spans="1:7" ht="25.5" x14ac:dyDescent="0.2">
      <c r="A124" s="47"/>
      <c r="B124" s="28" t="s">
        <v>732</v>
      </c>
      <c r="C124" s="48">
        <v>1096.4744000000001</v>
      </c>
      <c r="D124" s="48">
        <v>1094.1036999999999</v>
      </c>
      <c r="E124" s="47"/>
      <c r="F124" s="49"/>
      <c r="G124" s="50"/>
    </row>
    <row r="125" spans="1:7" ht="25.5" x14ac:dyDescent="0.2">
      <c r="A125" s="47"/>
      <c r="B125" s="28" t="s">
        <v>702</v>
      </c>
      <c r="C125" s="48">
        <v>1221.3724</v>
      </c>
      <c r="D125" s="48">
        <v>1225.8153</v>
      </c>
      <c r="E125" s="47"/>
      <c r="F125" s="49"/>
      <c r="G125" s="50"/>
    </row>
    <row r="126" spans="1:7" x14ac:dyDescent="0.2">
      <c r="A126" s="47"/>
      <c r="B126" s="47"/>
      <c r="C126" s="47"/>
      <c r="D126" s="47"/>
      <c r="E126" s="47"/>
      <c r="F126" s="47"/>
      <c r="G126" s="47"/>
    </row>
    <row r="127" spans="1:7" x14ac:dyDescent="0.2">
      <c r="A127" s="47"/>
      <c r="B127" s="175" t="s">
        <v>601</v>
      </c>
      <c r="C127" s="176"/>
      <c r="D127" s="21" t="s">
        <v>12</v>
      </c>
      <c r="E127" s="47"/>
      <c r="F127" s="47"/>
      <c r="G127" s="47"/>
    </row>
    <row r="128" spans="1:7" x14ac:dyDescent="0.2">
      <c r="A128" s="47"/>
      <c r="B128" s="51" t="s">
        <v>124</v>
      </c>
      <c r="C128" s="52" t="s">
        <v>127</v>
      </c>
      <c r="D128" s="52" t="s">
        <v>128</v>
      </c>
      <c r="E128" s="47"/>
      <c r="F128" s="47"/>
      <c r="G128" s="47"/>
    </row>
    <row r="129" spans="1:17" ht="25.5" x14ac:dyDescent="0.2">
      <c r="A129" s="47"/>
      <c r="B129" s="28" t="s">
        <v>730</v>
      </c>
      <c r="C129" s="53">
        <v>6.4</v>
      </c>
      <c r="D129" s="53">
        <v>6.4</v>
      </c>
      <c r="E129" s="47"/>
      <c r="F129" s="49"/>
      <c r="G129" s="50"/>
    </row>
    <row r="130" spans="1:17" ht="25.5" x14ac:dyDescent="0.2">
      <c r="A130" s="47"/>
      <c r="B130" s="28" t="s">
        <v>732</v>
      </c>
      <c r="C130" s="53">
        <v>6.3410000000000002</v>
      </c>
      <c r="D130" s="53">
        <v>6.3410000000000002</v>
      </c>
      <c r="E130" s="47"/>
      <c r="F130" s="49"/>
      <c r="G130" s="50"/>
    </row>
    <row r="131" spans="1:17" x14ac:dyDescent="0.2">
      <c r="A131" s="47"/>
      <c r="B131" s="54"/>
      <c r="C131" s="54"/>
      <c r="D131" s="54"/>
      <c r="E131" s="47"/>
      <c r="F131" s="47"/>
      <c r="G131" s="47"/>
    </row>
    <row r="132" spans="1:17" s="57" customFormat="1" x14ac:dyDescent="0.2">
      <c r="A132" s="96"/>
      <c r="B132" s="172" t="s">
        <v>614</v>
      </c>
      <c r="C132" s="173"/>
      <c r="D132" s="18" t="s">
        <v>120</v>
      </c>
      <c r="G132" s="96"/>
      <c r="I132"/>
      <c r="J132" s="13"/>
      <c r="K132" s="56"/>
      <c r="L132" s="56"/>
      <c r="M132" s="56"/>
      <c r="N132" s="56"/>
      <c r="O132" s="58"/>
    </row>
    <row r="133" spans="1:17" x14ac:dyDescent="0.2">
      <c r="A133" s="43"/>
      <c r="B133" s="172" t="s">
        <v>615</v>
      </c>
      <c r="C133" s="173"/>
      <c r="D133" s="18" t="s">
        <v>120</v>
      </c>
      <c r="E133" s="55"/>
      <c r="F133" s="43"/>
      <c r="G133" s="43"/>
      <c r="J133" s="13"/>
    </row>
    <row r="134" spans="1:17" x14ac:dyDescent="0.2">
      <c r="A134" s="43"/>
      <c r="B134" s="172" t="s">
        <v>616</v>
      </c>
      <c r="C134" s="173"/>
      <c r="D134" s="18" t="s">
        <v>120</v>
      </c>
      <c r="E134" s="55"/>
      <c r="F134" s="43"/>
      <c r="G134" s="43"/>
      <c r="J134" s="13"/>
    </row>
    <row r="135" spans="1:17" x14ac:dyDescent="0.2">
      <c r="A135" s="43"/>
      <c r="B135" s="172" t="s">
        <v>617</v>
      </c>
      <c r="C135" s="173"/>
      <c r="D135" s="18" t="s">
        <v>120</v>
      </c>
      <c r="E135" s="55"/>
      <c r="F135" s="43"/>
      <c r="G135" s="43"/>
      <c r="J135" s="13"/>
    </row>
    <row r="136" spans="1:17" x14ac:dyDescent="0.2">
      <c r="A136" s="43"/>
      <c r="B136" s="37"/>
      <c r="C136" s="37"/>
      <c r="D136" s="157"/>
      <c r="E136" s="43"/>
      <c r="F136" s="43"/>
      <c r="G136" s="43"/>
      <c r="J136" s="13"/>
    </row>
    <row r="137" spans="1:17" s="57" customFormat="1" x14ac:dyDescent="0.2">
      <c r="B137" s="164" t="s">
        <v>603</v>
      </c>
      <c r="C137" s="165"/>
      <c r="D137" s="166"/>
      <c r="I137"/>
      <c r="J137" s="13"/>
      <c r="K137" s="56"/>
      <c r="L137" s="56"/>
      <c r="M137" s="56"/>
      <c r="N137" s="56"/>
      <c r="O137" s="58"/>
    </row>
    <row r="138" spans="1:17" s="57" customFormat="1" ht="25.5" x14ac:dyDescent="0.2">
      <c r="B138" s="167" t="s">
        <v>604</v>
      </c>
      <c r="C138" s="167"/>
      <c r="D138" s="59" t="s">
        <v>254</v>
      </c>
      <c r="I138"/>
      <c r="J138" s="13"/>
      <c r="K138" s="56"/>
      <c r="L138" s="56"/>
      <c r="M138" s="56"/>
      <c r="N138" s="56"/>
      <c r="O138" s="58"/>
    </row>
    <row r="139" spans="1:17" s="57" customFormat="1" x14ac:dyDescent="0.2">
      <c r="B139" s="160" t="s">
        <v>605</v>
      </c>
      <c r="C139" s="160"/>
      <c r="D139" s="60"/>
      <c r="I139"/>
      <c r="J139" s="13"/>
      <c r="K139" s="56"/>
      <c r="L139" s="56"/>
      <c r="M139" s="56"/>
      <c r="N139" s="56"/>
      <c r="O139" s="58"/>
    </row>
    <row r="140" spans="1:17" s="57" customFormat="1" x14ac:dyDescent="0.2">
      <c r="B140" s="160"/>
      <c r="C140" s="160"/>
      <c r="D140" s="61"/>
      <c r="I140"/>
      <c r="J140" s="13"/>
      <c r="K140" s="56"/>
      <c r="L140" s="56"/>
      <c r="M140" s="56"/>
      <c r="N140" s="56"/>
      <c r="O140" s="58"/>
    </row>
    <row r="141" spans="1:17" s="57" customFormat="1" x14ac:dyDescent="0.2">
      <c r="B141" s="160" t="s">
        <v>606</v>
      </c>
      <c r="C141" s="160"/>
      <c r="D141" s="62">
        <v>6.6678171854491195</v>
      </c>
      <c r="I141"/>
      <c r="J141" s="13"/>
      <c r="K141" s="56"/>
      <c r="L141" s="56"/>
      <c r="M141" s="56"/>
      <c r="N141" s="56"/>
      <c r="O141" s="58"/>
    </row>
    <row r="142" spans="1:17" s="57" customFormat="1" x14ac:dyDescent="0.2">
      <c r="B142" s="160"/>
      <c r="C142" s="160"/>
      <c r="D142" s="61"/>
      <c r="I142"/>
      <c r="J142" s="13"/>
      <c r="K142" s="56"/>
      <c r="L142" s="56"/>
      <c r="M142" s="56"/>
      <c r="N142" s="56"/>
      <c r="O142" s="58"/>
      <c r="P142"/>
      <c r="Q142"/>
    </row>
    <row r="143" spans="1:17" s="57" customFormat="1" x14ac:dyDescent="0.2">
      <c r="B143" s="160" t="s">
        <v>607</v>
      </c>
      <c r="C143" s="160"/>
      <c r="D143" s="62">
        <v>0.95112806926743365</v>
      </c>
      <c r="I143"/>
      <c r="J143" s="13"/>
      <c r="K143" s="56"/>
      <c r="L143" s="56"/>
      <c r="M143" s="56"/>
      <c r="N143" s="56"/>
      <c r="O143" s="58"/>
      <c r="P143"/>
      <c r="Q143"/>
    </row>
    <row r="144" spans="1:17" s="57" customFormat="1" x14ac:dyDescent="0.2">
      <c r="B144" s="160" t="s">
        <v>626</v>
      </c>
      <c r="C144" s="160"/>
      <c r="D144" s="62">
        <v>1.0153355425953345</v>
      </c>
      <c r="I144"/>
      <c r="J144" s="13"/>
      <c r="K144" s="56"/>
      <c r="L144" s="56"/>
      <c r="M144" s="56"/>
      <c r="N144" s="56"/>
      <c r="O144"/>
      <c r="P144"/>
      <c r="Q144"/>
    </row>
    <row r="145" spans="1:20" s="57" customFormat="1" x14ac:dyDescent="0.2">
      <c r="B145" s="160"/>
      <c r="C145" s="160"/>
      <c r="D145" s="61"/>
      <c r="I145"/>
      <c r="J145" s="13"/>
      <c r="K145" s="56"/>
      <c r="L145" s="56"/>
      <c r="M145" s="56"/>
      <c r="N145" s="56"/>
      <c r="O145"/>
      <c r="P145"/>
      <c r="Q145"/>
    </row>
    <row r="146" spans="1:20" s="57" customFormat="1" x14ac:dyDescent="0.2">
      <c r="B146" s="160" t="s">
        <v>609</v>
      </c>
      <c r="C146" s="160"/>
      <c r="D146" s="64" t="s">
        <v>733</v>
      </c>
      <c r="I146"/>
      <c r="J146" s="13"/>
      <c r="K146" s="56"/>
      <c r="L146" s="56"/>
      <c r="M146" s="56"/>
      <c r="N146" s="56"/>
      <c r="O146" s="58"/>
    </row>
    <row r="147" spans="1:20" s="57" customFormat="1" x14ac:dyDescent="0.2">
      <c r="B147" s="161" t="s">
        <v>610</v>
      </c>
      <c r="C147" s="163"/>
      <c r="D147" s="162"/>
      <c r="I147"/>
      <c r="J147" s="13"/>
      <c r="K147" s="56"/>
      <c r="L147" s="56"/>
      <c r="M147" s="56"/>
      <c r="N147" s="56"/>
      <c r="O147"/>
      <c r="P147"/>
      <c r="Q147"/>
      <c r="R147"/>
      <c r="S147"/>
      <c r="T147"/>
    </row>
    <row r="148" spans="1:20" x14ac:dyDescent="0.2">
      <c r="A148" s="54"/>
      <c r="B148" s="54"/>
      <c r="C148" s="54"/>
      <c r="D148" s="54"/>
      <c r="E148" s="54"/>
      <c r="F148" s="54"/>
      <c r="G148" s="54"/>
      <c r="J148" s="13"/>
    </row>
    <row r="149" spans="1:20" s="57" customFormat="1" x14ac:dyDescent="0.2">
      <c r="B149" s="138" t="s">
        <v>734</v>
      </c>
      <c r="C149" s="138"/>
      <c r="D149" s="138"/>
      <c r="E149" s="138"/>
      <c r="F149" s="138"/>
      <c r="G149" s="138"/>
      <c r="H149" s="138"/>
      <c r="I149"/>
      <c r="J149" s="13"/>
      <c r="K149" s="56"/>
      <c r="L149" s="56"/>
      <c r="M149" s="56"/>
      <c r="N149" s="56"/>
      <c r="O149" s="58"/>
    </row>
    <row r="150" spans="1:20" s="57" customFormat="1" ht="6.75" customHeight="1" x14ac:dyDescent="0.2">
      <c r="B150" s="138"/>
      <c r="C150" s="138"/>
      <c r="D150" s="138"/>
      <c r="E150" s="138"/>
      <c r="F150" s="138"/>
      <c r="G150" s="138"/>
      <c r="H150" s="138"/>
      <c r="I150"/>
      <c r="J150" s="13"/>
      <c r="K150" s="56"/>
      <c r="L150" s="56"/>
      <c r="M150" s="56"/>
      <c r="N150" s="56"/>
      <c r="O150" s="58"/>
    </row>
    <row r="151" spans="1:20" ht="13.5" x14ac:dyDescent="0.25">
      <c r="B151" s="90" t="s">
        <v>627</v>
      </c>
      <c r="C151" s="90" t="s">
        <v>628</v>
      </c>
      <c r="D151" s="201" t="s">
        <v>629</v>
      </c>
      <c r="E151" s="201"/>
      <c r="F151" s="201"/>
      <c r="G151" s="200" t="s">
        <v>630</v>
      </c>
      <c r="H151" s="200"/>
      <c r="J151" s="13"/>
      <c r="K151" s="56"/>
      <c r="L151" s="56"/>
      <c r="M151" s="56"/>
      <c r="N151" s="56"/>
      <c r="P151" s="56"/>
    </row>
    <row r="152" spans="1:20" ht="27" x14ac:dyDescent="0.25">
      <c r="B152" s="89" t="s">
        <v>631</v>
      </c>
      <c r="C152" s="88" t="s">
        <v>632</v>
      </c>
      <c r="D152" s="198">
        <v>0</v>
      </c>
      <c r="E152" s="198"/>
      <c r="F152" s="198"/>
      <c r="G152" s="198">
        <v>0</v>
      </c>
      <c r="H152" s="198"/>
      <c r="J152" s="13"/>
      <c r="K152" s="56"/>
      <c r="L152" s="56"/>
      <c r="M152" s="56"/>
      <c r="N152" s="56"/>
      <c r="P152" s="56"/>
    </row>
    <row r="153" spans="1:20" ht="27" x14ac:dyDescent="0.25">
      <c r="B153" s="89" t="s">
        <v>633</v>
      </c>
      <c r="C153" s="88" t="s">
        <v>634</v>
      </c>
      <c r="D153" s="198">
        <v>0</v>
      </c>
      <c r="E153" s="198"/>
      <c r="F153" s="198"/>
      <c r="G153" s="198">
        <v>0</v>
      </c>
      <c r="H153" s="198"/>
      <c r="J153" s="13"/>
      <c r="K153" s="56"/>
      <c r="L153" s="56"/>
      <c r="M153" s="56"/>
      <c r="N153" s="56"/>
      <c r="P153" s="56"/>
    </row>
    <row r="154" spans="1:20" ht="27" x14ac:dyDescent="0.25">
      <c r="B154" s="89" t="s">
        <v>635</v>
      </c>
      <c r="C154" s="88" t="s">
        <v>636</v>
      </c>
      <c r="D154" s="198">
        <v>0</v>
      </c>
      <c r="E154" s="198"/>
      <c r="F154" s="198"/>
      <c r="G154" s="198">
        <v>0</v>
      </c>
      <c r="H154" s="198"/>
      <c r="J154" s="13"/>
      <c r="K154" s="56"/>
      <c r="L154" s="56"/>
      <c r="M154" s="56"/>
      <c r="N154" s="56"/>
      <c r="P154" s="56"/>
    </row>
    <row r="155" spans="1:20" ht="13.5" x14ac:dyDescent="0.25">
      <c r="B155" s="89"/>
      <c r="C155" s="89"/>
      <c r="D155" s="199"/>
      <c r="E155" s="199"/>
      <c r="F155" s="199"/>
      <c r="G155" s="199"/>
      <c r="H155" s="199"/>
      <c r="J155" s="13"/>
      <c r="K155" s="56"/>
      <c r="L155" s="56"/>
      <c r="M155" s="56"/>
      <c r="N155" s="56"/>
      <c r="P155" s="56"/>
    </row>
    <row r="156" spans="1:20" ht="13.5" x14ac:dyDescent="0.25">
      <c r="B156" s="200" t="s">
        <v>637</v>
      </c>
      <c r="C156" s="200"/>
      <c r="D156" s="200"/>
      <c r="E156" s="200"/>
      <c r="F156" s="200"/>
      <c r="G156" s="200"/>
      <c r="H156" s="200"/>
      <c r="J156" s="13"/>
      <c r="K156" s="56"/>
      <c r="L156" s="56"/>
      <c r="M156" s="56"/>
      <c r="N156" s="56"/>
      <c r="P156" s="56"/>
    </row>
    <row r="157" spans="1:20" ht="13.5" customHeight="1" x14ac:dyDescent="0.2">
      <c r="B157" s="196" t="s">
        <v>627</v>
      </c>
      <c r="C157" s="196" t="s">
        <v>628</v>
      </c>
      <c r="D157" s="196" t="s">
        <v>638</v>
      </c>
      <c r="E157" s="196"/>
      <c r="F157" s="196"/>
      <c r="G157" s="196"/>
      <c r="H157" s="197" t="s">
        <v>639</v>
      </c>
      <c r="I157" s="197" t="s">
        <v>640</v>
      </c>
      <c r="J157" s="183" t="s">
        <v>641</v>
      </c>
      <c r="K157" s="56"/>
      <c r="L157" s="56"/>
      <c r="M157" s="56"/>
      <c r="N157" s="56"/>
      <c r="O157" s="56"/>
      <c r="P157" s="56"/>
    </row>
    <row r="158" spans="1:20" ht="94.5" customHeight="1" x14ac:dyDescent="0.2">
      <c r="B158" s="196"/>
      <c r="C158" s="196"/>
      <c r="D158" s="85" t="s">
        <v>642</v>
      </c>
      <c r="E158" s="85" t="s">
        <v>643</v>
      </c>
      <c r="F158" s="85" t="s">
        <v>644</v>
      </c>
      <c r="G158" s="85" t="s">
        <v>645</v>
      </c>
      <c r="H158" s="197"/>
      <c r="I158" s="197"/>
      <c r="J158" s="184"/>
      <c r="K158" s="56"/>
      <c r="L158" s="56"/>
      <c r="M158" s="56"/>
      <c r="N158" s="56"/>
      <c r="O158" s="56"/>
      <c r="P158" s="56"/>
    </row>
    <row r="159" spans="1:20" ht="27" x14ac:dyDescent="0.25">
      <c r="B159" s="89" t="s">
        <v>631</v>
      </c>
      <c r="C159" s="88" t="s">
        <v>632</v>
      </c>
      <c r="D159" s="91">
        <v>1500</v>
      </c>
      <c r="E159" s="91">
        <v>99.850684900000005</v>
      </c>
      <c r="F159" s="153">
        <v>36.275342200000004</v>
      </c>
      <c r="G159" s="154">
        <v>1636.1260271000001</v>
      </c>
      <c r="H159" s="7">
        <v>726.67232000000001</v>
      </c>
      <c r="I159" s="7">
        <f>1250521/10^5</f>
        <v>12.50521</v>
      </c>
      <c r="J159" s="7">
        <f>H159+I159</f>
        <v>739.17753000000005</v>
      </c>
      <c r="K159" s="56"/>
      <c r="L159" s="56"/>
      <c r="M159" s="56"/>
      <c r="N159" s="56"/>
      <c r="O159" s="56"/>
      <c r="P159" s="56"/>
    </row>
    <row r="160" spans="1:20" ht="27" x14ac:dyDescent="0.25">
      <c r="B160" s="89" t="s">
        <v>633</v>
      </c>
      <c r="C160" s="88" t="s">
        <v>634</v>
      </c>
      <c r="D160" s="91">
        <v>2517.2199999999998</v>
      </c>
      <c r="E160" s="91">
        <v>183.25361600000002</v>
      </c>
      <c r="F160" s="153">
        <v>45.813405699999997</v>
      </c>
      <c r="G160" s="154">
        <v>2746.2870217</v>
      </c>
      <c r="H160" s="7">
        <v>1225.53333</v>
      </c>
      <c r="I160" s="7">
        <f>2109013/10^5</f>
        <v>21.090129999999998</v>
      </c>
      <c r="J160" s="7">
        <f>H160+I160</f>
        <v>1246.62346</v>
      </c>
      <c r="K160" s="56"/>
      <c r="L160" s="56"/>
      <c r="M160" s="56"/>
      <c r="N160" s="56"/>
      <c r="O160" s="56"/>
      <c r="P160" s="56"/>
    </row>
    <row r="161" spans="2:16" ht="27" x14ac:dyDescent="0.25">
      <c r="B161" s="89" t="s">
        <v>635</v>
      </c>
      <c r="C161" s="88" t="s">
        <v>636</v>
      </c>
      <c r="D161" s="91">
        <v>4882.25</v>
      </c>
      <c r="E161" s="91">
        <v>323.21163799999999</v>
      </c>
      <c r="F161" s="153">
        <v>117.42144879999999</v>
      </c>
      <c r="G161" s="154">
        <v>5322.8830868000005</v>
      </c>
      <c r="H161" s="7">
        <v>2364.0489899999998</v>
      </c>
      <c r="I161" s="7">
        <f>4068280/10^5</f>
        <v>40.6828</v>
      </c>
      <c r="J161" s="7">
        <f>H161+I161</f>
        <v>2404.7317899999998</v>
      </c>
      <c r="K161" s="56"/>
      <c r="L161" s="56"/>
      <c r="M161" s="56"/>
      <c r="N161" s="56"/>
      <c r="O161" s="56"/>
      <c r="P161" s="56"/>
    </row>
    <row r="162" spans="2:16" ht="13.5" x14ac:dyDescent="0.25">
      <c r="B162" s="144"/>
      <c r="C162" s="145"/>
      <c r="D162" s="155"/>
      <c r="E162" s="155"/>
      <c r="F162" s="9"/>
      <c r="G162" s="147"/>
      <c r="H162" s="16"/>
      <c r="I162" s="16"/>
      <c r="J162" s="16"/>
      <c r="K162" s="56"/>
      <c r="L162" s="56"/>
      <c r="M162" s="56"/>
      <c r="N162" s="56"/>
      <c r="O162" s="56"/>
      <c r="P162" s="56"/>
    </row>
    <row r="163" spans="2:16" ht="13.5" customHeight="1" x14ac:dyDescent="0.2">
      <c r="B163" s="185" t="s">
        <v>627</v>
      </c>
      <c r="C163" s="185" t="s">
        <v>628</v>
      </c>
      <c r="D163" s="188" t="s">
        <v>638</v>
      </c>
      <c r="E163" s="189"/>
      <c r="F163" s="190"/>
      <c r="G163" s="191" t="s">
        <v>646</v>
      </c>
      <c r="H163" s="192"/>
      <c r="I163" s="193"/>
      <c r="J163" s="56"/>
      <c r="K163" s="56"/>
      <c r="L163" s="56"/>
      <c r="M163" s="56"/>
      <c r="N163" s="56"/>
      <c r="O163" s="56"/>
    </row>
    <row r="164" spans="2:16" ht="46.5" customHeight="1" x14ac:dyDescent="0.2">
      <c r="B164" s="186"/>
      <c r="C164" s="186"/>
      <c r="D164" s="183" t="s">
        <v>647</v>
      </c>
      <c r="E164" s="183" t="s">
        <v>648</v>
      </c>
      <c r="F164" s="183" t="s">
        <v>649</v>
      </c>
      <c r="G164" s="194" t="s">
        <v>650</v>
      </c>
      <c r="H164" s="195"/>
      <c r="I164" s="183" t="s">
        <v>651</v>
      </c>
      <c r="J164" s="56"/>
      <c r="K164" s="56"/>
      <c r="L164" s="56"/>
      <c r="M164" s="56"/>
      <c r="N164" s="56"/>
      <c r="O164" s="56"/>
    </row>
    <row r="165" spans="2:16" ht="21" customHeight="1" x14ac:dyDescent="0.2">
      <c r="B165" s="187"/>
      <c r="C165" s="187"/>
      <c r="D165" s="184"/>
      <c r="E165" s="184"/>
      <c r="F165" s="184"/>
      <c r="G165" s="85" t="s">
        <v>652</v>
      </c>
      <c r="H165" s="85" t="s">
        <v>653</v>
      </c>
      <c r="I165" s="184"/>
      <c r="J165" s="56"/>
      <c r="K165" s="56"/>
      <c r="L165" s="56"/>
      <c r="M165" s="56"/>
      <c r="N165" s="56"/>
      <c r="O165" s="56"/>
    </row>
    <row r="166" spans="2:16" ht="13.5" x14ac:dyDescent="0.25">
      <c r="B166" s="89" t="s">
        <v>654</v>
      </c>
      <c r="C166" s="88" t="s">
        <v>655</v>
      </c>
      <c r="D166" s="156">
        <v>293.30880000000002</v>
      </c>
      <c r="E166" s="8">
        <v>6.6912000000000003</v>
      </c>
      <c r="F166" s="154">
        <f>D166+E166</f>
        <v>300</v>
      </c>
      <c r="G166" s="7">
        <v>12.699082800000001</v>
      </c>
      <c r="H166" s="7">
        <v>8</v>
      </c>
      <c r="I166" s="7">
        <f>G166+H166</f>
        <v>20.699082799999999</v>
      </c>
      <c r="J166" s="56"/>
      <c r="K166" s="56"/>
      <c r="L166" s="56"/>
      <c r="M166" s="56"/>
      <c r="N166" s="56"/>
      <c r="O166" s="56"/>
    </row>
    <row r="167" spans="2:16" ht="6.75" customHeight="1" x14ac:dyDescent="0.25">
      <c r="B167" s="144"/>
      <c r="C167" s="145"/>
      <c r="D167" s="146"/>
      <c r="E167" s="9"/>
      <c r="F167" s="147"/>
      <c r="G167" s="16"/>
      <c r="H167" s="16"/>
      <c r="I167" s="16"/>
      <c r="J167" s="56"/>
      <c r="K167" s="56"/>
      <c r="L167" s="56"/>
      <c r="M167" s="56"/>
      <c r="N167" s="56"/>
      <c r="O167" s="56"/>
    </row>
    <row r="168" spans="2:16" ht="45" customHeight="1" x14ac:dyDescent="0.2">
      <c r="B168" s="182" t="s">
        <v>656</v>
      </c>
      <c r="C168" s="182"/>
      <c r="D168" s="182"/>
      <c r="E168" s="182"/>
      <c r="F168" s="182"/>
      <c r="G168" s="182"/>
      <c r="H168" s="182"/>
      <c r="I168" s="182"/>
      <c r="J168" s="148"/>
      <c r="K168" s="56"/>
      <c r="L168" s="56"/>
      <c r="M168" s="56"/>
      <c r="N168" s="56"/>
      <c r="O168" s="56"/>
    </row>
    <row r="169" spans="2:16" ht="13.5" x14ac:dyDescent="0.25">
      <c r="B169" s="94" t="s">
        <v>657</v>
      </c>
      <c r="I169" s="56"/>
      <c r="J169" s="13"/>
      <c r="K169" s="56"/>
      <c r="L169" s="56"/>
      <c r="M169" s="56"/>
      <c r="N169" s="56"/>
      <c r="O169" s="56"/>
      <c r="P169" s="56"/>
    </row>
    <row r="170" spans="2:16" x14ac:dyDescent="0.2">
      <c r="B170" s="56"/>
      <c r="C170" s="56"/>
      <c r="D170" s="56"/>
      <c r="E170" s="56"/>
      <c r="F170" s="56"/>
      <c r="G170" s="56"/>
      <c r="H170" s="56"/>
      <c r="I170" s="56"/>
      <c r="J170" s="13"/>
      <c r="K170" s="56"/>
      <c r="L170" s="56"/>
      <c r="M170" s="56"/>
      <c r="N170" s="56"/>
      <c r="O170" s="56"/>
      <c r="P170" s="56"/>
    </row>
    <row r="171" spans="2:16" x14ac:dyDescent="0.2">
      <c r="B171" s="95" t="s">
        <v>658</v>
      </c>
      <c r="C171" s="56"/>
      <c r="D171" s="56"/>
      <c r="E171" s="56"/>
      <c r="F171" s="56"/>
      <c r="G171" s="56"/>
      <c r="H171" s="56"/>
      <c r="I171" s="56"/>
      <c r="J171" s="13"/>
      <c r="K171" s="56"/>
      <c r="L171" s="56"/>
      <c r="M171" s="56"/>
      <c r="N171" s="56"/>
      <c r="O171" s="56"/>
      <c r="P171" s="56"/>
    </row>
    <row r="172" spans="2:16" x14ac:dyDescent="0.2">
      <c r="B172" s="56"/>
      <c r="C172" s="56"/>
      <c r="D172" s="56"/>
      <c r="E172" s="56"/>
      <c r="F172" s="56"/>
      <c r="G172" s="56"/>
      <c r="H172" s="56"/>
      <c r="I172" s="56"/>
      <c r="J172" s="13"/>
      <c r="K172" s="56"/>
      <c r="L172" s="56"/>
      <c r="M172" s="56"/>
      <c r="N172" s="56"/>
      <c r="O172" s="56"/>
      <c r="P172" s="56"/>
    </row>
    <row r="173" spans="2:16" x14ac:dyDescent="0.2">
      <c r="B173" s="95" t="s">
        <v>659</v>
      </c>
      <c r="C173" s="56"/>
      <c r="D173" s="56"/>
      <c r="E173" s="56"/>
      <c r="F173" s="56"/>
      <c r="G173" s="56"/>
      <c r="H173" s="56"/>
      <c r="I173" s="56"/>
      <c r="J173" s="13"/>
      <c r="K173" s="56"/>
      <c r="L173" s="56"/>
      <c r="M173" s="56"/>
      <c r="N173" s="56"/>
      <c r="O173" s="56"/>
      <c r="P173" s="56"/>
    </row>
    <row r="174" spans="2:16" x14ac:dyDescent="0.2">
      <c r="J174" s="13"/>
    </row>
    <row r="175" spans="2:16" x14ac:dyDescent="0.2">
      <c r="B175" s="95" t="s">
        <v>660</v>
      </c>
      <c r="J175" s="13"/>
      <c r="K175" s="56"/>
      <c r="L175" s="56"/>
      <c r="M175" s="56"/>
      <c r="N175" s="56"/>
      <c r="O175" s="56"/>
    </row>
    <row r="176" spans="2:16" x14ac:dyDescent="0.2">
      <c r="B176" s="95"/>
      <c r="J176" s="13"/>
      <c r="K176" s="56"/>
      <c r="L176" s="56"/>
      <c r="M176" s="56"/>
      <c r="N176" s="56"/>
      <c r="O176" s="56"/>
    </row>
    <row r="177" spans="2:15" x14ac:dyDescent="0.2">
      <c r="B177" s="95" t="s">
        <v>661</v>
      </c>
      <c r="J177" s="13"/>
      <c r="K177" s="56"/>
      <c r="L177" s="56"/>
      <c r="M177" s="56"/>
      <c r="N177" s="56"/>
      <c r="O177" s="56"/>
    </row>
    <row r="178" spans="2:15" x14ac:dyDescent="0.2">
      <c r="J178" s="13"/>
    </row>
    <row r="179" spans="2:15" x14ac:dyDescent="0.2">
      <c r="B179" s="66" t="s">
        <v>611</v>
      </c>
    </row>
    <row r="181" spans="2:15" ht="153.75" customHeight="1" x14ac:dyDescent="0.2"/>
    <row r="184" spans="2:15" x14ac:dyDescent="0.2">
      <c r="B184" s="67" t="s">
        <v>612</v>
      </c>
      <c r="C184" s="68"/>
      <c r="D184" s="67"/>
    </row>
    <row r="185" spans="2:15" x14ac:dyDescent="0.2">
      <c r="B185" s="67" t="s">
        <v>662</v>
      </c>
      <c r="D185" s="67"/>
    </row>
    <row r="186" spans="2:15" ht="180" customHeight="1" x14ac:dyDescent="0.2"/>
  </sheetData>
  <mergeCells count="53">
    <mergeCell ref="A1:H1"/>
    <mergeCell ref="A2:H2"/>
    <mergeCell ref="A3:H3"/>
    <mergeCell ref="B127:C127"/>
    <mergeCell ref="B115:C115"/>
    <mergeCell ref="B116:C116"/>
    <mergeCell ref="B137:D137"/>
    <mergeCell ref="B138:C138"/>
    <mergeCell ref="B109:H109"/>
    <mergeCell ref="B110:H110"/>
    <mergeCell ref="B111:H111"/>
    <mergeCell ref="B113:D113"/>
    <mergeCell ref="B114:C114"/>
    <mergeCell ref="B132:C132"/>
    <mergeCell ref="B133:C133"/>
    <mergeCell ref="B134:C134"/>
    <mergeCell ref="B135:C135"/>
    <mergeCell ref="B139:C139"/>
    <mergeCell ref="B140:C140"/>
    <mergeCell ref="B141:C141"/>
    <mergeCell ref="B142:C142"/>
    <mergeCell ref="B143:C143"/>
    <mergeCell ref="B144:C144"/>
    <mergeCell ref="B145:C145"/>
    <mergeCell ref="B146:C146"/>
    <mergeCell ref="B147:D147"/>
    <mergeCell ref="D151:F151"/>
    <mergeCell ref="G151:H151"/>
    <mergeCell ref="D152:F152"/>
    <mergeCell ref="G152:H152"/>
    <mergeCell ref="D153:F153"/>
    <mergeCell ref="G153:H153"/>
    <mergeCell ref="D154:F154"/>
    <mergeCell ref="G154:H154"/>
    <mergeCell ref="D155:F155"/>
    <mergeCell ref="G155:H155"/>
    <mergeCell ref="B156:H156"/>
    <mergeCell ref="B168:I168"/>
    <mergeCell ref="J157:J158"/>
    <mergeCell ref="B163:B165"/>
    <mergeCell ref="C163:C165"/>
    <mergeCell ref="D163:F163"/>
    <mergeCell ref="G163:I163"/>
    <mergeCell ref="D164:D165"/>
    <mergeCell ref="E164:E165"/>
    <mergeCell ref="F164:F165"/>
    <mergeCell ref="G164:H164"/>
    <mergeCell ref="I164:I165"/>
    <mergeCell ref="B157:B158"/>
    <mergeCell ref="C157:C158"/>
    <mergeCell ref="D157:G157"/>
    <mergeCell ref="H157:H158"/>
    <mergeCell ref="I157:I158"/>
  </mergeCells>
  <hyperlinks>
    <hyperlink ref="B171" r:id="rId1" xr:uid="{B6159101-7A8B-490F-ABC2-6D6E8AB684AC}"/>
    <hyperlink ref="B173" r:id="rId2" xr:uid="{AABB271B-63E4-4DAD-A532-1862AB092A1D}"/>
    <hyperlink ref="B175" r:id="rId3" xr:uid="{629891C4-F962-41ED-805B-FA1966CAD3A7}"/>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2D3A0-DF00-439A-B460-93CD23662E17}">
  <sheetPr>
    <outlinePr summaryBelow="0" summaryRight="0"/>
  </sheetPr>
  <dimension ref="A1:R212"/>
  <sheetViews>
    <sheetView showGridLines="0" workbookViewId="0">
      <selection activeCell="E28" sqref="E28"/>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0" ht="15" x14ac:dyDescent="0.2">
      <c r="A1" s="174" t="s">
        <v>0</v>
      </c>
      <c r="B1" s="174"/>
      <c r="C1" s="174"/>
      <c r="D1" s="174"/>
      <c r="E1" s="174"/>
      <c r="F1" s="174"/>
      <c r="G1" s="174"/>
      <c r="H1" s="174"/>
      <c r="I1" s="15"/>
    </row>
    <row r="2" spans="1:10" ht="15" x14ac:dyDescent="0.2">
      <c r="A2" s="174" t="s">
        <v>302</v>
      </c>
      <c r="B2" s="174"/>
      <c r="C2" s="174"/>
      <c r="D2" s="174"/>
      <c r="E2" s="174"/>
      <c r="F2" s="174"/>
      <c r="G2" s="174"/>
      <c r="H2" s="174"/>
    </row>
    <row r="3" spans="1:10" ht="15" x14ac:dyDescent="0.2">
      <c r="A3" s="174" t="s">
        <v>581</v>
      </c>
      <c r="B3" s="174"/>
      <c r="C3" s="174"/>
      <c r="D3" s="174"/>
      <c r="E3" s="174"/>
      <c r="F3" s="174"/>
      <c r="G3" s="174"/>
      <c r="H3" s="174"/>
    </row>
    <row r="4" spans="1:10" s="13" customFormat="1" ht="30" x14ac:dyDescent="0.2">
      <c r="A4" s="14" t="s">
        <v>2</v>
      </c>
      <c r="B4" s="14" t="s">
        <v>3</v>
      </c>
      <c r="C4" s="14" t="s">
        <v>4</v>
      </c>
      <c r="D4" s="14" t="s">
        <v>5</v>
      </c>
      <c r="E4" s="14" t="s">
        <v>6</v>
      </c>
      <c r="F4" s="14" t="s">
        <v>7</v>
      </c>
      <c r="G4" s="14" t="s">
        <v>8</v>
      </c>
      <c r="H4" s="12" t="s">
        <v>725</v>
      </c>
    </row>
    <row r="5" spans="1:10" x14ac:dyDescent="0.2">
      <c r="A5" s="17"/>
      <c r="B5" s="17"/>
      <c r="C5" s="18" t="s">
        <v>9</v>
      </c>
      <c r="D5" s="17"/>
      <c r="E5" s="17"/>
      <c r="F5" s="17"/>
      <c r="G5" s="17"/>
      <c r="H5" s="19" t="s">
        <v>12</v>
      </c>
    </row>
    <row r="6" spans="1:10" ht="25.5" x14ac:dyDescent="0.2">
      <c r="A6" s="20"/>
      <c r="B6" s="20"/>
      <c r="C6" s="21" t="s">
        <v>10</v>
      </c>
      <c r="D6" s="20"/>
      <c r="E6" s="20"/>
      <c r="F6" s="20"/>
      <c r="G6" s="20"/>
      <c r="H6" s="19" t="s">
        <v>12</v>
      </c>
    </row>
    <row r="7" spans="1:10" x14ac:dyDescent="0.2">
      <c r="A7" s="27">
        <v>1</v>
      </c>
      <c r="B7" s="70" t="s">
        <v>621</v>
      </c>
      <c r="C7" s="70" t="s">
        <v>622</v>
      </c>
      <c r="D7" s="70" t="s">
        <v>623</v>
      </c>
      <c r="E7" s="71">
        <v>150667</v>
      </c>
      <c r="F7" s="72">
        <v>0.15</v>
      </c>
      <c r="G7" s="113" t="s">
        <v>624</v>
      </c>
      <c r="H7" s="19" t="s">
        <v>12</v>
      </c>
      <c r="J7" s="116"/>
    </row>
    <row r="8" spans="1:10" x14ac:dyDescent="0.2">
      <c r="A8" s="20"/>
      <c r="B8" s="20"/>
      <c r="C8" s="21" t="s">
        <v>11</v>
      </c>
      <c r="D8" s="20"/>
      <c r="E8" s="20" t="s">
        <v>12</v>
      </c>
      <c r="F8" s="26">
        <f>SUM(F7)</f>
        <v>0.15</v>
      </c>
      <c r="G8" s="23">
        <v>0</v>
      </c>
      <c r="H8" s="19" t="s">
        <v>12</v>
      </c>
    </row>
    <row r="9" spans="1:10" x14ac:dyDescent="0.2">
      <c r="A9" s="20"/>
      <c r="B9" s="20"/>
      <c r="C9" s="24"/>
      <c r="D9" s="20"/>
      <c r="E9" s="20"/>
      <c r="F9" s="25"/>
      <c r="G9" s="25"/>
      <c r="H9" s="19" t="s">
        <v>12</v>
      </c>
    </row>
    <row r="10" spans="1:10" x14ac:dyDescent="0.2">
      <c r="A10" s="20"/>
      <c r="B10" s="20"/>
      <c r="C10" s="21" t="s">
        <v>14</v>
      </c>
      <c r="D10" s="20"/>
      <c r="E10" s="20"/>
      <c r="F10" s="20"/>
      <c r="G10" s="20"/>
      <c r="H10" s="19" t="s">
        <v>12</v>
      </c>
    </row>
    <row r="11" spans="1:10" x14ac:dyDescent="0.2">
      <c r="A11" s="20"/>
      <c r="B11" s="20"/>
      <c r="C11" s="21" t="s">
        <v>11</v>
      </c>
      <c r="D11" s="20"/>
      <c r="E11" s="20" t="s">
        <v>12</v>
      </c>
      <c r="F11" s="22" t="s">
        <v>13</v>
      </c>
      <c r="G11" s="23">
        <v>0</v>
      </c>
      <c r="H11" s="19" t="s">
        <v>12</v>
      </c>
    </row>
    <row r="12" spans="1:10" x14ac:dyDescent="0.2">
      <c r="A12" s="20"/>
      <c r="B12" s="20"/>
      <c r="C12" s="24"/>
      <c r="D12" s="20"/>
      <c r="E12" s="20"/>
      <c r="F12" s="25"/>
      <c r="G12" s="25"/>
      <c r="H12" s="19" t="s">
        <v>12</v>
      </c>
    </row>
    <row r="13" spans="1:10" x14ac:dyDescent="0.2">
      <c r="A13" s="20"/>
      <c r="B13" s="20"/>
      <c r="C13" s="21" t="s">
        <v>15</v>
      </c>
      <c r="D13" s="20"/>
      <c r="E13" s="20"/>
      <c r="F13" s="20"/>
      <c r="G13" s="20"/>
      <c r="H13" s="19" t="s">
        <v>12</v>
      </c>
    </row>
    <row r="14" spans="1:10" x14ac:dyDescent="0.2">
      <c r="A14" s="20"/>
      <c r="B14" s="20"/>
      <c r="C14" s="21" t="s">
        <v>11</v>
      </c>
      <c r="D14" s="20"/>
      <c r="E14" s="20" t="s">
        <v>12</v>
      </c>
      <c r="F14" s="22" t="s">
        <v>13</v>
      </c>
      <c r="G14" s="23">
        <v>0</v>
      </c>
      <c r="H14" s="19" t="s">
        <v>12</v>
      </c>
    </row>
    <row r="15" spans="1:10" x14ac:dyDescent="0.2">
      <c r="A15" s="20"/>
      <c r="B15" s="20"/>
      <c r="C15" s="24"/>
      <c r="D15" s="20"/>
      <c r="E15" s="20"/>
      <c r="F15" s="25"/>
      <c r="G15" s="25"/>
      <c r="H15" s="19" t="s">
        <v>12</v>
      </c>
    </row>
    <row r="16" spans="1:10" x14ac:dyDescent="0.2">
      <c r="A16" s="20"/>
      <c r="B16" s="20"/>
      <c r="C16" s="21" t="s">
        <v>16</v>
      </c>
      <c r="D16" s="20"/>
      <c r="E16" s="20"/>
      <c r="F16" s="20"/>
      <c r="G16" s="20"/>
      <c r="H16" s="19" t="s">
        <v>12</v>
      </c>
    </row>
    <row r="17" spans="1:8" x14ac:dyDescent="0.2">
      <c r="A17" s="20"/>
      <c r="B17" s="20"/>
      <c r="C17" s="21" t="s">
        <v>11</v>
      </c>
      <c r="D17" s="20"/>
      <c r="E17" s="20" t="s">
        <v>12</v>
      </c>
      <c r="F17" s="22" t="s">
        <v>13</v>
      </c>
      <c r="G17" s="23">
        <v>0</v>
      </c>
      <c r="H17" s="19" t="s">
        <v>12</v>
      </c>
    </row>
    <row r="18" spans="1:8" x14ac:dyDescent="0.2">
      <c r="A18" s="20"/>
      <c r="B18" s="20"/>
      <c r="C18" s="24"/>
      <c r="D18" s="20"/>
      <c r="E18" s="20"/>
      <c r="F18" s="25"/>
      <c r="G18" s="25"/>
      <c r="H18" s="19" t="s">
        <v>12</v>
      </c>
    </row>
    <row r="19" spans="1:8" x14ac:dyDescent="0.2">
      <c r="A19" s="20"/>
      <c r="B19" s="20"/>
      <c r="C19" s="21" t="s">
        <v>17</v>
      </c>
      <c r="D19" s="20"/>
      <c r="E19" s="20"/>
      <c r="F19" s="25"/>
      <c r="G19" s="25"/>
      <c r="H19" s="19" t="s">
        <v>12</v>
      </c>
    </row>
    <row r="20" spans="1:8" x14ac:dyDescent="0.2">
      <c r="A20" s="20"/>
      <c r="B20" s="20"/>
      <c r="C20" s="21" t="s">
        <v>11</v>
      </c>
      <c r="D20" s="20"/>
      <c r="E20" s="20" t="s">
        <v>12</v>
      </c>
      <c r="F20" s="22" t="s">
        <v>13</v>
      </c>
      <c r="G20" s="23">
        <v>0</v>
      </c>
      <c r="H20" s="19" t="s">
        <v>12</v>
      </c>
    </row>
    <row r="21" spans="1:8" x14ac:dyDescent="0.2">
      <c r="A21" s="20"/>
      <c r="B21" s="20"/>
      <c r="C21" s="24"/>
      <c r="D21" s="20"/>
      <c r="E21" s="20"/>
      <c r="F21" s="25"/>
      <c r="G21" s="25"/>
      <c r="H21" s="19" t="s">
        <v>12</v>
      </c>
    </row>
    <row r="22" spans="1:8" x14ac:dyDescent="0.2">
      <c r="A22" s="20"/>
      <c r="B22" s="20"/>
      <c r="C22" s="21" t="s">
        <v>18</v>
      </c>
      <c r="D22" s="20"/>
      <c r="E22" s="20"/>
      <c r="F22" s="25"/>
      <c r="G22" s="25"/>
      <c r="H22" s="19" t="s">
        <v>12</v>
      </c>
    </row>
    <row r="23" spans="1:8" x14ac:dyDescent="0.2">
      <c r="A23" s="20"/>
      <c r="B23" s="20"/>
      <c r="C23" s="21" t="s">
        <v>11</v>
      </c>
      <c r="D23" s="20"/>
      <c r="E23" s="20" t="s">
        <v>12</v>
      </c>
      <c r="F23" s="22" t="s">
        <v>13</v>
      </c>
      <c r="G23" s="23">
        <v>0</v>
      </c>
      <c r="H23" s="19" t="s">
        <v>12</v>
      </c>
    </row>
    <row r="24" spans="1:8" x14ac:dyDescent="0.2">
      <c r="A24" s="20"/>
      <c r="B24" s="20"/>
      <c r="C24" s="24"/>
      <c r="D24" s="20"/>
      <c r="E24" s="20"/>
      <c r="F24" s="25"/>
      <c r="G24" s="25"/>
      <c r="H24" s="19" t="s">
        <v>12</v>
      </c>
    </row>
    <row r="25" spans="1:8" x14ac:dyDescent="0.2">
      <c r="A25" s="20"/>
      <c r="B25" s="20"/>
      <c r="C25" s="21" t="s">
        <v>19</v>
      </c>
      <c r="D25" s="20"/>
      <c r="E25" s="20"/>
      <c r="F25" s="26">
        <f>F8</f>
        <v>0.15</v>
      </c>
      <c r="G25" s="23">
        <v>0</v>
      </c>
      <c r="H25" s="19" t="s">
        <v>12</v>
      </c>
    </row>
    <row r="26" spans="1:8" x14ac:dyDescent="0.2">
      <c r="A26" s="20"/>
      <c r="B26" s="20"/>
      <c r="C26" s="24"/>
      <c r="D26" s="20"/>
      <c r="E26" s="20"/>
      <c r="F26" s="25"/>
      <c r="G26" s="25"/>
      <c r="H26" s="19" t="s">
        <v>12</v>
      </c>
    </row>
    <row r="27" spans="1:8" x14ac:dyDescent="0.2">
      <c r="A27" s="20"/>
      <c r="B27" s="20"/>
      <c r="C27" s="21" t="s">
        <v>20</v>
      </c>
      <c r="D27" s="20"/>
      <c r="E27" s="20"/>
      <c r="F27" s="25"/>
      <c r="G27" s="25"/>
      <c r="H27" s="19" t="s">
        <v>12</v>
      </c>
    </row>
    <row r="28" spans="1:8" ht="25.5" x14ac:dyDescent="0.2">
      <c r="A28" s="20"/>
      <c r="B28" s="20"/>
      <c r="C28" s="21" t="s">
        <v>10</v>
      </c>
      <c r="D28" s="20"/>
      <c r="E28" s="20"/>
      <c r="F28" s="25"/>
      <c r="G28" s="25"/>
      <c r="H28" s="19" t="s">
        <v>12</v>
      </c>
    </row>
    <row r="29" spans="1:8" ht="25.5" x14ac:dyDescent="0.2">
      <c r="A29" s="27">
        <v>1</v>
      </c>
      <c r="B29" s="28" t="s">
        <v>303</v>
      </c>
      <c r="C29" s="28" t="s">
        <v>304</v>
      </c>
      <c r="D29" s="28" t="s">
        <v>23</v>
      </c>
      <c r="E29" s="29">
        <v>750</v>
      </c>
      <c r="F29" s="30">
        <v>7510.4624999999996</v>
      </c>
      <c r="G29" s="31">
        <v>1.194374E-2</v>
      </c>
      <c r="H29" s="19">
        <v>6.35</v>
      </c>
    </row>
    <row r="30" spans="1:8" ht="25.5" x14ac:dyDescent="0.2">
      <c r="A30" s="27">
        <v>2</v>
      </c>
      <c r="B30" s="28" t="s">
        <v>305</v>
      </c>
      <c r="C30" s="28" t="s">
        <v>306</v>
      </c>
      <c r="D30" s="28" t="s">
        <v>260</v>
      </c>
      <c r="E30" s="29">
        <v>5000</v>
      </c>
      <c r="F30" s="30">
        <v>5012.2700000000004</v>
      </c>
      <c r="G30" s="31">
        <v>7.9709099999999995E-3</v>
      </c>
      <c r="H30" s="19">
        <v>7.0631000000000004</v>
      </c>
    </row>
    <row r="31" spans="1:8" ht="25.5" x14ac:dyDescent="0.2">
      <c r="A31" s="27">
        <v>3</v>
      </c>
      <c r="B31" s="28" t="s">
        <v>307</v>
      </c>
      <c r="C31" s="28" t="s">
        <v>308</v>
      </c>
      <c r="D31" s="28" t="s">
        <v>23</v>
      </c>
      <c r="E31" s="29">
        <v>250</v>
      </c>
      <c r="F31" s="30">
        <v>2502.0025000000001</v>
      </c>
      <c r="G31" s="31">
        <v>3.9788899999999997E-3</v>
      </c>
      <c r="H31" s="19">
        <v>6.33</v>
      </c>
    </row>
    <row r="32" spans="1:8" x14ac:dyDescent="0.2">
      <c r="A32" s="20"/>
      <c r="B32" s="20"/>
      <c r="C32" s="21" t="s">
        <v>11</v>
      </c>
      <c r="D32" s="20"/>
      <c r="E32" s="20" t="s">
        <v>12</v>
      </c>
      <c r="F32" s="26">
        <v>15024.735000000001</v>
      </c>
      <c r="G32" s="23">
        <v>2.3893540000000001E-2</v>
      </c>
      <c r="H32" s="19" t="s">
        <v>12</v>
      </c>
    </row>
    <row r="33" spans="1:8" x14ac:dyDescent="0.2">
      <c r="A33" s="20"/>
      <c r="B33" s="20"/>
      <c r="C33" s="24"/>
      <c r="D33" s="20"/>
      <c r="E33" s="20"/>
      <c r="F33" s="25"/>
      <c r="G33" s="25"/>
      <c r="H33" s="19" t="s">
        <v>12</v>
      </c>
    </row>
    <row r="34" spans="1:8" x14ac:dyDescent="0.2">
      <c r="A34" s="20"/>
      <c r="B34" s="20"/>
      <c r="C34" s="21" t="s">
        <v>77</v>
      </c>
      <c r="D34" s="20"/>
      <c r="E34" s="20"/>
      <c r="F34" s="20"/>
      <c r="G34" s="20"/>
      <c r="H34" s="19" t="s">
        <v>12</v>
      </c>
    </row>
    <row r="35" spans="1:8" x14ac:dyDescent="0.2">
      <c r="A35" s="20"/>
      <c r="B35" s="20"/>
      <c r="C35" s="21" t="s">
        <v>11</v>
      </c>
      <c r="D35" s="20"/>
      <c r="E35" s="20" t="s">
        <v>12</v>
      </c>
      <c r="F35" s="22" t="s">
        <v>13</v>
      </c>
      <c r="G35" s="23">
        <v>0</v>
      </c>
      <c r="H35" s="19" t="s">
        <v>12</v>
      </c>
    </row>
    <row r="36" spans="1:8" x14ac:dyDescent="0.2">
      <c r="A36" s="20"/>
      <c r="B36" s="20"/>
      <c r="C36" s="24"/>
      <c r="D36" s="20"/>
      <c r="E36" s="20"/>
      <c r="F36" s="25"/>
      <c r="G36" s="25"/>
      <c r="H36" s="19" t="s">
        <v>12</v>
      </c>
    </row>
    <row r="37" spans="1:8" x14ac:dyDescent="0.2">
      <c r="A37" s="20"/>
      <c r="B37" s="20"/>
      <c r="C37" s="21" t="s">
        <v>78</v>
      </c>
      <c r="D37" s="20"/>
      <c r="E37" s="20"/>
      <c r="F37" s="20"/>
      <c r="G37" s="20"/>
      <c r="H37" s="19" t="s">
        <v>12</v>
      </c>
    </row>
    <row r="38" spans="1:8" x14ac:dyDescent="0.2">
      <c r="A38" s="20"/>
      <c r="B38" s="20"/>
      <c r="C38" s="21" t="s">
        <v>11</v>
      </c>
      <c r="D38" s="20"/>
      <c r="E38" s="20" t="s">
        <v>12</v>
      </c>
      <c r="F38" s="22" t="s">
        <v>13</v>
      </c>
      <c r="G38" s="23">
        <v>0</v>
      </c>
      <c r="H38" s="19" t="s">
        <v>12</v>
      </c>
    </row>
    <row r="39" spans="1:8" x14ac:dyDescent="0.2">
      <c r="A39" s="20"/>
      <c r="B39" s="20"/>
      <c r="C39" s="24"/>
      <c r="D39" s="20"/>
      <c r="E39" s="20"/>
      <c r="F39" s="25"/>
      <c r="G39" s="25"/>
      <c r="H39" s="19" t="s">
        <v>12</v>
      </c>
    </row>
    <row r="40" spans="1:8" x14ac:dyDescent="0.2">
      <c r="A40" s="20"/>
      <c r="B40" s="20"/>
      <c r="C40" s="21" t="s">
        <v>100</v>
      </c>
      <c r="D40" s="20"/>
      <c r="E40" s="20"/>
      <c r="F40" s="25"/>
      <c r="G40" s="25"/>
      <c r="H40" s="19" t="s">
        <v>12</v>
      </c>
    </row>
    <row r="41" spans="1:8" x14ac:dyDescent="0.2">
      <c r="A41" s="20"/>
      <c r="B41" s="20"/>
      <c r="C41" s="21" t="s">
        <v>11</v>
      </c>
      <c r="D41" s="20"/>
      <c r="E41" s="20" t="s">
        <v>12</v>
      </c>
      <c r="F41" s="22" t="s">
        <v>13</v>
      </c>
      <c r="G41" s="23">
        <v>0</v>
      </c>
      <c r="H41" s="19" t="s">
        <v>12</v>
      </c>
    </row>
    <row r="42" spans="1:8" x14ac:dyDescent="0.2">
      <c r="A42" s="20"/>
      <c r="B42" s="20"/>
      <c r="C42" s="24"/>
      <c r="D42" s="20"/>
      <c r="E42" s="20"/>
      <c r="F42" s="25"/>
      <c r="G42" s="25"/>
      <c r="H42" s="19" t="s">
        <v>12</v>
      </c>
    </row>
    <row r="43" spans="1:8" x14ac:dyDescent="0.2">
      <c r="A43" s="20"/>
      <c r="B43" s="20"/>
      <c r="C43" s="21" t="s">
        <v>101</v>
      </c>
      <c r="D43" s="20"/>
      <c r="E43" s="20"/>
      <c r="F43" s="26">
        <v>15024.735000000001</v>
      </c>
      <c r="G43" s="23">
        <v>2.3893540000000001E-2</v>
      </c>
      <c r="H43" s="19" t="s">
        <v>12</v>
      </c>
    </row>
    <row r="44" spans="1:8" x14ac:dyDescent="0.2">
      <c r="A44" s="20"/>
      <c r="B44" s="20"/>
      <c r="C44" s="24"/>
      <c r="D44" s="20"/>
      <c r="E44" s="20"/>
      <c r="F44" s="25"/>
      <c r="G44" s="25"/>
      <c r="H44" s="19" t="s">
        <v>12</v>
      </c>
    </row>
    <row r="45" spans="1:8" x14ac:dyDescent="0.2">
      <c r="A45" s="20"/>
      <c r="B45" s="20"/>
      <c r="C45" s="21" t="s">
        <v>102</v>
      </c>
      <c r="D45" s="20"/>
      <c r="E45" s="20"/>
      <c r="F45" s="25"/>
      <c r="G45" s="25"/>
      <c r="H45" s="19" t="s">
        <v>12</v>
      </c>
    </row>
    <row r="46" spans="1:8" x14ac:dyDescent="0.2">
      <c r="A46" s="20"/>
      <c r="B46" s="20"/>
      <c r="C46" s="21" t="s">
        <v>103</v>
      </c>
      <c r="D46" s="20"/>
      <c r="E46" s="20"/>
      <c r="F46" s="25"/>
      <c r="G46" s="25"/>
      <c r="H46" s="19" t="s">
        <v>12</v>
      </c>
    </row>
    <row r="47" spans="1:8" x14ac:dyDescent="0.2">
      <c r="A47" s="27">
        <v>1</v>
      </c>
      <c r="B47" s="28" t="s">
        <v>309</v>
      </c>
      <c r="C47" s="28" t="s">
        <v>310</v>
      </c>
      <c r="D47" s="28" t="s">
        <v>161</v>
      </c>
      <c r="E47" s="29">
        <v>3000</v>
      </c>
      <c r="F47" s="30">
        <v>14818.334999999999</v>
      </c>
      <c r="G47" s="31">
        <v>2.3565309999999999E-2</v>
      </c>
      <c r="H47" s="19">
        <v>6.1300999999999997</v>
      </c>
    </row>
    <row r="48" spans="1:8" x14ac:dyDescent="0.2">
      <c r="A48" s="27">
        <v>2</v>
      </c>
      <c r="B48" s="28" t="s">
        <v>311</v>
      </c>
      <c r="C48" s="28" t="s">
        <v>312</v>
      </c>
      <c r="D48" s="28" t="s">
        <v>161</v>
      </c>
      <c r="E48" s="29">
        <v>3000</v>
      </c>
      <c r="F48" s="30">
        <v>14815.275</v>
      </c>
      <c r="G48" s="31">
        <v>2.3560439999999998E-2</v>
      </c>
      <c r="H48" s="19">
        <v>6.15</v>
      </c>
    </row>
    <row r="49" spans="1:8" x14ac:dyDescent="0.2">
      <c r="A49" s="27">
        <v>3</v>
      </c>
      <c r="B49" s="28" t="s">
        <v>313</v>
      </c>
      <c r="C49" s="28" t="s">
        <v>314</v>
      </c>
      <c r="D49" s="28" t="s">
        <v>161</v>
      </c>
      <c r="E49" s="29">
        <v>3000</v>
      </c>
      <c r="F49" s="30">
        <v>14787.465</v>
      </c>
      <c r="G49" s="31">
        <v>2.3516220000000001E-2</v>
      </c>
      <c r="H49" s="19">
        <v>6.1</v>
      </c>
    </row>
    <row r="50" spans="1:8" x14ac:dyDescent="0.2">
      <c r="A50" s="27">
        <v>4</v>
      </c>
      <c r="B50" s="28" t="s">
        <v>315</v>
      </c>
      <c r="C50" s="28" t="s">
        <v>316</v>
      </c>
      <c r="D50" s="28" t="s">
        <v>161</v>
      </c>
      <c r="E50" s="29">
        <v>2500</v>
      </c>
      <c r="F50" s="30">
        <v>12467.725</v>
      </c>
      <c r="G50" s="31">
        <v>1.982718E-2</v>
      </c>
      <c r="H50" s="19">
        <v>6.3</v>
      </c>
    </row>
    <row r="51" spans="1:8" x14ac:dyDescent="0.2">
      <c r="A51" s="27">
        <v>5</v>
      </c>
      <c r="B51" s="28" t="s">
        <v>317</v>
      </c>
      <c r="C51" s="28" t="s">
        <v>318</v>
      </c>
      <c r="D51" s="28" t="s">
        <v>293</v>
      </c>
      <c r="E51" s="29">
        <v>2000</v>
      </c>
      <c r="F51" s="30">
        <v>9984.5400000000009</v>
      </c>
      <c r="G51" s="31">
        <v>1.5878219999999998E-2</v>
      </c>
      <c r="H51" s="19">
        <v>6.2794999999999996</v>
      </c>
    </row>
    <row r="52" spans="1:8" x14ac:dyDescent="0.2">
      <c r="A52" s="27">
        <v>6</v>
      </c>
      <c r="B52" s="28" t="s">
        <v>319</v>
      </c>
      <c r="C52" s="28" t="s">
        <v>320</v>
      </c>
      <c r="D52" s="28" t="s">
        <v>161</v>
      </c>
      <c r="E52" s="29">
        <v>2000</v>
      </c>
      <c r="F52" s="30">
        <v>9923.7199999999993</v>
      </c>
      <c r="G52" s="31">
        <v>1.57815E-2</v>
      </c>
      <c r="H52" s="19">
        <v>6.2351000000000001</v>
      </c>
    </row>
    <row r="53" spans="1:8" x14ac:dyDescent="0.2">
      <c r="A53" s="27">
        <v>7</v>
      </c>
      <c r="B53" s="28" t="s">
        <v>321</v>
      </c>
      <c r="C53" s="28" t="s">
        <v>322</v>
      </c>
      <c r="D53" s="28" t="s">
        <v>161</v>
      </c>
      <c r="E53" s="29">
        <v>2000</v>
      </c>
      <c r="F53" s="30">
        <v>9880.14</v>
      </c>
      <c r="G53" s="31">
        <v>1.5712190000000001E-2</v>
      </c>
      <c r="H53" s="19">
        <v>6.15</v>
      </c>
    </row>
    <row r="54" spans="1:8" x14ac:dyDescent="0.2">
      <c r="A54" s="27">
        <v>8</v>
      </c>
      <c r="B54" s="28" t="s">
        <v>323</v>
      </c>
      <c r="C54" s="28" t="s">
        <v>324</v>
      </c>
      <c r="D54" s="28" t="s">
        <v>161</v>
      </c>
      <c r="E54" s="29">
        <v>2000</v>
      </c>
      <c r="F54" s="30">
        <v>9877.5400000000009</v>
      </c>
      <c r="G54" s="31">
        <v>1.5708059999999999E-2</v>
      </c>
      <c r="H54" s="19">
        <v>6.1150000000000002</v>
      </c>
    </row>
    <row r="55" spans="1:8" x14ac:dyDescent="0.2">
      <c r="A55" s="27">
        <v>9</v>
      </c>
      <c r="B55" s="28" t="s">
        <v>325</v>
      </c>
      <c r="C55" s="28" t="s">
        <v>326</v>
      </c>
      <c r="D55" s="28" t="s">
        <v>161</v>
      </c>
      <c r="E55" s="29">
        <v>2000</v>
      </c>
      <c r="F55" s="30">
        <v>9870.7999999999993</v>
      </c>
      <c r="G55" s="31">
        <v>1.5697340000000001E-2</v>
      </c>
      <c r="H55" s="19">
        <v>6.1250999999999998</v>
      </c>
    </row>
    <row r="56" spans="1:8" x14ac:dyDescent="0.2">
      <c r="A56" s="27">
        <v>10</v>
      </c>
      <c r="B56" s="28" t="s">
        <v>327</v>
      </c>
      <c r="C56" s="28" t="s">
        <v>328</v>
      </c>
      <c r="D56" s="28" t="s">
        <v>329</v>
      </c>
      <c r="E56" s="29">
        <v>2000</v>
      </c>
      <c r="F56" s="30">
        <v>9861.64</v>
      </c>
      <c r="G56" s="31">
        <v>1.5682769999999999E-2</v>
      </c>
      <c r="H56" s="19">
        <v>6.2450000000000001</v>
      </c>
    </row>
    <row r="57" spans="1:8" x14ac:dyDescent="0.2">
      <c r="A57" s="27">
        <v>11</v>
      </c>
      <c r="B57" s="28" t="s">
        <v>330</v>
      </c>
      <c r="C57" s="28" t="s">
        <v>331</v>
      </c>
      <c r="D57" s="28" t="s">
        <v>161</v>
      </c>
      <c r="E57" s="29">
        <v>1500</v>
      </c>
      <c r="F57" s="30">
        <v>7480.7250000000004</v>
      </c>
      <c r="G57" s="31">
        <v>1.1896449999999999E-2</v>
      </c>
      <c r="H57" s="19">
        <v>6.2705000000000002</v>
      </c>
    </row>
    <row r="58" spans="1:8" x14ac:dyDescent="0.2">
      <c r="A58" s="27">
        <v>12</v>
      </c>
      <c r="B58" s="28" t="s">
        <v>332</v>
      </c>
      <c r="C58" s="28" t="s">
        <v>333</v>
      </c>
      <c r="D58" s="28" t="s">
        <v>161</v>
      </c>
      <c r="E58" s="29">
        <v>1000</v>
      </c>
      <c r="F58" s="30">
        <v>4986.21</v>
      </c>
      <c r="G58" s="31">
        <v>7.9294699999999992E-3</v>
      </c>
      <c r="H58" s="19">
        <v>6.31</v>
      </c>
    </row>
    <row r="59" spans="1:8" x14ac:dyDescent="0.2">
      <c r="A59" s="27">
        <v>13</v>
      </c>
      <c r="B59" s="28" t="s">
        <v>334</v>
      </c>
      <c r="C59" s="28" t="s">
        <v>335</v>
      </c>
      <c r="D59" s="28" t="s">
        <v>161</v>
      </c>
      <c r="E59" s="29">
        <v>1000</v>
      </c>
      <c r="F59" s="30">
        <v>4962.67</v>
      </c>
      <c r="G59" s="31">
        <v>7.8920399999999995E-3</v>
      </c>
      <c r="H59" s="19">
        <v>6.2401999999999997</v>
      </c>
    </row>
    <row r="60" spans="1:8" x14ac:dyDescent="0.2">
      <c r="A60" s="27">
        <v>14</v>
      </c>
      <c r="B60" s="28" t="s">
        <v>336</v>
      </c>
      <c r="C60" s="28" t="s">
        <v>337</v>
      </c>
      <c r="D60" s="28" t="s">
        <v>161</v>
      </c>
      <c r="E60" s="29">
        <v>1000</v>
      </c>
      <c r="F60" s="30">
        <v>4932.46</v>
      </c>
      <c r="G60" s="31">
        <v>7.8439900000000003E-3</v>
      </c>
      <c r="H60" s="19">
        <v>6.0949999999999998</v>
      </c>
    </row>
    <row r="61" spans="1:8" x14ac:dyDescent="0.2">
      <c r="A61" s="27">
        <v>15</v>
      </c>
      <c r="B61" s="28" t="s">
        <v>338</v>
      </c>
      <c r="C61" s="28" t="s">
        <v>339</v>
      </c>
      <c r="D61" s="28" t="s">
        <v>161</v>
      </c>
      <c r="E61" s="29">
        <v>1000</v>
      </c>
      <c r="F61" s="30">
        <v>4932.4049999999997</v>
      </c>
      <c r="G61" s="31">
        <v>7.8439100000000008E-3</v>
      </c>
      <c r="H61" s="19">
        <v>6.1</v>
      </c>
    </row>
    <row r="62" spans="1:8" x14ac:dyDescent="0.2">
      <c r="A62" s="27">
        <v>16</v>
      </c>
      <c r="B62" s="28" t="s">
        <v>340</v>
      </c>
      <c r="C62" s="28" t="s">
        <v>341</v>
      </c>
      <c r="D62" s="28" t="s">
        <v>161</v>
      </c>
      <c r="E62" s="29">
        <v>1000</v>
      </c>
      <c r="F62" s="30">
        <v>4932.1350000000002</v>
      </c>
      <c r="G62" s="31">
        <v>7.8434799999999999E-3</v>
      </c>
      <c r="H62" s="19">
        <v>6.1250999999999998</v>
      </c>
    </row>
    <row r="63" spans="1:8" x14ac:dyDescent="0.2">
      <c r="A63" s="27">
        <v>17</v>
      </c>
      <c r="B63" s="28" t="s">
        <v>342</v>
      </c>
      <c r="C63" s="28" t="s">
        <v>343</v>
      </c>
      <c r="D63" s="28" t="s">
        <v>293</v>
      </c>
      <c r="E63" s="29">
        <v>500</v>
      </c>
      <c r="F63" s="30">
        <v>2497.8449999999998</v>
      </c>
      <c r="G63" s="31">
        <v>3.97227E-3</v>
      </c>
      <c r="H63" s="19">
        <v>6.3011999999999997</v>
      </c>
    </row>
    <row r="64" spans="1:8" x14ac:dyDescent="0.2">
      <c r="A64" s="27">
        <v>18</v>
      </c>
      <c r="B64" s="28" t="s">
        <v>344</v>
      </c>
      <c r="C64" s="28" t="s">
        <v>345</v>
      </c>
      <c r="D64" s="28" t="s">
        <v>161</v>
      </c>
      <c r="E64" s="29">
        <v>500</v>
      </c>
      <c r="F64" s="30">
        <v>2466.9375</v>
      </c>
      <c r="G64" s="31">
        <v>3.9231200000000004E-3</v>
      </c>
      <c r="H64" s="19">
        <v>6.1150000000000002</v>
      </c>
    </row>
    <row r="65" spans="1:8" x14ac:dyDescent="0.2">
      <c r="A65" s="27">
        <v>19</v>
      </c>
      <c r="B65" s="28" t="s">
        <v>162</v>
      </c>
      <c r="C65" s="28" t="s">
        <v>163</v>
      </c>
      <c r="D65" s="28" t="s">
        <v>161</v>
      </c>
      <c r="E65" s="29">
        <v>300</v>
      </c>
      <c r="F65" s="30">
        <v>1497.9345000000001</v>
      </c>
      <c r="G65" s="31">
        <v>2.38214E-3</v>
      </c>
      <c r="H65" s="19">
        <v>6.29</v>
      </c>
    </row>
    <row r="66" spans="1:8" x14ac:dyDescent="0.2">
      <c r="A66" s="20"/>
      <c r="B66" s="20"/>
      <c r="C66" s="21" t="s">
        <v>11</v>
      </c>
      <c r="D66" s="20"/>
      <c r="E66" s="20" t="s">
        <v>12</v>
      </c>
      <c r="F66" s="26">
        <v>154976.50200000001</v>
      </c>
      <c r="G66" s="23">
        <v>0.24645610000000001</v>
      </c>
      <c r="H66" s="19" t="s">
        <v>12</v>
      </c>
    </row>
    <row r="67" spans="1:8" x14ac:dyDescent="0.2">
      <c r="A67" s="20"/>
      <c r="B67" s="20"/>
      <c r="C67" s="24"/>
      <c r="D67" s="20"/>
      <c r="E67" s="20"/>
      <c r="F67" s="25"/>
      <c r="G67" s="25"/>
      <c r="H67" s="19" t="s">
        <v>12</v>
      </c>
    </row>
    <row r="68" spans="1:8" x14ac:dyDescent="0.2">
      <c r="A68" s="20"/>
      <c r="B68" s="20"/>
      <c r="C68" s="21" t="s">
        <v>104</v>
      </c>
      <c r="D68" s="20"/>
      <c r="E68" s="20"/>
      <c r="F68" s="25"/>
      <c r="G68" s="25"/>
      <c r="H68" s="19" t="s">
        <v>12</v>
      </c>
    </row>
    <row r="69" spans="1:8" ht="25.5" x14ac:dyDescent="0.2">
      <c r="A69" s="27">
        <v>1</v>
      </c>
      <c r="B69" s="28" t="s">
        <v>346</v>
      </c>
      <c r="C69" s="28" t="s">
        <v>347</v>
      </c>
      <c r="D69" s="28" t="s">
        <v>161</v>
      </c>
      <c r="E69" s="29">
        <v>3000</v>
      </c>
      <c r="F69" s="30">
        <v>14976.36</v>
      </c>
      <c r="G69" s="31">
        <v>2.3816609999999998E-2</v>
      </c>
      <c r="H69" s="19">
        <v>6.3997999999999999</v>
      </c>
    </row>
    <row r="70" spans="1:8" ht="25.5" x14ac:dyDescent="0.2">
      <c r="A70" s="27">
        <v>2</v>
      </c>
      <c r="B70" s="28" t="s">
        <v>348</v>
      </c>
      <c r="C70" s="28" t="s">
        <v>349</v>
      </c>
      <c r="D70" s="28" t="s">
        <v>161</v>
      </c>
      <c r="E70" s="29">
        <v>3000</v>
      </c>
      <c r="F70" s="30">
        <v>14950.545</v>
      </c>
      <c r="G70" s="31">
        <v>2.3775560000000001E-2</v>
      </c>
      <c r="H70" s="19">
        <v>6.3550000000000004</v>
      </c>
    </row>
    <row r="71" spans="1:8" x14ac:dyDescent="0.2">
      <c r="A71" s="27">
        <v>3</v>
      </c>
      <c r="B71" s="28" t="s">
        <v>350</v>
      </c>
      <c r="C71" s="28" t="s">
        <v>351</v>
      </c>
      <c r="D71" s="28" t="s">
        <v>161</v>
      </c>
      <c r="E71" s="29">
        <v>3000</v>
      </c>
      <c r="F71" s="30">
        <v>14942.445</v>
      </c>
      <c r="G71" s="31">
        <v>2.3762680000000001E-2</v>
      </c>
      <c r="H71" s="19">
        <v>6.39</v>
      </c>
    </row>
    <row r="72" spans="1:8" ht="25.5" x14ac:dyDescent="0.2">
      <c r="A72" s="27">
        <v>4</v>
      </c>
      <c r="B72" s="28" t="s">
        <v>352</v>
      </c>
      <c r="C72" s="28" t="s">
        <v>353</v>
      </c>
      <c r="D72" s="28" t="s">
        <v>161</v>
      </c>
      <c r="E72" s="29">
        <v>3000</v>
      </c>
      <c r="F72" s="30">
        <v>14884.035</v>
      </c>
      <c r="G72" s="31">
        <v>2.366979E-2</v>
      </c>
      <c r="H72" s="19">
        <v>6.3201000000000001</v>
      </c>
    </row>
    <row r="73" spans="1:8" x14ac:dyDescent="0.2">
      <c r="A73" s="27">
        <v>5</v>
      </c>
      <c r="B73" s="28" t="s">
        <v>354</v>
      </c>
      <c r="C73" s="28" t="s">
        <v>355</v>
      </c>
      <c r="D73" s="28" t="s">
        <v>161</v>
      </c>
      <c r="E73" s="29">
        <v>2500</v>
      </c>
      <c r="F73" s="30">
        <v>12449.875</v>
      </c>
      <c r="G73" s="31">
        <v>1.979879E-2</v>
      </c>
      <c r="H73" s="19">
        <v>6.39</v>
      </c>
    </row>
    <row r="74" spans="1:8" ht="25.5" x14ac:dyDescent="0.2">
      <c r="A74" s="27">
        <v>6</v>
      </c>
      <c r="B74" s="28" t="s">
        <v>356</v>
      </c>
      <c r="C74" s="28" t="s">
        <v>357</v>
      </c>
      <c r="D74" s="28" t="s">
        <v>161</v>
      </c>
      <c r="E74" s="29">
        <v>2500</v>
      </c>
      <c r="F74" s="30">
        <v>12419.125</v>
      </c>
      <c r="G74" s="31">
        <v>1.9749889999999999E-2</v>
      </c>
      <c r="H74" s="19">
        <v>6.2549999999999999</v>
      </c>
    </row>
    <row r="75" spans="1:8" ht="25.5" x14ac:dyDescent="0.2">
      <c r="A75" s="27">
        <v>7</v>
      </c>
      <c r="B75" s="28" t="s">
        <v>358</v>
      </c>
      <c r="C75" s="28" t="s">
        <v>359</v>
      </c>
      <c r="D75" s="28" t="s">
        <v>161</v>
      </c>
      <c r="E75" s="29">
        <v>2500</v>
      </c>
      <c r="F75" s="30">
        <v>12345.0625</v>
      </c>
      <c r="G75" s="31">
        <v>1.9632110000000001E-2</v>
      </c>
      <c r="H75" s="19">
        <v>6.1905000000000001</v>
      </c>
    </row>
    <row r="76" spans="1:8" x14ac:dyDescent="0.2">
      <c r="A76" s="27">
        <v>8</v>
      </c>
      <c r="B76" s="28" t="s">
        <v>360</v>
      </c>
      <c r="C76" s="28" t="s">
        <v>361</v>
      </c>
      <c r="D76" s="28" t="s">
        <v>161</v>
      </c>
      <c r="E76" s="29">
        <v>2000</v>
      </c>
      <c r="F76" s="30">
        <v>9979.93</v>
      </c>
      <c r="G76" s="31">
        <v>1.5870889999999999E-2</v>
      </c>
      <c r="H76" s="19">
        <v>6.6745000000000001</v>
      </c>
    </row>
    <row r="77" spans="1:8" ht="25.5" x14ac:dyDescent="0.2">
      <c r="A77" s="27">
        <v>9</v>
      </c>
      <c r="B77" s="28" t="s">
        <v>362</v>
      </c>
      <c r="C77" s="28" t="s">
        <v>363</v>
      </c>
      <c r="D77" s="28" t="s">
        <v>161</v>
      </c>
      <c r="E77" s="29">
        <v>2000</v>
      </c>
      <c r="F77" s="30">
        <v>9974.01</v>
      </c>
      <c r="G77" s="31">
        <v>1.5861469999999999E-2</v>
      </c>
      <c r="H77" s="19">
        <v>6.3406000000000002</v>
      </c>
    </row>
    <row r="78" spans="1:8" ht="25.5" x14ac:dyDescent="0.2">
      <c r="A78" s="27">
        <v>10</v>
      </c>
      <c r="B78" s="28" t="s">
        <v>364</v>
      </c>
      <c r="C78" s="28" t="s">
        <v>365</v>
      </c>
      <c r="D78" s="28" t="s">
        <v>161</v>
      </c>
      <c r="E78" s="29">
        <v>2000</v>
      </c>
      <c r="F78" s="30">
        <v>9973.9500000000007</v>
      </c>
      <c r="G78" s="31">
        <v>1.5861380000000001E-2</v>
      </c>
      <c r="H78" s="19">
        <v>6.3550000000000004</v>
      </c>
    </row>
    <row r="79" spans="1:8" x14ac:dyDescent="0.2">
      <c r="A79" s="27">
        <v>11</v>
      </c>
      <c r="B79" s="28" t="s">
        <v>366</v>
      </c>
      <c r="C79" s="28" t="s">
        <v>367</v>
      </c>
      <c r="D79" s="28" t="s">
        <v>161</v>
      </c>
      <c r="E79" s="29">
        <v>2000</v>
      </c>
      <c r="F79" s="30">
        <v>9966.09</v>
      </c>
      <c r="G79" s="31">
        <v>1.5848879999999999E-2</v>
      </c>
      <c r="H79" s="19">
        <v>6.9</v>
      </c>
    </row>
    <row r="80" spans="1:8" ht="25.5" x14ac:dyDescent="0.2">
      <c r="A80" s="27">
        <v>12</v>
      </c>
      <c r="B80" s="28" t="s">
        <v>368</v>
      </c>
      <c r="C80" s="28" t="s">
        <v>369</v>
      </c>
      <c r="D80" s="28" t="s">
        <v>161</v>
      </c>
      <c r="E80" s="29">
        <v>2000</v>
      </c>
      <c r="F80" s="30">
        <v>9961.39</v>
      </c>
      <c r="G80" s="31">
        <v>1.5841399999999999E-2</v>
      </c>
      <c r="H80" s="19">
        <v>6.4301000000000004</v>
      </c>
    </row>
    <row r="81" spans="1:8" ht="25.5" x14ac:dyDescent="0.2">
      <c r="A81" s="27">
        <v>13</v>
      </c>
      <c r="B81" s="28" t="s">
        <v>370</v>
      </c>
      <c r="C81" s="28" t="s">
        <v>371</v>
      </c>
      <c r="D81" s="28" t="s">
        <v>161</v>
      </c>
      <c r="E81" s="29">
        <v>2000</v>
      </c>
      <c r="F81" s="30">
        <v>9957.9699999999993</v>
      </c>
      <c r="G81" s="31">
        <v>1.583596E-2</v>
      </c>
      <c r="H81" s="19">
        <v>6.4199000000000002</v>
      </c>
    </row>
    <row r="82" spans="1:8" x14ac:dyDescent="0.2">
      <c r="A82" s="27">
        <v>14</v>
      </c>
      <c r="B82" s="28" t="s">
        <v>372</v>
      </c>
      <c r="C82" s="28" t="s">
        <v>373</v>
      </c>
      <c r="D82" s="28" t="s">
        <v>161</v>
      </c>
      <c r="E82" s="29">
        <v>2000</v>
      </c>
      <c r="F82" s="30">
        <v>9923.3799999999992</v>
      </c>
      <c r="G82" s="31">
        <v>1.578096E-2</v>
      </c>
      <c r="H82" s="19">
        <v>6.4050000000000002</v>
      </c>
    </row>
    <row r="83" spans="1:8" x14ac:dyDescent="0.2">
      <c r="A83" s="27">
        <v>15</v>
      </c>
      <c r="B83" s="28" t="s">
        <v>374</v>
      </c>
      <c r="C83" s="28" t="s">
        <v>375</v>
      </c>
      <c r="D83" s="28" t="s">
        <v>376</v>
      </c>
      <c r="E83" s="29">
        <v>2000</v>
      </c>
      <c r="F83" s="30">
        <v>9886.67</v>
      </c>
      <c r="G83" s="31">
        <v>1.572258E-2</v>
      </c>
      <c r="H83" s="19">
        <v>6.2450000000000001</v>
      </c>
    </row>
    <row r="84" spans="1:8" x14ac:dyDescent="0.2">
      <c r="A84" s="27">
        <v>16</v>
      </c>
      <c r="B84" s="28" t="s">
        <v>377</v>
      </c>
      <c r="C84" s="28" t="s">
        <v>378</v>
      </c>
      <c r="D84" s="28" t="s">
        <v>161</v>
      </c>
      <c r="E84" s="29">
        <v>2000</v>
      </c>
      <c r="F84" s="30">
        <v>9880.17</v>
      </c>
      <c r="G84" s="31">
        <v>1.5712239999999999E-2</v>
      </c>
      <c r="H84" s="19">
        <v>6.51</v>
      </c>
    </row>
    <row r="85" spans="1:8" x14ac:dyDescent="0.2">
      <c r="A85" s="27">
        <v>17</v>
      </c>
      <c r="B85" s="28" t="s">
        <v>379</v>
      </c>
      <c r="C85" s="28" t="s">
        <v>380</v>
      </c>
      <c r="D85" s="28" t="s">
        <v>161</v>
      </c>
      <c r="E85" s="29">
        <v>2000</v>
      </c>
      <c r="F85" s="30">
        <v>9873.2099999999991</v>
      </c>
      <c r="G85" s="31">
        <v>1.570117E-2</v>
      </c>
      <c r="H85" s="19">
        <v>6.51</v>
      </c>
    </row>
    <row r="86" spans="1:8" x14ac:dyDescent="0.2">
      <c r="A86" s="27">
        <v>18</v>
      </c>
      <c r="B86" s="28" t="s">
        <v>381</v>
      </c>
      <c r="C86" s="28" t="s">
        <v>382</v>
      </c>
      <c r="D86" s="28" t="s">
        <v>161</v>
      </c>
      <c r="E86" s="29">
        <v>2000</v>
      </c>
      <c r="F86" s="30">
        <v>9871.08</v>
      </c>
      <c r="G86" s="31">
        <v>1.569779E-2</v>
      </c>
      <c r="H86" s="19">
        <v>6.53</v>
      </c>
    </row>
    <row r="87" spans="1:8" ht="25.5" x14ac:dyDescent="0.2">
      <c r="A87" s="27">
        <v>19</v>
      </c>
      <c r="B87" s="28" t="s">
        <v>383</v>
      </c>
      <c r="C87" s="28" t="s">
        <v>384</v>
      </c>
      <c r="D87" s="28" t="s">
        <v>161</v>
      </c>
      <c r="E87" s="29">
        <v>2000</v>
      </c>
      <c r="F87" s="30">
        <v>9868.82</v>
      </c>
      <c r="G87" s="31">
        <v>1.569419E-2</v>
      </c>
      <c r="H87" s="19">
        <v>6.22</v>
      </c>
    </row>
    <row r="88" spans="1:8" x14ac:dyDescent="0.2">
      <c r="A88" s="27">
        <v>20</v>
      </c>
      <c r="B88" s="28" t="s">
        <v>385</v>
      </c>
      <c r="C88" s="28" t="s">
        <v>386</v>
      </c>
      <c r="D88" s="28" t="s">
        <v>161</v>
      </c>
      <c r="E88" s="29">
        <v>2000</v>
      </c>
      <c r="F88" s="30">
        <v>9848.48</v>
      </c>
      <c r="G88" s="31">
        <v>1.566184E-2</v>
      </c>
      <c r="H88" s="19">
        <v>6.53</v>
      </c>
    </row>
    <row r="89" spans="1:8" ht="25.5" x14ac:dyDescent="0.2">
      <c r="A89" s="27">
        <v>21</v>
      </c>
      <c r="B89" s="28" t="s">
        <v>387</v>
      </c>
      <c r="C89" s="28" t="s">
        <v>388</v>
      </c>
      <c r="D89" s="28" t="s">
        <v>161</v>
      </c>
      <c r="E89" s="29">
        <v>2000</v>
      </c>
      <c r="F89" s="30">
        <v>9846.31</v>
      </c>
      <c r="G89" s="31">
        <v>1.5658390000000001E-2</v>
      </c>
      <c r="H89" s="19">
        <v>6.625</v>
      </c>
    </row>
    <row r="90" spans="1:8" ht="25.5" x14ac:dyDescent="0.2">
      <c r="A90" s="27">
        <v>22</v>
      </c>
      <c r="B90" s="28" t="s">
        <v>389</v>
      </c>
      <c r="C90" s="28" t="s">
        <v>390</v>
      </c>
      <c r="D90" s="28" t="s">
        <v>161</v>
      </c>
      <c r="E90" s="29">
        <v>1500</v>
      </c>
      <c r="F90" s="30">
        <v>7488.2775000000001</v>
      </c>
      <c r="G90" s="31">
        <v>1.1908459999999999E-2</v>
      </c>
      <c r="H90" s="19">
        <v>6.3498999999999999</v>
      </c>
    </row>
    <row r="91" spans="1:8" x14ac:dyDescent="0.2">
      <c r="A91" s="27">
        <v>23</v>
      </c>
      <c r="B91" s="28" t="s">
        <v>391</v>
      </c>
      <c r="C91" s="28" t="s">
        <v>392</v>
      </c>
      <c r="D91" s="28" t="s">
        <v>161</v>
      </c>
      <c r="E91" s="29">
        <v>1500</v>
      </c>
      <c r="F91" s="30">
        <v>7487.2650000000003</v>
      </c>
      <c r="G91" s="31">
        <v>1.190685E-2</v>
      </c>
      <c r="H91" s="19">
        <v>6.8994999999999997</v>
      </c>
    </row>
    <row r="92" spans="1:8" ht="25.5" x14ac:dyDescent="0.2">
      <c r="A92" s="27">
        <v>24</v>
      </c>
      <c r="B92" s="28" t="s">
        <v>393</v>
      </c>
      <c r="C92" s="28" t="s">
        <v>394</v>
      </c>
      <c r="D92" s="28" t="s">
        <v>161</v>
      </c>
      <c r="E92" s="29">
        <v>1500</v>
      </c>
      <c r="F92" s="30">
        <v>7485.6750000000002</v>
      </c>
      <c r="G92" s="31">
        <v>1.1904319999999999E-2</v>
      </c>
      <c r="H92" s="19">
        <v>6.35</v>
      </c>
    </row>
    <row r="93" spans="1:8" ht="25.5" x14ac:dyDescent="0.2">
      <c r="A93" s="27">
        <v>25</v>
      </c>
      <c r="B93" s="28" t="s">
        <v>395</v>
      </c>
      <c r="C93" s="28" t="s">
        <v>396</v>
      </c>
      <c r="D93" s="28" t="s">
        <v>161</v>
      </c>
      <c r="E93" s="29">
        <v>1500</v>
      </c>
      <c r="F93" s="30">
        <v>7485.5625</v>
      </c>
      <c r="G93" s="31">
        <v>1.1904140000000001E-2</v>
      </c>
      <c r="H93" s="19">
        <v>6.3992000000000004</v>
      </c>
    </row>
    <row r="94" spans="1:8" ht="25.5" x14ac:dyDescent="0.2">
      <c r="A94" s="27">
        <v>26</v>
      </c>
      <c r="B94" s="28" t="s">
        <v>397</v>
      </c>
      <c r="C94" s="28" t="s">
        <v>398</v>
      </c>
      <c r="D94" s="28" t="s">
        <v>376</v>
      </c>
      <c r="E94" s="29">
        <v>1500</v>
      </c>
      <c r="F94" s="30">
        <v>7442.0174999999999</v>
      </c>
      <c r="G94" s="31">
        <v>1.1834890000000001E-2</v>
      </c>
      <c r="H94" s="19">
        <v>6.32</v>
      </c>
    </row>
    <row r="95" spans="1:8" x14ac:dyDescent="0.2">
      <c r="A95" s="27">
        <v>27</v>
      </c>
      <c r="B95" s="28" t="s">
        <v>399</v>
      </c>
      <c r="C95" s="28" t="s">
        <v>400</v>
      </c>
      <c r="D95" s="28" t="s">
        <v>161</v>
      </c>
      <c r="E95" s="29">
        <v>1500</v>
      </c>
      <c r="F95" s="30">
        <v>7440.6674999999996</v>
      </c>
      <c r="G95" s="31">
        <v>1.183275E-2</v>
      </c>
      <c r="H95" s="19">
        <v>6.6150000000000002</v>
      </c>
    </row>
    <row r="96" spans="1:8" x14ac:dyDescent="0.2">
      <c r="A96" s="27">
        <v>28</v>
      </c>
      <c r="B96" s="28" t="s">
        <v>401</v>
      </c>
      <c r="C96" s="28" t="s">
        <v>402</v>
      </c>
      <c r="D96" s="28" t="s">
        <v>161</v>
      </c>
      <c r="E96" s="29">
        <v>1500</v>
      </c>
      <c r="F96" s="30">
        <v>7432.0649999999996</v>
      </c>
      <c r="G96" s="31">
        <v>1.1819069999999999E-2</v>
      </c>
      <c r="H96" s="19">
        <v>6.2949999999999999</v>
      </c>
    </row>
    <row r="97" spans="1:8" ht="25.5" x14ac:dyDescent="0.2">
      <c r="A97" s="27">
        <v>29</v>
      </c>
      <c r="B97" s="28" t="s">
        <v>403</v>
      </c>
      <c r="C97" s="28" t="s">
        <v>404</v>
      </c>
      <c r="D97" s="28" t="s">
        <v>376</v>
      </c>
      <c r="E97" s="29">
        <v>1500</v>
      </c>
      <c r="F97" s="30">
        <v>7406.5275000000001</v>
      </c>
      <c r="G97" s="31">
        <v>1.1778459999999999E-2</v>
      </c>
      <c r="H97" s="19">
        <v>6.2249999999999996</v>
      </c>
    </row>
    <row r="98" spans="1:8" x14ac:dyDescent="0.2">
      <c r="A98" s="27">
        <v>30</v>
      </c>
      <c r="B98" s="28" t="s">
        <v>405</v>
      </c>
      <c r="C98" s="28" t="s">
        <v>406</v>
      </c>
      <c r="D98" s="28" t="s">
        <v>161</v>
      </c>
      <c r="E98" s="29">
        <v>1500</v>
      </c>
      <c r="F98" s="30">
        <v>7392.5775000000003</v>
      </c>
      <c r="G98" s="31">
        <v>1.1756269999999999E-2</v>
      </c>
      <c r="H98" s="19">
        <v>6.63</v>
      </c>
    </row>
    <row r="99" spans="1:8" ht="25.5" x14ac:dyDescent="0.2">
      <c r="A99" s="27">
        <v>31</v>
      </c>
      <c r="B99" s="28" t="s">
        <v>407</v>
      </c>
      <c r="C99" s="28" t="s">
        <v>408</v>
      </c>
      <c r="D99" s="28" t="s">
        <v>376</v>
      </c>
      <c r="E99" s="29">
        <v>1500</v>
      </c>
      <c r="F99" s="30">
        <v>7389.5474999999997</v>
      </c>
      <c r="G99" s="31">
        <v>1.175145E-2</v>
      </c>
      <c r="H99" s="19">
        <v>6.2</v>
      </c>
    </row>
    <row r="100" spans="1:8" x14ac:dyDescent="0.2">
      <c r="A100" s="27">
        <v>32</v>
      </c>
      <c r="B100" s="28" t="s">
        <v>409</v>
      </c>
      <c r="C100" s="28" t="s">
        <v>410</v>
      </c>
      <c r="D100" s="28" t="s">
        <v>161</v>
      </c>
      <c r="E100" s="29">
        <v>1500</v>
      </c>
      <c r="F100" s="30">
        <v>7382.0024999999996</v>
      </c>
      <c r="G100" s="31">
        <v>1.173945E-2</v>
      </c>
      <c r="H100" s="19">
        <v>6.63</v>
      </c>
    </row>
    <row r="101" spans="1:8" x14ac:dyDescent="0.2">
      <c r="A101" s="27">
        <v>33</v>
      </c>
      <c r="B101" s="28" t="s">
        <v>411</v>
      </c>
      <c r="C101" s="28" t="s">
        <v>412</v>
      </c>
      <c r="D101" s="28" t="s">
        <v>161</v>
      </c>
      <c r="E101" s="29">
        <v>1000</v>
      </c>
      <c r="F101" s="30">
        <v>4992.4750000000004</v>
      </c>
      <c r="G101" s="31">
        <v>7.9394400000000007E-3</v>
      </c>
      <c r="H101" s="19">
        <v>6.88</v>
      </c>
    </row>
    <row r="102" spans="1:8" x14ac:dyDescent="0.2">
      <c r="A102" s="27">
        <v>34</v>
      </c>
      <c r="B102" s="28" t="s">
        <v>413</v>
      </c>
      <c r="C102" s="28" t="s">
        <v>414</v>
      </c>
      <c r="D102" s="28" t="s">
        <v>161</v>
      </c>
      <c r="E102" s="29">
        <v>1000</v>
      </c>
      <c r="F102" s="30">
        <v>4989.6549999999997</v>
      </c>
      <c r="G102" s="31">
        <v>7.9349499999999996E-3</v>
      </c>
      <c r="H102" s="19">
        <v>6.88</v>
      </c>
    </row>
    <row r="103" spans="1:8" ht="25.5" x14ac:dyDescent="0.2">
      <c r="A103" s="27">
        <v>35</v>
      </c>
      <c r="B103" s="28" t="s">
        <v>415</v>
      </c>
      <c r="C103" s="28" t="s">
        <v>416</v>
      </c>
      <c r="D103" s="28" t="s">
        <v>161</v>
      </c>
      <c r="E103" s="29">
        <v>1000</v>
      </c>
      <c r="F103" s="30">
        <v>4954.71</v>
      </c>
      <c r="G103" s="31">
        <v>7.8793800000000001E-3</v>
      </c>
      <c r="H103" s="19">
        <v>6.2949999999999999</v>
      </c>
    </row>
    <row r="104" spans="1:8" ht="25.5" x14ac:dyDescent="0.2">
      <c r="A104" s="27">
        <v>36</v>
      </c>
      <c r="B104" s="28" t="s">
        <v>417</v>
      </c>
      <c r="C104" s="28" t="s">
        <v>418</v>
      </c>
      <c r="D104" s="28" t="s">
        <v>161</v>
      </c>
      <c r="E104" s="29">
        <v>1000</v>
      </c>
      <c r="F104" s="30">
        <v>4938.8599999999997</v>
      </c>
      <c r="G104" s="31">
        <v>7.8541700000000006E-3</v>
      </c>
      <c r="H104" s="19">
        <v>6.6449999999999996</v>
      </c>
    </row>
    <row r="105" spans="1:8" ht="25.5" x14ac:dyDescent="0.2">
      <c r="A105" s="27">
        <v>37</v>
      </c>
      <c r="B105" s="28" t="s">
        <v>419</v>
      </c>
      <c r="C105" s="28" t="s">
        <v>420</v>
      </c>
      <c r="D105" s="28" t="s">
        <v>161</v>
      </c>
      <c r="E105" s="29">
        <v>1000</v>
      </c>
      <c r="F105" s="30">
        <v>4935.54</v>
      </c>
      <c r="G105" s="31">
        <v>7.8488900000000007E-3</v>
      </c>
      <c r="H105" s="19">
        <v>6.53</v>
      </c>
    </row>
    <row r="106" spans="1:8" x14ac:dyDescent="0.2">
      <c r="A106" s="27">
        <v>38</v>
      </c>
      <c r="B106" s="28" t="s">
        <v>421</v>
      </c>
      <c r="C106" s="28" t="s">
        <v>422</v>
      </c>
      <c r="D106" s="28" t="s">
        <v>161</v>
      </c>
      <c r="E106" s="29">
        <v>1000</v>
      </c>
      <c r="F106" s="30">
        <v>4933.32</v>
      </c>
      <c r="G106" s="31">
        <v>7.8453599999999991E-3</v>
      </c>
      <c r="H106" s="19">
        <v>6.3250000000000002</v>
      </c>
    </row>
    <row r="107" spans="1:8" ht="25.5" x14ac:dyDescent="0.2">
      <c r="A107" s="27">
        <v>39</v>
      </c>
      <c r="B107" s="28" t="s">
        <v>423</v>
      </c>
      <c r="C107" s="28" t="s">
        <v>424</v>
      </c>
      <c r="D107" s="28" t="s">
        <v>161</v>
      </c>
      <c r="E107" s="29">
        <v>1000</v>
      </c>
      <c r="F107" s="30">
        <v>4931.75</v>
      </c>
      <c r="G107" s="31">
        <v>7.84287E-3</v>
      </c>
      <c r="H107" s="19">
        <v>6.16</v>
      </c>
    </row>
    <row r="108" spans="1:8" ht="25.5" x14ac:dyDescent="0.2">
      <c r="A108" s="27">
        <v>40</v>
      </c>
      <c r="B108" s="28" t="s">
        <v>425</v>
      </c>
      <c r="C108" s="28" t="s">
        <v>426</v>
      </c>
      <c r="D108" s="28" t="s">
        <v>161</v>
      </c>
      <c r="E108" s="29">
        <v>1000</v>
      </c>
      <c r="F108" s="30">
        <v>4929.16</v>
      </c>
      <c r="G108" s="31">
        <v>7.8387500000000002E-3</v>
      </c>
      <c r="H108" s="19">
        <v>6.64</v>
      </c>
    </row>
    <row r="109" spans="1:8" x14ac:dyDescent="0.2">
      <c r="A109" s="27">
        <v>41</v>
      </c>
      <c r="B109" s="28" t="s">
        <v>427</v>
      </c>
      <c r="C109" s="28" t="s">
        <v>428</v>
      </c>
      <c r="D109" s="28" t="s">
        <v>161</v>
      </c>
      <c r="E109" s="29">
        <v>1000</v>
      </c>
      <c r="F109" s="30">
        <v>4926.7550000000001</v>
      </c>
      <c r="G109" s="31">
        <v>7.8349200000000004E-3</v>
      </c>
      <c r="H109" s="19">
        <v>6.31</v>
      </c>
    </row>
    <row r="110" spans="1:8" x14ac:dyDescent="0.2">
      <c r="A110" s="27">
        <v>42</v>
      </c>
      <c r="B110" s="28" t="s">
        <v>429</v>
      </c>
      <c r="C110" s="28" t="s">
        <v>430</v>
      </c>
      <c r="D110" s="28" t="s">
        <v>161</v>
      </c>
      <c r="E110" s="29">
        <v>1000</v>
      </c>
      <c r="F110" s="30">
        <v>4923.6949999999997</v>
      </c>
      <c r="G110" s="31">
        <v>7.8300599999999998E-3</v>
      </c>
      <c r="H110" s="19">
        <v>6.6550000000000002</v>
      </c>
    </row>
    <row r="111" spans="1:8" x14ac:dyDescent="0.2">
      <c r="A111" s="27">
        <v>43</v>
      </c>
      <c r="B111" s="28" t="s">
        <v>431</v>
      </c>
      <c r="C111" s="28" t="s">
        <v>432</v>
      </c>
      <c r="D111" s="28" t="s">
        <v>161</v>
      </c>
      <c r="E111" s="29">
        <v>500</v>
      </c>
      <c r="F111" s="30">
        <v>2492.0500000000002</v>
      </c>
      <c r="G111" s="31">
        <v>3.96306E-3</v>
      </c>
      <c r="H111" s="19">
        <v>6.8498000000000001</v>
      </c>
    </row>
    <row r="112" spans="1:8" ht="25.5" x14ac:dyDescent="0.2">
      <c r="A112" s="27">
        <v>44</v>
      </c>
      <c r="B112" s="28" t="s">
        <v>433</v>
      </c>
      <c r="C112" s="28" t="s">
        <v>434</v>
      </c>
      <c r="D112" s="28" t="s">
        <v>161</v>
      </c>
      <c r="E112" s="29">
        <v>500</v>
      </c>
      <c r="F112" s="30">
        <v>2488.6774999999998</v>
      </c>
      <c r="G112" s="31">
        <v>3.9576999999999998E-3</v>
      </c>
      <c r="H112" s="19">
        <v>6.92</v>
      </c>
    </row>
    <row r="113" spans="1:8" ht="25.5" x14ac:dyDescent="0.2">
      <c r="A113" s="27">
        <v>45</v>
      </c>
      <c r="B113" s="28" t="s">
        <v>435</v>
      </c>
      <c r="C113" s="28" t="s">
        <v>436</v>
      </c>
      <c r="D113" s="28" t="s">
        <v>161</v>
      </c>
      <c r="E113" s="29">
        <v>500</v>
      </c>
      <c r="F113" s="30">
        <v>2466.7674999999999</v>
      </c>
      <c r="G113" s="31">
        <v>3.9228500000000003E-3</v>
      </c>
      <c r="H113" s="19">
        <v>6.6449999999999996</v>
      </c>
    </row>
    <row r="114" spans="1:8" ht="25.5" x14ac:dyDescent="0.2">
      <c r="A114" s="27">
        <v>46</v>
      </c>
      <c r="B114" s="28" t="s">
        <v>437</v>
      </c>
      <c r="C114" s="28" t="s">
        <v>438</v>
      </c>
      <c r="D114" s="28" t="s">
        <v>161</v>
      </c>
      <c r="E114" s="29">
        <v>500</v>
      </c>
      <c r="F114" s="30">
        <v>2463.665</v>
      </c>
      <c r="G114" s="31">
        <v>3.9179200000000001E-3</v>
      </c>
      <c r="H114" s="19">
        <v>6.5650000000000004</v>
      </c>
    </row>
    <row r="115" spans="1:8" x14ac:dyDescent="0.2">
      <c r="A115" s="20"/>
      <c r="B115" s="20"/>
      <c r="C115" s="21" t="s">
        <v>11</v>
      </c>
      <c r="D115" s="20"/>
      <c r="E115" s="20" t="s">
        <v>12</v>
      </c>
      <c r="F115" s="26">
        <v>376978.17249999999</v>
      </c>
      <c r="G115" s="23">
        <v>0.59950099999999995</v>
      </c>
      <c r="H115" s="19" t="s">
        <v>12</v>
      </c>
    </row>
    <row r="116" spans="1:8" x14ac:dyDescent="0.2">
      <c r="A116" s="20"/>
      <c r="B116" s="20"/>
      <c r="C116" s="24"/>
      <c r="D116" s="20"/>
      <c r="E116" s="20"/>
      <c r="F116" s="25"/>
      <c r="G116" s="25"/>
      <c r="H116" s="19" t="s">
        <v>12</v>
      </c>
    </row>
    <row r="117" spans="1:8" x14ac:dyDescent="0.2">
      <c r="A117" s="20"/>
      <c r="B117" s="20"/>
      <c r="C117" s="21" t="s">
        <v>105</v>
      </c>
      <c r="D117" s="20"/>
      <c r="E117" s="20"/>
      <c r="F117" s="25"/>
      <c r="G117" s="25"/>
      <c r="H117" s="19" t="s">
        <v>12</v>
      </c>
    </row>
    <row r="118" spans="1:8" x14ac:dyDescent="0.2">
      <c r="A118" s="27">
        <v>1</v>
      </c>
      <c r="B118" s="28" t="s">
        <v>439</v>
      </c>
      <c r="C118" s="28" t="s">
        <v>440</v>
      </c>
      <c r="D118" s="28" t="s">
        <v>81</v>
      </c>
      <c r="E118" s="29">
        <v>20000000</v>
      </c>
      <c r="F118" s="30">
        <v>19814.54</v>
      </c>
      <c r="G118" s="31">
        <v>3.1510669999999998E-2</v>
      </c>
      <c r="H118" s="19">
        <v>5.601</v>
      </c>
    </row>
    <row r="119" spans="1:8" x14ac:dyDescent="0.2">
      <c r="A119" s="27">
        <v>2</v>
      </c>
      <c r="B119" s="28" t="s">
        <v>441</v>
      </c>
      <c r="C119" s="28" t="s">
        <v>442</v>
      </c>
      <c r="D119" s="28" t="s">
        <v>81</v>
      </c>
      <c r="E119" s="29">
        <v>12500000</v>
      </c>
      <c r="F119" s="30">
        <v>12464.35</v>
      </c>
      <c r="G119" s="31">
        <v>1.9821809999999999E-2</v>
      </c>
      <c r="H119" s="19">
        <v>5.8</v>
      </c>
    </row>
    <row r="120" spans="1:8" x14ac:dyDescent="0.2">
      <c r="A120" s="27">
        <v>3</v>
      </c>
      <c r="B120" s="28" t="s">
        <v>443</v>
      </c>
      <c r="C120" s="28" t="s">
        <v>444</v>
      </c>
      <c r="D120" s="28" t="s">
        <v>81</v>
      </c>
      <c r="E120" s="29">
        <v>10000000</v>
      </c>
      <c r="F120" s="30">
        <v>9898.02</v>
      </c>
      <c r="G120" s="31">
        <v>1.5740629999999999E-2</v>
      </c>
      <c r="H120" s="19">
        <v>5.6128999999999998</v>
      </c>
    </row>
    <row r="121" spans="1:8" x14ac:dyDescent="0.2">
      <c r="A121" s="27">
        <v>4</v>
      </c>
      <c r="B121" s="28" t="s">
        <v>445</v>
      </c>
      <c r="C121" s="28" t="s">
        <v>446</v>
      </c>
      <c r="D121" s="28" t="s">
        <v>81</v>
      </c>
      <c r="E121" s="29">
        <v>5000000</v>
      </c>
      <c r="F121" s="30">
        <v>4979.78</v>
      </c>
      <c r="G121" s="31">
        <v>7.9192499999999992E-3</v>
      </c>
      <c r="H121" s="19">
        <v>5.7</v>
      </c>
    </row>
    <row r="122" spans="1:8" x14ac:dyDescent="0.2">
      <c r="A122" s="27">
        <v>5</v>
      </c>
      <c r="B122" s="28" t="s">
        <v>447</v>
      </c>
      <c r="C122" s="28" t="s">
        <v>448</v>
      </c>
      <c r="D122" s="28" t="s">
        <v>81</v>
      </c>
      <c r="E122" s="29">
        <v>5000000</v>
      </c>
      <c r="F122" s="30">
        <v>4933.3900000000003</v>
      </c>
      <c r="G122" s="31">
        <v>7.8454700000000002E-3</v>
      </c>
      <c r="H122" s="19">
        <v>5.6</v>
      </c>
    </row>
    <row r="123" spans="1:8" x14ac:dyDescent="0.2">
      <c r="A123" s="20"/>
      <c r="B123" s="20"/>
      <c r="C123" s="21" t="s">
        <v>11</v>
      </c>
      <c r="D123" s="20"/>
      <c r="E123" s="20" t="s">
        <v>12</v>
      </c>
      <c r="F123" s="26">
        <v>52090.080000000002</v>
      </c>
      <c r="G123" s="23">
        <v>8.2837830000000001E-2</v>
      </c>
      <c r="H123" s="19" t="s">
        <v>12</v>
      </c>
    </row>
    <row r="124" spans="1:8" x14ac:dyDescent="0.2">
      <c r="A124" s="20"/>
      <c r="B124" s="20"/>
      <c r="C124" s="24"/>
      <c r="D124" s="20"/>
      <c r="E124" s="20"/>
      <c r="F124" s="25"/>
      <c r="G124" s="25"/>
      <c r="H124" s="19" t="s">
        <v>12</v>
      </c>
    </row>
    <row r="125" spans="1:8" x14ac:dyDescent="0.2">
      <c r="A125" s="20"/>
      <c r="B125" s="20"/>
      <c r="C125" s="21" t="s">
        <v>106</v>
      </c>
      <c r="D125" s="20"/>
      <c r="E125" s="20"/>
      <c r="F125" s="25"/>
      <c r="G125" s="25"/>
      <c r="H125" s="19" t="s">
        <v>12</v>
      </c>
    </row>
    <row r="126" spans="1:8" x14ac:dyDescent="0.2">
      <c r="A126" s="27">
        <v>1</v>
      </c>
      <c r="B126" s="28"/>
      <c r="C126" s="28" t="s">
        <v>253</v>
      </c>
      <c r="D126" s="28"/>
      <c r="E126" s="32"/>
      <c r="F126" s="30">
        <v>22499.201706700002</v>
      </c>
      <c r="G126" s="31">
        <v>3.5780039999999999E-2</v>
      </c>
      <c r="H126" s="19">
        <v>5.95</v>
      </c>
    </row>
    <row r="127" spans="1:8" x14ac:dyDescent="0.2">
      <c r="A127" s="27">
        <v>2</v>
      </c>
      <c r="B127" s="28"/>
      <c r="C127" s="28" t="s">
        <v>107</v>
      </c>
      <c r="D127" s="28"/>
      <c r="E127" s="32"/>
      <c r="F127" s="30">
        <v>4780.1760442160003</v>
      </c>
      <c r="G127" s="31">
        <v>7.6018199999999996E-3</v>
      </c>
      <c r="H127" s="19">
        <v>5.76</v>
      </c>
    </row>
    <row r="128" spans="1:8" x14ac:dyDescent="0.2">
      <c r="A128" s="20"/>
      <c r="B128" s="20"/>
      <c r="C128" s="21" t="s">
        <v>11</v>
      </c>
      <c r="D128" s="20"/>
      <c r="E128" s="20" t="s">
        <v>12</v>
      </c>
      <c r="F128" s="26">
        <v>27279.377750915999</v>
      </c>
      <c r="G128" s="23">
        <v>4.3381860000000001E-2</v>
      </c>
      <c r="H128" s="19" t="s">
        <v>12</v>
      </c>
    </row>
    <row r="129" spans="1:17" x14ac:dyDescent="0.2">
      <c r="A129" s="20"/>
      <c r="B129" s="20"/>
      <c r="C129" s="24"/>
      <c r="D129" s="20"/>
      <c r="E129" s="20"/>
      <c r="F129" s="25"/>
      <c r="G129" s="25"/>
      <c r="H129" s="19" t="s">
        <v>12</v>
      </c>
    </row>
    <row r="130" spans="1:17" x14ac:dyDescent="0.2">
      <c r="A130" s="20"/>
      <c r="B130" s="20"/>
      <c r="C130" s="21" t="s">
        <v>108</v>
      </c>
      <c r="D130" s="20"/>
      <c r="E130" s="20"/>
      <c r="F130" s="26">
        <v>611324.13225091598</v>
      </c>
      <c r="G130" s="23">
        <v>0.97217679000000001</v>
      </c>
      <c r="H130" s="19" t="s">
        <v>12</v>
      </c>
    </row>
    <row r="131" spans="1:17" x14ac:dyDescent="0.2">
      <c r="A131" s="20"/>
      <c r="B131" s="20"/>
      <c r="C131" s="25"/>
      <c r="D131" s="20"/>
      <c r="E131" s="20"/>
      <c r="F131" s="20"/>
      <c r="G131" s="20"/>
      <c r="H131" s="19" t="s">
        <v>12</v>
      </c>
    </row>
    <row r="132" spans="1:17" x14ac:dyDescent="0.2">
      <c r="A132" s="20"/>
      <c r="B132" s="20"/>
      <c r="C132" s="21" t="s">
        <v>109</v>
      </c>
      <c r="D132" s="20"/>
      <c r="E132" s="20"/>
      <c r="F132" s="20"/>
      <c r="G132" s="20"/>
      <c r="H132" s="19" t="s">
        <v>12</v>
      </c>
    </row>
    <row r="133" spans="1:17" x14ac:dyDescent="0.2">
      <c r="A133" s="20"/>
      <c r="B133" s="20"/>
      <c r="C133" s="21" t="s">
        <v>110</v>
      </c>
      <c r="D133" s="20"/>
      <c r="E133" s="20"/>
      <c r="F133" s="20"/>
      <c r="G133" s="20"/>
      <c r="H133" s="19" t="s">
        <v>12</v>
      </c>
    </row>
    <row r="134" spans="1:17" x14ac:dyDescent="0.2">
      <c r="A134" s="20"/>
      <c r="B134" s="20"/>
      <c r="C134" s="21" t="s">
        <v>11</v>
      </c>
      <c r="D134" s="20"/>
      <c r="E134" s="20" t="s">
        <v>12</v>
      </c>
      <c r="F134" s="22" t="s">
        <v>13</v>
      </c>
      <c r="G134" s="23">
        <v>0</v>
      </c>
      <c r="H134" s="19" t="s">
        <v>12</v>
      </c>
    </row>
    <row r="135" spans="1:17" x14ac:dyDescent="0.2">
      <c r="A135" s="17"/>
      <c r="B135" s="17"/>
      <c r="C135" s="75"/>
      <c r="D135" s="17"/>
      <c r="E135" s="17"/>
      <c r="F135" s="42"/>
      <c r="G135" s="42"/>
      <c r="H135" s="19" t="s">
        <v>12</v>
      </c>
    </row>
    <row r="136" spans="1:17" ht="25.5" x14ac:dyDescent="0.2">
      <c r="A136" s="17"/>
      <c r="B136" s="17"/>
      <c r="C136" s="18" t="s">
        <v>596</v>
      </c>
      <c r="D136" s="17"/>
      <c r="E136" s="17"/>
      <c r="F136" s="42"/>
      <c r="G136" s="42"/>
      <c r="H136" s="19" t="s">
        <v>12</v>
      </c>
      <c r="K136" s="56"/>
      <c r="L136" s="56"/>
      <c r="M136" s="56"/>
      <c r="N136" s="56"/>
      <c r="O136" s="77"/>
      <c r="P136" s="77"/>
      <c r="Q136" s="77"/>
    </row>
    <row r="137" spans="1:17" ht="25.5" x14ac:dyDescent="0.2">
      <c r="A137" s="69">
        <v>1</v>
      </c>
      <c r="B137" s="70" t="s">
        <v>111</v>
      </c>
      <c r="C137" s="70" t="s">
        <v>112</v>
      </c>
      <c r="D137" s="70"/>
      <c r="E137" s="78">
        <v>13489.8614</v>
      </c>
      <c r="F137" s="72">
        <v>1509.644210917</v>
      </c>
      <c r="G137" s="73">
        <v>2.40076E-3</v>
      </c>
      <c r="H137" s="19"/>
    </row>
    <row r="138" spans="1:17" x14ac:dyDescent="0.2">
      <c r="A138" s="17"/>
      <c r="B138" s="17"/>
      <c r="C138" s="18" t="s">
        <v>11</v>
      </c>
      <c r="D138" s="17"/>
      <c r="E138" s="17" t="s">
        <v>12</v>
      </c>
      <c r="F138" s="79">
        <f>SUM(F137)</f>
        <v>1509.644210917</v>
      </c>
      <c r="G138" s="80">
        <f>SUM(G137)</f>
        <v>2.40076E-3</v>
      </c>
      <c r="H138" s="19" t="s">
        <v>12</v>
      </c>
    </row>
    <row r="139" spans="1:17" x14ac:dyDescent="0.2">
      <c r="A139" s="20"/>
      <c r="B139" s="20"/>
      <c r="C139" s="24"/>
      <c r="D139" s="20"/>
      <c r="E139" s="20"/>
      <c r="F139" s="25"/>
      <c r="G139" s="25"/>
      <c r="H139" s="19" t="s">
        <v>12</v>
      </c>
    </row>
    <row r="140" spans="1:17" x14ac:dyDescent="0.2">
      <c r="A140" s="20"/>
      <c r="B140" s="20"/>
      <c r="C140" s="21" t="s">
        <v>113</v>
      </c>
      <c r="D140" s="20"/>
      <c r="E140" s="20"/>
      <c r="F140" s="20"/>
      <c r="G140" s="20"/>
      <c r="H140" s="19" t="s">
        <v>12</v>
      </c>
    </row>
    <row r="141" spans="1:17" x14ac:dyDescent="0.2">
      <c r="A141" s="20"/>
      <c r="B141" s="20"/>
      <c r="C141" s="21" t="s">
        <v>114</v>
      </c>
      <c r="D141" s="20"/>
      <c r="E141" s="20"/>
      <c r="F141" s="20"/>
      <c r="G141" s="20"/>
      <c r="H141" s="19" t="s">
        <v>12</v>
      </c>
    </row>
    <row r="142" spans="1:17" x14ac:dyDescent="0.2">
      <c r="A142" s="20"/>
      <c r="B142" s="20"/>
      <c r="C142" s="21" t="s">
        <v>11</v>
      </c>
      <c r="D142" s="20"/>
      <c r="E142" s="20" t="s">
        <v>12</v>
      </c>
      <c r="F142" s="22" t="s">
        <v>13</v>
      </c>
      <c r="G142" s="23">
        <v>0</v>
      </c>
      <c r="H142" s="19" t="s">
        <v>12</v>
      </c>
    </row>
    <row r="143" spans="1:17" x14ac:dyDescent="0.2">
      <c r="A143" s="20"/>
      <c r="B143" s="20"/>
      <c r="C143" s="24"/>
      <c r="D143" s="20"/>
      <c r="E143" s="20"/>
      <c r="F143" s="25"/>
      <c r="G143" s="25"/>
      <c r="H143" s="19" t="s">
        <v>12</v>
      </c>
    </row>
    <row r="144" spans="1:17" ht="25.5" x14ac:dyDescent="0.2">
      <c r="A144" s="20"/>
      <c r="B144" s="20"/>
      <c r="C144" s="21" t="s">
        <v>115</v>
      </c>
      <c r="D144" s="20"/>
      <c r="E144" s="20"/>
      <c r="F144" s="25"/>
      <c r="G144" s="25"/>
      <c r="H144" s="19" t="s">
        <v>12</v>
      </c>
    </row>
    <row r="145" spans="1:9" x14ac:dyDescent="0.2">
      <c r="A145" s="20"/>
      <c r="B145" s="20"/>
      <c r="C145" s="21" t="s">
        <v>11</v>
      </c>
      <c r="D145" s="20"/>
      <c r="E145" s="20" t="s">
        <v>12</v>
      </c>
      <c r="F145" s="22" t="s">
        <v>13</v>
      </c>
      <c r="G145" s="23">
        <v>0</v>
      </c>
      <c r="H145" s="19" t="s">
        <v>12</v>
      </c>
    </row>
    <row r="146" spans="1:9" x14ac:dyDescent="0.2">
      <c r="A146" s="20"/>
      <c r="B146" s="20"/>
      <c r="C146" s="24"/>
      <c r="D146" s="20"/>
      <c r="E146" s="20"/>
      <c r="F146" s="25"/>
      <c r="G146" s="25"/>
      <c r="H146" s="19" t="s">
        <v>12</v>
      </c>
    </row>
    <row r="147" spans="1:9" x14ac:dyDescent="0.2">
      <c r="A147" s="32"/>
      <c r="B147" s="28"/>
      <c r="C147" s="28" t="s">
        <v>116</v>
      </c>
      <c r="D147" s="28"/>
      <c r="E147" s="32"/>
      <c r="F147" s="30">
        <f>961.43150517-0.00322453300476074</f>
        <v>961.42828063699528</v>
      </c>
      <c r="G147" s="31">
        <v>1.5289500000000001E-3</v>
      </c>
      <c r="H147" s="19" t="s">
        <v>12</v>
      </c>
    </row>
    <row r="148" spans="1:9" x14ac:dyDescent="0.2">
      <c r="A148" s="24"/>
      <c r="B148" s="24"/>
      <c r="C148" s="21" t="s">
        <v>117</v>
      </c>
      <c r="D148" s="25"/>
      <c r="E148" s="25"/>
      <c r="F148" s="26">
        <f>628819.942967003-0.00322453300476074</f>
        <v>628819.93974246993</v>
      </c>
      <c r="G148" s="33">
        <v>1.00000004</v>
      </c>
      <c r="H148" s="19" t="s">
        <v>12</v>
      </c>
    </row>
    <row r="149" spans="1:9" x14ac:dyDescent="0.2">
      <c r="A149" s="34"/>
      <c r="B149" s="34"/>
      <c r="C149" s="34"/>
      <c r="D149" s="35"/>
      <c r="E149" s="35"/>
      <c r="F149" s="35"/>
      <c r="G149" s="35"/>
    </row>
    <row r="150" spans="1:9" x14ac:dyDescent="0.2">
      <c r="A150" s="36"/>
      <c r="B150" s="168" t="s">
        <v>597</v>
      </c>
      <c r="C150" s="168"/>
      <c r="D150" s="168"/>
      <c r="E150" s="168"/>
      <c r="F150" s="168"/>
      <c r="G150" s="168"/>
      <c r="H150" s="168"/>
    </row>
    <row r="151" spans="1:9" x14ac:dyDescent="0.2">
      <c r="A151" s="36"/>
      <c r="B151" s="168" t="s">
        <v>598</v>
      </c>
      <c r="C151" s="168"/>
      <c r="D151" s="168"/>
      <c r="E151" s="168"/>
      <c r="F151" s="168"/>
      <c r="G151" s="168"/>
      <c r="H151" s="168"/>
    </row>
    <row r="152" spans="1:9" x14ac:dyDescent="0.2">
      <c r="A152" s="36"/>
      <c r="B152" s="168" t="s">
        <v>599</v>
      </c>
      <c r="C152" s="168"/>
      <c r="D152" s="168"/>
      <c r="E152" s="168"/>
      <c r="F152" s="168"/>
      <c r="G152" s="168"/>
      <c r="H152" s="168"/>
    </row>
    <row r="153" spans="1:9" x14ac:dyDescent="0.2">
      <c r="A153" s="36"/>
      <c r="B153" s="202" t="s">
        <v>663</v>
      </c>
      <c r="C153" s="168"/>
      <c r="D153" s="168"/>
      <c r="E153" s="168"/>
      <c r="F153" s="168"/>
      <c r="G153" s="168"/>
      <c r="H153" s="168"/>
      <c r="I153" s="116"/>
    </row>
    <row r="154" spans="1:9" x14ac:dyDescent="0.2">
      <c r="A154" s="38"/>
      <c r="B154" s="38"/>
      <c r="C154" s="38"/>
      <c r="D154" s="39"/>
      <c r="E154" s="39"/>
      <c r="F154" s="39"/>
      <c r="G154" s="39"/>
    </row>
    <row r="155" spans="1:9" x14ac:dyDescent="0.2">
      <c r="A155" s="36"/>
      <c r="B155" s="169" t="s">
        <v>118</v>
      </c>
      <c r="C155" s="170"/>
      <c r="D155" s="171"/>
      <c r="E155" s="40"/>
      <c r="F155" s="41"/>
      <c r="G155" s="41"/>
    </row>
    <row r="156" spans="1:9" x14ac:dyDescent="0.2">
      <c r="A156" s="36"/>
      <c r="B156" s="172" t="s">
        <v>119</v>
      </c>
      <c r="C156" s="173"/>
      <c r="D156" s="18" t="s">
        <v>625</v>
      </c>
      <c r="E156" s="40"/>
      <c r="F156" s="41"/>
      <c r="G156" s="41"/>
    </row>
    <row r="157" spans="1:9" x14ac:dyDescent="0.2">
      <c r="A157" s="36"/>
      <c r="B157" s="172" t="s">
        <v>121</v>
      </c>
      <c r="C157" s="173"/>
      <c r="D157" s="18" t="s">
        <v>120</v>
      </c>
      <c r="E157" s="40"/>
      <c r="F157" s="41"/>
      <c r="G157" s="41"/>
    </row>
    <row r="158" spans="1:9" x14ac:dyDescent="0.2">
      <c r="A158" s="36"/>
      <c r="B158" s="172" t="s">
        <v>122</v>
      </c>
      <c r="C158" s="173"/>
      <c r="D158" s="42" t="s">
        <v>12</v>
      </c>
      <c r="E158" s="40"/>
      <c r="F158" s="41"/>
      <c r="G158" s="41"/>
    </row>
    <row r="159" spans="1:9" x14ac:dyDescent="0.2">
      <c r="A159" s="43"/>
      <c r="B159" s="44" t="s">
        <v>12</v>
      </c>
      <c r="C159" s="44" t="s">
        <v>600</v>
      </c>
      <c r="D159" s="44" t="s">
        <v>123</v>
      </c>
      <c r="E159" s="43"/>
      <c r="F159" s="43"/>
      <c r="G159" s="43"/>
    </row>
    <row r="160" spans="1:9" x14ac:dyDescent="0.2">
      <c r="A160" s="43"/>
      <c r="B160" s="45" t="s">
        <v>124</v>
      </c>
      <c r="C160" s="46">
        <v>45792</v>
      </c>
      <c r="D160" s="46">
        <v>45808</v>
      </c>
      <c r="E160" s="43"/>
      <c r="F160" s="43"/>
      <c r="G160" s="43"/>
    </row>
    <row r="161" spans="1:17" x14ac:dyDescent="0.2">
      <c r="A161" s="47"/>
      <c r="B161" s="28" t="s">
        <v>125</v>
      </c>
      <c r="C161" s="48">
        <v>2311.2981</v>
      </c>
      <c r="D161" s="48">
        <v>2318.3247000000001</v>
      </c>
      <c r="E161" s="47"/>
      <c r="F161" s="49"/>
      <c r="G161" s="50"/>
    </row>
    <row r="162" spans="1:17" x14ac:dyDescent="0.2">
      <c r="A162" s="47"/>
      <c r="B162" s="28" t="s">
        <v>168</v>
      </c>
      <c r="C162" s="48">
        <v>1270.9906000000001</v>
      </c>
      <c r="D162" s="48">
        <v>1274.8524</v>
      </c>
      <c r="E162" s="47"/>
      <c r="F162" s="49"/>
      <c r="G162" s="50"/>
    </row>
    <row r="163" spans="1:17" ht="25.5" x14ac:dyDescent="0.2">
      <c r="A163" s="47"/>
      <c r="B163" s="28" t="s">
        <v>730</v>
      </c>
      <c r="C163" s="48">
        <v>1032.0241000000001</v>
      </c>
      <c r="D163" s="48">
        <v>1030.0181</v>
      </c>
      <c r="E163" s="47"/>
      <c r="F163" s="49"/>
      <c r="G163" s="50"/>
    </row>
    <row r="164" spans="1:17" ht="25.5" x14ac:dyDescent="0.2">
      <c r="A164" s="47"/>
      <c r="B164" s="28" t="s">
        <v>726</v>
      </c>
      <c r="C164" s="48">
        <v>1161.2415000000001</v>
      </c>
      <c r="D164" s="48">
        <v>1164.7715000000001</v>
      </c>
      <c r="E164" s="47"/>
      <c r="F164" s="49"/>
      <c r="G164" s="50"/>
    </row>
    <row r="165" spans="1:17" x14ac:dyDescent="0.2">
      <c r="A165" s="47"/>
      <c r="B165" s="28" t="s">
        <v>126</v>
      </c>
      <c r="C165" s="48">
        <v>2285.1428000000001</v>
      </c>
      <c r="D165" s="48">
        <v>2291.8989999999999</v>
      </c>
      <c r="E165" s="47"/>
      <c r="F165" s="49"/>
      <c r="G165" s="50"/>
    </row>
    <row r="166" spans="1:17" x14ac:dyDescent="0.2">
      <c r="A166" s="47"/>
      <c r="B166" s="28" t="s">
        <v>169</v>
      </c>
      <c r="C166" s="48">
        <v>1264.8957</v>
      </c>
      <c r="D166" s="48">
        <v>1268.6353999999999</v>
      </c>
      <c r="E166" s="47"/>
      <c r="F166" s="49"/>
      <c r="G166" s="50"/>
    </row>
    <row r="167" spans="1:17" ht="25.5" x14ac:dyDescent="0.2">
      <c r="A167" s="47"/>
      <c r="B167" s="28" t="s">
        <v>732</v>
      </c>
      <c r="C167" s="48">
        <v>1031.3853999999999</v>
      </c>
      <c r="D167" s="48">
        <v>1029.2915</v>
      </c>
      <c r="E167" s="47"/>
      <c r="F167" s="49"/>
      <c r="G167" s="50"/>
    </row>
    <row r="168" spans="1:17" ht="25.5" x14ac:dyDescent="0.2">
      <c r="A168" s="47"/>
      <c r="B168" s="28" t="s">
        <v>702</v>
      </c>
      <c r="C168" s="48">
        <v>1155.8592000000001</v>
      </c>
      <c r="D168" s="48">
        <v>1159.2766999999999</v>
      </c>
      <c r="E168" s="47"/>
      <c r="F168" s="49"/>
      <c r="G168" s="50"/>
    </row>
    <row r="169" spans="1:17" x14ac:dyDescent="0.2">
      <c r="A169" s="47"/>
      <c r="B169" s="47"/>
      <c r="C169" s="47"/>
      <c r="D169" s="47"/>
      <c r="E169" s="47"/>
      <c r="F169" s="47"/>
      <c r="G169" s="47"/>
    </row>
    <row r="170" spans="1:17" x14ac:dyDescent="0.2">
      <c r="A170" s="47"/>
      <c r="B170" s="175" t="s">
        <v>601</v>
      </c>
      <c r="C170" s="176"/>
      <c r="D170" s="21" t="s">
        <v>12</v>
      </c>
      <c r="E170" s="47"/>
      <c r="F170" s="47"/>
      <c r="G170" s="47"/>
    </row>
    <row r="171" spans="1:17" x14ac:dyDescent="0.2">
      <c r="A171" s="47"/>
      <c r="B171" s="51" t="s">
        <v>124</v>
      </c>
      <c r="C171" s="52" t="s">
        <v>127</v>
      </c>
      <c r="D171" s="52" t="s">
        <v>128</v>
      </c>
      <c r="E171" s="47"/>
      <c r="F171" s="47"/>
      <c r="G171" s="47"/>
    </row>
    <row r="172" spans="1:17" ht="25.5" x14ac:dyDescent="0.2">
      <c r="A172" s="47"/>
      <c r="B172" s="28" t="s">
        <v>730</v>
      </c>
      <c r="C172" s="53">
        <v>5.13</v>
      </c>
      <c r="D172" s="53">
        <v>5.13</v>
      </c>
      <c r="E172" s="47"/>
      <c r="F172" s="49"/>
      <c r="G172" s="50"/>
    </row>
    <row r="173" spans="1:17" ht="25.5" x14ac:dyDescent="0.2">
      <c r="A173" s="47"/>
      <c r="B173" s="28" t="s">
        <v>732</v>
      </c>
      <c r="C173" s="53">
        <v>5.13</v>
      </c>
      <c r="D173" s="53">
        <v>5.13</v>
      </c>
      <c r="E173" s="47"/>
      <c r="F173" s="49"/>
      <c r="G173" s="50"/>
    </row>
    <row r="174" spans="1:17" x14ac:dyDescent="0.2">
      <c r="A174" s="47"/>
      <c r="B174" s="54"/>
      <c r="C174" s="54"/>
      <c r="D174" s="54"/>
      <c r="E174" s="47"/>
      <c r="F174" s="47"/>
      <c r="G174" s="47"/>
    </row>
    <row r="175" spans="1:17" s="57" customFormat="1" x14ac:dyDescent="0.2">
      <c r="A175" s="96"/>
      <c r="B175" s="172" t="s">
        <v>614</v>
      </c>
      <c r="C175" s="173"/>
      <c r="D175" s="18" t="s">
        <v>120</v>
      </c>
      <c r="E175" s="96"/>
      <c r="F175" s="96"/>
      <c r="G175" s="96"/>
      <c r="I175" s="116"/>
      <c r="J175" s="13"/>
      <c r="K175" s="56"/>
      <c r="L175" s="56"/>
      <c r="M175" s="56"/>
      <c r="N175" s="56"/>
      <c r="O175" s="58"/>
      <c r="P175"/>
      <c r="Q175"/>
    </row>
    <row r="176" spans="1:17" x14ac:dyDescent="0.2">
      <c r="A176" s="43"/>
      <c r="B176" s="172" t="s">
        <v>615</v>
      </c>
      <c r="C176" s="173"/>
      <c r="D176" s="18" t="s">
        <v>120</v>
      </c>
      <c r="E176" s="55"/>
      <c r="F176" s="43"/>
      <c r="G176" s="43"/>
      <c r="I176" s="116"/>
      <c r="J176" s="13"/>
    </row>
    <row r="177" spans="1:18" x14ac:dyDescent="0.2">
      <c r="A177" s="43"/>
      <c r="B177" s="172" t="s">
        <v>616</v>
      </c>
      <c r="C177" s="173"/>
      <c r="D177" s="18" t="s">
        <v>120</v>
      </c>
      <c r="E177" s="55"/>
      <c r="F177" s="43"/>
      <c r="G177" s="43"/>
      <c r="I177" s="116"/>
      <c r="J177" s="13"/>
    </row>
    <row r="178" spans="1:18" x14ac:dyDescent="0.2">
      <c r="A178" s="43"/>
      <c r="B178" s="172" t="s">
        <v>617</v>
      </c>
      <c r="C178" s="173"/>
      <c r="D178" s="18" t="s">
        <v>120</v>
      </c>
      <c r="E178" s="55"/>
      <c r="F178" s="43"/>
      <c r="G178" s="43"/>
      <c r="I178" s="116"/>
      <c r="J178" s="13"/>
    </row>
    <row r="179" spans="1:18" x14ac:dyDescent="0.2">
      <c r="A179" s="54"/>
      <c r="B179" s="54"/>
      <c r="C179" s="54"/>
      <c r="D179" s="54"/>
      <c r="E179" s="54"/>
      <c r="F179" s="54"/>
      <c r="G179" s="54"/>
      <c r="I179" s="116"/>
      <c r="J179" s="13"/>
    </row>
    <row r="180" spans="1:18" s="57" customFormat="1" x14ac:dyDescent="0.2">
      <c r="B180" s="138" t="s">
        <v>734</v>
      </c>
      <c r="C180" s="138"/>
      <c r="D180" s="138"/>
      <c r="E180" s="138"/>
      <c r="F180" s="138"/>
      <c r="G180" s="138"/>
      <c r="I180" s="116"/>
      <c r="J180" s="13"/>
      <c r="K180" s="56"/>
      <c r="L180" s="56"/>
      <c r="M180" s="56"/>
      <c r="N180" s="56"/>
      <c r="O180"/>
    </row>
    <row r="181" spans="1:18" ht="13.5" customHeight="1" x14ac:dyDescent="0.2">
      <c r="B181" s="185" t="s">
        <v>627</v>
      </c>
      <c r="C181" s="185" t="s">
        <v>628</v>
      </c>
      <c r="D181" s="188" t="s">
        <v>638</v>
      </c>
      <c r="E181" s="189"/>
      <c r="F181" s="190"/>
      <c r="G181" s="191" t="s">
        <v>646</v>
      </c>
      <c r="H181" s="192"/>
      <c r="I181" s="193"/>
      <c r="J181" s="56"/>
      <c r="K181" s="56"/>
      <c r="L181" s="56"/>
      <c r="M181" s="56"/>
      <c r="N181" s="56"/>
      <c r="O181" s="56"/>
    </row>
    <row r="182" spans="1:18" ht="46.5" customHeight="1" x14ac:dyDescent="0.2">
      <c r="B182" s="186"/>
      <c r="C182" s="186"/>
      <c r="D182" s="183" t="s">
        <v>647</v>
      </c>
      <c r="E182" s="183" t="s">
        <v>648</v>
      </c>
      <c r="F182" s="183" t="s">
        <v>649</v>
      </c>
      <c r="G182" s="194" t="s">
        <v>664</v>
      </c>
      <c r="H182" s="195"/>
      <c r="I182" s="183" t="s">
        <v>651</v>
      </c>
      <c r="J182" s="56"/>
      <c r="K182" s="56"/>
      <c r="L182" s="56"/>
      <c r="M182" s="56"/>
      <c r="N182" s="56"/>
      <c r="O182" s="56"/>
    </row>
    <row r="183" spans="1:18" ht="21" customHeight="1" x14ac:dyDescent="0.2">
      <c r="B183" s="187"/>
      <c r="C183" s="187"/>
      <c r="D183" s="184"/>
      <c r="E183" s="184"/>
      <c r="F183" s="184"/>
      <c r="G183" s="85" t="s">
        <v>652</v>
      </c>
      <c r="H183" s="85" t="s">
        <v>653</v>
      </c>
      <c r="I183" s="184"/>
      <c r="J183" s="56"/>
      <c r="K183" s="56"/>
      <c r="L183" s="56"/>
      <c r="M183" s="56"/>
      <c r="N183" s="56"/>
      <c r="O183" s="56"/>
    </row>
    <row r="184" spans="1:18" ht="13.5" x14ac:dyDescent="0.25">
      <c r="B184" s="89" t="s">
        <v>654</v>
      </c>
      <c r="C184" s="88" t="s">
        <v>655</v>
      </c>
      <c r="D184" s="156">
        <v>5523.9823999999999</v>
      </c>
      <c r="E184" s="8">
        <v>126.0176</v>
      </c>
      <c r="F184" s="154">
        <f>D184+E184</f>
        <v>5650</v>
      </c>
      <c r="G184" s="7">
        <v>239.15547683099999</v>
      </c>
      <c r="H184" s="7">
        <v>150.66</v>
      </c>
      <c r="I184" s="7">
        <f>G184+H184</f>
        <v>389.81547683099996</v>
      </c>
      <c r="J184" s="56"/>
      <c r="K184" s="56"/>
      <c r="L184" s="56"/>
      <c r="M184" s="56"/>
      <c r="N184" s="56"/>
      <c r="O184" s="56"/>
    </row>
    <row r="185" spans="1:18" ht="6.75" customHeight="1" x14ac:dyDescent="0.25">
      <c r="B185" s="144"/>
      <c r="C185" s="145"/>
      <c r="D185" s="146"/>
      <c r="E185" s="9"/>
      <c r="F185" s="147"/>
      <c r="G185" s="16"/>
      <c r="H185" s="16"/>
      <c r="I185" s="16"/>
      <c r="J185" s="56"/>
      <c r="K185" s="56"/>
      <c r="L185" s="56"/>
      <c r="M185" s="56"/>
      <c r="N185" s="56"/>
      <c r="O185" s="56"/>
    </row>
    <row r="186" spans="1:18" ht="51" customHeight="1" x14ac:dyDescent="0.2">
      <c r="B186" s="182" t="s">
        <v>656</v>
      </c>
      <c r="C186" s="182"/>
      <c r="D186" s="182"/>
      <c r="E186" s="182"/>
      <c r="F186" s="182"/>
      <c r="G186" s="182"/>
      <c r="H186" s="182"/>
      <c r="I186" s="182"/>
      <c r="J186" s="148"/>
      <c r="K186" s="56"/>
      <c r="L186" s="56"/>
      <c r="M186" s="56"/>
      <c r="N186" s="56"/>
      <c r="O186" s="56"/>
    </row>
    <row r="187" spans="1:18" ht="13.5" x14ac:dyDescent="0.25">
      <c r="B187" s="94" t="s">
        <v>657</v>
      </c>
      <c r="I187" s="56"/>
      <c r="J187" s="13"/>
      <c r="K187" s="56"/>
      <c r="L187" s="56"/>
      <c r="M187" s="56"/>
      <c r="N187" s="56"/>
      <c r="O187" s="56"/>
      <c r="P187" s="56"/>
    </row>
    <row r="188" spans="1:18" x14ac:dyDescent="0.2">
      <c r="B188" s="95"/>
      <c r="J188" s="13"/>
      <c r="K188" s="56"/>
      <c r="L188" s="56"/>
      <c r="M188" s="56"/>
      <c r="N188" s="56"/>
      <c r="O188" s="56"/>
    </row>
    <row r="189" spans="1:18" x14ac:dyDescent="0.2">
      <c r="B189" s="95" t="s">
        <v>661</v>
      </c>
      <c r="J189" s="13"/>
      <c r="K189" s="56"/>
      <c r="L189" s="56"/>
      <c r="M189" s="56"/>
      <c r="N189" s="56"/>
      <c r="O189" s="56"/>
    </row>
    <row r="190" spans="1:18" s="57" customFormat="1" x14ac:dyDescent="0.2">
      <c r="I190" s="116"/>
      <c r="J190" s="13"/>
      <c r="K190" s="56"/>
      <c r="L190" s="56"/>
      <c r="M190" s="56"/>
      <c r="N190" s="56"/>
      <c r="O190"/>
      <c r="R190"/>
    </row>
    <row r="191" spans="1:18" s="57" customFormat="1" x14ac:dyDescent="0.2">
      <c r="B191" s="164" t="s">
        <v>603</v>
      </c>
      <c r="C191" s="165"/>
      <c r="D191" s="166"/>
      <c r="I191" s="116"/>
      <c r="J191" s="13"/>
      <c r="K191" s="56"/>
      <c r="L191" s="56"/>
      <c r="M191" s="56"/>
      <c r="N191" s="56"/>
      <c r="O191"/>
      <c r="R191"/>
    </row>
    <row r="192" spans="1:18" s="57" customFormat="1" ht="25.5" x14ac:dyDescent="0.2">
      <c r="B192" s="167" t="s">
        <v>604</v>
      </c>
      <c r="C192" s="167"/>
      <c r="D192" s="59" t="s">
        <v>302</v>
      </c>
      <c r="I192" s="116"/>
      <c r="J192" s="13"/>
      <c r="K192" s="56"/>
      <c r="L192" s="56"/>
      <c r="M192" s="56"/>
      <c r="N192" s="56"/>
      <c r="O192"/>
      <c r="R192"/>
    </row>
    <row r="193" spans="2:18" s="57" customFormat="1" x14ac:dyDescent="0.2">
      <c r="B193" s="160" t="s">
        <v>605</v>
      </c>
      <c r="C193" s="160"/>
      <c r="D193" s="60"/>
      <c r="I193" s="116"/>
      <c r="J193" s="13"/>
      <c r="K193" s="56"/>
      <c r="L193" s="56"/>
      <c r="M193" s="56"/>
      <c r="N193" s="56"/>
      <c r="O193"/>
      <c r="R193"/>
    </row>
    <row r="194" spans="2:18" s="57" customFormat="1" x14ac:dyDescent="0.2">
      <c r="B194" s="160"/>
      <c r="C194" s="160"/>
      <c r="D194" s="61"/>
      <c r="I194" s="116"/>
      <c r="J194" s="13"/>
      <c r="K194" s="56"/>
      <c r="L194" s="56"/>
      <c r="M194" s="56"/>
      <c r="N194" s="56"/>
      <c r="O194"/>
      <c r="R194"/>
    </row>
    <row r="195" spans="2:18" s="57" customFormat="1" x14ac:dyDescent="0.2">
      <c r="B195" s="160" t="s">
        <v>606</v>
      </c>
      <c r="C195" s="160"/>
      <c r="D195" s="62">
        <v>6.292007066514568</v>
      </c>
      <c r="I195" s="116"/>
      <c r="J195" s="13"/>
      <c r="K195" s="56"/>
      <c r="L195" s="56"/>
      <c r="M195" s="56"/>
      <c r="N195" s="56"/>
      <c r="O195"/>
      <c r="R195"/>
    </row>
    <row r="196" spans="2:18" s="57" customFormat="1" x14ac:dyDescent="0.2">
      <c r="B196" s="160"/>
      <c r="C196" s="160"/>
      <c r="D196" s="61"/>
      <c r="I196" s="116"/>
      <c r="J196" s="13"/>
      <c r="K196" s="56"/>
      <c r="L196" s="56"/>
      <c r="M196" s="56"/>
      <c r="N196" s="56"/>
      <c r="O196"/>
      <c r="R196"/>
    </row>
    <row r="197" spans="2:18" s="57" customFormat="1" x14ac:dyDescent="0.2">
      <c r="B197" s="160" t="s">
        <v>607</v>
      </c>
      <c r="C197" s="160"/>
      <c r="D197" s="62">
        <v>0.13457836203439852</v>
      </c>
      <c r="I197" s="116"/>
      <c r="J197" s="13"/>
      <c r="K197" s="56"/>
      <c r="L197" s="56"/>
      <c r="M197" s="56"/>
      <c r="N197" s="56"/>
      <c r="O197"/>
      <c r="R197"/>
    </row>
    <row r="198" spans="2:18" s="57" customFormat="1" x14ac:dyDescent="0.2">
      <c r="B198" s="160" t="s">
        <v>608</v>
      </c>
      <c r="C198" s="160"/>
      <c r="D198" s="62">
        <v>0.13457836203439852</v>
      </c>
      <c r="I198" s="116"/>
      <c r="J198" s="13"/>
      <c r="K198" s="56"/>
      <c r="L198" s="56"/>
      <c r="M198" s="56"/>
      <c r="N198" s="56"/>
      <c r="O198"/>
      <c r="R198"/>
    </row>
    <row r="199" spans="2:18" s="57" customFormat="1" x14ac:dyDescent="0.2">
      <c r="B199" s="160"/>
      <c r="C199" s="160"/>
      <c r="D199" s="61"/>
      <c r="I199" s="116"/>
      <c r="J199" s="13"/>
      <c r="K199" s="56"/>
      <c r="L199" s="56"/>
      <c r="M199" s="56"/>
      <c r="N199" s="56"/>
      <c r="O199"/>
      <c r="P199"/>
      <c r="Q199"/>
      <c r="R199"/>
    </row>
    <row r="200" spans="2:18" s="57" customFormat="1" x14ac:dyDescent="0.2">
      <c r="B200" s="160" t="s">
        <v>609</v>
      </c>
      <c r="C200" s="160"/>
      <c r="D200" s="64" t="s">
        <v>733</v>
      </c>
      <c r="I200" s="116"/>
      <c r="J200" s="13"/>
      <c r="K200" s="56"/>
      <c r="L200" s="56"/>
      <c r="M200" s="56"/>
      <c r="N200" s="56"/>
      <c r="O200" s="58"/>
    </row>
    <row r="201" spans="2:18" s="57" customFormat="1" x14ac:dyDescent="0.2">
      <c r="B201" s="161" t="s">
        <v>610</v>
      </c>
      <c r="C201" s="163"/>
      <c r="D201" s="162"/>
      <c r="I201" s="116"/>
      <c r="J201" s="13"/>
      <c r="K201" s="56"/>
      <c r="L201" s="56"/>
      <c r="M201" s="56"/>
      <c r="N201" s="56"/>
      <c r="O201"/>
      <c r="P201"/>
      <c r="Q201"/>
      <c r="R201"/>
    </row>
    <row r="202" spans="2:18" x14ac:dyDescent="0.2">
      <c r="I202" s="116"/>
      <c r="J202" s="13"/>
    </row>
    <row r="203" spans="2:18" x14ac:dyDescent="0.2">
      <c r="B203" s="66" t="s">
        <v>611</v>
      </c>
      <c r="I203" s="116"/>
    </row>
    <row r="204" spans="2:18" x14ac:dyDescent="0.2">
      <c r="I204" s="116"/>
    </row>
    <row r="205" spans="2:18" ht="153.75" customHeight="1" x14ac:dyDescent="0.2">
      <c r="I205" s="116"/>
    </row>
    <row r="206" spans="2:18" x14ac:dyDescent="0.2">
      <c r="I206" s="116"/>
    </row>
    <row r="207" spans="2:18" x14ac:dyDescent="0.2">
      <c r="I207" s="116"/>
    </row>
    <row r="208" spans="2:18" x14ac:dyDescent="0.2">
      <c r="B208" s="67" t="s">
        <v>612</v>
      </c>
      <c r="C208" s="68"/>
      <c r="D208" s="67"/>
      <c r="I208" s="116"/>
    </row>
    <row r="209" spans="2:10" x14ac:dyDescent="0.2">
      <c r="B209" s="67" t="s">
        <v>665</v>
      </c>
      <c r="D209" s="67"/>
      <c r="I209" s="116"/>
    </row>
    <row r="210" spans="2:10" ht="165" customHeight="1" x14ac:dyDescent="0.2">
      <c r="I210" s="116"/>
    </row>
    <row r="211" spans="2:10" x14ac:dyDescent="0.2">
      <c r="I211" s="116"/>
    </row>
    <row r="212" spans="2:10" x14ac:dyDescent="0.2">
      <c r="I212" s="116"/>
      <c r="J212" s="13"/>
    </row>
  </sheetData>
  <mergeCells count="37">
    <mergeCell ref="A1:H1"/>
    <mergeCell ref="A2:H2"/>
    <mergeCell ref="A3:H3"/>
    <mergeCell ref="B170:C170"/>
    <mergeCell ref="B150:H150"/>
    <mergeCell ref="B151:H151"/>
    <mergeCell ref="B152:H152"/>
    <mergeCell ref="B155:D155"/>
    <mergeCell ref="B156:C156"/>
    <mergeCell ref="B157:C157"/>
    <mergeCell ref="B158:C158"/>
    <mergeCell ref="B153:H153"/>
    <mergeCell ref="B175:C175"/>
    <mergeCell ref="B176:C176"/>
    <mergeCell ref="B177:C177"/>
    <mergeCell ref="B178:C178"/>
    <mergeCell ref="B186:I186"/>
    <mergeCell ref="B181:B183"/>
    <mergeCell ref="C181:C183"/>
    <mergeCell ref="D181:F181"/>
    <mergeCell ref="G181:I181"/>
    <mergeCell ref="D182:D183"/>
    <mergeCell ref="E182:E183"/>
    <mergeCell ref="F182:F183"/>
    <mergeCell ref="G182:H182"/>
    <mergeCell ref="I182:I183"/>
    <mergeCell ref="B191:D191"/>
    <mergeCell ref="B192:C192"/>
    <mergeCell ref="B193:C193"/>
    <mergeCell ref="B194:C194"/>
    <mergeCell ref="B200:C200"/>
    <mergeCell ref="B201:D201"/>
    <mergeCell ref="B195:C195"/>
    <mergeCell ref="B196:C196"/>
    <mergeCell ref="B197:C197"/>
    <mergeCell ref="B198:C198"/>
    <mergeCell ref="B199:C199"/>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5A8C0-BE81-4E1D-B3E6-CEC60A5E7A61}">
  <sheetPr>
    <outlinePr summaryBelow="0" summaryRight="0"/>
  </sheetPr>
  <dimension ref="A1:S18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9" ht="15" x14ac:dyDescent="0.2">
      <c r="A1" s="174" t="s">
        <v>0</v>
      </c>
      <c r="B1" s="174"/>
      <c r="C1" s="174"/>
      <c r="D1" s="174"/>
      <c r="E1" s="174"/>
      <c r="F1" s="174"/>
      <c r="G1" s="174"/>
      <c r="H1" s="174"/>
      <c r="I1" s="15"/>
    </row>
    <row r="2" spans="1:9" ht="15" x14ac:dyDescent="0.2">
      <c r="A2" s="174" t="s">
        <v>449</v>
      </c>
      <c r="B2" s="174"/>
      <c r="C2" s="174"/>
      <c r="D2" s="174"/>
      <c r="E2" s="174"/>
      <c r="F2" s="174"/>
      <c r="G2" s="174"/>
      <c r="H2" s="174"/>
    </row>
    <row r="3" spans="1:9" ht="15" x14ac:dyDescent="0.2">
      <c r="A3" s="174" t="s">
        <v>581</v>
      </c>
      <c r="B3" s="174"/>
      <c r="C3" s="174"/>
      <c r="D3" s="174"/>
      <c r="E3" s="174"/>
      <c r="F3" s="174"/>
      <c r="G3" s="174"/>
      <c r="H3" s="174"/>
    </row>
    <row r="4" spans="1:9" s="13" customFormat="1" ht="30" x14ac:dyDescent="0.2">
      <c r="A4" s="14" t="s">
        <v>2</v>
      </c>
      <c r="B4" s="14" t="s">
        <v>3</v>
      </c>
      <c r="C4" s="14" t="s">
        <v>4</v>
      </c>
      <c r="D4" s="14" t="s">
        <v>5</v>
      </c>
      <c r="E4" s="14" t="s">
        <v>6</v>
      </c>
      <c r="F4" s="14" t="s">
        <v>7</v>
      </c>
      <c r="G4" s="14" t="s">
        <v>8</v>
      </c>
      <c r="H4" s="12" t="s">
        <v>582</v>
      </c>
    </row>
    <row r="5" spans="1:9" x14ac:dyDescent="0.2">
      <c r="A5" s="17"/>
      <c r="B5" s="17"/>
      <c r="C5" s="18" t="s">
        <v>9</v>
      </c>
      <c r="D5" s="17"/>
      <c r="E5" s="17"/>
      <c r="F5" s="17"/>
      <c r="G5" s="17"/>
      <c r="H5" s="19" t="s">
        <v>12</v>
      </c>
    </row>
    <row r="6" spans="1:9" ht="25.5" x14ac:dyDescent="0.2">
      <c r="A6" s="20"/>
      <c r="B6" s="20"/>
      <c r="C6" s="21" t="s">
        <v>10</v>
      </c>
      <c r="D6" s="20"/>
      <c r="E6" s="20"/>
      <c r="F6" s="20"/>
      <c r="G6" s="20"/>
      <c r="H6" s="19" t="s">
        <v>12</v>
      </c>
    </row>
    <row r="7" spans="1:9" x14ac:dyDescent="0.2">
      <c r="A7" s="20"/>
      <c r="B7" s="20"/>
      <c r="C7" s="21" t="s">
        <v>11</v>
      </c>
      <c r="D7" s="20"/>
      <c r="E7" s="20" t="s">
        <v>12</v>
      </c>
      <c r="F7" s="22" t="s">
        <v>13</v>
      </c>
      <c r="G7" s="23">
        <v>0</v>
      </c>
      <c r="H7" s="19" t="s">
        <v>12</v>
      </c>
    </row>
    <row r="8" spans="1:9" x14ac:dyDescent="0.2">
      <c r="A8" s="20"/>
      <c r="B8" s="20"/>
      <c r="C8" s="24"/>
      <c r="D8" s="20"/>
      <c r="E8" s="20"/>
      <c r="F8" s="25"/>
      <c r="G8" s="25"/>
      <c r="H8" s="19" t="s">
        <v>12</v>
      </c>
    </row>
    <row r="9" spans="1:9" x14ac:dyDescent="0.2">
      <c r="A9" s="20"/>
      <c r="B9" s="20"/>
      <c r="C9" s="21" t="s">
        <v>14</v>
      </c>
      <c r="D9" s="20"/>
      <c r="E9" s="20"/>
      <c r="F9" s="20"/>
      <c r="G9" s="20"/>
      <c r="H9" s="19" t="s">
        <v>12</v>
      </c>
    </row>
    <row r="10" spans="1:9" x14ac:dyDescent="0.2">
      <c r="A10" s="20"/>
      <c r="B10" s="20"/>
      <c r="C10" s="21" t="s">
        <v>11</v>
      </c>
      <c r="D10" s="20"/>
      <c r="E10" s="20" t="s">
        <v>12</v>
      </c>
      <c r="F10" s="22" t="s">
        <v>13</v>
      </c>
      <c r="G10" s="23">
        <v>0</v>
      </c>
      <c r="H10" s="19" t="s">
        <v>12</v>
      </c>
    </row>
    <row r="11" spans="1:9" x14ac:dyDescent="0.2">
      <c r="A11" s="20"/>
      <c r="B11" s="20"/>
      <c r="C11" s="24"/>
      <c r="D11" s="20"/>
      <c r="E11" s="20"/>
      <c r="F11" s="25"/>
      <c r="G11" s="25"/>
      <c r="H11" s="19" t="s">
        <v>12</v>
      </c>
    </row>
    <row r="12" spans="1:9" x14ac:dyDescent="0.2">
      <c r="A12" s="20"/>
      <c r="B12" s="20"/>
      <c r="C12" s="21" t="s">
        <v>15</v>
      </c>
      <c r="D12" s="20"/>
      <c r="E12" s="20"/>
      <c r="F12" s="20"/>
      <c r="G12" s="20"/>
      <c r="H12" s="19" t="s">
        <v>12</v>
      </c>
    </row>
    <row r="13" spans="1:9" x14ac:dyDescent="0.2">
      <c r="A13" s="20"/>
      <c r="B13" s="20"/>
      <c r="C13" s="21" t="s">
        <v>11</v>
      </c>
      <c r="D13" s="20"/>
      <c r="E13" s="20" t="s">
        <v>12</v>
      </c>
      <c r="F13" s="22" t="s">
        <v>13</v>
      </c>
      <c r="G13" s="23">
        <v>0</v>
      </c>
      <c r="H13" s="19" t="s">
        <v>12</v>
      </c>
    </row>
    <row r="14" spans="1:9" x14ac:dyDescent="0.2">
      <c r="A14" s="20"/>
      <c r="B14" s="20"/>
      <c r="C14" s="24"/>
      <c r="D14" s="20"/>
      <c r="E14" s="20"/>
      <c r="F14" s="25"/>
      <c r="G14" s="25"/>
      <c r="H14" s="19" t="s">
        <v>12</v>
      </c>
    </row>
    <row r="15" spans="1:9" x14ac:dyDescent="0.2">
      <c r="A15" s="20"/>
      <c r="B15" s="20"/>
      <c r="C15" s="21" t="s">
        <v>16</v>
      </c>
      <c r="D15" s="20"/>
      <c r="E15" s="20"/>
      <c r="F15" s="20"/>
      <c r="G15" s="20"/>
      <c r="H15" s="19" t="s">
        <v>12</v>
      </c>
    </row>
    <row r="16" spans="1:9" x14ac:dyDescent="0.2">
      <c r="A16" s="20"/>
      <c r="B16" s="20"/>
      <c r="C16" s="21" t="s">
        <v>11</v>
      </c>
      <c r="D16" s="20"/>
      <c r="E16" s="20" t="s">
        <v>12</v>
      </c>
      <c r="F16" s="22" t="s">
        <v>13</v>
      </c>
      <c r="G16" s="23">
        <v>0</v>
      </c>
      <c r="H16" s="19" t="s">
        <v>12</v>
      </c>
    </row>
    <row r="17" spans="1:8" x14ac:dyDescent="0.2">
      <c r="A17" s="20"/>
      <c r="B17" s="20"/>
      <c r="C17" s="24"/>
      <c r="D17" s="20"/>
      <c r="E17" s="20"/>
      <c r="F17" s="25"/>
      <c r="G17" s="25"/>
      <c r="H17" s="19" t="s">
        <v>12</v>
      </c>
    </row>
    <row r="18" spans="1:8" x14ac:dyDescent="0.2">
      <c r="A18" s="20"/>
      <c r="B18" s="20"/>
      <c r="C18" s="21" t="s">
        <v>17</v>
      </c>
      <c r="D18" s="20"/>
      <c r="E18" s="20"/>
      <c r="F18" s="25"/>
      <c r="G18" s="25"/>
      <c r="H18" s="19" t="s">
        <v>12</v>
      </c>
    </row>
    <row r="19" spans="1:8" x14ac:dyDescent="0.2">
      <c r="A19" s="20"/>
      <c r="B19" s="20"/>
      <c r="C19" s="21" t="s">
        <v>11</v>
      </c>
      <c r="D19" s="20"/>
      <c r="E19" s="20" t="s">
        <v>12</v>
      </c>
      <c r="F19" s="22" t="s">
        <v>13</v>
      </c>
      <c r="G19" s="23">
        <v>0</v>
      </c>
      <c r="H19" s="19" t="s">
        <v>12</v>
      </c>
    </row>
    <row r="20" spans="1:8" x14ac:dyDescent="0.2">
      <c r="A20" s="20"/>
      <c r="B20" s="20"/>
      <c r="C20" s="24"/>
      <c r="D20" s="20"/>
      <c r="E20" s="20"/>
      <c r="F20" s="25"/>
      <c r="G20" s="25"/>
      <c r="H20" s="19" t="s">
        <v>12</v>
      </c>
    </row>
    <row r="21" spans="1:8" x14ac:dyDescent="0.2">
      <c r="A21" s="20"/>
      <c r="B21" s="20"/>
      <c r="C21" s="21" t="s">
        <v>18</v>
      </c>
      <c r="D21" s="20"/>
      <c r="E21" s="20"/>
      <c r="F21" s="25"/>
      <c r="G21" s="25"/>
      <c r="H21" s="19" t="s">
        <v>12</v>
      </c>
    </row>
    <row r="22" spans="1:8" x14ac:dyDescent="0.2">
      <c r="A22" s="20"/>
      <c r="B22" s="20"/>
      <c r="C22" s="21" t="s">
        <v>11</v>
      </c>
      <c r="D22" s="20"/>
      <c r="E22" s="20" t="s">
        <v>12</v>
      </c>
      <c r="F22" s="22" t="s">
        <v>13</v>
      </c>
      <c r="G22" s="23">
        <v>0</v>
      </c>
      <c r="H22" s="19" t="s">
        <v>12</v>
      </c>
    </row>
    <row r="23" spans="1:8" x14ac:dyDescent="0.2">
      <c r="A23" s="20"/>
      <c r="B23" s="20"/>
      <c r="C23" s="24"/>
      <c r="D23" s="20"/>
      <c r="E23" s="20"/>
      <c r="F23" s="25"/>
      <c r="G23" s="25"/>
      <c r="H23" s="19" t="s">
        <v>12</v>
      </c>
    </row>
    <row r="24" spans="1:8" x14ac:dyDescent="0.2">
      <c r="A24" s="20"/>
      <c r="B24" s="20"/>
      <c r="C24" s="21" t="s">
        <v>19</v>
      </c>
      <c r="D24" s="20"/>
      <c r="E24" s="20"/>
      <c r="F24" s="26">
        <v>0</v>
      </c>
      <c r="G24" s="23">
        <v>0</v>
      </c>
      <c r="H24" s="19" t="s">
        <v>12</v>
      </c>
    </row>
    <row r="25" spans="1:8" x14ac:dyDescent="0.2">
      <c r="A25" s="20"/>
      <c r="B25" s="20"/>
      <c r="C25" s="24"/>
      <c r="D25" s="20"/>
      <c r="E25" s="20"/>
      <c r="F25" s="25"/>
      <c r="G25" s="25"/>
      <c r="H25" s="19" t="s">
        <v>12</v>
      </c>
    </row>
    <row r="26" spans="1:8" x14ac:dyDescent="0.2">
      <c r="A26" s="20"/>
      <c r="B26" s="20"/>
      <c r="C26" s="21" t="s">
        <v>20</v>
      </c>
      <c r="D26" s="20"/>
      <c r="E26" s="20"/>
      <c r="F26" s="25"/>
      <c r="G26" s="25"/>
      <c r="H26" s="19" t="s">
        <v>12</v>
      </c>
    </row>
    <row r="27" spans="1:8" ht="25.5" x14ac:dyDescent="0.2">
      <c r="A27" s="20"/>
      <c r="B27" s="20"/>
      <c r="C27" s="21" t="s">
        <v>10</v>
      </c>
      <c r="D27" s="20"/>
      <c r="E27" s="20"/>
      <c r="F27" s="25"/>
      <c r="G27" s="25"/>
      <c r="H27" s="19" t="s">
        <v>12</v>
      </c>
    </row>
    <row r="28" spans="1:8" x14ac:dyDescent="0.2">
      <c r="A28" s="27">
        <v>1</v>
      </c>
      <c r="B28" s="28" t="s">
        <v>263</v>
      </c>
      <c r="C28" s="28" t="s">
        <v>264</v>
      </c>
      <c r="D28" s="28" t="s">
        <v>260</v>
      </c>
      <c r="E28" s="29">
        <v>1100</v>
      </c>
      <c r="F28" s="30">
        <v>1105.3669</v>
      </c>
      <c r="G28" s="31">
        <v>5.1609240000000001E-2</v>
      </c>
      <c r="H28" s="19">
        <v>7.5750000000000002</v>
      </c>
    </row>
    <row r="29" spans="1:8" ht="25.5" x14ac:dyDescent="0.2">
      <c r="A29" s="27">
        <v>2</v>
      </c>
      <c r="B29" s="28" t="s">
        <v>33</v>
      </c>
      <c r="C29" s="28" t="s">
        <v>34</v>
      </c>
      <c r="D29" s="28" t="s">
        <v>23</v>
      </c>
      <c r="E29" s="29">
        <v>1000</v>
      </c>
      <c r="F29" s="30">
        <v>1032.0250000000001</v>
      </c>
      <c r="G29" s="31">
        <v>4.8184919999999999E-2</v>
      </c>
      <c r="H29" s="19">
        <v>6.665</v>
      </c>
    </row>
    <row r="30" spans="1:8" ht="25.5" x14ac:dyDescent="0.2">
      <c r="A30" s="27">
        <v>3</v>
      </c>
      <c r="B30" s="28" t="s">
        <v>450</v>
      </c>
      <c r="C30" s="28" t="s">
        <v>451</v>
      </c>
      <c r="D30" s="28" t="s">
        <v>23</v>
      </c>
      <c r="E30" s="29">
        <v>1000</v>
      </c>
      <c r="F30" s="30">
        <v>1030.4939999999999</v>
      </c>
      <c r="G30" s="31">
        <v>4.811344E-2</v>
      </c>
      <c r="H30" s="19">
        <v>6.56</v>
      </c>
    </row>
    <row r="31" spans="1:8" ht="25.5" x14ac:dyDescent="0.2">
      <c r="A31" s="27">
        <v>4</v>
      </c>
      <c r="B31" s="28" t="s">
        <v>145</v>
      </c>
      <c r="C31" s="28" t="s">
        <v>146</v>
      </c>
      <c r="D31" s="28" t="s">
        <v>23</v>
      </c>
      <c r="E31" s="29">
        <v>1000</v>
      </c>
      <c r="F31" s="30">
        <v>1024.0809999999999</v>
      </c>
      <c r="G31" s="31">
        <v>4.7814019999999999E-2</v>
      </c>
      <c r="H31" s="19">
        <v>6.48</v>
      </c>
    </row>
    <row r="32" spans="1:8" ht="25.5" x14ac:dyDescent="0.2">
      <c r="A32" s="27">
        <v>5</v>
      </c>
      <c r="B32" s="28" t="s">
        <v>265</v>
      </c>
      <c r="C32" s="28" t="s">
        <v>266</v>
      </c>
      <c r="D32" s="28" t="s">
        <v>257</v>
      </c>
      <c r="E32" s="29">
        <v>1000</v>
      </c>
      <c r="F32" s="30">
        <v>1014.7</v>
      </c>
      <c r="G32" s="31">
        <v>4.737603E-2</v>
      </c>
      <c r="H32" s="19">
        <v>7.3784999999999998</v>
      </c>
    </row>
    <row r="33" spans="1:8" ht="25.5" x14ac:dyDescent="0.2">
      <c r="A33" s="27">
        <v>6</v>
      </c>
      <c r="B33" s="28" t="s">
        <v>452</v>
      </c>
      <c r="C33" s="28" t="s">
        <v>453</v>
      </c>
      <c r="D33" s="28" t="s">
        <v>284</v>
      </c>
      <c r="E33" s="29">
        <v>500</v>
      </c>
      <c r="F33" s="30">
        <v>515.01700000000005</v>
      </c>
      <c r="G33" s="31">
        <v>2.4045980000000002E-2</v>
      </c>
      <c r="H33" s="19">
        <v>7.6025</v>
      </c>
    </row>
    <row r="34" spans="1:8" ht="25.5" x14ac:dyDescent="0.2">
      <c r="A34" s="27">
        <v>7</v>
      </c>
      <c r="B34" s="28" t="s">
        <v>67</v>
      </c>
      <c r="C34" s="28" t="s">
        <v>68</v>
      </c>
      <c r="D34" s="28" t="s">
        <v>23</v>
      </c>
      <c r="E34" s="29">
        <v>50</v>
      </c>
      <c r="F34" s="30">
        <v>511.911</v>
      </c>
      <c r="G34" s="31">
        <v>2.3900959999999999E-2</v>
      </c>
      <c r="H34" s="19">
        <v>6.915</v>
      </c>
    </row>
    <row r="35" spans="1:8" ht="25.5" x14ac:dyDescent="0.2">
      <c r="A35" s="27">
        <v>8</v>
      </c>
      <c r="B35" s="28" t="s">
        <v>139</v>
      </c>
      <c r="C35" s="28" t="s">
        <v>140</v>
      </c>
      <c r="D35" s="28" t="s">
        <v>23</v>
      </c>
      <c r="E35" s="29">
        <v>500</v>
      </c>
      <c r="F35" s="30">
        <v>510.916</v>
      </c>
      <c r="G35" s="31">
        <v>2.3854509999999999E-2</v>
      </c>
      <c r="H35" s="19">
        <v>6.4649999999999999</v>
      </c>
    </row>
    <row r="36" spans="1:8" ht="25.5" x14ac:dyDescent="0.2">
      <c r="A36" s="27">
        <v>9</v>
      </c>
      <c r="B36" s="28" t="s">
        <v>153</v>
      </c>
      <c r="C36" s="28" t="s">
        <v>154</v>
      </c>
      <c r="D36" s="28" t="s">
        <v>32</v>
      </c>
      <c r="E36" s="29">
        <v>500</v>
      </c>
      <c r="F36" s="30">
        <v>509.82549999999998</v>
      </c>
      <c r="G36" s="31">
        <v>2.3803589999999999E-2</v>
      </c>
      <c r="H36" s="19">
        <v>6.5730000000000004</v>
      </c>
    </row>
    <row r="37" spans="1:8" ht="25.5" x14ac:dyDescent="0.2">
      <c r="A37" s="27">
        <v>10</v>
      </c>
      <c r="B37" s="28" t="s">
        <v>276</v>
      </c>
      <c r="C37" s="28" t="s">
        <v>277</v>
      </c>
      <c r="D37" s="28" t="s">
        <v>32</v>
      </c>
      <c r="E37" s="29">
        <v>500</v>
      </c>
      <c r="F37" s="30">
        <v>506.892</v>
      </c>
      <c r="G37" s="31">
        <v>2.3666630000000001E-2</v>
      </c>
      <c r="H37" s="19">
        <v>7.1349999999999998</v>
      </c>
    </row>
    <row r="38" spans="1:8" ht="25.5" x14ac:dyDescent="0.2">
      <c r="A38" s="27">
        <v>11</v>
      </c>
      <c r="B38" s="28" t="s">
        <v>267</v>
      </c>
      <c r="C38" s="28" t="s">
        <v>268</v>
      </c>
      <c r="D38" s="28" t="s">
        <v>23</v>
      </c>
      <c r="E38" s="29">
        <v>50</v>
      </c>
      <c r="F38" s="30">
        <v>506.21949999999998</v>
      </c>
      <c r="G38" s="31">
        <v>2.363523E-2</v>
      </c>
      <c r="H38" s="19">
        <v>6.55</v>
      </c>
    </row>
    <row r="39" spans="1:8" ht="25.5" x14ac:dyDescent="0.2">
      <c r="A39" s="27">
        <v>12</v>
      </c>
      <c r="B39" s="28" t="s">
        <v>285</v>
      </c>
      <c r="C39" s="28" t="s">
        <v>286</v>
      </c>
      <c r="D39" s="28" t="s">
        <v>260</v>
      </c>
      <c r="E39" s="29">
        <v>500</v>
      </c>
      <c r="F39" s="30">
        <v>505.99950000000001</v>
      </c>
      <c r="G39" s="31">
        <v>2.362496E-2</v>
      </c>
      <c r="H39" s="19">
        <v>8.1</v>
      </c>
    </row>
    <row r="40" spans="1:8" ht="25.5" x14ac:dyDescent="0.2">
      <c r="A40" s="27">
        <v>13</v>
      </c>
      <c r="B40" s="28" t="s">
        <v>258</v>
      </c>
      <c r="C40" s="28" t="s">
        <v>259</v>
      </c>
      <c r="D40" s="28" t="s">
        <v>260</v>
      </c>
      <c r="E40" s="29">
        <v>500</v>
      </c>
      <c r="F40" s="30">
        <v>505.66649999999998</v>
      </c>
      <c r="G40" s="31">
        <v>2.3609410000000001E-2</v>
      </c>
      <c r="H40" s="19">
        <v>7.9249999999999998</v>
      </c>
    </row>
    <row r="41" spans="1:8" x14ac:dyDescent="0.2">
      <c r="A41" s="27">
        <v>14</v>
      </c>
      <c r="B41" s="28" t="s">
        <v>454</v>
      </c>
      <c r="C41" s="28" t="s">
        <v>455</v>
      </c>
      <c r="D41" s="28" t="s">
        <v>23</v>
      </c>
      <c r="E41" s="29">
        <v>500</v>
      </c>
      <c r="F41" s="30">
        <v>505.05349999999999</v>
      </c>
      <c r="G41" s="31">
        <v>2.3580790000000001E-2</v>
      </c>
      <c r="H41" s="19">
        <v>6.55</v>
      </c>
    </row>
    <row r="42" spans="1:8" x14ac:dyDescent="0.2">
      <c r="A42" s="27">
        <v>15</v>
      </c>
      <c r="B42" s="28" t="s">
        <v>261</v>
      </c>
      <c r="C42" s="28" t="s">
        <v>262</v>
      </c>
      <c r="D42" s="28" t="s">
        <v>23</v>
      </c>
      <c r="E42" s="29">
        <v>500</v>
      </c>
      <c r="F42" s="30">
        <v>504.98950000000002</v>
      </c>
      <c r="G42" s="31">
        <v>2.3577799999999999E-2</v>
      </c>
      <c r="H42" s="19">
        <v>6.5549999999999997</v>
      </c>
    </row>
    <row r="43" spans="1:8" ht="25.5" x14ac:dyDescent="0.2">
      <c r="A43" s="27">
        <v>16</v>
      </c>
      <c r="B43" s="28" t="s">
        <v>69</v>
      </c>
      <c r="C43" s="28" t="s">
        <v>70</v>
      </c>
      <c r="D43" s="28" t="s">
        <v>23</v>
      </c>
      <c r="E43" s="29">
        <v>500</v>
      </c>
      <c r="F43" s="30">
        <v>504.548</v>
      </c>
      <c r="G43" s="31">
        <v>2.3557189999999999E-2</v>
      </c>
      <c r="H43" s="19">
        <v>6.6092000000000004</v>
      </c>
    </row>
    <row r="44" spans="1:8" ht="25.5" x14ac:dyDescent="0.2">
      <c r="A44" s="27">
        <v>17</v>
      </c>
      <c r="B44" s="28" t="s">
        <v>456</v>
      </c>
      <c r="C44" s="28" t="s">
        <v>457</v>
      </c>
      <c r="D44" s="28" t="s">
        <v>23</v>
      </c>
      <c r="E44" s="29">
        <v>50</v>
      </c>
      <c r="F44" s="30">
        <v>502.94049999999999</v>
      </c>
      <c r="G44" s="31">
        <v>2.3482139999999999E-2</v>
      </c>
      <c r="H44" s="19">
        <v>6.55</v>
      </c>
    </row>
    <row r="45" spans="1:8" ht="25.5" x14ac:dyDescent="0.2">
      <c r="A45" s="27">
        <v>18</v>
      </c>
      <c r="B45" s="28" t="s">
        <v>458</v>
      </c>
      <c r="C45" s="28" t="s">
        <v>459</v>
      </c>
      <c r="D45" s="28" t="s">
        <v>260</v>
      </c>
      <c r="E45" s="29">
        <v>500</v>
      </c>
      <c r="F45" s="30">
        <v>502.2835</v>
      </c>
      <c r="G45" s="31">
        <v>2.345146E-2</v>
      </c>
      <c r="H45" s="19">
        <v>8.1222999999999992</v>
      </c>
    </row>
    <row r="46" spans="1:8" ht="25.5" x14ac:dyDescent="0.2">
      <c r="A46" s="27">
        <v>19</v>
      </c>
      <c r="B46" s="28" t="s">
        <v>71</v>
      </c>
      <c r="C46" s="28" t="s">
        <v>72</v>
      </c>
      <c r="D46" s="28" t="s">
        <v>23</v>
      </c>
      <c r="E46" s="29">
        <v>500</v>
      </c>
      <c r="F46" s="30">
        <v>500.036</v>
      </c>
      <c r="G46" s="31">
        <v>2.3346519999999999E-2</v>
      </c>
      <c r="H46" s="19">
        <v>7.02</v>
      </c>
    </row>
    <row r="47" spans="1:8" ht="25.5" x14ac:dyDescent="0.2">
      <c r="A47" s="27">
        <v>20</v>
      </c>
      <c r="B47" s="28" t="s">
        <v>460</v>
      </c>
      <c r="C47" s="28" t="s">
        <v>461</v>
      </c>
      <c r="D47" s="28" t="s">
        <v>23</v>
      </c>
      <c r="E47" s="29">
        <v>50</v>
      </c>
      <c r="F47" s="30">
        <v>496.01049999999998</v>
      </c>
      <c r="G47" s="31">
        <v>2.3158580000000002E-2</v>
      </c>
      <c r="H47" s="19">
        <v>6.82</v>
      </c>
    </row>
    <row r="48" spans="1:8" ht="25.5" x14ac:dyDescent="0.2">
      <c r="A48" s="27">
        <v>21</v>
      </c>
      <c r="B48" s="28" t="s">
        <v>255</v>
      </c>
      <c r="C48" s="28" t="s">
        <v>256</v>
      </c>
      <c r="D48" s="28" t="s">
        <v>257</v>
      </c>
      <c r="E48" s="29">
        <v>300</v>
      </c>
      <c r="F48" s="30">
        <v>304.15019999999998</v>
      </c>
      <c r="G48" s="31">
        <v>1.420068E-2</v>
      </c>
      <c r="H48" s="19">
        <v>6.9450000000000003</v>
      </c>
    </row>
    <row r="49" spans="1:8" x14ac:dyDescent="0.2">
      <c r="A49" s="20"/>
      <c r="B49" s="20"/>
      <c r="C49" s="21" t="s">
        <v>11</v>
      </c>
      <c r="D49" s="20"/>
      <c r="E49" s="20" t="s">
        <v>12</v>
      </c>
      <c r="F49" s="26">
        <v>13099.125599999999</v>
      </c>
      <c r="G49" s="23">
        <v>0.61159408000000004</v>
      </c>
      <c r="H49" s="19" t="s">
        <v>12</v>
      </c>
    </row>
    <row r="50" spans="1:8" x14ac:dyDescent="0.2">
      <c r="A50" s="20"/>
      <c r="B50" s="20"/>
      <c r="C50" s="24"/>
      <c r="D50" s="20"/>
      <c r="E50" s="20"/>
      <c r="F50" s="25"/>
      <c r="G50" s="25"/>
      <c r="H50" s="19" t="s">
        <v>12</v>
      </c>
    </row>
    <row r="51" spans="1:8" x14ac:dyDescent="0.2">
      <c r="A51" s="20"/>
      <c r="B51" s="20"/>
      <c r="C51" s="21" t="s">
        <v>77</v>
      </c>
      <c r="D51" s="20"/>
      <c r="E51" s="20"/>
      <c r="F51" s="20"/>
      <c r="G51" s="20"/>
      <c r="H51" s="19" t="s">
        <v>12</v>
      </c>
    </row>
    <row r="52" spans="1:8" x14ac:dyDescent="0.2">
      <c r="A52" s="20"/>
      <c r="B52" s="20"/>
      <c r="C52" s="21" t="s">
        <v>11</v>
      </c>
      <c r="D52" s="20"/>
      <c r="E52" s="20" t="s">
        <v>12</v>
      </c>
      <c r="F52" s="22" t="s">
        <v>13</v>
      </c>
      <c r="G52" s="23">
        <v>0</v>
      </c>
      <c r="H52" s="19" t="s">
        <v>12</v>
      </c>
    </row>
    <row r="53" spans="1:8" x14ac:dyDescent="0.2">
      <c r="A53" s="20"/>
      <c r="B53" s="20"/>
      <c r="C53" s="24"/>
      <c r="D53" s="20"/>
      <c r="E53" s="20"/>
      <c r="F53" s="25"/>
      <c r="G53" s="25"/>
      <c r="H53" s="19" t="s">
        <v>12</v>
      </c>
    </row>
    <row r="54" spans="1:8" x14ac:dyDescent="0.2">
      <c r="A54" s="20"/>
      <c r="B54" s="20"/>
      <c r="C54" s="21" t="s">
        <v>78</v>
      </c>
      <c r="D54" s="20"/>
      <c r="E54" s="20"/>
      <c r="F54" s="20"/>
      <c r="G54" s="20"/>
      <c r="H54" s="19" t="s">
        <v>12</v>
      </c>
    </row>
    <row r="55" spans="1:8" ht="25.5" x14ac:dyDescent="0.2">
      <c r="A55" s="27">
        <v>1</v>
      </c>
      <c r="B55" s="28" t="s">
        <v>98</v>
      </c>
      <c r="C55" s="28" t="s">
        <v>99</v>
      </c>
      <c r="D55" s="28" t="s">
        <v>81</v>
      </c>
      <c r="E55" s="29">
        <v>2500000</v>
      </c>
      <c r="F55" s="30">
        <v>2635.45</v>
      </c>
      <c r="G55" s="31">
        <v>0.12304834000000001</v>
      </c>
      <c r="H55" s="19">
        <v>6.3898000000000001</v>
      </c>
    </row>
    <row r="56" spans="1:8" ht="25.5" x14ac:dyDescent="0.2">
      <c r="A56" s="27">
        <v>2</v>
      </c>
      <c r="B56" s="28" t="s">
        <v>94</v>
      </c>
      <c r="C56" s="28" t="s">
        <v>95</v>
      </c>
      <c r="D56" s="28" t="s">
        <v>81</v>
      </c>
      <c r="E56" s="29">
        <v>1500000</v>
      </c>
      <c r="F56" s="30">
        <v>1573.884</v>
      </c>
      <c r="G56" s="31">
        <v>7.3484149999999998E-2</v>
      </c>
      <c r="H56" s="19">
        <v>5.8318000000000003</v>
      </c>
    </row>
    <row r="57" spans="1:8" ht="25.5" x14ac:dyDescent="0.2">
      <c r="A57" s="27">
        <v>3</v>
      </c>
      <c r="B57" s="28" t="s">
        <v>289</v>
      </c>
      <c r="C57" s="28" t="s">
        <v>290</v>
      </c>
      <c r="D57" s="28" t="s">
        <v>81</v>
      </c>
      <c r="E57" s="29">
        <v>700000</v>
      </c>
      <c r="F57" s="30">
        <v>722.35659999999996</v>
      </c>
      <c r="G57" s="31">
        <v>3.3726600000000002E-2</v>
      </c>
      <c r="H57" s="19">
        <v>5.7880000000000003</v>
      </c>
    </row>
    <row r="58" spans="1:8" ht="25.5" x14ac:dyDescent="0.2">
      <c r="A58" s="27">
        <v>4</v>
      </c>
      <c r="B58" s="28" t="s">
        <v>92</v>
      </c>
      <c r="C58" s="28" t="s">
        <v>93</v>
      </c>
      <c r="D58" s="28" t="s">
        <v>81</v>
      </c>
      <c r="E58" s="29">
        <v>500000</v>
      </c>
      <c r="F58" s="30">
        <v>532.51700000000005</v>
      </c>
      <c r="G58" s="31">
        <v>2.4863050000000001E-2</v>
      </c>
      <c r="H58" s="19">
        <v>6.5026999999999999</v>
      </c>
    </row>
    <row r="59" spans="1:8" ht="25.5" x14ac:dyDescent="0.2">
      <c r="A59" s="27">
        <v>5</v>
      </c>
      <c r="B59" s="28" t="s">
        <v>82</v>
      </c>
      <c r="C59" s="28" t="s">
        <v>83</v>
      </c>
      <c r="D59" s="28" t="s">
        <v>81</v>
      </c>
      <c r="E59" s="29">
        <v>500000</v>
      </c>
      <c r="F59" s="30">
        <v>531.66549999999995</v>
      </c>
      <c r="G59" s="31">
        <v>2.48233E-2</v>
      </c>
      <c r="H59" s="19">
        <v>6.0298999999999996</v>
      </c>
    </row>
    <row r="60" spans="1:8" ht="25.5" x14ac:dyDescent="0.2">
      <c r="A60" s="27">
        <v>6</v>
      </c>
      <c r="B60" s="28" t="s">
        <v>462</v>
      </c>
      <c r="C60" s="28" t="s">
        <v>463</v>
      </c>
      <c r="D60" s="28" t="s">
        <v>81</v>
      </c>
      <c r="E60" s="29">
        <v>500000</v>
      </c>
      <c r="F60" s="30">
        <v>526.12800000000004</v>
      </c>
      <c r="G60" s="31">
        <v>2.456475E-2</v>
      </c>
      <c r="H60" s="19">
        <v>6.7545999999999999</v>
      </c>
    </row>
    <row r="61" spans="1:8" x14ac:dyDescent="0.2">
      <c r="A61" s="20"/>
      <c r="B61" s="20"/>
      <c r="C61" s="21" t="s">
        <v>11</v>
      </c>
      <c r="D61" s="20"/>
      <c r="E61" s="20" t="s">
        <v>12</v>
      </c>
      <c r="F61" s="26">
        <v>6522.0011000000004</v>
      </c>
      <c r="G61" s="23">
        <v>0.30451019000000001</v>
      </c>
      <c r="H61" s="19" t="s">
        <v>12</v>
      </c>
    </row>
    <row r="62" spans="1:8" x14ac:dyDescent="0.2">
      <c r="A62" s="20"/>
      <c r="B62" s="20"/>
      <c r="C62" s="24"/>
      <c r="D62" s="20"/>
      <c r="E62" s="20"/>
      <c r="F62" s="25"/>
      <c r="G62" s="25"/>
      <c r="H62" s="19" t="s">
        <v>12</v>
      </c>
    </row>
    <row r="63" spans="1:8" x14ac:dyDescent="0.2">
      <c r="A63" s="20"/>
      <c r="B63" s="20"/>
      <c r="C63" s="21" t="s">
        <v>100</v>
      </c>
      <c r="D63" s="20"/>
      <c r="E63" s="20"/>
      <c r="F63" s="25"/>
      <c r="G63" s="25"/>
      <c r="H63" s="19" t="s">
        <v>12</v>
      </c>
    </row>
    <row r="64" spans="1:8" x14ac:dyDescent="0.2">
      <c r="A64" s="20"/>
      <c r="B64" s="20"/>
      <c r="C64" s="21" t="s">
        <v>11</v>
      </c>
      <c r="D64" s="20"/>
      <c r="E64" s="20" t="s">
        <v>12</v>
      </c>
      <c r="F64" s="22" t="s">
        <v>13</v>
      </c>
      <c r="G64" s="23">
        <v>0</v>
      </c>
      <c r="H64" s="19" t="s">
        <v>12</v>
      </c>
    </row>
    <row r="65" spans="1:8" x14ac:dyDescent="0.2">
      <c r="A65" s="20"/>
      <c r="B65" s="20"/>
      <c r="C65" s="24"/>
      <c r="D65" s="20"/>
      <c r="E65" s="20"/>
      <c r="F65" s="25"/>
      <c r="G65" s="25"/>
      <c r="H65" s="19" t="s">
        <v>12</v>
      </c>
    </row>
    <row r="66" spans="1:8" x14ac:dyDescent="0.2">
      <c r="A66" s="20"/>
      <c r="B66" s="20"/>
      <c r="C66" s="21" t="s">
        <v>101</v>
      </c>
      <c r="D66" s="20"/>
      <c r="E66" s="20"/>
      <c r="F66" s="26">
        <v>19621.126700000001</v>
      </c>
      <c r="G66" s="23">
        <v>0.91610427000000005</v>
      </c>
      <c r="H66" s="19" t="s">
        <v>12</v>
      </c>
    </row>
    <row r="67" spans="1:8" x14ac:dyDescent="0.2">
      <c r="A67" s="20"/>
      <c r="B67" s="20"/>
      <c r="C67" s="24"/>
      <c r="D67" s="20"/>
      <c r="E67" s="20"/>
      <c r="F67" s="25"/>
      <c r="G67" s="25"/>
      <c r="H67" s="19" t="s">
        <v>12</v>
      </c>
    </row>
    <row r="68" spans="1:8" x14ac:dyDescent="0.2">
      <c r="A68" s="20"/>
      <c r="B68" s="20"/>
      <c r="C68" s="21" t="s">
        <v>102</v>
      </c>
      <c r="D68" s="20"/>
      <c r="E68" s="20"/>
      <c r="F68" s="25"/>
      <c r="G68" s="25"/>
      <c r="H68" s="19" t="s">
        <v>12</v>
      </c>
    </row>
    <row r="69" spans="1:8" x14ac:dyDescent="0.2">
      <c r="A69" s="20"/>
      <c r="B69" s="20"/>
      <c r="C69" s="21" t="s">
        <v>103</v>
      </c>
      <c r="D69" s="20"/>
      <c r="E69" s="20"/>
      <c r="F69" s="25"/>
      <c r="G69" s="25"/>
      <c r="H69" s="19" t="s">
        <v>12</v>
      </c>
    </row>
    <row r="70" spans="1:8" x14ac:dyDescent="0.2">
      <c r="A70" s="20"/>
      <c r="B70" s="20"/>
      <c r="C70" s="21" t="s">
        <v>11</v>
      </c>
      <c r="D70" s="20"/>
      <c r="E70" s="20" t="s">
        <v>12</v>
      </c>
      <c r="F70" s="22" t="s">
        <v>13</v>
      </c>
      <c r="G70" s="23">
        <v>0</v>
      </c>
      <c r="H70" s="19" t="s">
        <v>12</v>
      </c>
    </row>
    <row r="71" spans="1:8" x14ac:dyDescent="0.2">
      <c r="A71" s="20"/>
      <c r="B71" s="20"/>
      <c r="C71" s="24"/>
      <c r="D71" s="20"/>
      <c r="E71" s="20"/>
      <c r="F71" s="25"/>
      <c r="G71" s="25"/>
      <c r="H71" s="19" t="s">
        <v>12</v>
      </c>
    </row>
    <row r="72" spans="1:8" x14ac:dyDescent="0.2">
      <c r="A72" s="20"/>
      <c r="B72" s="20"/>
      <c r="C72" s="21" t="s">
        <v>104</v>
      </c>
      <c r="D72" s="20"/>
      <c r="E72" s="20"/>
      <c r="F72" s="25"/>
      <c r="G72" s="25"/>
      <c r="H72" s="19" t="s">
        <v>12</v>
      </c>
    </row>
    <row r="73" spans="1:8" x14ac:dyDescent="0.2">
      <c r="A73" s="20"/>
      <c r="B73" s="20"/>
      <c r="C73" s="21" t="s">
        <v>11</v>
      </c>
      <c r="D73" s="20"/>
      <c r="E73" s="20" t="s">
        <v>12</v>
      </c>
      <c r="F73" s="22" t="s">
        <v>13</v>
      </c>
      <c r="G73" s="23">
        <v>0</v>
      </c>
      <c r="H73" s="19" t="s">
        <v>12</v>
      </c>
    </row>
    <row r="74" spans="1:8" x14ac:dyDescent="0.2">
      <c r="A74" s="20"/>
      <c r="B74" s="20"/>
      <c r="C74" s="24"/>
      <c r="D74" s="20"/>
      <c r="E74" s="20"/>
      <c r="F74" s="25"/>
      <c r="G74" s="25"/>
      <c r="H74" s="19" t="s">
        <v>12</v>
      </c>
    </row>
    <row r="75" spans="1:8" x14ac:dyDescent="0.2">
      <c r="A75" s="20"/>
      <c r="B75" s="20"/>
      <c r="C75" s="21" t="s">
        <v>105</v>
      </c>
      <c r="D75" s="20"/>
      <c r="E75" s="20"/>
      <c r="F75" s="25"/>
      <c r="G75" s="25"/>
      <c r="H75" s="19" t="s">
        <v>12</v>
      </c>
    </row>
    <row r="76" spans="1:8" x14ac:dyDescent="0.2">
      <c r="A76" s="20"/>
      <c r="B76" s="20"/>
      <c r="C76" s="21" t="s">
        <v>11</v>
      </c>
      <c r="D76" s="20"/>
      <c r="E76" s="20" t="s">
        <v>12</v>
      </c>
      <c r="F76" s="22" t="s">
        <v>13</v>
      </c>
      <c r="G76" s="23">
        <v>0</v>
      </c>
      <c r="H76" s="19" t="s">
        <v>12</v>
      </c>
    </row>
    <row r="77" spans="1:8" x14ac:dyDescent="0.2">
      <c r="A77" s="20"/>
      <c r="B77" s="20"/>
      <c r="C77" s="24"/>
      <c r="D77" s="20"/>
      <c r="E77" s="20"/>
      <c r="F77" s="25"/>
      <c r="G77" s="25"/>
      <c r="H77" s="19" t="s">
        <v>12</v>
      </c>
    </row>
    <row r="78" spans="1:8" x14ac:dyDescent="0.2">
      <c r="A78" s="20"/>
      <c r="B78" s="20"/>
      <c r="C78" s="21" t="s">
        <v>106</v>
      </c>
      <c r="D78" s="20"/>
      <c r="E78" s="20"/>
      <c r="F78" s="25"/>
      <c r="G78" s="25"/>
      <c r="H78" s="19" t="s">
        <v>12</v>
      </c>
    </row>
    <row r="79" spans="1:8" x14ac:dyDescent="0.2">
      <c r="A79" s="27">
        <v>1</v>
      </c>
      <c r="B79" s="28"/>
      <c r="C79" s="28" t="s">
        <v>107</v>
      </c>
      <c r="D79" s="28"/>
      <c r="E79" s="32"/>
      <c r="F79" s="30">
        <v>1287.087691103</v>
      </c>
      <c r="G79" s="31">
        <v>6.0093720000000003E-2</v>
      </c>
      <c r="H79" s="19">
        <v>5.76</v>
      </c>
    </row>
    <row r="80" spans="1:8" x14ac:dyDescent="0.2">
      <c r="A80" s="20"/>
      <c r="B80" s="20"/>
      <c r="C80" s="21" t="s">
        <v>11</v>
      </c>
      <c r="D80" s="20"/>
      <c r="E80" s="20" t="s">
        <v>12</v>
      </c>
      <c r="F80" s="26">
        <v>1287.087691103</v>
      </c>
      <c r="G80" s="23">
        <v>6.0093720000000003E-2</v>
      </c>
      <c r="H80" s="19" t="s">
        <v>12</v>
      </c>
    </row>
    <row r="81" spans="1:17" x14ac:dyDescent="0.2">
      <c r="A81" s="20"/>
      <c r="B81" s="20"/>
      <c r="C81" s="24"/>
      <c r="D81" s="20"/>
      <c r="E81" s="20"/>
      <c r="F81" s="25"/>
      <c r="G81" s="25"/>
      <c r="H81" s="19" t="s">
        <v>12</v>
      </c>
    </row>
    <row r="82" spans="1:17" x14ac:dyDescent="0.2">
      <c r="A82" s="20"/>
      <c r="B82" s="20"/>
      <c r="C82" s="21" t="s">
        <v>108</v>
      </c>
      <c r="D82" s="20"/>
      <c r="E82" s="20"/>
      <c r="F82" s="26">
        <v>1287.087691103</v>
      </c>
      <c r="G82" s="23">
        <v>6.0093720000000003E-2</v>
      </c>
      <c r="H82" s="19" t="s">
        <v>12</v>
      </c>
    </row>
    <row r="83" spans="1:17" x14ac:dyDescent="0.2">
      <c r="A83" s="20"/>
      <c r="B83" s="20"/>
      <c r="C83" s="25"/>
      <c r="D83" s="20"/>
      <c r="E83" s="20"/>
      <c r="F83" s="20"/>
      <c r="G83" s="20"/>
      <c r="H83" s="19" t="s">
        <v>12</v>
      </c>
    </row>
    <row r="84" spans="1:17" x14ac:dyDescent="0.2">
      <c r="A84" s="20"/>
      <c r="B84" s="20"/>
      <c r="C84" s="21" t="s">
        <v>109</v>
      </c>
      <c r="D84" s="20"/>
      <c r="E84" s="20"/>
      <c r="F84" s="20"/>
      <c r="G84" s="20"/>
      <c r="H84" s="19" t="s">
        <v>12</v>
      </c>
    </row>
    <row r="85" spans="1:17" x14ac:dyDescent="0.2">
      <c r="A85" s="20"/>
      <c r="B85" s="20"/>
      <c r="C85" s="21" t="s">
        <v>110</v>
      </c>
      <c r="D85" s="20"/>
      <c r="E85" s="20"/>
      <c r="F85" s="20"/>
      <c r="G85" s="20"/>
      <c r="H85" s="19" t="s">
        <v>12</v>
      </c>
    </row>
    <row r="86" spans="1:17" x14ac:dyDescent="0.2">
      <c r="A86" s="20"/>
      <c r="B86" s="20"/>
      <c r="C86" s="21" t="s">
        <v>11</v>
      </c>
      <c r="D86" s="20"/>
      <c r="E86" s="20" t="s">
        <v>12</v>
      </c>
      <c r="F86" s="22" t="s">
        <v>13</v>
      </c>
      <c r="G86" s="23">
        <v>0</v>
      </c>
      <c r="H86" s="19" t="s">
        <v>12</v>
      </c>
    </row>
    <row r="87" spans="1:17" x14ac:dyDescent="0.2">
      <c r="A87" s="17"/>
      <c r="B87" s="17"/>
      <c r="C87" s="75"/>
      <c r="D87" s="17"/>
      <c r="E87" s="17"/>
      <c r="F87" s="42"/>
      <c r="G87" s="42"/>
      <c r="H87" s="76" t="s">
        <v>12</v>
      </c>
    </row>
    <row r="88" spans="1:17" ht="25.5" x14ac:dyDescent="0.2">
      <c r="A88" s="17"/>
      <c r="B88" s="17"/>
      <c r="C88" s="18" t="s">
        <v>596</v>
      </c>
      <c r="D88" s="17"/>
      <c r="E88" s="17"/>
      <c r="F88" s="42"/>
      <c r="G88" s="42"/>
      <c r="H88" s="72"/>
      <c r="K88" s="56"/>
      <c r="L88" s="56"/>
      <c r="M88" s="56"/>
      <c r="N88" s="56"/>
      <c r="O88" s="77"/>
      <c r="P88" s="77"/>
      <c r="Q88" s="77"/>
    </row>
    <row r="89" spans="1:17" ht="25.5" x14ac:dyDescent="0.2">
      <c r="A89" s="69">
        <v>1</v>
      </c>
      <c r="B89" s="70" t="s">
        <v>111</v>
      </c>
      <c r="C89" s="70" t="s">
        <v>112</v>
      </c>
      <c r="D89" s="70"/>
      <c r="E89" s="78">
        <v>543.85400000000004</v>
      </c>
      <c r="F89" s="72">
        <v>60.862452054999999</v>
      </c>
      <c r="G89" s="73">
        <v>2.8416499999999998E-3</v>
      </c>
      <c r="H89" s="76"/>
    </row>
    <row r="90" spans="1:17" x14ac:dyDescent="0.2">
      <c r="A90" s="17"/>
      <c r="B90" s="17"/>
      <c r="C90" s="18" t="s">
        <v>11</v>
      </c>
      <c r="D90" s="17"/>
      <c r="E90" s="17" t="s">
        <v>12</v>
      </c>
      <c r="F90" s="79">
        <f>SUM(F89)</f>
        <v>60.862452054999999</v>
      </c>
      <c r="G90" s="80">
        <f>SUM(G89)</f>
        <v>2.8416499999999998E-3</v>
      </c>
      <c r="H90" s="76" t="s">
        <v>12</v>
      </c>
    </row>
    <row r="91" spans="1:17" x14ac:dyDescent="0.2">
      <c r="A91" s="20"/>
      <c r="B91" s="20"/>
      <c r="C91" s="24"/>
      <c r="D91" s="20"/>
      <c r="E91" s="20"/>
      <c r="F91" s="25"/>
      <c r="G91" s="25"/>
      <c r="H91" s="19" t="s">
        <v>12</v>
      </c>
    </row>
    <row r="92" spans="1:17" x14ac:dyDescent="0.2">
      <c r="A92" s="20"/>
      <c r="B92" s="20"/>
      <c r="C92" s="21" t="s">
        <v>113</v>
      </c>
      <c r="D92" s="20"/>
      <c r="E92" s="20"/>
      <c r="F92" s="20"/>
      <c r="G92" s="20"/>
      <c r="H92" s="19" t="s">
        <v>12</v>
      </c>
    </row>
    <row r="93" spans="1:17" x14ac:dyDescent="0.2">
      <c r="A93" s="20"/>
      <c r="B93" s="20"/>
      <c r="C93" s="21" t="s">
        <v>114</v>
      </c>
      <c r="D93" s="20"/>
      <c r="E93" s="20"/>
      <c r="F93" s="20"/>
      <c r="G93" s="20"/>
      <c r="H93" s="19" t="s">
        <v>12</v>
      </c>
    </row>
    <row r="94" spans="1:17" x14ac:dyDescent="0.2">
      <c r="A94" s="20"/>
      <c r="B94" s="20"/>
      <c r="C94" s="21" t="s">
        <v>11</v>
      </c>
      <c r="D94" s="20"/>
      <c r="E94" s="20" t="s">
        <v>12</v>
      </c>
      <c r="F94" s="22" t="s">
        <v>13</v>
      </c>
      <c r="G94" s="23">
        <v>0</v>
      </c>
      <c r="H94" s="19" t="s">
        <v>12</v>
      </c>
    </row>
    <row r="95" spans="1:17" x14ac:dyDescent="0.2">
      <c r="A95" s="20"/>
      <c r="B95" s="20"/>
      <c r="C95" s="24"/>
      <c r="D95" s="20"/>
      <c r="E95" s="20"/>
      <c r="F95" s="25"/>
      <c r="G95" s="25"/>
      <c r="H95" s="19" t="s">
        <v>12</v>
      </c>
    </row>
    <row r="96" spans="1:17" ht="25.5" x14ac:dyDescent="0.2">
      <c r="A96" s="20"/>
      <c r="B96" s="20"/>
      <c r="C96" s="21" t="s">
        <v>115</v>
      </c>
      <c r="D96" s="20"/>
      <c r="E96" s="20"/>
      <c r="F96" s="25"/>
      <c r="G96" s="25"/>
      <c r="H96" s="19" t="s">
        <v>12</v>
      </c>
    </row>
    <row r="97" spans="1:8" x14ac:dyDescent="0.2">
      <c r="A97" s="20"/>
      <c r="B97" s="20"/>
      <c r="C97" s="21" t="s">
        <v>11</v>
      </c>
      <c r="D97" s="20"/>
      <c r="E97" s="20" t="s">
        <v>12</v>
      </c>
      <c r="F97" s="22" t="s">
        <v>13</v>
      </c>
      <c r="G97" s="23">
        <v>0</v>
      </c>
      <c r="H97" s="19" t="s">
        <v>12</v>
      </c>
    </row>
    <row r="98" spans="1:8" x14ac:dyDescent="0.2">
      <c r="A98" s="20"/>
      <c r="B98" s="20"/>
      <c r="C98" s="24"/>
      <c r="D98" s="20"/>
      <c r="E98" s="20"/>
      <c r="F98" s="25"/>
      <c r="G98" s="25"/>
      <c r="H98" s="19" t="s">
        <v>12</v>
      </c>
    </row>
    <row r="99" spans="1:8" x14ac:dyDescent="0.2">
      <c r="A99" s="32"/>
      <c r="B99" s="28"/>
      <c r="C99" s="28" t="s">
        <v>116</v>
      </c>
      <c r="D99" s="28"/>
      <c r="E99" s="32"/>
      <c r="F99" s="30">
        <f>448.92925706-0.000715118000507355</f>
        <v>448.92854194199947</v>
      </c>
      <c r="G99" s="31">
        <v>2.0960369999999999E-2</v>
      </c>
      <c r="H99" s="19" t="s">
        <v>12</v>
      </c>
    </row>
    <row r="100" spans="1:8" x14ac:dyDescent="0.2">
      <c r="A100" s="24"/>
      <c r="B100" s="24"/>
      <c r="C100" s="21" t="s">
        <v>117</v>
      </c>
      <c r="D100" s="25"/>
      <c r="E100" s="25"/>
      <c r="F100" s="26">
        <f>21418.006100218-0.000715118000507355</f>
        <v>21418.005385100001</v>
      </c>
      <c r="G100" s="33">
        <v>1.0000000099999999</v>
      </c>
      <c r="H100" s="19" t="s">
        <v>12</v>
      </c>
    </row>
    <row r="101" spans="1:8" x14ac:dyDescent="0.2">
      <c r="A101" s="34"/>
      <c r="B101" s="34"/>
      <c r="C101" s="34"/>
      <c r="D101" s="35"/>
      <c r="E101" s="35"/>
      <c r="F101" s="35"/>
      <c r="G101" s="35"/>
    </row>
    <row r="102" spans="1:8" x14ac:dyDescent="0.2">
      <c r="A102" s="36"/>
      <c r="B102" s="168" t="s">
        <v>597</v>
      </c>
      <c r="C102" s="168"/>
      <c r="D102" s="168"/>
      <c r="E102" s="168"/>
      <c r="F102" s="168"/>
      <c r="G102" s="168"/>
      <c r="H102" s="168"/>
    </row>
    <row r="103" spans="1:8" x14ac:dyDescent="0.2">
      <c r="A103" s="36"/>
      <c r="B103" s="168" t="s">
        <v>598</v>
      </c>
      <c r="C103" s="168"/>
      <c r="D103" s="168"/>
      <c r="E103" s="168"/>
      <c r="F103" s="168"/>
      <c r="G103" s="168"/>
      <c r="H103" s="168"/>
    </row>
    <row r="104" spans="1:8" x14ac:dyDescent="0.2">
      <c r="A104" s="36"/>
      <c r="B104" s="168" t="s">
        <v>599</v>
      </c>
      <c r="C104" s="168"/>
      <c r="D104" s="168"/>
      <c r="E104" s="168"/>
      <c r="F104" s="168"/>
      <c r="G104" s="168"/>
      <c r="H104" s="168"/>
    </row>
    <row r="105" spans="1:8" x14ac:dyDescent="0.2">
      <c r="A105" s="38"/>
      <c r="B105" s="38"/>
      <c r="C105" s="38"/>
      <c r="D105" s="39"/>
      <c r="E105" s="39"/>
      <c r="F105" s="39"/>
      <c r="G105" s="39"/>
    </row>
    <row r="106" spans="1:8" x14ac:dyDescent="0.2">
      <c r="A106" s="36"/>
      <c r="B106" s="169" t="s">
        <v>118</v>
      </c>
      <c r="C106" s="170"/>
      <c r="D106" s="171"/>
      <c r="E106" s="40"/>
      <c r="F106" s="41"/>
      <c r="G106" s="41"/>
    </row>
    <row r="107" spans="1:8" x14ac:dyDescent="0.2">
      <c r="A107" s="36"/>
      <c r="B107" s="172" t="s">
        <v>119</v>
      </c>
      <c r="C107" s="173"/>
      <c r="D107" s="18" t="s">
        <v>120</v>
      </c>
      <c r="E107" s="40"/>
      <c r="F107" s="41"/>
      <c r="G107" s="41"/>
    </row>
    <row r="108" spans="1:8" x14ac:dyDescent="0.2">
      <c r="A108" s="36"/>
      <c r="B108" s="172" t="s">
        <v>121</v>
      </c>
      <c r="C108" s="173"/>
      <c r="D108" s="18" t="s">
        <v>120</v>
      </c>
      <c r="E108" s="40"/>
      <c r="F108" s="41"/>
      <c r="G108" s="41"/>
    </row>
    <row r="109" spans="1:8" x14ac:dyDescent="0.2">
      <c r="A109" s="36"/>
      <c r="B109" s="172" t="s">
        <v>122</v>
      </c>
      <c r="C109" s="173"/>
      <c r="D109" s="42" t="s">
        <v>12</v>
      </c>
      <c r="E109" s="40"/>
      <c r="F109" s="41"/>
      <c r="G109" s="41"/>
    </row>
    <row r="110" spans="1:8" x14ac:dyDescent="0.2">
      <c r="A110" s="43"/>
      <c r="B110" s="44" t="s">
        <v>12</v>
      </c>
      <c r="C110" s="44" t="s">
        <v>600</v>
      </c>
      <c r="D110" s="44" t="s">
        <v>123</v>
      </c>
      <c r="E110" s="43"/>
      <c r="F110" s="43"/>
      <c r="G110" s="43"/>
    </row>
    <row r="111" spans="1:8" x14ac:dyDescent="0.2">
      <c r="A111" s="43"/>
      <c r="B111" s="45" t="s">
        <v>124</v>
      </c>
      <c r="C111" s="46">
        <v>45792</v>
      </c>
      <c r="D111" s="46">
        <v>45808</v>
      </c>
      <c r="E111" s="43"/>
      <c r="F111" s="43"/>
      <c r="G111" s="43"/>
    </row>
    <row r="112" spans="1:8" x14ac:dyDescent="0.2">
      <c r="A112" s="47"/>
      <c r="B112" s="28" t="s">
        <v>125</v>
      </c>
      <c r="C112" s="48">
        <v>47.719900000000003</v>
      </c>
      <c r="D112" s="48">
        <v>47.96</v>
      </c>
      <c r="E112" s="47"/>
      <c r="F112" s="49"/>
      <c r="G112" s="50"/>
    </row>
    <row r="113" spans="1:7" ht="25.5" x14ac:dyDescent="0.2">
      <c r="A113" s="47"/>
      <c r="B113" s="28" t="s">
        <v>730</v>
      </c>
      <c r="C113" s="48">
        <v>13.148300000000001</v>
      </c>
      <c r="D113" s="48">
        <v>13.139200000000001</v>
      </c>
      <c r="E113" s="47"/>
      <c r="F113" s="49"/>
      <c r="G113" s="50"/>
    </row>
    <row r="114" spans="1:7" ht="25.5" x14ac:dyDescent="0.2">
      <c r="A114" s="47"/>
      <c r="B114" s="28" t="s">
        <v>726</v>
      </c>
      <c r="C114" s="48">
        <v>15.269600000000001</v>
      </c>
      <c r="D114" s="48">
        <v>15.346500000000001</v>
      </c>
      <c r="E114" s="47"/>
      <c r="F114" s="49"/>
      <c r="G114" s="50"/>
    </row>
    <row r="115" spans="1:7" ht="25.5" x14ac:dyDescent="0.2">
      <c r="A115" s="47"/>
      <c r="B115" s="28" t="s">
        <v>731</v>
      </c>
      <c r="C115" s="48">
        <v>14.7163</v>
      </c>
      <c r="D115" s="48">
        <v>14.7903</v>
      </c>
      <c r="E115" s="47"/>
      <c r="F115" s="49"/>
      <c r="G115" s="50"/>
    </row>
    <row r="116" spans="1:7" ht="25.5" x14ac:dyDescent="0.2">
      <c r="A116" s="47"/>
      <c r="B116" s="28" t="s">
        <v>727</v>
      </c>
      <c r="C116" s="48">
        <v>15.248200000000001</v>
      </c>
      <c r="D116" s="48">
        <v>15.3249</v>
      </c>
      <c r="E116" s="47"/>
      <c r="F116" s="49"/>
      <c r="G116" s="50"/>
    </row>
    <row r="117" spans="1:7" x14ac:dyDescent="0.2">
      <c r="A117" s="47"/>
      <c r="B117" s="28" t="s">
        <v>126</v>
      </c>
      <c r="C117" s="48">
        <v>44.127899999999997</v>
      </c>
      <c r="D117" s="48">
        <v>44.3384</v>
      </c>
      <c r="E117" s="47"/>
      <c r="F117" s="49"/>
      <c r="G117" s="50"/>
    </row>
    <row r="118" spans="1:7" x14ac:dyDescent="0.2">
      <c r="A118" s="47"/>
      <c r="B118" s="28" t="s">
        <v>169</v>
      </c>
      <c r="C118" s="48">
        <v>15.940099999999999</v>
      </c>
      <c r="D118" s="48">
        <v>16.016200000000001</v>
      </c>
      <c r="E118" s="47"/>
      <c r="F118" s="49"/>
      <c r="G118" s="50"/>
    </row>
    <row r="119" spans="1:7" ht="25.5" x14ac:dyDescent="0.2">
      <c r="A119" s="47"/>
      <c r="B119" s="28" t="s">
        <v>732</v>
      </c>
      <c r="C119" s="48">
        <v>13.0909</v>
      </c>
      <c r="D119" s="48">
        <v>13.078099999999999</v>
      </c>
      <c r="E119" s="47"/>
      <c r="F119" s="49"/>
      <c r="G119" s="50"/>
    </row>
    <row r="120" spans="1:7" ht="25.5" x14ac:dyDescent="0.2">
      <c r="A120" s="47"/>
      <c r="B120" s="28" t="s">
        <v>702</v>
      </c>
      <c r="C120" s="48">
        <v>14.9213</v>
      </c>
      <c r="D120" s="48">
        <v>14.9925</v>
      </c>
      <c r="E120" s="47"/>
      <c r="F120" s="49"/>
      <c r="G120" s="50"/>
    </row>
    <row r="121" spans="1:7" ht="25.5" x14ac:dyDescent="0.2">
      <c r="A121" s="47"/>
      <c r="B121" s="28" t="s">
        <v>728</v>
      </c>
      <c r="C121" s="48">
        <v>14.380800000000001</v>
      </c>
      <c r="D121" s="48">
        <v>14.449400000000001</v>
      </c>
      <c r="E121" s="47"/>
      <c r="F121" s="49"/>
      <c r="G121" s="50"/>
    </row>
    <row r="122" spans="1:7" ht="25.5" x14ac:dyDescent="0.2">
      <c r="A122" s="47"/>
      <c r="B122" s="28" t="s">
        <v>729</v>
      </c>
      <c r="C122" s="48">
        <v>14.8995</v>
      </c>
      <c r="D122" s="48">
        <v>14.970599999999999</v>
      </c>
      <c r="E122" s="47"/>
      <c r="F122" s="49"/>
      <c r="G122" s="50"/>
    </row>
    <row r="123" spans="1:7" x14ac:dyDescent="0.2">
      <c r="A123" s="47"/>
      <c r="B123" s="47"/>
      <c r="C123" s="47"/>
      <c r="D123" s="47"/>
      <c r="E123" s="47"/>
      <c r="F123" s="47"/>
      <c r="G123" s="47"/>
    </row>
    <row r="124" spans="1:7" x14ac:dyDescent="0.2">
      <c r="A124" s="47"/>
      <c r="B124" s="175" t="s">
        <v>601</v>
      </c>
      <c r="C124" s="176"/>
      <c r="D124" s="21" t="s">
        <v>12</v>
      </c>
      <c r="E124" s="47"/>
      <c r="F124" s="47"/>
      <c r="G124" s="47"/>
    </row>
    <row r="125" spans="1:7" x14ac:dyDescent="0.2">
      <c r="A125" s="47"/>
      <c r="B125" s="51" t="s">
        <v>124</v>
      </c>
      <c r="C125" s="52" t="s">
        <v>127</v>
      </c>
      <c r="D125" s="52" t="s">
        <v>128</v>
      </c>
      <c r="E125" s="47"/>
      <c r="F125" s="47"/>
      <c r="G125" s="47"/>
    </row>
    <row r="126" spans="1:7" ht="25.5" x14ac:dyDescent="0.2">
      <c r="A126" s="47"/>
      <c r="B126" s="28" t="s">
        <v>730</v>
      </c>
      <c r="C126" s="53">
        <v>7.4999999999999997E-2</v>
      </c>
      <c r="D126" s="32" t="s">
        <v>129</v>
      </c>
      <c r="E126" s="47"/>
      <c r="F126" s="49"/>
      <c r="G126" s="50"/>
    </row>
    <row r="127" spans="1:7" ht="25.5" x14ac:dyDescent="0.2">
      <c r="A127" s="47"/>
      <c r="B127" s="28" t="s">
        <v>732</v>
      </c>
      <c r="C127" s="53">
        <v>7.4999999999999997E-2</v>
      </c>
      <c r="D127" s="53">
        <v>7.4999999999999997E-2</v>
      </c>
      <c r="E127" s="47"/>
      <c r="F127" s="49"/>
      <c r="G127" s="50"/>
    </row>
    <row r="128" spans="1:7" x14ac:dyDescent="0.2">
      <c r="A128" s="47"/>
      <c r="B128" s="54"/>
      <c r="C128" s="54"/>
      <c r="D128" s="54"/>
      <c r="E128" s="47"/>
      <c r="F128" s="47"/>
      <c r="G128" s="47"/>
    </row>
    <row r="129" spans="1:19" s="57" customFormat="1" x14ac:dyDescent="0.2">
      <c r="A129" s="96"/>
      <c r="B129" s="172" t="s">
        <v>614</v>
      </c>
      <c r="C129" s="173"/>
      <c r="D129" s="18" t="s">
        <v>120</v>
      </c>
      <c r="E129" s="96"/>
      <c r="F129" s="96"/>
      <c r="G129" s="96"/>
      <c r="I129"/>
      <c r="J129" s="13"/>
      <c r="K129"/>
      <c r="L129" s="56"/>
      <c r="M129" s="56"/>
      <c r="N129" s="56"/>
      <c r="O129" s="58"/>
      <c r="P129"/>
      <c r="Q129"/>
    </row>
    <row r="130" spans="1:19" x14ac:dyDescent="0.2">
      <c r="A130" s="43"/>
      <c r="B130" s="172" t="s">
        <v>615</v>
      </c>
      <c r="C130" s="173"/>
      <c r="D130" s="18" t="s">
        <v>120</v>
      </c>
      <c r="E130" s="55"/>
      <c r="F130" s="43"/>
      <c r="G130" s="43"/>
      <c r="J130" s="13"/>
    </row>
    <row r="131" spans="1:19" x14ac:dyDescent="0.2">
      <c r="A131" s="43"/>
      <c r="B131" s="172" t="s">
        <v>616</v>
      </c>
      <c r="C131" s="173"/>
      <c r="D131" s="18" t="s">
        <v>120</v>
      </c>
      <c r="E131" s="55"/>
      <c r="F131" s="43"/>
      <c r="G131" s="43"/>
      <c r="J131" s="13"/>
    </row>
    <row r="132" spans="1:19" x14ac:dyDescent="0.2">
      <c r="A132" s="43"/>
      <c r="B132" s="172" t="s">
        <v>617</v>
      </c>
      <c r="C132" s="173"/>
      <c r="D132" s="18" t="s">
        <v>120</v>
      </c>
      <c r="E132" s="55"/>
      <c r="F132" s="43"/>
      <c r="G132" s="43"/>
      <c r="J132" s="13"/>
    </row>
    <row r="133" spans="1:19" x14ac:dyDescent="0.2">
      <c r="A133" s="54"/>
      <c r="B133" s="54"/>
      <c r="C133" s="54"/>
      <c r="D133" s="54"/>
      <c r="E133" s="54"/>
      <c r="F133" s="54"/>
      <c r="G133" s="54"/>
      <c r="J133" s="13"/>
    </row>
    <row r="134" spans="1:19" s="57" customFormat="1" x14ac:dyDescent="0.2">
      <c r="B134" s="164" t="s">
        <v>603</v>
      </c>
      <c r="C134" s="165"/>
      <c r="D134" s="166"/>
      <c r="I134"/>
      <c r="J134" s="13"/>
      <c r="K134"/>
      <c r="L134" s="56"/>
      <c r="M134" s="56"/>
      <c r="N134" s="56"/>
      <c r="O134" s="58"/>
      <c r="R134"/>
      <c r="S134"/>
    </row>
    <row r="135" spans="1:19" s="57" customFormat="1" ht="25.5" x14ac:dyDescent="0.2">
      <c r="B135" s="167" t="s">
        <v>604</v>
      </c>
      <c r="C135" s="167"/>
      <c r="D135" s="59" t="s">
        <v>449</v>
      </c>
      <c r="I135"/>
      <c r="J135" s="13"/>
      <c r="K135"/>
      <c r="L135" s="56"/>
      <c r="M135" s="56"/>
      <c r="N135" s="56"/>
      <c r="O135" s="58"/>
      <c r="R135"/>
      <c r="S135"/>
    </row>
    <row r="136" spans="1:19" s="57" customFormat="1" x14ac:dyDescent="0.2">
      <c r="B136" s="160" t="s">
        <v>605</v>
      </c>
      <c r="C136" s="160"/>
      <c r="D136" s="60"/>
      <c r="I136"/>
      <c r="J136" s="13"/>
      <c r="K136"/>
      <c r="L136" s="56"/>
      <c r="M136" s="56"/>
      <c r="N136" s="56"/>
      <c r="O136" s="58"/>
      <c r="R136"/>
      <c r="S136"/>
    </row>
    <row r="137" spans="1:19" s="57" customFormat="1" x14ac:dyDescent="0.2">
      <c r="B137" s="160"/>
      <c r="C137" s="160"/>
      <c r="D137" s="61"/>
      <c r="I137"/>
      <c r="J137" s="13"/>
      <c r="K137"/>
      <c r="L137" s="56"/>
      <c r="M137" s="56"/>
      <c r="N137" s="56"/>
      <c r="O137" s="58"/>
      <c r="R137"/>
      <c r="S137"/>
    </row>
    <row r="138" spans="1:19" s="57" customFormat="1" x14ac:dyDescent="0.2">
      <c r="B138" s="160" t="s">
        <v>606</v>
      </c>
      <c r="C138" s="160"/>
      <c r="D138" s="62">
        <v>6.6737885549253617</v>
      </c>
      <c r="I138"/>
      <c r="J138" s="13"/>
      <c r="K138"/>
      <c r="L138" s="56"/>
      <c r="M138" s="56"/>
      <c r="N138" s="56"/>
      <c r="O138" s="58"/>
    </row>
    <row r="139" spans="1:19" s="57" customFormat="1" x14ac:dyDescent="0.2">
      <c r="B139" s="160"/>
      <c r="C139" s="160"/>
      <c r="D139" s="61"/>
      <c r="I139"/>
      <c r="J139" s="13"/>
      <c r="K139"/>
      <c r="L139" s="56"/>
      <c r="M139" s="56"/>
      <c r="N139" s="56"/>
      <c r="O139" s="58"/>
    </row>
    <row r="140" spans="1:19" s="57" customFormat="1" x14ac:dyDescent="0.2">
      <c r="B140" s="160" t="s">
        <v>607</v>
      </c>
      <c r="C140" s="160"/>
      <c r="D140" s="62">
        <v>2.7596564587829966</v>
      </c>
      <c r="I140"/>
      <c r="J140" s="13"/>
      <c r="K140"/>
      <c r="L140" s="56"/>
      <c r="M140" s="56"/>
      <c r="N140" s="56"/>
      <c r="O140" s="58"/>
    </row>
    <row r="141" spans="1:19" s="57" customFormat="1" x14ac:dyDescent="0.2">
      <c r="B141" s="160" t="s">
        <v>626</v>
      </c>
      <c r="C141" s="160"/>
      <c r="D141" s="62">
        <v>3.3278191721485686</v>
      </c>
      <c r="I141"/>
      <c r="J141" s="13"/>
      <c r="K141"/>
      <c r="L141" s="56"/>
      <c r="M141" s="56"/>
      <c r="N141" s="56"/>
      <c r="O141" s="58"/>
    </row>
    <row r="142" spans="1:19" s="57" customFormat="1" x14ac:dyDescent="0.2">
      <c r="B142" s="160"/>
      <c r="C142" s="160"/>
      <c r="D142" s="61"/>
      <c r="I142"/>
      <c r="J142" s="13"/>
      <c r="K142"/>
      <c r="L142" s="56"/>
      <c r="M142" s="56"/>
      <c r="N142" s="56"/>
      <c r="O142" s="58"/>
    </row>
    <row r="143" spans="1:19" s="57" customFormat="1" x14ac:dyDescent="0.2">
      <c r="B143" s="160" t="s">
        <v>609</v>
      </c>
      <c r="C143" s="160"/>
      <c r="D143" s="64" t="s">
        <v>733</v>
      </c>
      <c r="I143"/>
      <c r="J143" s="13"/>
      <c r="K143" s="56"/>
      <c r="L143" s="56"/>
      <c r="M143" s="56"/>
      <c r="N143" s="56"/>
      <c r="O143" s="58"/>
    </row>
    <row r="144" spans="1:19" s="57" customFormat="1" x14ac:dyDescent="0.2">
      <c r="B144" s="161" t="s">
        <v>610</v>
      </c>
      <c r="C144" s="163"/>
      <c r="D144" s="162"/>
      <c r="I144"/>
      <c r="J144" s="13"/>
      <c r="K144"/>
      <c r="L144" s="56"/>
      <c r="M144" s="56"/>
      <c r="N144" s="56"/>
      <c r="O144" s="58"/>
    </row>
    <row r="145" spans="2:15" x14ac:dyDescent="0.2">
      <c r="J145" s="13"/>
    </row>
    <row r="146" spans="2:15" ht="13.5" x14ac:dyDescent="0.2">
      <c r="B146" s="214" t="s">
        <v>734</v>
      </c>
      <c r="C146" s="214"/>
      <c r="D146" s="214"/>
      <c r="E146" s="214"/>
      <c r="F146" s="214"/>
      <c r="G146" s="214"/>
      <c r="H146" s="214"/>
    </row>
    <row r="147" spans="2:15" ht="13.5" x14ac:dyDescent="0.2">
      <c r="B147" s="152"/>
      <c r="C147" s="152"/>
      <c r="D147" s="152"/>
      <c r="E147" s="152"/>
      <c r="F147" s="152"/>
      <c r="G147" s="152"/>
      <c r="H147" s="152"/>
      <c r="J147" s="56"/>
      <c r="K147" s="56"/>
      <c r="L147" s="56"/>
      <c r="M147" s="56"/>
      <c r="N147" s="56"/>
      <c r="O147" s="56"/>
    </row>
    <row r="148" spans="2:15" ht="13.5" x14ac:dyDescent="0.25">
      <c r="B148" s="90" t="s">
        <v>627</v>
      </c>
      <c r="C148" s="90" t="s">
        <v>628</v>
      </c>
      <c r="D148" s="209" t="s">
        <v>629</v>
      </c>
      <c r="E148" s="210"/>
      <c r="F148" s="211"/>
      <c r="G148" s="212" t="s">
        <v>630</v>
      </c>
      <c r="H148" s="213"/>
      <c r="J148" s="56"/>
      <c r="K148" s="56"/>
      <c r="L148" s="56"/>
      <c r="M148" s="56"/>
      <c r="N148" s="56"/>
      <c r="O148" s="56"/>
    </row>
    <row r="149" spans="2:15" ht="27" x14ac:dyDescent="0.25">
      <c r="B149" s="89" t="s">
        <v>635</v>
      </c>
      <c r="C149" s="88" t="s">
        <v>666</v>
      </c>
      <c r="D149" s="205">
        <v>0</v>
      </c>
      <c r="E149" s="206"/>
      <c r="F149" s="207"/>
      <c r="G149" s="205">
        <v>0</v>
      </c>
      <c r="H149" s="207"/>
      <c r="J149" s="56"/>
      <c r="K149" s="56"/>
      <c r="L149" s="56"/>
      <c r="M149" s="56"/>
      <c r="N149" s="56"/>
      <c r="O149" s="56"/>
    </row>
    <row r="150" spans="2:15" ht="27" x14ac:dyDescent="0.25">
      <c r="B150" s="89" t="s">
        <v>631</v>
      </c>
      <c r="C150" s="88" t="s">
        <v>667</v>
      </c>
      <c r="D150" s="205">
        <v>0</v>
      </c>
      <c r="E150" s="206"/>
      <c r="F150" s="207"/>
      <c r="G150" s="205">
        <v>0</v>
      </c>
      <c r="H150" s="207"/>
      <c r="J150" s="56"/>
      <c r="K150" s="56"/>
      <c r="L150" s="56"/>
      <c r="M150" s="56"/>
      <c r="N150" s="56"/>
      <c r="O150" s="56"/>
    </row>
    <row r="151" spans="2:15" ht="27" x14ac:dyDescent="0.25">
      <c r="B151" s="89" t="s">
        <v>668</v>
      </c>
      <c r="C151" s="88" t="s">
        <v>669</v>
      </c>
      <c r="D151" s="205">
        <v>0</v>
      </c>
      <c r="E151" s="206"/>
      <c r="F151" s="207"/>
      <c r="G151" s="205">
        <v>0</v>
      </c>
      <c r="H151" s="207"/>
      <c r="J151" s="56"/>
      <c r="K151" s="56"/>
      <c r="L151" s="56"/>
      <c r="M151" s="56"/>
      <c r="N151" s="56"/>
      <c r="O151" s="56"/>
    </row>
    <row r="152" spans="2:15" ht="27" x14ac:dyDescent="0.25">
      <c r="B152" s="89" t="s">
        <v>633</v>
      </c>
      <c r="C152" s="88" t="s">
        <v>670</v>
      </c>
      <c r="D152" s="198">
        <v>0</v>
      </c>
      <c r="E152" s="198"/>
      <c r="F152" s="198"/>
      <c r="G152" s="198">
        <v>0</v>
      </c>
      <c r="H152" s="198"/>
      <c r="J152" s="56"/>
      <c r="K152" s="56"/>
      <c r="L152" s="56"/>
      <c r="M152" s="56"/>
      <c r="N152" s="56"/>
      <c r="O152" s="56"/>
    </row>
    <row r="153" spans="2:15" ht="13.5" x14ac:dyDescent="0.25">
      <c r="B153" s="144"/>
      <c r="C153" s="144"/>
      <c r="D153" s="208"/>
      <c r="E153" s="208"/>
      <c r="F153" s="208"/>
      <c r="G153" s="208"/>
      <c r="H153" s="208"/>
      <c r="J153" s="56"/>
      <c r="K153" s="56"/>
      <c r="L153" s="56"/>
      <c r="M153" s="56"/>
      <c r="N153" s="56"/>
      <c r="O153" s="56"/>
    </row>
    <row r="154" spans="2:15" ht="13.5" x14ac:dyDescent="0.25">
      <c r="B154" s="204" t="s">
        <v>637</v>
      </c>
      <c r="C154" s="204"/>
      <c r="D154" s="204"/>
      <c r="E154" s="204"/>
      <c r="F154" s="204"/>
      <c r="G154" s="204"/>
      <c r="H154" s="204"/>
      <c r="J154" s="56"/>
      <c r="K154" s="56"/>
      <c r="L154" s="56"/>
      <c r="M154" s="56"/>
      <c r="N154" s="56"/>
      <c r="O154" s="56"/>
    </row>
    <row r="155" spans="2:15" ht="13.5" x14ac:dyDescent="0.2">
      <c r="B155" s="196" t="s">
        <v>627</v>
      </c>
      <c r="C155" s="196" t="s">
        <v>628</v>
      </c>
      <c r="D155" s="196" t="s">
        <v>671</v>
      </c>
      <c r="E155" s="196"/>
      <c r="F155" s="196"/>
      <c r="G155" s="196"/>
      <c r="H155" s="197" t="s">
        <v>672</v>
      </c>
      <c r="I155" s="197" t="s">
        <v>673</v>
      </c>
      <c r="J155" s="197" t="s">
        <v>674</v>
      </c>
      <c r="K155" s="56"/>
      <c r="L155" s="56"/>
      <c r="M155" s="56"/>
      <c r="N155" s="56"/>
      <c r="O155" s="56"/>
    </row>
    <row r="156" spans="2:15" ht="54" x14ac:dyDescent="0.2">
      <c r="B156" s="196"/>
      <c r="C156" s="196"/>
      <c r="D156" s="85" t="s">
        <v>675</v>
      </c>
      <c r="E156" s="85" t="s">
        <v>676</v>
      </c>
      <c r="F156" s="85" t="s">
        <v>677</v>
      </c>
      <c r="G156" s="85" t="s">
        <v>678</v>
      </c>
      <c r="H156" s="197"/>
      <c r="I156" s="197"/>
      <c r="J156" s="197"/>
      <c r="K156" s="56"/>
      <c r="L156" s="56"/>
      <c r="M156" s="56"/>
      <c r="N156" s="56"/>
      <c r="O156" s="56"/>
    </row>
    <row r="157" spans="2:15" ht="27" x14ac:dyDescent="0.25">
      <c r="B157" s="89" t="s">
        <v>635</v>
      </c>
      <c r="C157" s="88" t="s">
        <v>666</v>
      </c>
      <c r="D157" s="91">
        <v>3000</v>
      </c>
      <c r="E157" s="91">
        <v>198.60410960000002</v>
      </c>
      <c r="F157" s="153">
        <v>72.152053199999997</v>
      </c>
      <c r="G157" s="154">
        <v>3270.7561627999999</v>
      </c>
      <c r="H157" s="7">
        <v>1452.6372699999999</v>
      </c>
      <c r="I157" s="7">
        <f>2499839/10^5</f>
        <v>24.998390000000001</v>
      </c>
      <c r="J157" s="7">
        <f>H157+I157</f>
        <v>1477.6356599999999</v>
      </c>
      <c r="K157" s="56"/>
      <c r="L157" s="56"/>
      <c r="M157" s="56"/>
      <c r="N157" s="56"/>
      <c r="O157" s="56"/>
    </row>
    <row r="158" spans="2:15" ht="27" x14ac:dyDescent="0.25">
      <c r="B158" s="89" t="s">
        <v>631</v>
      </c>
      <c r="C158" s="88" t="s">
        <v>667</v>
      </c>
      <c r="D158" s="91">
        <v>500</v>
      </c>
      <c r="E158" s="91">
        <v>33.283561599999999</v>
      </c>
      <c r="F158" s="153">
        <v>12.091777499999999</v>
      </c>
      <c r="G158" s="154">
        <f>D158+E158+F158</f>
        <v>545.37533910000002</v>
      </c>
      <c r="H158" s="7">
        <v>242.22076999999999</v>
      </c>
      <c r="I158" s="7">
        <f>416840/10^5</f>
        <v>4.1684000000000001</v>
      </c>
      <c r="J158" s="7">
        <f>H158+I158</f>
        <v>246.38916999999998</v>
      </c>
      <c r="K158" s="56"/>
      <c r="L158" s="56"/>
      <c r="M158" s="56"/>
      <c r="N158" s="56"/>
      <c r="O158" s="56"/>
    </row>
    <row r="159" spans="2:15" ht="27" x14ac:dyDescent="0.25">
      <c r="B159" s="89" t="s">
        <v>668</v>
      </c>
      <c r="C159" s="88" t="s">
        <v>679</v>
      </c>
      <c r="D159" s="91">
        <v>2000</v>
      </c>
      <c r="E159" s="91">
        <v>39.762295099999996</v>
      </c>
      <c r="F159" s="153">
        <v>64.029485721917808</v>
      </c>
      <c r="G159" s="154">
        <v>2103.7917808219199</v>
      </c>
      <c r="H159" s="7">
        <v>933.64715000000001</v>
      </c>
      <c r="I159" s="7">
        <f>1606686/10^5</f>
        <v>16.066859999999998</v>
      </c>
      <c r="J159" s="7">
        <f>H159+I159</f>
        <v>949.71401000000003</v>
      </c>
      <c r="K159" s="56"/>
      <c r="L159" s="56"/>
      <c r="M159" s="56"/>
      <c r="N159" s="56"/>
      <c r="O159" s="56"/>
    </row>
    <row r="160" spans="2:15" ht="27" x14ac:dyDescent="0.25">
      <c r="B160" s="89" t="s">
        <v>633</v>
      </c>
      <c r="C160" s="88" t="s">
        <v>670</v>
      </c>
      <c r="D160" s="91">
        <v>1882.78</v>
      </c>
      <c r="E160" s="91">
        <v>137.066384</v>
      </c>
      <c r="F160" s="153">
        <v>34.266601500000007</v>
      </c>
      <c r="G160" s="154">
        <v>2054.1129854999999</v>
      </c>
      <c r="H160" s="7">
        <v>916.65184999999997</v>
      </c>
      <c r="I160" s="7">
        <f>1577458/10^5</f>
        <v>15.77458</v>
      </c>
      <c r="J160" s="7">
        <f>H160+I160</f>
        <v>932.42642999999998</v>
      </c>
      <c r="K160" s="56"/>
      <c r="L160" s="56"/>
      <c r="M160" s="56"/>
      <c r="N160" s="56"/>
      <c r="O160" s="56"/>
    </row>
    <row r="161" spans="2:15" ht="13.5" x14ac:dyDescent="0.25">
      <c r="B161" s="144"/>
      <c r="C161" s="145"/>
      <c r="D161" s="155"/>
      <c r="E161" s="155"/>
      <c r="F161" s="9"/>
      <c r="G161" s="147"/>
      <c r="H161" s="16"/>
      <c r="J161" s="13"/>
      <c r="K161" s="56"/>
      <c r="L161" s="56"/>
      <c r="M161" s="56"/>
      <c r="N161" s="56"/>
      <c r="O161" s="56"/>
    </row>
    <row r="162" spans="2:15" ht="39" customHeight="1" x14ac:dyDescent="0.2">
      <c r="B162" s="203" t="s">
        <v>680</v>
      </c>
      <c r="C162" s="203"/>
      <c r="D162" s="203"/>
      <c r="E162" s="203"/>
      <c r="F162" s="203"/>
      <c r="G162" s="203"/>
      <c r="H162" s="203"/>
      <c r="I162" s="203"/>
      <c r="J162" s="13"/>
      <c r="K162" s="56"/>
      <c r="L162" s="56"/>
      <c r="M162" s="56"/>
      <c r="N162" s="56"/>
      <c r="O162" s="56"/>
    </row>
    <row r="163" spans="2:15" x14ac:dyDescent="0.2">
      <c r="B163" s="56"/>
      <c r="C163" s="56"/>
      <c r="D163" s="56"/>
      <c r="E163" s="56"/>
      <c r="F163" s="56"/>
      <c r="G163" s="56"/>
      <c r="H163" s="56"/>
      <c r="J163" s="13"/>
      <c r="K163" s="56"/>
      <c r="L163" s="56"/>
      <c r="M163" s="56"/>
      <c r="N163" s="56"/>
      <c r="O163" s="56"/>
    </row>
    <row r="164" spans="2:15" ht="13.5" x14ac:dyDescent="0.25">
      <c r="B164" s="94" t="s">
        <v>657</v>
      </c>
      <c r="C164" s="56"/>
      <c r="D164" s="56"/>
      <c r="E164" s="56"/>
      <c r="F164" s="56"/>
      <c r="G164" s="56"/>
      <c r="H164" s="56"/>
      <c r="J164" s="13"/>
      <c r="K164" s="56"/>
      <c r="L164" s="56"/>
      <c r="M164" s="56"/>
      <c r="N164" s="56"/>
      <c r="O164" s="56"/>
    </row>
    <row r="165" spans="2:15" x14ac:dyDescent="0.2">
      <c r="B165" s="56"/>
      <c r="C165" s="56"/>
      <c r="D165" s="56"/>
      <c r="E165" s="56"/>
      <c r="F165" s="56"/>
      <c r="G165" s="56"/>
      <c r="H165" s="56"/>
      <c r="I165" s="56"/>
      <c r="J165" s="13"/>
      <c r="K165" s="56"/>
      <c r="L165" s="56"/>
      <c r="M165" s="56"/>
      <c r="N165" s="56"/>
      <c r="O165" s="56"/>
    </row>
    <row r="166" spans="2:15" x14ac:dyDescent="0.2">
      <c r="B166" s="95" t="s">
        <v>658</v>
      </c>
      <c r="C166" s="56"/>
      <c r="D166" s="56"/>
      <c r="E166" s="56"/>
      <c r="F166" s="56"/>
      <c r="G166" s="56"/>
      <c r="H166" s="56"/>
      <c r="I166" s="56"/>
      <c r="J166" s="13"/>
      <c r="K166" s="56"/>
      <c r="L166" s="56"/>
      <c r="M166" s="56"/>
      <c r="N166" s="56"/>
      <c r="O166" s="56"/>
    </row>
    <row r="167" spans="2:15" x14ac:dyDescent="0.2">
      <c r="B167" s="56"/>
      <c r="C167" s="56"/>
      <c r="D167" s="56"/>
      <c r="E167" s="56"/>
      <c r="F167" s="56"/>
      <c r="G167" s="56"/>
      <c r="H167" s="56"/>
      <c r="I167" s="56"/>
      <c r="J167" s="13"/>
      <c r="K167" s="56"/>
      <c r="L167" s="56"/>
      <c r="M167" s="56"/>
      <c r="N167" s="56"/>
      <c r="O167" s="56"/>
    </row>
    <row r="168" spans="2:15" x14ac:dyDescent="0.2">
      <c r="B168" s="95" t="s">
        <v>659</v>
      </c>
      <c r="C168" s="56"/>
      <c r="D168" s="56"/>
      <c r="E168" s="56"/>
      <c r="F168" s="56"/>
      <c r="G168" s="56"/>
      <c r="H168" s="56"/>
      <c r="I168" s="56"/>
      <c r="J168" s="13"/>
      <c r="K168" s="56"/>
      <c r="L168" s="56"/>
      <c r="M168" s="56"/>
      <c r="N168" s="56"/>
      <c r="O168" s="56"/>
    </row>
    <row r="169" spans="2:15" x14ac:dyDescent="0.2">
      <c r="I169" s="56"/>
      <c r="J169" s="13"/>
      <c r="K169" s="56"/>
      <c r="L169" s="56"/>
      <c r="M169" s="56"/>
      <c r="N169" s="56"/>
      <c r="O169" s="56"/>
    </row>
    <row r="170" spans="2:15" x14ac:dyDescent="0.2">
      <c r="B170" s="95" t="s">
        <v>660</v>
      </c>
      <c r="J170" s="13"/>
      <c r="K170" s="56"/>
      <c r="L170" s="56"/>
      <c r="M170" s="56"/>
      <c r="N170" s="56"/>
      <c r="O170" s="56"/>
    </row>
    <row r="171" spans="2:15" x14ac:dyDescent="0.2">
      <c r="I171" s="56"/>
      <c r="J171" s="13"/>
      <c r="K171" s="56"/>
      <c r="L171" s="56"/>
      <c r="M171" s="56"/>
      <c r="N171" s="56"/>
      <c r="O171" s="56"/>
    </row>
    <row r="172" spans="2:15" x14ac:dyDescent="0.2">
      <c r="B172" s="66" t="s">
        <v>611</v>
      </c>
    </row>
    <row r="174" spans="2:15" ht="153.75" customHeight="1" x14ac:dyDescent="0.2"/>
    <row r="177" spans="2:10" x14ac:dyDescent="0.2">
      <c r="B177" s="67" t="s">
        <v>612</v>
      </c>
      <c r="C177" s="68"/>
      <c r="D177" s="67"/>
    </row>
    <row r="178" spans="2:10" x14ac:dyDescent="0.2">
      <c r="B178" s="67" t="s">
        <v>681</v>
      </c>
      <c r="D178" s="67"/>
    </row>
    <row r="179" spans="2:10" ht="165" customHeight="1" x14ac:dyDescent="0.2"/>
    <row r="181" spans="2:10" x14ac:dyDescent="0.2">
      <c r="J181" s="13"/>
    </row>
  </sheetData>
  <mergeCells count="47">
    <mergeCell ref="A1:H1"/>
    <mergeCell ref="A2:H2"/>
    <mergeCell ref="A3:H3"/>
    <mergeCell ref="B124:C124"/>
    <mergeCell ref="B108:C108"/>
    <mergeCell ref="B109:C109"/>
    <mergeCell ref="B134:D134"/>
    <mergeCell ref="B135:C135"/>
    <mergeCell ref="B102:H102"/>
    <mergeCell ref="B103:H103"/>
    <mergeCell ref="B104:H104"/>
    <mergeCell ref="B106:D106"/>
    <mergeCell ref="B107:C107"/>
    <mergeCell ref="B129:C129"/>
    <mergeCell ref="B130:C130"/>
    <mergeCell ref="B131:C131"/>
    <mergeCell ref="B132:C132"/>
    <mergeCell ref="B136:C136"/>
    <mergeCell ref="B137:C137"/>
    <mergeCell ref="B138:C138"/>
    <mergeCell ref="B139:C139"/>
    <mergeCell ref="B140:C140"/>
    <mergeCell ref="B141:C141"/>
    <mergeCell ref="B142:C142"/>
    <mergeCell ref="B143:C143"/>
    <mergeCell ref="B144:D144"/>
    <mergeCell ref="B146:H146"/>
    <mergeCell ref="D148:F148"/>
    <mergeCell ref="G148:H148"/>
    <mergeCell ref="D149:F149"/>
    <mergeCell ref="G149:H149"/>
    <mergeCell ref="D150:F150"/>
    <mergeCell ref="G150:H150"/>
    <mergeCell ref="D151:F151"/>
    <mergeCell ref="G151:H151"/>
    <mergeCell ref="D152:F152"/>
    <mergeCell ref="G152:H152"/>
    <mergeCell ref="D153:F153"/>
    <mergeCell ref="G153:H153"/>
    <mergeCell ref="I155:I156"/>
    <mergeCell ref="J155:J156"/>
    <mergeCell ref="B162:I162"/>
    <mergeCell ref="B154:H154"/>
    <mergeCell ref="B155:B156"/>
    <mergeCell ref="C155:C156"/>
    <mergeCell ref="D155:G155"/>
    <mergeCell ref="H155:H156"/>
  </mergeCells>
  <hyperlinks>
    <hyperlink ref="B166" r:id="rId1" xr:uid="{08AA7BA7-F609-482B-8BA9-FA9FEC14CE82}"/>
    <hyperlink ref="B168" r:id="rId2" xr:uid="{E936185D-2479-467D-B18D-4EE30359B972}"/>
    <hyperlink ref="B170" r:id="rId3" xr:uid="{895D2BE6-241F-47FA-885A-944358247A97}"/>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F299B-A992-4E36-9FE8-0748C4214BC1}">
  <sheetPr>
    <outlinePr summaryBelow="0" summaryRight="0"/>
  </sheetPr>
  <dimension ref="A1:Q218"/>
  <sheetViews>
    <sheetView showGridLines="0" workbookViewId="0">
      <selection activeCell="I170" sqref="I170"/>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2" max="12" width="12.85546875" bestFit="1" customWidth="1"/>
    <col min="13" max="13" width="11.85546875" bestFit="1" customWidth="1"/>
  </cols>
  <sheetData>
    <row r="1" spans="1:9" ht="15" x14ac:dyDescent="0.2">
      <c r="A1" s="174" t="s">
        <v>0</v>
      </c>
      <c r="B1" s="174"/>
      <c r="C1" s="174"/>
      <c r="D1" s="174"/>
      <c r="E1" s="174"/>
      <c r="F1" s="174"/>
      <c r="G1" s="174"/>
      <c r="H1" s="174"/>
      <c r="I1" s="15"/>
    </row>
    <row r="2" spans="1:9" ht="15" x14ac:dyDescent="0.2">
      <c r="A2" s="174" t="s">
        <v>464</v>
      </c>
      <c r="B2" s="174"/>
      <c r="C2" s="174"/>
      <c r="D2" s="174"/>
      <c r="E2" s="174"/>
      <c r="F2" s="174"/>
      <c r="G2" s="174"/>
      <c r="H2" s="174"/>
    </row>
    <row r="3" spans="1:9" ht="15" x14ac:dyDescent="0.2">
      <c r="A3" s="174" t="s">
        <v>581</v>
      </c>
      <c r="B3" s="174"/>
      <c r="C3" s="174"/>
      <c r="D3" s="174"/>
      <c r="E3" s="174"/>
      <c r="F3" s="174"/>
      <c r="G3" s="174"/>
      <c r="H3" s="174"/>
    </row>
    <row r="4" spans="1:9" s="13" customFormat="1" ht="30" x14ac:dyDescent="0.2">
      <c r="A4" s="14" t="s">
        <v>2</v>
      </c>
      <c r="B4" s="14" t="s">
        <v>3</v>
      </c>
      <c r="C4" s="14" t="s">
        <v>4</v>
      </c>
      <c r="D4" s="14" t="s">
        <v>5</v>
      </c>
      <c r="E4" s="14" t="s">
        <v>6</v>
      </c>
      <c r="F4" s="14" t="s">
        <v>7</v>
      </c>
      <c r="G4" s="14" t="s">
        <v>8</v>
      </c>
      <c r="H4" s="12" t="s">
        <v>725</v>
      </c>
    </row>
    <row r="5" spans="1:9" x14ac:dyDescent="0.2">
      <c r="A5" s="17"/>
      <c r="B5" s="17"/>
      <c r="C5" s="18" t="s">
        <v>9</v>
      </c>
      <c r="D5" s="17"/>
      <c r="E5" s="17"/>
      <c r="F5" s="17"/>
      <c r="G5" s="17"/>
      <c r="H5" s="19" t="s">
        <v>12</v>
      </c>
    </row>
    <row r="6" spans="1:9" ht="25.5" x14ac:dyDescent="0.2">
      <c r="A6" s="20"/>
      <c r="B6" s="20"/>
      <c r="C6" s="21" t="s">
        <v>10</v>
      </c>
      <c r="D6" s="20"/>
      <c r="E6" s="20"/>
      <c r="F6" s="20"/>
      <c r="G6" s="20"/>
      <c r="H6" s="19" t="s">
        <v>12</v>
      </c>
    </row>
    <row r="7" spans="1:9" x14ac:dyDescent="0.2">
      <c r="A7" s="27">
        <v>1</v>
      </c>
      <c r="B7" s="70" t="s">
        <v>621</v>
      </c>
      <c r="C7" s="70" t="s">
        <v>622</v>
      </c>
      <c r="D7" s="70" t="s">
        <v>623</v>
      </c>
      <c r="E7" s="71">
        <v>13333</v>
      </c>
      <c r="F7" s="72">
        <v>0.01</v>
      </c>
      <c r="G7" s="113" t="s">
        <v>624</v>
      </c>
      <c r="H7" s="19" t="s">
        <v>12</v>
      </c>
    </row>
    <row r="8" spans="1:9" x14ac:dyDescent="0.2">
      <c r="A8" s="20"/>
      <c r="B8" s="20"/>
      <c r="C8" s="21" t="s">
        <v>11</v>
      </c>
      <c r="D8" s="20"/>
      <c r="E8" s="20" t="s">
        <v>12</v>
      </c>
      <c r="F8" s="26">
        <f>SUM(F7)</f>
        <v>0.01</v>
      </c>
      <c r="G8" s="23">
        <v>0</v>
      </c>
      <c r="H8" s="19" t="s">
        <v>12</v>
      </c>
    </row>
    <row r="9" spans="1:9" x14ac:dyDescent="0.2">
      <c r="A9" s="20"/>
      <c r="B9" s="20"/>
      <c r="C9" s="24"/>
      <c r="D9" s="20"/>
      <c r="E9" s="20"/>
      <c r="F9" s="25"/>
      <c r="G9" s="25"/>
      <c r="H9" s="19" t="s">
        <v>12</v>
      </c>
    </row>
    <row r="10" spans="1:9" x14ac:dyDescent="0.2">
      <c r="A10" s="20"/>
      <c r="B10" s="20"/>
      <c r="C10" s="21" t="s">
        <v>14</v>
      </c>
      <c r="D10" s="20"/>
      <c r="E10" s="20"/>
      <c r="F10" s="20"/>
      <c r="G10" s="20"/>
      <c r="H10" s="19" t="s">
        <v>12</v>
      </c>
    </row>
    <row r="11" spans="1:9" x14ac:dyDescent="0.2">
      <c r="A11" s="20"/>
      <c r="B11" s="20"/>
      <c r="C11" s="21" t="s">
        <v>11</v>
      </c>
      <c r="D11" s="20"/>
      <c r="E11" s="20" t="s">
        <v>12</v>
      </c>
      <c r="F11" s="22" t="s">
        <v>13</v>
      </c>
      <c r="G11" s="23">
        <v>0</v>
      </c>
      <c r="H11" s="19" t="s">
        <v>12</v>
      </c>
    </row>
    <row r="12" spans="1:9" x14ac:dyDescent="0.2">
      <c r="A12" s="20"/>
      <c r="B12" s="20"/>
      <c r="C12" s="24"/>
      <c r="D12" s="20"/>
      <c r="E12" s="20"/>
      <c r="F12" s="25"/>
      <c r="G12" s="25"/>
      <c r="H12" s="19" t="s">
        <v>12</v>
      </c>
    </row>
    <row r="13" spans="1:9" x14ac:dyDescent="0.2">
      <c r="A13" s="20"/>
      <c r="B13" s="20"/>
      <c r="C13" s="21" t="s">
        <v>15</v>
      </c>
      <c r="D13" s="20"/>
      <c r="E13" s="20"/>
      <c r="F13" s="20"/>
      <c r="G13" s="20"/>
      <c r="H13" s="19" t="s">
        <v>12</v>
      </c>
    </row>
    <row r="14" spans="1:9" x14ac:dyDescent="0.2">
      <c r="A14" s="20"/>
      <c r="B14" s="20"/>
      <c r="C14" s="21" t="s">
        <v>11</v>
      </c>
      <c r="D14" s="20"/>
      <c r="E14" s="20" t="s">
        <v>12</v>
      </c>
      <c r="F14" s="22" t="s">
        <v>13</v>
      </c>
      <c r="G14" s="23">
        <v>0</v>
      </c>
      <c r="H14" s="19" t="s">
        <v>12</v>
      </c>
    </row>
    <row r="15" spans="1:9" x14ac:dyDescent="0.2">
      <c r="A15" s="20"/>
      <c r="B15" s="20"/>
      <c r="C15" s="24"/>
      <c r="D15" s="20"/>
      <c r="E15" s="20"/>
      <c r="F15" s="25"/>
      <c r="G15" s="25"/>
      <c r="H15" s="19" t="s">
        <v>12</v>
      </c>
    </row>
    <row r="16" spans="1:9" x14ac:dyDescent="0.2">
      <c r="A16" s="20"/>
      <c r="B16" s="20"/>
      <c r="C16" s="21" t="s">
        <v>16</v>
      </c>
      <c r="D16" s="20"/>
      <c r="E16" s="20"/>
      <c r="F16" s="20"/>
      <c r="G16" s="20"/>
      <c r="H16" s="19" t="s">
        <v>12</v>
      </c>
    </row>
    <row r="17" spans="1:8" x14ac:dyDescent="0.2">
      <c r="A17" s="20"/>
      <c r="B17" s="20"/>
      <c r="C17" s="21" t="s">
        <v>11</v>
      </c>
      <c r="D17" s="20"/>
      <c r="E17" s="20" t="s">
        <v>12</v>
      </c>
      <c r="F17" s="22" t="s">
        <v>13</v>
      </c>
      <c r="G17" s="23">
        <v>0</v>
      </c>
      <c r="H17" s="19" t="s">
        <v>12</v>
      </c>
    </row>
    <row r="18" spans="1:8" x14ac:dyDescent="0.2">
      <c r="A18" s="20"/>
      <c r="B18" s="20"/>
      <c r="C18" s="24"/>
      <c r="D18" s="20"/>
      <c r="E18" s="20"/>
      <c r="F18" s="25"/>
      <c r="G18" s="25"/>
      <c r="H18" s="19" t="s">
        <v>12</v>
      </c>
    </row>
    <row r="19" spans="1:8" x14ac:dyDescent="0.2">
      <c r="A19" s="20"/>
      <c r="B19" s="20"/>
      <c r="C19" s="21" t="s">
        <v>17</v>
      </c>
      <c r="D19" s="20"/>
      <c r="E19" s="20"/>
      <c r="F19" s="25"/>
      <c r="G19" s="25"/>
      <c r="H19" s="19" t="s">
        <v>12</v>
      </c>
    </row>
    <row r="20" spans="1:8" x14ac:dyDescent="0.2">
      <c r="A20" s="20"/>
      <c r="B20" s="20"/>
      <c r="C20" s="21" t="s">
        <v>11</v>
      </c>
      <c r="D20" s="20"/>
      <c r="E20" s="20" t="s">
        <v>12</v>
      </c>
      <c r="F20" s="22" t="s">
        <v>13</v>
      </c>
      <c r="G20" s="23">
        <v>0</v>
      </c>
      <c r="H20" s="19" t="s">
        <v>12</v>
      </c>
    </row>
    <row r="21" spans="1:8" x14ac:dyDescent="0.2">
      <c r="A21" s="20"/>
      <c r="B21" s="20"/>
      <c r="C21" s="24"/>
      <c r="D21" s="20"/>
      <c r="E21" s="20"/>
      <c r="F21" s="25"/>
      <c r="G21" s="25"/>
      <c r="H21" s="19" t="s">
        <v>12</v>
      </c>
    </row>
    <row r="22" spans="1:8" x14ac:dyDescent="0.2">
      <c r="A22" s="20"/>
      <c r="B22" s="20"/>
      <c r="C22" s="21" t="s">
        <v>18</v>
      </c>
      <c r="D22" s="20"/>
      <c r="E22" s="20"/>
      <c r="F22" s="25"/>
      <c r="G22" s="25"/>
      <c r="H22" s="19" t="s">
        <v>12</v>
      </c>
    </row>
    <row r="23" spans="1:8" x14ac:dyDescent="0.2">
      <c r="A23" s="20"/>
      <c r="B23" s="20"/>
      <c r="C23" s="21" t="s">
        <v>11</v>
      </c>
      <c r="D23" s="20"/>
      <c r="E23" s="20" t="s">
        <v>12</v>
      </c>
      <c r="F23" s="22" t="s">
        <v>13</v>
      </c>
      <c r="G23" s="23">
        <v>0</v>
      </c>
      <c r="H23" s="19" t="s">
        <v>12</v>
      </c>
    </row>
    <row r="24" spans="1:8" x14ac:dyDescent="0.2">
      <c r="A24" s="20"/>
      <c r="B24" s="20"/>
      <c r="C24" s="24"/>
      <c r="D24" s="20"/>
      <c r="E24" s="20"/>
      <c r="F24" s="25"/>
      <c r="G24" s="25"/>
      <c r="H24" s="19" t="s">
        <v>12</v>
      </c>
    </row>
    <row r="25" spans="1:8" x14ac:dyDescent="0.2">
      <c r="A25" s="20"/>
      <c r="B25" s="20"/>
      <c r="C25" s="21" t="s">
        <v>19</v>
      </c>
      <c r="D25" s="20"/>
      <c r="E25" s="20"/>
      <c r="F25" s="26">
        <f>F8</f>
        <v>0.01</v>
      </c>
      <c r="G25" s="23">
        <v>0</v>
      </c>
      <c r="H25" s="19" t="s">
        <v>12</v>
      </c>
    </row>
    <row r="26" spans="1:8" x14ac:dyDescent="0.2">
      <c r="A26" s="20"/>
      <c r="B26" s="20"/>
      <c r="C26" s="24"/>
      <c r="D26" s="20"/>
      <c r="E26" s="20"/>
      <c r="F26" s="25"/>
      <c r="G26" s="25"/>
      <c r="H26" s="19" t="s">
        <v>12</v>
      </c>
    </row>
    <row r="27" spans="1:8" x14ac:dyDescent="0.2">
      <c r="A27" s="20"/>
      <c r="B27" s="20"/>
      <c r="C27" s="21" t="s">
        <v>20</v>
      </c>
      <c r="D27" s="20"/>
      <c r="E27" s="20"/>
      <c r="F27" s="25"/>
      <c r="G27" s="25"/>
      <c r="H27" s="19" t="s">
        <v>12</v>
      </c>
    </row>
    <row r="28" spans="1:8" ht="25.5" x14ac:dyDescent="0.2">
      <c r="A28" s="20"/>
      <c r="B28" s="20"/>
      <c r="C28" s="21" t="s">
        <v>10</v>
      </c>
      <c r="D28" s="20"/>
      <c r="E28" s="20"/>
      <c r="F28" s="25"/>
      <c r="G28" s="25"/>
      <c r="H28" s="19" t="s">
        <v>12</v>
      </c>
    </row>
    <row r="29" spans="1:8" x14ac:dyDescent="0.2">
      <c r="A29" s="27">
        <v>1</v>
      </c>
      <c r="B29" s="28" t="s">
        <v>261</v>
      </c>
      <c r="C29" s="28" t="s">
        <v>262</v>
      </c>
      <c r="D29" s="28" t="s">
        <v>23</v>
      </c>
      <c r="E29" s="29">
        <v>8000</v>
      </c>
      <c r="F29" s="30">
        <v>8079.8320000000003</v>
      </c>
      <c r="G29" s="31">
        <v>3.1679279999999997E-2</v>
      </c>
      <c r="H29" s="19">
        <v>6.5549999999999997</v>
      </c>
    </row>
    <row r="30" spans="1:8" x14ac:dyDescent="0.2">
      <c r="A30" s="27">
        <v>2</v>
      </c>
      <c r="B30" s="28" t="s">
        <v>263</v>
      </c>
      <c r="C30" s="28" t="s">
        <v>264</v>
      </c>
      <c r="D30" s="28" t="s">
        <v>260</v>
      </c>
      <c r="E30" s="29">
        <v>7000</v>
      </c>
      <c r="F30" s="30">
        <v>7034.1530000000002</v>
      </c>
      <c r="G30" s="31">
        <v>2.75794E-2</v>
      </c>
      <c r="H30" s="19">
        <v>7.5750000000000002</v>
      </c>
    </row>
    <row r="31" spans="1:8" ht="25.5" x14ac:dyDescent="0.2">
      <c r="A31" s="27">
        <v>3</v>
      </c>
      <c r="B31" s="28" t="s">
        <v>465</v>
      </c>
      <c r="C31" s="28" t="s">
        <v>466</v>
      </c>
      <c r="D31" s="28" t="s">
        <v>32</v>
      </c>
      <c r="E31" s="29">
        <v>5000</v>
      </c>
      <c r="F31" s="30">
        <v>5043.3</v>
      </c>
      <c r="G31" s="31">
        <v>1.977369E-2</v>
      </c>
      <c r="H31" s="19">
        <v>6.835</v>
      </c>
    </row>
    <row r="32" spans="1:8" ht="25.5" x14ac:dyDescent="0.2">
      <c r="A32" s="27">
        <v>4</v>
      </c>
      <c r="B32" s="28" t="s">
        <v>258</v>
      </c>
      <c r="C32" s="28" t="s">
        <v>259</v>
      </c>
      <c r="D32" s="28" t="s">
        <v>260</v>
      </c>
      <c r="E32" s="29">
        <v>3000</v>
      </c>
      <c r="F32" s="30">
        <v>3033.9989999999998</v>
      </c>
      <c r="G32" s="31">
        <v>1.1895660000000001E-2</v>
      </c>
      <c r="H32" s="19">
        <v>7.9249999999999998</v>
      </c>
    </row>
    <row r="33" spans="1:8" ht="25.5" x14ac:dyDescent="0.2">
      <c r="A33" s="27">
        <v>5</v>
      </c>
      <c r="B33" s="28" t="s">
        <v>57</v>
      </c>
      <c r="C33" s="28" t="s">
        <v>58</v>
      </c>
      <c r="D33" s="28" t="s">
        <v>23</v>
      </c>
      <c r="E33" s="29">
        <v>2500</v>
      </c>
      <c r="F33" s="30">
        <v>2525.2325000000001</v>
      </c>
      <c r="G33" s="31">
        <v>9.9008900000000007E-3</v>
      </c>
      <c r="H33" s="19">
        <v>6.62</v>
      </c>
    </row>
    <row r="34" spans="1:8" ht="25.5" x14ac:dyDescent="0.2">
      <c r="A34" s="27">
        <v>6</v>
      </c>
      <c r="B34" s="28" t="s">
        <v>467</v>
      </c>
      <c r="C34" s="28" t="s">
        <v>468</v>
      </c>
      <c r="D34" s="28" t="s">
        <v>23</v>
      </c>
      <c r="E34" s="29">
        <v>250</v>
      </c>
      <c r="F34" s="30">
        <v>2516.17</v>
      </c>
      <c r="G34" s="31">
        <v>9.8653600000000001E-3</v>
      </c>
      <c r="H34" s="19">
        <v>7.3049999999999997</v>
      </c>
    </row>
    <row r="35" spans="1:8" ht="25.5" x14ac:dyDescent="0.2">
      <c r="A35" s="27">
        <v>7</v>
      </c>
      <c r="B35" s="28" t="s">
        <v>469</v>
      </c>
      <c r="C35" s="28" t="s">
        <v>470</v>
      </c>
      <c r="D35" s="28" t="s">
        <v>23</v>
      </c>
      <c r="E35" s="29">
        <v>250</v>
      </c>
      <c r="F35" s="30">
        <v>2501.7975000000001</v>
      </c>
      <c r="G35" s="31">
        <v>9.80901E-3</v>
      </c>
      <c r="H35" s="19">
        <v>6.9088000000000003</v>
      </c>
    </row>
    <row r="36" spans="1:8" ht="25.5" x14ac:dyDescent="0.2">
      <c r="A36" s="27">
        <v>8</v>
      </c>
      <c r="B36" s="28" t="s">
        <v>282</v>
      </c>
      <c r="C36" s="28" t="s">
        <v>283</v>
      </c>
      <c r="D36" s="28" t="s">
        <v>284</v>
      </c>
      <c r="E36" s="29">
        <v>200</v>
      </c>
      <c r="F36" s="30">
        <v>2007.6120000000001</v>
      </c>
      <c r="G36" s="31">
        <v>7.8714100000000006E-3</v>
      </c>
      <c r="H36" s="19">
        <v>7.2949999999999999</v>
      </c>
    </row>
    <row r="37" spans="1:8" ht="25.5" x14ac:dyDescent="0.2">
      <c r="A37" s="27">
        <v>9</v>
      </c>
      <c r="B37" s="28" t="s">
        <v>255</v>
      </c>
      <c r="C37" s="28" t="s">
        <v>256</v>
      </c>
      <c r="D37" s="28" t="s">
        <v>257</v>
      </c>
      <c r="E37" s="29">
        <v>1600</v>
      </c>
      <c r="F37" s="30">
        <v>1622.1343999999999</v>
      </c>
      <c r="G37" s="31">
        <v>6.36004E-3</v>
      </c>
      <c r="H37" s="19">
        <v>6.9450000000000003</v>
      </c>
    </row>
    <row r="38" spans="1:8" ht="25.5" x14ac:dyDescent="0.2">
      <c r="A38" s="27">
        <v>10</v>
      </c>
      <c r="B38" s="28" t="s">
        <v>285</v>
      </c>
      <c r="C38" s="28" t="s">
        <v>286</v>
      </c>
      <c r="D38" s="28" t="s">
        <v>260</v>
      </c>
      <c r="E38" s="29">
        <v>1500</v>
      </c>
      <c r="F38" s="30">
        <v>1517.9984999999999</v>
      </c>
      <c r="G38" s="31">
        <v>5.9517499999999996E-3</v>
      </c>
      <c r="H38" s="19">
        <v>8.1</v>
      </c>
    </row>
    <row r="39" spans="1:8" ht="25.5" x14ac:dyDescent="0.2">
      <c r="A39" s="27">
        <v>11</v>
      </c>
      <c r="B39" s="28" t="s">
        <v>471</v>
      </c>
      <c r="C39" s="28" t="s">
        <v>472</v>
      </c>
      <c r="D39" s="28" t="s">
        <v>23</v>
      </c>
      <c r="E39" s="29">
        <v>150</v>
      </c>
      <c r="F39" s="30">
        <v>1508.877</v>
      </c>
      <c r="G39" s="31">
        <v>5.9159800000000004E-3</v>
      </c>
      <c r="H39" s="19">
        <v>7.2423000000000002</v>
      </c>
    </row>
    <row r="40" spans="1:8" ht="25.5" x14ac:dyDescent="0.2">
      <c r="A40" s="27">
        <v>12</v>
      </c>
      <c r="B40" s="28" t="s">
        <v>71</v>
      </c>
      <c r="C40" s="28" t="s">
        <v>72</v>
      </c>
      <c r="D40" s="28" t="s">
        <v>23</v>
      </c>
      <c r="E40" s="29">
        <v>1500</v>
      </c>
      <c r="F40" s="30">
        <v>1500.1079999999999</v>
      </c>
      <c r="G40" s="31">
        <v>5.8815999999999998E-3</v>
      </c>
      <c r="H40" s="19">
        <v>7.02</v>
      </c>
    </row>
    <row r="41" spans="1:8" ht="25.5" x14ac:dyDescent="0.2">
      <c r="A41" s="27">
        <v>13</v>
      </c>
      <c r="B41" s="28" t="s">
        <v>69</v>
      </c>
      <c r="C41" s="28" t="s">
        <v>70</v>
      </c>
      <c r="D41" s="28" t="s">
        <v>23</v>
      </c>
      <c r="E41" s="29">
        <v>1000</v>
      </c>
      <c r="F41" s="30">
        <v>1009.096</v>
      </c>
      <c r="G41" s="31">
        <v>3.9564500000000002E-3</v>
      </c>
      <c r="H41" s="19">
        <v>6.6092000000000004</v>
      </c>
    </row>
    <row r="42" spans="1:8" x14ac:dyDescent="0.2">
      <c r="A42" s="20"/>
      <c r="B42" s="20"/>
      <c r="C42" s="21" t="s">
        <v>11</v>
      </c>
      <c r="D42" s="20"/>
      <c r="E42" s="20" t="s">
        <v>12</v>
      </c>
      <c r="F42" s="26">
        <v>39900.3099</v>
      </c>
      <c r="G42" s="23">
        <v>0.15644052</v>
      </c>
      <c r="H42" s="19" t="s">
        <v>12</v>
      </c>
    </row>
    <row r="43" spans="1:8" x14ac:dyDescent="0.2">
      <c r="A43" s="20"/>
      <c r="B43" s="20"/>
      <c r="C43" s="24"/>
      <c r="D43" s="20"/>
      <c r="E43" s="20"/>
      <c r="F43" s="25"/>
      <c r="G43" s="25"/>
      <c r="H43" s="19" t="s">
        <v>12</v>
      </c>
    </row>
    <row r="44" spans="1:8" x14ac:dyDescent="0.2">
      <c r="A44" s="20"/>
      <c r="B44" s="20"/>
      <c r="C44" s="21" t="s">
        <v>77</v>
      </c>
      <c r="D44" s="20"/>
      <c r="E44" s="20"/>
      <c r="F44" s="20"/>
      <c r="G44" s="20"/>
      <c r="H44" s="19" t="s">
        <v>12</v>
      </c>
    </row>
    <row r="45" spans="1:8" x14ac:dyDescent="0.2">
      <c r="A45" s="20"/>
      <c r="B45" s="20"/>
      <c r="C45" s="21" t="s">
        <v>11</v>
      </c>
      <c r="D45" s="20"/>
      <c r="E45" s="20" t="s">
        <v>12</v>
      </c>
      <c r="F45" s="22" t="s">
        <v>13</v>
      </c>
      <c r="G45" s="23">
        <v>0</v>
      </c>
      <c r="H45" s="19" t="s">
        <v>12</v>
      </c>
    </row>
    <row r="46" spans="1:8" x14ac:dyDescent="0.2">
      <c r="A46" s="20"/>
      <c r="B46" s="20"/>
      <c r="C46" s="24"/>
      <c r="D46" s="20"/>
      <c r="E46" s="20"/>
      <c r="F46" s="25"/>
      <c r="G46" s="25"/>
      <c r="H46" s="19" t="s">
        <v>12</v>
      </c>
    </row>
    <row r="47" spans="1:8" x14ac:dyDescent="0.2">
      <c r="A47" s="20"/>
      <c r="B47" s="20"/>
      <c r="C47" s="21" t="s">
        <v>78</v>
      </c>
      <c r="D47" s="20"/>
      <c r="E47" s="20"/>
      <c r="F47" s="20"/>
      <c r="G47" s="20"/>
      <c r="H47" s="19" t="s">
        <v>12</v>
      </c>
    </row>
    <row r="48" spans="1:8" x14ac:dyDescent="0.2">
      <c r="A48" s="20"/>
      <c r="B48" s="20"/>
      <c r="C48" s="21" t="s">
        <v>11</v>
      </c>
      <c r="D48" s="20"/>
      <c r="E48" s="20" t="s">
        <v>12</v>
      </c>
      <c r="F48" s="22" t="s">
        <v>13</v>
      </c>
      <c r="G48" s="23">
        <v>0</v>
      </c>
      <c r="H48" s="19" t="s">
        <v>12</v>
      </c>
    </row>
    <row r="49" spans="1:8" x14ac:dyDescent="0.2">
      <c r="A49" s="20"/>
      <c r="B49" s="20"/>
      <c r="C49" s="24"/>
      <c r="D49" s="20"/>
      <c r="E49" s="20"/>
      <c r="F49" s="25"/>
      <c r="G49" s="25"/>
      <c r="H49" s="19" t="s">
        <v>12</v>
      </c>
    </row>
    <row r="50" spans="1:8" x14ac:dyDescent="0.2">
      <c r="A50" s="20"/>
      <c r="B50" s="20"/>
      <c r="C50" s="21" t="s">
        <v>100</v>
      </c>
      <c r="D50" s="20"/>
      <c r="E50" s="20"/>
      <c r="F50" s="25"/>
      <c r="G50" s="25"/>
      <c r="H50" s="19" t="s">
        <v>12</v>
      </c>
    </row>
    <row r="51" spans="1:8" x14ac:dyDescent="0.2">
      <c r="A51" s="20"/>
      <c r="B51" s="20"/>
      <c r="C51" s="21" t="s">
        <v>11</v>
      </c>
      <c r="D51" s="20"/>
      <c r="E51" s="20" t="s">
        <v>12</v>
      </c>
      <c r="F51" s="22" t="s">
        <v>13</v>
      </c>
      <c r="G51" s="23">
        <v>0</v>
      </c>
      <c r="H51" s="19" t="s">
        <v>12</v>
      </c>
    </row>
    <row r="52" spans="1:8" x14ac:dyDescent="0.2">
      <c r="A52" s="20"/>
      <c r="B52" s="20"/>
      <c r="C52" s="24"/>
      <c r="D52" s="20"/>
      <c r="E52" s="20"/>
      <c r="F52" s="25"/>
      <c r="G52" s="25"/>
      <c r="H52" s="19" t="s">
        <v>12</v>
      </c>
    </row>
    <row r="53" spans="1:8" x14ac:dyDescent="0.2">
      <c r="A53" s="20"/>
      <c r="B53" s="20"/>
      <c r="C53" s="21" t="s">
        <v>101</v>
      </c>
      <c r="D53" s="20"/>
      <c r="E53" s="20"/>
      <c r="F53" s="26">
        <v>39900.3099</v>
      </c>
      <c r="G53" s="23">
        <v>0.15644052</v>
      </c>
      <c r="H53" s="19" t="s">
        <v>12</v>
      </c>
    </row>
    <row r="54" spans="1:8" x14ac:dyDescent="0.2">
      <c r="A54" s="20"/>
      <c r="B54" s="20"/>
      <c r="C54" s="24"/>
      <c r="D54" s="20"/>
      <c r="E54" s="20"/>
      <c r="F54" s="25"/>
      <c r="G54" s="25"/>
      <c r="H54" s="19" t="s">
        <v>12</v>
      </c>
    </row>
    <row r="55" spans="1:8" x14ac:dyDescent="0.2">
      <c r="A55" s="20"/>
      <c r="B55" s="20"/>
      <c r="C55" s="21" t="s">
        <v>102</v>
      </c>
      <c r="D55" s="20"/>
      <c r="E55" s="20"/>
      <c r="F55" s="25"/>
      <c r="G55" s="25"/>
      <c r="H55" s="19" t="s">
        <v>12</v>
      </c>
    </row>
    <row r="56" spans="1:8" x14ac:dyDescent="0.2">
      <c r="A56" s="20"/>
      <c r="B56" s="20"/>
      <c r="C56" s="21" t="s">
        <v>103</v>
      </c>
      <c r="D56" s="20"/>
      <c r="E56" s="20"/>
      <c r="F56" s="25"/>
      <c r="G56" s="25"/>
      <c r="H56" s="19" t="s">
        <v>12</v>
      </c>
    </row>
    <row r="57" spans="1:8" x14ac:dyDescent="0.2">
      <c r="A57" s="27">
        <v>1</v>
      </c>
      <c r="B57" s="28" t="s">
        <v>291</v>
      </c>
      <c r="C57" s="28" t="s">
        <v>292</v>
      </c>
      <c r="D57" s="28" t="s">
        <v>293</v>
      </c>
      <c r="E57" s="29">
        <v>3000</v>
      </c>
      <c r="F57" s="30">
        <v>14505.42</v>
      </c>
      <c r="G57" s="31">
        <v>5.687263E-2</v>
      </c>
      <c r="H57" s="19">
        <v>6.4150999999999998</v>
      </c>
    </row>
    <row r="58" spans="1:8" x14ac:dyDescent="0.2">
      <c r="A58" s="27">
        <v>2</v>
      </c>
      <c r="B58" s="28" t="s">
        <v>473</v>
      </c>
      <c r="C58" s="28" t="s">
        <v>474</v>
      </c>
      <c r="D58" s="28" t="s">
        <v>161</v>
      </c>
      <c r="E58" s="29">
        <v>2500</v>
      </c>
      <c r="F58" s="30">
        <v>12268</v>
      </c>
      <c r="G58" s="31">
        <v>4.8100190000000001E-2</v>
      </c>
      <c r="H58" s="19">
        <v>6.2751000000000001</v>
      </c>
    </row>
    <row r="59" spans="1:8" x14ac:dyDescent="0.2">
      <c r="A59" s="27">
        <v>3</v>
      </c>
      <c r="B59" s="28" t="s">
        <v>475</v>
      </c>
      <c r="C59" s="28" t="s">
        <v>476</v>
      </c>
      <c r="D59" s="28" t="s">
        <v>161</v>
      </c>
      <c r="E59" s="29">
        <v>1500</v>
      </c>
      <c r="F59" s="30">
        <v>7263.0675000000001</v>
      </c>
      <c r="G59" s="31">
        <v>2.8476919999999999E-2</v>
      </c>
      <c r="H59" s="19">
        <v>6.6151</v>
      </c>
    </row>
    <row r="60" spans="1:8" x14ac:dyDescent="0.2">
      <c r="A60" s="27">
        <v>4</v>
      </c>
      <c r="B60" s="28" t="s">
        <v>189</v>
      </c>
      <c r="C60" s="28" t="s">
        <v>190</v>
      </c>
      <c r="D60" s="28" t="s">
        <v>161</v>
      </c>
      <c r="E60" s="29">
        <v>1400</v>
      </c>
      <c r="F60" s="30">
        <v>6887.6779999999999</v>
      </c>
      <c r="G60" s="31">
        <v>2.7005100000000001E-2</v>
      </c>
      <c r="H60" s="19">
        <v>6.4002999999999997</v>
      </c>
    </row>
    <row r="61" spans="1:8" x14ac:dyDescent="0.2">
      <c r="A61" s="27">
        <v>5</v>
      </c>
      <c r="B61" s="28" t="s">
        <v>296</v>
      </c>
      <c r="C61" s="28" t="s">
        <v>297</v>
      </c>
      <c r="D61" s="28" t="s">
        <v>161</v>
      </c>
      <c r="E61" s="29">
        <v>1300</v>
      </c>
      <c r="F61" s="30">
        <v>6390.0590000000002</v>
      </c>
      <c r="G61" s="31">
        <v>2.505404E-2</v>
      </c>
      <c r="H61" s="19">
        <v>6.28</v>
      </c>
    </row>
    <row r="62" spans="1:8" x14ac:dyDescent="0.2">
      <c r="A62" s="27">
        <v>6</v>
      </c>
      <c r="B62" s="28" t="s">
        <v>477</v>
      </c>
      <c r="C62" s="28" t="s">
        <v>478</v>
      </c>
      <c r="D62" s="28" t="s">
        <v>161</v>
      </c>
      <c r="E62" s="29">
        <v>1000</v>
      </c>
      <c r="F62" s="30">
        <v>4859</v>
      </c>
      <c r="G62" s="31">
        <v>1.905109E-2</v>
      </c>
      <c r="H62" s="19">
        <v>6.4584000000000001</v>
      </c>
    </row>
    <row r="63" spans="1:8" x14ac:dyDescent="0.2">
      <c r="A63" s="27">
        <v>7</v>
      </c>
      <c r="B63" s="28" t="s">
        <v>479</v>
      </c>
      <c r="C63" s="28" t="s">
        <v>480</v>
      </c>
      <c r="D63" s="28" t="s">
        <v>161</v>
      </c>
      <c r="E63" s="29">
        <v>1000</v>
      </c>
      <c r="F63" s="30">
        <v>4858.2</v>
      </c>
      <c r="G63" s="31">
        <v>1.9047959999999999E-2</v>
      </c>
      <c r="H63" s="19">
        <v>6.4566999999999997</v>
      </c>
    </row>
    <row r="64" spans="1:8" x14ac:dyDescent="0.2">
      <c r="A64" s="27">
        <v>8</v>
      </c>
      <c r="B64" s="28" t="s">
        <v>481</v>
      </c>
      <c r="C64" s="28" t="s">
        <v>482</v>
      </c>
      <c r="D64" s="28" t="s">
        <v>376</v>
      </c>
      <c r="E64" s="29">
        <v>1000</v>
      </c>
      <c r="F64" s="30">
        <v>4841.1899999999996</v>
      </c>
      <c r="G64" s="31">
        <v>1.898126E-2</v>
      </c>
      <c r="H64" s="19">
        <v>6.4375</v>
      </c>
    </row>
    <row r="65" spans="1:8" ht="25.5" x14ac:dyDescent="0.2">
      <c r="A65" s="27">
        <v>9</v>
      </c>
      <c r="B65" s="28" t="s">
        <v>483</v>
      </c>
      <c r="C65" s="28" t="s">
        <v>484</v>
      </c>
      <c r="D65" s="28" t="s">
        <v>161</v>
      </c>
      <c r="E65" s="29">
        <v>1000</v>
      </c>
      <c r="F65" s="30">
        <v>4839.46</v>
      </c>
      <c r="G65" s="31">
        <v>1.8974479999999998E-2</v>
      </c>
      <c r="H65" s="19">
        <v>6.4751000000000003</v>
      </c>
    </row>
    <row r="66" spans="1:8" x14ac:dyDescent="0.2">
      <c r="A66" s="27">
        <v>10</v>
      </c>
      <c r="B66" s="28" t="s">
        <v>195</v>
      </c>
      <c r="C66" s="28" t="s">
        <v>196</v>
      </c>
      <c r="D66" s="28" t="s">
        <v>161</v>
      </c>
      <c r="E66" s="29">
        <v>1000</v>
      </c>
      <c r="F66" s="30">
        <v>4831.2550000000001</v>
      </c>
      <c r="G66" s="31">
        <v>1.894231E-2</v>
      </c>
      <c r="H66" s="19">
        <v>6.8174999999999999</v>
      </c>
    </row>
    <row r="67" spans="1:8" x14ac:dyDescent="0.2">
      <c r="A67" s="27">
        <v>11</v>
      </c>
      <c r="B67" s="28" t="s">
        <v>485</v>
      </c>
      <c r="C67" s="28" t="s">
        <v>486</v>
      </c>
      <c r="D67" s="28" t="s">
        <v>161</v>
      </c>
      <c r="E67" s="29">
        <v>1000</v>
      </c>
      <c r="F67" s="30">
        <v>4829.32</v>
      </c>
      <c r="G67" s="31">
        <v>1.8934719999999999E-2</v>
      </c>
      <c r="H67" s="19">
        <v>6.45</v>
      </c>
    </row>
    <row r="68" spans="1:8" x14ac:dyDescent="0.2">
      <c r="A68" s="27">
        <v>12</v>
      </c>
      <c r="B68" s="28" t="s">
        <v>487</v>
      </c>
      <c r="C68" s="28" t="s">
        <v>488</v>
      </c>
      <c r="D68" s="28" t="s">
        <v>161</v>
      </c>
      <c r="E68" s="29">
        <v>1000</v>
      </c>
      <c r="F68" s="30">
        <v>4792.2849999999999</v>
      </c>
      <c r="G68" s="31">
        <v>1.8789520000000001E-2</v>
      </c>
      <c r="H68" s="19">
        <v>6.4050000000000002</v>
      </c>
    </row>
    <row r="69" spans="1:8" x14ac:dyDescent="0.2">
      <c r="A69" s="27">
        <v>13</v>
      </c>
      <c r="B69" s="28" t="s">
        <v>197</v>
      </c>
      <c r="C69" s="28" t="s">
        <v>198</v>
      </c>
      <c r="D69" s="28" t="s">
        <v>161</v>
      </c>
      <c r="E69" s="29">
        <v>1000</v>
      </c>
      <c r="F69" s="30">
        <v>4791.17</v>
      </c>
      <c r="G69" s="31">
        <v>1.878515E-2</v>
      </c>
      <c r="H69" s="19">
        <v>6.415</v>
      </c>
    </row>
    <row r="70" spans="1:8" x14ac:dyDescent="0.2">
      <c r="A70" s="27">
        <v>14</v>
      </c>
      <c r="B70" s="28" t="s">
        <v>203</v>
      </c>
      <c r="C70" s="28" t="s">
        <v>204</v>
      </c>
      <c r="D70" s="28" t="s">
        <v>161</v>
      </c>
      <c r="E70" s="29">
        <v>1000</v>
      </c>
      <c r="F70" s="30">
        <v>4780.6400000000003</v>
      </c>
      <c r="G70" s="31">
        <v>1.8743860000000001E-2</v>
      </c>
      <c r="H70" s="19">
        <v>6.3925000000000001</v>
      </c>
    </row>
    <row r="71" spans="1:8" x14ac:dyDescent="0.2">
      <c r="A71" s="27">
        <v>15</v>
      </c>
      <c r="B71" s="28" t="s">
        <v>489</v>
      </c>
      <c r="C71" s="28" t="s">
        <v>490</v>
      </c>
      <c r="D71" s="28" t="s">
        <v>161</v>
      </c>
      <c r="E71" s="29">
        <v>1000</v>
      </c>
      <c r="F71" s="30">
        <v>4778.8</v>
      </c>
      <c r="G71" s="31">
        <v>1.8736650000000001E-2</v>
      </c>
      <c r="H71" s="19">
        <v>6.8125</v>
      </c>
    </row>
    <row r="72" spans="1:8" x14ac:dyDescent="0.2">
      <c r="A72" s="27">
        <v>16</v>
      </c>
      <c r="B72" s="28" t="s">
        <v>173</v>
      </c>
      <c r="C72" s="28" t="s">
        <v>174</v>
      </c>
      <c r="D72" s="28" t="s">
        <v>161</v>
      </c>
      <c r="E72" s="29">
        <v>1000</v>
      </c>
      <c r="F72" s="30">
        <v>4758.0550000000003</v>
      </c>
      <c r="G72" s="31">
        <v>1.8655310000000001E-2</v>
      </c>
      <c r="H72" s="19">
        <v>6.4</v>
      </c>
    </row>
    <row r="73" spans="1:8" ht="25.5" x14ac:dyDescent="0.2">
      <c r="A73" s="27">
        <v>17</v>
      </c>
      <c r="B73" s="28" t="s">
        <v>221</v>
      </c>
      <c r="C73" s="28" t="s">
        <v>222</v>
      </c>
      <c r="D73" s="28" t="s">
        <v>161</v>
      </c>
      <c r="E73" s="29">
        <v>800</v>
      </c>
      <c r="F73" s="30">
        <v>3831.08</v>
      </c>
      <c r="G73" s="31">
        <v>1.5020840000000001E-2</v>
      </c>
      <c r="H73" s="19">
        <v>6.4375999999999998</v>
      </c>
    </row>
    <row r="74" spans="1:8" ht="25.5" x14ac:dyDescent="0.2">
      <c r="A74" s="27">
        <v>18</v>
      </c>
      <c r="B74" s="28" t="s">
        <v>300</v>
      </c>
      <c r="C74" s="28" t="s">
        <v>301</v>
      </c>
      <c r="D74" s="28" t="s">
        <v>161</v>
      </c>
      <c r="E74" s="29">
        <v>800</v>
      </c>
      <c r="F74" s="30">
        <v>3809.3440000000001</v>
      </c>
      <c r="G74" s="31">
        <v>1.493562E-2</v>
      </c>
      <c r="H74" s="19">
        <v>6.41</v>
      </c>
    </row>
    <row r="75" spans="1:8" x14ac:dyDescent="0.2">
      <c r="A75" s="27">
        <v>19</v>
      </c>
      <c r="B75" s="28" t="s">
        <v>215</v>
      </c>
      <c r="C75" s="28" t="s">
        <v>216</v>
      </c>
      <c r="D75" s="28" t="s">
        <v>161</v>
      </c>
      <c r="E75" s="29">
        <v>700</v>
      </c>
      <c r="F75" s="30">
        <v>3356.1325000000002</v>
      </c>
      <c r="G75" s="31">
        <v>1.3158670000000001E-2</v>
      </c>
      <c r="H75" s="19">
        <v>6.63</v>
      </c>
    </row>
    <row r="76" spans="1:8" x14ac:dyDescent="0.2">
      <c r="A76" s="27">
        <v>20</v>
      </c>
      <c r="B76" s="28" t="s">
        <v>217</v>
      </c>
      <c r="C76" s="28" t="s">
        <v>218</v>
      </c>
      <c r="D76" s="28" t="s">
        <v>161</v>
      </c>
      <c r="E76" s="29">
        <v>700</v>
      </c>
      <c r="F76" s="30">
        <v>3342.7939999999999</v>
      </c>
      <c r="G76" s="31">
        <v>1.3106380000000001E-2</v>
      </c>
      <c r="H76" s="19">
        <v>6.4050000000000002</v>
      </c>
    </row>
    <row r="77" spans="1:8" ht="25.5" x14ac:dyDescent="0.2">
      <c r="A77" s="27">
        <v>21</v>
      </c>
      <c r="B77" s="28" t="s">
        <v>219</v>
      </c>
      <c r="C77" s="28" t="s">
        <v>220</v>
      </c>
      <c r="D77" s="28" t="s">
        <v>161</v>
      </c>
      <c r="E77" s="29">
        <v>600</v>
      </c>
      <c r="F77" s="30">
        <v>2851.2840000000001</v>
      </c>
      <c r="G77" s="31">
        <v>1.117927E-2</v>
      </c>
      <c r="H77" s="19">
        <v>6.41</v>
      </c>
    </row>
    <row r="78" spans="1:8" x14ac:dyDescent="0.2">
      <c r="A78" s="27">
        <v>22</v>
      </c>
      <c r="B78" s="28" t="s">
        <v>294</v>
      </c>
      <c r="C78" s="28" t="s">
        <v>295</v>
      </c>
      <c r="D78" s="28" t="s">
        <v>161</v>
      </c>
      <c r="E78" s="29">
        <v>600</v>
      </c>
      <c r="F78" s="30">
        <v>2815.4009999999998</v>
      </c>
      <c r="G78" s="31">
        <v>1.1038579999999999E-2</v>
      </c>
      <c r="H78" s="19">
        <v>6.6849999999999996</v>
      </c>
    </row>
    <row r="79" spans="1:8" x14ac:dyDescent="0.2">
      <c r="A79" s="27">
        <v>23</v>
      </c>
      <c r="B79" s="28" t="s">
        <v>491</v>
      </c>
      <c r="C79" s="28" t="s">
        <v>492</v>
      </c>
      <c r="D79" s="28" t="s">
        <v>161</v>
      </c>
      <c r="E79" s="29">
        <v>500</v>
      </c>
      <c r="F79" s="30">
        <v>2459.81</v>
      </c>
      <c r="G79" s="31">
        <v>9.6443899999999992E-3</v>
      </c>
      <c r="H79" s="19">
        <v>6.2775999999999996</v>
      </c>
    </row>
    <row r="80" spans="1:8" x14ac:dyDescent="0.2">
      <c r="A80" s="27">
        <v>24</v>
      </c>
      <c r="B80" s="28" t="s">
        <v>493</v>
      </c>
      <c r="C80" s="28" t="s">
        <v>494</v>
      </c>
      <c r="D80" s="28" t="s">
        <v>161</v>
      </c>
      <c r="E80" s="29">
        <v>500</v>
      </c>
      <c r="F80" s="30">
        <v>2422.2975000000001</v>
      </c>
      <c r="G80" s="31">
        <v>9.4973100000000001E-3</v>
      </c>
      <c r="H80" s="19">
        <v>6.6151</v>
      </c>
    </row>
    <row r="81" spans="1:8" x14ac:dyDescent="0.2">
      <c r="A81" s="27">
        <v>25</v>
      </c>
      <c r="B81" s="28" t="s">
        <v>495</v>
      </c>
      <c r="C81" s="28" t="s">
        <v>496</v>
      </c>
      <c r="D81" s="28" t="s">
        <v>161</v>
      </c>
      <c r="E81" s="29">
        <v>500</v>
      </c>
      <c r="F81" s="30">
        <v>2420.3825000000002</v>
      </c>
      <c r="G81" s="31">
        <v>9.4897999999999996E-3</v>
      </c>
      <c r="H81" s="19">
        <v>6.4550999999999998</v>
      </c>
    </row>
    <row r="82" spans="1:8" x14ac:dyDescent="0.2">
      <c r="A82" s="27">
        <v>26</v>
      </c>
      <c r="B82" s="28" t="s">
        <v>497</v>
      </c>
      <c r="C82" s="28" t="s">
        <v>498</v>
      </c>
      <c r="D82" s="28" t="s">
        <v>376</v>
      </c>
      <c r="E82" s="29">
        <v>500</v>
      </c>
      <c r="F82" s="30">
        <v>2414.8200000000002</v>
      </c>
      <c r="G82" s="31">
        <v>9.4679900000000008E-3</v>
      </c>
      <c r="H82" s="19">
        <v>6.4375</v>
      </c>
    </row>
    <row r="83" spans="1:8" ht="25.5" x14ac:dyDescent="0.2">
      <c r="A83" s="27">
        <v>27</v>
      </c>
      <c r="B83" s="28" t="s">
        <v>499</v>
      </c>
      <c r="C83" s="28" t="s">
        <v>500</v>
      </c>
      <c r="D83" s="28" t="s">
        <v>161</v>
      </c>
      <c r="E83" s="29">
        <v>500</v>
      </c>
      <c r="F83" s="30">
        <v>2404.1</v>
      </c>
      <c r="G83" s="31">
        <v>9.4259600000000006E-3</v>
      </c>
      <c r="H83" s="19">
        <v>6.4425999999999997</v>
      </c>
    </row>
    <row r="84" spans="1:8" x14ac:dyDescent="0.2">
      <c r="A84" s="27">
        <v>28</v>
      </c>
      <c r="B84" s="28" t="s">
        <v>207</v>
      </c>
      <c r="C84" s="28" t="s">
        <v>208</v>
      </c>
      <c r="D84" s="28" t="s">
        <v>161</v>
      </c>
      <c r="E84" s="29">
        <v>500</v>
      </c>
      <c r="F84" s="30">
        <v>2385.69</v>
      </c>
      <c r="G84" s="31">
        <v>9.3537800000000008E-3</v>
      </c>
      <c r="H84" s="19">
        <v>6.5503</v>
      </c>
    </row>
    <row r="85" spans="1:8" ht="25.5" x14ac:dyDescent="0.2">
      <c r="A85" s="27">
        <v>29</v>
      </c>
      <c r="B85" s="28" t="s">
        <v>501</v>
      </c>
      <c r="C85" s="28" t="s">
        <v>502</v>
      </c>
      <c r="D85" s="28" t="s">
        <v>161</v>
      </c>
      <c r="E85" s="29">
        <v>500</v>
      </c>
      <c r="F85" s="30">
        <v>2382.0349999999999</v>
      </c>
      <c r="G85" s="31">
        <v>9.3394499999999991E-3</v>
      </c>
      <c r="H85" s="19">
        <v>6.41</v>
      </c>
    </row>
    <row r="86" spans="1:8" ht="25.5" x14ac:dyDescent="0.2">
      <c r="A86" s="27">
        <v>30</v>
      </c>
      <c r="B86" s="28" t="s">
        <v>503</v>
      </c>
      <c r="C86" s="28" t="s">
        <v>504</v>
      </c>
      <c r="D86" s="28" t="s">
        <v>161</v>
      </c>
      <c r="E86" s="29">
        <v>500</v>
      </c>
      <c r="F86" s="30">
        <v>2381.2399999999998</v>
      </c>
      <c r="G86" s="31">
        <v>9.3363300000000003E-3</v>
      </c>
      <c r="H86" s="19">
        <v>6.4325999999999999</v>
      </c>
    </row>
    <row r="87" spans="1:8" x14ac:dyDescent="0.2">
      <c r="A87" s="27">
        <v>31</v>
      </c>
      <c r="B87" s="28" t="s">
        <v>209</v>
      </c>
      <c r="C87" s="28" t="s">
        <v>210</v>
      </c>
      <c r="D87" s="28" t="s">
        <v>161</v>
      </c>
      <c r="E87" s="29">
        <v>500</v>
      </c>
      <c r="F87" s="30">
        <v>2381.2375000000002</v>
      </c>
      <c r="G87" s="31">
        <v>9.3363200000000004E-3</v>
      </c>
      <c r="H87" s="19">
        <v>6.3875000000000002</v>
      </c>
    </row>
    <row r="88" spans="1:8" x14ac:dyDescent="0.2">
      <c r="A88" s="27">
        <v>32</v>
      </c>
      <c r="B88" s="28" t="s">
        <v>213</v>
      </c>
      <c r="C88" s="28" t="s">
        <v>214</v>
      </c>
      <c r="D88" s="28" t="s">
        <v>161</v>
      </c>
      <c r="E88" s="29">
        <v>500</v>
      </c>
      <c r="F88" s="30">
        <v>2351.9974999999999</v>
      </c>
      <c r="G88" s="31">
        <v>9.2216799999999995E-3</v>
      </c>
      <c r="H88" s="19">
        <v>6.5250000000000004</v>
      </c>
    </row>
    <row r="89" spans="1:8" x14ac:dyDescent="0.2">
      <c r="A89" s="27">
        <v>33</v>
      </c>
      <c r="B89" s="28" t="s">
        <v>298</v>
      </c>
      <c r="C89" s="28" t="s">
        <v>299</v>
      </c>
      <c r="D89" s="28" t="s">
        <v>161</v>
      </c>
      <c r="E89" s="29">
        <v>300</v>
      </c>
      <c r="F89" s="30">
        <v>1436.7165</v>
      </c>
      <c r="G89" s="31">
        <v>5.6330599999999996E-3</v>
      </c>
      <c r="H89" s="19">
        <v>6.431</v>
      </c>
    </row>
    <row r="90" spans="1:8" ht="25.5" x14ac:dyDescent="0.2">
      <c r="A90" s="27">
        <v>34</v>
      </c>
      <c r="B90" s="28" t="s">
        <v>183</v>
      </c>
      <c r="C90" s="28" t="s">
        <v>184</v>
      </c>
      <c r="D90" s="28" t="s">
        <v>161</v>
      </c>
      <c r="E90" s="29">
        <v>100</v>
      </c>
      <c r="F90" s="30">
        <v>475.05149999999998</v>
      </c>
      <c r="G90" s="31">
        <v>1.86258E-3</v>
      </c>
      <c r="H90" s="19">
        <v>6.4325999999999999</v>
      </c>
    </row>
    <row r="91" spans="1:8" x14ac:dyDescent="0.2">
      <c r="A91" s="20"/>
      <c r="B91" s="20"/>
      <c r="C91" s="21" t="s">
        <v>11</v>
      </c>
      <c r="D91" s="20"/>
      <c r="E91" s="20" t="s">
        <v>12</v>
      </c>
      <c r="F91" s="26">
        <v>146195.01300000001</v>
      </c>
      <c r="G91" s="23">
        <v>0.57319920000000002</v>
      </c>
      <c r="H91" s="19" t="s">
        <v>12</v>
      </c>
    </row>
    <row r="92" spans="1:8" x14ac:dyDescent="0.2">
      <c r="A92" s="20"/>
      <c r="B92" s="20"/>
      <c r="C92" s="24"/>
      <c r="D92" s="20"/>
      <c r="E92" s="20"/>
      <c r="F92" s="25"/>
      <c r="G92" s="25"/>
      <c r="H92" s="19" t="s">
        <v>12</v>
      </c>
    </row>
    <row r="93" spans="1:8" x14ac:dyDescent="0.2">
      <c r="A93" s="20"/>
      <c r="B93" s="20"/>
      <c r="C93" s="21" t="s">
        <v>104</v>
      </c>
      <c r="D93" s="20"/>
      <c r="E93" s="20"/>
      <c r="F93" s="25"/>
      <c r="G93" s="25"/>
      <c r="H93" s="19" t="s">
        <v>12</v>
      </c>
    </row>
    <row r="94" spans="1:8" x14ac:dyDescent="0.2">
      <c r="A94" s="27">
        <v>1</v>
      </c>
      <c r="B94" s="28" t="s">
        <v>431</v>
      </c>
      <c r="C94" s="28" t="s">
        <v>432</v>
      </c>
      <c r="D94" s="28" t="s">
        <v>161</v>
      </c>
      <c r="E94" s="29">
        <v>1000</v>
      </c>
      <c r="F94" s="30">
        <v>4984.1000000000004</v>
      </c>
      <c r="G94" s="31">
        <v>1.9541579999999999E-2</v>
      </c>
      <c r="H94" s="19">
        <v>6.8498000000000001</v>
      </c>
    </row>
    <row r="95" spans="1:8" ht="25.5" x14ac:dyDescent="0.2">
      <c r="A95" s="27">
        <v>2</v>
      </c>
      <c r="B95" s="28" t="s">
        <v>368</v>
      </c>
      <c r="C95" s="28" t="s">
        <v>369</v>
      </c>
      <c r="D95" s="28" t="s">
        <v>161</v>
      </c>
      <c r="E95" s="29">
        <v>1000</v>
      </c>
      <c r="F95" s="30">
        <v>4980.6949999999997</v>
      </c>
      <c r="G95" s="31">
        <v>1.9528230000000001E-2</v>
      </c>
      <c r="H95" s="19">
        <v>6.4301000000000004</v>
      </c>
    </row>
    <row r="96" spans="1:8" x14ac:dyDescent="0.2">
      <c r="A96" s="27">
        <v>3</v>
      </c>
      <c r="B96" s="28" t="s">
        <v>505</v>
      </c>
      <c r="C96" s="28" t="s">
        <v>506</v>
      </c>
      <c r="D96" s="28" t="s">
        <v>161</v>
      </c>
      <c r="E96" s="29">
        <v>1000</v>
      </c>
      <c r="F96" s="30">
        <v>4910.7299999999996</v>
      </c>
      <c r="G96" s="31">
        <v>1.9253909999999999E-2</v>
      </c>
      <c r="H96" s="19">
        <v>6.5049999999999999</v>
      </c>
    </row>
    <row r="97" spans="1:8" ht="25.5" x14ac:dyDescent="0.2">
      <c r="A97" s="27">
        <v>4</v>
      </c>
      <c r="B97" s="28" t="s">
        <v>245</v>
      </c>
      <c r="C97" s="28" t="s">
        <v>246</v>
      </c>
      <c r="D97" s="28" t="s">
        <v>161</v>
      </c>
      <c r="E97" s="29">
        <v>800</v>
      </c>
      <c r="F97" s="30">
        <v>3924.7080000000001</v>
      </c>
      <c r="G97" s="31">
        <v>1.5387929999999999E-2</v>
      </c>
      <c r="H97" s="19">
        <v>7.0025000000000004</v>
      </c>
    </row>
    <row r="98" spans="1:8" x14ac:dyDescent="0.2">
      <c r="A98" s="27">
        <v>5</v>
      </c>
      <c r="B98" s="28" t="s">
        <v>239</v>
      </c>
      <c r="C98" s="28" t="s">
        <v>240</v>
      </c>
      <c r="D98" s="28" t="s">
        <v>161</v>
      </c>
      <c r="E98" s="29">
        <v>700</v>
      </c>
      <c r="F98" s="30">
        <v>3428.096</v>
      </c>
      <c r="G98" s="31">
        <v>1.3440830000000001E-2</v>
      </c>
      <c r="H98" s="19">
        <v>6.6</v>
      </c>
    </row>
    <row r="99" spans="1:8" ht="25.5" x14ac:dyDescent="0.2">
      <c r="A99" s="27">
        <v>6</v>
      </c>
      <c r="B99" s="28" t="s">
        <v>241</v>
      </c>
      <c r="C99" s="28" t="s">
        <v>242</v>
      </c>
      <c r="D99" s="28" t="s">
        <v>161</v>
      </c>
      <c r="E99" s="29">
        <v>700</v>
      </c>
      <c r="F99" s="30">
        <v>3389.9214999999999</v>
      </c>
      <c r="G99" s="31">
        <v>1.329115E-2</v>
      </c>
      <c r="H99" s="19">
        <v>7.14</v>
      </c>
    </row>
    <row r="100" spans="1:8" ht="25.5" x14ac:dyDescent="0.2">
      <c r="A100" s="27">
        <v>7</v>
      </c>
      <c r="B100" s="28" t="s">
        <v>243</v>
      </c>
      <c r="C100" s="28" t="s">
        <v>244</v>
      </c>
      <c r="D100" s="28" t="s">
        <v>161</v>
      </c>
      <c r="E100" s="29">
        <v>700</v>
      </c>
      <c r="F100" s="30">
        <v>3332.9520000000002</v>
      </c>
      <c r="G100" s="31">
        <v>1.3067789999999999E-2</v>
      </c>
      <c r="H100" s="19">
        <v>7.3174999999999999</v>
      </c>
    </row>
    <row r="101" spans="1:8" ht="25.5" x14ac:dyDescent="0.2">
      <c r="A101" s="27">
        <v>8</v>
      </c>
      <c r="B101" s="28" t="s">
        <v>247</v>
      </c>
      <c r="C101" s="28" t="s">
        <v>248</v>
      </c>
      <c r="D101" s="28" t="s">
        <v>161</v>
      </c>
      <c r="E101" s="29">
        <v>600</v>
      </c>
      <c r="F101" s="30">
        <v>2804.3040000000001</v>
      </c>
      <c r="G101" s="31">
        <v>1.0995069999999999E-2</v>
      </c>
      <c r="H101" s="19">
        <v>7.1749999999999998</v>
      </c>
    </row>
    <row r="102" spans="1:8" x14ac:dyDescent="0.2">
      <c r="A102" s="27">
        <v>9</v>
      </c>
      <c r="B102" s="28" t="s">
        <v>231</v>
      </c>
      <c r="C102" s="28" t="s">
        <v>232</v>
      </c>
      <c r="D102" s="28" t="s">
        <v>161</v>
      </c>
      <c r="E102" s="29">
        <v>500</v>
      </c>
      <c r="F102" s="30">
        <v>2387.6550000000002</v>
      </c>
      <c r="G102" s="31">
        <v>9.3614800000000001E-3</v>
      </c>
      <c r="H102" s="19">
        <v>6.5549999999999997</v>
      </c>
    </row>
    <row r="103" spans="1:8" ht="25.5" x14ac:dyDescent="0.2">
      <c r="A103" s="27">
        <v>10</v>
      </c>
      <c r="B103" s="28" t="s">
        <v>233</v>
      </c>
      <c r="C103" s="28" t="s">
        <v>234</v>
      </c>
      <c r="D103" s="28" t="s">
        <v>161</v>
      </c>
      <c r="E103" s="29">
        <v>500</v>
      </c>
      <c r="F103" s="30">
        <v>2372.0774999999999</v>
      </c>
      <c r="G103" s="31">
        <v>9.3004100000000003E-3</v>
      </c>
      <c r="H103" s="19">
        <v>7.3174999999999999</v>
      </c>
    </row>
    <row r="104" spans="1:8" ht="25.5" x14ac:dyDescent="0.2">
      <c r="A104" s="27">
        <v>11</v>
      </c>
      <c r="B104" s="28" t="s">
        <v>507</v>
      </c>
      <c r="C104" s="28" t="s">
        <v>508</v>
      </c>
      <c r="D104" s="28" t="s">
        <v>161</v>
      </c>
      <c r="E104" s="29">
        <v>500</v>
      </c>
      <c r="F104" s="30">
        <v>2334.3474999999999</v>
      </c>
      <c r="G104" s="31">
        <v>9.1524699999999994E-3</v>
      </c>
      <c r="H104" s="19">
        <v>7.1749999999999998</v>
      </c>
    </row>
    <row r="105" spans="1:8" ht="25.5" x14ac:dyDescent="0.2">
      <c r="A105" s="27">
        <v>12</v>
      </c>
      <c r="B105" s="28" t="s">
        <v>509</v>
      </c>
      <c r="C105" s="28" t="s">
        <v>510</v>
      </c>
      <c r="D105" s="28" t="s">
        <v>161</v>
      </c>
      <c r="E105" s="29">
        <v>300</v>
      </c>
      <c r="F105" s="30">
        <v>1495.4114999999999</v>
      </c>
      <c r="G105" s="31">
        <v>5.8631899999999999E-3</v>
      </c>
      <c r="H105" s="19">
        <v>7.0003000000000002</v>
      </c>
    </row>
    <row r="106" spans="1:8" ht="25.5" x14ac:dyDescent="0.2">
      <c r="A106" s="27">
        <v>13</v>
      </c>
      <c r="B106" s="28" t="s">
        <v>225</v>
      </c>
      <c r="C106" s="28" t="s">
        <v>226</v>
      </c>
      <c r="D106" s="28" t="s">
        <v>161</v>
      </c>
      <c r="E106" s="29">
        <v>300</v>
      </c>
      <c r="F106" s="30">
        <v>1442.2845</v>
      </c>
      <c r="G106" s="31">
        <v>5.6548900000000001E-3</v>
      </c>
      <c r="H106" s="19">
        <v>7.16</v>
      </c>
    </row>
    <row r="107" spans="1:8" x14ac:dyDescent="0.2">
      <c r="A107" s="27">
        <v>14</v>
      </c>
      <c r="B107" s="28" t="s">
        <v>223</v>
      </c>
      <c r="C107" s="28" t="s">
        <v>224</v>
      </c>
      <c r="D107" s="28" t="s">
        <v>161</v>
      </c>
      <c r="E107" s="29">
        <v>200</v>
      </c>
      <c r="F107" s="30">
        <v>950.65099999999995</v>
      </c>
      <c r="G107" s="31">
        <v>3.7272999999999998E-3</v>
      </c>
      <c r="H107" s="19">
        <v>6.89</v>
      </c>
    </row>
    <row r="108" spans="1:8" x14ac:dyDescent="0.2">
      <c r="A108" s="20"/>
      <c r="B108" s="20"/>
      <c r="C108" s="21" t="s">
        <v>11</v>
      </c>
      <c r="D108" s="20"/>
      <c r="E108" s="20" t="s">
        <v>12</v>
      </c>
      <c r="F108" s="26">
        <v>42737.933499999999</v>
      </c>
      <c r="G108" s="23">
        <v>0.16756623000000001</v>
      </c>
      <c r="H108" s="19" t="s">
        <v>12</v>
      </c>
    </row>
    <row r="109" spans="1:8" x14ac:dyDescent="0.2">
      <c r="A109" s="20"/>
      <c r="B109" s="20"/>
      <c r="C109" s="24"/>
      <c r="D109" s="20"/>
      <c r="E109" s="20"/>
      <c r="F109" s="25"/>
      <c r="G109" s="25"/>
      <c r="H109" s="19" t="s">
        <v>12</v>
      </c>
    </row>
    <row r="110" spans="1:8" x14ac:dyDescent="0.2">
      <c r="A110" s="20"/>
      <c r="B110" s="20"/>
      <c r="C110" s="21" t="s">
        <v>105</v>
      </c>
      <c r="D110" s="20"/>
      <c r="E110" s="20"/>
      <c r="F110" s="25"/>
      <c r="G110" s="25"/>
      <c r="H110" s="19" t="s">
        <v>12</v>
      </c>
    </row>
    <row r="111" spans="1:8" x14ac:dyDescent="0.2">
      <c r="A111" s="27">
        <v>1</v>
      </c>
      <c r="B111" s="28" t="s">
        <v>439</v>
      </c>
      <c r="C111" s="28" t="s">
        <v>440</v>
      </c>
      <c r="D111" s="28" t="s">
        <v>81</v>
      </c>
      <c r="E111" s="29">
        <v>10000000</v>
      </c>
      <c r="F111" s="30">
        <v>9907.27</v>
      </c>
      <c r="G111" s="31">
        <v>3.884427E-2</v>
      </c>
      <c r="H111" s="19">
        <v>5.601</v>
      </c>
    </row>
    <row r="112" spans="1:8" x14ac:dyDescent="0.2">
      <c r="A112" s="27">
        <v>2</v>
      </c>
      <c r="B112" s="28" t="s">
        <v>445</v>
      </c>
      <c r="C112" s="28" t="s">
        <v>446</v>
      </c>
      <c r="D112" s="28" t="s">
        <v>81</v>
      </c>
      <c r="E112" s="29">
        <v>5000000</v>
      </c>
      <c r="F112" s="30">
        <v>4979.78</v>
      </c>
      <c r="G112" s="31">
        <v>1.9524639999999999E-2</v>
      </c>
      <c r="H112" s="19">
        <v>5.7</v>
      </c>
    </row>
    <row r="113" spans="1:17" x14ac:dyDescent="0.2">
      <c r="A113" s="20"/>
      <c r="B113" s="20"/>
      <c r="C113" s="21" t="s">
        <v>11</v>
      </c>
      <c r="D113" s="20"/>
      <c r="E113" s="20" t="s">
        <v>12</v>
      </c>
      <c r="F113" s="26">
        <v>14887.05</v>
      </c>
      <c r="G113" s="23">
        <v>5.8368910000000003E-2</v>
      </c>
      <c r="H113" s="19" t="s">
        <v>12</v>
      </c>
    </row>
    <row r="114" spans="1:17" x14ac:dyDescent="0.2">
      <c r="A114" s="20"/>
      <c r="B114" s="20"/>
      <c r="C114" s="24"/>
      <c r="D114" s="20"/>
      <c r="E114" s="20"/>
      <c r="F114" s="25"/>
      <c r="G114" s="25"/>
      <c r="H114" s="19" t="s">
        <v>12</v>
      </c>
    </row>
    <row r="115" spans="1:17" x14ac:dyDescent="0.2">
      <c r="A115" s="20"/>
      <c r="B115" s="20"/>
      <c r="C115" s="21" t="s">
        <v>106</v>
      </c>
      <c r="D115" s="20"/>
      <c r="E115" s="20"/>
      <c r="F115" s="25"/>
      <c r="G115" s="25"/>
      <c r="H115" s="19" t="s">
        <v>12</v>
      </c>
    </row>
    <row r="116" spans="1:17" x14ac:dyDescent="0.2">
      <c r="A116" s="27">
        <v>1</v>
      </c>
      <c r="B116" s="28"/>
      <c r="C116" s="28" t="s">
        <v>107</v>
      </c>
      <c r="D116" s="28"/>
      <c r="E116" s="32"/>
      <c r="F116" s="30">
        <v>6726.7152689739996</v>
      </c>
      <c r="G116" s="31">
        <v>2.6374000000000002E-2</v>
      </c>
      <c r="H116" s="19">
        <v>5.76</v>
      </c>
    </row>
    <row r="117" spans="1:17" x14ac:dyDescent="0.2">
      <c r="A117" s="27">
        <v>2</v>
      </c>
      <c r="B117" s="28"/>
      <c r="C117" s="28" t="s">
        <v>253</v>
      </c>
      <c r="D117" s="28"/>
      <c r="E117" s="32"/>
      <c r="F117" s="30">
        <v>2499.9763865</v>
      </c>
      <c r="G117" s="31">
        <v>9.8018700000000007E-3</v>
      </c>
      <c r="H117" s="19">
        <v>5.85</v>
      </c>
    </row>
    <row r="118" spans="1:17" x14ac:dyDescent="0.2">
      <c r="A118" s="20"/>
      <c r="B118" s="20"/>
      <c r="C118" s="21" t="s">
        <v>11</v>
      </c>
      <c r="D118" s="20"/>
      <c r="E118" s="20" t="s">
        <v>12</v>
      </c>
      <c r="F118" s="26">
        <v>9226.6916554740001</v>
      </c>
      <c r="G118" s="23">
        <v>3.6175869999999999E-2</v>
      </c>
      <c r="H118" s="19" t="s">
        <v>12</v>
      </c>
    </row>
    <row r="119" spans="1:17" x14ac:dyDescent="0.2">
      <c r="A119" s="20"/>
      <c r="B119" s="20"/>
      <c r="C119" s="24"/>
      <c r="D119" s="20"/>
      <c r="E119" s="20"/>
      <c r="F119" s="25"/>
      <c r="G119" s="25"/>
      <c r="H119" s="19" t="s">
        <v>12</v>
      </c>
    </row>
    <row r="120" spans="1:17" x14ac:dyDescent="0.2">
      <c r="A120" s="20"/>
      <c r="B120" s="20"/>
      <c r="C120" s="21" t="s">
        <v>108</v>
      </c>
      <c r="D120" s="20"/>
      <c r="E120" s="20"/>
      <c r="F120" s="26">
        <v>213046.688155474</v>
      </c>
      <c r="G120" s="23">
        <v>0.83531021000000005</v>
      </c>
      <c r="H120" s="19" t="s">
        <v>12</v>
      </c>
    </row>
    <row r="121" spans="1:17" x14ac:dyDescent="0.2">
      <c r="A121" s="20"/>
      <c r="B121" s="20"/>
      <c r="C121" s="25"/>
      <c r="D121" s="20"/>
      <c r="E121" s="20"/>
      <c r="F121" s="20"/>
      <c r="G121" s="20"/>
      <c r="H121" s="19" t="s">
        <v>12</v>
      </c>
    </row>
    <row r="122" spans="1:17" x14ac:dyDescent="0.2">
      <c r="A122" s="20"/>
      <c r="B122" s="20"/>
      <c r="C122" s="21" t="s">
        <v>109</v>
      </c>
      <c r="D122" s="20"/>
      <c r="E122" s="20"/>
      <c r="F122" s="20"/>
      <c r="G122" s="20"/>
      <c r="H122" s="19" t="s">
        <v>12</v>
      </c>
    </row>
    <row r="123" spans="1:17" x14ac:dyDescent="0.2">
      <c r="A123" s="20"/>
      <c r="B123" s="20"/>
      <c r="C123" s="21" t="s">
        <v>110</v>
      </c>
      <c r="D123" s="20"/>
      <c r="E123" s="20"/>
      <c r="F123" s="20"/>
      <c r="G123" s="20"/>
      <c r="H123" s="19" t="s">
        <v>12</v>
      </c>
    </row>
    <row r="124" spans="1:17" x14ac:dyDescent="0.2">
      <c r="A124" s="20"/>
      <c r="B124" s="20"/>
      <c r="C124" s="21" t="s">
        <v>11</v>
      </c>
      <c r="D124" s="20"/>
      <c r="E124" s="20" t="s">
        <v>12</v>
      </c>
      <c r="F124" s="22" t="s">
        <v>13</v>
      </c>
      <c r="G124" s="23">
        <v>0</v>
      </c>
      <c r="H124" s="19" t="s">
        <v>12</v>
      </c>
    </row>
    <row r="125" spans="1:17" x14ac:dyDescent="0.2">
      <c r="A125" s="17"/>
      <c r="B125" s="17"/>
      <c r="C125" s="75"/>
      <c r="D125" s="17"/>
      <c r="E125" s="17"/>
      <c r="F125" s="42"/>
      <c r="G125" s="42"/>
      <c r="H125" s="19" t="s">
        <v>12</v>
      </c>
    </row>
    <row r="126" spans="1:17" ht="25.5" x14ac:dyDescent="0.2">
      <c r="A126" s="17"/>
      <c r="B126" s="17"/>
      <c r="C126" s="18" t="s">
        <v>596</v>
      </c>
      <c r="D126" s="17"/>
      <c r="E126" s="17"/>
      <c r="F126" s="42"/>
      <c r="G126" s="42"/>
      <c r="H126" s="19" t="s">
        <v>12</v>
      </c>
      <c r="K126" s="56"/>
      <c r="L126" s="56"/>
      <c r="M126" s="56"/>
      <c r="N126" s="56"/>
      <c r="O126" s="77"/>
      <c r="P126" s="77"/>
      <c r="Q126" s="77"/>
    </row>
    <row r="127" spans="1:17" ht="25.5" x14ac:dyDescent="0.2">
      <c r="A127" s="69">
        <v>1</v>
      </c>
      <c r="B127" s="70" t="s">
        <v>111</v>
      </c>
      <c r="C127" s="70" t="s">
        <v>112</v>
      </c>
      <c r="D127" s="70"/>
      <c r="E127" s="78">
        <v>5151.0829999999996</v>
      </c>
      <c r="F127" s="72">
        <v>576.45533933399997</v>
      </c>
      <c r="G127" s="73">
        <v>2.2601600000000002E-3</v>
      </c>
      <c r="H127" s="19"/>
    </row>
    <row r="128" spans="1:17" x14ac:dyDescent="0.2">
      <c r="A128" s="17"/>
      <c r="B128" s="17"/>
      <c r="C128" s="18" t="s">
        <v>11</v>
      </c>
      <c r="D128" s="17"/>
      <c r="E128" s="17" t="s">
        <v>12</v>
      </c>
      <c r="F128" s="79">
        <f>SUM(F127)</f>
        <v>576.45533933399997</v>
      </c>
      <c r="G128" s="80">
        <f>SUM(G127)</f>
        <v>2.2601600000000002E-3</v>
      </c>
      <c r="H128" s="19" t="s">
        <v>12</v>
      </c>
    </row>
    <row r="129" spans="1:13" x14ac:dyDescent="0.2">
      <c r="A129" s="20"/>
      <c r="B129" s="20"/>
      <c r="C129" s="24"/>
      <c r="D129" s="20"/>
      <c r="E129" s="20"/>
      <c r="F129" s="25"/>
      <c r="G129" s="25"/>
      <c r="H129" s="19" t="s">
        <v>12</v>
      </c>
    </row>
    <row r="130" spans="1:13" x14ac:dyDescent="0.2">
      <c r="A130" s="20"/>
      <c r="B130" s="20"/>
      <c r="C130" s="21" t="s">
        <v>113</v>
      </c>
      <c r="D130" s="20"/>
      <c r="E130" s="20"/>
      <c r="F130" s="20"/>
      <c r="G130" s="20"/>
      <c r="H130" s="19" t="s">
        <v>12</v>
      </c>
    </row>
    <row r="131" spans="1:13" x14ac:dyDescent="0.2">
      <c r="A131" s="20"/>
      <c r="B131" s="20"/>
      <c r="C131" s="21" t="s">
        <v>114</v>
      </c>
      <c r="D131" s="20"/>
      <c r="E131" s="20"/>
      <c r="F131" s="20"/>
      <c r="G131" s="20"/>
      <c r="H131" s="19" t="s">
        <v>12</v>
      </c>
    </row>
    <row r="132" spans="1:13" x14ac:dyDescent="0.2">
      <c r="A132" s="20"/>
      <c r="B132" s="20"/>
      <c r="C132" s="21" t="s">
        <v>11</v>
      </c>
      <c r="D132" s="20"/>
      <c r="E132" s="20" t="s">
        <v>12</v>
      </c>
      <c r="F132" s="22" t="s">
        <v>13</v>
      </c>
      <c r="G132" s="23">
        <v>0</v>
      </c>
      <c r="H132" s="19" t="s">
        <v>12</v>
      </c>
      <c r="L132" s="114"/>
      <c r="M132" s="115"/>
    </row>
    <row r="133" spans="1:13" x14ac:dyDescent="0.2">
      <c r="A133" s="20"/>
      <c r="B133" s="20"/>
      <c r="C133" s="24"/>
      <c r="D133" s="20"/>
      <c r="E133" s="20"/>
      <c r="F133" s="25"/>
      <c r="G133" s="25"/>
      <c r="H133" s="19" t="s">
        <v>12</v>
      </c>
    </row>
    <row r="134" spans="1:13" ht="25.5" x14ac:dyDescent="0.2">
      <c r="A134" s="20"/>
      <c r="B134" s="20"/>
      <c r="C134" s="21" t="s">
        <v>115</v>
      </c>
      <c r="D134" s="20"/>
      <c r="E134" s="20"/>
      <c r="F134" s="25"/>
      <c r="G134" s="25"/>
      <c r="H134" s="19" t="s">
        <v>12</v>
      </c>
    </row>
    <row r="135" spans="1:13" x14ac:dyDescent="0.2">
      <c r="A135" s="20"/>
      <c r="B135" s="20"/>
      <c r="C135" s="21" t="s">
        <v>11</v>
      </c>
      <c r="D135" s="20"/>
      <c r="E135" s="20" t="s">
        <v>12</v>
      </c>
      <c r="F135" s="22" t="s">
        <v>13</v>
      </c>
      <c r="G135" s="23">
        <v>0</v>
      </c>
      <c r="H135" s="19" t="s">
        <v>12</v>
      </c>
    </row>
    <row r="136" spans="1:13" x14ac:dyDescent="0.2">
      <c r="A136" s="17"/>
      <c r="B136" s="17"/>
      <c r="C136" s="75"/>
      <c r="D136" s="17"/>
      <c r="E136" s="17"/>
      <c r="F136" s="42"/>
      <c r="G136" s="42"/>
      <c r="H136" s="76" t="s">
        <v>12</v>
      </c>
      <c r="I136" s="116"/>
    </row>
    <row r="137" spans="1:13" x14ac:dyDescent="0.2">
      <c r="A137" s="117"/>
      <c r="B137" s="117"/>
      <c r="C137" s="118" t="s">
        <v>682</v>
      </c>
      <c r="D137" s="119"/>
      <c r="E137" s="120"/>
      <c r="F137" s="120"/>
      <c r="G137" s="119"/>
      <c r="H137" s="120"/>
      <c r="I137" s="116"/>
    </row>
    <row r="138" spans="1:13" ht="21.75" x14ac:dyDescent="0.2">
      <c r="A138" s="117"/>
      <c r="B138" s="117"/>
      <c r="C138" s="121" t="s">
        <v>683</v>
      </c>
      <c r="D138" s="119"/>
      <c r="E138" s="122">
        <v>2500000</v>
      </c>
      <c r="F138" s="76">
        <f>-775250/10^5</f>
        <v>-7.7525000000000004</v>
      </c>
      <c r="G138" s="123" t="s">
        <v>624</v>
      </c>
      <c r="H138" s="120"/>
      <c r="I138" s="116"/>
      <c r="J138" s="116"/>
    </row>
    <row r="139" spans="1:13" ht="21.75" x14ac:dyDescent="0.2">
      <c r="A139" s="117"/>
      <c r="B139" s="117"/>
      <c r="C139" s="121" t="s">
        <v>684</v>
      </c>
      <c r="D139" s="119"/>
      <c r="E139" s="122">
        <v>2500000</v>
      </c>
      <c r="F139" s="76">
        <f>-1021750/10^5</f>
        <v>-10.217499999999999</v>
      </c>
      <c r="G139" s="123" t="s">
        <v>624</v>
      </c>
      <c r="H139" s="120"/>
      <c r="I139" s="116"/>
      <c r="J139" s="116"/>
    </row>
    <row r="140" spans="1:13" ht="21.75" x14ac:dyDescent="0.2">
      <c r="A140" s="117"/>
      <c r="B140" s="117"/>
      <c r="C140" s="121" t="s">
        <v>685</v>
      </c>
      <c r="D140" s="119"/>
      <c r="E140" s="122">
        <v>2500000</v>
      </c>
      <c r="F140" s="76">
        <f>-884000/10^5</f>
        <v>-8.84</v>
      </c>
      <c r="G140" s="123" t="s">
        <v>624</v>
      </c>
      <c r="H140" s="120"/>
      <c r="I140" s="116"/>
    </row>
    <row r="141" spans="1:13" ht="21.75" x14ac:dyDescent="0.2">
      <c r="A141" s="117"/>
      <c r="B141" s="117"/>
      <c r="C141" s="121" t="s">
        <v>686</v>
      </c>
      <c r="D141" s="119"/>
      <c r="E141" s="122">
        <v>2500000</v>
      </c>
      <c r="F141" s="76">
        <f>67750/10^5</f>
        <v>0.67749999999999999</v>
      </c>
      <c r="G141" s="123" t="s">
        <v>624</v>
      </c>
      <c r="H141" s="120"/>
      <c r="I141" s="116"/>
    </row>
    <row r="142" spans="1:13" x14ac:dyDescent="0.2">
      <c r="A142" s="20"/>
      <c r="B142" s="20"/>
      <c r="C142" s="24"/>
      <c r="D142" s="20"/>
      <c r="E142" s="20"/>
      <c r="F142" s="25"/>
      <c r="G142" s="25"/>
      <c r="H142" s="19" t="s">
        <v>12</v>
      </c>
    </row>
    <row r="143" spans="1:13" x14ac:dyDescent="0.2">
      <c r="A143" s="32"/>
      <c r="B143" s="28"/>
      <c r="C143" s="28" t="s">
        <v>116</v>
      </c>
      <c r="D143" s="28"/>
      <c r="E143" s="32"/>
      <c r="F143" s="30">
        <f>-8446.32471191+2500+2500+2500+2500-F25</f>
        <v>1553.6652880900003</v>
      </c>
      <c r="G143" s="31">
        <f>F143/F144</f>
        <v>6.0915868248717963E-3</v>
      </c>
      <c r="H143" s="19" t="s">
        <v>12</v>
      </c>
    </row>
    <row r="144" spans="1:13" x14ac:dyDescent="0.2">
      <c r="A144" s="24"/>
      <c r="B144" s="24"/>
      <c r="C144" s="21" t="s">
        <v>117</v>
      </c>
      <c r="D144" s="25"/>
      <c r="E144" s="25"/>
      <c r="F144" s="26">
        <f>F143+F141+F140+F139+F138+F128+F120+F53+F25+0.0000117919921875</f>
        <v>255050.99619469</v>
      </c>
      <c r="G144" s="23">
        <f>G143+G128+G120+G53-0.0001</f>
        <v>1.0000024768248719</v>
      </c>
      <c r="H144" s="19" t="s">
        <v>12</v>
      </c>
    </row>
    <row r="145" spans="1:9" x14ac:dyDescent="0.2">
      <c r="A145" s="34"/>
      <c r="B145" s="34"/>
      <c r="C145" s="34"/>
      <c r="D145" s="35"/>
      <c r="E145" s="35"/>
      <c r="F145" s="35"/>
      <c r="G145" s="35"/>
    </row>
    <row r="146" spans="1:9" x14ac:dyDescent="0.2">
      <c r="A146" s="36"/>
      <c r="B146" s="168" t="s">
        <v>597</v>
      </c>
      <c r="C146" s="168"/>
      <c r="D146" s="168"/>
      <c r="E146" s="168"/>
      <c r="F146" s="168"/>
      <c r="G146" s="168"/>
      <c r="H146" s="168"/>
    </row>
    <row r="147" spans="1:9" x14ac:dyDescent="0.2">
      <c r="A147" s="36"/>
      <c r="B147" s="168" t="s">
        <v>598</v>
      </c>
      <c r="C147" s="168"/>
      <c r="D147" s="168"/>
      <c r="E147" s="168"/>
      <c r="F147" s="168"/>
      <c r="G147" s="168"/>
      <c r="H147" s="168"/>
    </row>
    <row r="148" spans="1:9" x14ac:dyDescent="0.2">
      <c r="A148" s="36"/>
      <c r="B148" s="168" t="s">
        <v>599</v>
      </c>
      <c r="C148" s="168"/>
      <c r="D148" s="168"/>
      <c r="E148" s="168"/>
      <c r="F148" s="168"/>
      <c r="G148" s="168"/>
      <c r="H148" s="168"/>
    </row>
    <row r="149" spans="1:9" ht="52.5" customHeight="1" x14ac:dyDescent="0.2">
      <c r="A149" s="36"/>
      <c r="B149" s="228" t="s">
        <v>687</v>
      </c>
      <c r="C149" s="228"/>
      <c r="D149" s="228"/>
      <c r="E149" s="228"/>
      <c r="F149" s="228"/>
      <c r="G149" s="228"/>
      <c r="H149" s="228"/>
      <c r="I149" s="116"/>
    </row>
    <row r="150" spans="1:9" x14ac:dyDescent="0.2">
      <c r="A150" s="38"/>
      <c r="B150" s="38"/>
      <c r="C150" s="38"/>
      <c r="D150" s="39"/>
      <c r="E150" s="39"/>
      <c r="F150" s="39"/>
      <c r="G150" s="39"/>
    </row>
    <row r="151" spans="1:9" x14ac:dyDescent="0.2">
      <c r="A151" s="36"/>
      <c r="B151" s="169" t="s">
        <v>118</v>
      </c>
      <c r="C151" s="170"/>
      <c r="D151" s="171"/>
      <c r="E151" s="40"/>
      <c r="F151" s="41"/>
      <c r="G151" s="41"/>
    </row>
    <row r="152" spans="1:9" x14ac:dyDescent="0.2">
      <c r="A152" s="36"/>
      <c r="B152" s="172" t="s">
        <v>119</v>
      </c>
      <c r="C152" s="173"/>
      <c r="D152" s="18" t="s">
        <v>625</v>
      </c>
      <c r="E152" s="40"/>
      <c r="F152" s="41"/>
      <c r="G152" s="41"/>
    </row>
    <row r="153" spans="1:9" x14ac:dyDescent="0.2">
      <c r="A153" s="36"/>
      <c r="B153" s="172" t="s">
        <v>121</v>
      </c>
      <c r="C153" s="173"/>
      <c r="D153" s="18" t="s">
        <v>120</v>
      </c>
      <c r="E153" s="40"/>
      <c r="F153" s="41"/>
      <c r="G153" s="41"/>
    </row>
    <row r="154" spans="1:9" x14ac:dyDescent="0.2">
      <c r="A154" s="36"/>
      <c r="B154" s="172" t="s">
        <v>122</v>
      </c>
      <c r="C154" s="173"/>
      <c r="D154" s="42" t="s">
        <v>12</v>
      </c>
      <c r="E154" s="40"/>
      <c r="F154" s="41"/>
      <c r="G154" s="41"/>
    </row>
    <row r="155" spans="1:9" x14ac:dyDescent="0.2">
      <c r="A155" s="43"/>
      <c r="B155" s="44" t="s">
        <v>12</v>
      </c>
      <c r="C155" s="44" t="s">
        <v>600</v>
      </c>
      <c r="D155" s="44" t="s">
        <v>123</v>
      </c>
      <c r="E155" s="43"/>
      <c r="F155" s="43"/>
      <c r="G155" s="43"/>
    </row>
    <row r="156" spans="1:9" x14ac:dyDescent="0.2">
      <c r="A156" s="43"/>
      <c r="B156" s="45" t="s">
        <v>124</v>
      </c>
      <c r="C156" s="46">
        <v>45792</v>
      </c>
      <c r="D156" s="46">
        <v>45808</v>
      </c>
      <c r="E156" s="43"/>
      <c r="F156" s="43"/>
      <c r="G156" s="43"/>
    </row>
    <row r="157" spans="1:9" x14ac:dyDescent="0.2">
      <c r="A157" s="47"/>
      <c r="B157" s="28" t="s">
        <v>125</v>
      </c>
      <c r="C157" s="48">
        <v>2903.6097</v>
      </c>
      <c r="D157" s="48">
        <v>2913.9971999999998</v>
      </c>
      <c r="E157" s="47"/>
      <c r="F157" s="49"/>
      <c r="G157" s="50"/>
    </row>
    <row r="158" spans="1:9" ht="25.5" x14ac:dyDescent="0.2">
      <c r="A158" s="47"/>
      <c r="B158" s="28" t="s">
        <v>730</v>
      </c>
      <c r="C158" s="48">
        <v>1071.7221999999999</v>
      </c>
      <c r="D158" s="48">
        <v>1070.2256</v>
      </c>
      <c r="E158" s="47"/>
      <c r="F158" s="49"/>
      <c r="G158" s="50"/>
    </row>
    <row r="159" spans="1:9" ht="25.5" x14ac:dyDescent="0.2">
      <c r="A159" s="47"/>
      <c r="B159" s="28" t="s">
        <v>726</v>
      </c>
      <c r="C159" s="48">
        <v>1216.0778</v>
      </c>
      <c r="D159" s="48">
        <v>1220.4299000000001</v>
      </c>
      <c r="E159" s="47"/>
      <c r="F159" s="49"/>
      <c r="G159" s="50"/>
    </row>
    <row r="160" spans="1:9" x14ac:dyDescent="0.2">
      <c r="A160" s="47"/>
      <c r="B160" s="28" t="s">
        <v>126</v>
      </c>
      <c r="C160" s="48">
        <v>2666.3712</v>
      </c>
      <c r="D160" s="48">
        <v>2674.4441000000002</v>
      </c>
      <c r="E160" s="47"/>
      <c r="F160" s="49"/>
      <c r="G160" s="50"/>
    </row>
    <row r="161" spans="1:10" ht="25.5" x14ac:dyDescent="0.2">
      <c r="A161" s="47"/>
      <c r="B161" s="28" t="s">
        <v>732</v>
      </c>
      <c r="C161" s="48">
        <v>1068.0921000000001</v>
      </c>
      <c r="D161" s="48">
        <v>1066.0046</v>
      </c>
      <c r="E161" s="47"/>
      <c r="F161" s="49"/>
      <c r="G161" s="50"/>
    </row>
    <row r="162" spans="1:10" ht="25.5" x14ac:dyDescent="0.2">
      <c r="A162" s="47"/>
      <c r="B162" s="28" t="s">
        <v>702</v>
      </c>
      <c r="C162" s="48">
        <v>1164.4396999999999</v>
      </c>
      <c r="D162" s="48">
        <v>1167.9641999999999</v>
      </c>
      <c r="E162" s="47"/>
      <c r="F162" s="49"/>
      <c r="G162" s="50"/>
    </row>
    <row r="163" spans="1:10" x14ac:dyDescent="0.2">
      <c r="A163" s="47"/>
      <c r="B163" s="47"/>
      <c r="C163" s="47"/>
      <c r="D163" s="47"/>
      <c r="E163" s="47"/>
      <c r="F163" s="47"/>
      <c r="G163" s="47"/>
    </row>
    <row r="164" spans="1:10" x14ac:dyDescent="0.2">
      <c r="A164" s="47"/>
      <c r="B164" s="175" t="s">
        <v>601</v>
      </c>
      <c r="C164" s="176"/>
      <c r="D164" s="21" t="s">
        <v>12</v>
      </c>
      <c r="E164" s="47"/>
      <c r="F164" s="47"/>
      <c r="G164" s="47"/>
    </row>
    <row r="165" spans="1:10" x14ac:dyDescent="0.2">
      <c r="A165" s="47"/>
      <c r="B165" s="51" t="s">
        <v>124</v>
      </c>
      <c r="C165" s="52" t="s">
        <v>127</v>
      </c>
      <c r="D165" s="52" t="s">
        <v>128</v>
      </c>
      <c r="E165" s="47"/>
      <c r="F165" s="47"/>
      <c r="G165" s="47"/>
    </row>
    <row r="166" spans="1:10" ht="25.5" x14ac:dyDescent="0.2">
      <c r="A166" s="47"/>
      <c r="B166" s="28" t="s">
        <v>730</v>
      </c>
      <c r="C166" s="53">
        <v>5.3120000000000003</v>
      </c>
      <c r="D166" s="32" t="s">
        <v>129</v>
      </c>
      <c r="E166" s="47"/>
      <c r="F166" s="49"/>
      <c r="G166" s="50"/>
    </row>
    <row r="167" spans="1:10" ht="25.5" x14ac:dyDescent="0.2">
      <c r="A167" s="47"/>
      <c r="B167" s="28" t="s">
        <v>732</v>
      </c>
      <c r="C167" s="53">
        <v>5.3079999999999998</v>
      </c>
      <c r="D167" s="53">
        <v>5.3079999999999998</v>
      </c>
      <c r="E167" s="47"/>
      <c r="F167" s="49"/>
      <c r="G167" s="50"/>
    </row>
    <row r="168" spans="1:10" x14ac:dyDescent="0.2">
      <c r="A168" s="47"/>
      <c r="B168" s="54"/>
      <c r="C168" s="54"/>
      <c r="D168" s="54"/>
      <c r="E168" s="47"/>
      <c r="F168" s="47"/>
      <c r="G168" s="47"/>
    </row>
    <row r="169" spans="1:10" x14ac:dyDescent="0.2">
      <c r="A169" s="43"/>
      <c r="B169" s="172" t="s">
        <v>130</v>
      </c>
      <c r="C169" s="173"/>
      <c r="D169" s="18" t="s">
        <v>688</v>
      </c>
      <c r="E169" s="55"/>
      <c r="F169" s="43"/>
      <c r="G169" s="43"/>
      <c r="I169" s="116"/>
    </row>
    <row r="170" spans="1:10" x14ac:dyDescent="0.2">
      <c r="A170" s="43"/>
      <c r="B170" s="172" t="s">
        <v>131</v>
      </c>
      <c r="C170" s="173"/>
      <c r="D170" s="18" t="s">
        <v>120</v>
      </c>
      <c r="E170" s="55"/>
      <c r="F170" s="43"/>
      <c r="G170" s="43"/>
      <c r="I170" s="116"/>
    </row>
    <row r="171" spans="1:10" x14ac:dyDescent="0.2">
      <c r="A171" s="43"/>
      <c r="B171" s="172" t="s">
        <v>602</v>
      </c>
      <c r="C171" s="173"/>
      <c r="D171" s="18" t="s">
        <v>120</v>
      </c>
      <c r="E171" s="55"/>
      <c r="F171" s="43"/>
      <c r="G171" s="43"/>
      <c r="I171" s="116"/>
      <c r="J171" s="13"/>
    </row>
    <row r="172" spans="1:10" ht="12.75" customHeight="1" x14ac:dyDescent="0.2">
      <c r="A172" s="54"/>
      <c r="B172" s="54"/>
      <c r="C172" s="54"/>
      <c r="D172" s="54"/>
      <c r="E172" s="54"/>
      <c r="F172" s="54"/>
      <c r="G172" s="54"/>
      <c r="I172" s="116"/>
      <c r="J172" s="13"/>
    </row>
    <row r="173" spans="1:10" ht="13.5" x14ac:dyDescent="0.25">
      <c r="A173" s="54"/>
      <c r="B173" s="124" t="s">
        <v>735</v>
      </c>
      <c r="C173" s="54"/>
      <c r="D173" s="54"/>
      <c r="E173" s="54"/>
      <c r="F173" s="54"/>
      <c r="G173" s="54"/>
      <c r="H173" s="54"/>
      <c r="I173" s="116"/>
      <c r="J173" s="13"/>
    </row>
    <row r="174" spans="1:10" s="13" customFormat="1" ht="25.5" x14ac:dyDescent="0.2">
      <c r="A174" s="125"/>
      <c r="B174" s="126" t="s">
        <v>689</v>
      </c>
      <c r="C174" s="126" t="s">
        <v>690</v>
      </c>
      <c r="D174" s="127" t="s">
        <v>691</v>
      </c>
      <c r="E174" s="127" t="s">
        <v>692</v>
      </c>
      <c r="F174" s="126" t="s">
        <v>693</v>
      </c>
      <c r="G174" s="126" t="s">
        <v>694</v>
      </c>
      <c r="H174" s="126" t="s">
        <v>8</v>
      </c>
      <c r="I174" s="128"/>
    </row>
    <row r="175" spans="1:10" s="58" customFormat="1" x14ac:dyDescent="0.2">
      <c r="A175" s="129"/>
      <c r="B175" s="130" t="s">
        <v>695</v>
      </c>
      <c r="C175" s="130" t="s">
        <v>696</v>
      </c>
      <c r="D175" s="131" t="s">
        <v>697</v>
      </c>
      <c r="E175" s="132" t="s">
        <v>698</v>
      </c>
      <c r="F175" s="133">
        <v>2500</v>
      </c>
      <c r="G175" s="134">
        <v>46002</v>
      </c>
      <c r="H175" s="159">
        <v>9.8019613226354788E-3</v>
      </c>
      <c r="I175" s="135"/>
      <c r="J175" s="13"/>
    </row>
    <row r="176" spans="1:10" s="58" customFormat="1" x14ac:dyDescent="0.2">
      <c r="A176" s="129"/>
      <c r="B176" s="130" t="s">
        <v>695</v>
      </c>
      <c r="C176" s="130" t="s">
        <v>699</v>
      </c>
      <c r="D176" s="131" t="s">
        <v>697</v>
      </c>
      <c r="E176" s="132" t="s">
        <v>698</v>
      </c>
      <c r="F176" s="133">
        <v>2500</v>
      </c>
      <c r="G176" s="134">
        <v>46087</v>
      </c>
      <c r="H176" s="159">
        <v>9.8019613226354788E-3</v>
      </c>
      <c r="I176" s="135"/>
      <c r="J176" s="13"/>
    </row>
    <row r="177" spans="1:16" s="58" customFormat="1" x14ac:dyDescent="0.2">
      <c r="A177" s="129"/>
      <c r="B177" s="130" t="s">
        <v>695</v>
      </c>
      <c r="C177" s="130" t="s">
        <v>700</v>
      </c>
      <c r="D177" s="131" t="s">
        <v>697</v>
      </c>
      <c r="E177" s="132" t="s">
        <v>698</v>
      </c>
      <c r="F177" s="133">
        <v>2500</v>
      </c>
      <c r="G177" s="134">
        <v>46101</v>
      </c>
      <c r="H177" s="159">
        <v>9.8019613226354788E-3</v>
      </c>
      <c r="I177" s="135"/>
      <c r="J177" s="13"/>
    </row>
    <row r="178" spans="1:16" s="58" customFormat="1" x14ac:dyDescent="0.2">
      <c r="A178" s="129"/>
      <c r="B178" s="130" t="s">
        <v>695</v>
      </c>
      <c r="C178" s="130" t="s">
        <v>700</v>
      </c>
      <c r="D178" s="131" t="s">
        <v>697</v>
      </c>
      <c r="E178" s="132" t="s">
        <v>698</v>
      </c>
      <c r="F178" s="133">
        <v>2500</v>
      </c>
      <c r="G178" s="134">
        <v>46168</v>
      </c>
      <c r="H178" s="159">
        <v>9.8019613226354788E-3</v>
      </c>
      <c r="I178" s="135"/>
      <c r="J178" s="13"/>
    </row>
    <row r="179" spans="1:16" s="68" customFormat="1" x14ac:dyDescent="0.2">
      <c r="A179" s="54"/>
      <c r="B179" s="54"/>
      <c r="C179" s="54"/>
      <c r="D179" s="54"/>
      <c r="E179" s="54"/>
      <c r="F179" s="54"/>
      <c r="G179" s="54"/>
      <c r="H179"/>
      <c r="I179" s="136"/>
      <c r="J179" s="137"/>
      <c r="K179" s="137"/>
      <c r="L179" s="137"/>
      <c r="M179" s="137"/>
      <c r="N179" s="137"/>
      <c r="O179" s="137"/>
    </row>
    <row r="180" spans="1:16" x14ac:dyDescent="0.2">
      <c r="A180" s="57"/>
      <c r="B180" s="138" t="s">
        <v>734</v>
      </c>
      <c r="C180" s="138"/>
      <c r="D180" s="138"/>
      <c r="E180" s="138"/>
      <c r="F180" s="138"/>
      <c r="G180" s="138"/>
      <c r="H180" s="57"/>
      <c r="I180" s="116"/>
      <c r="J180" s="13"/>
    </row>
    <row r="181" spans="1:16" ht="13.5" customHeight="1" x14ac:dyDescent="0.2">
      <c r="B181" s="220" t="s">
        <v>627</v>
      </c>
      <c r="C181" s="220" t="s">
        <v>628</v>
      </c>
      <c r="D181" s="221" t="s">
        <v>638</v>
      </c>
      <c r="E181" s="222"/>
      <c r="F181" s="223"/>
      <c r="G181" s="224" t="s">
        <v>646</v>
      </c>
      <c r="H181" s="225"/>
      <c r="I181" s="226"/>
      <c r="J181" s="56"/>
      <c r="K181" s="56"/>
      <c r="L181" s="56"/>
      <c r="M181" s="56"/>
      <c r="N181" s="56"/>
      <c r="O181" s="56"/>
    </row>
    <row r="182" spans="1:16" ht="46.5" customHeight="1" x14ac:dyDescent="0.2">
      <c r="B182" s="186"/>
      <c r="C182" s="186"/>
      <c r="D182" s="227" t="s">
        <v>647</v>
      </c>
      <c r="E182" s="227" t="s">
        <v>648</v>
      </c>
      <c r="F182" s="227" t="s">
        <v>649</v>
      </c>
      <c r="G182" s="194" t="s">
        <v>664</v>
      </c>
      <c r="H182" s="195"/>
      <c r="I182" s="227" t="s">
        <v>651</v>
      </c>
      <c r="J182" s="56"/>
      <c r="K182" s="56"/>
      <c r="L182" s="56"/>
      <c r="M182" s="56"/>
      <c r="N182" s="56"/>
      <c r="O182" s="56"/>
    </row>
    <row r="183" spans="1:16" ht="21" customHeight="1" x14ac:dyDescent="0.2">
      <c r="B183" s="187"/>
      <c r="C183" s="187"/>
      <c r="D183" s="184"/>
      <c r="E183" s="184"/>
      <c r="F183" s="184"/>
      <c r="G183" s="139" t="s">
        <v>652</v>
      </c>
      <c r="H183" s="139" t="s">
        <v>653</v>
      </c>
      <c r="I183" s="184"/>
      <c r="J183" s="56"/>
      <c r="K183" s="56"/>
      <c r="L183" s="56"/>
      <c r="M183" s="56"/>
      <c r="N183" s="56"/>
      <c r="O183" s="56"/>
    </row>
    <row r="184" spans="1:16" ht="13.5" x14ac:dyDescent="0.25">
      <c r="B184" s="140" t="s">
        <v>654</v>
      </c>
      <c r="C184" s="141" t="s">
        <v>655</v>
      </c>
      <c r="D184" s="142">
        <v>488.84800000000001</v>
      </c>
      <c r="E184" s="10">
        <v>11.151999999999999</v>
      </c>
      <c r="F184" s="143">
        <f>D184+E184</f>
        <v>500</v>
      </c>
      <c r="G184" s="11">
        <v>21.175720568999996</v>
      </c>
      <c r="H184" s="11">
        <v>13.34</v>
      </c>
      <c r="I184" s="11">
        <f>G184+H184</f>
        <v>34.515720568999996</v>
      </c>
      <c r="J184" s="56"/>
      <c r="K184" s="56"/>
      <c r="L184" s="56"/>
      <c r="M184" s="56"/>
      <c r="N184" s="56"/>
      <c r="O184" s="56"/>
    </row>
    <row r="185" spans="1:16" ht="6.75" customHeight="1" x14ac:dyDescent="0.25">
      <c r="B185" s="144"/>
      <c r="C185" s="145"/>
      <c r="D185" s="146"/>
      <c r="E185" s="9"/>
      <c r="F185" s="147"/>
      <c r="G185" s="16"/>
      <c r="H185" s="16"/>
      <c r="I185" s="16"/>
      <c r="J185" s="56"/>
      <c r="K185" s="56"/>
      <c r="L185" s="56"/>
      <c r="M185" s="56"/>
      <c r="N185" s="56"/>
      <c r="O185" s="56"/>
    </row>
    <row r="186" spans="1:16" ht="51" customHeight="1" x14ac:dyDescent="0.2">
      <c r="B186" s="182" t="s">
        <v>656</v>
      </c>
      <c r="C186" s="182"/>
      <c r="D186" s="182"/>
      <c r="E186" s="182"/>
      <c r="F186" s="182"/>
      <c r="G186" s="182"/>
      <c r="H186" s="182"/>
      <c r="I186" s="182"/>
      <c r="J186" s="148"/>
      <c r="K186" s="56"/>
      <c r="L186" s="56"/>
      <c r="M186" s="56"/>
      <c r="N186" s="56"/>
      <c r="O186" s="56"/>
    </row>
    <row r="187" spans="1:16" ht="13.5" x14ac:dyDescent="0.25">
      <c r="B187" s="94" t="s">
        <v>657</v>
      </c>
      <c r="I187" s="56"/>
      <c r="J187" s="13"/>
      <c r="K187" s="56"/>
      <c r="L187" s="56"/>
      <c r="M187" s="56"/>
      <c r="N187" s="56"/>
      <c r="O187" s="56"/>
      <c r="P187" s="56"/>
    </row>
    <row r="188" spans="1:16" ht="7.5" customHeight="1" x14ac:dyDescent="0.2">
      <c r="B188" s="95"/>
      <c r="J188" s="13"/>
      <c r="K188" s="56"/>
      <c r="L188" s="56"/>
      <c r="M188" s="56"/>
      <c r="N188" s="56"/>
      <c r="O188" s="56"/>
    </row>
    <row r="189" spans="1:16" x14ac:dyDescent="0.2">
      <c r="B189" s="95" t="s">
        <v>661</v>
      </c>
      <c r="J189" s="13"/>
      <c r="K189" s="56"/>
      <c r="L189" s="56"/>
      <c r="M189" s="56"/>
      <c r="N189" s="56"/>
      <c r="O189" s="56"/>
    </row>
    <row r="190" spans="1:16" s="57" customFormat="1" x14ac:dyDescent="0.2">
      <c r="I190" s="116"/>
      <c r="J190" s="13"/>
      <c r="K190" s="56"/>
      <c r="L190" s="56"/>
      <c r="M190" s="56"/>
      <c r="N190" s="56"/>
      <c r="O190" s="58"/>
    </row>
    <row r="191" spans="1:16" s="57" customFormat="1" x14ac:dyDescent="0.2">
      <c r="B191" s="217" t="s">
        <v>603</v>
      </c>
      <c r="C191" s="218"/>
      <c r="D191" s="219"/>
      <c r="I191" s="116"/>
      <c r="J191" s="13"/>
      <c r="K191" s="56"/>
      <c r="L191" s="56"/>
      <c r="M191" s="56"/>
      <c r="N191" s="56"/>
      <c r="O191" s="58"/>
    </row>
    <row r="192" spans="1:16" s="57" customFormat="1" ht="25.5" x14ac:dyDescent="0.2">
      <c r="B192" s="215" t="s">
        <v>604</v>
      </c>
      <c r="C192" s="215"/>
      <c r="D192" s="149" t="s">
        <v>464</v>
      </c>
      <c r="I192" s="116"/>
      <c r="J192" s="13"/>
      <c r="K192" s="56"/>
      <c r="L192" s="56"/>
      <c r="M192" s="56"/>
      <c r="N192" s="56"/>
      <c r="O192" s="58"/>
    </row>
    <row r="193" spans="1:17" s="57" customFormat="1" x14ac:dyDescent="0.2">
      <c r="B193" s="216" t="s">
        <v>605</v>
      </c>
      <c r="C193" s="216"/>
      <c r="D193" s="150"/>
      <c r="I193" s="116"/>
      <c r="J193" s="13"/>
      <c r="K193" s="56"/>
      <c r="L193" s="56"/>
      <c r="M193" s="56"/>
      <c r="N193" s="56"/>
      <c r="O193" s="58"/>
    </row>
    <row r="194" spans="1:17" s="57" customFormat="1" x14ac:dyDescent="0.2">
      <c r="B194" s="216"/>
      <c r="C194" s="216"/>
      <c r="D194" s="151"/>
      <c r="I194" s="116"/>
      <c r="J194" s="13"/>
      <c r="K194" s="56"/>
      <c r="L194" s="56"/>
      <c r="M194" s="56"/>
      <c r="N194" s="56"/>
      <c r="O194" s="58"/>
    </row>
    <row r="195" spans="1:17" s="57" customFormat="1" x14ac:dyDescent="0.2">
      <c r="B195" s="216" t="s">
        <v>606</v>
      </c>
      <c r="C195" s="216"/>
      <c r="D195" s="62">
        <v>6.5603175962047269</v>
      </c>
      <c r="I195" s="116"/>
      <c r="J195" s="13"/>
      <c r="K195" s="56"/>
      <c r="L195" s="56"/>
      <c r="M195" s="56"/>
      <c r="N195" s="56"/>
      <c r="O195" s="58"/>
    </row>
    <row r="196" spans="1:17" s="57" customFormat="1" x14ac:dyDescent="0.2">
      <c r="B196" s="160"/>
      <c r="C196" s="160"/>
      <c r="D196" s="61"/>
      <c r="I196" s="116"/>
      <c r="J196" s="13"/>
      <c r="K196" s="56"/>
      <c r="L196" s="56"/>
      <c r="M196" s="56"/>
      <c r="N196" s="56"/>
      <c r="O196" s="58"/>
    </row>
    <row r="197" spans="1:17" s="57" customFormat="1" x14ac:dyDescent="0.2">
      <c r="B197" s="160" t="s">
        <v>607</v>
      </c>
      <c r="C197" s="160"/>
      <c r="D197" s="62">
        <v>0.55297859075971434</v>
      </c>
      <c r="I197" s="116"/>
      <c r="J197" s="13"/>
      <c r="K197" s="56"/>
      <c r="L197" s="56"/>
      <c r="M197" s="56"/>
      <c r="N197" s="56"/>
      <c r="O197" s="58"/>
    </row>
    <row r="198" spans="1:17" s="57" customFormat="1" x14ac:dyDescent="0.2">
      <c r="B198" s="160" t="s">
        <v>608</v>
      </c>
      <c r="C198" s="160"/>
      <c r="D198" s="62">
        <v>0.5609247341691268</v>
      </c>
      <c r="I198" s="116"/>
      <c r="J198" s="13"/>
      <c r="K198" s="56"/>
      <c r="L198" s="56"/>
      <c r="M198" s="56"/>
      <c r="N198" s="56"/>
      <c r="O198" s="58"/>
    </row>
    <row r="199" spans="1:17" s="57" customFormat="1" x14ac:dyDescent="0.2">
      <c r="B199" s="160"/>
      <c r="C199" s="160"/>
      <c r="D199" s="61"/>
      <c r="I199" s="116"/>
      <c r="J199" s="13"/>
      <c r="K199" s="56"/>
      <c r="L199" s="56"/>
      <c r="M199" s="56"/>
      <c r="N199" s="56"/>
      <c r="O199" s="58"/>
    </row>
    <row r="200" spans="1:17" s="57" customFormat="1" x14ac:dyDescent="0.2">
      <c r="B200" s="160" t="s">
        <v>609</v>
      </c>
      <c r="C200" s="160"/>
      <c r="D200" s="64" t="s">
        <v>733</v>
      </c>
      <c r="I200" s="116"/>
      <c r="J200" s="13"/>
      <c r="K200" s="56"/>
      <c r="L200" s="56"/>
      <c r="M200" s="56"/>
      <c r="N200" s="56"/>
      <c r="O200" s="58"/>
    </row>
    <row r="201" spans="1:17" s="57" customFormat="1" x14ac:dyDescent="0.2">
      <c r="B201" s="161" t="s">
        <v>610</v>
      </c>
      <c r="C201" s="163"/>
      <c r="D201" s="162"/>
      <c r="I201" s="116"/>
      <c r="J201" s="13"/>
      <c r="K201" s="56"/>
      <c r="L201" s="56"/>
      <c r="M201" s="56"/>
      <c r="N201" s="56"/>
      <c r="O201" s="58"/>
    </row>
    <row r="202" spans="1:17" s="57" customFormat="1" x14ac:dyDescent="0.2">
      <c r="B202" s="37"/>
      <c r="C202" s="37"/>
      <c r="D202" s="37"/>
      <c r="I202" s="116"/>
      <c r="J202" s="13"/>
      <c r="K202" s="56"/>
      <c r="L202" s="56"/>
      <c r="M202" s="56"/>
      <c r="N202" s="56"/>
      <c r="O202" s="58"/>
    </row>
    <row r="203" spans="1:17" s="57" customFormat="1" x14ac:dyDescent="0.2">
      <c r="A203"/>
      <c r="B203" s="66" t="s">
        <v>611</v>
      </c>
      <c r="C203"/>
      <c r="D203"/>
      <c r="E203"/>
      <c r="F203"/>
      <c r="G203"/>
      <c r="H203"/>
      <c r="I203" s="116"/>
      <c r="J203" s="13"/>
      <c r="K203" s="56"/>
      <c r="L203" s="56"/>
      <c r="M203" s="56"/>
      <c r="N203" s="56"/>
      <c r="O203" s="58"/>
      <c r="P203"/>
      <c r="Q203"/>
    </row>
    <row r="204" spans="1:17" x14ac:dyDescent="0.2">
      <c r="I204" s="116"/>
    </row>
    <row r="205" spans="1:17" ht="153.75" customHeight="1" x14ac:dyDescent="0.2">
      <c r="I205" s="116"/>
    </row>
    <row r="206" spans="1:17" ht="25.5" customHeight="1" x14ac:dyDescent="0.2">
      <c r="I206" s="116"/>
    </row>
    <row r="207" spans="1:17" x14ac:dyDescent="0.2">
      <c r="B207" s="67" t="s">
        <v>612</v>
      </c>
      <c r="C207" s="68"/>
      <c r="D207" s="67"/>
      <c r="I207" s="116"/>
    </row>
    <row r="208" spans="1:17" x14ac:dyDescent="0.2">
      <c r="B208" s="67" t="s">
        <v>701</v>
      </c>
      <c r="D208" s="67"/>
      <c r="I208" s="116"/>
    </row>
    <row r="209" spans="9:10" x14ac:dyDescent="0.2">
      <c r="I209" s="116"/>
    </row>
    <row r="210" spans="9:10" x14ac:dyDescent="0.2">
      <c r="I210" s="116"/>
    </row>
    <row r="211" spans="9:10" ht="165" customHeight="1" x14ac:dyDescent="0.2">
      <c r="I211" s="116"/>
    </row>
    <row r="212" spans="9:10" x14ac:dyDescent="0.2">
      <c r="I212" s="116"/>
    </row>
    <row r="213" spans="9:10" x14ac:dyDescent="0.2">
      <c r="I213" s="116"/>
      <c r="J213" s="13"/>
    </row>
    <row r="214" spans="9:10" x14ac:dyDescent="0.2">
      <c r="I214" s="116"/>
    </row>
    <row r="215" spans="9:10" x14ac:dyDescent="0.2">
      <c r="I215" s="116"/>
    </row>
    <row r="216" spans="9:10" x14ac:dyDescent="0.2">
      <c r="I216" s="116"/>
    </row>
    <row r="217" spans="9:10" x14ac:dyDescent="0.2">
      <c r="I217" s="116"/>
    </row>
    <row r="218" spans="9:10" x14ac:dyDescent="0.2">
      <c r="I218" s="116"/>
    </row>
  </sheetData>
  <mergeCells count="36">
    <mergeCell ref="A1:H1"/>
    <mergeCell ref="A2:H2"/>
    <mergeCell ref="A3:H3"/>
    <mergeCell ref="B164:C164"/>
    <mergeCell ref="B146:H146"/>
    <mergeCell ref="B147:H147"/>
    <mergeCell ref="B148:H148"/>
    <mergeCell ref="B151:D151"/>
    <mergeCell ref="B152:C152"/>
    <mergeCell ref="B153:C153"/>
    <mergeCell ref="B154:C154"/>
    <mergeCell ref="B149:H149"/>
    <mergeCell ref="B169:C169"/>
    <mergeCell ref="B170:C170"/>
    <mergeCell ref="B171:C171"/>
    <mergeCell ref="B186:I186"/>
    <mergeCell ref="B191:D191"/>
    <mergeCell ref="B181:B183"/>
    <mergeCell ref="C181:C183"/>
    <mergeCell ref="D181:F181"/>
    <mergeCell ref="G181:I181"/>
    <mergeCell ref="D182:D183"/>
    <mergeCell ref="E182:E183"/>
    <mergeCell ref="F182:F183"/>
    <mergeCell ref="G182:H182"/>
    <mergeCell ref="I182:I183"/>
    <mergeCell ref="B192:C192"/>
    <mergeCell ref="B193:C193"/>
    <mergeCell ref="B194:C194"/>
    <mergeCell ref="B200:C200"/>
    <mergeCell ref="B201:D201"/>
    <mergeCell ref="B195:C195"/>
    <mergeCell ref="B196:C196"/>
    <mergeCell ref="B197:C197"/>
    <mergeCell ref="B198:C198"/>
    <mergeCell ref="B199:C199"/>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1F55F-0F37-4EED-9E32-32F334720753}">
  <sheetPr>
    <outlinePr summaryBelow="0" summaryRight="0"/>
  </sheetPr>
  <dimension ref="A1:Q140"/>
  <sheetViews>
    <sheetView showGridLines="0" workbookViewId="0">
      <selection activeCell="A2" sqref="A2:H2"/>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9" ht="15" x14ac:dyDescent="0.2">
      <c r="A1" s="174" t="s">
        <v>0</v>
      </c>
      <c r="B1" s="174"/>
      <c r="C1" s="174"/>
      <c r="D1" s="174"/>
      <c r="E1" s="174"/>
      <c r="F1" s="174"/>
      <c r="G1" s="174"/>
      <c r="H1" s="174"/>
      <c r="I1" s="15"/>
    </row>
    <row r="2" spans="1:9" ht="15" x14ac:dyDescent="0.2">
      <c r="A2" s="174" t="s">
        <v>511</v>
      </c>
      <c r="B2" s="174"/>
      <c r="C2" s="174"/>
      <c r="D2" s="174"/>
      <c r="E2" s="174"/>
      <c r="F2" s="174"/>
      <c r="G2" s="174"/>
      <c r="H2" s="174"/>
    </row>
    <row r="3" spans="1:9" ht="15" x14ac:dyDescent="0.2">
      <c r="A3" s="174" t="s">
        <v>581</v>
      </c>
      <c r="B3" s="174"/>
      <c r="C3" s="174"/>
      <c r="D3" s="174"/>
      <c r="E3" s="174"/>
      <c r="F3" s="174"/>
      <c r="G3" s="174"/>
      <c r="H3" s="174"/>
    </row>
    <row r="4" spans="1:9" s="13" customFormat="1" ht="30" x14ac:dyDescent="0.2">
      <c r="A4" s="14" t="s">
        <v>2</v>
      </c>
      <c r="B4" s="14" t="s">
        <v>3</v>
      </c>
      <c r="C4" s="14" t="s">
        <v>4</v>
      </c>
      <c r="D4" s="14" t="s">
        <v>5</v>
      </c>
      <c r="E4" s="14" t="s">
        <v>6</v>
      </c>
      <c r="F4" s="14" t="s">
        <v>7</v>
      </c>
      <c r="G4" s="14" t="s">
        <v>8</v>
      </c>
      <c r="H4" s="12" t="s">
        <v>582</v>
      </c>
    </row>
    <row r="5" spans="1:9" x14ac:dyDescent="0.2">
      <c r="A5" s="17"/>
      <c r="B5" s="17"/>
      <c r="C5" s="18" t="s">
        <v>9</v>
      </c>
      <c r="D5" s="17"/>
      <c r="E5" s="17"/>
      <c r="F5" s="17"/>
      <c r="G5" s="17"/>
      <c r="H5" s="19" t="s">
        <v>12</v>
      </c>
    </row>
    <row r="6" spans="1:9" ht="25.5" x14ac:dyDescent="0.2">
      <c r="A6" s="20"/>
      <c r="B6" s="20"/>
      <c r="C6" s="21" t="s">
        <v>10</v>
      </c>
      <c r="D6" s="20"/>
      <c r="E6" s="20"/>
      <c r="F6" s="20"/>
      <c r="G6" s="20"/>
      <c r="H6" s="19" t="s">
        <v>12</v>
      </c>
    </row>
    <row r="7" spans="1:9" x14ac:dyDescent="0.2">
      <c r="A7" s="20"/>
      <c r="B7" s="20"/>
      <c r="C7" s="21" t="s">
        <v>11</v>
      </c>
      <c r="D7" s="20"/>
      <c r="E7" s="20" t="s">
        <v>12</v>
      </c>
      <c r="F7" s="22" t="s">
        <v>13</v>
      </c>
      <c r="G7" s="23">
        <v>0</v>
      </c>
      <c r="H7" s="19" t="s">
        <v>12</v>
      </c>
    </row>
    <row r="8" spans="1:9" x14ac:dyDescent="0.2">
      <c r="A8" s="20"/>
      <c r="B8" s="20"/>
      <c r="C8" s="24"/>
      <c r="D8" s="20"/>
      <c r="E8" s="20"/>
      <c r="F8" s="25"/>
      <c r="G8" s="25"/>
      <c r="H8" s="19" t="s">
        <v>12</v>
      </c>
    </row>
    <row r="9" spans="1:9" x14ac:dyDescent="0.2">
      <c r="A9" s="20"/>
      <c r="B9" s="20"/>
      <c r="C9" s="21" t="s">
        <v>14</v>
      </c>
      <c r="D9" s="20"/>
      <c r="E9" s="20"/>
      <c r="F9" s="20"/>
      <c r="G9" s="20"/>
      <c r="H9" s="19" t="s">
        <v>12</v>
      </c>
    </row>
    <row r="10" spans="1:9" x14ac:dyDescent="0.2">
      <c r="A10" s="20"/>
      <c r="B10" s="20"/>
      <c r="C10" s="21" t="s">
        <v>11</v>
      </c>
      <c r="D10" s="20"/>
      <c r="E10" s="20" t="s">
        <v>12</v>
      </c>
      <c r="F10" s="22" t="s">
        <v>13</v>
      </c>
      <c r="G10" s="23">
        <v>0</v>
      </c>
      <c r="H10" s="19" t="s">
        <v>12</v>
      </c>
    </row>
    <row r="11" spans="1:9" x14ac:dyDescent="0.2">
      <c r="A11" s="20"/>
      <c r="B11" s="20"/>
      <c r="C11" s="24"/>
      <c r="D11" s="20"/>
      <c r="E11" s="20"/>
      <c r="F11" s="25"/>
      <c r="G11" s="25"/>
      <c r="H11" s="19" t="s">
        <v>12</v>
      </c>
    </row>
    <row r="12" spans="1:9" x14ac:dyDescent="0.2">
      <c r="A12" s="20"/>
      <c r="B12" s="20"/>
      <c r="C12" s="21" t="s">
        <v>15</v>
      </c>
      <c r="D12" s="20"/>
      <c r="E12" s="20"/>
      <c r="F12" s="20"/>
      <c r="G12" s="20"/>
      <c r="H12" s="19" t="s">
        <v>12</v>
      </c>
    </row>
    <row r="13" spans="1:9" x14ac:dyDescent="0.2">
      <c r="A13" s="20"/>
      <c r="B13" s="20"/>
      <c r="C13" s="21" t="s">
        <v>11</v>
      </c>
      <c r="D13" s="20"/>
      <c r="E13" s="20" t="s">
        <v>12</v>
      </c>
      <c r="F13" s="22" t="s">
        <v>13</v>
      </c>
      <c r="G13" s="23">
        <v>0</v>
      </c>
      <c r="H13" s="19" t="s">
        <v>12</v>
      </c>
    </row>
    <row r="14" spans="1:9" x14ac:dyDescent="0.2">
      <c r="A14" s="20"/>
      <c r="B14" s="20"/>
      <c r="C14" s="24"/>
      <c r="D14" s="20"/>
      <c r="E14" s="20"/>
      <c r="F14" s="25"/>
      <c r="G14" s="25"/>
      <c r="H14" s="19" t="s">
        <v>12</v>
      </c>
    </row>
    <row r="15" spans="1:9" x14ac:dyDescent="0.2">
      <c r="A15" s="20"/>
      <c r="B15" s="20"/>
      <c r="C15" s="21" t="s">
        <v>16</v>
      </c>
      <c r="D15" s="20"/>
      <c r="E15" s="20"/>
      <c r="F15" s="20"/>
      <c r="G15" s="20"/>
      <c r="H15" s="19" t="s">
        <v>12</v>
      </c>
    </row>
    <row r="16" spans="1:9" x14ac:dyDescent="0.2">
      <c r="A16" s="20"/>
      <c r="B16" s="20"/>
      <c r="C16" s="21" t="s">
        <v>11</v>
      </c>
      <c r="D16" s="20"/>
      <c r="E16" s="20" t="s">
        <v>12</v>
      </c>
      <c r="F16" s="22" t="s">
        <v>13</v>
      </c>
      <c r="G16" s="23">
        <v>0</v>
      </c>
      <c r="H16" s="19" t="s">
        <v>12</v>
      </c>
    </row>
    <row r="17" spans="1:8" x14ac:dyDescent="0.2">
      <c r="A17" s="20"/>
      <c r="B17" s="20"/>
      <c r="C17" s="24"/>
      <c r="D17" s="20"/>
      <c r="E17" s="20"/>
      <c r="F17" s="25"/>
      <c r="G17" s="25"/>
      <c r="H17" s="19" t="s">
        <v>12</v>
      </c>
    </row>
    <row r="18" spans="1:8" x14ac:dyDescent="0.2">
      <c r="A18" s="20"/>
      <c r="B18" s="20"/>
      <c r="C18" s="21" t="s">
        <v>17</v>
      </c>
      <c r="D18" s="20"/>
      <c r="E18" s="20"/>
      <c r="F18" s="25"/>
      <c r="G18" s="25"/>
      <c r="H18" s="19" t="s">
        <v>12</v>
      </c>
    </row>
    <row r="19" spans="1:8" x14ac:dyDescent="0.2">
      <c r="A19" s="20"/>
      <c r="B19" s="20"/>
      <c r="C19" s="21" t="s">
        <v>11</v>
      </c>
      <c r="D19" s="20"/>
      <c r="E19" s="20" t="s">
        <v>12</v>
      </c>
      <c r="F19" s="22" t="s">
        <v>13</v>
      </c>
      <c r="G19" s="23">
        <v>0</v>
      </c>
      <c r="H19" s="19" t="s">
        <v>12</v>
      </c>
    </row>
    <row r="20" spans="1:8" x14ac:dyDescent="0.2">
      <c r="A20" s="20"/>
      <c r="B20" s="20"/>
      <c r="C20" s="24"/>
      <c r="D20" s="20"/>
      <c r="E20" s="20"/>
      <c r="F20" s="25"/>
      <c r="G20" s="25"/>
      <c r="H20" s="19" t="s">
        <v>12</v>
      </c>
    </row>
    <row r="21" spans="1:8" x14ac:dyDescent="0.2">
      <c r="A21" s="20"/>
      <c r="B21" s="20"/>
      <c r="C21" s="21" t="s">
        <v>18</v>
      </c>
      <c r="D21" s="20"/>
      <c r="E21" s="20"/>
      <c r="F21" s="25"/>
      <c r="G21" s="25"/>
      <c r="H21" s="19" t="s">
        <v>12</v>
      </c>
    </row>
    <row r="22" spans="1:8" x14ac:dyDescent="0.2">
      <c r="A22" s="20"/>
      <c r="B22" s="20"/>
      <c r="C22" s="21" t="s">
        <v>11</v>
      </c>
      <c r="D22" s="20"/>
      <c r="E22" s="20" t="s">
        <v>12</v>
      </c>
      <c r="F22" s="22" t="s">
        <v>13</v>
      </c>
      <c r="G22" s="23">
        <v>0</v>
      </c>
      <c r="H22" s="19" t="s">
        <v>12</v>
      </c>
    </row>
    <row r="23" spans="1:8" x14ac:dyDescent="0.2">
      <c r="A23" s="20"/>
      <c r="B23" s="20"/>
      <c r="C23" s="24"/>
      <c r="D23" s="20"/>
      <c r="E23" s="20"/>
      <c r="F23" s="25"/>
      <c r="G23" s="25"/>
      <c r="H23" s="19" t="s">
        <v>12</v>
      </c>
    </row>
    <row r="24" spans="1:8" x14ac:dyDescent="0.2">
      <c r="A24" s="20"/>
      <c r="B24" s="20"/>
      <c r="C24" s="21" t="s">
        <v>19</v>
      </c>
      <c r="D24" s="20"/>
      <c r="E24" s="20"/>
      <c r="F24" s="26">
        <v>0</v>
      </c>
      <c r="G24" s="23">
        <v>0</v>
      </c>
      <c r="H24" s="19" t="s">
        <v>12</v>
      </c>
    </row>
    <row r="25" spans="1:8" x14ac:dyDescent="0.2">
      <c r="A25" s="20"/>
      <c r="B25" s="20"/>
      <c r="C25" s="24"/>
      <c r="D25" s="20"/>
      <c r="E25" s="20"/>
      <c r="F25" s="25"/>
      <c r="G25" s="25"/>
      <c r="H25" s="19" t="s">
        <v>12</v>
      </c>
    </row>
    <row r="26" spans="1:8" x14ac:dyDescent="0.2">
      <c r="A26" s="20"/>
      <c r="B26" s="20"/>
      <c r="C26" s="21" t="s">
        <v>20</v>
      </c>
      <c r="D26" s="20"/>
      <c r="E26" s="20"/>
      <c r="F26" s="25"/>
      <c r="G26" s="25"/>
      <c r="H26" s="19" t="s">
        <v>12</v>
      </c>
    </row>
    <row r="27" spans="1:8" ht="25.5" x14ac:dyDescent="0.2">
      <c r="A27" s="20"/>
      <c r="B27" s="20"/>
      <c r="C27" s="21" t="s">
        <v>10</v>
      </c>
      <c r="D27" s="20"/>
      <c r="E27" s="20"/>
      <c r="F27" s="25"/>
      <c r="G27" s="25"/>
      <c r="H27" s="19" t="s">
        <v>12</v>
      </c>
    </row>
    <row r="28" spans="1:8" x14ac:dyDescent="0.2">
      <c r="A28" s="27">
        <v>1</v>
      </c>
      <c r="B28" s="28" t="s">
        <v>263</v>
      </c>
      <c r="C28" s="28" t="s">
        <v>264</v>
      </c>
      <c r="D28" s="28" t="s">
        <v>260</v>
      </c>
      <c r="E28" s="29">
        <v>200</v>
      </c>
      <c r="F28" s="30">
        <v>200.97579999999999</v>
      </c>
      <c r="G28" s="31">
        <v>4.6628639999999999E-2</v>
      </c>
      <c r="H28" s="19">
        <v>7.5750000000000002</v>
      </c>
    </row>
    <row r="29" spans="1:8" ht="25.5" x14ac:dyDescent="0.2">
      <c r="A29" s="27">
        <v>2</v>
      </c>
      <c r="B29" s="28" t="s">
        <v>65</v>
      </c>
      <c r="C29" s="28" t="s">
        <v>66</v>
      </c>
      <c r="D29" s="28" t="s">
        <v>23</v>
      </c>
      <c r="E29" s="29">
        <v>200</v>
      </c>
      <c r="F29" s="30">
        <v>200.2816</v>
      </c>
      <c r="G29" s="31">
        <v>4.6467580000000001E-2</v>
      </c>
      <c r="H29" s="19">
        <v>6.5644999999999998</v>
      </c>
    </row>
    <row r="30" spans="1:8" ht="25.5" x14ac:dyDescent="0.2">
      <c r="A30" s="27">
        <v>3</v>
      </c>
      <c r="B30" s="28" t="s">
        <v>285</v>
      </c>
      <c r="C30" s="28" t="s">
        <v>286</v>
      </c>
      <c r="D30" s="28" t="s">
        <v>260</v>
      </c>
      <c r="E30" s="29">
        <v>150</v>
      </c>
      <c r="F30" s="30">
        <v>151.79984999999999</v>
      </c>
      <c r="G30" s="31">
        <v>3.5219269999999997E-2</v>
      </c>
      <c r="H30" s="19">
        <v>8.1</v>
      </c>
    </row>
    <row r="31" spans="1:8" ht="25.5" x14ac:dyDescent="0.2">
      <c r="A31" s="27">
        <v>4</v>
      </c>
      <c r="B31" s="28" t="s">
        <v>255</v>
      </c>
      <c r="C31" s="28" t="s">
        <v>256</v>
      </c>
      <c r="D31" s="28" t="s">
        <v>257</v>
      </c>
      <c r="E31" s="29">
        <v>100</v>
      </c>
      <c r="F31" s="30">
        <v>101.38339999999999</v>
      </c>
      <c r="G31" s="31">
        <v>2.3522089999999999E-2</v>
      </c>
      <c r="H31" s="19">
        <v>6.9450000000000003</v>
      </c>
    </row>
    <row r="32" spans="1:8" ht="25.5" x14ac:dyDescent="0.2">
      <c r="A32" s="27">
        <v>5</v>
      </c>
      <c r="B32" s="28" t="s">
        <v>276</v>
      </c>
      <c r="C32" s="28" t="s">
        <v>277</v>
      </c>
      <c r="D32" s="28" t="s">
        <v>32</v>
      </c>
      <c r="E32" s="29">
        <v>100</v>
      </c>
      <c r="F32" s="30">
        <v>101.3784</v>
      </c>
      <c r="G32" s="31">
        <v>2.3520929999999999E-2</v>
      </c>
      <c r="H32" s="19">
        <v>7.1349999999999998</v>
      </c>
    </row>
    <row r="33" spans="1:8" ht="25.5" x14ac:dyDescent="0.2">
      <c r="A33" s="27">
        <v>6</v>
      </c>
      <c r="B33" s="28" t="s">
        <v>278</v>
      </c>
      <c r="C33" s="28" t="s">
        <v>279</v>
      </c>
      <c r="D33" s="28" t="s">
        <v>260</v>
      </c>
      <c r="E33" s="29">
        <v>100</v>
      </c>
      <c r="F33" s="30">
        <v>101.1853</v>
      </c>
      <c r="G33" s="31">
        <v>2.3476130000000001E-2</v>
      </c>
      <c r="H33" s="19">
        <v>7.28</v>
      </c>
    </row>
    <row r="34" spans="1:8" ht="25.5" x14ac:dyDescent="0.2">
      <c r="A34" s="27">
        <v>7</v>
      </c>
      <c r="B34" s="28" t="s">
        <v>63</v>
      </c>
      <c r="C34" s="28" t="s">
        <v>64</v>
      </c>
      <c r="D34" s="28" t="s">
        <v>23</v>
      </c>
      <c r="E34" s="29">
        <v>100</v>
      </c>
      <c r="F34" s="30">
        <v>100.1618</v>
      </c>
      <c r="G34" s="31">
        <v>2.3238660000000001E-2</v>
      </c>
      <c r="H34" s="19">
        <v>7.343</v>
      </c>
    </row>
    <row r="35" spans="1:8" x14ac:dyDescent="0.2">
      <c r="A35" s="20"/>
      <c r="B35" s="20"/>
      <c r="C35" s="21" t="s">
        <v>11</v>
      </c>
      <c r="D35" s="20"/>
      <c r="E35" s="20" t="s">
        <v>12</v>
      </c>
      <c r="F35" s="26">
        <v>957.16615000000002</v>
      </c>
      <c r="G35" s="23">
        <v>0.2220733</v>
      </c>
      <c r="H35" s="19" t="s">
        <v>12</v>
      </c>
    </row>
    <row r="36" spans="1:8" x14ac:dyDescent="0.2">
      <c r="A36" s="20"/>
      <c r="B36" s="20"/>
      <c r="C36" s="24"/>
      <c r="D36" s="20"/>
      <c r="E36" s="20"/>
      <c r="F36" s="25"/>
      <c r="G36" s="25"/>
      <c r="H36" s="19" t="s">
        <v>12</v>
      </c>
    </row>
    <row r="37" spans="1:8" x14ac:dyDescent="0.2">
      <c r="A37" s="20"/>
      <c r="B37" s="20"/>
      <c r="C37" s="21" t="s">
        <v>77</v>
      </c>
      <c r="D37" s="20"/>
      <c r="E37" s="20"/>
      <c r="F37" s="20"/>
      <c r="G37" s="20"/>
      <c r="H37" s="19" t="s">
        <v>12</v>
      </c>
    </row>
    <row r="38" spans="1:8" x14ac:dyDescent="0.2">
      <c r="A38" s="20"/>
      <c r="B38" s="20"/>
      <c r="C38" s="21" t="s">
        <v>11</v>
      </c>
      <c r="D38" s="20"/>
      <c r="E38" s="20" t="s">
        <v>12</v>
      </c>
      <c r="F38" s="22" t="s">
        <v>13</v>
      </c>
      <c r="G38" s="23">
        <v>0</v>
      </c>
      <c r="H38" s="19" t="s">
        <v>12</v>
      </c>
    </row>
    <row r="39" spans="1:8" x14ac:dyDescent="0.2">
      <c r="A39" s="20"/>
      <c r="B39" s="20"/>
      <c r="C39" s="24"/>
      <c r="D39" s="20"/>
      <c r="E39" s="20"/>
      <c r="F39" s="25"/>
      <c r="G39" s="25"/>
      <c r="H39" s="19" t="s">
        <v>12</v>
      </c>
    </row>
    <row r="40" spans="1:8" x14ac:dyDescent="0.2">
      <c r="A40" s="20"/>
      <c r="B40" s="20"/>
      <c r="C40" s="21" t="s">
        <v>78</v>
      </c>
      <c r="D40" s="20"/>
      <c r="E40" s="20"/>
      <c r="F40" s="20"/>
      <c r="G40" s="20"/>
      <c r="H40" s="19" t="s">
        <v>12</v>
      </c>
    </row>
    <row r="41" spans="1:8" ht="25.5" x14ac:dyDescent="0.2">
      <c r="A41" s="27">
        <v>1</v>
      </c>
      <c r="B41" s="28" t="s">
        <v>98</v>
      </c>
      <c r="C41" s="28" t="s">
        <v>99</v>
      </c>
      <c r="D41" s="28" t="s">
        <v>81</v>
      </c>
      <c r="E41" s="29">
        <v>1500000</v>
      </c>
      <c r="F41" s="30">
        <v>1581.27</v>
      </c>
      <c r="G41" s="31">
        <v>0.36687240999999998</v>
      </c>
      <c r="H41" s="19">
        <v>6.3898000000000001</v>
      </c>
    </row>
    <row r="42" spans="1:8" ht="25.5" x14ac:dyDescent="0.2">
      <c r="A42" s="27">
        <v>2</v>
      </c>
      <c r="B42" s="28" t="s">
        <v>94</v>
      </c>
      <c r="C42" s="28" t="s">
        <v>95</v>
      </c>
      <c r="D42" s="28" t="s">
        <v>81</v>
      </c>
      <c r="E42" s="29">
        <v>500000</v>
      </c>
      <c r="F42" s="30">
        <v>524.62800000000004</v>
      </c>
      <c r="G42" s="31">
        <v>0.12171959</v>
      </c>
      <c r="H42" s="19">
        <v>5.8318000000000003</v>
      </c>
    </row>
    <row r="43" spans="1:8" ht="25.5" x14ac:dyDescent="0.2">
      <c r="A43" s="27">
        <v>3</v>
      </c>
      <c r="B43" s="28" t="s">
        <v>512</v>
      </c>
      <c r="C43" s="28" t="s">
        <v>513</v>
      </c>
      <c r="D43" s="28" t="s">
        <v>81</v>
      </c>
      <c r="E43" s="29">
        <v>500000</v>
      </c>
      <c r="F43" s="30">
        <v>500.30149999999998</v>
      </c>
      <c r="G43" s="31">
        <v>0.11607557</v>
      </c>
      <c r="H43" s="19">
        <v>5.7750000000000004</v>
      </c>
    </row>
    <row r="44" spans="1:8" ht="25.5" x14ac:dyDescent="0.2">
      <c r="A44" s="27">
        <v>4</v>
      </c>
      <c r="B44" s="28" t="s">
        <v>462</v>
      </c>
      <c r="C44" s="28" t="s">
        <v>463</v>
      </c>
      <c r="D44" s="28" t="s">
        <v>81</v>
      </c>
      <c r="E44" s="29">
        <v>230000</v>
      </c>
      <c r="F44" s="30">
        <v>242.01888</v>
      </c>
      <c r="G44" s="31">
        <v>5.6151100000000002E-2</v>
      </c>
      <c r="H44" s="19">
        <v>6.7545999999999999</v>
      </c>
    </row>
    <row r="45" spans="1:8" ht="25.5" x14ac:dyDescent="0.2">
      <c r="A45" s="27">
        <v>5</v>
      </c>
      <c r="B45" s="28" t="s">
        <v>287</v>
      </c>
      <c r="C45" s="28" t="s">
        <v>288</v>
      </c>
      <c r="D45" s="28" t="s">
        <v>81</v>
      </c>
      <c r="E45" s="29">
        <v>100000</v>
      </c>
      <c r="F45" s="30">
        <v>104.15949999999999</v>
      </c>
      <c r="G45" s="31">
        <v>2.4166170000000001E-2</v>
      </c>
      <c r="H45" s="19">
        <v>5.9455</v>
      </c>
    </row>
    <row r="46" spans="1:8" x14ac:dyDescent="0.2">
      <c r="A46" s="20"/>
      <c r="B46" s="20"/>
      <c r="C46" s="21" t="s">
        <v>11</v>
      </c>
      <c r="D46" s="20"/>
      <c r="E46" s="20" t="s">
        <v>12</v>
      </c>
      <c r="F46" s="26">
        <v>2952.37788</v>
      </c>
      <c r="G46" s="23">
        <v>0.68498484000000004</v>
      </c>
      <c r="H46" s="19" t="s">
        <v>12</v>
      </c>
    </row>
    <row r="47" spans="1:8" x14ac:dyDescent="0.2">
      <c r="A47" s="20"/>
      <c r="B47" s="20"/>
      <c r="C47" s="24"/>
      <c r="D47" s="20"/>
      <c r="E47" s="20"/>
      <c r="F47" s="25"/>
      <c r="G47" s="25"/>
      <c r="H47" s="19" t="s">
        <v>12</v>
      </c>
    </row>
    <row r="48" spans="1:8" x14ac:dyDescent="0.2">
      <c r="A48" s="20"/>
      <c r="B48" s="20"/>
      <c r="C48" s="21" t="s">
        <v>100</v>
      </c>
      <c r="D48" s="20"/>
      <c r="E48" s="20"/>
      <c r="F48" s="25"/>
      <c r="G48" s="25"/>
      <c r="H48" s="19" t="s">
        <v>12</v>
      </c>
    </row>
    <row r="49" spans="1:8" x14ac:dyDescent="0.2">
      <c r="A49" s="20"/>
      <c r="B49" s="20"/>
      <c r="C49" s="21" t="s">
        <v>11</v>
      </c>
      <c r="D49" s="20"/>
      <c r="E49" s="20" t="s">
        <v>12</v>
      </c>
      <c r="F49" s="22" t="s">
        <v>13</v>
      </c>
      <c r="G49" s="23">
        <v>0</v>
      </c>
      <c r="H49" s="19" t="s">
        <v>12</v>
      </c>
    </row>
    <row r="50" spans="1:8" x14ac:dyDescent="0.2">
      <c r="A50" s="20"/>
      <c r="B50" s="20"/>
      <c r="C50" s="24"/>
      <c r="D50" s="20"/>
      <c r="E50" s="20"/>
      <c r="F50" s="25"/>
      <c r="G50" s="25"/>
      <c r="H50" s="19" t="s">
        <v>12</v>
      </c>
    </row>
    <row r="51" spans="1:8" x14ac:dyDescent="0.2">
      <c r="A51" s="20"/>
      <c r="B51" s="20"/>
      <c r="C51" s="21" t="s">
        <v>101</v>
      </c>
      <c r="D51" s="20"/>
      <c r="E51" s="20"/>
      <c r="F51" s="26">
        <v>3909.54403</v>
      </c>
      <c r="G51" s="23">
        <v>0.90705813999999996</v>
      </c>
      <c r="H51" s="19" t="s">
        <v>12</v>
      </c>
    </row>
    <row r="52" spans="1:8" x14ac:dyDescent="0.2">
      <c r="A52" s="20"/>
      <c r="B52" s="20"/>
      <c r="C52" s="24"/>
      <c r="D52" s="20"/>
      <c r="E52" s="20"/>
      <c r="F52" s="25"/>
      <c r="G52" s="25"/>
      <c r="H52" s="19" t="s">
        <v>12</v>
      </c>
    </row>
    <row r="53" spans="1:8" x14ac:dyDescent="0.2">
      <c r="A53" s="20"/>
      <c r="B53" s="20"/>
      <c r="C53" s="21" t="s">
        <v>102</v>
      </c>
      <c r="D53" s="20"/>
      <c r="E53" s="20"/>
      <c r="F53" s="25"/>
      <c r="G53" s="25"/>
      <c r="H53" s="19" t="s">
        <v>12</v>
      </c>
    </row>
    <row r="54" spans="1:8" x14ac:dyDescent="0.2">
      <c r="A54" s="20"/>
      <c r="B54" s="20"/>
      <c r="C54" s="21" t="s">
        <v>103</v>
      </c>
      <c r="D54" s="20"/>
      <c r="E54" s="20"/>
      <c r="F54" s="25"/>
      <c r="G54" s="25"/>
      <c r="H54" s="19" t="s">
        <v>12</v>
      </c>
    </row>
    <row r="55" spans="1:8" x14ac:dyDescent="0.2">
      <c r="A55" s="20"/>
      <c r="B55" s="20"/>
      <c r="C55" s="21" t="s">
        <v>11</v>
      </c>
      <c r="D55" s="20"/>
      <c r="E55" s="20" t="s">
        <v>12</v>
      </c>
      <c r="F55" s="22" t="s">
        <v>13</v>
      </c>
      <c r="G55" s="23">
        <v>0</v>
      </c>
      <c r="H55" s="19" t="s">
        <v>12</v>
      </c>
    </row>
    <row r="56" spans="1:8" x14ac:dyDescent="0.2">
      <c r="A56" s="20"/>
      <c r="B56" s="20"/>
      <c r="C56" s="24"/>
      <c r="D56" s="20"/>
      <c r="E56" s="20"/>
      <c r="F56" s="25"/>
      <c r="G56" s="25"/>
      <c r="H56" s="19" t="s">
        <v>12</v>
      </c>
    </row>
    <row r="57" spans="1:8" x14ac:dyDescent="0.2">
      <c r="A57" s="20"/>
      <c r="B57" s="20"/>
      <c r="C57" s="21" t="s">
        <v>104</v>
      </c>
      <c r="D57" s="20"/>
      <c r="E57" s="20"/>
      <c r="F57" s="25"/>
      <c r="G57" s="25"/>
      <c r="H57" s="19" t="s">
        <v>12</v>
      </c>
    </row>
    <row r="58" spans="1:8" x14ac:dyDescent="0.2">
      <c r="A58" s="20"/>
      <c r="B58" s="20"/>
      <c r="C58" s="21" t="s">
        <v>11</v>
      </c>
      <c r="D58" s="20"/>
      <c r="E58" s="20" t="s">
        <v>12</v>
      </c>
      <c r="F58" s="22" t="s">
        <v>13</v>
      </c>
      <c r="G58" s="23">
        <v>0</v>
      </c>
      <c r="H58" s="19" t="s">
        <v>12</v>
      </c>
    </row>
    <row r="59" spans="1:8" x14ac:dyDescent="0.2">
      <c r="A59" s="20"/>
      <c r="B59" s="20"/>
      <c r="C59" s="24"/>
      <c r="D59" s="20"/>
      <c r="E59" s="20"/>
      <c r="F59" s="25"/>
      <c r="G59" s="25"/>
      <c r="H59" s="19" t="s">
        <v>12</v>
      </c>
    </row>
    <row r="60" spans="1:8" x14ac:dyDescent="0.2">
      <c r="A60" s="20"/>
      <c r="B60" s="20"/>
      <c r="C60" s="21" t="s">
        <v>105</v>
      </c>
      <c r="D60" s="20"/>
      <c r="E60" s="20"/>
      <c r="F60" s="25"/>
      <c r="G60" s="25"/>
      <c r="H60" s="19" t="s">
        <v>12</v>
      </c>
    </row>
    <row r="61" spans="1:8" x14ac:dyDescent="0.2">
      <c r="A61" s="20"/>
      <c r="B61" s="20"/>
      <c r="C61" s="21" t="s">
        <v>11</v>
      </c>
      <c r="D61" s="20"/>
      <c r="E61" s="20" t="s">
        <v>12</v>
      </c>
      <c r="F61" s="22" t="s">
        <v>13</v>
      </c>
      <c r="G61" s="23">
        <v>0</v>
      </c>
      <c r="H61" s="19" t="s">
        <v>12</v>
      </c>
    </row>
    <row r="62" spans="1:8" x14ac:dyDescent="0.2">
      <c r="A62" s="20"/>
      <c r="B62" s="20"/>
      <c r="C62" s="24"/>
      <c r="D62" s="20"/>
      <c r="E62" s="20"/>
      <c r="F62" s="25"/>
      <c r="G62" s="25"/>
      <c r="H62" s="19" t="s">
        <v>12</v>
      </c>
    </row>
    <row r="63" spans="1:8" x14ac:dyDescent="0.2">
      <c r="A63" s="20"/>
      <c r="B63" s="20"/>
      <c r="C63" s="21" t="s">
        <v>106</v>
      </c>
      <c r="D63" s="20"/>
      <c r="E63" s="20"/>
      <c r="F63" s="25"/>
      <c r="G63" s="25"/>
      <c r="H63" s="19" t="s">
        <v>12</v>
      </c>
    </row>
    <row r="64" spans="1:8" x14ac:dyDescent="0.2">
      <c r="A64" s="27">
        <v>1</v>
      </c>
      <c r="B64" s="28"/>
      <c r="C64" s="28" t="s">
        <v>107</v>
      </c>
      <c r="D64" s="28"/>
      <c r="E64" s="32"/>
      <c r="F64" s="30">
        <v>346.29896380000002</v>
      </c>
      <c r="G64" s="31">
        <v>8.0345249999999993E-2</v>
      </c>
      <c r="H64" s="19">
        <v>5.76</v>
      </c>
    </row>
    <row r="65" spans="1:17" x14ac:dyDescent="0.2">
      <c r="A65" s="20"/>
      <c r="B65" s="20"/>
      <c r="C65" s="21" t="s">
        <v>11</v>
      </c>
      <c r="D65" s="20"/>
      <c r="E65" s="20" t="s">
        <v>12</v>
      </c>
      <c r="F65" s="26">
        <v>346.29896380000002</v>
      </c>
      <c r="G65" s="23">
        <v>8.0345249999999993E-2</v>
      </c>
      <c r="H65" s="19" t="s">
        <v>12</v>
      </c>
    </row>
    <row r="66" spans="1:17" x14ac:dyDescent="0.2">
      <c r="A66" s="20"/>
      <c r="B66" s="20"/>
      <c r="C66" s="24"/>
      <c r="D66" s="20"/>
      <c r="E66" s="20"/>
      <c r="F66" s="25"/>
      <c r="G66" s="25"/>
      <c r="H66" s="19" t="s">
        <v>12</v>
      </c>
    </row>
    <row r="67" spans="1:17" x14ac:dyDescent="0.2">
      <c r="A67" s="20"/>
      <c r="B67" s="20"/>
      <c r="C67" s="21" t="s">
        <v>108</v>
      </c>
      <c r="D67" s="20"/>
      <c r="E67" s="20"/>
      <c r="F67" s="26">
        <v>346.29896380000002</v>
      </c>
      <c r="G67" s="23">
        <v>8.0345249999999993E-2</v>
      </c>
      <c r="H67" s="19" t="s">
        <v>12</v>
      </c>
    </row>
    <row r="68" spans="1:17" x14ac:dyDescent="0.2">
      <c r="A68" s="20"/>
      <c r="B68" s="20"/>
      <c r="C68" s="25"/>
      <c r="D68" s="20"/>
      <c r="E68" s="20"/>
      <c r="F68" s="20"/>
      <c r="G68" s="20"/>
      <c r="H68" s="19" t="s">
        <v>12</v>
      </c>
    </row>
    <row r="69" spans="1:17" x14ac:dyDescent="0.2">
      <c r="A69" s="20"/>
      <c r="B69" s="20"/>
      <c r="C69" s="21" t="s">
        <v>109</v>
      </c>
      <c r="D69" s="20"/>
      <c r="E69" s="20"/>
      <c r="F69" s="20"/>
      <c r="G69" s="20"/>
      <c r="H69" s="19" t="s">
        <v>12</v>
      </c>
    </row>
    <row r="70" spans="1:17" x14ac:dyDescent="0.2">
      <c r="A70" s="20"/>
      <c r="B70" s="20"/>
      <c r="C70" s="21" t="s">
        <v>110</v>
      </c>
      <c r="D70" s="20"/>
      <c r="E70" s="20"/>
      <c r="F70" s="20"/>
      <c r="G70" s="20"/>
      <c r="H70" s="19" t="s">
        <v>12</v>
      </c>
    </row>
    <row r="71" spans="1:17" x14ac:dyDescent="0.2">
      <c r="A71" s="20"/>
      <c r="B71" s="20"/>
      <c r="C71" s="21" t="s">
        <v>11</v>
      </c>
      <c r="D71" s="20"/>
      <c r="E71" s="20" t="s">
        <v>12</v>
      </c>
      <c r="F71" s="22" t="s">
        <v>13</v>
      </c>
      <c r="G71" s="23">
        <v>0</v>
      </c>
      <c r="H71" s="19" t="s">
        <v>12</v>
      </c>
    </row>
    <row r="72" spans="1:17" x14ac:dyDescent="0.2">
      <c r="A72" s="17"/>
      <c r="B72" s="17"/>
      <c r="C72" s="75"/>
      <c r="D72" s="17"/>
      <c r="E72" s="17"/>
      <c r="F72" s="42"/>
      <c r="G72" s="42"/>
      <c r="H72" s="76" t="s">
        <v>12</v>
      </c>
    </row>
    <row r="73" spans="1:17" ht="25.5" x14ac:dyDescent="0.2">
      <c r="A73" s="17"/>
      <c r="B73" s="17"/>
      <c r="C73" s="18" t="s">
        <v>596</v>
      </c>
      <c r="D73" s="17"/>
      <c r="E73" s="17"/>
      <c r="F73" s="42"/>
      <c r="G73" s="42"/>
      <c r="H73" s="72"/>
      <c r="K73" s="56"/>
      <c r="L73" s="56"/>
      <c r="M73" s="56"/>
      <c r="N73" s="56"/>
      <c r="O73" s="77"/>
      <c r="P73" s="77"/>
      <c r="Q73" s="77"/>
    </row>
    <row r="74" spans="1:17" ht="25.5" x14ac:dyDescent="0.2">
      <c r="A74" s="69">
        <v>1</v>
      </c>
      <c r="B74" s="70" t="s">
        <v>111</v>
      </c>
      <c r="C74" s="70" t="s">
        <v>112</v>
      </c>
      <c r="D74" s="70"/>
      <c r="E74" s="78">
        <v>112.994</v>
      </c>
      <c r="F74" s="72">
        <v>12.645106789</v>
      </c>
      <c r="G74" s="73">
        <v>2.9338099999999998E-3</v>
      </c>
      <c r="H74" s="76"/>
    </row>
    <row r="75" spans="1:17" x14ac:dyDescent="0.2">
      <c r="A75" s="17"/>
      <c r="B75" s="17"/>
      <c r="C75" s="18" t="s">
        <v>11</v>
      </c>
      <c r="D75" s="17"/>
      <c r="E75" s="17" t="s">
        <v>12</v>
      </c>
      <c r="F75" s="79">
        <f>SUM(F74)</f>
        <v>12.645106789</v>
      </c>
      <c r="G75" s="80">
        <f>SUM(G74)</f>
        <v>2.9338099999999998E-3</v>
      </c>
      <c r="H75" s="76" t="s">
        <v>12</v>
      </c>
    </row>
    <row r="76" spans="1:17" x14ac:dyDescent="0.2">
      <c r="A76" s="20"/>
      <c r="B76" s="20"/>
      <c r="C76" s="24"/>
      <c r="D76" s="20"/>
      <c r="E76" s="20"/>
      <c r="F76" s="25"/>
      <c r="G76" s="25"/>
      <c r="H76" s="19" t="s">
        <v>12</v>
      </c>
    </row>
    <row r="77" spans="1:17" x14ac:dyDescent="0.2">
      <c r="A77" s="20"/>
      <c r="B77" s="20"/>
      <c r="C77" s="21" t="s">
        <v>113</v>
      </c>
      <c r="D77" s="20"/>
      <c r="E77" s="20"/>
      <c r="F77" s="20"/>
      <c r="G77" s="20"/>
      <c r="H77" s="19" t="s">
        <v>12</v>
      </c>
    </row>
    <row r="78" spans="1:17" x14ac:dyDescent="0.2">
      <c r="A78" s="20"/>
      <c r="B78" s="20"/>
      <c r="C78" s="21" t="s">
        <v>114</v>
      </c>
      <c r="D78" s="20"/>
      <c r="E78" s="20"/>
      <c r="F78" s="20"/>
      <c r="G78" s="20"/>
      <c r="H78" s="19" t="s">
        <v>12</v>
      </c>
    </row>
    <row r="79" spans="1:17" x14ac:dyDescent="0.2">
      <c r="A79" s="20"/>
      <c r="B79" s="20"/>
      <c r="C79" s="21" t="s">
        <v>11</v>
      </c>
      <c r="D79" s="20"/>
      <c r="E79" s="20" t="s">
        <v>12</v>
      </c>
      <c r="F79" s="22" t="s">
        <v>13</v>
      </c>
      <c r="G79" s="23">
        <v>0</v>
      </c>
      <c r="H79" s="19" t="s">
        <v>12</v>
      </c>
    </row>
    <row r="80" spans="1:17" x14ac:dyDescent="0.2">
      <c r="A80" s="20"/>
      <c r="B80" s="20"/>
      <c r="C80" s="24"/>
      <c r="D80" s="20"/>
      <c r="E80" s="20"/>
      <c r="F80" s="25"/>
      <c r="G80" s="25"/>
      <c r="H80" s="19" t="s">
        <v>12</v>
      </c>
    </row>
    <row r="81" spans="1:8" ht="25.5" x14ac:dyDescent="0.2">
      <c r="A81" s="20"/>
      <c r="B81" s="20"/>
      <c r="C81" s="21" t="s">
        <v>115</v>
      </c>
      <c r="D81" s="20"/>
      <c r="E81" s="20"/>
      <c r="F81" s="25"/>
      <c r="G81" s="25"/>
      <c r="H81" s="19" t="s">
        <v>12</v>
      </c>
    </row>
    <row r="82" spans="1:8" x14ac:dyDescent="0.2">
      <c r="A82" s="20"/>
      <c r="B82" s="20"/>
      <c r="C82" s="21" t="s">
        <v>11</v>
      </c>
      <c r="D82" s="20"/>
      <c r="E82" s="20" t="s">
        <v>12</v>
      </c>
      <c r="F82" s="22" t="s">
        <v>13</v>
      </c>
      <c r="G82" s="23">
        <v>0</v>
      </c>
      <c r="H82" s="19" t="s">
        <v>12</v>
      </c>
    </row>
    <row r="83" spans="1:8" x14ac:dyDescent="0.2">
      <c r="A83" s="20"/>
      <c r="B83" s="28"/>
      <c r="C83" s="28"/>
      <c r="D83" s="21"/>
      <c r="E83" s="20"/>
      <c r="F83" s="28"/>
      <c r="G83" s="32"/>
      <c r="H83" s="19" t="s">
        <v>12</v>
      </c>
    </row>
    <row r="84" spans="1:8" x14ac:dyDescent="0.2">
      <c r="A84" s="32"/>
      <c r="B84" s="28"/>
      <c r="C84" s="28" t="s">
        <v>116</v>
      </c>
      <c r="D84" s="28"/>
      <c r="E84" s="32"/>
      <c r="F84" s="30">
        <f>41.64800619+0.000600381000041962</f>
        <v>41.648606571000037</v>
      </c>
      <c r="G84" s="31">
        <v>9.6628100000000008E-3</v>
      </c>
      <c r="H84" s="19" t="s">
        <v>12</v>
      </c>
    </row>
    <row r="85" spans="1:8" x14ac:dyDescent="0.2">
      <c r="A85" s="24"/>
      <c r="B85" s="24"/>
      <c r="C85" s="21" t="s">
        <v>117</v>
      </c>
      <c r="D85" s="25"/>
      <c r="E85" s="25"/>
      <c r="F85" s="26">
        <f>4310.136106779+0.000600381000041962</f>
        <v>4310.1367071600007</v>
      </c>
      <c r="G85" s="33">
        <v>1.0000000099999999</v>
      </c>
      <c r="H85" s="19" t="s">
        <v>12</v>
      </c>
    </row>
    <row r="86" spans="1:8" x14ac:dyDescent="0.2">
      <c r="A86" s="34"/>
      <c r="B86" s="34"/>
      <c r="C86" s="34"/>
      <c r="D86" s="35"/>
      <c r="E86" s="35"/>
      <c r="F86" s="35"/>
      <c r="G86" s="35"/>
    </row>
    <row r="87" spans="1:8" x14ac:dyDescent="0.2">
      <c r="A87" s="36"/>
      <c r="B87" s="168" t="s">
        <v>597</v>
      </c>
      <c r="C87" s="168"/>
      <c r="D87" s="168"/>
      <c r="E87" s="168"/>
      <c r="F87" s="168"/>
      <c r="G87" s="168"/>
      <c r="H87" s="168"/>
    </row>
    <row r="88" spans="1:8" x14ac:dyDescent="0.2">
      <c r="A88" s="36"/>
      <c r="B88" s="168" t="s">
        <v>598</v>
      </c>
      <c r="C88" s="168"/>
      <c r="D88" s="168"/>
      <c r="E88" s="168"/>
      <c r="F88" s="168"/>
      <c r="G88" s="168"/>
      <c r="H88" s="168"/>
    </row>
    <row r="89" spans="1:8" x14ac:dyDescent="0.2">
      <c r="A89" s="36"/>
      <c r="B89" s="168" t="s">
        <v>599</v>
      </c>
      <c r="C89" s="168"/>
      <c r="D89" s="168"/>
      <c r="E89" s="168"/>
      <c r="F89" s="168"/>
      <c r="G89" s="168"/>
      <c r="H89" s="168"/>
    </row>
    <row r="90" spans="1:8" x14ac:dyDescent="0.2">
      <c r="A90" s="38"/>
      <c r="B90" s="38"/>
      <c r="C90" s="38"/>
      <c r="D90" s="39"/>
      <c r="E90" s="39"/>
      <c r="F90" s="39"/>
      <c r="G90" s="39"/>
    </row>
    <row r="91" spans="1:8" x14ac:dyDescent="0.2">
      <c r="A91" s="36"/>
      <c r="B91" s="169" t="s">
        <v>118</v>
      </c>
      <c r="C91" s="170"/>
      <c r="D91" s="171"/>
      <c r="E91" s="40"/>
      <c r="F91" s="41"/>
      <c r="G91" s="41"/>
    </row>
    <row r="92" spans="1:8" x14ac:dyDescent="0.2">
      <c r="A92" s="36"/>
      <c r="B92" s="172" t="s">
        <v>119</v>
      </c>
      <c r="C92" s="173"/>
      <c r="D92" s="18" t="s">
        <v>120</v>
      </c>
      <c r="E92" s="40"/>
      <c r="F92" s="41"/>
      <c r="G92" s="41"/>
    </row>
    <row r="93" spans="1:8" x14ac:dyDescent="0.2">
      <c r="A93" s="36"/>
      <c r="B93" s="172" t="s">
        <v>121</v>
      </c>
      <c r="C93" s="173"/>
      <c r="D93" s="18" t="s">
        <v>120</v>
      </c>
      <c r="E93" s="40"/>
      <c r="F93" s="41"/>
      <c r="G93" s="41"/>
    </row>
    <row r="94" spans="1:8" x14ac:dyDescent="0.2">
      <c r="A94" s="36"/>
      <c r="B94" s="172" t="s">
        <v>122</v>
      </c>
      <c r="C94" s="173"/>
      <c r="D94" s="42" t="s">
        <v>12</v>
      </c>
      <c r="E94" s="40"/>
      <c r="F94" s="41"/>
      <c r="G94" s="41"/>
    </row>
    <row r="95" spans="1:8" x14ac:dyDescent="0.2">
      <c r="A95" s="43"/>
      <c r="B95" s="44" t="s">
        <v>12</v>
      </c>
      <c r="C95" s="44" t="s">
        <v>600</v>
      </c>
      <c r="D95" s="44" t="s">
        <v>123</v>
      </c>
      <c r="E95" s="43"/>
      <c r="F95" s="43"/>
      <c r="G95" s="43"/>
    </row>
    <row r="96" spans="1:8" x14ac:dyDescent="0.2">
      <c r="A96" s="43"/>
      <c r="B96" s="45" t="s">
        <v>124</v>
      </c>
      <c r="C96" s="46">
        <v>45792</v>
      </c>
      <c r="D96" s="46">
        <v>45808</v>
      </c>
      <c r="E96" s="43"/>
      <c r="F96" s="43"/>
      <c r="G96" s="43"/>
    </row>
    <row r="97" spans="1:14" x14ac:dyDescent="0.2">
      <c r="A97" s="47"/>
      <c r="B97" s="28" t="s">
        <v>125</v>
      </c>
      <c r="C97" s="48">
        <v>77.021100000000004</v>
      </c>
      <c r="D97" s="48">
        <v>77.3048</v>
      </c>
      <c r="E97" s="47"/>
      <c r="F97" s="49"/>
      <c r="G97" s="50"/>
    </row>
    <row r="98" spans="1:14" ht="25.5" x14ac:dyDescent="0.2">
      <c r="A98" s="47"/>
      <c r="B98" s="28" t="s">
        <v>726</v>
      </c>
      <c r="C98" s="48">
        <v>27.490600000000001</v>
      </c>
      <c r="D98" s="48">
        <v>27.591899999999999</v>
      </c>
      <c r="E98" s="47"/>
      <c r="F98" s="49"/>
      <c r="G98" s="50"/>
    </row>
    <row r="99" spans="1:14" ht="25.5" x14ac:dyDescent="0.2">
      <c r="A99" s="47"/>
      <c r="B99" s="28" t="s">
        <v>727</v>
      </c>
      <c r="C99" s="48">
        <v>15.5619</v>
      </c>
      <c r="D99" s="48">
        <v>15.619199999999999</v>
      </c>
      <c r="E99" s="47"/>
      <c r="F99" s="49"/>
      <c r="G99" s="50"/>
    </row>
    <row r="100" spans="1:14" x14ac:dyDescent="0.2">
      <c r="A100" s="47"/>
      <c r="B100" s="28" t="s">
        <v>126</v>
      </c>
      <c r="C100" s="48">
        <v>69.042100000000005</v>
      </c>
      <c r="D100" s="48">
        <v>69.273899999999998</v>
      </c>
      <c r="E100" s="47"/>
      <c r="F100" s="49"/>
      <c r="G100" s="50"/>
    </row>
    <row r="101" spans="1:14" x14ac:dyDescent="0.2">
      <c r="A101" s="47"/>
      <c r="B101" s="28" t="s">
        <v>169</v>
      </c>
      <c r="C101" s="48">
        <v>23.581600000000002</v>
      </c>
      <c r="D101" s="48">
        <v>23.660799999999998</v>
      </c>
      <c r="E101" s="47"/>
      <c r="F101" s="49"/>
      <c r="G101" s="50"/>
    </row>
    <row r="102" spans="1:14" ht="25.5" x14ac:dyDescent="0.2">
      <c r="A102" s="47"/>
      <c r="B102" s="70" t="s">
        <v>702</v>
      </c>
      <c r="C102" s="48">
        <v>13.528</v>
      </c>
      <c r="D102" s="48">
        <v>13.573499999999999</v>
      </c>
      <c r="E102" s="47"/>
      <c r="F102" s="49"/>
      <c r="G102" s="50"/>
    </row>
    <row r="103" spans="1:14" ht="25.5" x14ac:dyDescent="0.2">
      <c r="A103" s="47"/>
      <c r="B103" s="28" t="s">
        <v>728</v>
      </c>
      <c r="C103" s="48">
        <v>13.568199999999999</v>
      </c>
      <c r="D103" s="48">
        <v>13.6137</v>
      </c>
      <c r="E103" s="47"/>
      <c r="F103" s="49"/>
      <c r="G103" s="50"/>
    </row>
    <row r="104" spans="1:14" ht="25.5" x14ac:dyDescent="0.2">
      <c r="A104" s="47"/>
      <c r="B104" s="28" t="s">
        <v>729</v>
      </c>
      <c r="C104" s="48">
        <v>13.7179</v>
      </c>
      <c r="D104" s="48">
        <v>13.7639</v>
      </c>
      <c r="E104" s="47"/>
      <c r="F104" s="49"/>
      <c r="G104" s="50"/>
    </row>
    <row r="105" spans="1:14" x14ac:dyDescent="0.2">
      <c r="A105" s="47"/>
      <c r="B105" s="47"/>
      <c r="C105" s="47"/>
      <c r="D105" s="47"/>
      <c r="E105" s="47"/>
      <c r="F105" s="47"/>
      <c r="G105" s="47"/>
    </row>
    <row r="106" spans="1:14" x14ac:dyDescent="0.2">
      <c r="A106" s="43"/>
      <c r="B106" s="172" t="s">
        <v>601</v>
      </c>
      <c r="C106" s="173"/>
      <c r="D106" s="18" t="s">
        <v>120</v>
      </c>
      <c r="E106" s="43"/>
      <c r="F106" s="43"/>
      <c r="G106" s="43"/>
    </row>
    <row r="107" spans="1:14" x14ac:dyDescent="0.2">
      <c r="A107" s="43"/>
      <c r="B107" s="54"/>
      <c r="C107" s="54"/>
      <c r="D107" s="54"/>
      <c r="E107" s="43"/>
      <c r="F107" s="43"/>
      <c r="G107" s="43"/>
    </row>
    <row r="108" spans="1:14" s="57" customFormat="1" ht="15" x14ac:dyDescent="0.25">
      <c r="A108" s="96"/>
      <c r="B108" s="172" t="s">
        <v>614</v>
      </c>
      <c r="C108" s="173"/>
      <c r="D108" s="18" t="s">
        <v>120</v>
      </c>
      <c r="E108" s="96"/>
      <c r="F108" s="37"/>
      <c r="G108" s="96"/>
      <c r="I108" s="97"/>
      <c r="J108" s="98"/>
      <c r="K108" s="98"/>
      <c r="L108" s="98"/>
      <c r="M108" s="98"/>
      <c r="N108"/>
    </row>
    <row r="109" spans="1:14" ht="26.25" customHeight="1" x14ac:dyDescent="0.25">
      <c r="A109" s="43"/>
      <c r="B109" s="172" t="s">
        <v>615</v>
      </c>
      <c r="C109" s="173"/>
      <c r="D109" s="18" t="s">
        <v>120</v>
      </c>
      <c r="E109" s="55"/>
      <c r="F109" s="43"/>
      <c r="G109" s="43"/>
      <c r="I109" s="99"/>
    </row>
    <row r="110" spans="1:14" ht="27.75" customHeight="1" x14ac:dyDescent="0.25">
      <c r="A110" s="43"/>
      <c r="B110" s="172" t="s">
        <v>616</v>
      </c>
      <c r="C110" s="173"/>
      <c r="D110" s="18" t="s">
        <v>120</v>
      </c>
      <c r="E110" s="55"/>
      <c r="F110" s="43"/>
      <c r="G110" s="43"/>
      <c r="I110" s="100"/>
    </row>
    <row r="111" spans="1:14" x14ac:dyDescent="0.2">
      <c r="A111" s="43"/>
      <c r="B111" s="172" t="s">
        <v>617</v>
      </c>
      <c r="C111" s="173"/>
      <c r="D111" s="18" t="s">
        <v>120</v>
      </c>
      <c r="E111" s="55"/>
      <c r="F111" s="43"/>
      <c r="G111" s="43"/>
    </row>
    <row r="112" spans="1:14" x14ac:dyDescent="0.2">
      <c r="A112" s="54"/>
      <c r="B112" s="54"/>
      <c r="C112" s="54"/>
      <c r="D112" s="54"/>
      <c r="E112" s="54"/>
      <c r="F112" s="54"/>
      <c r="G112" s="54"/>
    </row>
    <row r="113" spans="2:14" s="57" customFormat="1" ht="15" x14ac:dyDescent="0.25">
      <c r="B113" s="236" t="s">
        <v>734</v>
      </c>
      <c r="C113" s="237"/>
      <c r="D113" s="237"/>
      <c r="E113" s="237"/>
      <c r="F113" s="237"/>
      <c r="G113" s="238"/>
      <c r="I113"/>
      <c r="J113" s="98"/>
      <c r="K113" s="98"/>
      <c r="L113" s="98"/>
      <c r="M113" s="98"/>
      <c r="N113"/>
    </row>
    <row r="114" spans="2:14" s="57" customFormat="1" ht="45" customHeight="1" x14ac:dyDescent="0.25">
      <c r="B114" s="101" t="s">
        <v>627</v>
      </c>
      <c r="C114" s="101" t="s">
        <v>628</v>
      </c>
      <c r="D114" s="239" t="s">
        <v>629</v>
      </c>
      <c r="E114" s="240"/>
      <c r="F114" s="229" t="s">
        <v>630</v>
      </c>
      <c r="G114" s="229"/>
      <c r="H114" s="102"/>
      <c r="I114"/>
      <c r="J114" s="98"/>
      <c r="K114" s="98"/>
      <c r="L114" s="98"/>
      <c r="M114" s="98"/>
      <c r="N114"/>
    </row>
    <row r="115" spans="2:14" s="57" customFormat="1" ht="25.5" x14ac:dyDescent="0.25">
      <c r="B115" s="103" t="s">
        <v>703</v>
      </c>
      <c r="C115" s="104" t="s">
        <v>704</v>
      </c>
      <c r="D115" s="241">
        <v>0</v>
      </c>
      <c r="E115" s="242"/>
      <c r="F115" s="241">
        <v>0</v>
      </c>
      <c r="G115" s="242"/>
      <c r="H115" s="105"/>
      <c r="I115"/>
      <c r="J115" s="98"/>
      <c r="K115" s="98"/>
      <c r="L115" s="98"/>
      <c r="M115" s="98"/>
      <c r="N115"/>
    </row>
    <row r="116" spans="2:14" s="57" customFormat="1" ht="15" x14ac:dyDescent="0.25">
      <c r="B116" s="230" t="s">
        <v>705</v>
      </c>
      <c r="C116" s="231"/>
      <c r="D116" s="231"/>
      <c r="E116" s="231"/>
      <c r="F116" s="231"/>
      <c r="G116" s="232"/>
      <c r="H116" s="105"/>
      <c r="I116"/>
      <c r="J116" s="100"/>
      <c r="K116" s="100"/>
      <c r="L116" s="100"/>
      <c r="M116" s="98"/>
      <c r="N116"/>
    </row>
    <row r="117" spans="2:14" s="57" customFormat="1" ht="15" x14ac:dyDescent="0.25">
      <c r="B117" s="229" t="s">
        <v>627</v>
      </c>
      <c r="C117" s="229" t="s">
        <v>628</v>
      </c>
      <c r="D117" s="230" t="s">
        <v>671</v>
      </c>
      <c r="E117" s="231"/>
      <c r="F117" s="232"/>
      <c r="G117" s="103"/>
      <c r="H117" s="105"/>
      <c r="I117"/>
      <c r="J117" s="100"/>
      <c r="K117" s="100"/>
      <c r="L117" s="100"/>
      <c r="M117" s="98"/>
      <c r="N117"/>
    </row>
    <row r="118" spans="2:14" s="57" customFormat="1" ht="38.25" x14ac:dyDescent="0.25">
      <c r="B118" s="229"/>
      <c r="C118" s="229"/>
      <c r="D118" s="106" t="s">
        <v>675</v>
      </c>
      <c r="E118" s="106" t="s">
        <v>706</v>
      </c>
      <c r="F118" s="106" t="s">
        <v>707</v>
      </c>
      <c r="G118" s="106" t="s">
        <v>736</v>
      </c>
      <c r="H118" s="107"/>
      <c r="I118"/>
      <c r="J118" s="100"/>
      <c r="K118" s="100"/>
      <c r="L118" s="100"/>
      <c r="M118" s="98"/>
      <c r="N118"/>
    </row>
    <row r="119" spans="2:14" s="57" customFormat="1" ht="25.5" x14ac:dyDescent="0.2">
      <c r="B119" s="108" t="s">
        <v>703</v>
      </c>
      <c r="C119" s="104" t="s">
        <v>704</v>
      </c>
      <c r="D119" s="109">
        <v>200</v>
      </c>
      <c r="E119" s="109">
        <v>6.8852450999999997</v>
      </c>
      <c r="F119" s="109">
        <v>206.88524509999999</v>
      </c>
      <c r="G119" s="110">
        <f>F119/F85</f>
        <v>4.7999694477514399E-2</v>
      </c>
      <c r="H119" s="111"/>
      <c r="I119"/>
      <c r="J119"/>
      <c r="K119"/>
      <c r="L119"/>
      <c r="M119"/>
      <c r="N119"/>
    </row>
    <row r="120" spans="2:14" s="57" customFormat="1" ht="33" customHeight="1" x14ac:dyDescent="0.2">
      <c r="B120" s="233" t="s">
        <v>708</v>
      </c>
      <c r="C120" s="234"/>
      <c r="D120" s="234"/>
      <c r="E120" s="234"/>
      <c r="F120" s="234"/>
      <c r="G120" s="235"/>
      <c r="H120" s="112"/>
      <c r="I120"/>
      <c r="J120"/>
      <c r="K120"/>
      <c r="L120"/>
      <c r="M120"/>
      <c r="N120"/>
    </row>
    <row r="121" spans="2:14" s="57" customFormat="1" x14ac:dyDescent="0.2">
      <c r="H121" s="112"/>
      <c r="I121"/>
      <c r="J121"/>
      <c r="K121"/>
      <c r="L121"/>
      <c r="M121"/>
      <c r="N121"/>
    </row>
    <row r="122" spans="2:14" s="57" customFormat="1" x14ac:dyDescent="0.2">
      <c r="B122" s="164" t="s">
        <v>603</v>
      </c>
      <c r="C122" s="165"/>
      <c r="D122" s="166"/>
      <c r="I122"/>
      <c r="J122"/>
      <c r="K122"/>
      <c r="L122"/>
      <c r="M122"/>
      <c r="N122"/>
    </row>
    <row r="123" spans="2:14" s="57" customFormat="1" ht="25.5" x14ac:dyDescent="0.2">
      <c r="B123" s="167" t="s">
        <v>604</v>
      </c>
      <c r="C123" s="167"/>
      <c r="D123" s="59" t="s">
        <v>511</v>
      </c>
      <c r="I123"/>
      <c r="J123"/>
      <c r="K123"/>
      <c r="L123"/>
      <c r="M123"/>
      <c r="N123"/>
    </row>
    <row r="124" spans="2:14" s="57" customFormat="1" x14ac:dyDescent="0.2">
      <c r="B124" s="160" t="s">
        <v>605</v>
      </c>
      <c r="C124" s="160"/>
      <c r="D124" s="60"/>
      <c r="I124"/>
      <c r="J124"/>
      <c r="K124"/>
      <c r="L124"/>
      <c r="M124"/>
      <c r="N124"/>
    </row>
    <row r="125" spans="2:14" s="57" customFormat="1" x14ac:dyDescent="0.2">
      <c r="B125" s="160"/>
      <c r="C125" s="160"/>
      <c r="D125" s="61"/>
      <c r="I125"/>
      <c r="J125"/>
      <c r="K125"/>
      <c r="L125"/>
      <c r="M125"/>
      <c r="N125"/>
    </row>
    <row r="126" spans="2:14" s="57" customFormat="1" x14ac:dyDescent="0.2">
      <c r="B126" s="160" t="s">
        <v>606</v>
      </c>
      <c r="C126" s="160"/>
      <c r="D126" s="62">
        <v>6.4154901059861444</v>
      </c>
      <c r="I126"/>
      <c r="J126"/>
      <c r="K126"/>
      <c r="L126"/>
      <c r="M126"/>
      <c r="N126"/>
    </row>
    <row r="127" spans="2:14" s="57" customFormat="1" x14ac:dyDescent="0.2">
      <c r="B127" s="160"/>
      <c r="C127" s="160"/>
      <c r="D127" s="61"/>
      <c r="I127"/>
      <c r="J127"/>
      <c r="K127"/>
      <c r="L127"/>
      <c r="M127"/>
      <c r="N127"/>
    </row>
    <row r="128" spans="2:14" s="57" customFormat="1" x14ac:dyDescent="0.2">
      <c r="B128" s="160" t="s">
        <v>607</v>
      </c>
      <c r="C128" s="160"/>
      <c r="D128" s="62">
        <v>3.9045377405142672</v>
      </c>
      <c r="I128"/>
      <c r="J128"/>
      <c r="K128"/>
      <c r="L128"/>
      <c r="M128"/>
      <c r="N128"/>
    </row>
    <row r="129" spans="2:16" s="57" customFormat="1" x14ac:dyDescent="0.2">
      <c r="B129" s="160" t="s">
        <v>608</v>
      </c>
      <c r="C129" s="160"/>
      <c r="D129" s="62">
        <v>4.9162626602822428</v>
      </c>
      <c r="I129"/>
      <c r="J129"/>
      <c r="K129"/>
      <c r="L129"/>
      <c r="M129"/>
      <c r="N129"/>
    </row>
    <row r="130" spans="2:16" s="57" customFormat="1" x14ac:dyDescent="0.2">
      <c r="B130" s="160"/>
      <c r="C130" s="160"/>
      <c r="D130" s="61"/>
      <c r="I130"/>
      <c r="J130"/>
      <c r="K130"/>
      <c r="L130"/>
      <c r="M130"/>
      <c r="N130"/>
    </row>
    <row r="131" spans="2:16" s="57" customFormat="1" x14ac:dyDescent="0.2">
      <c r="B131" s="160" t="s">
        <v>609</v>
      </c>
      <c r="C131" s="160"/>
      <c r="D131" s="64" t="s">
        <v>733</v>
      </c>
      <c r="I131"/>
      <c r="J131" s="56"/>
      <c r="K131" s="56"/>
      <c r="L131" s="56"/>
      <c r="M131" s="56"/>
      <c r="N131" s="58"/>
    </row>
    <row r="132" spans="2:16" s="57" customFormat="1" x14ac:dyDescent="0.2">
      <c r="B132" s="161" t="s">
        <v>610</v>
      </c>
      <c r="C132" s="163"/>
      <c r="D132" s="162"/>
      <c r="I132"/>
      <c r="J132"/>
      <c r="K132"/>
      <c r="L132"/>
      <c r="M132"/>
      <c r="N132"/>
      <c r="O132"/>
      <c r="P132"/>
    </row>
    <row r="134" spans="2:16" x14ac:dyDescent="0.2">
      <c r="B134" s="66" t="s">
        <v>611</v>
      </c>
    </row>
    <row r="135" spans="2:16" ht="153.75" customHeight="1" x14ac:dyDescent="0.2"/>
    <row r="138" spans="2:16" x14ac:dyDescent="0.2">
      <c r="B138" s="67" t="s">
        <v>612</v>
      </c>
      <c r="C138" s="68"/>
      <c r="D138" s="67"/>
    </row>
    <row r="139" spans="2:16" x14ac:dyDescent="0.2">
      <c r="B139" s="67" t="s">
        <v>709</v>
      </c>
      <c r="D139" s="67"/>
    </row>
    <row r="140" spans="2:16" ht="165" customHeight="1" x14ac:dyDescent="0.2"/>
  </sheetData>
  <mergeCells count="36">
    <mergeCell ref="B89:H89"/>
    <mergeCell ref="B91:D91"/>
    <mergeCell ref="B92:C92"/>
    <mergeCell ref="B93:C93"/>
    <mergeCell ref="B94:C94"/>
    <mergeCell ref="A1:H1"/>
    <mergeCell ref="A2:H2"/>
    <mergeCell ref="A3:H3"/>
    <mergeCell ref="B87:H87"/>
    <mergeCell ref="B88:H88"/>
    <mergeCell ref="D114:E114"/>
    <mergeCell ref="F114:G114"/>
    <mergeCell ref="D115:E115"/>
    <mergeCell ref="F115:G115"/>
    <mergeCell ref="B116:G116"/>
    <mergeCell ref="B106:C106"/>
    <mergeCell ref="B110:C110"/>
    <mergeCell ref="B108:C108"/>
    <mergeCell ref="B109:C109"/>
    <mergeCell ref="B113:G113"/>
    <mergeCell ref="B111:C111"/>
    <mergeCell ref="C117:C118"/>
    <mergeCell ref="D117:F117"/>
    <mergeCell ref="B120:G120"/>
    <mergeCell ref="B122:D122"/>
    <mergeCell ref="B123:C123"/>
    <mergeCell ref="B117:B118"/>
    <mergeCell ref="B129:C129"/>
    <mergeCell ref="B130:C130"/>
    <mergeCell ref="B131:C131"/>
    <mergeCell ref="B132:D132"/>
    <mergeCell ref="B124:C124"/>
    <mergeCell ref="B125:C125"/>
    <mergeCell ref="B126:C126"/>
    <mergeCell ref="B127:C127"/>
    <mergeCell ref="B128:C128"/>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9558D-1A22-4AE2-A85A-81EEB46255E8}">
  <sheetPr>
    <outlinePr summaryBelow="0" summaryRight="0"/>
  </sheetPr>
  <dimension ref="A1:R172"/>
  <sheetViews>
    <sheetView showGridLines="0" workbookViewId="0">
      <selection activeCell="J26" sqref="J26"/>
    </sheetView>
  </sheetViews>
  <sheetFormatPr defaultRowHeight="12.75" x14ac:dyDescent="0.2"/>
  <cols>
    <col min="1" max="1" width="6.85546875" customWidth="1"/>
    <col min="2" max="2" width="20.5703125" customWidth="1"/>
    <col min="3" max="3" width="37.28515625" customWidth="1"/>
    <col min="4" max="4" width="17.85546875" customWidth="1"/>
    <col min="5" max="6" width="19.140625" customWidth="1"/>
    <col min="7" max="7" width="16.42578125" customWidth="1"/>
    <col min="9" max="9" width="11.7109375" customWidth="1"/>
    <col min="10" max="10" width="10.5703125" customWidth="1"/>
  </cols>
  <sheetData>
    <row r="1" spans="1:10" ht="15" x14ac:dyDescent="0.2">
      <c r="A1" s="174" t="s">
        <v>0</v>
      </c>
      <c r="B1" s="174"/>
      <c r="C1" s="174"/>
      <c r="D1" s="174"/>
      <c r="E1" s="174"/>
      <c r="F1" s="174"/>
      <c r="G1" s="174"/>
      <c r="H1" s="174"/>
      <c r="I1" s="15"/>
    </row>
    <row r="2" spans="1:10" ht="15" x14ac:dyDescent="0.2">
      <c r="A2" s="174" t="s">
        <v>514</v>
      </c>
      <c r="B2" s="174"/>
      <c r="C2" s="174"/>
      <c r="D2" s="174"/>
      <c r="E2" s="174"/>
      <c r="F2" s="174"/>
      <c r="G2" s="174"/>
      <c r="H2" s="174"/>
    </row>
    <row r="3" spans="1:10" ht="15" x14ac:dyDescent="0.2">
      <c r="A3" s="174" t="s">
        <v>581</v>
      </c>
      <c r="B3" s="174"/>
      <c r="C3" s="174"/>
      <c r="D3" s="174"/>
      <c r="E3" s="174"/>
      <c r="F3" s="174"/>
      <c r="G3" s="174"/>
      <c r="H3" s="174"/>
    </row>
    <row r="4" spans="1:10" s="13" customFormat="1" ht="30" x14ac:dyDescent="0.2">
      <c r="A4" s="14" t="s">
        <v>2</v>
      </c>
      <c r="B4" s="14" t="s">
        <v>3</v>
      </c>
      <c r="C4" s="14" t="s">
        <v>4</v>
      </c>
      <c r="D4" s="14" t="s">
        <v>5</v>
      </c>
      <c r="E4" s="14" t="s">
        <v>6</v>
      </c>
      <c r="F4" s="14" t="s">
        <v>7</v>
      </c>
      <c r="G4" s="14" t="s">
        <v>8</v>
      </c>
      <c r="H4" s="12" t="s">
        <v>582</v>
      </c>
    </row>
    <row r="5" spans="1:10" x14ac:dyDescent="0.2">
      <c r="A5" s="17"/>
      <c r="B5" s="17"/>
      <c r="C5" s="18" t="s">
        <v>9</v>
      </c>
      <c r="D5" s="17"/>
      <c r="E5" s="17"/>
      <c r="F5" s="17"/>
      <c r="G5" s="17"/>
      <c r="H5" s="19" t="s">
        <v>12</v>
      </c>
    </row>
    <row r="6" spans="1:10" x14ac:dyDescent="0.2">
      <c r="A6" s="20"/>
      <c r="B6" s="20"/>
      <c r="C6" s="21" t="s">
        <v>10</v>
      </c>
      <c r="D6" s="20"/>
      <c r="E6" s="20"/>
      <c r="F6" s="20"/>
      <c r="G6" s="20"/>
      <c r="H6" s="19" t="s">
        <v>12</v>
      </c>
    </row>
    <row r="7" spans="1:10" x14ac:dyDescent="0.2">
      <c r="A7" s="27">
        <v>1</v>
      </c>
      <c r="B7" s="28" t="s">
        <v>515</v>
      </c>
      <c r="C7" s="28" t="s">
        <v>516</v>
      </c>
      <c r="D7" s="28" t="s">
        <v>517</v>
      </c>
      <c r="E7" s="29">
        <v>4250</v>
      </c>
      <c r="F7" s="30">
        <v>82.658249999999995</v>
      </c>
      <c r="G7" s="31">
        <v>3.0280540000000002E-2</v>
      </c>
      <c r="H7" s="19" t="s">
        <v>12</v>
      </c>
    </row>
    <row r="8" spans="1:10" x14ac:dyDescent="0.2">
      <c r="A8" s="27">
        <v>2</v>
      </c>
      <c r="B8" s="28" t="s">
        <v>518</v>
      </c>
      <c r="C8" s="28" t="s">
        <v>519</v>
      </c>
      <c r="D8" s="28" t="s">
        <v>517</v>
      </c>
      <c r="E8" s="29">
        <v>4200</v>
      </c>
      <c r="F8" s="30">
        <v>60.723599999999998</v>
      </c>
      <c r="G8" s="31">
        <v>2.2245129999999998E-2</v>
      </c>
      <c r="H8" s="19" t="s">
        <v>12</v>
      </c>
    </row>
    <row r="9" spans="1:10" x14ac:dyDescent="0.2">
      <c r="A9" s="27">
        <v>3</v>
      </c>
      <c r="B9" s="28" t="s">
        <v>520</v>
      </c>
      <c r="C9" s="28" t="s">
        <v>521</v>
      </c>
      <c r="D9" s="28" t="s">
        <v>522</v>
      </c>
      <c r="E9" s="29">
        <v>3400</v>
      </c>
      <c r="F9" s="30">
        <v>48.310600000000001</v>
      </c>
      <c r="G9" s="31">
        <v>1.769782E-2</v>
      </c>
      <c r="H9" s="19" t="s">
        <v>12</v>
      </c>
    </row>
    <row r="10" spans="1:10" x14ac:dyDescent="0.2">
      <c r="A10" s="27">
        <v>4</v>
      </c>
      <c r="B10" s="28" t="s">
        <v>523</v>
      </c>
      <c r="C10" s="28" t="s">
        <v>524</v>
      </c>
      <c r="D10" s="28" t="s">
        <v>525</v>
      </c>
      <c r="E10" s="29">
        <v>2500</v>
      </c>
      <c r="F10" s="30">
        <v>46.405000000000001</v>
      </c>
      <c r="G10" s="31">
        <v>1.6999730000000001E-2</v>
      </c>
      <c r="H10" s="19" t="s">
        <v>12</v>
      </c>
    </row>
    <row r="11" spans="1:10" x14ac:dyDescent="0.2">
      <c r="A11" s="27">
        <v>5</v>
      </c>
      <c r="B11" s="28" t="s">
        <v>526</v>
      </c>
      <c r="C11" s="28" t="s">
        <v>527</v>
      </c>
      <c r="D11" s="28" t="s">
        <v>528</v>
      </c>
      <c r="E11" s="29">
        <v>1848</v>
      </c>
      <c r="F11" s="30">
        <v>30.244368000000001</v>
      </c>
      <c r="G11" s="31">
        <v>1.1079540000000001E-2</v>
      </c>
      <c r="H11" s="19" t="s">
        <v>12</v>
      </c>
    </row>
    <row r="12" spans="1:10" x14ac:dyDescent="0.2">
      <c r="A12" s="27">
        <v>6</v>
      </c>
      <c r="B12" s="28" t="s">
        <v>529</v>
      </c>
      <c r="C12" s="28" t="s">
        <v>530</v>
      </c>
      <c r="D12" s="28" t="s">
        <v>528</v>
      </c>
      <c r="E12" s="29">
        <v>1750</v>
      </c>
      <c r="F12" s="30">
        <v>27.347249999999999</v>
      </c>
      <c r="G12" s="31">
        <v>1.0018229999999999E-2</v>
      </c>
      <c r="H12" s="19" t="s">
        <v>12</v>
      </c>
    </row>
    <row r="13" spans="1:10" ht="25.5" x14ac:dyDescent="0.2">
      <c r="A13" s="69">
        <v>7</v>
      </c>
      <c r="B13" s="70" t="s">
        <v>710</v>
      </c>
      <c r="C13" s="70" t="s">
        <v>711</v>
      </c>
      <c r="D13" s="70" t="s">
        <v>712</v>
      </c>
      <c r="E13" s="71">
        <v>30000</v>
      </c>
      <c r="F13" s="72">
        <f>2459400/10^5</f>
        <v>24.594000000000001</v>
      </c>
      <c r="G13" s="73">
        <f>F13/F99</f>
        <v>9.0096211209255359E-3</v>
      </c>
      <c r="H13" s="19" t="s">
        <v>12</v>
      </c>
      <c r="J13" s="74"/>
    </row>
    <row r="14" spans="1:10" x14ac:dyDescent="0.2">
      <c r="A14" s="27">
        <v>8</v>
      </c>
      <c r="B14" s="28" t="s">
        <v>531</v>
      </c>
      <c r="C14" s="28" t="s">
        <v>532</v>
      </c>
      <c r="D14" s="28" t="s">
        <v>517</v>
      </c>
      <c r="E14" s="29">
        <v>2000</v>
      </c>
      <c r="F14" s="30">
        <v>23.844000000000001</v>
      </c>
      <c r="G14" s="31">
        <v>8.7348700000000005E-3</v>
      </c>
      <c r="H14" s="19" t="s">
        <v>12</v>
      </c>
    </row>
    <row r="15" spans="1:10" x14ac:dyDescent="0.2">
      <c r="A15" s="27">
        <v>9</v>
      </c>
      <c r="B15" s="28" t="s">
        <v>533</v>
      </c>
      <c r="C15" s="28" t="s">
        <v>534</v>
      </c>
      <c r="D15" s="28" t="s">
        <v>517</v>
      </c>
      <c r="E15" s="29">
        <v>2600</v>
      </c>
      <c r="F15" s="30">
        <v>21.119800000000001</v>
      </c>
      <c r="G15" s="31">
        <v>7.7368999999999997E-3</v>
      </c>
      <c r="H15" s="19" t="s">
        <v>12</v>
      </c>
    </row>
    <row r="16" spans="1:10" x14ac:dyDescent="0.2">
      <c r="A16" s="27">
        <v>10</v>
      </c>
      <c r="B16" s="28" t="s">
        <v>535</v>
      </c>
      <c r="C16" s="28" t="s">
        <v>536</v>
      </c>
      <c r="D16" s="28" t="s">
        <v>537</v>
      </c>
      <c r="E16" s="29">
        <v>4000</v>
      </c>
      <c r="F16" s="30">
        <v>16.722000000000001</v>
      </c>
      <c r="G16" s="31">
        <v>6.1258399999999996E-3</v>
      </c>
      <c r="H16" s="19" t="s">
        <v>12</v>
      </c>
    </row>
    <row r="17" spans="1:8" x14ac:dyDescent="0.2">
      <c r="A17" s="27">
        <v>11</v>
      </c>
      <c r="B17" s="28" t="s">
        <v>538</v>
      </c>
      <c r="C17" s="28" t="s">
        <v>539</v>
      </c>
      <c r="D17" s="28" t="s">
        <v>522</v>
      </c>
      <c r="E17" s="29">
        <v>5000</v>
      </c>
      <c r="F17" s="30">
        <v>15.92</v>
      </c>
      <c r="G17" s="31">
        <v>5.8320400000000001E-3</v>
      </c>
      <c r="H17" s="19" t="s">
        <v>12</v>
      </c>
    </row>
    <row r="18" spans="1:8" x14ac:dyDescent="0.2">
      <c r="A18" s="27">
        <v>12</v>
      </c>
      <c r="B18" s="28" t="s">
        <v>540</v>
      </c>
      <c r="C18" s="28" t="s">
        <v>541</v>
      </c>
      <c r="D18" s="28" t="s">
        <v>542</v>
      </c>
      <c r="E18" s="29">
        <v>400</v>
      </c>
      <c r="F18" s="30">
        <v>14.7004</v>
      </c>
      <c r="G18" s="31">
        <v>5.3852600000000002E-3</v>
      </c>
      <c r="H18" s="19" t="s">
        <v>12</v>
      </c>
    </row>
    <row r="19" spans="1:8" ht="25.5" x14ac:dyDescent="0.2">
      <c r="A19" s="27">
        <v>13</v>
      </c>
      <c r="B19" s="28" t="s">
        <v>543</v>
      </c>
      <c r="C19" s="28" t="s">
        <v>544</v>
      </c>
      <c r="D19" s="28" t="s">
        <v>545</v>
      </c>
      <c r="E19" s="29">
        <v>2000</v>
      </c>
      <c r="F19" s="30">
        <v>14.329000000000001</v>
      </c>
      <c r="G19" s="31">
        <v>5.2491999999999999E-3</v>
      </c>
      <c r="H19" s="19" t="s">
        <v>12</v>
      </c>
    </row>
    <row r="20" spans="1:8" ht="25.5" x14ac:dyDescent="0.2">
      <c r="A20" s="27">
        <v>14</v>
      </c>
      <c r="B20" s="28" t="s">
        <v>546</v>
      </c>
      <c r="C20" s="28" t="s">
        <v>547</v>
      </c>
      <c r="D20" s="28" t="s">
        <v>548</v>
      </c>
      <c r="E20" s="29">
        <v>125</v>
      </c>
      <c r="F20" s="30">
        <v>14.012499999999999</v>
      </c>
      <c r="G20" s="31">
        <v>5.1332599999999997E-3</v>
      </c>
      <c r="H20" s="19" t="s">
        <v>12</v>
      </c>
    </row>
    <row r="21" spans="1:8" x14ac:dyDescent="0.2">
      <c r="A21" s="27">
        <v>15</v>
      </c>
      <c r="B21" s="28" t="s">
        <v>549</v>
      </c>
      <c r="C21" s="28" t="s">
        <v>550</v>
      </c>
      <c r="D21" s="28" t="s">
        <v>517</v>
      </c>
      <c r="E21" s="29">
        <v>675</v>
      </c>
      <c r="F21" s="30">
        <v>14.004225</v>
      </c>
      <c r="G21" s="31">
        <v>5.1302300000000004E-3</v>
      </c>
      <c r="H21" s="19" t="s">
        <v>12</v>
      </c>
    </row>
    <row r="22" spans="1:8" x14ac:dyDescent="0.2">
      <c r="A22" s="27">
        <v>16</v>
      </c>
      <c r="B22" s="28" t="s">
        <v>551</v>
      </c>
      <c r="C22" s="28" t="s">
        <v>552</v>
      </c>
      <c r="D22" s="28" t="s">
        <v>553</v>
      </c>
      <c r="E22" s="29">
        <v>160</v>
      </c>
      <c r="F22" s="30">
        <v>13.7712</v>
      </c>
      <c r="G22" s="31">
        <v>5.04486E-3</v>
      </c>
      <c r="H22" s="19" t="s">
        <v>12</v>
      </c>
    </row>
    <row r="23" spans="1:8" x14ac:dyDescent="0.2">
      <c r="A23" s="27">
        <v>17</v>
      </c>
      <c r="B23" s="28" t="s">
        <v>554</v>
      </c>
      <c r="C23" s="28" t="s">
        <v>555</v>
      </c>
      <c r="D23" s="28" t="s">
        <v>556</v>
      </c>
      <c r="E23" s="29">
        <v>900</v>
      </c>
      <c r="F23" s="30">
        <v>13.680899999999999</v>
      </c>
      <c r="G23" s="31">
        <v>5.0117800000000004E-3</v>
      </c>
      <c r="H23" s="19" t="s">
        <v>12</v>
      </c>
    </row>
    <row r="24" spans="1:8" x14ac:dyDescent="0.2">
      <c r="A24" s="27">
        <v>18</v>
      </c>
      <c r="B24" s="28" t="s">
        <v>557</v>
      </c>
      <c r="C24" s="28" t="s">
        <v>558</v>
      </c>
      <c r="D24" s="28" t="s">
        <v>559</v>
      </c>
      <c r="E24" s="29">
        <v>2000</v>
      </c>
      <c r="F24" s="30">
        <v>13.247999999999999</v>
      </c>
      <c r="G24" s="31">
        <v>4.8531900000000003E-3</v>
      </c>
      <c r="H24" s="19" t="s">
        <v>12</v>
      </c>
    </row>
    <row r="25" spans="1:8" x14ac:dyDescent="0.2">
      <c r="A25" s="27">
        <v>19</v>
      </c>
      <c r="B25" s="28" t="s">
        <v>560</v>
      </c>
      <c r="C25" s="28" t="s">
        <v>561</v>
      </c>
      <c r="D25" s="28" t="s">
        <v>562</v>
      </c>
      <c r="E25" s="29">
        <v>2000</v>
      </c>
      <c r="F25" s="30">
        <v>13.111000000000001</v>
      </c>
      <c r="G25" s="31">
        <v>4.8030099999999999E-3</v>
      </c>
      <c r="H25" s="19" t="s">
        <v>12</v>
      </c>
    </row>
    <row r="26" spans="1:8" ht="25.5" x14ac:dyDescent="0.2">
      <c r="A26" s="27">
        <v>20</v>
      </c>
      <c r="B26" s="28" t="s">
        <v>563</v>
      </c>
      <c r="C26" s="28" t="s">
        <v>564</v>
      </c>
      <c r="D26" s="28" t="s">
        <v>565</v>
      </c>
      <c r="E26" s="29">
        <v>250</v>
      </c>
      <c r="F26" s="30">
        <v>12.74625</v>
      </c>
      <c r="G26" s="31">
        <v>4.6693899999999998E-3</v>
      </c>
      <c r="H26" s="19" t="s">
        <v>12</v>
      </c>
    </row>
    <row r="27" spans="1:8" x14ac:dyDescent="0.2">
      <c r="A27" s="27">
        <v>21</v>
      </c>
      <c r="B27" s="28" t="s">
        <v>566</v>
      </c>
      <c r="C27" s="28" t="s">
        <v>567</v>
      </c>
      <c r="D27" s="28" t="s">
        <v>553</v>
      </c>
      <c r="E27" s="29">
        <v>100</v>
      </c>
      <c r="F27" s="30">
        <v>12.319000000000001</v>
      </c>
      <c r="G27" s="31">
        <v>4.5128700000000004E-3</v>
      </c>
      <c r="H27" s="19" t="s">
        <v>12</v>
      </c>
    </row>
    <row r="28" spans="1:8" ht="25.5" x14ac:dyDescent="0.2">
      <c r="A28" s="27">
        <v>22</v>
      </c>
      <c r="B28" s="28" t="s">
        <v>568</v>
      </c>
      <c r="C28" s="28" t="s">
        <v>569</v>
      </c>
      <c r="D28" s="28" t="s">
        <v>570</v>
      </c>
      <c r="E28" s="29">
        <v>320</v>
      </c>
      <c r="F28" s="30">
        <v>12.23584</v>
      </c>
      <c r="G28" s="31">
        <v>4.48241E-3</v>
      </c>
      <c r="H28" s="19" t="s">
        <v>12</v>
      </c>
    </row>
    <row r="29" spans="1:8" ht="25.5" x14ac:dyDescent="0.2">
      <c r="A29" s="27">
        <v>23</v>
      </c>
      <c r="B29" s="28" t="s">
        <v>571</v>
      </c>
      <c r="C29" s="28" t="s">
        <v>572</v>
      </c>
      <c r="D29" s="28" t="s">
        <v>548</v>
      </c>
      <c r="E29" s="29">
        <v>450</v>
      </c>
      <c r="F29" s="30">
        <v>11.456099999999999</v>
      </c>
      <c r="G29" s="31">
        <v>4.1967599999999999E-3</v>
      </c>
      <c r="H29" s="19" t="s">
        <v>12</v>
      </c>
    </row>
    <row r="30" spans="1:8" x14ac:dyDescent="0.2">
      <c r="A30" s="20"/>
      <c r="B30" s="20"/>
      <c r="C30" s="21" t="s">
        <v>11</v>
      </c>
      <c r="D30" s="20"/>
      <c r="E30" s="20" t="s">
        <v>12</v>
      </c>
      <c r="F30" s="26">
        <f>SUM(F7:F29)</f>
        <v>557.50328300000001</v>
      </c>
      <c r="G30" s="23">
        <f>SUM(G7:G29)</f>
        <v>0.20423248112092557</v>
      </c>
      <c r="H30" s="19" t="s">
        <v>12</v>
      </c>
    </row>
    <row r="31" spans="1:8" x14ac:dyDescent="0.2">
      <c r="A31" s="20"/>
      <c r="B31" s="20"/>
      <c r="C31" s="24"/>
      <c r="D31" s="20"/>
      <c r="E31" s="20"/>
      <c r="F31" s="25"/>
      <c r="G31" s="25"/>
      <c r="H31" s="19" t="s">
        <v>12</v>
      </c>
    </row>
    <row r="32" spans="1:8" x14ac:dyDescent="0.2">
      <c r="A32" s="20"/>
      <c r="B32" s="20"/>
      <c r="C32" s="21" t="s">
        <v>14</v>
      </c>
      <c r="D32" s="20"/>
      <c r="E32" s="20"/>
      <c r="F32" s="20"/>
      <c r="G32" s="20"/>
      <c r="H32" s="19" t="s">
        <v>12</v>
      </c>
    </row>
    <row r="33" spans="1:8" x14ac:dyDescent="0.2">
      <c r="A33" s="20"/>
      <c r="B33" s="20"/>
      <c r="C33" s="21" t="s">
        <v>11</v>
      </c>
      <c r="D33" s="20"/>
      <c r="E33" s="20" t="s">
        <v>12</v>
      </c>
      <c r="F33" s="22" t="s">
        <v>13</v>
      </c>
      <c r="G33" s="23">
        <v>0</v>
      </c>
      <c r="H33" s="19" t="s">
        <v>12</v>
      </c>
    </row>
    <row r="34" spans="1:8" x14ac:dyDescent="0.2">
      <c r="A34" s="20"/>
      <c r="B34" s="20"/>
      <c r="C34" s="24"/>
      <c r="D34" s="20"/>
      <c r="E34" s="20"/>
      <c r="F34" s="25"/>
      <c r="G34" s="25"/>
      <c r="H34" s="19" t="s">
        <v>12</v>
      </c>
    </row>
    <row r="35" spans="1:8" x14ac:dyDescent="0.2">
      <c r="A35" s="20"/>
      <c r="B35" s="20"/>
      <c r="C35" s="21" t="s">
        <v>15</v>
      </c>
      <c r="D35" s="20"/>
      <c r="E35" s="20"/>
      <c r="F35" s="20"/>
      <c r="G35" s="20"/>
      <c r="H35" s="19" t="s">
        <v>12</v>
      </c>
    </row>
    <row r="36" spans="1:8" x14ac:dyDescent="0.2">
      <c r="A36" s="20"/>
      <c r="B36" s="20"/>
      <c r="C36" s="21" t="s">
        <v>11</v>
      </c>
      <c r="D36" s="20"/>
      <c r="E36" s="20" t="s">
        <v>12</v>
      </c>
      <c r="F36" s="22" t="s">
        <v>13</v>
      </c>
      <c r="G36" s="23">
        <v>0</v>
      </c>
      <c r="H36" s="19" t="s">
        <v>12</v>
      </c>
    </row>
    <row r="37" spans="1:8" x14ac:dyDescent="0.2">
      <c r="A37" s="20"/>
      <c r="B37" s="20"/>
      <c r="C37" s="24"/>
      <c r="D37" s="20"/>
      <c r="E37" s="20"/>
      <c r="F37" s="25"/>
      <c r="G37" s="25"/>
      <c r="H37" s="19" t="s">
        <v>12</v>
      </c>
    </row>
    <row r="38" spans="1:8" x14ac:dyDescent="0.2">
      <c r="A38" s="20"/>
      <c r="B38" s="20"/>
      <c r="C38" s="21" t="s">
        <v>16</v>
      </c>
      <c r="D38" s="20"/>
      <c r="E38" s="20"/>
      <c r="F38" s="20"/>
      <c r="G38" s="20"/>
      <c r="H38" s="19" t="s">
        <v>12</v>
      </c>
    </row>
    <row r="39" spans="1:8" x14ac:dyDescent="0.2">
      <c r="A39" s="27">
        <v>1</v>
      </c>
      <c r="B39" s="28" t="s">
        <v>573</v>
      </c>
      <c r="C39" s="28" t="s">
        <v>713</v>
      </c>
      <c r="D39" s="28" t="s">
        <v>525</v>
      </c>
      <c r="E39" s="29">
        <v>218</v>
      </c>
      <c r="F39" s="30">
        <v>3.0559240000000001</v>
      </c>
      <c r="G39" s="31">
        <v>1.1194899999999999E-3</v>
      </c>
      <c r="H39" s="19" t="s">
        <v>12</v>
      </c>
    </row>
    <row r="40" spans="1:8" x14ac:dyDescent="0.2">
      <c r="A40" s="20"/>
      <c r="B40" s="20"/>
      <c r="C40" s="21" t="s">
        <v>11</v>
      </c>
      <c r="D40" s="20"/>
      <c r="E40" s="20" t="s">
        <v>12</v>
      </c>
      <c r="F40" s="26">
        <v>3.0559240000000001</v>
      </c>
      <c r="G40" s="23">
        <v>1.1194899999999999E-3</v>
      </c>
      <c r="H40" s="19" t="s">
        <v>12</v>
      </c>
    </row>
    <row r="41" spans="1:8" x14ac:dyDescent="0.2">
      <c r="A41" s="20"/>
      <c r="B41" s="20"/>
      <c r="C41" s="24"/>
      <c r="D41" s="20"/>
      <c r="E41" s="20"/>
      <c r="F41" s="25"/>
      <c r="G41" s="25"/>
      <c r="H41" s="19" t="s">
        <v>12</v>
      </c>
    </row>
    <row r="42" spans="1:8" x14ac:dyDescent="0.2">
      <c r="A42" s="20"/>
      <c r="B42" s="20"/>
      <c r="C42" s="21" t="s">
        <v>17</v>
      </c>
      <c r="D42" s="20"/>
      <c r="E42" s="20"/>
      <c r="F42" s="25"/>
      <c r="G42" s="25"/>
      <c r="H42" s="19" t="s">
        <v>12</v>
      </c>
    </row>
    <row r="43" spans="1:8" x14ac:dyDescent="0.2">
      <c r="A43" s="20"/>
      <c r="B43" s="20"/>
      <c r="C43" s="21" t="s">
        <v>11</v>
      </c>
      <c r="D43" s="20"/>
      <c r="E43" s="20" t="s">
        <v>12</v>
      </c>
      <c r="F43" s="22" t="s">
        <v>13</v>
      </c>
      <c r="G43" s="23">
        <v>0</v>
      </c>
      <c r="H43" s="19" t="s">
        <v>12</v>
      </c>
    </row>
    <row r="44" spans="1:8" x14ac:dyDescent="0.2">
      <c r="A44" s="20"/>
      <c r="B44" s="20"/>
      <c r="C44" s="24"/>
      <c r="D44" s="20"/>
      <c r="E44" s="20"/>
      <c r="F44" s="25"/>
      <c r="G44" s="25"/>
      <c r="H44" s="19" t="s">
        <v>12</v>
      </c>
    </row>
    <row r="45" spans="1:8" x14ac:dyDescent="0.2">
      <c r="A45" s="20"/>
      <c r="B45" s="20"/>
      <c r="C45" s="21" t="s">
        <v>18</v>
      </c>
      <c r="D45" s="20"/>
      <c r="E45" s="20"/>
      <c r="F45" s="25"/>
      <c r="G45" s="25"/>
      <c r="H45" s="19" t="s">
        <v>12</v>
      </c>
    </row>
    <row r="46" spans="1:8" x14ac:dyDescent="0.2">
      <c r="A46" s="20"/>
      <c r="B46" s="20"/>
      <c r="C46" s="21" t="s">
        <v>11</v>
      </c>
      <c r="D46" s="20"/>
      <c r="E46" s="20" t="s">
        <v>12</v>
      </c>
      <c r="F46" s="22" t="s">
        <v>13</v>
      </c>
      <c r="G46" s="23">
        <v>0</v>
      </c>
      <c r="H46" s="19" t="s">
        <v>12</v>
      </c>
    </row>
    <row r="47" spans="1:8" x14ac:dyDescent="0.2">
      <c r="A47" s="20"/>
      <c r="B47" s="20"/>
      <c r="C47" s="24"/>
      <c r="D47" s="20"/>
      <c r="E47" s="20"/>
      <c r="F47" s="25"/>
      <c r="G47" s="25"/>
      <c r="H47" s="19" t="s">
        <v>12</v>
      </c>
    </row>
    <row r="48" spans="1:8" x14ac:dyDescent="0.2">
      <c r="A48" s="20"/>
      <c r="B48" s="20"/>
      <c r="C48" s="21" t="s">
        <v>19</v>
      </c>
      <c r="D48" s="20"/>
      <c r="E48" s="20"/>
      <c r="F48" s="26">
        <f>F40+F30</f>
        <v>560.55920700000001</v>
      </c>
      <c r="G48" s="23">
        <f>G40+G30</f>
        <v>0.20535197112092557</v>
      </c>
      <c r="H48" s="19" t="s">
        <v>12</v>
      </c>
    </row>
    <row r="49" spans="1:8" x14ac:dyDescent="0.2">
      <c r="A49" s="20"/>
      <c r="B49" s="20"/>
      <c r="C49" s="24"/>
      <c r="D49" s="20"/>
      <c r="E49" s="20"/>
      <c r="F49" s="25"/>
      <c r="G49" s="25"/>
      <c r="H49" s="19" t="s">
        <v>12</v>
      </c>
    </row>
    <row r="50" spans="1:8" x14ac:dyDescent="0.2">
      <c r="A50" s="20"/>
      <c r="B50" s="20"/>
      <c r="C50" s="21" t="s">
        <v>20</v>
      </c>
      <c r="D50" s="20"/>
      <c r="E50" s="20"/>
      <c r="F50" s="25"/>
      <c r="G50" s="25"/>
      <c r="H50" s="19" t="s">
        <v>12</v>
      </c>
    </row>
    <row r="51" spans="1:8" x14ac:dyDescent="0.2">
      <c r="A51" s="20"/>
      <c r="B51" s="20"/>
      <c r="C51" s="21" t="s">
        <v>10</v>
      </c>
      <c r="D51" s="20"/>
      <c r="E51" s="20"/>
      <c r="F51" s="25"/>
      <c r="G51" s="25"/>
      <c r="H51" s="19" t="s">
        <v>12</v>
      </c>
    </row>
    <row r="52" spans="1:8" x14ac:dyDescent="0.2">
      <c r="A52" s="20"/>
      <c r="B52" s="20"/>
      <c r="C52" s="21" t="s">
        <v>11</v>
      </c>
      <c r="D52" s="20"/>
      <c r="E52" s="20" t="s">
        <v>12</v>
      </c>
      <c r="F52" s="22" t="s">
        <v>13</v>
      </c>
      <c r="G52" s="23">
        <v>0</v>
      </c>
      <c r="H52" s="19" t="s">
        <v>12</v>
      </c>
    </row>
    <row r="53" spans="1:8" x14ac:dyDescent="0.2">
      <c r="A53" s="20"/>
      <c r="B53" s="20"/>
      <c r="C53" s="24"/>
      <c r="D53" s="20"/>
      <c r="E53" s="20"/>
      <c r="F53" s="25"/>
      <c r="G53" s="25"/>
      <c r="H53" s="19" t="s">
        <v>12</v>
      </c>
    </row>
    <row r="54" spans="1:8" x14ac:dyDescent="0.2">
      <c r="A54" s="20"/>
      <c r="B54" s="20"/>
      <c r="C54" s="21" t="s">
        <v>77</v>
      </c>
      <c r="D54" s="20"/>
      <c r="E54" s="20"/>
      <c r="F54" s="20"/>
      <c r="G54" s="20"/>
      <c r="H54" s="19" t="s">
        <v>12</v>
      </c>
    </row>
    <row r="55" spans="1:8" x14ac:dyDescent="0.2">
      <c r="A55" s="20"/>
      <c r="B55" s="20"/>
      <c r="C55" s="21" t="s">
        <v>11</v>
      </c>
      <c r="D55" s="20"/>
      <c r="E55" s="20" t="s">
        <v>12</v>
      </c>
      <c r="F55" s="22" t="s">
        <v>13</v>
      </c>
      <c r="G55" s="23">
        <v>0</v>
      </c>
      <c r="H55" s="19" t="s">
        <v>12</v>
      </c>
    </row>
    <row r="56" spans="1:8" x14ac:dyDescent="0.2">
      <c r="A56" s="20"/>
      <c r="B56" s="20"/>
      <c r="C56" s="24"/>
      <c r="D56" s="20"/>
      <c r="E56" s="20"/>
      <c r="F56" s="25"/>
      <c r="G56" s="25"/>
      <c r="H56" s="19" t="s">
        <v>12</v>
      </c>
    </row>
    <row r="57" spans="1:8" x14ac:dyDescent="0.2">
      <c r="A57" s="20"/>
      <c r="B57" s="20"/>
      <c r="C57" s="21" t="s">
        <v>78</v>
      </c>
      <c r="D57" s="20"/>
      <c r="E57" s="20"/>
      <c r="F57" s="20"/>
      <c r="G57" s="20"/>
      <c r="H57" s="19" t="s">
        <v>12</v>
      </c>
    </row>
    <row r="58" spans="1:8" ht="25.5" x14ac:dyDescent="0.2">
      <c r="A58" s="27">
        <v>1</v>
      </c>
      <c r="B58" s="28" t="s">
        <v>88</v>
      </c>
      <c r="C58" s="28" t="s">
        <v>89</v>
      </c>
      <c r="D58" s="28" t="s">
        <v>81</v>
      </c>
      <c r="E58" s="29">
        <v>1000000</v>
      </c>
      <c r="F58" s="30">
        <v>1033.3130000000001</v>
      </c>
      <c r="G58" s="31">
        <v>0.37853779999999998</v>
      </c>
      <c r="H58" s="19">
        <v>6.9405999999999999</v>
      </c>
    </row>
    <row r="59" spans="1:8" ht="25.5" x14ac:dyDescent="0.2">
      <c r="A59" s="27">
        <v>2</v>
      </c>
      <c r="B59" s="28" t="s">
        <v>98</v>
      </c>
      <c r="C59" s="28" t="s">
        <v>99</v>
      </c>
      <c r="D59" s="28" t="s">
        <v>81</v>
      </c>
      <c r="E59" s="29">
        <v>100000</v>
      </c>
      <c r="F59" s="30">
        <v>105.41800000000001</v>
      </c>
      <c r="G59" s="31">
        <v>3.861821E-2</v>
      </c>
      <c r="H59" s="19">
        <v>6.3898000000000001</v>
      </c>
    </row>
    <row r="60" spans="1:8" x14ac:dyDescent="0.2">
      <c r="A60" s="20"/>
      <c r="B60" s="20"/>
      <c r="C60" s="21" t="s">
        <v>11</v>
      </c>
      <c r="D60" s="20"/>
      <c r="E60" s="20" t="s">
        <v>12</v>
      </c>
      <c r="F60" s="26">
        <v>1138.731</v>
      </c>
      <c r="G60" s="23">
        <v>0.41715601000000002</v>
      </c>
      <c r="H60" s="19" t="s">
        <v>12</v>
      </c>
    </row>
    <row r="61" spans="1:8" x14ac:dyDescent="0.2">
      <c r="A61" s="20"/>
      <c r="B61" s="20"/>
      <c r="C61" s="24"/>
      <c r="D61" s="20"/>
      <c r="E61" s="20"/>
      <c r="F61" s="25"/>
      <c r="G61" s="25"/>
      <c r="H61" s="19" t="s">
        <v>12</v>
      </c>
    </row>
    <row r="62" spans="1:8" x14ac:dyDescent="0.2">
      <c r="A62" s="20"/>
      <c r="B62" s="20"/>
      <c r="C62" s="21" t="s">
        <v>100</v>
      </c>
      <c r="D62" s="20"/>
      <c r="E62" s="20"/>
      <c r="F62" s="25"/>
      <c r="G62" s="25"/>
      <c r="H62" s="19" t="s">
        <v>12</v>
      </c>
    </row>
    <row r="63" spans="1:8" x14ac:dyDescent="0.2">
      <c r="A63" s="20"/>
      <c r="B63" s="20"/>
      <c r="C63" s="21" t="s">
        <v>11</v>
      </c>
      <c r="D63" s="20"/>
      <c r="E63" s="20" t="s">
        <v>12</v>
      </c>
      <c r="F63" s="22" t="s">
        <v>13</v>
      </c>
      <c r="G63" s="23">
        <v>0</v>
      </c>
      <c r="H63" s="19" t="s">
        <v>12</v>
      </c>
    </row>
    <row r="64" spans="1:8" x14ac:dyDescent="0.2">
      <c r="A64" s="20"/>
      <c r="B64" s="20"/>
      <c r="C64" s="24"/>
      <c r="D64" s="20"/>
      <c r="E64" s="20"/>
      <c r="F64" s="25"/>
      <c r="G64" s="25"/>
      <c r="H64" s="19" t="s">
        <v>12</v>
      </c>
    </row>
    <row r="65" spans="1:8" x14ac:dyDescent="0.2">
      <c r="A65" s="20"/>
      <c r="B65" s="20"/>
      <c r="C65" s="21" t="s">
        <v>101</v>
      </c>
      <c r="D65" s="20"/>
      <c r="E65" s="20"/>
      <c r="F65" s="26">
        <v>1138.731</v>
      </c>
      <c r="G65" s="23">
        <v>0.41715601000000002</v>
      </c>
      <c r="H65" s="19" t="s">
        <v>12</v>
      </c>
    </row>
    <row r="66" spans="1:8" x14ac:dyDescent="0.2">
      <c r="A66" s="20"/>
      <c r="B66" s="20"/>
      <c r="C66" s="24"/>
      <c r="D66" s="20"/>
      <c r="E66" s="20"/>
      <c r="F66" s="25"/>
      <c r="G66" s="25"/>
      <c r="H66" s="19" t="s">
        <v>12</v>
      </c>
    </row>
    <row r="67" spans="1:8" x14ac:dyDescent="0.2">
      <c r="A67" s="20"/>
      <c r="B67" s="20"/>
      <c r="C67" s="21" t="s">
        <v>102</v>
      </c>
      <c r="D67" s="20"/>
      <c r="E67" s="20"/>
      <c r="F67" s="25"/>
      <c r="G67" s="25"/>
      <c r="H67" s="19" t="s">
        <v>12</v>
      </c>
    </row>
    <row r="68" spans="1:8" x14ac:dyDescent="0.2">
      <c r="A68" s="20"/>
      <c r="B68" s="20"/>
      <c r="C68" s="21" t="s">
        <v>103</v>
      </c>
      <c r="D68" s="20"/>
      <c r="E68" s="20"/>
      <c r="F68" s="25"/>
      <c r="G68" s="25"/>
      <c r="H68" s="19" t="s">
        <v>12</v>
      </c>
    </row>
    <row r="69" spans="1:8" x14ac:dyDescent="0.2">
      <c r="A69" s="20"/>
      <c r="B69" s="20"/>
      <c r="C69" s="21" t="s">
        <v>11</v>
      </c>
      <c r="D69" s="20"/>
      <c r="E69" s="20" t="s">
        <v>12</v>
      </c>
      <c r="F69" s="22" t="s">
        <v>13</v>
      </c>
      <c r="G69" s="23">
        <v>0</v>
      </c>
      <c r="H69" s="19" t="s">
        <v>12</v>
      </c>
    </row>
    <row r="70" spans="1:8" x14ac:dyDescent="0.2">
      <c r="A70" s="20"/>
      <c r="B70" s="20"/>
      <c r="C70" s="24"/>
      <c r="D70" s="20"/>
      <c r="E70" s="20"/>
      <c r="F70" s="25"/>
      <c r="G70" s="25"/>
      <c r="H70" s="19" t="s">
        <v>12</v>
      </c>
    </row>
    <row r="71" spans="1:8" x14ac:dyDescent="0.2">
      <c r="A71" s="20"/>
      <c r="B71" s="20"/>
      <c r="C71" s="21" t="s">
        <v>104</v>
      </c>
      <c r="D71" s="20"/>
      <c r="E71" s="20"/>
      <c r="F71" s="25"/>
      <c r="G71" s="25"/>
      <c r="H71" s="19" t="s">
        <v>12</v>
      </c>
    </row>
    <row r="72" spans="1:8" x14ac:dyDescent="0.2">
      <c r="A72" s="20"/>
      <c r="B72" s="20"/>
      <c r="C72" s="21" t="s">
        <v>11</v>
      </c>
      <c r="D72" s="20"/>
      <c r="E72" s="20" t="s">
        <v>12</v>
      </c>
      <c r="F72" s="22" t="s">
        <v>13</v>
      </c>
      <c r="G72" s="23">
        <v>0</v>
      </c>
      <c r="H72" s="19" t="s">
        <v>12</v>
      </c>
    </row>
    <row r="73" spans="1:8" x14ac:dyDescent="0.2">
      <c r="A73" s="20"/>
      <c r="B73" s="20"/>
      <c r="C73" s="24"/>
      <c r="D73" s="20"/>
      <c r="E73" s="20"/>
      <c r="F73" s="25"/>
      <c r="G73" s="25"/>
      <c r="H73" s="19" t="s">
        <v>12</v>
      </c>
    </row>
    <row r="74" spans="1:8" x14ac:dyDescent="0.2">
      <c r="A74" s="20"/>
      <c r="B74" s="20"/>
      <c r="C74" s="21" t="s">
        <v>105</v>
      </c>
      <c r="D74" s="20"/>
      <c r="E74" s="20"/>
      <c r="F74" s="25"/>
      <c r="G74" s="25"/>
      <c r="H74" s="19" t="s">
        <v>12</v>
      </c>
    </row>
    <row r="75" spans="1:8" x14ac:dyDescent="0.2">
      <c r="A75" s="20"/>
      <c r="B75" s="20"/>
      <c r="C75" s="21" t="s">
        <v>11</v>
      </c>
      <c r="D75" s="20"/>
      <c r="E75" s="20" t="s">
        <v>12</v>
      </c>
      <c r="F75" s="22" t="s">
        <v>13</v>
      </c>
      <c r="G75" s="23">
        <v>0</v>
      </c>
      <c r="H75" s="19" t="s">
        <v>12</v>
      </c>
    </row>
    <row r="76" spans="1:8" x14ac:dyDescent="0.2">
      <c r="A76" s="20"/>
      <c r="B76" s="20"/>
      <c r="C76" s="24"/>
      <c r="D76" s="20"/>
      <c r="E76" s="20"/>
      <c r="F76" s="25"/>
      <c r="G76" s="25"/>
      <c r="H76" s="19" t="s">
        <v>12</v>
      </c>
    </row>
    <row r="77" spans="1:8" x14ac:dyDescent="0.2">
      <c r="A77" s="20"/>
      <c r="B77" s="20"/>
      <c r="C77" s="21" t="s">
        <v>106</v>
      </c>
      <c r="D77" s="20"/>
      <c r="E77" s="20"/>
      <c r="F77" s="25"/>
      <c r="G77" s="25"/>
      <c r="H77" s="19" t="s">
        <v>12</v>
      </c>
    </row>
    <row r="78" spans="1:8" x14ac:dyDescent="0.2">
      <c r="A78" s="27">
        <v>1</v>
      </c>
      <c r="B78" s="28"/>
      <c r="C78" s="28" t="s">
        <v>107</v>
      </c>
      <c r="D78" s="28"/>
      <c r="E78" s="32"/>
      <c r="F78" s="30">
        <v>977.86293560499996</v>
      </c>
      <c r="G78" s="31">
        <v>0.35822454999999997</v>
      </c>
      <c r="H78" s="19">
        <v>5.76</v>
      </c>
    </row>
    <row r="79" spans="1:8" x14ac:dyDescent="0.2">
      <c r="A79" s="20"/>
      <c r="B79" s="20"/>
      <c r="C79" s="21" t="s">
        <v>11</v>
      </c>
      <c r="D79" s="20"/>
      <c r="E79" s="20" t="s">
        <v>12</v>
      </c>
      <c r="F79" s="26">
        <v>977.86293560499996</v>
      </c>
      <c r="G79" s="23">
        <v>0.35822454999999997</v>
      </c>
      <c r="H79" s="19" t="s">
        <v>12</v>
      </c>
    </row>
    <row r="80" spans="1:8" x14ac:dyDescent="0.2">
      <c r="A80" s="20"/>
      <c r="B80" s="20"/>
      <c r="C80" s="24"/>
      <c r="D80" s="20"/>
      <c r="E80" s="20"/>
      <c r="F80" s="25"/>
      <c r="G80" s="25"/>
      <c r="H80" s="19" t="s">
        <v>12</v>
      </c>
    </row>
    <row r="81" spans="1:17" x14ac:dyDescent="0.2">
      <c r="A81" s="20"/>
      <c r="B81" s="20"/>
      <c r="C81" s="21" t="s">
        <v>108</v>
      </c>
      <c r="D81" s="20"/>
      <c r="E81" s="20"/>
      <c r="F81" s="26">
        <v>977.86293560499996</v>
      </c>
      <c r="G81" s="23">
        <v>0.35822454999999997</v>
      </c>
      <c r="H81" s="19" t="s">
        <v>12</v>
      </c>
    </row>
    <row r="82" spans="1:17" x14ac:dyDescent="0.2">
      <c r="A82" s="20"/>
      <c r="B82" s="20"/>
      <c r="C82" s="25"/>
      <c r="D82" s="20"/>
      <c r="E82" s="20"/>
      <c r="F82" s="20"/>
      <c r="G82" s="20"/>
      <c r="H82" s="19" t="s">
        <v>12</v>
      </c>
    </row>
    <row r="83" spans="1:17" x14ac:dyDescent="0.2">
      <c r="A83" s="20"/>
      <c r="B83" s="20"/>
      <c r="C83" s="21" t="s">
        <v>109</v>
      </c>
      <c r="D83" s="20"/>
      <c r="E83" s="20"/>
      <c r="F83" s="20"/>
      <c r="G83" s="20"/>
      <c r="H83" s="19" t="s">
        <v>12</v>
      </c>
    </row>
    <row r="84" spans="1:17" x14ac:dyDescent="0.2">
      <c r="A84" s="20"/>
      <c r="B84" s="20"/>
      <c r="C84" s="21" t="s">
        <v>110</v>
      </c>
      <c r="D84" s="20"/>
      <c r="E84" s="20"/>
      <c r="F84" s="20"/>
      <c r="G84" s="20"/>
      <c r="H84" s="19" t="s">
        <v>12</v>
      </c>
    </row>
    <row r="85" spans="1:17" x14ac:dyDescent="0.2">
      <c r="A85" s="20"/>
      <c r="B85" s="20"/>
      <c r="C85" s="21" t="s">
        <v>11</v>
      </c>
      <c r="D85" s="20"/>
      <c r="E85" s="20" t="s">
        <v>12</v>
      </c>
      <c r="F85" s="22" t="s">
        <v>13</v>
      </c>
      <c r="G85" s="23">
        <v>0</v>
      </c>
      <c r="H85" s="19" t="s">
        <v>12</v>
      </c>
    </row>
    <row r="86" spans="1:17" x14ac:dyDescent="0.2">
      <c r="A86" s="17"/>
      <c r="B86" s="17"/>
      <c r="C86" s="75"/>
      <c r="D86" s="17"/>
      <c r="E86" s="17"/>
      <c r="F86" s="42"/>
      <c r="G86" s="42"/>
      <c r="H86" s="76" t="s">
        <v>12</v>
      </c>
    </row>
    <row r="87" spans="1:17" ht="25.5" x14ac:dyDescent="0.2">
      <c r="A87" s="17"/>
      <c r="B87" s="17"/>
      <c r="C87" s="18" t="s">
        <v>596</v>
      </c>
      <c r="D87" s="17"/>
      <c r="E87" s="17"/>
      <c r="F87" s="42"/>
      <c r="G87" s="42"/>
      <c r="H87" s="72"/>
      <c r="K87" s="56"/>
      <c r="L87" s="56"/>
      <c r="M87" s="56"/>
      <c r="N87" s="56"/>
      <c r="O87" s="77"/>
      <c r="P87" s="77"/>
      <c r="Q87" s="77"/>
    </row>
    <row r="88" spans="1:17" ht="25.5" x14ac:dyDescent="0.2">
      <c r="A88" s="69">
        <v>1</v>
      </c>
      <c r="B88" s="70" t="s">
        <v>111</v>
      </c>
      <c r="C88" s="70" t="s">
        <v>112</v>
      </c>
      <c r="D88" s="70"/>
      <c r="E88" s="78">
        <v>76.796000000000006</v>
      </c>
      <c r="F88" s="72">
        <v>8.594205187</v>
      </c>
      <c r="G88" s="73">
        <v>3.1483499999999998E-3</v>
      </c>
      <c r="H88" s="76"/>
    </row>
    <row r="89" spans="1:17" x14ac:dyDescent="0.2">
      <c r="A89" s="17"/>
      <c r="B89" s="17"/>
      <c r="C89" s="18" t="s">
        <v>11</v>
      </c>
      <c r="D89" s="17"/>
      <c r="E89" s="17" t="s">
        <v>12</v>
      </c>
      <c r="F89" s="79">
        <f>SUM(F88)</f>
        <v>8.594205187</v>
      </c>
      <c r="G89" s="80">
        <f>SUM(G88)</f>
        <v>3.1483499999999998E-3</v>
      </c>
      <c r="H89" s="76" t="s">
        <v>12</v>
      </c>
    </row>
    <row r="90" spans="1:17" x14ac:dyDescent="0.2">
      <c r="A90" s="20"/>
      <c r="B90" s="20"/>
      <c r="C90" s="24"/>
      <c r="D90" s="20"/>
      <c r="E90" s="20"/>
      <c r="F90" s="25"/>
      <c r="G90" s="25"/>
      <c r="H90" s="19" t="s">
        <v>12</v>
      </c>
    </row>
    <row r="91" spans="1:17" x14ac:dyDescent="0.2">
      <c r="A91" s="20"/>
      <c r="B91" s="20"/>
      <c r="C91" s="21" t="s">
        <v>113</v>
      </c>
      <c r="D91" s="20"/>
      <c r="E91" s="20"/>
      <c r="F91" s="20"/>
      <c r="G91" s="20"/>
      <c r="H91" s="19" t="s">
        <v>12</v>
      </c>
    </row>
    <row r="92" spans="1:17" x14ac:dyDescent="0.2">
      <c r="A92" s="20"/>
      <c r="B92" s="20"/>
      <c r="C92" s="21" t="s">
        <v>114</v>
      </c>
      <c r="D92" s="20"/>
      <c r="E92" s="20"/>
      <c r="F92" s="20"/>
      <c r="G92" s="20"/>
      <c r="H92" s="19" t="s">
        <v>12</v>
      </c>
    </row>
    <row r="93" spans="1:17" x14ac:dyDescent="0.2">
      <c r="A93" s="20"/>
      <c r="B93" s="20"/>
      <c r="C93" s="21" t="s">
        <v>11</v>
      </c>
      <c r="D93" s="20"/>
      <c r="E93" s="20" t="s">
        <v>12</v>
      </c>
      <c r="F93" s="22" t="s">
        <v>13</v>
      </c>
      <c r="G93" s="23">
        <v>0</v>
      </c>
      <c r="H93" s="19" t="s">
        <v>12</v>
      </c>
    </row>
    <row r="94" spans="1:17" x14ac:dyDescent="0.2">
      <c r="A94" s="20"/>
      <c r="B94" s="20"/>
      <c r="C94" s="24"/>
      <c r="D94" s="20"/>
      <c r="E94" s="20"/>
      <c r="F94" s="25"/>
      <c r="G94" s="25"/>
      <c r="H94" s="19" t="s">
        <v>12</v>
      </c>
    </row>
    <row r="95" spans="1:17" ht="25.5" x14ac:dyDescent="0.2">
      <c r="A95" s="20"/>
      <c r="B95" s="20"/>
      <c r="C95" s="21" t="s">
        <v>115</v>
      </c>
      <c r="D95" s="20"/>
      <c r="E95" s="20"/>
      <c r="F95" s="25"/>
      <c r="G95" s="25"/>
      <c r="H95" s="19" t="s">
        <v>12</v>
      </c>
    </row>
    <row r="96" spans="1:17" x14ac:dyDescent="0.2">
      <c r="A96" s="20"/>
      <c r="B96" s="20"/>
      <c r="C96" s="21" t="s">
        <v>11</v>
      </c>
      <c r="D96" s="20"/>
      <c r="E96" s="20" t="s">
        <v>12</v>
      </c>
      <c r="F96" s="22" t="s">
        <v>13</v>
      </c>
      <c r="G96" s="23">
        <v>0</v>
      </c>
      <c r="H96" s="19" t="s">
        <v>12</v>
      </c>
    </row>
    <row r="97" spans="1:8" x14ac:dyDescent="0.2">
      <c r="A97" s="20"/>
      <c r="B97" s="28"/>
      <c r="C97" s="28"/>
      <c r="D97" s="21"/>
      <c r="E97" s="20"/>
      <c r="F97" s="28"/>
      <c r="G97" s="32"/>
      <c r="H97" s="19" t="s">
        <v>12</v>
      </c>
    </row>
    <row r="98" spans="1:8" x14ac:dyDescent="0.2">
      <c r="A98" s="32"/>
      <c r="B98" s="28"/>
      <c r="C98" s="28" t="s">
        <v>116</v>
      </c>
      <c r="D98" s="28"/>
      <c r="E98" s="32"/>
      <c r="F98" s="30">
        <v>44.001181019999997</v>
      </c>
      <c r="G98" s="31">
        <v>1.6119129999999999E-2</v>
      </c>
      <c r="H98" s="19" t="s">
        <v>12</v>
      </c>
    </row>
    <row r="99" spans="1:8" x14ac:dyDescent="0.2">
      <c r="A99" s="24"/>
      <c r="B99" s="24"/>
      <c r="C99" s="21" t="s">
        <v>117</v>
      </c>
      <c r="D99" s="25"/>
      <c r="E99" s="25"/>
      <c r="F99" s="26">
        <f>F98+F89+F81+F65+F48</f>
        <v>2729.7485288119997</v>
      </c>
      <c r="G99" s="33">
        <f>G98+G89+G81+G65+G48</f>
        <v>1.0000000111209255</v>
      </c>
      <c r="H99" s="19" t="s">
        <v>12</v>
      </c>
    </row>
    <row r="100" spans="1:8" x14ac:dyDescent="0.2">
      <c r="A100" s="34"/>
      <c r="B100" s="34"/>
      <c r="C100" s="34"/>
      <c r="D100" s="35"/>
      <c r="E100" s="35"/>
      <c r="F100" s="35"/>
      <c r="G100" s="35"/>
    </row>
    <row r="101" spans="1:8" x14ac:dyDescent="0.2">
      <c r="A101" s="36"/>
      <c r="B101" s="168" t="s">
        <v>597</v>
      </c>
      <c r="C101" s="168"/>
      <c r="D101" s="168"/>
      <c r="E101" s="168"/>
      <c r="F101" s="168"/>
      <c r="G101" s="168"/>
      <c r="H101" s="168"/>
    </row>
    <row r="102" spans="1:8" x14ac:dyDescent="0.2">
      <c r="A102" s="36"/>
      <c r="B102" s="168" t="s">
        <v>598</v>
      </c>
      <c r="C102" s="168"/>
      <c r="D102" s="168"/>
      <c r="E102" s="168"/>
      <c r="F102" s="168"/>
      <c r="G102" s="168"/>
      <c r="H102" s="168"/>
    </row>
    <row r="103" spans="1:8" x14ac:dyDescent="0.2">
      <c r="A103" s="36"/>
      <c r="B103" s="168" t="s">
        <v>599</v>
      </c>
      <c r="C103" s="168"/>
      <c r="D103" s="168"/>
      <c r="E103" s="168"/>
      <c r="F103" s="168"/>
      <c r="G103" s="168"/>
      <c r="H103" s="168"/>
    </row>
    <row r="104" spans="1:8" x14ac:dyDescent="0.2">
      <c r="A104" s="38"/>
      <c r="B104" s="38"/>
      <c r="C104" s="38"/>
      <c r="D104" s="39"/>
      <c r="E104" s="39"/>
      <c r="F104" s="39"/>
      <c r="G104" s="39"/>
    </row>
    <row r="105" spans="1:8" x14ac:dyDescent="0.2">
      <c r="A105" s="36"/>
      <c r="B105" s="169" t="s">
        <v>118</v>
      </c>
      <c r="C105" s="170"/>
      <c r="D105" s="171"/>
      <c r="E105" s="40"/>
      <c r="F105" s="41"/>
      <c r="G105" s="41"/>
    </row>
    <row r="106" spans="1:8" x14ac:dyDescent="0.2">
      <c r="A106" s="36"/>
      <c r="B106" s="172" t="s">
        <v>119</v>
      </c>
      <c r="C106" s="173"/>
      <c r="D106" s="18" t="s">
        <v>688</v>
      </c>
      <c r="E106" s="40"/>
      <c r="F106" s="41"/>
      <c r="G106" s="41"/>
    </row>
    <row r="107" spans="1:8" x14ac:dyDescent="0.2">
      <c r="A107" s="36"/>
      <c r="B107" s="172" t="s">
        <v>121</v>
      </c>
      <c r="C107" s="173"/>
      <c r="D107" s="18" t="s">
        <v>120</v>
      </c>
      <c r="E107" s="40"/>
      <c r="F107" s="41"/>
      <c r="G107" s="41"/>
    </row>
    <row r="108" spans="1:8" x14ac:dyDescent="0.2">
      <c r="A108" s="36"/>
      <c r="B108" s="172" t="s">
        <v>122</v>
      </c>
      <c r="C108" s="173"/>
      <c r="D108" s="42" t="s">
        <v>12</v>
      </c>
      <c r="E108" s="40"/>
      <c r="F108" s="41"/>
      <c r="G108" s="41"/>
    </row>
    <row r="109" spans="1:8" x14ac:dyDescent="0.2">
      <c r="A109" s="43"/>
      <c r="B109" s="44" t="s">
        <v>12</v>
      </c>
      <c r="C109" s="44" t="s">
        <v>600</v>
      </c>
      <c r="D109" s="44" t="s">
        <v>123</v>
      </c>
      <c r="E109" s="43"/>
      <c r="F109" s="43"/>
      <c r="G109" s="43"/>
    </row>
    <row r="110" spans="1:8" x14ac:dyDescent="0.2">
      <c r="A110" s="43"/>
      <c r="B110" s="45" t="s">
        <v>124</v>
      </c>
      <c r="C110" s="46">
        <v>45792</v>
      </c>
      <c r="D110" s="46">
        <v>45808</v>
      </c>
      <c r="E110" s="43"/>
      <c r="F110" s="43"/>
      <c r="G110" s="43"/>
    </row>
    <row r="111" spans="1:8" x14ac:dyDescent="0.2">
      <c r="A111" s="47"/>
      <c r="B111" s="28" t="s">
        <v>125</v>
      </c>
      <c r="C111" s="48">
        <v>32.817799999999998</v>
      </c>
      <c r="D111" s="48">
        <v>32.747199999999999</v>
      </c>
      <c r="E111" s="47"/>
      <c r="F111" s="49"/>
      <c r="G111" s="50"/>
    </row>
    <row r="112" spans="1:8" ht="25.5" x14ac:dyDescent="0.2">
      <c r="A112" s="47"/>
      <c r="B112" s="28" t="s">
        <v>730</v>
      </c>
      <c r="C112" s="48">
        <v>13.8264</v>
      </c>
      <c r="D112" s="48">
        <v>13.7188</v>
      </c>
      <c r="E112" s="47"/>
      <c r="F112" s="49"/>
      <c r="G112" s="50"/>
    </row>
    <row r="113" spans="1:10" ht="25.5" x14ac:dyDescent="0.2">
      <c r="A113" s="47"/>
      <c r="B113" s="28" t="s">
        <v>726</v>
      </c>
      <c r="C113" s="48">
        <v>21.602499999999999</v>
      </c>
      <c r="D113" s="48">
        <v>21.556100000000001</v>
      </c>
      <c r="E113" s="47"/>
      <c r="F113" s="49"/>
      <c r="G113" s="50"/>
    </row>
    <row r="114" spans="1:10" ht="25.5" x14ac:dyDescent="0.2">
      <c r="A114" s="47"/>
      <c r="B114" s="28" t="s">
        <v>731</v>
      </c>
      <c r="C114" s="48">
        <v>21.506599999999999</v>
      </c>
      <c r="D114" s="48">
        <v>21.4604</v>
      </c>
      <c r="E114" s="47"/>
      <c r="F114" s="49"/>
      <c r="G114" s="50"/>
    </row>
    <row r="115" spans="1:10" x14ac:dyDescent="0.2">
      <c r="A115" s="47"/>
      <c r="B115" s="28" t="s">
        <v>126</v>
      </c>
      <c r="C115" s="48">
        <v>29.812899999999999</v>
      </c>
      <c r="D115" s="48">
        <v>29.735800000000001</v>
      </c>
      <c r="E115" s="47"/>
      <c r="F115" s="49"/>
      <c r="G115" s="50"/>
    </row>
    <row r="116" spans="1:10" ht="25.5" x14ac:dyDescent="0.2">
      <c r="A116" s="47"/>
      <c r="B116" s="28" t="s">
        <v>732</v>
      </c>
      <c r="C116" s="48">
        <v>13.676399999999999</v>
      </c>
      <c r="D116" s="48">
        <v>13.5642</v>
      </c>
      <c r="E116" s="47"/>
      <c r="F116" s="49"/>
      <c r="G116" s="50"/>
    </row>
    <row r="117" spans="1:10" ht="25.5" x14ac:dyDescent="0.2">
      <c r="A117" s="47"/>
      <c r="B117" s="28" t="s">
        <v>702</v>
      </c>
      <c r="C117" s="48">
        <v>19.509599999999999</v>
      </c>
      <c r="D117" s="48">
        <v>19.459199999999999</v>
      </c>
      <c r="E117" s="47"/>
      <c r="F117" s="49"/>
      <c r="G117" s="50"/>
    </row>
    <row r="118" spans="1:10" ht="25.5" x14ac:dyDescent="0.2">
      <c r="A118" s="47"/>
      <c r="B118" s="28" t="s">
        <v>728</v>
      </c>
      <c r="C118" s="48">
        <v>19.340599999999998</v>
      </c>
      <c r="D118" s="48">
        <v>19.290600000000001</v>
      </c>
      <c r="E118" s="47"/>
      <c r="F118" s="49"/>
      <c r="G118" s="50"/>
    </row>
    <row r="119" spans="1:10" x14ac:dyDescent="0.2">
      <c r="A119" s="47"/>
      <c r="B119" s="47"/>
      <c r="C119" s="47"/>
      <c r="D119" s="47"/>
      <c r="E119" s="47"/>
      <c r="F119" s="47"/>
      <c r="G119" s="47"/>
    </row>
    <row r="120" spans="1:10" x14ac:dyDescent="0.2">
      <c r="A120" s="47"/>
      <c r="B120" s="175" t="s">
        <v>601</v>
      </c>
      <c r="C120" s="176"/>
      <c r="D120" s="21" t="s">
        <v>12</v>
      </c>
      <c r="E120" s="47"/>
      <c r="F120" s="47"/>
      <c r="G120" s="47"/>
    </row>
    <row r="121" spans="1:10" x14ac:dyDescent="0.2">
      <c r="A121" s="47"/>
      <c r="B121" s="51" t="s">
        <v>124</v>
      </c>
      <c r="C121" s="52" t="s">
        <v>127</v>
      </c>
      <c r="D121" s="52" t="s">
        <v>128</v>
      </c>
      <c r="E121" s="47"/>
      <c r="F121" s="47"/>
      <c r="G121" s="47"/>
    </row>
    <row r="122" spans="1:10" ht="25.5" x14ac:dyDescent="0.2">
      <c r="A122" s="47"/>
      <c r="B122" s="28" t="s">
        <v>730</v>
      </c>
      <c r="C122" s="53">
        <v>7.8E-2</v>
      </c>
      <c r="D122" s="32" t="s">
        <v>129</v>
      </c>
      <c r="E122" s="47"/>
      <c r="F122" s="49"/>
      <c r="G122" s="50"/>
    </row>
    <row r="123" spans="1:10" ht="25.5" x14ac:dyDescent="0.2">
      <c r="A123" s="47"/>
      <c r="B123" s="28" t="s">
        <v>732</v>
      </c>
      <c r="C123" s="53">
        <v>7.6999999999999999E-2</v>
      </c>
      <c r="D123" s="32" t="s">
        <v>129</v>
      </c>
      <c r="E123" s="47"/>
      <c r="F123" s="49"/>
      <c r="G123" s="50"/>
    </row>
    <row r="124" spans="1:10" x14ac:dyDescent="0.2">
      <c r="A124" s="47"/>
      <c r="B124" s="81"/>
      <c r="C124" s="81"/>
      <c r="D124" s="82"/>
      <c r="E124" s="47"/>
      <c r="F124" s="49"/>
      <c r="G124" s="50"/>
    </row>
    <row r="125" spans="1:10" x14ac:dyDescent="0.2">
      <c r="A125" s="43"/>
      <c r="B125" s="172" t="s">
        <v>130</v>
      </c>
      <c r="C125" s="173"/>
      <c r="D125" s="18" t="s">
        <v>120</v>
      </c>
      <c r="E125" s="55"/>
      <c r="F125" s="43"/>
      <c r="G125" s="43"/>
      <c r="J125" s="13"/>
    </row>
    <row r="126" spans="1:10" x14ac:dyDescent="0.2">
      <c r="A126" s="43"/>
      <c r="B126" s="172" t="s">
        <v>131</v>
      </c>
      <c r="C126" s="173"/>
      <c r="D126" s="18" t="s">
        <v>120</v>
      </c>
      <c r="E126" s="55"/>
      <c r="F126" s="43"/>
      <c r="G126" s="43"/>
      <c r="J126" s="13"/>
    </row>
    <row r="127" spans="1:10" x14ac:dyDescent="0.2">
      <c r="A127" s="43"/>
      <c r="B127" s="172" t="s">
        <v>602</v>
      </c>
      <c r="C127" s="173"/>
      <c r="D127" s="18" t="s">
        <v>120</v>
      </c>
      <c r="E127" s="55"/>
      <c r="F127" s="43"/>
      <c r="G127" s="43"/>
      <c r="J127" s="13"/>
    </row>
    <row r="128" spans="1:10" x14ac:dyDescent="0.2">
      <c r="A128" s="54"/>
      <c r="B128" s="54"/>
      <c r="C128" s="54"/>
      <c r="D128" s="54"/>
      <c r="E128" s="54"/>
      <c r="F128" s="54"/>
      <c r="G128" s="54"/>
      <c r="J128" s="13"/>
    </row>
    <row r="129" spans="2:18" s="57" customFormat="1" x14ac:dyDescent="0.2">
      <c r="B129" s="164" t="s">
        <v>603</v>
      </c>
      <c r="C129" s="165"/>
      <c r="D129" s="166"/>
      <c r="I129"/>
      <c r="J129" s="13"/>
      <c r="K129" s="56"/>
      <c r="L129" s="56"/>
      <c r="M129" s="56"/>
      <c r="N129" s="56"/>
      <c r="O129"/>
      <c r="R129"/>
    </row>
    <row r="130" spans="2:18" s="57" customFormat="1" ht="38.25" x14ac:dyDescent="0.2">
      <c r="B130" s="167" t="s">
        <v>604</v>
      </c>
      <c r="C130" s="167"/>
      <c r="D130" s="59" t="s">
        <v>514</v>
      </c>
      <c r="I130"/>
      <c r="J130" s="13"/>
      <c r="K130" s="56"/>
      <c r="L130" s="56"/>
      <c r="M130" s="56"/>
      <c r="N130" s="56"/>
      <c r="O130"/>
      <c r="R130"/>
    </row>
    <row r="131" spans="2:18" s="57" customFormat="1" x14ac:dyDescent="0.2">
      <c r="B131" s="160" t="s">
        <v>605</v>
      </c>
      <c r="C131" s="160"/>
      <c r="D131" s="60"/>
      <c r="I131"/>
      <c r="J131" s="13"/>
      <c r="K131" s="56"/>
      <c r="L131" s="56"/>
      <c r="M131" s="56"/>
      <c r="N131" s="56"/>
      <c r="O131"/>
      <c r="R131"/>
    </row>
    <row r="132" spans="2:18" s="57" customFormat="1" x14ac:dyDescent="0.2">
      <c r="B132" s="160"/>
      <c r="C132" s="160"/>
      <c r="D132" s="61"/>
      <c r="I132"/>
      <c r="J132" s="13"/>
      <c r="K132" s="56"/>
      <c r="L132" s="56"/>
      <c r="M132" s="56"/>
      <c r="N132" s="56"/>
      <c r="O132"/>
    </row>
    <row r="133" spans="2:18" s="57" customFormat="1" x14ac:dyDescent="0.2">
      <c r="B133" s="160" t="s">
        <v>606</v>
      </c>
      <c r="C133" s="160"/>
      <c r="D133" s="62">
        <v>6.3775865966694374</v>
      </c>
      <c r="I133"/>
      <c r="J133" s="13"/>
      <c r="K133" s="56"/>
      <c r="L133" s="56"/>
      <c r="M133" s="56"/>
      <c r="N133" s="56"/>
      <c r="O133"/>
    </row>
    <row r="134" spans="2:18" s="57" customFormat="1" x14ac:dyDescent="0.2">
      <c r="B134" s="160"/>
      <c r="C134" s="160"/>
      <c r="D134" s="61"/>
      <c r="I134"/>
      <c r="J134" s="13"/>
      <c r="K134" s="56"/>
      <c r="L134" s="56"/>
      <c r="M134" s="56"/>
      <c r="N134" s="56"/>
      <c r="O134"/>
    </row>
    <row r="135" spans="2:18" s="57" customFormat="1" x14ac:dyDescent="0.2">
      <c r="B135" s="160" t="s">
        <v>714</v>
      </c>
      <c r="C135" s="160"/>
      <c r="D135" s="62">
        <v>6.5162636546999595</v>
      </c>
      <c r="I135"/>
      <c r="J135" s="13"/>
      <c r="K135" s="56"/>
      <c r="L135" s="56"/>
      <c r="M135" s="56"/>
      <c r="N135" s="56"/>
      <c r="O135"/>
    </row>
    <row r="136" spans="2:18" s="57" customFormat="1" x14ac:dyDescent="0.2">
      <c r="B136" s="160" t="s">
        <v>715</v>
      </c>
      <c r="C136" s="160"/>
      <c r="D136" s="62">
        <v>14.710342636913463</v>
      </c>
      <c r="I136"/>
      <c r="J136" s="13"/>
      <c r="K136" s="56"/>
      <c r="L136" s="56"/>
      <c r="M136" s="56"/>
      <c r="N136" s="56"/>
      <c r="O136"/>
    </row>
    <row r="137" spans="2:18" s="57" customFormat="1" x14ac:dyDescent="0.2">
      <c r="B137" s="160"/>
      <c r="C137" s="160"/>
      <c r="D137" s="61"/>
      <c r="I137"/>
      <c r="J137" s="13"/>
      <c r="K137" s="56"/>
      <c r="L137" s="56"/>
      <c r="M137" s="56"/>
      <c r="N137" s="56"/>
      <c r="O137"/>
    </row>
    <row r="138" spans="2:18" s="57" customFormat="1" x14ac:dyDescent="0.2">
      <c r="B138" s="160" t="s">
        <v>609</v>
      </c>
      <c r="C138" s="160"/>
      <c r="D138" s="83" t="s">
        <v>733</v>
      </c>
      <c r="I138"/>
      <c r="J138" s="13"/>
      <c r="K138" s="56"/>
      <c r="L138" s="56"/>
      <c r="M138" s="56"/>
      <c r="N138" s="56"/>
      <c r="O138"/>
    </row>
    <row r="139" spans="2:18" s="57" customFormat="1" x14ac:dyDescent="0.2">
      <c r="B139" s="161" t="s">
        <v>610</v>
      </c>
      <c r="C139" s="163"/>
      <c r="D139" s="162"/>
      <c r="I139"/>
      <c r="J139" s="13"/>
      <c r="K139" s="56"/>
      <c r="L139" s="56"/>
      <c r="M139" s="56"/>
      <c r="N139" s="56"/>
      <c r="O139"/>
    </row>
    <row r="140" spans="2:18" x14ac:dyDescent="0.2">
      <c r="J140" s="13"/>
    </row>
    <row r="141" spans="2:18" ht="13.5" x14ac:dyDescent="0.2">
      <c r="B141" s="243" t="s">
        <v>737</v>
      </c>
      <c r="C141" s="243"/>
      <c r="D141" s="243"/>
      <c r="E141" s="243"/>
      <c r="F141" s="243"/>
      <c r="G141" s="243"/>
      <c r="H141" s="243"/>
      <c r="I141" s="56"/>
      <c r="J141" s="13"/>
      <c r="K141" s="56"/>
      <c r="L141" s="56"/>
      <c r="M141" s="56"/>
      <c r="N141" s="56"/>
      <c r="O141" s="56"/>
      <c r="P141" s="56"/>
    </row>
    <row r="142" spans="2:18" s="58" customFormat="1" ht="26.25" customHeight="1" x14ac:dyDescent="0.2">
      <c r="B142" s="84" t="s">
        <v>627</v>
      </c>
      <c r="C142" s="84" t="s">
        <v>628</v>
      </c>
      <c r="D142" s="197" t="s">
        <v>716</v>
      </c>
      <c r="E142" s="197"/>
      <c r="F142" s="197"/>
      <c r="G142" s="196" t="s">
        <v>630</v>
      </c>
      <c r="H142" s="196"/>
      <c r="J142" s="13"/>
      <c r="K142" s="86"/>
      <c r="L142" s="86"/>
      <c r="M142" s="86"/>
      <c r="N142" s="86"/>
      <c r="O142" s="86"/>
      <c r="P142" s="86"/>
    </row>
    <row r="143" spans="2:18" ht="27" x14ac:dyDescent="0.25">
      <c r="B143" s="87" t="s">
        <v>668</v>
      </c>
      <c r="C143" s="88" t="s">
        <v>717</v>
      </c>
      <c r="D143" s="198">
        <v>0</v>
      </c>
      <c r="E143" s="198"/>
      <c r="F143" s="198"/>
      <c r="G143" s="198">
        <v>0</v>
      </c>
      <c r="H143" s="198"/>
      <c r="J143" s="13"/>
      <c r="K143" s="56"/>
      <c r="L143" s="56"/>
      <c r="M143" s="56"/>
      <c r="N143" s="56"/>
      <c r="O143" s="56"/>
      <c r="P143" s="56"/>
    </row>
    <row r="144" spans="2:18" ht="13.5" x14ac:dyDescent="0.25">
      <c r="B144" s="89"/>
      <c r="C144" s="89"/>
      <c r="D144" s="199"/>
      <c r="E144" s="199"/>
      <c r="F144" s="199"/>
      <c r="G144" s="199"/>
      <c r="H144" s="199"/>
      <c r="J144" s="13"/>
      <c r="K144" s="56"/>
      <c r="L144" s="56"/>
      <c r="M144" s="56"/>
      <c r="N144" s="56"/>
      <c r="O144" s="56"/>
      <c r="P144" s="56"/>
    </row>
    <row r="145" spans="2:16" ht="13.5" x14ac:dyDescent="0.25">
      <c r="B145" s="200" t="s">
        <v>637</v>
      </c>
      <c r="C145" s="200"/>
      <c r="D145" s="200"/>
      <c r="E145" s="200"/>
      <c r="F145" s="200"/>
      <c r="G145" s="200"/>
      <c r="H145" s="200"/>
      <c r="J145" s="13"/>
      <c r="K145" s="56"/>
      <c r="L145" s="56"/>
      <c r="M145" s="56"/>
      <c r="N145" s="56"/>
      <c r="O145" s="56"/>
      <c r="P145" s="56"/>
    </row>
    <row r="146" spans="2:16" ht="13.5" customHeight="1" x14ac:dyDescent="0.2">
      <c r="B146" s="196" t="s">
        <v>627</v>
      </c>
      <c r="C146" s="196" t="s">
        <v>628</v>
      </c>
      <c r="D146" s="196" t="s">
        <v>671</v>
      </c>
      <c r="E146" s="196"/>
      <c r="F146" s="196"/>
      <c r="G146" s="196"/>
      <c r="H146" s="197" t="s">
        <v>718</v>
      </c>
      <c r="I146" s="197" t="s">
        <v>719</v>
      </c>
      <c r="J146" s="197" t="s">
        <v>674</v>
      </c>
      <c r="K146" s="56"/>
      <c r="L146" s="56"/>
      <c r="M146" s="56"/>
      <c r="N146" s="56"/>
      <c r="O146" s="56"/>
      <c r="P146" s="56"/>
    </row>
    <row r="147" spans="2:16" ht="54" x14ac:dyDescent="0.2">
      <c r="B147" s="196"/>
      <c r="C147" s="196"/>
      <c r="D147" s="85" t="s">
        <v>675</v>
      </c>
      <c r="E147" s="85" t="s">
        <v>676</v>
      </c>
      <c r="F147" s="85" t="s">
        <v>677</v>
      </c>
      <c r="G147" s="85" t="s">
        <v>707</v>
      </c>
      <c r="H147" s="197"/>
      <c r="I147" s="197"/>
      <c r="J147" s="197"/>
      <c r="K147" s="56"/>
      <c r="L147" s="56"/>
      <c r="M147" s="56"/>
      <c r="N147" s="56"/>
      <c r="O147" s="56"/>
    </row>
    <row r="148" spans="2:16" ht="27" x14ac:dyDescent="0.25">
      <c r="B148" s="89" t="s">
        <v>668</v>
      </c>
      <c r="C148" s="88" t="s">
        <v>720</v>
      </c>
      <c r="D148" s="91">
        <v>500</v>
      </c>
      <c r="E148" s="91">
        <v>9.9405737999999992</v>
      </c>
      <c r="F148" s="92">
        <v>16.00737140547945</v>
      </c>
      <c r="G148" s="91">
        <v>525.94794520547941</v>
      </c>
      <c r="H148" s="7">
        <v>233.40679</v>
      </c>
      <c r="I148" s="7">
        <v>4.01</v>
      </c>
      <c r="J148" s="93">
        <f>H148+I148</f>
        <v>237.41678999999999</v>
      </c>
      <c r="K148" s="56"/>
      <c r="L148" s="56"/>
      <c r="M148" s="56"/>
      <c r="N148" s="56"/>
      <c r="O148" s="56"/>
      <c r="P148" s="56"/>
    </row>
    <row r="149" spans="2:16" x14ac:dyDescent="0.2">
      <c r="J149" s="13"/>
      <c r="P149" s="56"/>
    </row>
    <row r="150" spans="2:16" x14ac:dyDescent="0.2">
      <c r="J150" s="13"/>
      <c r="K150" s="56"/>
      <c r="L150" s="56"/>
      <c r="M150" s="56"/>
      <c r="N150" s="56"/>
      <c r="O150" s="56"/>
      <c r="P150" s="56"/>
    </row>
    <row r="151" spans="2:16" ht="13.5" x14ac:dyDescent="0.25">
      <c r="B151" s="94" t="s">
        <v>657</v>
      </c>
      <c r="J151" s="13"/>
      <c r="K151" s="56"/>
      <c r="L151" s="56"/>
      <c r="M151" s="56"/>
      <c r="N151" s="56"/>
      <c r="O151" s="56"/>
      <c r="P151" s="56"/>
    </row>
    <row r="152" spans="2:16" x14ac:dyDescent="0.2">
      <c r="B152" s="56"/>
      <c r="C152" s="56"/>
      <c r="D152" s="56"/>
      <c r="E152" s="56"/>
      <c r="F152" s="56"/>
      <c r="G152" s="56"/>
      <c r="H152" s="56"/>
      <c r="J152" s="13"/>
      <c r="K152" s="56"/>
      <c r="L152" s="56"/>
      <c r="M152" s="56"/>
      <c r="N152" s="56"/>
      <c r="O152" s="56"/>
      <c r="P152" s="56"/>
    </row>
    <row r="153" spans="2:16" x14ac:dyDescent="0.2">
      <c r="B153" s="95" t="s">
        <v>658</v>
      </c>
      <c r="C153" s="56"/>
      <c r="D153" s="56"/>
      <c r="E153" s="56"/>
      <c r="F153" s="56"/>
      <c r="G153" s="56"/>
      <c r="H153" s="56"/>
      <c r="J153" s="13"/>
      <c r="K153" s="56"/>
      <c r="L153" s="56"/>
      <c r="M153" s="56"/>
      <c r="N153" s="56"/>
      <c r="O153" s="56"/>
      <c r="P153" s="56"/>
    </row>
    <row r="154" spans="2:16" x14ac:dyDescent="0.2">
      <c r="B154" s="56"/>
      <c r="C154" s="56"/>
      <c r="D154" s="56"/>
      <c r="E154" s="56"/>
      <c r="F154" s="56"/>
      <c r="G154" s="56"/>
      <c r="H154" s="56"/>
      <c r="J154" s="13"/>
      <c r="K154" s="56"/>
      <c r="L154" s="56"/>
      <c r="M154" s="56"/>
      <c r="N154" s="56"/>
      <c r="O154" s="56"/>
      <c r="P154" s="56"/>
    </row>
    <row r="155" spans="2:16" x14ac:dyDescent="0.2">
      <c r="B155" s="95" t="s">
        <v>659</v>
      </c>
      <c r="C155" s="56"/>
      <c r="D155" s="56"/>
      <c r="E155" s="56"/>
      <c r="F155" s="56"/>
      <c r="G155" s="56"/>
      <c r="H155" s="56"/>
      <c r="J155" s="13"/>
      <c r="K155" s="56"/>
      <c r="L155" s="56"/>
      <c r="M155" s="56"/>
      <c r="N155" s="56"/>
      <c r="O155" s="56"/>
      <c r="P155" s="56"/>
    </row>
    <row r="156" spans="2:16" x14ac:dyDescent="0.2">
      <c r="J156" s="13"/>
      <c r="K156" s="56"/>
      <c r="L156" s="56"/>
      <c r="M156" s="56"/>
      <c r="N156" s="56"/>
      <c r="O156" s="56"/>
    </row>
    <row r="157" spans="2:16" x14ac:dyDescent="0.2">
      <c r="B157" s="95" t="s">
        <v>660</v>
      </c>
      <c r="J157" s="13"/>
      <c r="K157" s="56"/>
      <c r="L157" s="56"/>
      <c r="M157" s="56"/>
      <c r="N157" s="56"/>
      <c r="O157" s="56"/>
    </row>
    <row r="158" spans="2:16" x14ac:dyDescent="0.2">
      <c r="J158" s="13"/>
    </row>
    <row r="159" spans="2:16" x14ac:dyDescent="0.2">
      <c r="B159" s="66" t="s">
        <v>611</v>
      </c>
    </row>
    <row r="161" spans="2:10" ht="153.75" customHeight="1" x14ac:dyDescent="0.2"/>
    <row r="164" spans="2:10" x14ac:dyDescent="0.2">
      <c r="B164" s="67" t="s">
        <v>612</v>
      </c>
      <c r="C164" s="68"/>
      <c r="D164" s="67"/>
    </row>
    <row r="165" spans="2:10" x14ac:dyDescent="0.2">
      <c r="B165" s="67" t="s">
        <v>721</v>
      </c>
      <c r="D165" s="67"/>
    </row>
    <row r="166" spans="2:10" ht="165" customHeight="1" x14ac:dyDescent="0.2"/>
    <row r="168" spans="2:10" x14ac:dyDescent="0.2">
      <c r="J168" s="13"/>
    </row>
    <row r="169" spans="2:10" x14ac:dyDescent="0.2">
      <c r="J169" s="13"/>
    </row>
    <row r="170" spans="2:10" x14ac:dyDescent="0.2">
      <c r="J170" s="13"/>
    </row>
    <row r="171" spans="2:10" x14ac:dyDescent="0.2">
      <c r="J171" s="13"/>
    </row>
    <row r="172" spans="2:10" x14ac:dyDescent="0.2">
      <c r="J172" s="13"/>
    </row>
  </sheetData>
  <mergeCells count="39">
    <mergeCell ref="A1:H1"/>
    <mergeCell ref="A2:H2"/>
    <mergeCell ref="A3:H3"/>
    <mergeCell ref="B120:C120"/>
    <mergeCell ref="B107:C107"/>
    <mergeCell ref="B108:C108"/>
    <mergeCell ref="B129:D129"/>
    <mergeCell ref="B130:C130"/>
    <mergeCell ref="B101:H101"/>
    <mergeCell ref="B102:H102"/>
    <mergeCell ref="B103:H103"/>
    <mergeCell ref="B105:D105"/>
    <mergeCell ref="B106:C106"/>
    <mergeCell ref="B125:C125"/>
    <mergeCell ref="B126:C126"/>
    <mergeCell ref="B127:C127"/>
    <mergeCell ref="B131:C131"/>
    <mergeCell ref="B132:C132"/>
    <mergeCell ref="B133:C133"/>
    <mergeCell ref="B134:C134"/>
    <mergeCell ref="B135:C135"/>
    <mergeCell ref="B136:C136"/>
    <mergeCell ref="B137:C137"/>
    <mergeCell ref="B138:C138"/>
    <mergeCell ref="B139:D139"/>
    <mergeCell ref="B141:H141"/>
    <mergeCell ref="D142:F142"/>
    <mergeCell ref="G142:H142"/>
    <mergeCell ref="D143:F143"/>
    <mergeCell ref="G143:H143"/>
    <mergeCell ref="D144:F144"/>
    <mergeCell ref="G144:H144"/>
    <mergeCell ref="I146:I147"/>
    <mergeCell ref="J146:J147"/>
    <mergeCell ref="B145:H145"/>
    <mergeCell ref="B146:B147"/>
    <mergeCell ref="C146:C147"/>
    <mergeCell ref="D146:G146"/>
    <mergeCell ref="H146:H147"/>
  </mergeCells>
  <hyperlinks>
    <hyperlink ref="B153" r:id="rId1" xr:uid="{C63B79C7-E14D-4163-8D41-DF534C4EB1FE}"/>
    <hyperlink ref="B155" r:id="rId2" xr:uid="{5DF09910-9F58-4C1B-90CD-B0FD12DF94F1}"/>
    <hyperlink ref="B157" r:id="rId3" xr:uid="{0E1DE747-A75F-45F1-9626-A8542EFB8AA6}"/>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85A2F-BC6E-4E4F-AD47-C16678D68924}">
  <sheetPr>
    <outlinePr summaryBelow="0" summaryRight="0"/>
  </sheetPr>
  <dimension ref="A1:U120"/>
  <sheetViews>
    <sheetView showGridLines="0" workbookViewId="0">
      <selection sqref="A1:H1"/>
    </sheetView>
  </sheetViews>
  <sheetFormatPr defaultRowHeight="12.75" x14ac:dyDescent="0.2"/>
  <cols>
    <col min="1" max="1" width="6.85546875" customWidth="1"/>
    <col min="2" max="2" width="20.5703125" customWidth="1"/>
    <col min="3" max="3" width="37.42578125" customWidth="1"/>
    <col min="4" max="4" width="17.85546875" customWidth="1"/>
    <col min="5" max="6" width="19.140625" customWidth="1"/>
    <col min="7" max="7" width="16.42578125" customWidth="1"/>
  </cols>
  <sheetData>
    <row r="1" spans="1:9" ht="15" x14ac:dyDescent="0.2">
      <c r="A1" s="174" t="s">
        <v>0</v>
      </c>
      <c r="B1" s="174"/>
      <c r="C1" s="174"/>
      <c r="D1" s="174"/>
      <c r="E1" s="174"/>
      <c r="F1" s="174"/>
      <c r="G1" s="174"/>
      <c r="H1" s="174"/>
      <c r="I1" s="15"/>
    </row>
    <row r="2" spans="1:9" ht="15" x14ac:dyDescent="0.2">
      <c r="A2" s="174" t="s">
        <v>574</v>
      </c>
      <c r="B2" s="174"/>
      <c r="C2" s="174"/>
      <c r="D2" s="174"/>
      <c r="E2" s="174"/>
      <c r="F2" s="174"/>
      <c r="G2" s="174"/>
      <c r="H2" s="174"/>
    </row>
    <row r="3" spans="1:9" ht="15" x14ac:dyDescent="0.2">
      <c r="A3" s="174" t="s">
        <v>581</v>
      </c>
      <c r="B3" s="174"/>
      <c r="C3" s="174"/>
      <c r="D3" s="174"/>
      <c r="E3" s="174"/>
      <c r="F3" s="174"/>
      <c r="G3" s="174"/>
      <c r="H3" s="174"/>
    </row>
    <row r="4" spans="1:9" s="13" customFormat="1" ht="30" x14ac:dyDescent="0.2">
      <c r="A4" s="14" t="s">
        <v>2</v>
      </c>
      <c r="B4" s="14" t="s">
        <v>3</v>
      </c>
      <c r="C4" s="14" t="s">
        <v>4</v>
      </c>
      <c r="D4" s="14" t="s">
        <v>5</v>
      </c>
      <c r="E4" s="14" t="s">
        <v>6</v>
      </c>
      <c r="F4" s="14" t="s">
        <v>7</v>
      </c>
      <c r="G4" s="14" t="s">
        <v>8</v>
      </c>
      <c r="H4" s="12" t="s">
        <v>725</v>
      </c>
    </row>
    <row r="5" spans="1:9" x14ac:dyDescent="0.2">
      <c r="A5" s="17"/>
      <c r="B5" s="17"/>
      <c r="C5" s="18" t="s">
        <v>9</v>
      </c>
      <c r="D5" s="17"/>
      <c r="E5" s="17"/>
      <c r="F5" s="17"/>
      <c r="G5" s="17"/>
      <c r="H5" s="19" t="s">
        <v>12</v>
      </c>
    </row>
    <row r="6" spans="1:9" x14ac:dyDescent="0.2">
      <c r="A6" s="20"/>
      <c r="B6" s="20"/>
      <c r="C6" s="21" t="s">
        <v>10</v>
      </c>
      <c r="D6" s="20"/>
      <c r="E6" s="20"/>
      <c r="F6" s="20"/>
      <c r="G6" s="20"/>
      <c r="H6" s="19" t="s">
        <v>12</v>
      </c>
    </row>
    <row r="7" spans="1:9" x14ac:dyDescent="0.2">
      <c r="A7" s="20"/>
      <c r="B7" s="20"/>
      <c r="C7" s="21" t="s">
        <v>11</v>
      </c>
      <c r="D7" s="20"/>
      <c r="E7" s="20" t="s">
        <v>12</v>
      </c>
      <c r="F7" s="22" t="s">
        <v>13</v>
      </c>
      <c r="G7" s="23">
        <v>0</v>
      </c>
      <c r="H7" s="19" t="s">
        <v>12</v>
      </c>
    </row>
    <row r="8" spans="1:9" x14ac:dyDescent="0.2">
      <c r="A8" s="20"/>
      <c r="B8" s="20"/>
      <c r="C8" s="24"/>
      <c r="D8" s="20"/>
      <c r="E8" s="20"/>
      <c r="F8" s="25"/>
      <c r="G8" s="25"/>
      <c r="H8" s="19" t="s">
        <v>12</v>
      </c>
    </row>
    <row r="9" spans="1:9" x14ac:dyDescent="0.2">
      <c r="A9" s="20"/>
      <c r="B9" s="20"/>
      <c r="C9" s="21" t="s">
        <v>14</v>
      </c>
      <c r="D9" s="20"/>
      <c r="E9" s="20"/>
      <c r="F9" s="20"/>
      <c r="G9" s="20"/>
      <c r="H9" s="19" t="s">
        <v>12</v>
      </c>
    </row>
    <row r="10" spans="1:9" x14ac:dyDescent="0.2">
      <c r="A10" s="20"/>
      <c r="B10" s="20"/>
      <c r="C10" s="21" t="s">
        <v>11</v>
      </c>
      <c r="D10" s="20"/>
      <c r="E10" s="20" t="s">
        <v>12</v>
      </c>
      <c r="F10" s="22" t="s">
        <v>13</v>
      </c>
      <c r="G10" s="23">
        <v>0</v>
      </c>
      <c r="H10" s="19" t="s">
        <v>12</v>
      </c>
    </row>
    <row r="11" spans="1:9" x14ac:dyDescent="0.2">
      <c r="A11" s="20"/>
      <c r="B11" s="20"/>
      <c r="C11" s="24"/>
      <c r="D11" s="20"/>
      <c r="E11" s="20"/>
      <c r="F11" s="25"/>
      <c r="G11" s="25"/>
      <c r="H11" s="19" t="s">
        <v>12</v>
      </c>
    </row>
    <row r="12" spans="1:9" x14ac:dyDescent="0.2">
      <c r="A12" s="20"/>
      <c r="B12" s="20"/>
      <c r="C12" s="21" t="s">
        <v>15</v>
      </c>
      <c r="D12" s="20"/>
      <c r="E12" s="20"/>
      <c r="F12" s="20"/>
      <c r="G12" s="20"/>
      <c r="H12" s="19" t="s">
        <v>12</v>
      </c>
    </row>
    <row r="13" spans="1:9" x14ac:dyDescent="0.2">
      <c r="A13" s="20"/>
      <c r="B13" s="20"/>
      <c r="C13" s="21" t="s">
        <v>11</v>
      </c>
      <c r="D13" s="20"/>
      <c r="E13" s="20" t="s">
        <v>12</v>
      </c>
      <c r="F13" s="22" t="s">
        <v>13</v>
      </c>
      <c r="G13" s="23">
        <v>0</v>
      </c>
      <c r="H13" s="19" t="s">
        <v>12</v>
      </c>
    </row>
    <row r="14" spans="1:9" x14ac:dyDescent="0.2">
      <c r="A14" s="20"/>
      <c r="B14" s="20"/>
      <c r="C14" s="24"/>
      <c r="D14" s="20"/>
      <c r="E14" s="20"/>
      <c r="F14" s="25"/>
      <c r="G14" s="25"/>
      <c r="H14" s="19" t="s">
        <v>12</v>
      </c>
    </row>
    <row r="15" spans="1:9" x14ac:dyDescent="0.2">
      <c r="A15" s="20"/>
      <c r="B15" s="20"/>
      <c r="C15" s="21" t="s">
        <v>16</v>
      </c>
      <c r="D15" s="20"/>
      <c r="E15" s="20"/>
      <c r="F15" s="20"/>
      <c r="G15" s="20"/>
      <c r="H15" s="19" t="s">
        <v>12</v>
      </c>
    </row>
    <row r="16" spans="1:9" x14ac:dyDescent="0.2">
      <c r="A16" s="20"/>
      <c r="B16" s="20"/>
      <c r="C16" s="21" t="s">
        <v>11</v>
      </c>
      <c r="D16" s="20"/>
      <c r="E16" s="20" t="s">
        <v>12</v>
      </c>
      <c r="F16" s="22" t="s">
        <v>13</v>
      </c>
      <c r="G16" s="23">
        <v>0</v>
      </c>
      <c r="H16" s="19" t="s">
        <v>12</v>
      </c>
    </row>
    <row r="17" spans="1:8" x14ac:dyDescent="0.2">
      <c r="A17" s="20"/>
      <c r="B17" s="20"/>
      <c r="C17" s="24"/>
      <c r="D17" s="20"/>
      <c r="E17" s="20"/>
      <c r="F17" s="25"/>
      <c r="G17" s="25"/>
      <c r="H17" s="19" t="s">
        <v>12</v>
      </c>
    </row>
    <row r="18" spans="1:8" x14ac:dyDescent="0.2">
      <c r="A18" s="20"/>
      <c r="B18" s="20"/>
      <c r="C18" s="21" t="s">
        <v>17</v>
      </c>
      <c r="D18" s="20"/>
      <c r="E18" s="20"/>
      <c r="F18" s="25"/>
      <c r="G18" s="25"/>
      <c r="H18" s="19" t="s">
        <v>12</v>
      </c>
    </row>
    <row r="19" spans="1:8" x14ac:dyDescent="0.2">
      <c r="A19" s="20"/>
      <c r="B19" s="20"/>
      <c r="C19" s="21" t="s">
        <v>11</v>
      </c>
      <c r="D19" s="20"/>
      <c r="E19" s="20" t="s">
        <v>12</v>
      </c>
      <c r="F19" s="22" t="s">
        <v>13</v>
      </c>
      <c r="G19" s="23">
        <v>0</v>
      </c>
      <c r="H19" s="19" t="s">
        <v>12</v>
      </c>
    </row>
    <row r="20" spans="1:8" x14ac:dyDescent="0.2">
      <c r="A20" s="20"/>
      <c r="B20" s="20"/>
      <c r="C20" s="24"/>
      <c r="D20" s="20"/>
      <c r="E20" s="20"/>
      <c r="F20" s="25"/>
      <c r="G20" s="25"/>
      <c r="H20" s="19" t="s">
        <v>12</v>
      </c>
    </row>
    <row r="21" spans="1:8" x14ac:dyDescent="0.2">
      <c r="A21" s="20"/>
      <c r="B21" s="20"/>
      <c r="C21" s="21" t="s">
        <v>18</v>
      </c>
      <c r="D21" s="20"/>
      <c r="E21" s="20"/>
      <c r="F21" s="25"/>
      <c r="G21" s="25"/>
      <c r="H21" s="19" t="s">
        <v>12</v>
      </c>
    </row>
    <row r="22" spans="1:8" x14ac:dyDescent="0.2">
      <c r="A22" s="20"/>
      <c r="B22" s="20"/>
      <c r="C22" s="21" t="s">
        <v>11</v>
      </c>
      <c r="D22" s="20"/>
      <c r="E22" s="20" t="s">
        <v>12</v>
      </c>
      <c r="F22" s="22" t="s">
        <v>13</v>
      </c>
      <c r="G22" s="23">
        <v>0</v>
      </c>
      <c r="H22" s="19" t="s">
        <v>12</v>
      </c>
    </row>
    <row r="23" spans="1:8" x14ac:dyDescent="0.2">
      <c r="A23" s="20"/>
      <c r="B23" s="20"/>
      <c r="C23" s="24"/>
      <c r="D23" s="20"/>
      <c r="E23" s="20"/>
      <c r="F23" s="25"/>
      <c r="G23" s="25"/>
      <c r="H23" s="19" t="s">
        <v>12</v>
      </c>
    </row>
    <row r="24" spans="1:8" x14ac:dyDescent="0.2">
      <c r="A24" s="20"/>
      <c r="B24" s="20"/>
      <c r="C24" s="21" t="s">
        <v>19</v>
      </c>
      <c r="D24" s="20"/>
      <c r="E24" s="20"/>
      <c r="F24" s="26">
        <v>0</v>
      </c>
      <c r="G24" s="23">
        <v>0</v>
      </c>
      <c r="H24" s="19" t="s">
        <v>12</v>
      </c>
    </row>
    <row r="25" spans="1:8" x14ac:dyDescent="0.2">
      <c r="A25" s="20"/>
      <c r="B25" s="20"/>
      <c r="C25" s="24"/>
      <c r="D25" s="20"/>
      <c r="E25" s="20"/>
      <c r="F25" s="25"/>
      <c r="G25" s="25"/>
      <c r="H25" s="19" t="s">
        <v>12</v>
      </c>
    </row>
    <row r="26" spans="1:8" x14ac:dyDescent="0.2">
      <c r="A26" s="20"/>
      <c r="B26" s="20"/>
      <c r="C26" s="21" t="s">
        <v>20</v>
      </c>
      <c r="D26" s="20"/>
      <c r="E26" s="20"/>
      <c r="F26" s="25"/>
      <c r="G26" s="25"/>
      <c r="H26" s="19" t="s">
        <v>12</v>
      </c>
    </row>
    <row r="27" spans="1:8" x14ac:dyDescent="0.2">
      <c r="A27" s="20"/>
      <c r="B27" s="20"/>
      <c r="C27" s="21" t="s">
        <v>10</v>
      </c>
      <c r="D27" s="20"/>
      <c r="E27" s="20"/>
      <c r="F27" s="25"/>
      <c r="G27" s="25"/>
      <c r="H27" s="19" t="s">
        <v>12</v>
      </c>
    </row>
    <row r="28" spans="1:8" x14ac:dyDescent="0.2">
      <c r="A28" s="20"/>
      <c r="B28" s="20"/>
      <c r="C28" s="21" t="s">
        <v>11</v>
      </c>
      <c r="D28" s="20"/>
      <c r="E28" s="20" t="s">
        <v>12</v>
      </c>
      <c r="F28" s="22" t="s">
        <v>13</v>
      </c>
      <c r="G28" s="23">
        <v>0</v>
      </c>
      <c r="H28" s="19" t="s">
        <v>12</v>
      </c>
    </row>
    <row r="29" spans="1:8" x14ac:dyDescent="0.2">
      <c r="A29" s="20"/>
      <c r="B29" s="20"/>
      <c r="C29" s="24"/>
      <c r="D29" s="20"/>
      <c r="E29" s="20"/>
      <c r="F29" s="25"/>
      <c r="G29" s="25"/>
      <c r="H29" s="19" t="s">
        <v>12</v>
      </c>
    </row>
    <row r="30" spans="1:8" x14ac:dyDescent="0.2">
      <c r="A30" s="20"/>
      <c r="B30" s="20"/>
      <c r="C30" s="21" t="s">
        <v>77</v>
      </c>
      <c r="D30" s="20"/>
      <c r="E30" s="20"/>
      <c r="F30" s="20"/>
      <c r="G30" s="20"/>
      <c r="H30" s="19" t="s">
        <v>12</v>
      </c>
    </row>
    <row r="31" spans="1:8" x14ac:dyDescent="0.2">
      <c r="A31" s="20"/>
      <c r="B31" s="20"/>
      <c r="C31" s="21" t="s">
        <v>11</v>
      </c>
      <c r="D31" s="20"/>
      <c r="E31" s="20" t="s">
        <v>12</v>
      </c>
      <c r="F31" s="22" t="s">
        <v>13</v>
      </c>
      <c r="G31" s="23">
        <v>0</v>
      </c>
      <c r="H31" s="19" t="s">
        <v>12</v>
      </c>
    </row>
    <row r="32" spans="1:8" x14ac:dyDescent="0.2">
      <c r="A32" s="20"/>
      <c r="B32" s="20"/>
      <c r="C32" s="24"/>
      <c r="D32" s="20"/>
      <c r="E32" s="20"/>
      <c r="F32" s="25"/>
      <c r="G32" s="25"/>
      <c r="H32" s="19" t="s">
        <v>12</v>
      </c>
    </row>
    <row r="33" spans="1:8" x14ac:dyDescent="0.2">
      <c r="A33" s="20"/>
      <c r="B33" s="20"/>
      <c r="C33" s="21" t="s">
        <v>78</v>
      </c>
      <c r="D33" s="20"/>
      <c r="E33" s="20"/>
      <c r="F33" s="20"/>
      <c r="G33" s="20"/>
      <c r="H33" s="19" t="s">
        <v>12</v>
      </c>
    </row>
    <row r="34" spans="1:8" x14ac:dyDescent="0.2">
      <c r="A34" s="20"/>
      <c r="B34" s="20"/>
      <c r="C34" s="21" t="s">
        <v>11</v>
      </c>
      <c r="D34" s="20"/>
      <c r="E34" s="20" t="s">
        <v>12</v>
      </c>
      <c r="F34" s="22" t="s">
        <v>13</v>
      </c>
      <c r="G34" s="23">
        <v>0</v>
      </c>
      <c r="H34" s="19" t="s">
        <v>12</v>
      </c>
    </row>
    <row r="35" spans="1:8" x14ac:dyDescent="0.2">
      <c r="A35" s="20"/>
      <c r="B35" s="20"/>
      <c r="C35" s="24"/>
      <c r="D35" s="20"/>
      <c r="E35" s="20"/>
      <c r="F35" s="25"/>
      <c r="G35" s="25"/>
      <c r="H35" s="19" t="s">
        <v>12</v>
      </c>
    </row>
    <row r="36" spans="1:8" x14ac:dyDescent="0.2">
      <c r="A36" s="20"/>
      <c r="B36" s="20"/>
      <c r="C36" s="21" t="s">
        <v>100</v>
      </c>
      <c r="D36" s="20"/>
      <c r="E36" s="20"/>
      <c r="F36" s="25"/>
      <c r="G36" s="25"/>
      <c r="H36" s="19" t="s">
        <v>12</v>
      </c>
    </row>
    <row r="37" spans="1:8" x14ac:dyDescent="0.2">
      <c r="A37" s="20"/>
      <c r="B37" s="20"/>
      <c r="C37" s="21" t="s">
        <v>11</v>
      </c>
      <c r="D37" s="20"/>
      <c r="E37" s="20" t="s">
        <v>12</v>
      </c>
      <c r="F37" s="22" t="s">
        <v>13</v>
      </c>
      <c r="G37" s="23">
        <v>0</v>
      </c>
      <c r="H37" s="19" t="s">
        <v>12</v>
      </c>
    </row>
    <row r="38" spans="1:8" x14ac:dyDescent="0.2">
      <c r="A38" s="20"/>
      <c r="B38" s="20"/>
      <c r="C38" s="24"/>
      <c r="D38" s="20"/>
      <c r="E38" s="20"/>
      <c r="F38" s="25"/>
      <c r="G38" s="25"/>
      <c r="H38" s="19" t="s">
        <v>12</v>
      </c>
    </row>
    <row r="39" spans="1:8" x14ac:dyDescent="0.2">
      <c r="A39" s="20"/>
      <c r="B39" s="20"/>
      <c r="C39" s="21" t="s">
        <v>101</v>
      </c>
      <c r="D39" s="20"/>
      <c r="E39" s="20"/>
      <c r="F39" s="26">
        <v>0</v>
      </c>
      <c r="G39" s="23">
        <v>0</v>
      </c>
      <c r="H39" s="19" t="s">
        <v>12</v>
      </c>
    </row>
    <row r="40" spans="1:8" x14ac:dyDescent="0.2">
      <c r="A40" s="20"/>
      <c r="B40" s="20"/>
      <c r="C40" s="24"/>
      <c r="D40" s="20"/>
      <c r="E40" s="20"/>
      <c r="F40" s="25"/>
      <c r="G40" s="25"/>
      <c r="H40" s="19" t="s">
        <v>12</v>
      </c>
    </row>
    <row r="41" spans="1:8" x14ac:dyDescent="0.2">
      <c r="A41" s="20"/>
      <c r="B41" s="20"/>
      <c r="C41" s="21" t="s">
        <v>102</v>
      </c>
      <c r="D41" s="20"/>
      <c r="E41" s="20"/>
      <c r="F41" s="25"/>
      <c r="G41" s="25"/>
      <c r="H41" s="19" t="s">
        <v>12</v>
      </c>
    </row>
    <row r="42" spans="1:8" x14ac:dyDescent="0.2">
      <c r="A42" s="20"/>
      <c r="B42" s="20"/>
      <c r="C42" s="21" t="s">
        <v>103</v>
      </c>
      <c r="D42" s="20"/>
      <c r="E42" s="20"/>
      <c r="F42" s="25"/>
      <c r="G42" s="25"/>
      <c r="H42" s="19" t="s">
        <v>12</v>
      </c>
    </row>
    <row r="43" spans="1:8" x14ac:dyDescent="0.2">
      <c r="A43" s="20"/>
      <c r="B43" s="20"/>
      <c r="C43" s="21" t="s">
        <v>11</v>
      </c>
      <c r="D43" s="20"/>
      <c r="E43" s="20" t="s">
        <v>12</v>
      </c>
      <c r="F43" s="22" t="s">
        <v>13</v>
      </c>
      <c r="G43" s="23">
        <v>0</v>
      </c>
      <c r="H43" s="19" t="s">
        <v>12</v>
      </c>
    </row>
    <row r="44" spans="1:8" x14ac:dyDescent="0.2">
      <c r="A44" s="20"/>
      <c r="B44" s="20"/>
      <c r="C44" s="24"/>
      <c r="D44" s="20"/>
      <c r="E44" s="20"/>
      <c r="F44" s="25"/>
      <c r="G44" s="25"/>
      <c r="H44" s="19" t="s">
        <v>12</v>
      </c>
    </row>
    <row r="45" spans="1:8" x14ac:dyDescent="0.2">
      <c r="A45" s="20"/>
      <c r="B45" s="20"/>
      <c r="C45" s="21" t="s">
        <v>104</v>
      </c>
      <c r="D45" s="20"/>
      <c r="E45" s="20"/>
      <c r="F45" s="25"/>
      <c r="G45" s="25"/>
      <c r="H45" s="19" t="s">
        <v>12</v>
      </c>
    </row>
    <row r="46" spans="1:8" x14ac:dyDescent="0.2">
      <c r="A46" s="20"/>
      <c r="B46" s="20"/>
      <c r="C46" s="21" t="s">
        <v>11</v>
      </c>
      <c r="D46" s="20"/>
      <c r="E46" s="20" t="s">
        <v>12</v>
      </c>
      <c r="F46" s="22" t="s">
        <v>13</v>
      </c>
      <c r="G46" s="23">
        <v>0</v>
      </c>
      <c r="H46" s="19" t="s">
        <v>12</v>
      </c>
    </row>
    <row r="47" spans="1:8" x14ac:dyDescent="0.2">
      <c r="A47" s="20"/>
      <c r="B47" s="20"/>
      <c r="C47" s="24"/>
      <c r="D47" s="20"/>
      <c r="E47" s="20"/>
      <c r="F47" s="25"/>
      <c r="G47" s="25"/>
      <c r="H47" s="19" t="s">
        <v>12</v>
      </c>
    </row>
    <row r="48" spans="1:8" x14ac:dyDescent="0.2">
      <c r="A48" s="20"/>
      <c r="B48" s="20"/>
      <c r="C48" s="21" t="s">
        <v>105</v>
      </c>
      <c r="D48" s="20"/>
      <c r="E48" s="20"/>
      <c r="F48" s="25"/>
      <c r="G48" s="25"/>
      <c r="H48" s="19" t="s">
        <v>12</v>
      </c>
    </row>
    <row r="49" spans="1:8" x14ac:dyDescent="0.2">
      <c r="A49" s="27">
        <v>1</v>
      </c>
      <c r="B49" s="28" t="s">
        <v>575</v>
      </c>
      <c r="C49" s="28" t="s">
        <v>576</v>
      </c>
      <c r="D49" s="28" t="s">
        <v>81</v>
      </c>
      <c r="E49" s="29">
        <v>1500000</v>
      </c>
      <c r="F49" s="30">
        <v>1499.0429999999999</v>
      </c>
      <c r="G49" s="31">
        <v>1.8710379999999999E-2</v>
      </c>
      <c r="H49" s="19">
        <v>5.8250000000000002</v>
      </c>
    </row>
    <row r="50" spans="1:8" x14ac:dyDescent="0.2">
      <c r="A50" s="27">
        <v>2</v>
      </c>
      <c r="B50" s="28" t="s">
        <v>577</v>
      </c>
      <c r="C50" s="28" t="s">
        <v>578</v>
      </c>
      <c r="D50" s="28" t="s">
        <v>81</v>
      </c>
      <c r="E50" s="29">
        <v>1500000</v>
      </c>
      <c r="F50" s="30">
        <v>1497.4275</v>
      </c>
      <c r="G50" s="31">
        <v>1.8690209999999999E-2</v>
      </c>
      <c r="H50" s="19">
        <v>5.7</v>
      </c>
    </row>
    <row r="51" spans="1:8" x14ac:dyDescent="0.2">
      <c r="A51" s="27">
        <v>3</v>
      </c>
      <c r="B51" s="28" t="s">
        <v>579</v>
      </c>
      <c r="C51" s="28" t="s">
        <v>580</v>
      </c>
      <c r="D51" s="28" t="s">
        <v>81</v>
      </c>
      <c r="E51" s="29">
        <v>1500000</v>
      </c>
      <c r="F51" s="30">
        <v>1495.722</v>
      </c>
      <c r="G51" s="31">
        <v>1.8668919999999999E-2</v>
      </c>
      <c r="H51" s="19">
        <v>5.8</v>
      </c>
    </row>
    <row r="52" spans="1:8" x14ac:dyDescent="0.2">
      <c r="A52" s="20"/>
      <c r="B52" s="20"/>
      <c r="C52" s="21" t="s">
        <v>11</v>
      </c>
      <c r="D52" s="20"/>
      <c r="E52" s="20" t="s">
        <v>12</v>
      </c>
      <c r="F52" s="26">
        <v>4492.1925000000001</v>
      </c>
      <c r="G52" s="23">
        <v>5.6069510000000003E-2</v>
      </c>
      <c r="H52" s="19" t="s">
        <v>12</v>
      </c>
    </row>
    <row r="53" spans="1:8" x14ac:dyDescent="0.2">
      <c r="A53" s="20"/>
      <c r="B53" s="20"/>
      <c r="C53" s="24"/>
      <c r="D53" s="20"/>
      <c r="E53" s="20"/>
      <c r="F53" s="25"/>
      <c r="G53" s="25"/>
      <c r="H53" s="19" t="s">
        <v>12</v>
      </c>
    </row>
    <row r="54" spans="1:8" x14ac:dyDescent="0.2">
      <c r="A54" s="20"/>
      <c r="B54" s="20"/>
      <c r="C54" s="21" t="s">
        <v>106</v>
      </c>
      <c r="D54" s="20"/>
      <c r="E54" s="20"/>
      <c r="F54" s="25"/>
      <c r="G54" s="25"/>
      <c r="H54" s="19" t="s">
        <v>12</v>
      </c>
    </row>
    <row r="55" spans="1:8" x14ac:dyDescent="0.2">
      <c r="A55" s="27">
        <v>1</v>
      </c>
      <c r="B55" s="28"/>
      <c r="C55" s="28" t="s">
        <v>253</v>
      </c>
      <c r="D55" s="28"/>
      <c r="E55" s="32"/>
      <c r="F55" s="30">
        <v>42499.598570499998</v>
      </c>
      <c r="G55" s="31">
        <v>0.53046073000000005</v>
      </c>
      <c r="H55" s="19">
        <v>5.85</v>
      </c>
    </row>
    <row r="56" spans="1:8" x14ac:dyDescent="0.2">
      <c r="A56" s="27">
        <v>2</v>
      </c>
      <c r="B56" s="28"/>
      <c r="C56" s="28" t="s">
        <v>107</v>
      </c>
      <c r="D56" s="28"/>
      <c r="E56" s="32"/>
      <c r="F56" s="30">
        <v>32896.607684023002</v>
      </c>
      <c r="G56" s="31">
        <v>0.41060055000000001</v>
      </c>
      <c r="H56" s="19">
        <v>5.76</v>
      </c>
    </row>
    <row r="57" spans="1:8" x14ac:dyDescent="0.2">
      <c r="A57" s="20"/>
      <c r="B57" s="20"/>
      <c r="C57" s="21" t="s">
        <v>11</v>
      </c>
      <c r="D57" s="20"/>
      <c r="E57" s="20" t="s">
        <v>12</v>
      </c>
      <c r="F57" s="26">
        <v>75396.206254523</v>
      </c>
      <c r="G57" s="23">
        <v>0.94106128</v>
      </c>
      <c r="H57" s="19" t="s">
        <v>12</v>
      </c>
    </row>
    <row r="58" spans="1:8" x14ac:dyDescent="0.2">
      <c r="A58" s="20"/>
      <c r="B58" s="20"/>
      <c r="C58" s="24"/>
      <c r="D58" s="20"/>
      <c r="E58" s="20"/>
      <c r="F58" s="25"/>
      <c r="G58" s="25"/>
      <c r="H58" s="19" t="s">
        <v>12</v>
      </c>
    </row>
    <row r="59" spans="1:8" x14ac:dyDescent="0.2">
      <c r="A59" s="20"/>
      <c r="B59" s="20"/>
      <c r="C59" s="21" t="s">
        <v>108</v>
      </c>
      <c r="D59" s="20"/>
      <c r="E59" s="20"/>
      <c r="F59" s="26">
        <v>79888.398754523005</v>
      </c>
      <c r="G59" s="23">
        <v>0.99713079000000004</v>
      </c>
      <c r="H59" s="19" t="s">
        <v>12</v>
      </c>
    </row>
    <row r="60" spans="1:8" x14ac:dyDescent="0.2">
      <c r="A60" s="20"/>
      <c r="B60" s="20"/>
      <c r="C60" s="25"/>
      <c r="D60" s="20"/>
      <c r="E60" s="20"/>
      <c r="F60" s="20"/>
      <c r="G60" s="20"/>
      <c r="H60" s="19" t="s">
        <v>12</v>
      </c>
    </row>
    <row r="61" spans="1:8" x14ac:dyDescent="0.2">
      <c r="A61" s="20"/>
      <c r="B61" s="20"/>
      <c r="C61" s="21" t="s">
        <v>109</v>
      </c>
      <c r="D61" s="20"/>
      <c r="E61" s="20"/>
      <c r="F61" s="20"/>
      <c r="G61" s="20"/>
      <c r="H61" s="19" t="s">
        <v>12</v>
      </c>
    </row>
    <row r="62" spans="1:8" x14ac:dyDescent="0.2">
      <c r="A62" s="20"/>
      <c r="B62" s="20"/>
      <c r="C62" s="21" t="s">
        <v>110</v>
      </c>
      <c r="D62" s="20"/>
      <c r="E62" s="20"/>
      <c r="F62" s="20"/>
      <c r="G62" s="20"/>
      <c r="H62" s="19" t="s">
        <v>12</v>
      </c>
    </row>
    <row r="63" spans="1:8" x14ac:dyDescent="0.2">
      <c r="A63" s="20"/>
      <c r="B63" s="20"/>
      <c r="C63" s="21" t="s">
        <v>11</v>
      </c>
      <c r="D63" s="20"/>
      <c r="E63" s="20" t="s">
        <v>12</v>
      </c>
      <c r="F63" s="22" t="s">
        <v>13</v>
      </c>
      <c r="G63" s="23">
        <v>0</v>
      </c>
      <c r="H63" s="19" t="s">
        <v>12</v>
      </c>
    </row>
    <row r="64" spans="1:8" x14ac:dyDescent="0.2">
      <c r="A64" s="20"/>
      <c r="B64" s="20"/>
      <c r="C64" s="24"/>
      <c r="D64" s="20"/>
      <c r="E64" s="20"/>
      <c r="F64" s="25"/>
      <c r="G64" s="25"/>
      <c r="H64" s="19" t="s">
        <v>12</v>
      </c>
    </row>
    <row r="65" spans="1:8" x14ac:dyDescent="0.2">
      <c r="A65" s="20"/>
      <c r="B65" s="20"/>
      <c r="C65" s="21" t="s">
        <v>113</v>
      </c>
      <c r="D65" s="20"/>
      <c r="E65" s="20"/>
      <c r="F65" s="20"/>
      <c r="G65" s="20"/>
      <c r="H65" s="19" t="s">
        <v>12</v>
      </c>
    </row>
    <row r="66" spans="1:8" x14ac:dyDescent="0.2">
      <c r="A66" s="20"/>
      <c r="B66" s="20"/>
      <c r="C66" s="21" t="s">
        <v>114</v>
      </c>
      <c r="D66" s="20"/>
      <c r="E66" s="20"/>
      <c r="F66" s="20"/>
      <c r="G66" s="20"/>
      <c r="H66" s="19" t="s">
        <v>12</v>
      </c>
    </row>
    <row r="67" spans="1:8" x14ac:dyDescent="0.2">
      <c r="A67" s="20"/>
      <c r="B67" s="20"/>
      <c r="C67" s="21" t="s">
        <v>11</v>
      </c>
      <c r="D67" s="20"/>
      <c r="E67" s="20" t="s">
        <v>12</v>
      </c>
      <c r="F67" s="22" t="s">
        <v>13</v>
      </c>
      <c r="G67" s="23">
        <v>0</v>
      </c>
      <c r="H67" s="19" t="s">
        <v>12</v>
      </c>
    </row>
    <row r="68" spans="1:8" x14ac:dyDescent="0.2">
      <c r="A68" s="20"/>
      <c r="B68" s="20"/>
      <c r="C68" s="24"/>
      <c r="D68" s="20"/>
      <c r="E68" s="20"/>
      <c r="F68" s="25"/>
      <c r="G68" s="25"/>
      <c r="H68" s="19" t="s">
        <v>12</v>
      </c>
    </row>
    <row r="69" spans="1:8" ht="25.5" x14ac:dyDescent="0.2">
      <c r="A69" s="20"/>
      <c r="B69" s="20"/>
      <c r="C69" s="21" t="s">
        <v>115</v>
      </c>
      <c r="D69" s="20"/>
      <c r="E69" s="20"/>
      <c r="F69" s="25"/>
      <c r="G69" s="25"/>
      <c r="H69" s="19" t="s">
        <v>12</v>
      </c>
    </row>
    <row r="70" spans="1:8" x14ac:dyDescent="0.2">
      <c r="A70" s="20"/>
      <c r="B70" s="20"/>
      <c r="C70" s="21" t="s">
        <v>11</v>
      </c>
      <c r="D70" s="20"/>
      <c r="E70" s="20" t="s">
        <v>12</v>
      </c>
      <c r="F70" s="22" t="s">
        <v>13</v>
      </c>
      <c r="G70" s="23">
        <v>0</v>
      </c>
      <c r="H70" s="19" t="s">
        <v>12</v>
      </c>
    </row>
    <row r="71" spans="1:8" x14ac:dyDescent="0.2">
      <c r="A71" s="20"/>
      <c r="B71" s="20"/>
      <c r="C71" s="24"/>
      <c r="D71" s="20"/>
      <c r="E71" s="20"/>
      <c r="F71" s="25"/>
      <c r="G71" s="25"/>
      <c r="H71" s="19" t="s">
        <v>12</v>
      </c>
    </row>
    <row r="72" spans="1:8" x14ac:dyDescent="0.2">
      <c r="A72" s="32"/>
      <c r="B72" s="28"/>
      <c r="C72" s="28" t="s">
        <v>116</v>
      </c>
      <c r="D72" s="28"/>
      <c r="E72" s="32"/>
      <c r="F72" s="30">
        <f>229.87602177-0.000315072984695435</f>
        <v>229.87570669701529</v>
      </c>
      <c r="G72" s="31">
        <v>2.8692100000000001E-3</v>
      </c>
      <c r="H72" s="19" t="s">
        <v>12</v>
      </c>
    </row>
    <row r="73" spans="1:8" x14ac:dyDescent="0.2">
      <c r="A73" s="24"/>
      <c r="B73" s="24"/>
      <c r="C73" s="21" t="s">
        <v>117</v>
      </c>
      <c r="D73" s="25"/>
      <c r="E73" s="25"/>
      <c r="F73" s="26">
        <f>80118.274776293-0.000315072984695435</f>
        <v>80118.274461220004</v>
      </c>
      <c r="G73" s="33">
        <v>1</v>
      </c>
      <c r="H73" s="19" t="s">
        <v>12</v>
      </c>
    </row>
    <row r="74" spans="1:8" x14ac:dyDescent="0.2">
      <c r="A74" s="34"/>
      <c r="B74" s="34"/>
      <c r="C74" s="34"/>
      <c r="D74" s="35"/>
      <c r="E74" s="35"/>
      <c r="F74" s="35"/>
      <c r="G74" s="35"/>
    </row>
    <row r="75" spans="1:8" x14ac:dyDescent="0.2">
      <c r="A75" s="36"/>
      <c r="B75" s="168" t="s">
        <v>597</v>
      </c>
      <c r="C75" s="168"/>
      <c r="D75" s="168"/>
      <c r="E75" s="168"/>
      <c r="F75" s="168"/>
      <c r="G75" s="168"/>
      <c r="H75" s="168"/>
    </row>
    <row r="76" spans="1:8" x14ac:dyDescent="0.2">
      <c r="A76" s="36"/>
      <c r="B76" s="168" t="s">
        <v>598</v>
      </c>
      <c r="C76" s="168"/>
      <c r="D76" s="168"/>
      <c r="E76" s="168"/>
      <c r="F76" s="168"/>
      <c r="G76" s="168"/>
      <c r="H76" s="168"/>
    </row>
    <row r="77" spans="1:8" x14ac:dyDescent="0.2">
      <c r="A77" s="36"/>
      <c r="B77" s="168" t="s">
        <v>599</v>
      </c>
      <c r="C77" s="168"/>
      <c r="D77" s="168"/>
      <c r="E77" s="168"/>
      <c r="F77" s="168"/>
      <c r="G77" s="168"/>
      <c r="H77" s="168"/>
    </row>
    <row r="78" spans="1:8" x14ac:dyDescent="0.2">
      <c r="A78" s="38"/>
      <c r="B78" s="38"/>
      <c r="C78" s="38"/>
      <c r="D78" s="39"/>
      <c r="E78" s="39"/>
      <c r="F78" s="39"/>
      <c r="G78" s="39"/>
    </row>
    <row r="79" spans="1:8" x14ac:dyDescent="0.2">
      <c r="A79" s="36"/>
      <c r="B79" s="169" t="s">
        <v>118</v>
      </c>
      <c r="C79" s="170"/>
      <c r="D79" s="171"/>
      <c r="E79" s="40"/>
      <c r="F79" s="41"/>
      <c r="G79" s="41"/>
    </row>
    <row r="80" spans="1:8" x14ac:dyDescent="0.2">
      <c r="A80" s="36"/>
      <c r="B80" s="172" t="s">
        <v>119</v>
      </c>
      <c r="C80" s="173"/>
      <c r="D80" s="18" t="s">
        <v>120</v>
      </c>
      <c r="E80" s="40"/>
      <c r="F80" s="41"/>
      <c r="G80" s="41"/>
    </row>
    <row r="81" spans="1:7" x14ac:dyDescent="0.2">
      <c r="A81" s="36"/>
      <c r="B81" s="172" t="s">
        <v>121</v>
      </c>
      <c r="C81" s="173"/>
      <c r="D81" s="18" t="s">
        <v>120</v>
      </c>
      <c r="E81" s="40"/>
      <c r="F81" s="41"/>
      <c r="G81" s="41"/>
    </row>
    <row r="82" spans="1:7" x14ac:dyDescent="0.2">
      <c r="A82" s="36"/>
      <c r="B82" s="172" t="s">
        <v>122</v>
      </c>
      <c r="C82" s="173"/>
      <c r="D82" s="42" t="s">
        <v>12</v>
      </c>
      <c r="E82" s="40"/>
      <c r="F82" s="41"/>
      <c r="G82" s="41"/>
    </row>
    <row r="83" spans="1:7" x14ac:dyDescent="0.2">
      <c r="A83" s="43"/>
      <c r="B83" s="44" t="s">
        <v>12</v>
      </c>
      <c r="C83" s="44" t="s">
        <v>600</v>
      </c>
      <c r="D83" s="44" t="s">
        <v>123</v>
      </c>
      <c r="E83" s="43"/>
      <c r="F83" s="43"/>
      <c r="G83" s="43"/>
    </row>
    <row r="84" spans="1:7" x14ac:dyDescent="0.2">
      <c r="A84" s="43"/>
      <c r="B84" s="45" t="s">
        <v>124</v>
      </c>
      <c r="C84" s="46">
        <v>45792</v>
      </c>
      <c r="D84" s="46">
        <v>45808</v>
      </c>
      <c r="E84" s="43"/>
      <c r="F84" s="43"/>
      <c r="G84" s="43"/>
    </row>
    <row r="85" spans="1:7" x14ac:dyDescent="0.2">
      <c r="A85" s="47"/>
      <c r="B85" s="28" t="s">
        <v>125</v>
      </c>
      <c r="C85" s="48">
        <v>1366.4508000000001</v>
      </c>
      <c r="D85" s="48">
        <v>1369.8572999999999</v>
      </c>
      <c r="E85" s="47"/>
      <c r="F85" s="49"/>
      <c r="G85" s="50"/>
    </row>
    <row r="86" spans="1:7" ht="25.5" x14ac:dyDescent="0.2">
      <c r="A86" s="47"/>
      <c r="B86" s="28" t="s">
        <v>730</v>
      </c>
      <c r="C86" s="48">
        <v>1046.9772</v>
      </c>
      <c r="D86" s="48">
        <v>1044.3556000000001</v>
      </c>
      <c r="E86" s="47"/>
      <c r="F86" s="49"/>
      <c r="G86" s="50"/>
    </row>
    <row r="87" spans="1:7" x14ac:dyDescent="0.2">
      <c r="A87" s="47"/>
      <c r="B87" s="28" t="s">
        <v>126</v>
      </c>
      <c r="C87" s="48">
        <v>1358.2358999999999</v>
      </c>
      <c r="D87" s="48">
        <v>1361.5623000000001</v>
      </c>
      <c r="E87" s="47"/>
      <c r="F87" s="49"/>
      <c r="G87" s="50"/>
    </row>
    <row r="88" spans="1:7" ht="25.5" x14ac:dyDescent="0.2">
      <c r="A88" s="47"/>
      <c r="B88" s="28" t="s">
        <v>732</v>
      </c>
      <c r="C88" s="48">
        <v>1043.1613</v>
      </c>
      <c r="D88" s="48">
        <v>1040.5020999999999</v>
      </c>
      <c r="E88" s="47"/>
      <c r="F88" s="49"/>
      <c r="G88" s="50"/>
    </row>
    <row r="89" spans="1:7" x14ac:dyDescent="0.2">
      <c r="A89" s="47"/>
      <c r="B89" s="47"/>
      <c r="C89" s="47"/>
      <c r="D89" s="47"/>
      <c r="E89" s="47"/>
      <c r="F89" s="47"/>
      <c r="G89" s="47"/>
    </row>
    <row r="90" spans="1:7" x14ac:dyDescent="0.2">
      <c r="A90" s="47"/>
      <c r="B90" s="175" t="s">
        <v>601</v>
      </c>
      <c r="C90" s="176"/>
      <c r="D90" s="21" t="s">
        <v>12</v>
      </c>
      <c r="E90" s="47"/>
      <c r="F90" s="47"/>
      <c r="G90" s="47"/>
    </row>
    <row r="91" spans="1:7" x14ac:dyDescent="0.2">
      <c r="A91" s="47"/>
      <c r="B91" s="51" t="s">
        <v>124</v>
      </c>
      <c r="C91" s="52" t="s">
        <v>127</v>
      </c>
      <c r="D91" s="52" t="s">
        <v>128</v>
      </c>
      <c r="E91" s="47"/>
      <c r="F91" s="47"/>
      <c r="G91" s="47"/>
    </row>
    <row r="92" spans="1:7" ht="25.5" x14ac:dyDescent="0.2">
      <c r="A92" s="47"/>
      <c r="B92" s="28" t="s">
        <v>730</v>
      </c>
      <c r="C92" s="53">
        <v>5.22</v>
      </c>
      <c r="D92" s="32" t="s">
        <v>129</v>
      </c>
      <c r="E92" s="47"/>
      <c r="F92" s="49"/>
      <c r="G92" s="50"/>
    </row>
    <row r="93" spans="1:7" ht="25.5" x14ac:dyDescent="0.2">
      <c r="A93" s="47"/>
      <c r="B93" s="28" t="s">
        <v>732</v>
      </c>
      <c r="C93" s="53">
        <v>5.202</v>
      </c>
      <c r="D93" s="32" t="s">
        <v>129</v>
      </c>
      <c r="E93" s="47"/>
      <c r="F93" s="49"/>
      <c r="G93" s="50"/>
    </row>
    <row r="94" spans="1:7" x14ac:dyDescent="0.2">
      <c r="A94" s="47"/>
      <c r="B94" s="54"/>
      <c r="C94" s="54"/>
      <c r="D94" s="54"/>
      <c r="E94" s="47"/>
      <c r="F94" s="47"/>
      <c r="G94" s="47"/>
    </row>
    <row r="95" spans="1:7" ht="28.5" customHeight="1" x14ac:dyDescent="0.2">
      <c r="A95" s="43"/>
      <c r="B95" s="172" t="s">
        <v>130</v>
      </c>
      <c r="C95" s="173"/>
      <c r="D95" s="18" t="s">
        <v>120</v>
      </c>
      <c r="E95" s="55"/>
      <c r="F95" s="43"/>
      <c r="G95" s="43"/>
    </row>
    <row r="96" spans="1:7" ht="30.75" customHeight="1" x14ac:dyDescent="0.2">
      <c r="A96" s="43"/>
      <c r="B96" s="172" t="s">
        <v>131</v>
      </c>
      <c r="C96" s="173"/>
      <c r="D96" s="18" t="s">
        <v>120</v>
      </c>
      <c r="E96" s="55"/>
      <c r="F96" s="43"/>
      <c r="G96" s="43"/>
    </row>
    <row r="97" spans="1:21" x14ac:dyDescent="0.2">
      <c r="A97" s="43"/>
      <c r="B97" s="172" t="s">
        <v>602</v>
      </c>
      <c r="C97" s="173"/>
      <c r="D97" s="18" t="s">
        <v>120</v>
      </c>
      <c r="E97" s="55"/>
      <c r="F97" s="43"/>
      <c r="G97" s="43"/>
      <c r="I97" s="56"/>
    </row>
    <row r="98" spans="1:21" x14ac:dyDescent="0.2">
      <c r="A98" s="54"/>
      <c r="B98" s="54"/>
      <c r="C98" s="54"/>
      <c r="D98" s="54"/>
      <c r="E98" s="54"/>
      <c r="F98" s="54"/>
      <c r="G98" s="54"/>
      <c r="I98" s="56"/>
    </row>
    <row r="99" spans="1:21" s="57" customFormat="1" x14ac:dyDescent="0.2">
      <c r="B99" s="164" t="s">
        <v>603</v>
      </c>
      <c r="C99" s="165"/>
      <c r="D99" s="166"/>
      <c r="I99" s="56"/>
      <c r="J99"/>
      <c r="K99" s="56"/>
      <c r="L99" s="56"/>
      <c r="M99" s="56"/>
      <c r="N99" s="58"/>
      <c r="Q99"/>
      <c r="R99"/>
      <c r="S99"/>
      <c r="T99"/>
      <c r="U99"/>
    </row>
    <row r="100" spans="1:21" s="57" customFormat="1" ht="25.5" x14ac:dyDescent="0.2">
      <c r="B100" s="167" t="s">
        <v>604</v>
      </c>
      <c r="C100" s="167"/>
      <c r="D100" s="59" t="s">
        <v>574</v>
      </c>
      <c r="I100" s="56"/>
      <c r="J100"/>
      <c r="K100" s="56"/>
      <c r="L100" s="56"/>
      <c r="M100" s="56"/>
      <c r="N100" s="58"/>
      <c r="Q100"/>
      <c r="R100"/>
      <c r="S100"/>
      <c r="T100"/>
      <c r="U100"/>
    </row>
    <row r="101" spans="1:21" s="57" customFormat="1" x14ac:dyDescent="0.2">
      <c r="B101" s="160" t="s">
        <v>605</v>
      </c>
      <c r="C101" s="160"/>
      <c r="D101" s="60"/>
      <c r="I101" s="56"/>
      <c r="J101"/>
      <c r="K101" s="56"/>
      <c r="L101" s="56"/>
      <c r="M101" s="56"/>
      <c r="N101" s="58"/>
    </row>
    <row r="102" spans="1:21" s="57" customFormat="1" x14ac:dyDescent="0.2">
      <c r="B102" s="160"/>
      <c r="C102" s="160"/>
      <c r="D102" s="61"/>
      <c r="I102"/>
      <c r="J102"/>
      <c r="K102" s="56"/>
      <c r="L102" s="56"/>
      <c r="M102" s="56"/>
      <c r="N102" s="58"/>
    </row>
    <row r="103" spans="1:21" s="57" customFormat="1" x14ac:dyDescent="0.2">
      <c r="B103" s="160" t="s">
        <v>606</v>
      </c>
      <c r="C103" s="160"/>
      <c r="D103" s="62">
        <v>5.7797201284592985</v>
      </c>
      <c r="I103"/>
      <c r="J103"/>
      <c r="K103" s="56"/>
      <c r="L103" s="56"/>
      <c r="M103" s="56"/>
      <c r="N103" s="58"/>
    </row>
    <row r="104" spans="1:21" s="57" customFormat="1" x14ac:dyDescent="0.2">
      <c r="B104" s="160"/>
      <c r="C104" s="160"/>
      <c r="D104" s="61"/>
      <c r="I104"/>
      <c r="J104"/>
      <c r="K104" s="56"/>
      <c r="L104" s="56"/>
      <c r="M104" s="56"/>
      <c r="N104" s="58"/>
    </row>
    <row r="105" spans="1:21" s="57" customFormat="1" x14ac:dyDescent="0.2">
      <c r="B105" s="160" t="s">
        <v>722</v>
      </c>
      <c r="C105" s="160"/>
      <c r="D105" s="63">
        <v>2</v>
      </c>
      <c r="I105"/>
      <c r="J105"/>
      <c r="K105" s="56"/>
      <c r="L105" s="56"/>
      <c r="M105" s="56"/>
      <c r="N105" s="58"/>
    </row>
    <row r="106" spans="1:21" s="57" customFormat="1" x14ac:dyDescent="0.2">
      <c r="B106" s="160" t="s">
        <v>723</v>
      </c>
      <c r="C106" s="160"/>
      <c r="D106" s="63">
        <v>2</v>
      </c>
      <c r="I106"/>
      <c r="J106"/>
      <c r="K106" s="56"/>
      <c r="L106" s="56"/>
      <c r="M106" s="56"/>
      <c r="N106" s="58"/>
    </row>
    <row r="107" spans="1:21" s="57" customFormat="1" x14ac:dyDescent="0.2">
      <c r="B107" s="160"/>
      <c r="C107" s="160"/>
      <c r="D107" s="61"/>
      <c r="I107"/>
      <c r="J107"/>
      <c r="K107" s="56"/>
      <c r="L107" s="56"/>
      <c r="M107" s="56"/>
      <c r="N107" s="58"/>
    </row>
    <row r="108" spans="1:21" s="57" customFormat="1" x14ac:dyDescent="0.2">
      <c r="B108" s="160" t="s">
        <v>609</v>
      </c>
      <c r="C108" s="160"/>
      <c r="D108" s="64" t="s">
        <v>733</v>
      </c>
      <c r="I108"/>
      <c r="J108"/>
      <c r="K108" s="56"/>
      <c r="L108" s="56"/>
      <c r="M108" s="56"/>
      <c r="N108" s="58"/>
    </row>
    <row r="109" spans="1:21" s="57" customFormat="1" x14ac:dyDescent="0.2">
      <c r="B109" s="161" t="s">
        <v>610</v>
      </c>
      <c r="C109" s="163"/>
      <c r="D109" s="162"/>
      <c r="I109"/>
      <c r="J109"/>
      <c r="K109" s="56"/>
      <c r="L109" s="56"/>
      <c r="M109" s="56"/>
      <c r="N109" s="58"/>
    </row>
    <row r="110" spans="1:21" x14ac:dyDescent="0.2">
      <c r="H110" s="65"/>
    </row>
    <row r="111" spans="1:21" x14ac:dyDescent="0.2">
      <c r="B111" s="66" t="s">
        <v>611</v>
      </c>
    </row>
    <row r="112" spans="1:21" ht="7.5" customHeight="1" x14ac:dyDescent="0.2"/>
    <row r="113" spans="2:10" ht="153.75" customHeight="1" x14ac:dyDescent="0.2"/>
    <row r="116" spans="2:10" x14ac:dyDescent="0.2">
      <c r="B116" s="67" t="s">
        <v>612</v>
      </c>
      <c r="C116" s="68"/>
      <c r="D116" s="67"/>
    </row>
    <row r="117" spans="2:10" x14ac:dyDescent="0.2">
      <c r="B117" s="67" t="s">
        <v>724</v>
      </c>
      <c r="D117" s="67"/>
    </row>
    <row r="118" spans="2:10" ht="165" customHeight="1" x14ac:dyDescent="0.2"/>
    <row r="120" spans="2:10" x14ac:dyDescent="0.2">
      <c r="J120" s="13"/>
    </row>
  </sheetData>
  <mergeCells count="25">
    <mergeCell ref="A1:H1"/>
    <mergeCell ref="A2:H2"/>
    <mergeCell ref="A3:H3"/>
    <mergeCell ref="B90:C90"/>
    <mergeCell ref="B81:C81"/>
    <mergeCell ref="B82:C82"/>
    <mergeCell ref="B99:D99"/>
    <mergeCell ref="B100:C100"/>
    <mergeCell ref="B75:H75"/>
    <mergeCell ref="B76:H76"/>
    <mergeCell ref="B77:H77"/>
    <mergeCell ref="B79:D79"/>
    <mergeCell ref="B80:C80"/>
    <mergeCell ref="B95:C95"/>
    <mergeCell ref="B96:C96"/>
    <mergeCell ref="B97:C97"/>
    <mergeCell ref="B106:C106"/>
    <mergeCell ref="B107:C107"/>
    <mergeCell ref="B108:C108"/>
    <mergeCell ref="B109:D109"/>
    <mergeCell ref="B101:C101"/>
    <mergeCell ref="B102:C102"/>
    <mergeCell ref="B103:C103"/>
    <mergeCell ref="B104:C104"/>
    <mergeCell ref="B105:C105"/>
  </mergeCell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Swapna.N - Sundaram Mutual</cp:lastModifiedBy>
  <dcterms:created xsi:type="dcterms:W3CDTF">2025-06-02T07:33:21Z</dcterms:created>
  <dcterms:modified xsi:type="dcterms:W3CDTF">2025-06-04T04:51:06Z</dcterms:modified>
</cp:coreProperties>
</file>