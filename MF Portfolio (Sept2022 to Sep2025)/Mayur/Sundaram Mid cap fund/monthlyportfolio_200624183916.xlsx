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8. 15 June 2024\"/>
    </mc:Choice>
  </mc:AlternateContent>
  <xr:revisionPtr revIDLastSave="0" documentId="13_ncr:1_{18343C9D-9E70-4AD4-A56C-AE8502691569}" xr6:coauthVersionLast="47" xr6:coauthVersionMax="47" xr10:uidLastSave="{00000000-0000-0000-0000-000000000000}"/>
  <bookViews>
    <workbookView xWindow="-120" yWindow="-120" windowWidth="20730" windowHeight="11040" tabRatio="796" activeTab="3" xr2:uid="{9D44D584-5A1B-418A-9CFC-B41E3724419B}"/>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2" i="5" l="1"/>
  <c r="G61" i="10"/>
  <c r="F61" i="10"/>
  <c r="G122" i="5"/>
  <c r="F92" i="9" l="1"/>
  <c r="F41" i="9"/>
  <c r="G24" i="9"/>
  <c r="G41" i="9" s="1"/>
  <c r="G92" i="9" s="1"/>
  <c r="F93" i="3" l="1"/>
  <c r="F94" i="3"/>
  <c r="F140" i="5"/>
  <c r="F139" i="7"/>
  <c r="F138" i="7"/>
  <c r="F79" i="8"/>
  <c r="F78" i="8"/>
  <c r="F24" i="9" l="1"/>
</calcChain>
</file>

<file path=xl/sharedStrings.xml><?xml version="1.0" encoding="utf-8"?>
<sst xmlns="http://schemas.openxmlformats.org/spreadsheetml/2006/main" count="3175" uniqueCount="619">
  <si>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</si>
  <si>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</si>
  <si>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</si>
  <si>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</si>
  <si>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</si>
  <si>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</si>
  <si>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</si>
  <si>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</si>
  <si>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</si>
  <si>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</si>
  <si>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</si>
  <si>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</si>
  <si>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</si>
  <si>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</si>
  <si>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</si>
  <si>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</si>
  <si>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</si>
  <si>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</si>
  <si>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</si>
  <si>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</si>
  <si>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</si>
  <si>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</si>
  <si>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CRISIL AAA</t>
  </si>
  <si>
    <t>INE556F08KH1</t>
  </si>
  <si>
    <t>INE557F08FS6</t>
  </si>
  <si>
    <t>INE115A07QJ2</t>
  </si>
  <si>
    <t>INE261F08EH1</t>
  </si>
  <si>
    <t>National Bank for Agriculture &amp; Rural Development - 7.62% - 10/05/2029</t>
  </si>
  <si>
    <t>INE020B08EL2</t>
  </si>
  <si>
    <t>REC LTD - 7.44% - 30/04/2026</t>
  </si>
  <si>
    <t>INE040A08930</t>
  </si>
  <si>
    <t>INE261F08EA6</t>
  </si>
  <si>
    <t>National Bank for Agriculture &amp; Rural Development - 7.5% - 31/08/2026</t>
  </si>
  <si>
    <t>INE020B08EK4</t>
  </si>
  <si>
    <t>INE557F08FR8</t>
  </si>
  <si>
    <t>INE134E08LP1</t>
  </si>
  <si>
    <t>INE134E08MX3</t>
  </si>
  <si>
    <t>Power Finance Corporation Ltd - 7.6% - 13/04/2029</t>
  </si>
  <si>
    <t>INE242A08544</t>
  </si>
  <si>
    <t>ICRA AAA</t>
  </si>
  <si>
    <t>INE296A07SV1</t>
  </si>
  <si>
    <t>INE040A08666</t>
  </si>
  <si>
    <t>INE020B08EP3</t>
  </si>
  <si>
    <t>REC LTD - 7.77% - 30/09/2026</t>
  </si>
  <si>
    <t>INE261F08DX0</t>
  </si>
  <si>
    <t>National Bank for Agriculture &amp; Rural Development - 7.58% - 31/07/2026</t>
  </si>
  <si>
    <t>INE134E08MN4</t>
  </si>
  <si>
    <t>INE115A07MW4</t>
  </si>
  <si>
    <t>LIC Housing Finance Ltd - 7.95% - 29/01/2028</t>
  </si>
  <si>
    <t>INE041007100</t>
  </si>
  <si>
    <t>(b) Privately Placed / Unlisted</t>
  </si>
  <si>
    <t>(c) Govt Security</t>
  </si>
  <si>
    <t>IN0020230085</t>
  </si>
  <si>
    <t>7.18%  Government Securities - 14/08/2033</t>
  </si>
  <si>
    <t>Sovereign</t>
  </si>
  <si>
    <t>IN0020230135</t>
  </si>
  <si>
    <t>7.32% Government Securities-13/11/2030</t>
  </si>
  <si>
    <t>IN0020230010</t>
  </si>
  <si>
    <t>7.06% Central Government Securities 10/04/2028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</si>
  <si>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</si>
  <si>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</si>
  <si>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</si>
  <si>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</si>
  <si>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</si>
  <si>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</si>
  <si>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</si>
  <si>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</si>
  <si>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</si>
  <si>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</si>
  <si>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</si>
  <si>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</si>
  <si>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</si>
  <si>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</si>
  <si>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</si>
  <si>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</si>
  <si>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</si>
  <si>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</si>
  <si>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</si>
  <si>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</si>
  <si>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</si>
  <si>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</si>
  <si>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</si>
  <si>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</si>
  <si>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</si>
  <si>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31/05/2024</t>
  </si>
  <si>
    <t>15/06/2024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</si>
  <si>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</si>
  <si>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</si>
  <si>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</si>
  <si>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</si>
  <si>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</si>
  <si>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</si>
  <si>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</si>
  <si>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</si>
  <si>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</si>
  <si>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INE514E08FV4</t>
  </si>
  <si>
    <t>INE557F08FY4</t>
  </si>
  <si>
    <t>National Housing Bank  - 7.59% - 14/07/2027</t>
  </si>
  <si>
    <t>INE556F08KF5</t>
  </si>
  <si>
    <t>Small Industries Development Bank of India - 7.54% - 12/01/2026</t>
  </si>
  <si>
    <t>INE134E08LK2</t>
  </si>
  <si>
    <t>INE261F08DO9</t>
  </si>
  <si>
    <t>INE752E08734</t>
  </si>
  <si>
    <t>INE053F08338</t>
  </si>
  <si>
    <t>INE040A08922</t>
  </si>
  <si>
    <t>INE916DA7SL3</t>
  </si>
  <si>
    <t>INE556F08KE8</t>
  </si>
  <si>
    <t>INE134E08LF2</t>
  </si>
  <si>
    <t>IN0020230101</t>
  </si>
  <si>
    <t>7.37% Government Securities-23/10/2028</t>
  </si>
  <si>
    <t>Direct Plan - Bonus</t>
  </si>
  <si>
    <t>Retail Plan - Growth</t>
  </si>
  <si>
    <t>Regular Plan - Bonus</t>
  </si>
  <si>
    <t>Sundaram Money Market Fund</t>
  </si>
  <si>
    <t>INE028A16EX5</t>
  </si>
  <si>
    <t>IND A1+</t>
  </si>
  <si>
    <t>INE238AD6819</t>
  </si>
  <si>
    <t>CRISIL A1+</t>
  </si>
  <si>
    <t>INE476A16YB0</t>
  </si>
  <si>
    <t>INE562A16MZ1</t>
  </si>
  <si>
    <t>INE237A164X3</t>
  </si>
  <si>
    <t>INE261F16793</t>
  </si>
  <si>
    <t>INE040A16EN1</t>
  </si>
  <si>
    <t>INE160A16OM8</t>
  </si>
  <si>
    <t>INE01GA16228</t>
  </si>
  <si>
    <t>INE092T16WB9</t>
  </si>
  <si>
    <t>INE095A16V79</t>
  </si>
  <si>
    <t>INE090AD6113</t>
  </si>
  <si>
    <t>ICRA A1+</t>
  </si>
  <si>
    <t>INE171A16LP4</t>
  </si>
  <si>
    <t>INE692A16GZ8</t>
  </si>
  <si>
    <t>INE790I14ER0</t>
  </si>
  <si>
    <t>INE144H14GZ0</t>
  </si>
  <si>
    <t>INE763G14TE7</t>
  </si>
  <si>
    <t>INE115A14EX5</t>
  </si>
  <si>
    <t>INE556F14KH9</t>
  </si>
  <si>
    <t>INE557F14FJ3</t>
  </si>
  <si>
    <t>National Housing Bank  - 26/09/2024</t>
  </si>
  <si>
    <t>IN002024Z073</t>
  </si>
  <si>
    <t>364 Days - T Bill - 15/05/2025</t>
  </si>
  <si>
    <t>Sundaram Low Duration Fund</t>
  </si>
  <si>
    <t>INE134E08KT5</t>
  </si>
  <si>
    <t>Power Finance Corporation Ltd - 7.17% - 22/05/2025</t>
  </si>
  <si>
    <t>INE557F08FV0</t>
  </si>
  <si>
    <t>CARE AAA</t>
  </si>
  <si>
    <t>INE403D08181</t>
  </si>
  <si>
    <t>Bharti Telecom Ltd - 8.9% - 04/12/2025</t>
  </si>
  <si>
    <t>CRISIL AA+</t>
  </si>
  <si>
    <t>INE721A07SB0</t>
  </si>
  <si>
    <t>INE115A07ML7</t>
  </si>
  <si>
    <t>INE261F08DP6</t>
  </si>
  <si>
    <t>INE115A07PQ9</t>
  </si>
  <si>
    <t>INE115A07PU1</t>
  </si>
  <si>
    <t>INE523H07CB9</t>
  </si>
  <si>
    <t>CRISIL AA</t>
  </si>
  <si>
    <t>INE233A08121</t>
  </si>
  <si>
    <t>INE721A07RU2</t>
  </si>
  <si>
    <t>INE071G07587</t>
  </si>
  <si>
    <t>INE121A07QT9</t>
  </si>
  <si>
    <t>ICRA AA+</t>
  </si>
  <si>
    <t>IN0020220037</t>
  </si>
  <si>
    <t>7.38% Central Government Securities 20/06/2027</t>
  </si>
  <si>
    <t>INE040A16EP6</t>
  </si>
  <si>
    <t>HDFC Bank Ltd - 28/02/2025</t>
  </si>
  <si>
    <t>INE237A166W0</t>
  </si>
  <si>
    <t>INE090AD6063</t>
  </si>
  <si>
    <t>INE556F16AM5</t>
  </si>
  <si>
    <t>Small Industries Development Bank of India - 11/12/2024</t>
  </si>
  <si>
    <t>INE238AD6629</t>
  </si>
  <si>
    <t>INE238AD6579</t>
  </si>
  <si>
    <t>INE160A16OF2</t>
  </si>
  <si>
    <t>INE261F16785</t>
  </si>
  <si>
    <t>INE261F16819</t>
  </si>
  <si>
    <t>INE466L14DI2</t>
  </si>
  <si>
    <t>INE403G14RK1</t>
  </si>
  <si>
    <t>INE121A14WH8</t>
  </si>
  <si>
    <t>INE870H14SP6</t>
  </si>
  <si>
    <t>IN002023Z489</t>
  </si>
  <si>
    <t>364 Days- T Bill-13/02/2025</t>
  </si>
  <si>
    <t>Sundaram Liquid Fund</t>
  </si>
  <si>
    <t>INE936D07075</t>
  </si>
  <si>
    <t>INE094A08036</t>
  </si>
  <si>
    <t>INE562A16MX6</t>
  </si>
  <si>
    <t>INE160A16OW7</t>
  </si>
  <si>
    <t>INE040A16EZ5</t>
  </si>
  <si>
    <t>INE476A16YM7</t>
  </si>
  <si>
    <t>INE692A16HK8</t>
  </si>
  <si>
    <t>INE457A16KO2</t>
  </si>
  <si>
    <t>INE238AD6785</t>
  </si>
  <si>
    <t>INE028A16FM5</t>
  </si>
  <si>
    <t>INE028A16FP8</t>
  </si>
  <si>
    <t>INE692A16HH4</t>
  </si>
  <si>
    <t>INE476A16YK1</t>
  </si>
  <si>
    <t>INE238AD6454</t>
  </si>
  <si>
    <t>INE238AD6751</t>
  </si>
  <si>
    <t>INE040A16EV4</t>
  </si>
  <si>
    <t>HDFC Bank Ltd - 14/08/2024</t>
  </si>
  <si>
    <t>INE028A16FQ6</t>
  </si>
  <si>
    <t>INE562A16NA2</t>
  </si>
  <si>
    <t>INE261F14LR3</t>
  </si>
  <si>
    <t>INE514E14RR5</t>
  </si>
  <si>
    <t>INE572E14JE8</t>
  </si>
  <si>
    <t>INE556F14KI7</t>
  </si>
  <si>
    <t>INE763G14UP1</t>
  </si>
  <si>
    <t>INE556F14KK3</t>
  </si>
  <si>
    <t>INE891D14YQ7</t>
  </si>
  <si>
    <t>INE721A14DU8</t>
  </si>
  <si>
    <t>INE0DZE14065</t>
  </si>
  <si>
    <t>INE09OL14FK9</t>
  </si>
  <si>
    <t>INE700G14JJ9</t>
  </si>
  <si>
    <t>HDFC Securities Ltd - 18/06/2024</t>
  </si>
  <si>
    <t>INE121A14WK2</t>
  </si>
  <si>
    <t>INE261F14LM4</t>
  </si>
  <si>
    <t>INE556F14KF3</t>
  </si>
  <si>
    <t>INE071G14FO3</t>
  </si>
  <si>
    <t>INE824H14PG8</t>
  </si>
  <si>
    <t>INE233A14N74</t>
  </si>
  <si>
    <t>INE572E14JF5</t>
  </si>
  <si>
    <t>INE338I14HE9</t>
  </si>
  <si>
    <t>INE572E14JC2</t>
  </si>
  <si>
    <t>INE212K14601</t>
  </si>
  <si>
    <t>INE865C14LF3</t>
  </si>
  <si>
    <t>INE338I14HJ8</t>
  </si>
  <si>
    <t>INE01C314825</t>
  </si>
  <si>
    <t>INE790I14ET6</t>
  </si>
  <si>
    <t>INE763G14UQ9</t>
  </si>
  <si>
    <t>INE865C14LL1</t>
  </si>
  <si>
    <t>INE824H14PJ2</t>
  </si>
  <si>
    <t>INE144H14GX5</t>
  </si>
  <si>
    <t>INE850D14RI4</t>
  </si>
  <si>
    <t>INE891D14YR5</t>
  </si>
  <si>
    <t>INE027214647</t>
  </si>
  <si>
    <t>INE417C14751</t>
  </si>
  <si>
    <t>INE824H14OZ1</t>
  </si>
  <si>
    <t>INE850D14RF0</t>
  </si>
  <si>
    <t>IN002024X011</t>
  </si>
  <si>
    <t>91 Days- T Bill-04/07/2024</t>
  </si>
  <si>
    <t>IN002024X060</t>
  </si>
  <si>
    <t>91 Days- T Bill-02/08/2024</t>
  </si>
  <si>
    <t>IN002024X086</t>
  </si>
  <si>
    <t>91 Days - T Bill - 15/08/2024</t>
  </si>
  <si>
    <t>IN002024X037</t>
  </si>
  <si>
    <t>91 Days- T Bill-19/07/2024</t>
  </si>
  <si>
    <t>IN002023Y458</t>
  </si>
  <si>
    <t>182 Days- T Bill-01/08/2024</t>
  </si>
  <si>
    <t>IN002023X559</t>
  </si>
  <si>
    <t>91 Days- T Bill-27/06/2024</t>
  </si>
  <si>
    <t>IN002023Y508</t>
  </si>
  <si>
    <t>182 Days -T Bill- 29/08/2024</t>
  </si>
  <si>
    <t>IN002023Z174</t>
  </si>
  <si>
    <t>364 Days - T Bill - 18/07/2024</t>
  </si>
  <si>
    <t>IN002023Y433</t>
  </si>
  <si>
    <t>182 Days - T Bill - 18/07/2024</t>
  </si>
  <si>
    <t>IN002024X045</t>
  </si>
  <si>
    <t>91 Days - T Bill - 25/07/2024</t>
  </si>
  <si>
    <t>IN002023Y466</t>
  </si>
  <si>
    <t>182 Days - T Bill - 08/08/2024</t>
  </si>
  <si>
    <t>Sundaram Short Duration Fund</t>
  </si>
  <si>
    <t>INE020B08EG2</t>
  </si>
  <si>
    <t>INE134E08MJ2</t>
  </si>
  <si>
    <t>INE020B08EI8</t>
  </si>
  <si>
    <t>INE115A07PI6</t>
  </si>
  <si>
    <t>IN3120230484</t>
  </si>
  <si>
    <t>7.44% Tamil Nadu State Government Securities -20/03/2034</t>
  </si>
  <si>
    <t>IN0020210160</t>
  </si>
  <si>
    <t>Sundaram Ultra Short Duration Fund</t>
  </si>
  <si>
    <t>INE848E07AJ4</t>
  </si>
  <si>
    <t>INE121A07RB5</t>
  </si>
  <si>
    <t>INE756I07EI4</t>
  </si>
  <si>
    <t>INE115A07OX8</t>
  </si>
  <si>
    <t>INE238AD6546</t>
  </si>
  <si>
    <t>INE040A16DX2</t>
  </si>
  <si>
    <t>HDFC Bank Ltd - 13/09/2024</t>
  </si>
  <si>
    <t>INE476A16YD6</t>
  </si>
  <si>
    <t>INE028A16FO1</t>
  </si>
  <si>
    <t>INE090AD6105</t>
  </si>
  <si>
    <t>INE160A16OH8</t>
  </si>
  <si>
    <t>INE090AD6055</t>
  </si>
  <si>
    <t>INE171A16LK5</t>
  </si>
  <si>
    <t>INE040A16EH3</t>
  </si>
  <si>
    <t>INE556F16AN3</t>
  </si>
  <si>
    <t>INE261F16777</t>
  </si>
  <si>
    <t>INE237A160W3</t>
  </si>
  <si>
    <t>INE160A16OL0</t>
  </si>
  <si>
    <t>Punjab National Bank - 07/02/2025</t>
  </si>
  <si>
    <t>INE556F16AQ6</t>
  </si>
  <si>
    <t>INE557F14FK1</t>
  </si>
  <si>
    <t>National Housing Bank  - 28/08/2024</t>
  </si>
  <si>
    <t>INE790I14EV2</t>
  </si>
  <si>
    <t>INE556F14KG1</t>
  </si>
  <si>
    <t>INE414G14TC1</t>
  </si>
  <si>
    <t>INE477S14CC9</t>
  </si>
  <si>
    <t>INE115A14EV9</t>
  </si>
  <si>
    <t>INE417C14710</t>
  </si>
  <si>
    <t>IN002024X078</t>
  </si>
  <si>
    <t>91 Days - T Bill - 08/08/2024</t>
  </si>
  <si>
    <t>IN002023Z299</t>
  </si>
  <si>
    <t>364 Days- T Bill -03/10/2024</t>
  </si>
  <si>
    <t>Sundaram Medium Duration Fund</t>
  </si>
  <si>
    <t>IN0020210186</t>
  </si>
  <si>
    <t>5.74% Central Government Securities 15/11/2026</t>
  </si>
  <si>
    <t>IN0020200278</t>
  </si>
  <si>
    <t>5.15% Central Government Securities 09/11/2025</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</si>
  <si>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</si>
  <si>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</si>
  <si>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</si>
  <si>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</si>
  <si>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</si>
  <si>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</si>
  <si>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</si>
  <si>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</si>
  <si>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</si>
  <si>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</si>
  <si>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</si>
  <si>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</si>
  <si>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</si>
  <si>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</si>
  <si>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</si>
  <si>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INE200M01021</t>
  </si>
  <si>
    <t>Varun Beverages Ltd</t>
  </si>
  <si>
    <t>Beverages</t>
  </si>
  <si>
    <t>INE044A01036</t>
  </si>
  <si>
    <t>Sun Pharmaceutical Industries Ltd</t>
  </si>
  <si>
    <t>Pharmaceuticals &amp; Biotechnology</t>
  </si>
  <si>
    <t>INE397D01024</t>
  </si>
  <si>
    <t>Bharti Airtel Ltd</t>
  </si>
  <si>
    <t>Telecom - Services</t>
  </si>
  <si>
    <t>INE860A01027</t>
  </si>
  <si>
    <t>HCL Technologies Ltd</t>
  </si>
  <si>
    <t>It - Software</t>
  </si>
  <si>
    <t>INE009A01021</t>
  </si>
  <si>
    <t>Infosys Ltd</t>
  </si>
  <si>
    <t>INE062A01020</t>
  </si>
  <si>
    <t>State Bank of India</t>
  </si>
  <si>
    <t>INE059A01026</t>
  </si>
  <si>
    <t>Cipla Ltd</t>
  </si>
  <si>
    <t>INE481G01011</t>
  </si>
  <si>
    <t>Ultratech Cement Ltd</t>
  </si>
  <si>
    <t>Cement &amp; Cement Products</t>
  </si>
  <si>
    <t>INE854D01024</t>
  </si>
  <si>
    <t>United Spirits Ltd</t>
  </si>
  <si>
    <t>INE047A01021</t>
  </si>
  <si>
    <t>Grasim Industries Ltd</t>
  </si>
  <si>
    <t>IN9397D01014</t>
  </si>
  <si>
    <t>IN0020230051</t>
  </si>
  <si>
    <t>7.30% Government Securities - 19/06/2053</t>
  </si>
  <si>
    <t>Sundaram Overnight Fund</t>
  </si>
  <si>
    <t>IN002023X542</t>
  </si>
  <si>
    <t>91 Days- T Bill-20/06/2024</t>
  </si>
  <si>
    <t>IN002023Y391</t>
  </si>
  <si>
    <t>182 Days -T Bill- 20/06/2024</t>
  </si>
  <si>
    <t>IN002023Z166</t>
  </si>
  <si>
    <t>364 Days - T Bill -11/07/2024</t>
  </si>
  <si>
    <t>Unclaimed Plan - Redemption Less than three years</t>
  </si>
  <si>
    <t>Unclaimed Plan - Redemption greater than three years</t>
  </si>
  <si>
    <t>YTM (%)*</t>
  </si>
  <si>
    <t>YTM (%)</t>
  </si>
  <si>
    <t>S. No.</t>
  </si>
  <si>
    <t>ACRONYM</t>
  </si>
  <si>
    <t>SCHEME NAME</t>
  </si>
  <si>
    <t>SFRLTP</t>
  </si>
  <si>
    <t>SFRSTP</t>
  </si>
  <si>
    <t>SMMF</t>
  </si>
  <si>
    <t>SPLDF</t>
  </si>
  <si>
    <t>SPMON</t>
  </si>
  <si>
    <t>SPSDF</t>
  </si>
  <si>
    <t>SPUSDF</t>
  </si>
  <si>
    <t>SUNBDS</t>
  </si>
  <si>
    <t>SUNMIA</t>
  </si>
  <si>
    <t>SUNONF</t>
  </si>
  <si>
    <t>(c) Corporate Debt Market Development Fund</t>
  </si>
  <si>
    <t>**Non Traded Securities - Wherever applicable</t>
  </si>
  <si>
    <t>^ Net current assets includes interest accrued on fixed income securities - Wherever applicable</t>
  </si>
  <si>
    <t># percentage to NAV of security is less than 0.01% - Wherever applicable</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</si>
  <si>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</si>
  <si>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</si>
  <si>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</si>
  <si>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</si>
  <si>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</si>
  <si>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</si>
  <si>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</si>
  <si>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</si>
  <si>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</si>
  <si>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Index</t>
  </si>
  <si>
    <t>Scheme Riskometer</t>
  </si>
  <si>
    <t>Tier I Benchmark Riskometer - NIFTY Corporate Bond Index A-II</t>
  </si>
  <si>
    <t>Tier II Benchmark Riskometer -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</si>
  <si>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</si>
  <si>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</si>
  <si>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</si>
  <si>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</si>
  <si>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</si>
  <si>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</si>
  <si>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</si>
  <si>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</si>
  <si>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</si>
  <si>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Refer below point i)</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</si>
  <si>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</si>
  <si>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</si>
  <si>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</si>
  <si>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</si>
  <si>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</si>
  <si>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</si>
  <si>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</si>
  <si>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Tier I Benchmark Riskometer - NIFTY Liquid Index A-I</t>
  </si>
  <si>
    <t>Tier II Benchmark Riskometer - NIFTY Liquid Index</t>
  </si>
  <si>
    <t>Net receivable/Market value  (Rs. Lakh)</t>
  </si>
  <si>
    <t>% to NAV</t>
  </si>
  <si>
    <t>Tier I Benchmark Riskometer - Nifty Short Duration Debt Index A-II</t>
  </si>
  <si>
    <t>Tier II Benchmark Riskometer - NIFTY Short Duration Debt Index</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</si>
  <si>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</si>
  <si>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</si>
  <si>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</si>
  <si>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</si>
  <si>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</si>
  <si>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</si>
  <si>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</si>
  <si>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</si>
  <si>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</si>
  <si>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</si>
  <si>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</si>
  <si>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</si>
  <si>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</si>
  <si>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</si>
  <si>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</si>
  <si>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</si>
  <si>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</si>
  <si>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Benchmark Riskometer - CRISIL Hybrid 85 Plus 15 - Conservative Index</t>
  </si>
  <si>
    <t>Macaulay Duration - only for Debt portion (years)</t>
  </si>
  <si>
    <t>Residual Maturity - only for Debt portion (years)</t>
  </si>
  <si>
    <t>Tier I Benchmark Riskometer - NIFTY 1D Rate Index</t>
  </si>
  <si>
    <t>Tier II Benchmark Riskometer - NIFTY 1D Rate Index</t>
  </si>
  <si>
    <t>Macaulay Duration (Days)</t>
  </si>
  <si>
    <t>Residual Maturity (Days)</t>
  </si>
  <si>
    <t>Indian Railway Finance Corporation Ltd - 7.23% - 15/10/2026**</t>
  </si>
  <si>
    <t>Small Industries Development Bank of India - 7.43% - 31/08/2026**</t>
  </si>
  <si>
    <t>National Housing Bank  - 7.4% - 16/07/2026**</t>
  </si>
  <si>
    <t>LIC Housing Finance Ltd - 7.7% - 16/05/2028**</t>
  </si>
  <si>
    <t>HDFC Bank Ltd (Prev HDFC Ltd) - 7.65% - 25/05/2033**</t>
  </si>
  <si>
    <t>REC LTD - 7.46% - 30/06/2028**</t>
  </si>
  <si>
    <t>National Housing Bank  - 7.22% - 23/07/2026**</t>
  </si>
  <si>
    <t>Power Finance Corporation Ltd - 7.13% - 15/07/2026**</t>
  </si>
  <si>
    <t>Indian Oil Corporation Ltd - 7.44% - 25/11/2027**</t>
  </si>
  <si>
    <t>Bajaj Finance Ltd - 7.82% - 31/01/2034**</t>
  </si>
  <si>
    <t>HDFC Bank Ltd (Prev HDFC Ltd) - 7.8% - 03/05/2033**</t>
  </si>
  <si>
    <t>Power Finance Corporation Ltd - 7.44% - 10/05/2028**</t>
  </si>
  <si>
    <t>Embassy Office Parks REIT - 7.77% - 05/06/2025**</t>
  </si>
  <si>
    <t>REC LTD - 7.55% - 31/03/2028**</t>
  </si>
  <si>
    <t>Export Import Bank of India - 5.85% - 12/09/2025**</t>
  </si>
  <si>
    <t>Power Finance Corporation Ltd - 6.09% - 27/08/2026**</t>
  </si>
  <si>
    <t>National Bank for Agriculture &amp; Rural Development - 7.4% - 30/01/2026**</t>
  </si>
  <si>
    <t>Power Grid Corporation of India Ltd - 7.35% - 12/03/2034**</t>
  </si>
  <si>
    <t>Indian Railway Finance Corporation Ltd - 7.68% - 24/11/2026**</t>
  </si>
  <si>
    <t>HDFC Bank Ltd (Prev HDFC Ltd) - 7.8% - 02/06/2025**</t>
  </si>
  <si>
    <t>Kotak Mahindra Prime Ltd - 8.09% - 09/11/2026**</t>
  </si>
  <si>
    <t>Small Industries Development Bank of India - 7.47% - 25/11/2025**</t>
  </si>
  <si>
    <t>Power Finance Corporation Ltd - 6.35% - 30/06/2025**</t>
  </si>
  <si>
    <t>Bank of Baroda - 20/02/2025**</t>
  </si>
  <si>
    <t>Axis Bank Ltd - 27/02/2025**</t>
  </si>
  <si>
    <t>Canara Bank - 20/03/2025**</t>
  </si>
  <si>
    <t>Indian Bank - 23/05/2025**</t>
  </si>
  <si>
    <t>Kotak Mahindra Bank Ltd - 13/12/2024**</t>
  </si>
  <si>
    <t>National Bank for Agriculture &amp; Rural Development - 12/02/2025**</t>
  </si>
  <si>
    <t>HDFC Bank Ltd - 20/02/2025**</t>
  </si>
  <si>
    <t>Punjab National Bank - 25/02/2025**</t>
  </si>
  <si>
    <t>DBS BANK LTD - 07/03/2025**</t>
  </si>
  <si>
    <t>IDFC First Bank Ltd - 21/02/2025**</t>
  </si>
  <si>
    <t>IndusInd Bank Ltd - 24/02/2025**</t>
  </si>
  <si>
    <t>ICICI Bank Ltd - 31/01/2025**</t>
  </si>
  <si>
    <t>The Federal Bank Ltd - 04/02/2025**</t>
  </si>
  <si>
    <t>Union Bank of India - 27/02/2025**</t>
  </si>
  <si>
    <t>HSBC InvestDirect Financial Services India Limited - 14/08/2024**</t>
  </si>
  <si>
    <t>Deutsche Investments India Private Ltd - 09/12/2024**</t>
  </si>
  <si>
    <t>ICICI Securities Ltd - 21/02/2025**</t>
  </si>
  <si>
    <t>LIC Housing Finance Ltd - 21/03/2025**</t>
  </si>
  <si>
    <t>Small Industries Development Bank of India - 28/05/2025**</t>
  </si>
  <si>
    <t>National Housing Bank  - 7.78% - 26/04/2027**</t>
  </si>
  <si>
    <t>Shriram Finance Ltd - 9.2% - 22/05/2026**</t>
  </si>
  <si>
    <t>LIC Housing Finance Ltd - 7.4% - 06/09/2024**</t>
  </si>
  <si>
    <t>National Bank for Agriculture &amp; Rural Development - 7.35% - 08/07/2025**</t>
  </si>
  <si>
    <t>LIC Housing Finance Ltd - 5.9943% - 12/03/2025**</t>
  </si>
  <si>
    <t>LIC Housing Finance Ltd - 6.25% - 20/06/2025**</t>
  </si>
  <si>
    <t>JM Financial Products Ltd - 8.92% - 16/11/2026**</t>
  </si>
  <si>
    <t>Godrej Industries Ltd - 8.36% - 28/08/2026**</t>
  </si>
  <si>
    <t>Kotak Mahindra Bank Ltd - 07/03/2025**</t>
  </si>
  <si>
    <t>ICICI Bank Ltd - 27/09/2024**</t>
  </si>
  <si>
    <t>Axis Bank Ltd - 10/01/2025**</t>
  </si>
  <si>
    <t>Axis Bank Ltd - 29/11/2024**</t>
  </si>
  <si>
    <t>Punjab National Bank - 05/12/2024**</t>
  </si>
  <si>
    <t>National Bank for Agriculture &amp; Rural Development - 07/02/2025**</t>
  </si>
  <si>
    <t>National Bank for Agriculture &amp; Rural Development - 26/02/2025**</t>
  </si>
  <si>
    <t>360 ONE WAM Ltd (Prev IIFL Wealth Management Ltd) - 14/03/2025**</t>
  </si>
  <si>
    <t>Standard Chartered Capital Ltd - 21/08/2024**</t>
  </si>
  <si>
    <t>Cholamandalam Investment and Finance Co Ltd - 21/02/2025**</t>
  </si>
  <si>
    <t>Network18 Media &amp; Investments Ltd - 31/07/2024**</t>
  </si>
  <si>
    <t>Jamnagar Utilities and Power Pvt Ltd - 9.75% - 02/08/2024**</t>
  </si>
  <si>
    <t>Hindustan Petroleum Corporation Ltd - 7% - 14/08/2024**</t>
  </si>
  <si>
    <t>Indian Bank - 20/08/2024**</t>
  </si>
  <si>
    <t>Punjab National Bank - 02/09/2024**</t>
  </si>
  <si>
    <t>HDFC Bank Ltd - 11/09/2024**</t>
  </si>
  <si>
    <t>Canara Bank - 13/09/2024**</t>
  </si>
  <si>
    <t>Union Bank of India - 13/09/2024**</t>
  </si>
  <si>
    <t>Bank of Maharashtra - 21/06/2024**</t>
  </si>
  <si>
    <t>Axis Bank Ltd - 09/08/2024**</t>
  </si>
  <si>
    <t>Bank of Baroda - 16/08/2024**</t>
  </si>
  <si>
    <t>Bank of Baroda - 23/08/2024**</t>
  </si>
  <si>
    <t>Union Bank of India - 23/08/2024**</t>
  </si>
  <si>
    <t>Canara Bank - 09/09/2024**</t>
  </si>
  <si>
    <t>Axis Bank Ltd - 19/06/2024**</t>
  </si>
  <si>
    <t>Axis Bank Ltd - 22/07/2024**</t>
  </si>
  <si>
    <t>Bank of Baroda - 28/08/2024**</t>
  </si>
  <si>
    <t>Indian Bank - 03/09/2024**</t>
  </si>
  <si>
    <t>National Bank for Agriculture &amp; Rural Development - 26/08/2024**</t>
  </si>
  <si>
    <t>Export Import Bank of India - 09/09/2024**</t>
  </si>
  <si>
    <t>PNB Housing Finance Ltd - 27/08/2024**</t>
  </si>
  <si>
    <t>Small Industries Development Bank of India - 03/09/2024**</t>
  </si>
  <si>
    <t>ICICI Securities Ltd - 29/08/2024**</t>
  </si>
  <si>
    <t>Small Industries Development Bank of India - 11/09/2024**</t>
  </si>
  <si>
    <t>Redington Ltd - 12/09/2024**</t>
  </si>
  <si>
    <t>Shriram Finance Ltd - 10/09/2024**</t>
  </si>
  <si>
    <t>Kisetsu Saison Finance - 10/09/2024**</t>
  </si>
  <si>
    <t>Cholamandalam Investment and Finance Co Ltd - 09/07/2024**</t>
  </si>
  <si>
    <t>National Bank for Agriculture &amp; Rural Development - 31/07/2024**</t>
  </si>
  <si>
    <t>Small Industries Development Bank of India - 09/08/2024**</t>
  </si>
  <si>
    <t>ICICI Home Finance Company Ltd - 16/08/2024**</t>
  </si>
  <si>
    <t>Julius Baer Capital (India) Private Ltd - 23/08/2024**</t>
  </si>
  <si>
    <t>Godrej Industries Ltd - 06/09/2024**</t>
  </si>
  <si>
    <t>PNB Housing Finance Ltd - 10/09/2024**</t>
  </si>
  <si>
    <t>Motilal Oswal Financial Services Ltd - 28/06/2024**</t>
  </si>
  <si>
    <t>PNB Housing Finance Ltd - 26/07/2024**</t>
  </si>
  <si>
    <t>SBI Cap securities Ltd - 24/07/2024**</t>
  </si>
  <si>
    <t>Aditya Birla Money Ltd - 30/07/2024**</t>
  </si>
  <si>
    <t>Motilal Oswal Financial Services Ltd - 01/08/2024**</t>
  </si>
  <si>
    <t>Bajaj Financial Securities Ltd - 12/08/2024**</t>
  </si>
  <si>
    <t>HSBC InvestDirect Financial Services India Limited - 27/08/2024**</t>
  </si>
  <si>
    <t>ICICI Securities Ltd - 30/08/2024**</t>
  </si>
  <si>
    <t>Aditya Birla Money Ltd - 29/08/2024**</t>
  </si>
  <si>
    <t>Julius Baer Capital (India) Private Ltd - 29/08/2024**</t>
  </si>
  <si>
    <t>Deutsche Investments India Private Ltd - 03/09/2024**</t>
  </si>
  <si>
    <t>Godrej Agrovet Ltd - 12/09/2024**</t>
  </si>
  <si>
    <t>Redington Ltd - 13/09/2024**</t>
  </si>
  <si>
    <t>BOBCARD Ltd - 13/09/2024**</t>
  </si>
  <si>
    <t>Pilani Investment and Industries Corporation Ltd. - 13/09/2024**</t>
  </si>
  <si>
    <t>Julius Baer Capital (India) Private Ltd - 09/08/2024**</t>
  </si>
  <si>
    <t>Godrej Agrovet Ltd - 30/08/2024**</t>
  </si>
  <si>
    <t>REC LTD - 7.69% - 31/03/2033**</t>
  </si>
  <si>
    <t>Power Finance Corporation Ltd - 7.77% - 15/04/2028**</t>
  </si>
  <si>
    <t>ICICI Home Finance Company Ltd - 8% - 28/06/2024**</t>
  </si>
  <si>
    <t>REC LTD - 7.51% - 31/07/2026**</t>
  </si>
  <si>
    <t>LIC Housing Finance Ltd - 6.17% - 03/09/2026**</t>
  </si>
  <si>
    <t>NHPC Ltd - 7.35% - 15/09/2024**</t>
  </si>
  <si>
    <t>Cholamandalam Investment and Finance Co Ltd - 8.25% - 04/03/2025**</t>
  </si>
  <si>
    <t>HDB Financial Services Ltd - 7.5% - 23/09/2025**</t>
  </si>
  <si>
    <t>LIC Housing Finance Ltd - 5.5315% - 20/12/2024**</t>
  </si>
  <si>
    <t>Cholamandalam Investment and Finance Co Ltd - 8.45% - 21/11/2025**</t>
  </si>
  <si>
    <t>Shriram Finance Ltd - 9.25% - 19/12/2025**</t>
  </si>
  <si>
    <t>Axis Bank Ltd - 19/09/2024**</t>
  </si>
  <si>
    <t>Canara Bank - 27/06/2024**</t>
  </si>
  <si>
    <t>Bank of Baroda - 25/11/2024**</t>
  </si>
  <si>
    <t>ICICI Bank Ltd - 06/12/2024**</t>
  </si>
  <si>
    <t>Punjab National Bank - 31/01/2025**</t>
  </si>
  <si>
    <t>ICICI Bank Ltd - 18/09/2024**</t>
  </si>
  <si>
    <t>The Federal Bank Ltd - 29/11/2024**</t>
  </si>
  <si>
    <t>HDFC Bank Ltd - 06/12/2024**</t>
  </si>
  <si>
    <t>Small Industries Development Bank of India - 18/12/2024**</t>
  </si>
  <si>
    <t>National Bank for Agriculture &amp; Rural Development - 23/01/2025**</t>
  </si>
  <si>
    <t>Kotak Mahindra Bank Ltd - 05/02/2025**</t>
  </si>
  <si>
    <t>Small Industries Development Bank of India - 07/02/2025**</t>
  </si>
  <si>
    <t>HSBC InvestDirect Financial Services India Limited - 24/12/2024**</t>
  </si>
  <si>
    <t>Small Industries Development Bank of India - 28/02/2025**</t>
  </si>
  <si>
    <t>Muthoot Finance Ltd - 25/02/2025**</t>
  </si>
  <si>
    <t>Tata Motors Finance Ltd - 11/03/2025**</t>
  </si>
  <si>
    <t>LIC Housing Finance Ltd - 04/03/2025**</t>
  </si>
  <si>
    <t>Pilani Investment and Industries Corporation Ltd. - 21/03/2025**</t>
  </si>
  <si>
    <t>At the beginning</t>
  </si>
  <si>
    <t>7.72% Central Government Securities_Floating Rate Bond - 04/10/2028 ~</t>
  </si>
  <si>
    <t>CRISIL-A1+</t>
  </si>
  <si>
    <t>Bharti Airtel Ltd - Partly Paid Right Shares</t>
  </si>
  <si>
    <t>INE0GGX23010</t>
  </si>
  <si>
    <t>Power Grid Infrastructure Investment Trust(InvIT)</t>
  </si>
  <si>
    <t>Power</t>
  </si>
  <si>
    <t>Direct Plan - Quarterly IDCW</t>
  </si>
  <si>
    <t>Regular Plan - Quarterly IDCW</t>
  </si>
  <si>
    <t>Direct Plan - Monthly IDCW</t>
  </si>
  <si>
    <t>Direct Plan - Halfyearly IDCW</t>
  </si>
  <si>
    <t>Direct Plan - Annual IDCW</t>
  </si>
  <si>
    <t>Regular Plan - Monthly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</si>
  <si>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</si>
  <si>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</si>
  <si>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</si>
  <si>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</si>
  <si>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</si>
  <si>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</si>
  <si>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</si>
  <si>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</si>
  <si>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Regular Plan - Fortnightly IDCW</t>
  </si>
  <si>
    <t>Direct Plan - Fortnightly IDCW</t>
  </si>
  <si>
    <t>Unclaimed Plan - IDCW greater than three years</t>
  </si>
  <si>
    <t>Unclaimed Plan - IDCW less than three years</t>
  </si>
  <si>
    <t>15-Jun-2024</t>
  </si>
  <si>
    <t>i) Exposure to securities classified as below investment grade or default as on 15-Jun-2024:-</t>
  </si>
  <si>
    <t>h) Exposure to securities classified as below investment grade or default as on 15-Jun-2024:-</t>
  </si>
  <si>
    <t>% to AUM as on  15-Jun-2024</t>
  </si>
  <si>
    <t>++ Aggregate Investments by Other schemes of Sundaram Mutual Fund - Rs.61,303.61 Lakhs</t>
  </si>
  <si>
    <t>Direct Plan - Daily Dividend</t>
  </si>
  <si>
    <t>Direct Plan - Monthly Dividend</t>
  </si>
  <si>
    <t>Retail Plan - Monthly Dividend</t>
  </si>
  <si>
    <t>Regular Plan - Daily Dividend</t>
  </si>
  <si>
    <t>Regular Plan - Weekly Dividend</t>
  </si>
  <si>
    <t>Regular Plan - Monthly Dividend</t>
  </si>
  <si>
    <t>Direct Plan - Quarterly Dividend</t>
  </si>
  <si>
    <t>Regular Plan - Quarterly Dividend</t>
  </si>
  <si>
    <t>Direct Plan - Weekly Dividend</t>
  </si>
  <si>
    <t>Direct Plan - Fortnightly Dividend</t>
  </si>
  <si>
    <t>Regular Plan - Fortnightly Dividend</t>
  </si>
  <si>
    <t>Fortnightly Portfolio Statement as on 15 June 2024</t>
  </si>
  <si>
    <t>Birla Group Holdings Pvt Ltd - 18/09/2024**</t>
  </si>
  <si>
    <t>Reverse Repo</t>
  </si>
  <si>
    <t>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</si>
</sst>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_(* #,##0.0000000_);_(* \(#,##0.0000000\);_(* &quot;-&quot;??_);_(@_)"/>
  </numFmts>
  <fonts count="30" x14ac:knownFonts="1">
    <font>
      <sz val="10"/>
      <name val="Arial"/>
      <charset val="1"/>
    </font>
    <font>
      <sz val="11"/>
      <color theme="1"/>
      <name val="Aptos Narrow"/>
      <family val="2"/>
      <scheme val="minor"/>
    </font>
    <font>
      <sz val="10"/>
      <name val="Arial"/>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family val="2"/>
    </font>
    <font>
      <b/>
      <sz val="11"/>
      <color indexed="8"/>
      <name val="Calibri"/>
      <family val="2"/>
    </font>
    <font>
      <u/>
      <sz val="10"/>
      <color theme="10"/>
      <name val="Arial"/>
      <family val="2"/>
    </font>
    <font>
      <u/>
      <sz val="11"/>
      <color rgb="FF002060"/>
      <name val="Aptos Narrow"/>
      <family val="2"/>
      <scheme val="minor"/>
    </font>
    <font>
      <b/>
      <sz val="1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sz val="10"/>
      <color indexed="8"/>
      <name val="Calibri"/>
      <family val="2"/>
    </font>
    <font>
      <b/>
      <sz val="10"/>
      <color indexed="8"/>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sz val="11"/>
      <name val="Aptos Narrow"/>
      <family val="2"/>
      <scheme val="minor"/>
    </font>
    <font>
      <sz val="11"/>
      <color indexed="8"/>
      <name val="Calibri"/>
      <family val="2"/>
    </font>
  </fonts>
  <fills count="5">
    <fill>
      <patternFill patternType="none"/>
    </fill>
    <fill>
      <patternFill patternType="gray125"/>
    </fill>
    <fill>
      <patternFill patternType="solid">
        <fgColor indexed="9"/>
      </patternFill>
    </fill>
    <fill>
      <patternFill patternType="solid">
        <fgColor theme="8" tint="0.79998168889431442"/>
        <bgColor indexed="64"/>
      </patternFill>
    </fill>
    <fill>
      <patternFill patternType="solid">
        <fgColor theme="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164" fontId="2" fillId="0" borderId="0" applyFont="0" applyFill="0" applyBorder="0" applyAlignment="0" applyProtection="0">
      <alignment wrapText="1"/>
    </xf>
    <xf numFmtId="0" fontId="9" fillId="0" borderId="0" applyNumberFormat="0" applyFill="0" applyBorder="0" applyAlignment="0" applyProtection="0">
      <alignment wrapText="1"/>
    </xf>
    <xf numFmtId="0" fontId="7" fillId="0" borderId="0">
      <alignment wrapText="1"/>
    </xf>
    <xf numFmtId="0" fontId="1" fillId="0" borderId="0"/>
    <xf numFmtId="0" fontId="1" fillId="0" borderId="0"/>
    <xf numFmtId="43" fontId="7" fillId="0" borderId="0" applyFont="0" applyFill="0" applyBorder="0" applyAlignment="0" applyProtection="0"/>
    <xf numFmtId="9" fontId="7" fillId="0" borderId="0" applyFont="0" applyFill="0" applyBorder="0" applyAlignment="0" applyProtection="0"/>
    <xf numFmtId="0" fontId="1" fillId="0" borderId="0"/>
    <xf numFmtId="9" fontId="29" fillId="0" borderId="0" applyFont="0" applyFill="0" applyBorder="0" applyAlignment="0" applyProtection="0"/>
  </cellStyleXfs>
  <cellXfs count="156">
    <xf numFmtId="0" fontId="0" fillId="0" borderId="0" xfId="0">
      <alignment wrapText="1"/>
    </xf>
    <xf numFmtId="0" fontId="4"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0" fontId="3" fillId="2" borderId="4"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1"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2"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164" fontId="8" fillId="2" borderId="7" xfId="1" applyFont="1" applyFill="1" applyBorder="1" applyAlignment="1">
      <alignment horizontal="center" vertical="center" wrapText="1" readingOrder="1"/>
    </xf>
    <xf numFmtId="0" fontId="8" fillId="2" borderId="7" xfId="0" applyFont="1" applyFill="1" applyBorder="1" applyAlignment="1">
      <alignment horizontal="center" vertical="center" wrapText="1" readingOrder="1"/>
    </xf>
    <xf numFmtId="0" fontId="10" fillId="3" borderId="0" xfId="2" applyFont="1" applyFill="1" applyBorder="1" applyAlignment="1">
      <alignment horizontal="center" vertical="center" wrapText="1"/>
    </xf>
    <xf numFmtId="0" fontId="0" fillId="4" borderId="0" xfId="0" applyFill="1" applyAlignment="1">
      <alignment horizontal="center" vertical="center" wrapText="1"/>
    </xf>
    <xf numFmtId="0" fontId="11" fillId="4" borderId="0" xfId="3" applyFont="1" applyFill="1" applyAlignment="1">
      <alignment horizontal="center" vertical="center" wrapText="1"/>
    </xf>
    <xf numFmtId="0" fontId="0" fillId="0" borderId="0" xfId="0" applyAlignment="1">
      <alignment horizontal="center" vertical="center" wrapText="1"/>
    </xf>
    <xf numFmtId="0" fontId="3" fillId="2" borderId="7" xfId="0" applyFont="1" applyFill="1" applyBorder="1" applyAlignment="1">
      <alignment horizontal="right" vertical="top" wrapText="1" readingOrder="1"/>
    </xf>
    <xf numFmtId="0" fontId="4" fillId="2" borderId="7" xfId="0" applyFont="1" applyFill="1" applyBorder="1" applyAlignment="1">
      <alignment horizontal="left" vertical="center" wrapText="1" readingOrder="1"/>
    </xf>
    <xf numFmtId="0" fontId="4" fillId="2" borderId="7" xfId="0" applyFont="1" applyFill="1" applyBorder="1" applyAlignment="1">
      <alignment horizontal="right" vertical="center" wrapText="1" readingOrder="1"/>
    </xf>
    <xf numFmtId="165" fontId="4" fillId="2" borderId="7" xfId="0" applyNumberFormat="1" applyFont="1" applyFill="1" applyBorder="1" applyAlignment="1">
      <alignment horizontal="right" vertical="center" wrapText="1" readingOrder="1"/>
    </xf>
    <xf numFmtId="0" fontId="5" fillId="2" borderId="7" xfId="0" applyFont="1" applyFill="1" applyBorder="1" applyAlignment="1">
      <alignment horizontal="left" vertical="center" wrapText="1" readingOrder="1"/>
    </xf>
    <xf numFmtId="0" fontId="5" fillId="2" borderId="7" xfId="0" applyFont="1" applyFill="1" applyBorder="1" applyAlignment="1">
      <alignment horizontal="right" vertical="center" wrapText="1" readingOrder="1"/>
    </xf>
    <xf numFmtId="166" fontId="4" fillId="2" borderId="7" xfId="0" applyNumberFormat="1" applyFont="1" applyFill="1" applyBorder="1" applyAlignment="1">
      <alignment horizontal="right" vertical="center" wrapText="1" readingOrder="1"/>
    </xf>
    <xf numFmtId="167" fontId="3" fillId="2" borderId="7" xfId="0" applyNumberFormat="1" applyFont="1" applyFill="1" applyBorder="1" applyAlignment="1">
      <alignment horizontal="right" vertical="center" wrapText="1" readingOrder="1"/>
    </xf>
    <xf numFmtId="0" fontId="3" fillId="2" borderId="7" xfId="0" applyFont="1" applyFill="1" applyBorder="1" applyAlignment="1">
      <alignment horizontal="left" vertical="center" wrapText="1" readingOrder="1"/>
    </xf>
    <xf numFmtId="168" fontId="3" fillId="2" borderId="7" xfId="0" applyNumberFormat="1" applyFont="1" applyFill="1" applyBorder="1" applyAlignment="1">
      <alignment horizontal="right" vertical="center" wrapText="1" readingOrder="1"/>
    </xf>
    <xf numFmtId="166" fontId="3" fillId="2" borderId="7" xfId="0" applyNumberFormat="1" applyFont="1" applyFill="1" applyBorder="1" applyAlignment="1">
      <alignment horizontal="right" vertical="center" wrapText="1" readingOrder="1"/>
    </xf>
    <xf numFmtId="165" fontId="3" fillId="2" borderId="7" xfId="0" applyNumberFormat="1" applyFont="1" applyFill="1" applyBorder="1" applyAlignment="1">
      <alignment horizontal="right" vertical="center" wrapText="1" readingOrder="1"/>
    </xf>
    <xf numFmtId="0" fontId="3" fillId="2" borderId="7" xfId="0" applyFont="1" applyFill="1" applyBorder="1" applyAlignment="1">
      <alignment horizontal="right" vertical="center" wrapText="1" readingOrder="1"/>
    </xf>
    <xf numFmtId="170" fontId="4" fillId="2" borderId="7" xfId="0" applyNumberFormat="1" applyFont="1" applyFill="1" applyBorder="1" applyAlignment="1">
      <alignment horizontal="right" vertical="center" wrapText="1" readingOrder="1"/>
    </xf>
    <xf numFmtId="169" fontId="3" fillId="2" borderId="7" xfId="0" applyNumberFormat="1" applyFont="1" applyFill="1" applyBorder="1" applyAlignment="1">
      <alignment horizontal="right" vertical="center" wrapText="1" readingOrder="1"/>
    </xf>
    <xf numFmtId="164" fontId="0" fillId="0" borderId="7" xfId="1" applyFont="1" applyBorder="1">
      <alignment wrapText="1"/>
    </xf>
    <xf numFmtId="0" fontId="15" fillId="0" borderId="7" xfId="4" applyFont="1" applyBorder="1" applyAlignment="1">
      <alignment horizontal="center"/>
    </xf>
    <xf numFmtId="0" fontId="16" fillId="0" borderId="7" xfId="4" applyFont="1" applyBorder="1" applyAlignment="1">
      <alignment horizontal="center" vertical="center"/>
    </xf>
    <xf numFmtId="0" fontId="17" fillId="0" borderId="0" xfId="5" applyFont="1"/>
    <xf numFmtId="0" fontId="17" fillId="0" borderId="7" xfId="4" applyFont="1" applyBorder="1" applyAlignment="1">
      <alignment horizontal="center"/>
    </xf>
    <xf numFmtId="0" fontId="18" fillId="0" borderId="7" xfId="2" applyFont="1" applyBorder="1" applyAlignment="1">
      <alignment vertical="center"/>
    </xf>
    <xf numFmtId="0" fontId="19" fillId="0" borderId="7" xfId="4" applyFont="1" applyBorder="1" applyAlignment="1">
      <alignment vertical="top"/>
    </xf>
    <xf numFmtId="0" fontId="20" fillId="0" borderId="4" xfId="0" applyFont="1" applyBorder="1" applyAlignment="1">
      <alignment horizontal="right" vertical="top" wrapText="1" readingOrder="1"/>
    </xf>
    <xf numFmtId="0" fontId="21" fillId="0" borderId="4" xfId="0" applyFont="1" applyBorder="1" applyAlignment="1">
      <alignment horizontal="left" vertical="center" wrapText="1" readingOrder="1"/>
    </xf>
    <xf numFmtId="0" fontId="22" fillId="0" borderId="4" xfId="0" applyFont="1" applyBorder="1" applyAlignment="1">
      <alignment horizontal="right" vertical="center" wrapText="1" readingOrder="1"/>
    </xf>
    <xf numFmtId="166" fontId="20" fillId="2" borderId="4" xfId="0" applyNumberFormat="1" applyFont="1" applyFill="1" applyBorder="1" applyAlignment="1">
      <alignment horizontal="right" vertical="center" wrapText="1" readingOrder="1"/>
    </xf>
    <xf numFmtId="0" fontId="7" fillId="0" borderId="0" xfId="3">
      <alignment wrapText="1"/>
    </xf>
    <xf numFmtId="0" fontId="23" fillId="0" borderId="0" xfId="0" applyFont="1">
      <alignment wrapText="1"/>
    </xf>
    <xf numFmtId="0" fontId="22" fillId="2" borderId="0" xfId="0" applyFont="1" applyFill="1" applyAlignment="1">
      <alignment horizontal="left" vertical="center" wrapText="1" readingOrder="1"/>
    </xf>
    <xf numFmtId="0" fontId="20" fillId="2" borderId="0" xfId="0" applyFont="1" applyFill="1" applyAlignment="1">
      <alignment horizontal="left" vertical="center" wrapText="1" readingOrder="1"/>
    </xf>
    <xf numFmtId="0" fontId="20" fillId="2" borderId="0" xfId="0" applyFont="1" applyFill="1" applyAlignment="1">
      <alignment horizontal="right" vertical="top" wrapText="1" readingOrder="1"/>
    </xf>
    <xf numFmtId="0" fontId="21" fillId="2" borderId="4" xfId="0" applyFont="1" applyFill="1" applyBorder="1" applyAlignment="1">
      <alignment horizontal="left" vertical="center" wrapText="1" readingOrder="1"/>
    </xf>
    <xf numFmtId="0" fontId="20" fillId="2" borderId="6" xfId="0" applyFont="1" applyFill="1" applyBorder="1" applyAlignment="1">
      <alignment horizontal="right" vertical="top" wrapText="1" readingOrder="1"/>
    </xf>
    <xf numFmtId="0" fontId="23" fillId="0" borderId="0" xfId="0" applyFont="1" applyAlignment="1">
      <alignment vertical="center" wrapText="1"/>
    </xf>
    <xf numFmtId="0" fontId="24" fillId="0" borderId="7" xfId="0" applyFont="1" applyBorder="1" applyAlignment="1">
      <alignment horizontal="center" vertical="center" wrapText="1"/>
    </xf>
    <xf numFmtId="0" fontId="23" fillId="0" borderId="7" xfId="0" applyFont="1" applyBorder="1" applyAlignment="1">
      <alignment vertical="center" wrapText="1"/>
    </xf>
    <xf numFmtId="0" fontId="23" fillId="0" borderId="7" xfId="0" applyFont="1" applyBorder="1" applyAlignment="1">
      <alignment horizontal="justify" vertical="center" wrapText="1"/>
    </xf>
    <xf numFmtId="173" fontId="21" fillId="0" borderId="4" xfId="0" applyNumberFormat="1" applyFont="1" applyBorder="1" applyAlignment="1">
      <alignment horizontal="left" vertical="center" wrapText="1" readingOrder="1"/>
    </xf>
    <xf numFmtId="14" fontId="23" fillId="0" borderId="7" xfId="0" quotePrefix="1" applyNumberFormat="1" applyFont="1" applyBorder="1" applyAlignment="1">
      <alignment horizontal="justify" vertical="center" wrapText="1"/>
    </xf>
    <xf numFmtId="0" fontId="13" fillId="4" borderId="0" xfId="0" applyFont="1" applyFill="1" applyAlignment="1">
      <alignment horizontal="center" vertical="center"/>
    </xf>
    <xf numFmtId="0" fontId="25" fillId="4" borderId="0" xfId="0" applyFont="1" applyFill="1" applyAlignment="1">
      <alignment horizontal="center" vertical="center" wrapText="1"/>
    </xf>
    <xf numFmtId="0" fontId="20" fillId="2" borderId="0" xfId="0" applyFont="1" applyFill="1" applyAlignment="1">
      <alignment horizontal="right" vertical="center" wrapText="1" readingOrder="1"/>
    </xf>
    <xf numFmtId="0" fontId="0" fillId="0" borderId="0" xfId="0" applyAlignment="1">
      <alignment vertical="center" wrapText="1"/>
    </xf>
    <xf numFmtId="173" fontId="21" fillId="2" borderId="4" xfId="0" applyNumberFormat="1" applyFont="1" applyFill="1" applyBorder="1" applyAlignment="1">
      <alignment horizontal="left" vertical="center" wrapText="1" readingOrder="1"/>
    </xf>
    <xf numFmtId="0" fontId="1" fillId="0" borderId="0" xfId="4" applyAlignment="1">
      <alignment wrapText="1"/>
    </xf>
    <xf numFmtId="0" fontId="24" fillId="0" borderId="0" xfId="0" applyFont="1" applyAlignment="1">
      <alignment vertical="center" readingOrder="1"/>
    </xf>
    <xf numFmtId="0" fontId="24" fillId="0" borderId="0" xfId="0" applyFont="1" applyAlignment="1">
      <alignment horizontal="left" vertical="center" readingOrder="1"/>
    </xf>
    <xf numFmtId="0" fontId="26" fillId="0" borderId="0" xfId="0" applyFont="1" applyAlignment="1">
      <alignment vertical="center" wrapText="1"/>
    </xf>
    <xf numFmtId="0" fontId="26" fillId="0" borderId="7" xfId="0" applyFont="1" applyBorder="1" applyAlignment="1">
      <alignment horizontal="center" vertical="center" wrapText="1"/>
    </xf>
    <xf numFmtId="0" fontId="23" fillId="0" borderId="0" xfId="0" applyFont="1" applyAlignment="1">
      <alignment vertical="center"/>
    </xf>
    <xf numFmtId="0" fontId="23" fillId="0" borderId="7" xfId="0" applyFont="1" applyBorder="1" applyAlignment="1">
      <alignment vertical="center"/>
    </xf>
    <xf numFmtId="43" fontId="23" fillId="0" borderId="7" xfId="6" applyFont="1" applyFill="1" applyBorder="1" applyAlignment="1">
      <alignment vertical="center"/>
    </xf>
    <xf numFmtId="43" fontId="27" fillId="0" borderId="7" xfId="6" applyFont="1" applyFill="1" applyBorder="1" applyAlignment="1">
      <alignment vertical="center"/>
    </xf>
    <xf numFmtId="4" fontId="23" fillId="0" borderId="7" xfId="0" applyNumberFormat="1" applyFont="1" applyBorder="1" applyAlignment="1">
      <alignment vertical="center"/>
    </xf>
    <xf numFmtId="0" fontId="23" fillId="0" borderId="0" xfId="0" applyFont="1" applyAlignment="1">
      <alignment horizontal="center" vertical="center" readingOrder="1"/>
    </xf>
    <xf numFmtId="2" fontId="23" fillId="0" borderId="7" xfId="0" applyNumberFormat="1" applyFont="1" applyBorder="1" applyAlignment="1">
      <alignment vertical="center"/>
    </xf>
    <xf numFmtId="10" fontId="27" fillId="0" borderId="7" xfId="7" applyNumberFormat="1" applyFont="1" applyFill="1" applyBorder="1" applyAlignment="1">
      <alignment vertical="center"/>
    </xf>
    <xf numFmtId="0" fontId="22" fillId="2" borderId="0" xfId="4" applyFont="1" applyFill="1" applyAlignment="1">
      <alignment horizontal="left" vertical="center" wrapText="1" readingOrder="1"/>
    </xf>
    <xf numFmtId="0" fontId="17" fillId="0" borderId="0" xfId="4" applyFont="1" applyAlignment="1">
      <alignment vertical="center" wrapText="1"/>
    </xf>
    <xf numFmtId="0" fontId="26" fillId="0" borderId="7" xfId="0" applyFont="1" applyBorder="1" applyAlignment="1">
      <alignment vertical="center" wrapText="1"/>
    </xf>
    <xf numFmtId="0" fontId="1" fillId="0" borderId="0" xfId="8" applyAlignment="1">
      <alignment wrapText="1"/>
    </xf>
    <xf numFmtId="0" fontId="12" fillId="0" borderId="0" xfId="8" applyFont="1" applyAlignment="1">
      <alignment horizontal="center" vertical="center"/>
    </xf>
    <xf numFmtId="4" fontId="14" fillId="0" borderId="0" xfId="8" applyNumberFormat="1" applyFont="1"/>
    <xf numFmtId="0" fontId="28" fillId="0" borderId="0" xfId="8" applyFont="1" applyAlignment="1">
      <alignment wrapText="1"/>
    </xf>
    <xf numFmtId="0" fontId="26" fillId="0" borderId="7" xfId="8" applyFont="1" applyBorder="1" applyAlignment="1">
      <alignment horizontal="center" vertical="center"/>
    </xf>
    <xf numFmtId="0" fontId="26" fillId="0" borderId="0" xfId="8" applyFont="1" applyAlignment="1">
      <alignment horizontal="center" vertical="center"/>
    </xf>
    <xf numFmtId="0" fontId="27" fillId="0" borderId="7" xfId="8" applyFont="1" applyBorder="1" applyAlignment="1">
      <alignment vertical="center"/>
    </xf>
    <xf numFmtId="0" fontId="27" fillId="0" borderId="7" xfId="8" applyFont="1" applyBorder="1" applyAlignment="1">
      <alignment vertical="center" wrapText="1"/>
    </xf>
    <xf numFmtId="0" fontId="27" fillId="0" borderId="0" xfId="8" applyFont="1" applyAlignment="1">
      <alignment horizontal="center" vertical="center"/>
    </xf>
    <xf numFmtId="0" fontId="26" fillId="0" borderId="7" xfId="8" applyFont="1" applyBorder="1" applyAlignment="1">
      <alignment horizontal="center" vertical="center" wrapText="1"/>
    </xf>
    <xf numFmtId="0" fontId="11" fillId="0" borderId="0" xfId="8" applyFont="1" applyAlignment="1">
      <alignment horizontal="center" vertical="center"/>
    </xf>
    <xf numFmtId="0" fontId="27" fillId="0" borderId="7" xfId="8" applyFont="1" applyBorder="1" applyAlignment="1">
      <alignment horizontal="left" vertical="center"/>
    </xf>
    <xf numFmtId="4" fontId="27" fillId="0" borderId="7" xfId="8" applyNumberFormat="1" applyFont="1" applyBorder="1" applyAlignment="1">
      <alignment horizontal="right" vertical="center"/>
    </xf>
    <xf numFmtId="164" fontId="28" fillId="0" borderId="0" xfId="1" applyFont="1" applyAlignment="1">
      <alignment vertical="center"/>
    </xf>
    <xf numFmtId="164" fontId="27" fillId="0" borderId="0" xfId="1" applyFont="1" applyAlignment="1">
      <alignment horizontal="center" vertical="center"/>
    </xf>
    <xf numFmtId="164" fontId="0" fillId="0" borderId="0" xfId="1" applyFont="1">
      <alignment wrapText="1"/>
    </xf>
    <xf numFmtId="0" fontId="5" fillId="2" borderId="4" xfId="0" applyFont="1" applyFill="1" applyBorder="1" applyAlignment="1">
      <alignment horizontal="left" vertical="center" wrapText="1" readingOrder="1"/>
    </xf>
    <xf numFmtId="0" fontId="21" fillId="2" borderId="4" xfId="0" applyFont="1" applyFill="1" applyBorder="1" applyAlignment="1">
      <alignment horizontal="right" vertical="top" wrapText="1" readingOrder="1"/>
    </xf>
    <xf numFmtId="164" fontId="20" fillId="2" borderId="0" xfId="1" applyFont="1" applyFill="1" applyBorder="1" applyAlignment="1">
      <alignment horizontal="right" vertical="top" wrapText="1" readingOrder="1"/>
    </xf>
    <xf numFmtId="167" fontId="20" fillId="2" borderId="4" xfId="0" applyNumberFormat="1" applyFont="1" applyFill="1" applyBorder="1" applyAlignment="1">
      <alignment horizontal="right" vertical="center" wrapText="1" readingOrder="1"/>
    </xf>
    <xf numFmtId="0" fontId="20" fillId="2" borderId="4" xfId="0" applyFont="1" applyFill="1" applyBorder="1" applyAlignment="1">
      <alignment horizontal="left" vertical="center" wrapText="1" readingOrder="1"/>
    </xf>
    <xf numFmtId="169" fontId="20" fillId="2" borderId="4" xfId="0" applyNumberFormat="1" applyFont="1" applyFill="1" applyBorder="1" applyAlignment="1">
      <alignment horizontal="right" vertical="center" wrapText="1" readingOrder="1"/>
    </xf>
    <xf numFmtId="165" fontId="20" fillId="2" borderId="4" xfId="0" applyNumberFormat="1" applyFont="1" applyFill="1" applyBorder="1" applyAlignment="1">
      <alignment horizontal="right" vertical="center" wrapText="1" readingOrder="1"/>
    </xf>
    <xf numFmtId="164" fontId="20" fillId="2" borderId="4" xfId="1" applyFont="1" applyFill="1" applyBorder="1" applyAlignment="1">
      <alignment horizontal="right" vertical="top" wrapText="1" readingOrder="1"/>
    </xf>
    <xf numFmtId="171" fontId="3" fillId="0" borderId="4" xfId="0" applyNumberFormat="1" applyFont="1" applyBorder="1" applyAlignment="1">
      <alignment horizontal="right" vertical="center" wrapText="1" readingOrder="1"/>
    </xf>
    <xf numFmtId="168" fontId="20" fillId="2" borderId="4" xfId="0" applyNumberFormat="1" applyFont="1" applyFill="1" applyBorder="1" applyAlignment="1">
      <alignment horizontal="right" vertical="center" wrapText="1" readingOrder="1"/>
    </xf>
    <xf numFmtId="10" fontId="27" fillId="0" borderId="7" xfId="9" applyNumberFormat="1" applyFont="1" applyFill="1" applyBorder="1" applyAlignment="1">
      <alignment vertical="center"/>
    </xf>
    <xf numFmtId="164" fontId="5" fillId="2" borderId="0" xfId="1" applyFont="1" applyFill="1" applyAlignment="1">
      <alignment horizontal="right" vertical="center" wrapText="1" readingOrder="1"/>
    </xf>
    <xf numFmtId="174" fontId="5" fillId="2" borderId="0" xfId="1" applyNumberFormat="1" applyFont="1" applyFill="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0" fontId="8"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20" fillId="2" borderId="0" xfId="0" applyFont="1" applyFill="1" applyAlignment="1">
      <alignment horizontal="left" vertical="center" wrapText="1" readingOrder="1"/>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1" fillId="0" borderId="7" xfId="0" applyFont="1" applyBorder="1" applyAlignment="1">
      <alignment horizontal="center" vertical="center" wrapText="1" readingOrder="1"/>
    </xf>
    <xf numFmtId="0" fontId="20" fillId="2" borderId="1" xfId="0" applyFont="1" applyFill="1" applyBorder="1" applyAlignment="1">
      <alignment horizontal="left" vertical="center" wrapText="1" readingOrder="1"/>
    </xf>
    <xf numFmtId="0" fontId="20" fillId="2" borderId="3" xfId="0" applyFont="1" applyFill="1" applyBorder="1" applyAlignment="1">
      <alignment horizontal="left" vertical="center" wrapText="1" readingOrder="1"/>
    </xf>
    <xf numFmtId="0" fontId="20" fillId="0" borderId="7" xfId="0" applyFont="1" applyBorder="1" applyAlignment="1">
      <alignment horizontal="left" vertical="center" wrapText="1" readingOrder="1"/>
    </xf>
    <xf numFmtId="0" fontId="20" fillId="0" borderId="8" xfId="0" applyFont="1" applyBorder="1" applyAlignment="1">
      <alignment horizontal="left" vertical="center" wrapText="1" readingOrder="1"/>
    </xf>
    <xf numFmtId="0" fontId="20" fillId="0" borderId="10" xfId="0" applyFont="1" applyBorder="1" applyAlignment="1">
      <alignment horizontal="left" vertical="center" wrapText="1" readingOrder="1"/>
    </xf>
    <xf numFmtId="0" fontId="20" fillId="0" borderId="9" xfId="0" applyFont="1" applyBorder="1" applyAlignment="1">
      <alignment horizontal="left" vertical="center" wrapText="1" readingOrder="1"/>
    </xf>
    <xf numFmtId="0" fontId="20" fillId="2" borderId="8" xfId="0" applyFont="1" applyFill="1" applyBorder="1" applyAlignment="1">
      <alignment horizontal="left" vertical="center" wrapText="1" readingOrder="1"/>
    </xf>
    <xf numFmtId="0" fontId="20" fillId="2" borderId="9" xfId="0" applyFont="1" applyFill="1" applyBorder="1" applyAlignment="1">
      <alignment horizontal="left" vertical="center" wrapText="1" readingOrder="1"/>
    </xf>
    <xf numFmtId="0" fontId="20" fillId="2" borderId="10" xfId="0" applyFont="1" applyFill="1" applyBorder="1" applyAlignment="1">
      <alignment horizontal="left" vertical="center" wrapText="1" readingOrder="1"/>
    </xf>
    <xf numFmtId="0" fontId="20" fillId="2" borderId="7" xfId="0" applyFont="1" applyFill="1" applyBorder="1" applyAlignment="1">
      <alignment horizontal="left" vertical="center" wrapText="1" readingOrder="1"/>
    </xf>
    <xf numFmtId="0" fontId="21" fillId="2" borderId="7" xfId="0" applyFont="1" applyFill="1" applyBorder="1" applyAlignment="1">
      <alignment horizontal="center" vertical="center" wrapText="1" readingOrder="1"/>
    </xf>
    <xf numFmtId="0" fontId="20" fillId="2" borderId="0" xfId="0" quotePrefix="1" applyFont="1" applyFill="1" applyAlignment="1">
      <alignment horizontal="left" vertical="center" wrapText="1" readingOrder="1"/>
    </xf>
    <xf numFmtId="0" fontId="20" fillId="2" borderId="0" xfId="0" applyFont="1" applyFill="1" applyAlignment="1">
      <alignment horizontal="justify" vertical="top" wrapText="1" readingOrder="1"/>
    </xf>
    <xf numFmtId="0" fontId="24" fillId="0" borderId="8" xfId="0" applyFont="1" applyBorder="1" applyAlignment="1">
      <alignment horizontal="left" vertical="center" readingOrder="1"/>
    </xf>
    <xf numFmtId="0" fontId="24" fillId="0" borderId="9" xfId="0" applyFont="1" applyBorder="1" applyAlignment="1">
      <alignment horizontal="left" vertical="center" readingOrder="1"/>
    </xf>
    <xf numFmtId="0" fontId="24" fillId="0" borderId="10" xfId="0" applyFont="1" applyBorder="1" applyAlignment="1">
      <alignment horizontal="left" vertical="center" readingOrder="1"/>
    </xf>
    <xf numFmtId="0" fontId="26" fillId="0" borderId="8" xfId="8" applyFont="1" applyBorder="1" applyAlignment="1">
      <alignment horizontal="center" vertical="center" wrapText="1"/>
    </xf>
    <xf numFmtId="0" fontId="26" fillId="0" borderId="10" xfId="8" applyFont="1" applyBorder="1" applyAlignment="1">
      <alignment horizontal="center" vertical="center" wrapText="1"/>
    </xf>
    <xf numFmtId="0" fontId="26" fillId="0" borderId="7" xfId="8" applyFont="1" applyBorder="1" applyAlignment="1">
      <alignment horizontal="center" vertical="center"/>
    </xf>
    <xf numFmtId="0" fontId="27" fillId="0" borderId="8" xfId="6" applyNumberFormat="1" applyFont="1" applyFill="1" applyBorder="1" applyAlignment="1">
      <alignment horizontal="center" vertical="center"/>
    </xf>
    <xf numFmtId="0" fontId="27" fillId="0" borderId="10" xfId="6" applyNumberFormat="1" applyFont="1" applyFill="1" applyBorder="1" applyAlignment="1">
      <alignment horizontal="center" vertical="center"/>
    </xf>
    <xf numFmtId="0" fontId="26" fillId="0" borderId="8" xfId="8" applyFont="1" applyBorder="1" applyAlignment="1">
      <alignment horizontal="center" vertical="center"/>
    </xf>
    <xf numFmtId="0" fontId="26" fillId="0" borderId="9" xfId="8" applyFont="1" applyBorder="1" applyAlignment="1">
      <alignment horizontal="center" vertical="center"/>
    </xf>
    <xf numFmtId="0" fontId="26" fillId="0" borderId="10" xfId="8" applyFont="1" applyBorder="1" applyAlignment="1">
      <alignment horizontal="center" vertical="center"/>
    </xf>
    <xf numFmtId="0" fontId="27" fillId="0" borderId="8" xfId="8" applyFont="1" applyBorder="1" applyAlignment="1">
      <alignment horizontal="left" vertical="center" wrapText="1"/>
    </xf>
    <xf numFmtId="0" fontId="27" fillId="0" borderId="9" xfId="8" applyFont="1" applyBorder="1" applyAlignment="1">
      <alignment horizontal="left" vertical="center" wrapText="1"/>
    </xf>
    <xf numFmtId="0" fontId="27" fillId="0" borderId="10" xfId="8" applyFont="1" applyBorder="1" applyAlignment="1">
      <alignment horizontal="left" vertical="center" wrapText="1"/>
    </xf>
  </cellXfs>
  <cellStyles count="10">
    <cellStyle name="Comma" xfId="1" builtinId="3"/>
    <cellStyle name="Comma 2" xfId="6" xr:uid="{5D5E227B-3F88-4A46-9F10-A8A1078A1EE1}"/>
    <cellStyle name="Hyperlink 2" xfId="2" xr:uid="{14D3C7C5-5DBF-43E8-9DFD-E3DBEC86C9CC}"/>
    <cellStyle name="Normal" xfId="0" builtinId="0"/>
    <cellStyle name="Normal 2 2" xfId="4" xr:uid="{9EA1B77F-0EB5-4EB3-B6A6-221B477EEB3E}"/>
    <cellStyle name="Normal 2 2 3" xfId="8" xr:uid="{6BAE923F-E716-4513-B096-E0BB3037F788}"/>
    <cellStyle name="Normal 2 3" xfId="5" xr:uid="{FEAB118E-B14F-4F54-9C35-49F0DE4C97A9}"/>
    <cellStyle name="Normal 3" xfId="3" xr:uid="{84F155C6-3372-43BE-8593-79899660D2D3}"/>
    <cellStyle name="Percent 2" xfId="9" xr:uid="{42AD049C-28E8-435A-92DD-49FAEE86E655}"/>
    <cellStyle name="Percent 3" xfId="7" xr:uid="{02E781D5-B434-4A00-B841-A77A452388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5" name="Picture 4">
          <a:extLst>
            <a:ext uri="{FF2B5EF4-FFF2-40B4-BE49-F238E27FC236}">
              <a16:creationId xmlns:a16="http://schemas.microsoft.com/office/drawing/2014/main" id="{956B1F09-7F1A-451A-995D-2F8F56CE21B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2967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6" name="Picture 5">
          <a:extLst>
            <a:ext uri="{FF2B5EF4-FFF2-40B4-BE49-F238E27FC236}">
              <a16:creationId xmlns:a16="http://schemas.microsoft.com/office/drawing/2014/main" id="{E0C54A4E-4C55-4A2F-84C4-3D0CF8D0DBF6}"/>
            </a:ext>
          </a:extLst>
        </xdr:cNvPr>
        <xdr:cNvPicPr preferRelativeResize="0">
          <a:picLocks noChangeAspect="1"/>
        </xdr:cNvPicPr>
      </xdr:nvPicPr>
      <xdr:blipFill>
        <a:blip xmlns:r="http://schemas.openxmlformats.org/officeDocument/2006/relationships" r:embed="rId2"/>
        <a:stretch>
          <a:fillRect/>
        </a:stretch>
      </xdr:blipFill>
      <xdr:spPr>
        <a:xfrm>
          <a:off x="881380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35</xdr:row>
      <xdr:rowOff>0</xdr:rowOff>
    </xdr:to>
    <xdr:pic>
      <xdr:nvPicPr>
        <xdr:cNvPr id="7" name="Picture 6">
          <a:extLst>
            <a:ext uri="{FF2B5EF4-FFF2-40B4-BE49-F238E27FC236}">
              <a16:creationId xmlns:a16="http://schemas.microsoft.com/office/drawing/2014/main" id="{C7C85F2C-58A3-43BA-9CFB-1DA9187A8DE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58250"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57150</xdr:rowOff>
    </xdr:from>
    <xdr:to>
      <xdr:col>9</xdr:col>
      <xdr:colOff>3314700</xdr:colOff>
      <xdr:row>35</xdr:row>
      <xdr:rowOff>19050</xdr:rowOff>
    </xdr:to>
    <xdr:pic>
      <xdr:nvPicPr>
        <xdr:cNvPr id="2" name="Picture 1">
          <a:extLst>
            <a:ext uri="{FF2B5EF4-FFF2-40B4-BE49-F238E27FC236}">
              <a16:creationId xmlns:a16="http://schemas.microsoft.com/office/drawing/2014/main" id="{927AC0D9-7DA9-402F-BD8F-61110847FE97}"/>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5438775"/>
          <a:ext cx="323850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161926</xdr:rowOff>
    </xdr:from>
    <xdr:to>
      <xdr:col>9</xdr:col>
      <xdr:colOff>3333750</xdr:colOff>
      <xdr:row>26</xdr:row>
      <xdr:rowOff>133350</xdr:rowOff>
    </xdr:to>
    <xdr:pic>
      <xdr:nvPicPr>
        <xdr:cNvPr id="3" name="Picture 2">
          <a:extLst>
            <a:ext uri="{FF2B5EF4-FFF2-40B4-BE49-F238E27FC236}">
              <a16:creationId xmlns:a16="http://schemas.microsoft.com/office/drawing/2014/main" id="{681C86AE-B92B-4998-868D-8C66B6F593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88691" y="30861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E7C122E9-56A0-4D3E-B48A-252E7F7048F3}"/>
            </a:ext>
          </a:extLst>
        </xdr:cNvPr>
        <xdr:cNvPicPr>
          <a:picLocks noChangeAspect="1"/>
        </xdr:cNvPicPr>
      </xdr:nvPicPr>
      <xdr:blipFill>
        <a:blip xmlns:r="http://schemas.openxmlformats.org/officeDocument/2006/relationships" r:embed="rId3"/>
        <a:stretch>
          <a:fillRect/>
        </a:stretch>
      </xdr:blipFill>
      <xdr:spPr>
        <a:xfrm>
          <a:off x="874395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2F58FAB8-FEC8-4F8B-9338-A897F4669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39225"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68A72867-7AE0-4C7F-BCA8-B47600CD5779}"/>
            </a:ext>
          </a:extLst>
        </xdr:cNvPr>
        <xdr:cNvPicPr preferRelativeResize="0">
          <a:picLocks noChangeAspect="1"/>
        </xdr:cNvPicPr>
      </xdr:nvPicPr>
      <xdr:blipFill>
        <a:blip xmlns:r="http://schemas.openxmlformats.org/officeDocument/2006/relationships" r:embed="rId2"/>
        <a:stretch>
          <a:fillRect/>
        </a:stretch>
      </xdr:blipFill>
      <xdr:spPr>
        <a:xfrm>
          <a:off x="9029699"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BCE7A666-EA7B-497E-AF49-419E2A9094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032875"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35</xdr:row>
      <xdr:rowOff>104775</xdr:rowOff>
    </xdr:to>
    <xdr:pic>
      <xdr:nvPicPr>
        <xdr:cNvPr id="2" name="Picture 1">
          <a:extLst>
            <a:ext uri="{FF2B5EF4-FFF2-40B4-BE49-F238E27FC236}">
              <a16:creationId xmlns:a16="http://schemas.microsoft.com/office/drawing/2014/main" id="{DEAB9657-3A9D-4CA1-99FD-ABF44C53A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5143501"/>
          <a:ext cx="323850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xdr:row>
      <xdr:rowOff>85726</xdr:rowOff>
    </xdr:from>
    <xdr:to>
      <xdr:col>9</xdr:col>
      <xdr:colOff>3314701</xdr:colOff>
      <xdr:row>12</xdr:row>
      <xdr:rowOff>152401</xdr:rowOff>
    </xdr:to>
    <xdr:pic>
      <xdr:nvPicPr>
        <xdr:cNvPr id="3" name="Picture 2">
          <a:extLst>
            <a:ext uri="{FF2B5EF4-FFF2-40B4-BE49-F238E27FC236}">
              <a16:creationId xmlns:a16="http://schemas.microsoft.com/office/drawing/2014/main" id="{1888AD6E-F6F8-4F0C-8B3E-7C335CEE202C}"/>
            </a:ext>
          </a:extLst>
        </xdr:cNvPr>
        <xdr:cNvPicPr preferRelativeResize="0">
          <a:picLocks noChangeAspect="1"/>
        </xdr:cNvPicPr>
      </xdr:nvPicPr>
      <xdr:blipFill>
        <a:blip xmlns:r="http://schemas.openxmlformats.org/officeDocument/2006/relationships" r:embed="rId2"/>
        <a:stretch>
          <a:fillRect/>
        </a:stretch>
      </xdr:blipFill>
      <xdr:spPr>
        <a:xfrm>
          <a:off x="9134476" y="466726"/>
          <a:ext cx="3238500" cy="1962150"/>
        </a:xfrm>
        <a:prstGeom prst="rect">
          <a:avLst/>
        </a:prstGeom>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4" name="Picture 2">
          <a:extLst>
            <a:ext uri="{FF2B5EF4-FFF2-40B4-BE49-F238E27FC236}">
              <a16:creationId xmlns:a16="http://schemas.microsoft.com/office/drawing/2014/main" id="{9E5333BF-C436-4D56-BE0C-59BCCCE0D6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34476"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37</xdr:row>
      <xdr:rowOff>161925</xdr:rowOff>
    </xdr:to>
    <xdr:pic>
      <xdr:nvPicPr>
        <xdr:cNvPr id="2" name="Picture 1">
          <a:extLst>
            <a:ext uri="{FF2B5EF4-FFF2-40B4-BE49-F238E27FC236}">
              <a16:creationId xmlns:a16="http://schemas.microsoft.com/office/drawing/2014/main" id="{5639C072-919B-4EA4-9B16-8D1EDD9AA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50768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25</xdr:row>
      <xdr:rowOff>85214</xdr:rowOff>
    </xdr:to>
    <xdr:pic>
      <xdr:nvPicPr>
        <xdr:cNvPr id="3" name="Picture 2">
          <a:extLst>
            <a:ext uri="{FF2B5EF4-FFF2-40B4-BE49-F238E27FC236}">
              <a16:creationId xmlns:a16="http://schemas.microsoft.com/office/drawing/2014/main" id="{BC5CA59B-A612-44FC-9908-7829CDB88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9162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12</xdr:row>
      <xdr:rowOff>123825</xdr:rowOff>
    </xdr:to>
    <xdr:pic>
      <xdr:nvPicPr>
        <xdr:cNvPr id="4" name="Picture 3">
          <a:extLst>
            <a:ext uri="{FF2B5EF4-FFF2-40B4-BE49-F238E27FC236}">
              <a16:creationId xmlns:a16="http://schemas.microsoft.com/office/drawing/2014/main" id="{E5F21816-BC11-42FD-8654-0C6FA6155845}"/>
            </a:ext>
          </a:extLst>
        </xdr:cNvPr>
        <xdr:cNvPicPr preferRelativeResize="0">
          <a:picLocks noChangeAspect="1"/>
        </xdr:cNvPicPr>
      </xdr:nvPicPr>
      <xdr:blipFill>
        <a:blip xmlns:r="http://schemas.openxmlformats.org/officeDocument/2006/relationships" r:embed="rId3"/>
        <a:stretch>
          <a:fillRect/>
        </a:stretch>
      </xdr:blipFill>
      <xdr:spPr>
        <a:xfrm>
          <a:off x="917257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4D9BBB24-A8D0-4E81-A5E3-3792B273BB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84B1C492-3B4C-4263-916E-6972BBB317DF}"/>
            </a:ext>
          </a:extLst>
        </xdr:cNvPr>
        <xdr:cNvPicPr preferRelativeResize="0">
          <a:picLocks noChangeAspect="1"/>
        </xdr:cNvPicPr>
      </xdr:nvPicPr>
      <xdr:blipFill>
        <a:blip xmlns:r="http://schemas.openxmlformats.org/officeDocument/2006/relationships" r:embed="rId2"/>
        <a:stretch>
          <a:fillRect/>
        </a:stretch>
      </xdr:blipFill>
      <xdr:spPr>
        <a:xfrm>
          <a:off x="8915401" y="400050"/>
          <a:ext cx="3276600" cy="2032000"/>
        </a:xfrm>
        <a:prstGeom prst="rect">
          <a:avLst/>
        </a:prstGeom>
      </xdr:spPr>
    </xdr:pic>
    <xdr:clientData/>
  </xdr:twoCellAnchor>
  <xdr:twoCellAnchor editAs="oneCell">
    <xdr:from>
      <xdr:col>9</xdr:col>
      <xdr:colOff>38101</xdr:colOff>
      <xdr:row>27</xdr:row>
      <xdr:rowOff>85724</xdr:rowOff>
    </xdr:from>
    <xdr:to>
      <xdr:col>9</xdr:col>
      <xdr:colOff>3333751</xdr:colOff>
      <xdr:row>34</xdr:row>
      <xdr:rowOff>276225</xdr:rowOff>
    </xdr:to>
    <xdr:pic>
      <xdr:nvPicPr>
        <xdr:cNvPr id="4" name="Picture 2">
          <a:extLst>
            <a:ext uri="{FF2B5EF4-FFF2-40B4-BE49-F238E27FC236}">
              <a16:creationId xmlns:a16="http://schemas.microsoft.com/office/drawing/2014/main" id="{235B7EA3-6FE2-4B13-AAF1-1F6C861F6F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6" y="514349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34</xdr:row>
      <xdr:rowOff>168274</xdr:rowOff>
    </xdr:to>
    <xdr:pic>
      <xdr:nvPicPr>
        <xdr:cNvPr id="2" name="Picture 1">
          <a:extLst>
            <a:ext uri="{FF2B5EF4-FFF2-40B4-BE49-F238E27FC236}">
              <a16:creationId xmlns:a16="http://schemas.microsoft.com/office/drawing/2014/main" id="{EF473A83-406C-4A12-BDE1-5BA358B36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72577"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10C4A66B-70F5-47DF-BB57-8F502F98D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9162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95251</xdr:rowOff>
    </xdr:from>
    <xdr:to>
      <xdr:col>9</xdr:col>
      <xdr:colOff>3343275</xdr:colOff>
      <xdr:row>13</xdr:row>
      <xdr:rowOff>85726</xdr:rowOff>
    </xdr:to>
    <xdr:pic>
      <xdr:nvPicPr>
        <xdr:cNvPr id="4" name="Picture 3">
          <a:extLst>
            <a:ext uri="{FF2B5EF4-FFF2-40B4-BE49-F238E27FC236}">
              <a16:creationId xmlns:a16="http://schemas.microsoft.com/office/drawing/2014/main" id="{08698F15-FEAB-4B3E-A212-881F21688903}"/>
            </a:ext>
          </a:extLst>
        </xdr:cNvPr>
        <xdr:cNvPicPr preferRelativeResize="0">
          <a:picLocks noChangeAspect="1"/>
        </xdr:cNvPicPr>
      </xdr:nvPicPr>
      <xdr:blipFill>
        <a:blip xmlns:r="http://schemas.openxmlformats.org/officeDocument/2006/relationships" r:embed="rId3"/>
        <a:stretch>
          <a:fillRect/>
        </a:stretch>
      </xdr:blipFill>
      <xdr:spPr>
        <a:xfrm>
          <a:off x="9153525" y="476251"/>
          <a:ext cx="3305175"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75A9B6B3-8898-46A7-A41B-B9CE80D98D16}"/>
            </a:ext>
          </a:extLst>
        </xdr:cNvPr>
        <xdr:cNvPicPr>
          <a:picLocks noChangeAspect="1"/>
        </xdr:cNvPicPr>
      </xdr:nvPicPr>
      <xdr:blipFill>
        <a:blip xmlns:r="http://schemas.openxmlformats.org/officeDocument/2006/relationships" r:embed="rId1"/>
        <a:stretch>
          <a:fillRect/>
        </a:stretch>
      </xdr:blipFill>
      <xdr:spPr>
        <a:xfrm>
          <a:off x="9067801"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2C400AEB-4534-406D-8754-8F4A63D142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86850"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4CF01626-46EF-4DCF-9799-36B7E40748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96377"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57150</xdr:colOff>
      <xdr:row>17</xdr:row>
      <xdr:rowOff>85725</xdr:rowOff>
    </xdr:from>
    <xdr:to>
      <xdr:col>9</xdr:col>
      <xdr:colOff>3324226</xdr:colOff>
      <xdr:row>25</xdr:row>
      <xdr:rowOff>84164</xdr:rowOff>
    </xdr:to>
    <xdr:pic>
      <xdr:nvPicPr>
        <xdr:cNvPr id="2" name="Picture 1">
          <a:extLst>
            <a:ext uri="{FF2B5EF4-FFF2-40B4-BE49-F238E27FC236}">
              <a16:creationId xmlns:a16="http://schemas.microsoft.com/office/drawing/2014/main" id="{CF85BDE2-93AF-4CD8-A1E1-96B6CF36E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30517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12</xdr:row>
      <xdr:rowOff>219076</xdr:rowOff>
    </xdr:to>
    <xdr:pic>
      <xdr:nvPicPr>
        <xdr:cNvPr id="3" name="Picture 2">
          <a:extLst>
            <a:ext uri="{FF2B5EF4-FFF2-40B4-BE49-F238E27FC236}">
              <a16:creationId xmlns:a16="http://schemas.microsoft.com/office/drawing/2014/main" id="{49B67E06-FEAF-475B-9278-F9FD4272ECEE}"/>
            </a:ext>
          </a:extLst>
        </xdr:cNvPr>
        <xdr:cNvPicPr>
          <a:picLocks/>
        </xdr:cNvPicPr>
      </xdr:nvPicPr>
      <xdr:blipFill>
        <a:blip xmlns:r="http://schemas.openxmlformats.org/officeDocument/2006/relationships" r:embed="rId2"/>
        <a:stretch>
          <a:fillRect/>
        </a:stretch>
      </xdr:blipFill>
      <xdr:spPr>
        <a:xfrm>
          <a:off x="9020175"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1E2A6780-2EB6-4053-9249-07BACC4C7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90D3DD72-0244-43B5-BA09-3A25710328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914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CDC5EE04-A0A8-427F-BFF3-7E51A9F41CEC}"/>
            </a:ext>
          </a:extLst>
        </xdr:cNvPr>
        <xdr:cNvPicPr>
          <a:picLocks noChangeAspect="1"/>
        </xdr:cNvPicPr>
      </xdr:nvPicPr>
      <xdr:blipFill>
        <a:blip xmlns:r="http://schemas.openxmlformats.org/officeDocument/2006/relationships" r:embed="rId2"/>
        <a:stretch>
          <a:fillRect/>
        </a:stretch>
      </xdr:blipFill>
      <xdr:spPr>
        <a:xfrm>
          <a:off x="8439150"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FFF3-19FA-4DCF-B01C-90127E825D9E}">
  <dimension ref="A1:C11"/>
  <sheetViews>
    <sheetView workbookViewId="0">
      <selection activeCell="C15" sqref="C15"/>
    </sheetView>
  </sheetViews>
  <sheetFormatPr defaultColWidth="8.85546875" defaultRowHeight="15" x14ac:dyDescent="0.25"/>
  <cols>
    <col min="1" max="1" width="6.140625" style="44" bestFit="1" customWidth="1"/>
    <col min="2" max="2" width="10.85546875" style="44" bestFit="1" customWidth="1"/>
    <col min="3" max="3" width="35" style="44" bestFit="1" customWidth="1"/>
    <col min="4" max="16384" width="8.85546875" style="44"/>
  </cols>
  <sheetData>
    <row r="1" spans="1:3" x14ac:dyDescent="0.25">
      <c r="A1" s="42" t="s">
        <v>357</v>
      </c>
      <c r="B1" s="43" t="s">
        <v>358</v>
      </c>
      <c r="C1" s="43" t="s">
        <v>359</v>
      </c>
    </row>
    <row r="2" spans="1:3" x14ac:dyDescent="0.25">
      <c r="A2" s="45">
        <v>1</v>
      </c>
      <c r="B2" s="46" t="s">
        <v>360</v>
      </c>
      <c r="C2" s="47" t="s">
        <v>1</v>
      </c>
    </row>
    <row r="3" spans="1:3" x14ac:dyDescent="0.25">
      <c r="A3" s="45">
        <v>2</v>
      </c>
      <c r="B3" s="46" t="s">
        <v>361</v>
      </c>
      <c r="C3" s="47" t="s">
        <v>93</v>
      </c>
    </row>
    <row r="4" spans="1:3" x14ac:dyDescent="0.25">
      <c r="A4" s="45">
        <v>3</v>
      </c>
      <c r="B4" s="46" t="s">
        <v>362</v>
      </c>
      <c r="C4" s="47" t="s">
        <v>113</v>
      </c>
    </row>
    <row r="5" spans="1:3" x14ac:dyDescent="0.25">
      <c r="A5" s="45">
        <v>4</v>
      </c>
      <c r="B5" s="46" t="s">
        <v>363</v>
      </c>
      <c r="C5" s="47" t="s">
        <v>140</v>
      </c>
    </row>
    <row r="6" spans="1:3" x14ac:dyDescent="0.25">
      <c r="A6" s="45">
        <v>5</v>
      </c>
      <c r="B6" s="46" t="s">
        <v>364</v>
      </c>
      <c r="C6" s="47" t="s">
        <v>179</v>
      </c>
    </row>
    <row r="7" spans="1:3" x14ac:dyDescent="0.25">
      <c r="A7" s="45">
        <v>6</v>
      </c>
      <c r="B7" s="46" t="s">
        <v>365</v>
      </c>
      <c r="C7" s="47" t="s">
        <v>257</v>
      </c>
    </row>
    <row r="8" spans="1:3" x14ac:dyDescent="0.25">
      <c r="A8" s="45">
        <v>7</v>
      </c>
      <c r="B8" s="46" t="s">
        <v>366</v>
      </c>
      <c r="C8" s="47" t="s">
        <v>265</v>
      </c>
    </row>
    <row r="9" spans="1:3" x14ac:dyDescent="0.25">
      <c r="A9" s="45">
        <v>8</v>
      </c>
      <c r="B9" s="46" t="s">
        <v>367</v>
      </c>
      <c r="C9" s="47" t="s">
        <v>298</v>
      </c>
    </row>
    <row r="10" spans="1:3" x14ac:dyDescent="0.25">
      <c r="A10" s="45">
        <v>9</v>
      </c>
      <c r="B10" s="46" t="s">
        <v>368</v>
      </c>
      <c r="C10" s="47" t="s">
        <v>304</v>
      </c>
    </row>
    <row r="11" spans="1:3" x14ac:dyDescent="0.25">
      <c r="A11" s="45">
        <v>10</v>
      </c>
      <c r="B11" s="46" t="s">
        <v>369</v>
      </c>
      <c r="C11" s="47" t="s">
        <v>346</v>
      </c>
    </row>
  </sheetData>
  <hyperlinks>
    <hyperlink ref="B3" location="SFRSTP!A1" display="SFRSTP" xr:uid="{D0C46F96-BB9C-4546-9555-B0B33EC1A681}"/>
    <hyperlink ref="B4" location="SMMF!A1" display="SMMF" xr:uid="{0581F9F4-FD27-4471-AF97-B0E41B73E586}"/>
    <hyperlink ref="B5" location="SPLDF!A1" display="SPLDF" xr:uid="{BA182962-F414-4A3A-8DA3-4775A66623FD}"/>
    <hyperlink ref="B6" location="SPMON!A1" display="SPMON" xr:uid="{7B00A6B9-A11B-4768-8C55-AB4B7403643D}"/>
    <hyperlink ref="B7" location="SPSDF!A1" display="SPSDF" xr:uid="{9C81FE5F-C30D-42FD-A287-D66CBE467B55}"/>
    <hyperlink ref="B8" location="SPUSDF!A1" display="SPUSDF" xr:uid="{A69C314B-87FE-4F90-8342-D6EA2B2C6720}"/>
    <hyperlink ref="B9" location="SUNBDS!A1" display="SUNBDS" xr:uid="{388B6D63-D4B7-493C-9FE1-E9AB6CFA7E58}"/>
    <hyperlink ref="B10" location="SUNMIA!A1" display="SUNMIA" xr:uid="{C4E56DF5-D609-430D-88A1-745C1ED93E36}"/>
    <hyperlink ref="B11" location="SUNONF!A1" display="SUNONF" xr:uid="{F6004EA7-DB3D-48C4-B1B1-1B54AF0EBCEC}"/>
    <hyperlink ref="B2" location="SFRLTP!A1" display="SFRLTP" xr:uid="{3A4284D2-EEDF-446A-96E0-0E49DD1CBC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B5E8-8522-41E0-B778-DB73BF69FEC3}">
  <sheetPr>
    <outlinePr summaryBelow="0" summaryRight="0"/>
  </sheetPr>
  <dimension ref="A1:R141"/>
  <sheetViews>
    <sheetView showGridLines="0" topLeftCell="A79" workbookViewId="0">
      <selection activeCell="F76" sqref="F76"/>
    </sheetView>
  </sheetViews>
  <sheetFormatPr defaultRowHeight="12.75" x14ac:dyDescent="0.2"/>
  <cols>
    <col min="1" max="1" width="5.85546875" bestFit="1" customWidth="1"/>
    <col min="2" max="2" width="20.28515625" bestFit="1" customWidth="1"/>
    <col min="3" max="3" width="43.85546875" customWidth="1"/>
    <col min="4" max="4" width="10.7109375" bestFit="1" customWidth="1"/>
    <col min="5" max="5" width="9.42578125" bestFit="1" customWidth="1"/>
    <col min="6" max="6" width="10.140625" bestFit="1" customWidth="1"/>
    <col min="7" max="7" width="14" bestFit="1" customWidth="1"/>
    <col min="8" max="8" width="10.42578125"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1</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355</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x14ac:dyDescent="0.2">
      <c r="A14" s="26"/>
      <c r="B14" s="26"/>
      <c r="C14" s="30"/>
      <c r="D14" s="26"/>
      <c r="E14" s="26"/>
      <c r="F14" s="31"/>
      <c r="G14" s="31"/>
      <c r="H14" s="36" t="s">
        <v>12</v>
      </c>
    </row>
    <row r="15" spans="1:10" ht="25.5" x14ac:dyDescent="0.2">
      <c r="A15" s="26"/>
      <c r="B15" s="26"/>
      <c r="C15" s="27" t="s">
        <v>16</v>
      </c>
      <c r="D15" s="26"/>
      <c r="E15" s="26"/>
      <c r="F15" s="26"/>
      <c r="G15" s="26"/>
      <c r="H15" s="36" t="s">
        <v>12</v>
      </c>
      <c r="J15" s="66" t="s">
        <v>385</v>
      </c>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x14ac:dyDescent="0.2">
      <c r="A27" s="26"/>
      <c r="B27" s="26"/>
      <c r="C27" s="27" t="s">
        <v>10</v>
      </c>
      <c r="D27" s="26"/>
      <c r="E27" s="26"/>
      <c r="F27" s="31"/>
      <c r="G27" s="31"/>
      <c r="H27" s="36" t="s">
        <v>12</v>
      </c>
    </row>
    <row r="28" spans="1:10" ht="25.5" x14ac:dyDescent="0.2">
      <c r="A28" s="33">
        <v>1</v>
      </c>
      <c r="B28" s="34" t="s">
        <v>21</v>
      </c>
      <c r="C28" s="3" t="s">
        <v>434</v>
      </c>
      <c r="D28" s="34" t="s">
        <v>22</v>
      </c>
      <c r="E28" s="35">
        <v>6500</v>
      </c>
      <c r="F28" s="36">
        <v>6451.5360000000001</v>
      </c>
      <c r="G28" s="37">
        <v>9.0918570000000004E-2</v>
      </c>
      <c r="H28" s="36">
        <v>7.6</v>
      </c>
      <c r="J28" s="66" t="s">
        <v>386</v>
      </c>
    </row>
    <row r="29" spans="1:10" ht="25.5" x14ac:dyDescent="0.2">
      <c r="A29" s="33">
        <v>2</v>
      </c>
      <c r="B29" s="34" t="s">
        <v>23</v>
      </c>
      <c r="C29" s="3" t="s">
        <v>435</v>
      </c>
      <c r="D29" s="34" t="s">
        <v>22</v>
      </c>
      <c r="E29" s="35">
        <v>6000</v>
      </c>
      <c r="F29" s="36">
        <v>5963.25</v>
      </c>
      <c r="G29" s="37">
        <v>8.403737E-2</v>
      </c>
      <c r="H29" s="36">
        <v>7.7190000000000003</v>
      </c>
    </row>
    <row r="30" spans="1:10" x14ac:dyDescent="0.2">
      <c r="A30" s="33">
        <v>3</v>
      </c>
      <c r="B30" s="34" t="s">
        <v>24</v>
      </c>
      <c r="C30" s="3" t="s">
        <v>436</v>
      </c>
      <c r="D30" s="34" t="s">
        <v>22</v>
      </c>
      <c r="E30" s="35">
        <v>4000</v>
      </c>
      <c r="F30" s="36">
        <v>3984.7440000000001</v>
      </c>
      <c r="G30" s="37">
        <v>5.6155190000000001E-2</v>
      </c>
      <c r="H30" s="36">
        <v>7.6074999999999999</v>
      </c>
    </row>
    <row r="31" spans="1:10" x14ac:dyDescent="0.2">
      <c r="A31" s="33">
        <v>4</v>
      </c>
      <c r="B31" s="34" t="s">
        <v>25</v>
      </c>
      <c r="C31" s="3" t="s">
        <v>437</v>
      </c>
      <c r="D31" s="34" t="s">
        <v>22</v>
      </c>
      <c r="E31" s="35">
        <v>300</v>
      </c>
      <c r="F31" s="36">
        <v>2982.6959999999999</v>
      </c>
      <c r="G31" s="37">
        <v>4.203378E-2</v>
      </c>
      <c r="H31" s="36">
        <v>7.87</v>
      </c>
    </row>
    <row r="32" spans="1:10" ht="25.5" x14ac:dyDescent="0.2">
      <c r="A32" s="33">
        <v>5</v>
      </c>
      <c r="B32" s="34" t="s">
        <v>26</v>
      </c>
      <c r="C32" s="3" t="s">
        <v>27</v>
      </c>
      <c r="D32" s="34" t="s">
        <v>22</v>
      </c>
      <c r="E32" s="35">
        <v>2500</v>
      </c>
      <c r="F32" s="36">
        <v>2499.19</v>
      </c>
      <c r="G32" s="37">
        <v>3.521995E-2</v>
      </c>
      <c r="H32" s="36">
        <v>7.6218000000000004</v>
      </c>
    </row>
    <row r="33" spans="1:8" x14ac:dyDescent="0.2">
      <c r="A33" s="33">
        <v>6</v>
      </c>
      <c r="B33" s="34" t="s">
        <v>28</v>
      </c>
      <c r="C33" s="3" t="s">
        <v>29</v>
      </c>
      <c r="D33" s="34" t="s">
        <v>22</v>
      </c>
      <c r="E33" s="35">
        <v>2500</v>
      </c>
      <c r="F33" s="36">
        <v>2490.04</v>
      </c>
      <c r="G33" s="37">
        <v>3.5090999999999997E-2</v>
      </c>
      <c r="H33" s="36">
        <v>7.69</v>
      </c>
    </row>
    <row r="34" spans="1:8" ht="25.5" x14ac:dyDescent="0.2">
      <c r="A34" s="33">
        <v>7</v>
      </c>
      <c r="B34" s="34" t="s">
        <v>30</v>
      </c>
      <c r="C34" s="3" t="s">
        <v>438</v>
      </c>
      <c r="D34" s="34" t="s">
        <v>22</v>
      </c>
      <c r="E34" s="35">
        <v>2500</v>
      </c>
      <c r="F34" s="36">
        <v>2488.835</v>
      </c>
      <c r="G34" s="37">
        <v>3.5074019999999997E-2</v>
      </c>
      <c r="H34" s="36">
        <v>7.8978999999999999</v>
      </c>
    </row>
    <row r="35" spans="1:8" ht="25.5" x14ac:dyDescent="0.2">
      <c r="A35" s="33">
        <v>8</v>
      </c>
      <c r="B35" s="34" t="s">
        <v>31</v>
      </c>
      <c r="C35" s="3" t="s">
        <v>32</v>
      </c>
      <c r="D35" s="34" t="s">
        <v>22</v>
      </c>
      <c r="E35" s="35">
        <v>2500</v>
      </c>
      <c r="F35" s="36">
        <v>2487.5675000000001</v>
      </c>
      <c r="G35" s="37">
        <v>3.5056160000000003E-2</v>
      </c>
      <c r="H35" s="36">
        <v>7.73</v>
      </c>
    </row>
    <row r="36" spans="1:8" x14ac:dyDescent="0.2">
      <c r="A36" s="33">
        <v>9</v>
      </c>
      <c r="B36" s="34" t="s">
        <v>33</v>
      </c>
      <c r="C36" s="3" t="s">
        <v>439</v>
      </c>
      <c r="D36" s="34" t="s">
        <v>22</v>
      </c>
      <c r="E36" s="35">
        <v>2500</v>
      </c>
      <c r="F36" s="36">
        <v>2483.7325000000001</v>
      </c>
      <c r="G36" s="37">
        <v>3.5002110000000003E-2</v>
      </c>
      <c r="H36" s="36">
        <v>7.65</v>
      </c>
    </row>
    <row r="37" spans="1:8" x14ac:dyDescent="0.2">
      <c r="A37" s="33">
        <v>10</v>
      </c>
      <c r="B37" s="34" t="s">
        <v>34</v>
      </c>
      <c r="C37" s="3" t="s">
        <v>440</v>
      </c>
      <c r="D37" s="34" t="s">
        <v>22</v>
      </c>
      <c r="E37" s="35">
        <v>2500</v>
      </c>
      <c r="F37" s="36">
        <v>2482.2175000000002</v>
      </c>
      <c r="G37" s="37">
        <v>3.498076E-2</v>
      </c>
      <c r="H37" s="36">
        <v>7.6074999999999999</v>
      </c>
    </row>
    <row r="38" spans="1:8" ht="25.5" x14ac:dyDescent="0.2">
      <c r="A38" s="33">
        <v>11</v>
      </c>
      <c r="B38" s="34" t="s">
        <v>35</v>
      </c>
      <c r="C38" s="3" t="s">
        <v>441</v>
      </c>
      <c r="D38" s="34" t="s">
        <v>22</v>
      </c>
      <c r="E38" s="35">
        <v>250</v>
      </c>
      <c r="F38" s="36">
        <v>2474.1975000000002</v>
      </c>
      <c r="G38" s="37">
        <v>3.4867740000000001E-2</v>
      </c>
      <c r="H38" s="36">
        <v>7.6760000000000002</v>
      </c>
    </row>
    <row r="39" spans="1:8" x14ac:dyDescent="0.2">
      <c r="A39" s="33">
        <v>12</v>
      </c>
      <c r="B39" s="34" t="s">
        <v>36</v>
      </c>
      <c r="C39" s="3" t="s">
        <v>37</v>
      </c>
      <c r="D39" s="34" t="s">
        <v>22</v>
      </c>
      <c r="E39" s="35">
        <v>2000</v>
      </c>
      <c r="F39" s="36">
        <v>2000.048</v>
      </c>
      <c r="G39" s="37">
        <v>2.8185769999999999E-2</v>
      </c>
      <c r="H39" s="36">
        <v>7.59</v>
      </c>
    </row>
    <row r="40" spans="1:8" x14ac:dyDescent="0.2">
      <c r="A40" s="33">
        <v>13</v>
      </c>
      <c r="B40" s="34" t="s">
        <v>38</v>
      </c>
      <c r="C40" s="3" t="s">
        <v>442</v>
      </c>
      <c r="D40" s="34" t="s">
        <v>39</v>
      </c>
      <c r="E40" s="35">
        <v>200</v>
      </c>
      <c r="F40" s="36">
        <v>1995.144</v>
      </c>
      <c r="G40" s="37">
        <v>2.8116660000000002E-2</v>
      </c>
      <c r="H40" s="36">
        <v>7.5</v>
      </c>
    </row>
    <row r="41" spans="1:8" x14ac:dyDescent="0.2">
      <c r="A41" s="33">
        <v>14</v>
      </c>
      <c r="B41" s="34" t="s">
        <v>40</v>
      </c>
      <c r="C41" s="3" t="s">
        <v>443</v>
      </c>
      <c r="D41" s="34" t="s">
        <v>22</v>
      </c>
      <c r="E41" s="35">
        <v>2000</v>
      </c>
      <c r="F41" s="36">
        <v>1983.62</v>
      </c>
      <c r="G41" s="37">
        <v>2.7954260000000002E-2</v>
      </c>
      <c r="H41" s="36">
        <v>7.9349999999999996</v>
      </c>
    </row>
    <row r="42" spans="1:8" x14ac:dyDescent="0.2">
      <c r="A42" s="33">
        <v>15</v>
      </c>
      <c r="B42" s="34" t="s">
        <v>41</v>
      </c>
      <c r="C42" s="3" t="s">
        <v>444</v>
      </c>
      <c r="D42" s="34" t="s">
        <v>22</v>
      </c>
      <c r="E42" s="35">
        <v>1500</v>
      </c>
      <c r="F42" s="36">
        <v>1505.172</v>
      </c>
      <c r="G42" s="37">
        <v>2.1211710000000002E-2</v>
      </c>
      <c r="H42" s="36">
        <v>7.74</v>
      </c>
    </row>
    <row r="43" spans="1:8" x14ac:dyDescent="0.2">
      <c r="A43" s="33">
        <v>16</v>
      </c>
      <c r="B43" s="34" t="s">
        <v>42</v>
      </c>
      <c r="C43" s="3" t="s">
        <v>43</v>
      </c>
      <c r="D43" s="34" t="s">
        <v>22</v>
      </c>
      <c r="E43" s="35">
        <v>1500</v>
      </c>
      <c r="F43" s="36">
        <v>1503.0345</v>
      </c>
      <c r="G43" s="37">
        <v>2.1181579999999998E-2</v>
      </c>
      <c r="H43" s="36">
        <v>7.65</v>
      </c>
    </row>
    <row r="44" spans="1:8" ht="25.5" x14ac:dyDescent="0.2">
      <c r="A44" s="33">
        <v>17</v>
      </c>
      <c r="B44" s="34" t="s">
        <v>44</v>
      </c>
      <c r="C44" s="3" t="s">
        <v>45</v>
      </c>
      <c r="D44" s="34" t="s">
        <v>22</v>
      </c>
      <c r="E44" s="35">
        <v>1500</v>
      </c>
      <c r="F44" s="36">
        <v>1495.2840000000001</v>
      </c>
      <c r="G44" s="37">
        <v>2.1072359999999998E-2</v>
      </c>
      <c r="H44" s="36">
        <v>7.73</v>
      </c>
    </row>
    <row r="45" spans="1:8" ht="25.5" x14ac:dyDescent="0.2">
      <c r="A45" s="33">
        <v>18</v>
      </c>
      <c r="B45" s="34" t="s">
        <v>46</v>
      </c>
      <c r="C45" s="3" t="s">
        <v>445</v>
      </c>
      <c r="D45" s="34" t="s">
        <v>22</v>
      </c>
      <c r="E45" s="35">
        <v>1500</v>
      </c>
      <c r="F45" s="36">
        <v>1495.1189999999999</v>
      </c>
      <c r="G45" s="37">
        <v>2.107003E-2</v>
      </c>
      <c r="H45" s="36">
        <v>7.77</v>
      </c>
    </row>
    <row r="46" spans="1:8" x14ac:dyDescent="0.2">
      <c r="A46" s="33">
        <v>19</v>
      </c>
      <c r="B46" s="34" t="s">
        <v>47</v>
      </c>
      <c r="C46" s="3" t="s">
        <v>48</v>
      </c>
      <c r="D46" s="34" t="s">
        <v>22</v>
      </c>
      <c r="E46" s="35">
        <v>100</v>
      </c>
      <c r="F46" s="36">
        <v>1001.425</v>
      </c>
      <c r="G46" s="37">
        <v>1.4112629999999999E-2</v>
      </c>
      <c r="H46" s="36">
        <v>7.88</v>
      </c>
    </row>
    <row r="47" spans="1:8" x14ac:dyDescent="0.2">
      <c r="A47" s="33">
        <v>20</v>
      </c>
      <c r="B47" s="34" t="s">
        <v>49</v>
      </c>
      <c r="C47" s="3" t="s">
        <v>446</v>
      </c>
      <c r="D47" s="34" t="s">
        <v>22</v>
      </c>
      <c r="E47" s="35">
        <v>1000</v>
      </c>
      <c r="F47" s="36">
        <v>998.09100000000001</v>
      </c>
      <c r="G47" s="37">
        <v>1.4065640000000001E-2</v>
      </c>
      <c r="H47" s="36">
        <v>8.2200000000000006</v>
      </c>
    </row>
    <row r="48" spans="1:8" x14ac:dyDescent="0.2">
      <c r="A48" s="26"/>
      <c r="B48" s="26"/>
      <c r="C48" s="27" t="s">
        <v>11</v>
      </c>
      <c r="D48" s="26"/>
      <c r="E48" s="26" t="s">
        <v>12</v>
      </c>
      <c r="F48" s="32">
        <v>50764.943500000001</v>
      </c>
      <c r="G48" s="29">
        <v>0.71540729000000003</v>
      </c>
      <c r="H48" s="36" t="s">
        <v>12</v>
      </c>
    </row>
    <row r="49" spans="1:8" x14ac:dyDescent="0.2">
      <c r="A49" s="26"/>
      <c r="B49" s="26"/>
      <c r="C49" s="30"/>
      <c r="D49" s="26"/>
      <c r="E49" s="26"/>
      <c r="F49" s="31"/>
      <c r="G49" s="31"/>
      <c r="H49" s="36" t="s">
        <v>12</v>
      </c>
    </row>
    <row r="50" spans="1:8" x14ac:dyDescent="0.2">
      <c r="A50" s="26"/>
      <c r="B50" s="26"/>
      <c r="C50" s="27" t="s">
        <v>50</v>
      </c>
      <c r="D50" s="26"/>
      <c r="E50" s="26"/>
      <c r="F50" s="26"/>
      <c r="G50" s="26"/>
      <c r="H50" s="36" t="s">
        <v>12</v>
      </c>
    </row>
    <row r="51" spans="1:8" x14ac:dyDescent="0.2">
      <c r="A51" s="26"/>
      <c r="B51" s="26"/>
      <c r="C51" s="27" t="s">
        <v>11</v>
      </c>
      <c r="D51" s="26"/>
      <c r="E51" s="26" t="s">
        <v>12</v>
      </c>
      <c r="F51" s="28" t="s">
        <v>13</v>
      </c>
      <c r="G51" s="29">
        <v>0</v>
      </c>
      <c r="H51" s="36" t="s">
        <v>12</v>
      </c>
    </row>
    <row r="52" spans="1:8" x14ac:dyDescent="0.2">
      <c r="A52" s="26"/>
      <c r="B52" s="26"/>
      <c r="C52" s="30"/>
      <c r="D52" s="26"/>
      <c r="E52" s="26"/>
      <c r="F52" s="31"/>
      <c r="G52" s="31"/>
      <c r="H52" s="36" t="s">
        <v>12</v>
      </c>
    </row>
    <row r="53" spans="1:8" x14ac:dyDescent="0.2">
      <c r="A53" s="26"/>
      <c r="B53" s="26"/>
      <c r="C53" s="27" t="s">
        <v>51</v>
      </c>
      <c r="D53" s="26"/>
      <c r="E53" s="26"/>
      <c r="F53" s="26"/>
      <c r="G53" s="26"/>
      <c r="H53" s="36" t="s">
        <v>12</v>
      </c>
    </row>
    <row r="54" spans="1:8" x14ac:dyDescent="0.2">
      <c r="A54" s="33">
        <v>1</v>
      </c>
      <c r="B54" s="34" t="s">
        <v>52</v>
      </c>
      <c r="C54" s="3" t="s">
        <v>53</v>
      </c>
      <c r="D54" s="34" t="s">
        <v>54</v>
      </c>
      <c r="E54" s="35">
        <v>10500000</v>
      </c>
      <c r="F54" s="36">
        <v>10596.39</v>
      </c>
      <c r="G54" s="37">
        <v>0.14933010999999999</v>
      </c>
      <c r="H54" s="36">
        <v>7.1642000000000001</v>
      </c>
    </row>
    <row r="55" spans="1:8" x14ac:dyDescent="0.2">
      <c r="A55" s="33">
        <v>2</v>
      </c>
      <c r="B55" s="34" t="s">
        <v>55</v>
      </c>
      <c r="C55" s="3" t="s">
        <v>56</v>
      </c>
      <c r="D55" s="34" t="s">
        <v>54</v>
      </c>
      <c r="E55" s="35">
        <v>3000000</v>
      </c>
      <c r="F55" s="36">
        <v>3043.7730000000001</v>
      </c>
      <c r="G55" s="37">
        <v>4.2894509999999997E-2</v>
      </c>
      <c r="H55" s="36">
        <v>7.1550000000000002</v>
      </c>
    </row>
    <row r="56" spans="1:8" x14ac:dyDescent="0.2">
      <c r="A56" s="33">
        <v>3</v>
      </c>
      <c r="B56" s="34" t="s">
        <v>57</v>
      </c>
      <c r="C56" s="3" t="s">
        <v>58</v>
      </c>
      <c r="D56" s="34" t="s">
        <v>54</v>
      </c>
      <c r="E56" s="35">
        <v>2500000</v>
      </c>
      <c r="F56" s="36">
        <v>2504.5475000000001</v>
      </c>
      <c r="G56" s="37">
        <v>3.5295449999999999E-2</v>
      </c>
      <c r="H56" s="36">
        <v>7.1231</v>
      </c>
    </row>
    <row r="57" spans="1:8" x14ac:dyDescent="0.2">
      <c r="A57" s="26"/>
      <c r="B57" s="26"/>
      <c r="C57" s="27" t="s">
        <v>11</v>
      </c>
      <c r="D57" s="26"/>
      <c r="E57" s="26" t="s">
        <v>12</v>
      </c>
      <c r="F57" s="32">
        <v>16144.710499999999</v>
      </c>
      <c r="G57" s="29">
        <v>0.22752006999999999</v>
      </c>
      <c r="H57" s="36" t="s">
        <v>12</v>
      </c>
    </row>
    <row r="58" spans="1:8" x14ac:dyDescent="0.2">
      <c r="A58" s="26"/>
      <c r="B58" s="26"/>
      <c r="C58" s="30"/>
      <c r="D58" s="26"/>
      <c r="E58" s="26"/>
      <c r="F58" s="31"/>
      <c r="G58" s="31"/>
      <c r="H58" s="36" t="s">
        <v>12</v>
      </c>
    </row>
    <row r="59" spans="1:8" x14ac:dyDescent="0.2">
      <c r="A59" s="26"/>
      <c r="B59" s="26"/>
      <c r="C59" s="27" t="s">
        <v>59</v>
      </c>
      <c r="D59" s="26"/>
      <c r="E59" s="26"/>
      <c r="F59" s="31"/>
      <c r="G59" s="31"/>
      <c r="H59" s="36" t="s">
        <v>12</v>
      </c>
    </row>
    <row r="60" spans="1:8" x14ac:dyDescent="0.2">
      <c r="A60" s="26"/>
      <c r="B60" s="26"/>
      <c r="C60" s="27" t="s">
        <v>11</v>
      </c>
      <c r="D60" s="26"/>
      <c r="E60" s="26" t="s">
        <v>12</v>
      </c>
      <c r="F60" s="28" t="s">
        <v>13</v>
      </c>
      <c r="G60" s="29">
        <v>0</v>
      </c>
      <c r="H60" s="36" t="s">
        <v>12</v>
      </c>
    </row>
    <row r="61" spans="1:8" x14ac:dyDescent="0.2">
      <c r="A61" s="26"/>
      <c r="B61" s="26"/>
      <c r="C61" s="30"/>
      <c r="D61" s="26"/>
      <c r="E61" s="26"/>
      <c r="F61" s="31"/>
      <c r="G61" s="31"/>
      <c r="H61" s="36" t="s">
        <v>12</v>
      </c>
    </row>
    <row r="62" spans="1:8" x14ac:dyDescent="0.2">
      <c r="A62" s="26"/>
      <c r="B62" s="26"/>
      <c r="C62" s="27" t="s">
        <v>60</v>
      </c>
      <c r="D62" s="26"/>
      <c r="E62" s="26"/>
      <c r="F62" s="32">
        <v>66909.653999999995</v>
      </c>
      <c r="G62" s="29">
        <v>0.94292735999999999</v>
      </c>
      <c r="H62" s="36" t="s">
        <v>12</v>
      </c>
    </row>
    <row r="63" spans="1:8" x14ac:dyDescent="0.2">
      <c r="A63" s="26"/>
      <c r="B63" s="26"/>
      <c r="C63" s="30"/>
      <c r="D63" s="26"/>
      <c r="E63" s="26"/>
      <c r="F63" s="31"/>
      <c r="G63" s="31"/>
      <c r="H63" s="36" t="s">
        <v>12</v>
      </c>
    </row>
    <row r="64" spans="1:8" x14ac:dyDescent="0.2">
      <c r="A64" s="26"/>
      <c r="B64" s="26"/>
      <c r="C64" s="27" t="s">
        <v>61</v>
      </c>
      <c r="D64" s="26"/>
      <c r="E64" s="26"/>
      <c r="F64" s="31"/>
      <c r="G64" s="31"/>
      <c r="H64" s="36" t="s">
        <v>12</v>
      </c>
    </row>
    <row r="65" spans="1:8" x14ac:dyDescent="0.2">
      <c r="A65" s="26"/>
      <c r="B65" s="26"/>
      <c r="C65" s="27" t="s">
        <v>62</v>
      </c>
      <c r="D65" s="26"/>
      <c r="E65" s="26"/>
      <c r="F65" s="31"/>
      <c r="G65" s="31"/>
      <c r="H65" s="36" t="s">
        <v>12</v>
      </c>
    </row>
    <row r="66" spans="1:8" x14ac:dyDescent="0.2">
      <c r="A66" s="26"/>
      <c r="B66" s="26"/>
      <c r="C66" s="27" t="s">
        <v>11</v>
      </c>
      <c r="D66" s="26"/>
      <c r="E66" s="26" t="s">
        <v>12</v>
      </c>
      <c r="F66" s="28" t="s">
        <v>13</v>
      </c>
      <c r="G66" s="29">
        <v>0</v>
      </c>
      <c r="H66" s="36" t="s">
        <v>12</v>
      </c>
    </row>
    <row r="67" spans="1:8" x14ac:dyDescent="0.2">
      <c r="A67" s="26"/>
      <c r="B67" s="26"/>
      <c r="C67" s="30"/>
      <c r="D67" s="26"/>
      <c r="E67" s="26"/>
      <c r="F67" s="31"/>
      <c r="G67" s="31"/>
      <c r="H67" s="36" t="s">
        <v>12</v>
      </c>
    </row>
    <row r="68" spans="1:8" x14ac:dyDescent="0.2">
      <c r="A68" s="26"/>
      <c r="B68" s="26"/>
      <c r="C68" s="27" t="s">
        <v>63</v>
      </c>
      <c r="D68" s="26"/>
      <c r="E68" s="26"/>
      <c r="F68" s="31"/>
      <c r="G68" s="31"/>
      <c r="H68" s="36" t="s">
        <v>12</v>
      </c>
    </row>
    <row r="69" spans="1:8" x14ac:dyDescent="0.2">
      <c r="A69" s="26"/>
      <c r="B69" s="26"/>
      <c r="C69" s="27" t="s">
        <v>11</v>
      </c>
      <c r="D69" s="26"/>
      <c r="E69" s="26" t="s">
        <v>12</v>
      </c>
      <c r="F69" s="28" t="s">
        <v>13</v>
      </c>
      <c r="G69" s="29">
        <v>0</v>
      </c>
      <c r="H69" s="36" t="s">
        <v>12</v>
      </c>
    </row>
    <row r="70" spans="1:8" x14ac:dyDescent="0.2">
      <c r="A70" s="26"/>
      <c r="B70" s="26"/>
      <c r="C70" s="30"/>
      <c r="D70" s="26"/>
      <c r="E70" s="26"/>
      <c r="F70" s="31"/>
      <c r="G70" s="31"/>
      <c r="H70" s="36" t="s">
        <v>12</v>
      </c>
    </row>
    <row r="71" spans="1:8" x14ac:dyDescent="0.2">
      <c r="A71" s="26"/>
      <c r="B71" s="26"/>
      <c r="C71" s="27" t="s">
        <v>64</v>
      </c>
      <c r="D71" s="26"/>
      <c r="E71" s="26"/>
      <c r="F71" s="31"/>
      <c r="G71" s="31"/>
      <c r="H71" s="36" t="s">
        <v>12</v>
      </c>
    </row>
    <row r="72" spans="1:8" x14ac:dyDescent="0.2">
      <c r="A72" s="26"/>
      <c r="B72" s="26"/>
      <c r="C72" s="27" t="s">
        <v>11</v>
      </c>
      <c r="D72" s="26"/>
      <c r="E72" s="26" t="s">
        <v>12</v>
      </c>
      <c r="F72" s="28" t="s">
        <v>13</v>
      </c>
      <c r="G72" s="29">
        <v>0</v>
      </c>
      <c r="H72" s="36" t="s">
        <v>12</v>
      </c>
    </row>
    <row r="73" spans="1:8" x14ac:dyDescent="0.2">
      <c r="A73" s="26"/>
      <c r="B73" s="26"/>
      <c r="C73" s="30"/>
      <c r="D73" s="26"/>
      <c r="E73" s="26"/>
      <c r="F73" s="31"/>
      <c r="G73" s="31"/>
      <c r="H73" s="36" t="s">
        <v>12</v>
      </c>
    </row>
    <row r="74" spans="1:8" x14ac:dyDescent="0.2">
      <c r="A74" s="26"/>
      <c r="B74" s="26"/>
      <c r="C74" s="27" t="s">
        <v>65</v>
      </c>
      <c r="D74" s="26"/>
      <c r="E74" s="26"/>
      <c r="F74" s="31"/>
      <c r="G74" s="31"/>
      <c r="H74" s="36" t="s">
        <v>12</v>
      </c>
    </row>
    <row r="75" spans="1:8" x14ac:dyDescent="0.2">
      <c r="A75" s="33">
        <v>1</v>
      </c>
      <c r="B75" s="34" t="s">
        <v>66</v>
      </c>
      <c r="C75" s="34" t="s">
        <v>66</v>
      </c>
      <c r="D75" s="34"/>
      <c r="E75" s="38"/>
      <c r="F75" s="36">
        <v>1617.122294108</v>
      </c>
      <c r="G75" s="37">
        <v>2.278937E-2</v>
      </c>
      <c r="H75" s="36">
        <v>6.6841381571857204</v>
      </c>
    </row>
    <row r="76" spans="1:8" x14ac:dyDescent="0.2">
      <c r="A76" s="26"/>
      <c r="B76" s="26"/>
      <c r="C76" s="27" t="s">
        <v>11</v>
      </c>
      <c r="D76" s="26"/>
      <c r="E76" s="26" t="s">
        <v>12</v>
      </c>
      <c r="F76" s="32">
        <v>1617.122294108</v>
      </c>
      <c r="G76" s="29">
        <v>2.278937E-2</v>
      </c>
      <c r="H76" s="36" t="s">
        <v>12</v>
      </c>
    </row>
    <row r="77" spans="1:8" x14ac:dyDescent="0.2">
      <c r="A77" s="26"/>
      <c r="B77" s="26"/>
      <c r="C77" s="30"/>
      <c r="D77" s="26"/>
      <c r="E77" s="26"/>
      <c r="F77" s="31"/>
      <c r="G77" s="31"/>
      <c r="H77" s="36" t="s">
        <v>12</v>
      </c>
    </row>
    <row r="78" spans="1:8" x14ac:dyDescent="0.2">
      <c r="A78" s="26"/>
      <c r="B78" s="26"/>
      <c r="C78" s="27" t="s">
        <v>67</v>
      </c>
      <c r="D78" s="26"/>
      <c r="E78" s="26"/>
      <c r="F78" s="32">
        <v>1617.122294108</v>
      </c>
      <c r="G78" s="29">
        <v>2.278937E-2</v>
      </c>
      <c r="H78" s="36" t="s">
        <v>12</v>
      </c>
    </row>
    <row r="79" spans="1:8" x14ac:dyDescent="0.2">
      <c r="A79" s="26"/>
      <c r="B79" s="26"/>
      <c r="C79" s="31"/>
      <c r="D79" s="26"/>
      <c r="E79" s="26"/>
      <c r="F79" s="26"/>
      <c r="G79" s="26"/>
      <c r="H79" s="36" t="s">
        <v>12</v>
      </c>
    </row>
    <row r="80" spans="1:8" x14ac:dyDescent="0.2">
      <c r="A80" s="26"/>
      <c r="B80" s="26"/>
      <c r="C80" s="27" t="s">
        <v>68</v>
      </c>
      <c r="D80" s="26"/>
      <c r="E80" s="26"/>
      <c r="F80" s="26"/>
      <c r="G80" s="26"/>
      <c r="H80" s="36" t="s">
        <v>12</v>
      </c>
    </row>
    <row r="81" spans="1:18" x14ac:dyDescent="0.2">
      <c r="A81" s="26"/>
      <c r="B81" s="26"/>
      <c r="C81" s="27" t="s">
        <v>69</v>
      </c>
      <c r="D81" s="26"/>
      <c r="E81" s="26"/>
      <c r="F81" s="26"/>
      <c r="G81" s="26"/>
      <c r="H81" s="36" t="s">
        <v>12</v>
      </c>
    </row>
    <row r="82" spans="1:18" x14ac:dyDescent="0.2">
      <c r="A82" s="26"/>
      <c r="B82" s="26"/>
      <c r="C82" s="27" t="s">
        <v>11</v>
      </c>
      <c r="D82" s="26"/>
      <c r="E82" s="26" t="s">
        <v>12</v>
      </c>
      <c r="F82" s="28" t="s">
        <v>13</v>
      </c>
      <c r="G82" s="29">
        <v>0</v>
      </c>
      <c r="H82" s="36" t="s">
        <v>12</v>
      </c>
    </row>
    <row r="83" spans="1:18" x14ac:dyDescent="0.2">
      <c r="A83" s="26"/>
      <c r="B83" s="26"/>
      <c r="C83" s="30"/>
      <c r="D83" s="26"/>
      <c r="E83" s="26"/>
      <c r="F83" s="31"/>
      <c r="G83" s="31"/>
      <c r="H83" s="36" t="s">
        <v>12</v>
      </c>
    </row>
    <row r="84" spans="1:18" x14ac:dyDescent="0.2">
      <c r="A84" s="26"/>
      <c r="B84" s="26"/>
      <c r="C84" s="27" t="s">
        <v>72</v>
      </c>
      <c r="D84" s="26"/>
      <c r="E84" s="26"/>
      <c r="F84" s="26"/>
      <c r="G84" s="26"/>
      <c r="H84" s="36" t="s">
        <v>12</v>
      </c>
    </row>
    <row r="85" spans="1:18" x14ac:dyDescent="0.2">
      <c r="A85" s="26"/>
      <c r="B85" s="26"/>
      <c r="C85" s="27" t="s">
        <v>73</v>
      </c>
      <c r="D85" s="26"/>
      <c r="E85" s="26"/>
      <c r="F85" s="26"/>
      <c r="G85" s="26"/>
      <c r="H85" s="36" t="s">
        <v>12</v>
      </c>
    </row>
    <row r="86" spans="1:18" x14ac:dyDescent="0.2">
      <c r="A86" s="26"/>
      <c r="B86" s="26"/>
      <c r="C86" s="27" t="s">
        <v>11</v>
      </c>
      <c r="D86" s="26"/>
      <c r="E86" s="26" t="s">
        <v>12</v>
      </c>
      <c r="F86" s="28" t="s">
        <v>13</v>
      </c>
      <c r="G86" s="29">
        <v>0</v>
      </c>
      <c r="H86" s="36" t="s">
        <v>12</v>
      </c>
    </row>
    <row r="87" spans="1:18" x14ac:dyDescent="0.2">
      <c r="A87" s="26"/>
      <c r="B87" s="26"/>
      <c r="C87" s="30"/>
      <c r="D87" s="26"/>
      <c r="E87" s="26"/>
      <c r="F87" s="31"/>
      <c r="G87" s="31"/>
      <c r="H87" s="36" t="s">
        <v>12</v>
      </c>
    </row>
    <row r="88" spans="1:18" x14ac:dyDescent="0.2">
      <c r="A88" s="26"/>
      <c r="B88" s="26"/>
      <c r="C88" s="27" t="s">
        <v>74</v>
      </c>
      <c r="D88" s="26"/>
      <c r="E88" s="26"/>
      <c r="F88" s="31"/>
      <c r="G88" s="31"/>
      <c r="H88" s="36" t="s">
        <v>12</v>
      </c>
    </row>
    <row r="89" spans="1:18" x14ac:dyDescent="0.2">
      <c r="A89" s="26"/>
      <c r="B89" s="26"/>
      <c r="C89" s="27" t="s">
        <v>11</v>
      </c>
      <c r="D89" s="26"/>
      <c r="E89" s="26" t="s">
        <v>12</v>
      </c>
      <c r="F89" s="28" t="s">
        <v>13</v>
      </c>
      <c r="G89" s="29">
        <v>0</v>
      </c>
      <c r="H89" s="36" t="s">
        <v>12</v>
      </c>
    </row>
    <row r="90" spans="1:18" x14ac:dyDescent="0.2">
      <c r="A90" s="26"/>
      <c r="B90" s="26"/>
      <c r="C90" s="30"/>
      <c r="D90" s="26"/>
      <c r="E90" s="26"/>
      <c r="F90" s="31"/>
      <c r="G90" s="31"/>
      <c r="H90" s="36" t="s">
        <v>12</v>
      </c>
    </row>
    <row r="91" spans="1:18" x14ac:dyDescent="0.2">
      <c r="A91" s="48"/>
      <c r="B91" s="48"/>
      <c r="C91" s="49" t="s">
        <v>370</v>
      </c>
      <c r="D91" s="48"/>
      <c r="E91" s="48"/>
      <c r="F91" s="50"/>
      <c r="G91" s="50"/>
      <c r="H91" s="51"/>
      <c r="K91" s="52"/>
      <c r="L91" s="52"/>
      <c r="M91" s="52"/>
      <c r="N91" s="52"/>
      <c r="O91" s="52"/>
      <c r="P91" s="53"/>
      <c r="Q91" s="53"/>
      <c r="R91" s="53"/>
    </row>
    <row r="92" spans="1:18" x14ac:dyDescent="0.2">
      <c r="A92" s="33">
        <v>1</v>
      </c>
      <c r="B92" s="34" t="s">
        <v>70</v>
      </c>
      <c r="C92" s="34" t="s">
        <v>71</v>
      </c>
      <c r="D92" s="34"/>
      <c r="E92" s="40">
        <v>2586.3710000000001</v>
      </c>
      <c r="F92" s="36">
        <v>265.64539467100002</v>
      </c>
      <c r="G92" s="37">
        <v>3.74362E-3</v>
      </c>
      <c r="H92" s="36"/>
    </row>
    <row r="93" spans="1:18" x14ac:dyDescent="0.2">
      <c r="A93" s="26"/>
      <c r="B93" s="26"/>
      <c r="C93" s="27" t="s">
        <v>11</v>
      </c>
      <c r="D93" s="26"/>
      <c r="E93" s="26" t="s">
        <v>12</v>
      </c>
      <c r="F93" s="32">
        <v>265.64539467100002</v>
      </c>
      <c r="G93" s="29">
        <v>3.74362E-3</v>
      </c>
      <c r="H93" s="36" t="s">
        <v>12</v>
      </c>
    </row>
    <row r="94" spans="1:18" x14ac:dyDescent="0.2">
      <c r="A94" s="26"/>
      <c r="B94" s="34"/>
      <c r="C94" s="34"/>
      <c r="D94" s="27"/>
      <c r="E94" s="26"/>
      <c r="F94" s="34"/>
      <c r="G94" s="38"/>
      <c r="H94" s="36" t="s">
        <v>12</v>
      </c>
    </row>
    <row r="95" spans="1:18" x14ac:dyDescent="0.2">
      <c r="A95" s="38"/>
      <c r="B95" s="34"/>
      <c r="C95" s="34" t="s">
        <v>75</v>
      </c>
      <c r="D95" s="34"/>
      <c r="E95" s="38"/>
      <c r="F95" s="36">
        <v>2167.0785765700002</v>
      </c>
      <c r="G95" s="37">
        <v>3.0539650000000002E-2</v>
      </c>
      <c r="H95" s="36" t="s">
        <v>12</v>
      </c>
    </row>
    <row r="96" spans="1:18" x14ac:dyDescent="0.2">
      <c r="A96" s="30"/>
      <c r="B96" s="30"/>
      <c r="C96" s="27" t="s">
        <v>76</v>
      </c>
      <c r="D96" s="31"/>
      <c r="E96" s="31"/>
      <c r="F96" s="32">
        <v>70959.500265348994</v>
      </c>
      <c r="G96" s="39">
        <v>1</v>
      </c>
      <c r="H96" s="41" t="s">
        <v>12</v>
      </c>
    </row>
    <row r="97" spans="1:8" x14ac:dyDescent="0.2">
      <c r="A97" s="5"/>
      <c r="B97" s="5"/>
      <c r="C97" s="5"/>
      <c r="D97" s="7"/>
      <c r="E97" s="7"/>
      <c r="F97" s="7"/>
      <c r="G97" s="7"/>
    </row>
    <row r="98" spans="1:8" x14ac:dyDescent="0.2">
      <c r="A98" s="54"/>
      <c r="B98" s="124" t="s">
        <v>371</v>
      </c>
      <c r="C98" s="124"/>
      <c r="D98" s="124"/>
      <c r="E98" s="124"/>
      <c r="F98" s="124"/>
      <c r="G98" s="124"/>
      <c r="H98" s="124"/>
    </row>
    <row r="99" spans="1:8" x14ac:dyDescent="0.2">
      <c r="A99" s="54"/>
      <c r="B99" s="124" t="s">
        <v>372</v>
      </c>
      <c r="C99" s="124"/>
      <c r="D99" s="124"/>
      <c r="E99" s="124"/>
      <c r="F99" s="124"/>
      <c r="G99" s="124"/>
      <c r="H99" s="124"/>
    </row>
    <row r="100" spans="1:8" x14ac:dyDescent="0.2">
      <c r="A100" s="54"/>
      <c r="B100" s="124" t="s">
        <v>373</v>
      </c>
      <c r="C100" s="124"/>
      <c r="D100" s="124"/>
      <c r="E100" s="124"/>
      <c r="F100" s="124"/>
      <c r="G100" s="124"/>
      <c r="H100" s="124"/>
    </row>
    <row r="101" spans="1:8" x14ac:dyDescent="0.2">
      <c r="A101" s="5"/>
      <c r="B101" s="5"/>
      <c r="C101" s="5"/>
      <c r="D101" s="7"/>
      <c r="E101" s="7"/>
      <c r="F101" s="7"/>
      <c r="G101" s="7"/>
    </row>
    <row r="102" spans="1:8" x14ac:dyDescent="0.2">
      <c r="A102" s="5"/>
      <c r="B102" s="119" t="s">
        <v>77</v>
      </c>
      <c r="C102" s="120"/>
      <c r="D102" s="121"/>
      <c r="E102" s="8"/>
      <c r="F102" s="7"/>
      <c r="G102" s="7"/>
    </row>
    <row r="103" spans="1:8" x14ac:dyDescent="0.2">
      <c r="A103" s="5"/>
      <c r="B103" s="122" t="s">
        <v>78</v>
      </c>
      <c r="C103" s="123"/>
      <c r="D103" s="1" t="s">
        <v>79</v>
      </c>
      <c r="E103" s="8"/>
      <c r="F103" s="7"/>
      <c r="G103" s="7"/>
    </row>
    <row r="104" spans="1:8" x14ac:dyDescent="0.2">
      <c r="A104" s="5"/>
      <c r="B104" s="122" t="s">
        <v>80</v>
      </c>
      <c r="C104" s="123"/>
      <c r="D104" s="1" t="s">
        <v>79</v>
      </c>
      <c r="E104" s="8"/>
      <c r="F104" s="7"/>
      <c r="G104" s="7"/>
    </row>
    <row r="105" spans="1:8" x14ac:dyDescent="0.2">
      <c r="A105" s="5"/>
      <c r="B105" s="122" t="s">
        <v>81</v>
      </c>
      <c r="C105" s="123"/>
      <c r="D105" s="2" t="s">
        <v>12</v>
      </c>
      <c r="E105" s="8"/>
      <c r="F105" s="7"/>
      <c r="G105" s="7"/>
    </row>
    <row r="106" spans="1:8" x14ac:dyDescent="0.2">
      <c r="A106" s="56"/>
      <c r="B106" s="103" t="s">
        <v>12</v>
      </c>
      <c r="C106" s="103" t="s">
        <v>574</v>
      </c>
      <c r="D106" s="103" t="s">
        <v>82</v>
      </c>
      <c r="E106" s="56"/>
      <c r="F106" s="56"/>
      <c r="G106" s="56"/>
      <c r="H106" s="104"/>
    </row>
    <row r="107" spans="1:8" x14ac:dyDescent="0.2">
      <c r="A107" s="9"/>
      <c r="B107" s="11" t="s">
        <v>83</v>
      </c>
      <c r="C107" s="10" t="s">
        <v>84</v>
      </c>
      <c r="D107" s="10" t="s">
        <v>85</v>
      </c>
      <c r="E107" s="9"/>
      <c r="F107" s="9"/>
      <c r="G107" s="9"/>
    </row>
    <row r="108" spans="1:8" x14ac:dyDescent="0.2">
      <c r="A108" s="9"/>
      <c r="B108" s="3" t="s">
        <v>86</v>
      </c>
      <c r="C108" s="12">
        <v>37.817700000000002</v>
      </c>
      <c r="D108" s="110">
        <v>37.927500000000002</v>
      </c>
      <c r="E108" s="9"/>
      <c r="F108" s="6"/>
      <c r="G108" s="13"/>
    </row>
    <row r="109" spans="1:8" ht="25.5" x14ac:dyDescent="0.2">
      <c r="A109" s="9"/>
      <c r="B109" s="3" t="s">
        <v>583</v>
      </c>
      <c r="C109" s="12">
        <v>16.8687</v>
      </c>
      <c r="D109" s="110">
        <v>16.8977</v>
      </c>
      <c r="E109" s="9"/>
      <c r="F109" s="6"/>
      <c r="G109" s="13"/>
    </row>
    <row r="110" spans="1:8" ht="25.5" x14ac:dyDescent="0.2">
      <c r="A110" s="9"/>
      <c r="B110" s="3" t="s">
        <v>581</v>
      </c>
      <c r="C110" s="12">
        <v>18.7102</v>
      </c>
      <c r="D110" s="110">
        <v>18.689299999999999</v>
      </c>
      <c r="E110" s="9"/>
      <c r="F110" s="6"/>
      <c r="G110" s="13"/>
    </row>
    <row r="111" spans="1:8" ht="25.5" x14ac:dyDescent="0.2">
      <c r="A111" s="9"/>
      <c r="B111" s="3" t="s">
        <v>584</v>
      </c>
      <c r="C111" s="12">
        <v>16.864000000000001</v>
      </c>
      <c r="D111" s="110">
        <v>16.912700000000001</v>
      </c>
      <c r="E111" s="9"/>
      <c r="F111" s="6"/>
      <c r="G111" s="13"/>
    </row>
    <row r="112" spans="1:8" ht="25.5" x14ac:dyDescent="0.2">
      <c r="A112" s="9"/>
      <c r="B112" s="3" t="s">
        <v>585</v>
      </c>
      <c r="C112" s="12">
        <v>17.116</v>
      </c>
      <c r="D112" s="110">
        <v>17.165400000000002</v>
      </c>
      <c r="E112" s="9"/>
      <c r="F112" s="6"/>
      <c r="G112" s="13"/>
    </row>
    <row r="113" spans="1:7" x14ac:dyDescent="0.2">
      <c r="A113" s="9"/>
      <c r="B113" s="3" t="s">
        <v>87</v>
      </c>
      <c r="C113" s="12">
        <v>36.662599999999998</v>
      </c>
      <c r="D113" s="110">
        <v>36.765599999999999</v>
      </c>
      <c r="E113" s="9"/>
      <c r="F113" s="6"/>
      <c r="G113" s="13"/>
    </row>
    <row r="114" spans="1:7" ht="25.5" x14ac:dyDescent="0.2">
      <c r="A114" s="9"/>
      <c r="B114" s="3" t="s">
        <v>586</v>
      </c>
      <c r="C114" s="12">
        <v>15.9671</v>
      </c>
      <c r="D114" s="110">
        <v>15.992000000000001</v>
      </c>
      <c r="E114" s="9"/>
      <c r="F114" s="6"/>
      <c r="G114" s="13"/>
    </row>
    <row r="115" spans="1:7" ht="25.5" x14ac:dyDescent="0.2">
      <c r="A115" s="9"/>
      <c r="B115" s="3" t="s">
        <v>582</v>
      </c>
      <c r="C115" s="12">
        <v>18.181100000000001</v>
      </c>
      <c r="D115" s="110">
        <v>18.1569</v>
      </c>
      <c r="E115" s="9"/>
      <c r="F115" s="6"/>
      <c r="G115" s="13"/>
    </row>
    <row r="116" spans="1:7" ht="25.5" x14ac:dyDescent="0.2">
      <c r="A116" s="9"/>
      <c r="B116" s="3" t="s">
        <v>587</v>
      </c>
      <c r="C116" s="12">
        <v>16.771799999999999</v>
      </c>
      <c r="D116" s="110">
        <v>16.818899999999999</v>
      </c>
      <c r="E116" s="9"/>
      <c r="F116" s="6"/>
      <c r="G116" s="13"/>
    </row>
    <row r="117" spans="1:7" ht="25.5" x14ac:dyDescent="0.2">
      <c r="A117" s="9"/>
      <c r="B117" s="3" t="s">
        <v>588</v>
      </c>
      <c r="C117" s="12">
        <v>16.635999999999999</v>
      </c>
      <c r="D117" s="110">
        <v>16.6828</v>
      </c>
      <c r="E117" s="9"/>
      <c r="F117" s="6"/>
      <c r="G117" s="13"/>
    </row>
    <row r="118" spans="1:7" x14ac:dyDescent="0.2">
      <c r="A118" s="9"/>
      <c r="B118" s="9"/>
      <c r="C118" s="9"/>
      <c r="D118" s="9"/>
      <c r="E118" s="9"/>
      <c r="F118" s="9"/>
      <c r="G118" s="9"/>
    </row>
    <row r="119" spans="1:7" x14ac:dyDescent="0.2">
      <c r="A119" s="9"/>
      <c r="B119" s="122" t="s">
        <v>589</v>
      </c>
      <c r="C119" s="123"/>
      <c r="D119" s="1" t="s">
        <v>12</v>
      </c>
      <c r="E119" s="9"/>
      <c r="F119" s="9"/>
      <c r="G119" s="9"/>
    </row>
    <row r="120" spans="1:7" x14ac:dyDescent="0.2">
      <c r="A120" s="9"/>
      <c r="B120" s="14" t="s">
        <v>83</v>
      </c>
      <c r="C120" s="15" t="s">
        <v>88</v>
      </c>
      <c r="D120" s="15" t="s">
        <v>89</v>
      </c>
      <c r="E120" s="9"/>
      <c r="F120" s="9"/>
      <c r="G120" s="9"/>
    </row>
    <row r="121" spans="1:7" ht="25.5" x14ac:dyDescent="0.2">
      <c r="A121" s="9"/>
      <c r="B121" s="3" t="s">
        <v>583</v>
      </c>
      <c r="C121" s="16">
        <v>0.02</v>
      </c>
      <c r="D121" s="4" t="s">
        <v>90</v>
      </c>
      <c r="E121" s="9"/>
      <c r="F121" s="6"/>
      <c r="G121" s="13"/>
    </row>
    <row r="122" spans="1:7" ht="25.5" x14ac:dyDescent="0.2">
      <c r="A122" s="9"/>
      <c r="B122" s="3" t="s">
        <v>581</v>
      </c>
      <c r="C122" s="16">
        <v>7.4999999999999997E-2</v>
      </c>
      <c r="D122" s="4" t="s">
        <v>90</v>
      </c>
      <c r="E122" s="9"/>
      <c r="F122" s="6"/>
      <c r="G122" s="13"/>
    </row>
    <row r="123" spans="1:7" ht="25.5" x14ac:dyDescent="0.2">
      <c r="A123" s="9"/>
      <c r="B123" s="3" t="s">
        <v>586</v>
      </c>
      <c r="C123" s="16">
        <v>0.02</v>
      </c>
      <c r="D123" s="4" t="s">
        <v>90</v>
      </c>
      <c r="E123" s="9"/>
      <c r="F123" s="6"/>
      <c r="G123" s="13"/>
    </row>
    <row r="124" spans="1:7" ht="25.5" x14ac:dyDescent="0.2">
      <c r="A124" s="9"/>
      <c r="B124" s="3" t="s">
        <v>582</v>
      </c>
      <c r="C124" s="16">
        <v>7.4999999999999997E-2</v>
      </c>
      <c r="D124" s="16">
        <v>7.4999999999999997E-2</v>
      </c>
      <c r="E124" s="9"/>
      <c r="F124" s="6"/>
      <c r="G124" s="13"/>
    </row>
    <row r="125" spans="1:7" x14ac:dyDescent="0.2">
      <c r="A125" s="9"/>
      <c r="B125" s="17"/>
      <c r="C125" s="17"/>
      <c r="D125" s="18"/>
      <c r="E125" s="9"/>
      <c r="F125" s="6"/>
      <c r="G125" s="13"/>
    </row>
    <row r="126" spans="1:7" x14ac:dyDescent="0.2">
      <c r="A126" s="9"/>
      <c r="B126" s="6"/>
      <c r="C126" s="6"/>
      <c r="D126" s="9"/>
      <c r="E126" s="9"/>
      <c r="F126" s="9"/>
      <c r="G126" s="9"/>
    </row>
    <row r="127" spans="1:7" x14ac:dyDescent="0.2">
      <c r="A127" s="56"/>
      <c r="B127" s="129" t="s">
        <v>91</v>
      </c>
      <c r="C127" s="130"/>
      <c r="D127" s="57" t="s">
        <v>79</v>
      </c>
      <c r="E127" s="58"/>
      <c r="F127" s="56"/>
      <c r="G127" s="56"/>
    </row>
    <row r="128" spans="1:7" x14ac:dyDescent="0.2">
      <c r="A128" s="56"/>
      <c r="B128" s="129" t="s">
        <v>92</v>
      </c>
      <c r="C128" s="130"/>
      <c r="D128" s="57" t="s">
        <v>79</v>
      </c>
      <c r="E128" s="58"/>
      <c r="F128" s="56"/>
      <c r="G128" s="56"/>
    </row>
    <row r="129" spans="1:15" x14ac:dyDescent="0.2">
      <c r="A129" s="56"/>
      <c r="B129" s="129" t="s">
        <v>374</v>
      </c>
      <c r="C129" s="130"/>
      <c r="D129" s="57" t="s">
        <v>79</v>
      </c>
      <c r="E129" s="58"/>
      <c r="F129" s="56"/>
      <c r="G129" s="56"/>
    </row>
    <row r="130" spans="1:15" x14ac:dyDescent="0.2">
      <c r="A130" s="19"/>
      <c r="B130" s="19"/>
      <c r="C130" s="19"/>
      <c r="D130" s="19"/>
      <c r="E130" s="19"/>
      <c r="F130" s="19"/>
      <c r="G130" s="19"/>
    </row>
    <row r="131" spans="1:15" s="59" customFormat="1" x14ac:dyDescent="0.2">
      <c r="B131" s="125" t="s">
        <v>375</v>
      </c>
      <c r="C131" s="126"/>
      <c r="D131" s="127"/>
      <c r="I131"/>
      <c r="J131" s="23"/>
      <c r="K131" s="52"/>
      <c r="L131" s="52"/>
      <c r="M131" s="52"/>
      <c r="N131" s="52"/>
      <c r="O131" s="52"/>
    </row>
    <row r="132" spans="1:15" s="59" customFormat="1" ht="38.25" x14ac:dyDescent="0.2">
      <c r="B132" s="128" t="s">
        <v>376</v>
      </c>
      <c r="C132" s="128"/>
      <c r="D132" s="60" t="s">
        <v>1</v>
      </c>
      <c r="I132"/>
      <c r="J132" s="23"/>
      <c r="K132" s="52"/>
      <c r="L132" s="52"/>
      <c r="M132" s="52"/>
      <c r="N132" s="52"/>
      <c r="O132" s="52"/>
    </row>
    <row r="133" spans="1:15" s="59" customFormat="1" x14ac:dyDescent="0.2">
      <c r="B133" s="131" t="s">
        <v>377</v>
      </c>
      <c r="C133" s="131"/>
      <c r="D133" s="61"/>
      <c r="I133"/>
      <c r="J133" s="23"/>
      <c r="K133" s="52"/>
      <c r="L133" s="52"/>
      <c r="M133" s="52"/>
      <c r="N133" s="52"/>
      <c r="O133" s="52"/>
    </row>
    <row r="134" spans="1:15" s="59" customFormat="1" x14ac:dyDescent="0.2">
      <c r="B134" s="132"/>
      <c r="C134" s="133"/>
      <c r="D134" s="62"/>
      <c r="I134"/>
      <c r="J134" s="23"/>
      <c r="K134" s="52"/>
      <c r="L134" s="52"/>
      <c r="M134" s="52"/>
      <c r="N134" s="52"/>
      <c r="O134" s="52"/>
    </row>
    <row r="135" spans="1:15" s="59" customFormat="1" x14ac:dyDescent="0.2">
      <c r="B135" s="131" t="s">
        <v>378</v>
      </c>
      <c r="C135" s="131"/>
      <c r="D135" s="63">
        <v>7.5537912029194691</v>
      </c>
      <c r="I135"/>
      <c r="J135" s="23"/>
      <c r="K135" s="52"/>
      <c r="L135" s="52"/>
      <c r="M135" s="52"/>
      <c r="N135" s="52"/>
      <c r="O135" s="52"/>
    </row>
    <row r="136" spans="1:15" s="59" customFormat="1" x14ac:dyDescent="0.2">
      <c r="B136" s="132"/>
      <c r="C136" s="133"/>
      <c r="D136" s="62"/>
      <c r="I136"/>
      <c r="J136" s="23"/>
      <c r="K136" s="52"/>
      <c r="L136" s="52"/>
      <c r="M136" s="52"/>
      <c r="N136" s="52"/>
      <c r="O136" s="52"/>
    </row>
    <row r="137" spans="1:15" s="59" customFormat="1" x14ac:dyDescent="0.2">
      <c r="B137" s="131" t="s">
        <v>379</v>
      </c>
      <c r="C137" s="131"/>
      <c r="D137" s="63">
        <v>3.3674234828307994</v>
      </c>
      <c r="I137"/>
      <c r="J137" s="23"/>
      <c r="K137" s="52"/>
      <c r="L137" s="52"/>
      <c r="M137" s="52"/>
      <c r="N137" s="52"/>
      <c r="O137" s="52"/>
    </row>
    <row r="138" spans="1:15" s="59" customFormat="1" x14ac:dyDescent="0.2">
      <c r="B138" s="131" t="s">
        <v>380</v>
      </c>
      <c r="C138" s="131"/>
      <c r="D138" s="63">
        <v>4.4352866897904848</v>
      </c>
      <c r="I138"/>
      <c r="J138" s="23"/>
      <c r="K138" s="52"/>
      <c r="L138" s="52"/>
      <c r="M138" s="52"/>
      <c r="N138" s="52"/>
      <c r="O138" s="52"/>
    </row>
    <row r="139" spans="1:15" s="59" customFormat="1" x14ac:dyDescent="0.2">
      <c r="B139" s="132"/>
      <c r="C139" s="133"/>
      <c r="D139" s="62"/>
      <c r="I139"/>
      <c r="J139" s="23"/>
      <c r="K139" s="52"/>
      <c r="L139" s="52"/>
      <c r="M139" s="52"/>
      <c r="N139" s="52"/>
      <c r="O139" s="52"/>
    </row>
    <row r="140" spans="1:15" s="59" customFormat="1" x14ac:dyDescent="0.2">
      <c r="B140" s="131" t="s">
        <v>381</v>
      </c>
      <c r="C140" s="131"/>
      <c r="D140" s="64" t="s">
        <v>599</v>
      </c>
      <c r="I140"/>
      <c r="J140" s="23"/>
      <c r="K140" s="52"/>
      <c r="L140" s="52"/>
      <c r="M140" s="52"/>
      <c r="N140" s="52"/>
      <c r="O140" s="52"/>
    </row>
    <row r="141" spans="1:15" s="59" customFormat="1" x14ac:dyDescent="0.2">
      <c r="B141" s="132" t="s">
        <v>382</v>
      </c>
      <c r="C141" s="134"/>
      <c r="D141" s="133"/>
      <c r="I141"/>
      <c r="J141" s="23"/>
      <c r="K141" s="52"/>
      <c r="L141" s="52"/>
      <c r="M141" s="52"/>
      <c r="N141" s="52"/>
      <c r="O141" s="52"/>
    </row>
  </sheetData>
  <mergeCells count="25">
    <mergeCell ref="B138:C138"/>
    <mergeCell ref="B139:C139"/>
    <mergeCell ref="B140:C140"/>
    <mergeCell ref="B141:D141"/>
    <mergeCell ref="B133:C133"/>
    <mergeCell ref="B134:C134"/>
    <mergeCell ref="B135:C135"/>
    <mergeCell ref="B136:C136"/>
    <mergeCell ref="B137:C137"/>
    <mergeCell ref="B131:D131"/>
    <mergeCell ref="B132:C132"/>
    <mergeCell ref="B128:C128"/>
    <mergeCell ref="B129:C129"/>
    <mergeCell ref="B104:C104"/>
    <mergeCell ref="B105:C105"/>
    <mergeCell ref="B119:C119"/>
    <mergeCell ref="B127:C127"/>
    <mergeCell ref="A1:H1"/>
    <mergeCell ref="A2:H2"/>
    <mergeCell ref="A3:H3"/>
    <mergeCell ref="B102:D102"/>
    <mergeCell ref="B103:C103"/>
    <mergeCell ref="B98:H98"/>
    <mergeCell ref="B99:H99"/>
    <mergeCell ref="B100:H100"/>
  </mergeCells>
  <hyperlinks>
    <hyperlink ref="I1" location="Index!B2" display="Index" xr:uid="{5F7B88A8-22A4-43E7-9E8F-4326DC32361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106F-E438-4568-B89A-E4B4032FF66D}">
  <sheetPr>
    <outlinePr summaryBelow="0" summaryRight="0"/>
  </sheetPr>
  <dimension ref="A1:R143"/>
  <sheetViews>
    <sheetView showGridLines="0" topLeftCell="A59" workbookViewId="0">
      <selection activeCell="F73" sqref="F73"/>
    </sheetView>
  </sheetViews>
  <sheetFormatPr defaultRowHeight="12.75" x14ac:dyDescent="0.2"/>
  <cols>
    <col min="1" max="1" width="5.85546875" bestFit="1" customWidth="1"/>
    <col min="2" max="2" width="19.28515625" bestFit="1" customWidth="1"/>
    <col min="3" max="3" width="43.7109375" customWidth="1"/>
    <col min="4" max="4" width="10.7109375" bestFit="1" customWidth="1"/>
    <col min="5" max="5" width="9.42578125" bestFit="1" customWidth="1"/>
    <col min="6" max="6" width="10.140625" bestFit="1" customWidth="1"/>
    <col min="7" max="7" width="14" bestFit="1" customWidth="1"/>
    <col min="8" max="8" width="12"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93</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355</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x14ac:dyDescent="0.2">
      <c r="A14" s="26"/>
      <c r="B14" s="26"/>
      <c r="C14" s="30"/>
      <c r="D14" s="26"/>
      <c r="E14" s="26"/>
      <c r="F14" s="31"/>
      <c r="G14" s="31"/>
      <c r="H14" s="36" t="s">
        <v>12</v>
      </c>
    </row>
    <row r="15" spans="1:10" ht="25.5" x14ac:dyDescent="0.2">
      <c r="A15" s="26"/>
      <c r="B15" s="26"/>
      <c r="C15" s="27" t="s">
        <v>16</v>
      </c>
      <c r="D15" s="26"/>
      <c r="E15" s="26"/>
      <c r="F15" s="26"/>
      <c r="G15" s="26"/>
      <c r="H15" s="36" t="s">
        <v>12</v>
      </c>
      <c r="J15" s="66" t="s">
        <v>391</v>
      </c>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x14ac:dyDescent="0.2">
      <c r="A27" s="26"/>
      <c r="B27" s="26"/>
      <c r="C27" s="27" t="s">
        <v>10</v>
      </c>
      <c r="D27" s="26"/>
      <c r="E27" s="26"/>
      <c r="F27" s="31"/>
      <c r="G27" s="31"/>
      <c r="H27" s="36" t="s">
        <v>12</v>
      </c>
    </row>
    <row r="28" spans="1:10" ht="25.5" x14ac:dyDescent="0.2">
      <c r="A28" s="33">
        <v>1</v>
      </c>
      <c r="B28" s="34" t="s">
        <v>38</v>
      </c>
      <c r="C28" s="3" t="s">
        <v>442</v>
      </c>
      <c r="D28" s="34" t="s">
        <v>39</v>
      </c>
      <c r="E28" s="35">
        <v>300</v>
      </c>
      <c r="F28" s="36">
        <v>2992.7159999999999</v>
      </c>
      <c r="G28" s="37">
        <v>9.0902410000000003E-2</v>
      </c>
      <c r="H28" s="36">
        <v>7.5</v>
      </c>
      <c r="J28" s="66" t="s">
        <v>386</v>
      </c>
    </row>
    <row r="29" spans="1:10" x14ac:dyDescent="0.2">
      <c r="A29" s="33">
        <v>2</v>
      </c>
      <c r="B29" s="34" t="s">
        <v>94</v>
      </c>
      <c r="C29" s="3" t="s">
        <v>447</v>
      </c>
      <c r="D29" s="34" t="s">
        <v>39</v>
      </c>
      <c r="E29" s="35">
        <v>250</v>
      </c>
      <c r="F29" s="36">
        <v>2490.8874999999998</v>
      </c>
      <c r="G29" s="37">
        <v>7.5659599999999994E-2</v>
      </c>
      <c r="H29" s="36">
        <v>7.65</v>
      </c>
    </row>
    <row r="30" spans="1:10" ht="25.5" x14ac:dyDescent="0.2">
      <c r="A30" s="33">
        <v>3</v>
      </c>
      <c r="B30" s="34" t="s">
        <v>21</v>
      </c>
      <c r="C30" s="3" t="s">
        <v>434</v>
      </c>
      <c r="D30" s="34" t="s">
        <v>22</v>
      </c>
      <c r="E30" s="35">
        <v>2500</v>
      </c>
      <c r="F30" s="36">
        <v>2481.36</v>
      </c>
      <c r="G30" s="37">
        <v>7.5370199999999998E-2</v>
      </c>
      <c r="H30" s="36">
        <v>7.6</v>
      </c>
    </row>
    <row r="31" spans="1:10" x14ac:dyDescent="0.2">
      <c r="A31" s="33">
        <v>4</v>
      </c>
      <c r="B31" s="34" t="s">
        <v>95</v>
      </c>
      <c r="C31" s="3" t="s">
        <v>448</v>
      </c>
      <c r="D31" s="34" t="s">
        <v>39</v>
      </c>
      <c r="E31" s="35">
        <v>250</v>
      </c>
      <c r="F31" s="36">
        <v>2448.7474999999999</v>
      </c>
      <c r="G31" s="37">
        <v>7.4379609999999999E-2</v>
      </c>
      <c r="H31" s="36">
        <v>7.61</v>
      </c>
    </row>
    <row r="32" spans="1:10" x14ac:dyDescent="0.2">
      <c r="A32" s="33">
        <v>5</v>
      </c>
      <c r="B32" s="34" t="s">
        <v>96</v>
      </c>
      <c r="C32" s="3" t="s">
        <v>97</v>
      </c>
      <c r="D32" s="34" t="s">
        <v>22</v>
      </c>
      <c r="E32" s="35">
        <v>2000</v>
      </c>
      <c r="F32" s="36">
        <v>1999.97</v>
      </c>
      <c r="G32" s="37">
        <v>6.0748200000000002E-2</v>
      </c>
      <c r="H32" s="36">
        <v>7.5949</v>
      </c>
    </row>
    <row r="33" spans="1:8" ht="25.5" x14ac:dyDescent="0.2">
      <c r="A33" s="33">
        <v>6</v>
      </c>
      <c r="B33" s="34" t="s">
        <v>98</v>
      </c>
      <c r="C33" s="3" t="s">
        <v>99</v>
      </c>
      <c r="D33" s="34" t="s">
        <v>39</v>
      </c>
      <c r="E33" s="35">
        <v>200</v>
      </c>
      <c r="F33" s="36">
        <v>1993.374</v>
      </c>
      <c r="G33" s="37">
        <v>6.054785E-2</v>
      </c>
      <c r="H33" s="36">
        <v>7.74</v>
      </c>
    </row>
    <row r="34" spans="1:8" ht="25.5" x14ac:dyDescent="0.2">
      <c r="A34" s="33">
        <v>7</v>
      </c>
      <c r="B34" s="34" t="s">
        <v>100</v>
      </c>
      <c r="C34" s="3" t="s">
        <v>449</v>
      </c>
      <c r="D34" s="34" t="s">
        <v>39</v>
      </c>
      <c r="E34" s="35">
        <v>200</v>
      </c>
      <c r="F34" s="36">
        <v>1937.318</v>
      </c>
      <c r="G34" s="37">
        <v>5.8845170000000002E-2</v>
      </c>
      <c r="H34" s="36">
        <v>7.6760000000000002</v>
      </c>
    </row>
    <row r="35" spans="1:8" ht="25.5" x14ac:dyDescent="0.2">
      <c r="A35" s="33">
        <v>8</v>
      </c>
      <c r="B35" s="34" t="s">
        <v>26</v>
      </c>
      <c r="C35" s="3" t="s">
        <v>27</v>
      </c>
      <c r="D35" s="34" t="s">
        <v>22</v>
      </c>
      <c r="E35" s="35">
        <v>1500</v>
      </c>
      <c r="F35" s="36">
        <v>1499.5139999999999</v>
      </c>
      <c r="G35" s="37">
        <v>4.5547070000000002E-2</v>
      </c>
      <c r="H35" s="36">
        <v>7.6218000000000004</v>
      </c>
    </row>
    <row r="36" spans="1:8" ht="25.5" x14ac:dyDescent="0.2">
      <c r="A36" s="33">
        <v>9</v>
      </c>
      <c r="B36" s="34" t="s">
        <v>101</v>
      </c>
      <c r="C36" s="3" t="s">
        <v>450</v>
      </c>
      <c r="D36" s="34" t="s">
        <v>39</v>
      </c>
      <c r="E36" s="35">
        <v>150</v>
      </c>
      <c r="F36" s="36">
        <v>1491.7439999999999</v>
      </c>
      <c r="G36" s="37">
        <v>4.531106E-2</v>
      </c>
      <c r="H36" s="36">
        <v>7.73</v>
      </c>
    </row>
    <row r="37" spans="1:8" x14ac:dyDescent="0.2">
      <c r="A37" s="33">
        <v>10</v>
      </c>
      <c r="B37" s="34" t="s">
        <v>47</v>
      </c>
      <c r="C37" s="3" t="s">
        <v>48</v>
      </c>
      <c r="D37" s="34" t="s">
        <v>22</v>
      </c>
      <c r="E37" s="35">
        <v>100</v>
      </c>
      <c r="F37" s="36">
        <v>1001.425</v>
      </c>
      <c r="G37" s="37">
        <v>3.0417840000000002E-2</v>
      </c>
      <c r="H37" s="36">
        <v>7.88</v>
      </c>
    </row>
    <row r="38" spans="1:8" ht="25.5" x14ac:dyDescent="0.2">
      <c r="A38" s="33">
        <v>11</v>
      </c>
      <c r="B38" s="34" t="s">
        <v>102</v>
      </c>
      <c r="C38" s="3" t="s">
        <v>451</v>
      </c>
      <c r="D38" s="34" t="s">
        <v>22</v>
      </c>
      <c r="E38" s="35">
        <v>1000</v>
      </c>
      <c r="F38" s="36">
        <v>1000.033</v>
      </c>
      <c r="G38" s="37">
        <v>3.0375559999999999E-2</v>
      </c>
      <c r="H38" s="36">
        <v>7.3452000000000002</v>
      </c>
    </row>
    <row r="39" spans="1:8" x14ac:dyDescent="0.2">
      <c r="A39" s="33">
        <v>12</v>
      </c>
      <c r="B39" s="34" t="s">
        <v>42</v>
      </c>
      <c r="C39" s="3" t="s">
        <v>43</v>
      </c>
      <c r="D39" s="34" t="s">
        <v>22</v>
      </c>
      <c r="E39" s="35">
        <v>500</v>
      </c>
      <c r="F39" s="36">
        <v>501.01150000000001</v>
      </c>
      <c r="G39" s="37">
        <v>1.5218000000000001E-2</v>
      </c>
      <c r="H39" s="36">
        <v>7.65</v>
      </c>
    </row>
    <row r="40" spans="1:8" ht="25.5" x14ac:dyDescent="0.2">
      <c r="A40" s="33">
        <v>13</v>
      </c>
      <c r="B40" s="34" t="s">
        <v>103</v>
      </c>
      <c r="C40" s="3" t="s">
        <v>452</v>
      </c>
      <c r="D40" s="34" t="s">
        <v>22</v>
      </c>
      <c r="E40" s="35">
        <v>500</v>
      </c>
      <c r="F40" s="36">
        <v>500.76299999999998</v>
      </c>
      <c r="G40" s="37">
        <v>1.521045E-2</v>
      </c>
      <c r="H40" s="36">
        <v>7.6</v>
      </c>
    </row>
    <row r="41" spans="1:8" x14ac:dyDescent="0.2">
      <c r="A41" s="33">
        <v>14</v>
      </c>
      <c r="B41" s="34" t="s">
        <v>36</v>
      </c>
      <c r="C41" s="3" t="s">
        <v>37</v>
      </c>
      <c r="D41" s="34" t="s">
        <v>22</v>
      </c>
      <c r="E41" s="35">
        <v>500</v>
      </c>
      <c r="F41" s="36">
        <v>500.012</v>
      </c>
      <c r="G41" s="37">
        <v>1.5187640000000001E-2</v>
      </c>
      <c r="H41" s="36">
        <v>7.59</v>
      </c>
    </row>
    <row r="42" spans="1:8" x14ac:dyDescent="0.2">
      <c r="A42" s="33">
        <v>15</v>
      </c>
      <c r="B42" s="34" t="s">
        <v>104</v>
      </c>
      <c r="C42" s="3" t="s">
        <v>453</v>
      </c>
      <c r="D42" s="34" t="s">
        <v>22</v>
      </c>
      <c r="E42" s="35">
        <v>500</v>
      </c>
      <c r="F42" s="36">
        <v>499.1345</v>
      </c>
      <c r="G42" s="37">
        <v>1.5160989999999999E-2</v>
      </c>
      <c r="H42" s="36">
        <v>7.97</v>
      </c>
    </row>
    <row r="43" spans="1:8" x14ac:dyDescent="0.2">
      <c r="A43" s="33">
        <v>16</v>
      </c>
      <c r="B43" s="34" t="s">
        <v>105</v>
      </c>
      <c r="C43" s="3" t="s">
        <v>454</v>
      </c>
      <c r="D43" s="34" t="s">
        <v>22</v>
      </c>
      <c r="E43" s="35">
        <v>500</v>
      </c>
      <c r="F43" s="36">
        <v>499.04149999999998</v>
      </c>
      <c r="G43" s="37">
        <v>1.515816E-2</v>
      </c>
      <c r="H43" s="36">
        <v>8.1449999999999996</v>
      </c>
    </row>
    <row r="44" spans="1:8" ht="25.5" x14ac:dyDescent="0.2">
      <c r="A44" s="33">
        <v>17</v>
      </c>
      <c r="B44" s="34" t="s">
        <v>106</v>
      </c>
      <c r="C44" s="3" t="s">
        <v>455</v>
      </c>
      <c r="D44" s="34" t="s">
        <v>39</v>
      </c>
      <c r="E44" s="35">
        <v>50</v>
      </c>
      <c r="F44" s="36">
        <v>497.73599999999999</v>
      </c>
      <c r="G44" s="37">
        <v>1.511851E-2</v>
      </c>
      <c r="H44" s="36">
        <v>7.7672999999999996</v>
      </c>
    </row>
    <row r="45" spans="1:8" ht="25.5" x14ac:dyDescent="0.2">
      <c r="A45" s="33">
        <v>18</v>
      </c>
      <c r="B45" s="34" t="s">
        <v>107</v>
      </c>
      <c r="C45" s="3" t="s">
        <v>456</v>
      </c>
      <c r="D45" s="34" t="s">
        <v>39</v>
      </c>
      <c r="E45" s="35">
        <v>165</v>
      </c>
      <c r="F45" s="36">
        <v>488.47194000000002</v>
      </c>
      <c r="G45" s="37">
        <v>1.4837120000000001E-2</v>
      </c>
      <c r="H45" s="36">
        <v>7.7110000000000003</v>
      </c>
    </row>
    <row r="46" spans="1:8" x14ac:dyDescent="0.2">
      <c r="A46" s="26"/>
      <c r="B46" s="26"/>
      <c r="C46" s="27" t="s">
        <v>11</v>
      </c>
      <c r="D46" s="26"/>
      <c r="E46" s="26" t="s">
        <v>12</v>
      </c>
      <c r="F46" s="32">
        <v>24823.259440000002</v>
      </c>
      <c r="G46" s="29">
        <v>0.75399543999999996</v>
      </c>
      <c r="H46" s="36" t="s">
        <v>12</v>
      </c>
    </row>
    <row r="47" spans="1:8" x14ac:dyDescent="0.2">
      <c r="A47" s="26"/>
      <c r="B47" s="26"/>
      <c r="C47" s="30"/>
      <c r="D47" s="26"/>
      <c r="E47" s="26"/>
      <c r="F47" s="31"/>
      <c r="G47" s="31"/>
      <c r="H47" s="36" t="s">
        <v>12</v>
      </c>
    </row>
    <row r="48" spans="1:8" x14ac:dyDescent="0.2">
      <c r="A48" s="26"/>
      <c r="B48" s="26"/>
      <c r="C48" s="27" t="s">
        <v>50</v>
      </c>
      <c r="D48" s="26"/>
      <c r="E48" s="26"/>
      <c r="F48" s="26"/>
      <c r="G48" s="26"/>
      <c r="H48" s="36" t="s">
        <v>12</v>
      </c>
    </row>
    <row r="49" spans="1:8" x14ac:dyDescent="0.2">
      <c r="A49" s="26"/>
      <c r="B49" s="26"/>
      <c r="C49" s="27" t="s">
        <v>11</v>
      </c>
      <c r="D49" s="26"/>
      <c r="E49" s="26" t="s">
        <v>12</v>
      </c>
      <c r="F49" s="28" t="s">
        <v>13</v>
      </c>
      <c r="G49" s="29">
        <v>0</v>
      </c>
      <c r="H49" s="36" t="s">
        <v>12</v>
      </c>
    </row>
    <row r="50" spans="1:8" x14ac:dyDescent="0.2">
      <c r="A50" s="26"/>
      <c r="B50" s="26"/>
      <c r="C50" s="30"/>
      <c r="D50" s="26"/>
      <c r="E50" s="26"/>
      <c r="F50" s="31"/>
      <c r="G50" s="31"/>
      <c r="H50" s="36" t="s">
        <v>12</v>
      </c>
    </row>
    <row r="51" spans="1:8" x14ac:dyDescent="0.2">
      <c r="A51" s="26"/>
      <c r="B51" s="26"/>
      <c r="C51" s="27" t="s">
        <v>51</v>
      </c>
      <c r="D51" s="26"/>
      <c r="E51" s="26"/>
      <c r="F51" s="26"/>
      <c r="G51" s="26"/>
      <c r="H51" s="36" t="s">
        <v>12</v>
      </c>
    </row>
    <row r="52" spans="1:8" x14ac:dyDescent="0.2">
      <c r="A52" s="33">
        <v>1</v>
      </c>
      <c r="B52" s="34" t="s">
        <v>52</v>
      </c>
      <c r="C52" s="3" t="s">
        <v>53</v>
      </c>
      <c r="D52" s="34" t="s">
        <v>54</v>
      </c>
      <c r="E52" s="35">
        <v>3500000</v>
      </c>
      <c r="F52" s="36">
        <v>3532.13</v>
      </c>
      <c r="G52" s="37">
        <v>0.10728687000000001</v>
      </c>
      <c r="H52" s="36">
        <v>7.1642000000000001</v>
      </c>
    </row>
    <row r="53" spans="1:8" x14ac:dyDescent="0.2">
      <c r="A53" s="33">
        <v>2</v>
      </c>
      <c r="B53" s="34" t="s">
        <v>55</v>
      </c>
      <c r="C53" s="3" t="s">
        <v>56</v>
      </c>
      <c r="D53" s="34" t="s">
        <v>54</v>
      </c>
      <c r="E53" s="35">
        <v>2500000</v>
      </c>
      <c r="F53" s="36">
        <v>2536.4775</v>
      </c>
      <c r="G53" s="37">
        <v>7.7044370000000001E-2</v>
      </c>
      <c r="H53" s="36">
        <v>7.1550000000000002</v>
      </c>
    </row>
    <row r="54" spans="1:8" x14ac:dyDescent="0.2">
      <c r="A54" s="33">
        <v>3</v>
      </c>
      <c r="B54" s="34" t="s">
        <v>108</v>
      </c>
      <c r="C54" s="3" t="s">
        <v>109</v>
      </c>
      <c r="D54" s="34" t="s">
        <v>54</v>
      </c>
      <c r="E54" s="35">
        <v>1000000</v>
      </c>
      <c r="F54" s="36">
        <v>1013.634</v>
      </c>
      <c r="G54" s="37">
        <v>3.0788679999999999E-2</v>
      </c>
      <c r="H54" s="36">
        <v>7.1200999999999999</v>
      </c>
    </row>
    <row r="55" spans="1:8" x14ac:dyDescent="0.2">
      <c r="A55" s="26"/>
      <c r="B55" s="26"/>
      <c r="C55" s="27" t="s">
        <v>11</v>
      </c>
      <c r="D55" s="26"/>
      <c r="E55" s="26" t="s">
        <v>12</v>
      </c>
      <c r="F55" s="32">
        <v>7082.2415000000001</v>
      </c>
      <c r="G55" s="29">
        <v>0.21511991999999999</v>
      </c>
      <c r="H55" s="36" t="s">
        <v>12</v>
      </c>
    </row>
    <row r="56" spans="1:8" x14ac:dyDescent="0.2">
      <c r="A56" s="26"/>
      <c r="B56" s="26"/>
      <c r="C56" s="30"/>
      <c r="D56" s="26"/>
      <c r="E56" s="26"/>
      <c r="F56" s="31"/>
      <c r="G56" s="31"/>
      <c r="H56" s="36" t="s">
        <v>12</v>
      </c>
    </row>
    <row r="57" spans="1:8" x14ac:dyDescent="0.2">
      <c r="A57" s="26"/>
      <c r="B57" s="26"/>
      <c r="C57" s="27" t="s">
        <v>59</v>
      </c>
      <c r="D57" s="26"/>
      <c r="E57" s="26"/>
      <c r="F57" s="31"/>
      <c r="G57" s="31"/>
      <c r="H57" s="36" t="s">
        <v>12</v>
      </c>
    </row>
    <row r="58" spans="1:8" x14ac:dyDescent="0.2">
      <c r="A58" s="26"/>
      <c r="B58" s="26"/>
      <c r="C58" s="27" t="s">
        <v>11</v>
      </c>
      <c r="D58" s="26"/>
      <c r="E58" s="26" t="s">
        <v>12</v>
      </c>
      <c r="F58" s="28" t="s">
        <v>13</v>
      </c>
      <c r="G58" s="29">
        <v>0</v>
      </c>
      <c r="H58" s="36" t="s">
        <v>12</v>
      </c>
    </row>
    <row r="59" spans="1:8" x14ac:dyDescent="0.2">
      <c r="A59" s="26"/>
      <c r="B59" s="26"/>
      <c r="C59" s="30"/>
      <c r="D59" s="26"/>
      <c r="E59" s="26"/>
      <c r="F59" s="31"/>
      <c r="G59" s="31"/>
      <c r="H59" s="36" t="s">
        <v>12</v>
      </c>
    </row>
    <row r="60" spans="1:8" x14ac:dyDescent="0.2">
      <c r="A60" s="26"/>
      <c r="B60" s="26"/>
      <c r="C60" s="27" t="s">
        <v>60</v>
      </c>
      <c r="D60" s="26"/>
      <c r="E60" s="26"/>
      <c r="F60" s="32">
        <v>31905.500940000002</v>
      </c>
      <c r="G60" s="29">
        <v>0.96911535999999998</v>
      </c>
      <c r="H60" s="36" t="s">
        <v>12</v>
      </c>
    </row>
    <row r="61" spans="1:8" x14ac:dyDescent="0.2">
      <c r="A61" s="26"/>
      <c r="B61" s="26"/>
      <c r="C61" s="30"/>
      <c r="D61" s="26"/>
      <c r="E61" s="26"/>
      <c r="F61" s="31"/>
      <c r="G61" s="31"/>
      <c r="H61" s="36" t="s">
        <v>12</v>
      </c>
    </row>
    <row r="62" spans="1:8" x14ac:dyDescent="0.2">
      <c r="A62" s="26"/>
      <c r="B62" s="26"/>
      <c r="C62" s="27" t="s">
        <v>61</v>
      </c>
      <c r="D62" s="26"/>
      <c r="E62" s="26"/>
      <c r="F62" s="31"/>
      <c r="G62" s="31"/>
      <c r="H62" s="36" t="s">
        <v>12</v>
      </c>
    </row>
    <row r="63" spans="1:8" x14ac:dyDescent="0.2">
      <c r="A63" s="26"/>
      <c r="B63" s="26"/>
      <c r="C63" s="27" t="s">
        <v>62</v>
      </c>
      <c r="D63" s="26"/>
      <c r="E63" s="26"/>
      <c r="F63" s="31"/>
      <c r="G63" s="31"/>
      <c r="H63" s="36" t="s">
        <v>12</v>
      </c>
    </row>
    <row r="64" spans="1:8" x14ac:dyDescent="0.2">
      <c r="A64" s="26"/>
      <c r="B64" s="26"/>
      <c r="C64" s="27" t="s">
        <v>11</v>
      </c>
      <c r="D64" s="26"/>
      <c r="E64" s="26" t="s">
        <v>12</v>
      </c>
      <c r="F64" s="28" t="s">
        <v>13</v>
      </c>
      <c r="G64" s="29">
        <v>0</v>
      </c>
      <c r="H64" s="36" t="s">
        <v>12</v>
      </c>
    </row>
    <row r="65" spans="1:8" x14ac:dyDescent="0.2">
      <c r="A65" s="26"/>
      <c r="B65" s="26"/>
      <c r="C65" s="30"/>
      <c r="D65" s="26"/>
      <c r="E65" s="26"/>
      <c r="F65" s="31"/>
      <c r="G65" s="31"/>
      <c r="H65" s="36" t="s">
        <v>12</v>
      </c>
    </row>
    <row r="66" spans="1:8" x14ac:dyDescent="0.2">
      <c r="A66" s="26"/>
      <c r="B66" s="26"/>
      <c r="C66" s="27" t="s">
        <v>63</v>
      </c>
      <c r="D66" s="26"/>
      <c r="E66" s="26"/>
      <c r="F66" s="31"/>
      <c r="G66" s="31"/>
      <c r="H66" s="36" t="s">
        <v>12</v>
      </c>
    </row>
    <row r="67" spans="1:8" x14ac:dyDescent="0.2">
      <c r="A67" s="26"/>
      <c r="B67" s="26"/>
      <c r="C67" s="27" t="s">
        <v>11</v>
      </c>
      <c r="D67" s="26"/>
      <c r="E67" s="26" t="s">
        <v>12</v>
      </c>
      <c r="F67" s="28" t="s">
        <v>13</v>
      </c>
      <c r="G67" s="29">
        <v>0</v>
      </c>
      <c r="H67" s="36" t="s">
        <v>12</v>
      </c>
    </row>
    <row r="68" spans="1:8" x14ac:dyDescent="0.2">
      <c r="A68" s="26"/>
      <c r="B68" s="26"/>
      <c r="C68" s="30"/>
      <c r="D68" s="26"/>
      <c r="E68" s="26"/>
      <c r="F68" s="31"/>
      <c r="G68" s="31"/>
      <c r="H68" s="36" t="s">
        <v>12</v>
      </c>
    </row>
    <row r="69" spans="1:8" x14ac:dyDescent="0.2">
      <c r="A69" s="26"/>
      <c r="B69" s="26"/>
      <c r="C69" s="27" t="s">
        <v>64</v>
      </c>
      <c r="D69" s="26"/>
      <c r="E69" s="26"/>
      <c r="F69" s="31"/>
      <c r="G69" s="31"/>
      <c r="H69" s="36" t="s">
        <v>12</v>
      </c>
    </row>
    <row r="70" spans="1:8" x14ac:dyDescent="0.2">
      <c r="A70" s="26"/>
      <c r="B70" s="26"/>
      <c r="C70" s="27" t="s">
        <v>11</v>
      </c>
      <c r="D70" s="26"/>
      <c r="E70" s="26" t="s">
        <v>12</v>
      </c>
      <c r="F70" s="28" t="s">
        <v>13</v>
      </c>
      <c r="G70" s="29">
        <v>0</v>
      </c>
      <c r="H70" s="36" t="s">
        <v>12</v>
      </c>
    </row>
    <row r="71" spans="1:8" x14ac:dyDescent="0.2">
      <c r="A71" s="26"/>
      <c r="B71" s="26"/>
      <c r="C71" s="30"/>
      <c r="D71" s="26"/>
      <c r="E71" s="26"/>
      <c r="F71" s="31"/>
      <c r="G71" s="31"/>
      <c r="H71" s="36" t="s">
        <v>12</v>
      </c>
    </row>
    <row r="72" spans="1:8" x14ac:dyDescent="0.2">
      <c r="A72" s="26"/>
      <c r="B72" s="26"/>
      <c r="C72" s="27" t="s">
        <v>65</v>
      </c>
      <c r="D72" s="26"/>
      <c r="E72" s="26"/>
      <c r="F72" s="31"/>
      <c r="G72" s="31"/>
      <c r="H72" s="36" t="s">
        <v>12</v>
      </c>
    </row>
    <row r="73" spans="1:8" x14ac:dyDescent="0.2">
      <c r="A73" s="33">
        <v>1</v>
      </c>
      <c r="B73" s="34" t="s">
        <v>66</v>
      </c>
      <c r="C73" s="34" t="s">
        <v>66</v>
      </c>
      <c r="D73" s="34"/>
      <c r="E73" s="38"/>
      <c r="F73" s="36">
        <v>100.8495439</v>
      </c>
      <c r="G73" s="37">
        <v>3.0632599999999999E-3</v>
      </c>
      <c r="H73" s="36">
        <v>6.6841381571857204</v>
      </c>
    </row>
    <row r="74" spans="1:8" x14ac:dyDescent="0.2">
      <c r="A74" s="26"/>
      <c r="B74" s="26"/>
      <c r="C74" s="27" t="s">
        <v>11</v>
      </c>
      <c r="D74" s="26"/>
      <c r="E74" s="26" t="s">
        <v>12</v>
      </c>
      <c r="F74" s="32">
        <v>100.8495439</v>
      </c>
      <c r="G74" s="29">
        <v>3.0632599999999999E-3</v>
      </c>
      <c r="H74" s="36" t="s">
        <v>12</v>
      </c>
    </row>
    <row r="75" spans="1:8" x14ac:dyDescent="0.2">
      <c r="A75" s="26"/>
      <c r="B75" s="26"/>
      <c r="C75" s="30"/>
      <c r="D75" s="26"/>
      <c r="E75" s="26"/>
      <c r="F75" s="31"/>
      <c r="G75" s="31"/>
      <c r="H75" s="36" t="s">
        <v>12</v>
      </c>
    </row>
    <row r="76" spans="1:8" x14ac:dyDescent="0.2">
      <c r="A76" s="26"/>
      <c r="B76" s="26"/>
      <c r="C76" s="27" t="s">
        <v>67</v>
      </c>
      <c r="D76" s="26"/>
      <c r="E76" s="26"/>
      <c r="F76" s="32">
        <v>100.8495439</v>
      </c>
      <c r="G76" s="29">
        <v>3.0632599999999999E-3</v>
      </c>
      <c r="H76" s="36" t="s">
        <v>12</v>
      </c>
    </row>
    <row r="77" spans="1:8" x14ac:dyDescent="0.2">
      <c r="A77" s="26"/>
      <c r="B77" s="26"/>
      <c r="C77" s="31"/>
      <c r="D77" s="26"/>
      <c r="E77" s="26"/>
      <c r="F77" s="26"/>
      <c r="G77" s="26"/>
      <c r="H77" s="36" t="s">
        <v>12</v>
      </c>
    </row>
    <row r="78" spans="1:8" x14ac:dyDescent="0.2">
      <c r="A78" s="26"/>
      <c r="B78" s="26"/>
      <c r="C78" s="27" t="s">
        <v>68</v>
      </c>
      <c r="D78" s="26"/>
      <c r="E78" s="26"/>
      <c r="F78" s="26"/>
      <c r="G78" s="26"/>
      <c r="H78" s="36" t="s">
        <v>12</v>
      </c>
    </row>
    <row r="79" spans="1:8" x14ac:dyDescent="0.2">
      <c r="A79" s="26"/>
      <c r="B79" s="26"/>
      <c r="C79" s="27" t="s">
        <v>69</v>
      </c>
      <c r="D79" s="26"/>
      <c r="E79" s="26"/>
      <c r="F79" s="26"/>
      <c r="G79" s="26"/>
      <c r="H79" s="36" t="s">
        <v>12</v>
      </c>
    </row>
    <row r="80" spans="1:8" x14ac:dyDescent="0.2">
      <c r="A80" s="26"/>
      <c r="B80" s="26"/>
      <c r="C80" s="27" t="s">
        <v>11</v>
      </c>
      <c r="D80" s="26"/>
      <c r="E80" s="26" t="s">
        <v>12</v>
      </c>
      <c r="F80" s="28" t="s">
        <v>13</v>
      </c>
      <c r="G80" s="29">
        <v>0</v>
      </c>
      <c r="H80" s="36" t="s">
        <v>12</v>
      </c>
    </row>
    <row r="81" spans="1:18" x14ac:dyDescent="0.2">
      <c r="A81" s="26"/>
      <c r="B81" s="26"/>
      <c r="C81" s="30"/>
      <c r="D81" s="26"/>
      <c r="E81" s="26"/>
      <c r="F81" s="31"/>
      <c r="G81" s="31"/>
      <c r="H81" s="36" t="s">
        <v>12</v>
      </c>
    </row>
    <row r="82" spans="1:18" x14ac:dyDescent="0.2">
      <c r="A82" s="26"/>
      <c r="B82" s="26"/>
      <c r="C82" s="27" t="s">
        <v>72</v>
      </c>
      <c r="D82" s="26"/>
      <c r="E82" s="26"/>
      <c r="F82" s="26"/>
      <c r="G82" s="26"/>
      <c r="H82" s="36" t="s">
        <v>12</v>
      </c>
    </row>
    <row r="83" spans="1:18" x14ac:dyDescent="0.2">
      <c r="A83" s="26"/>
      <c r="B83" s="26"/>
      <c r="C83" s="27" t="s">
        <v>73</v>
      </c>
      <c r="D83" s="26"/>
      <c r="E83" s="26"/>
      <c r="F83" s="26"/>
      <c r="G83" s="26"/>
      <c r="H83" s="36" t="s">
        <v>12</v>
      </c>
    </row>
    <row r="84" spans="1:18" x14ac:dyDescent="0.2">
      <c r="A84" s="26"/>
      <c r="B84" s="26"/>
      <c r="C84" s="27" t="s">
        <v>11</v>
      </c>
      <c r="D84" s="26"/>
      <c r="E84" s="26" t="s">
        <v>12</v>
      </c>
      <c r="F84" s="28" t="s">
        <v>13</v>
      </c>
      <c r="G84" s="29">
        <v>0</v>
      </c>
      <c r="H84" s="36" t="s">
        <v>12</v>
      </c>
    </row>
    <row r="85" spans="1:18" x14ac:dyDescent="0.2">
      <c r="A85" s="26"/>
      <c r="B85" s="26"/>
      <c r="C85" s="30"/>
      <c r="D85" s="26"/>
      <c r="E85" s="26"/>
      <c r="F85" s="31"/>
      <c r="G85" s="31"/>
      <c r="H85" s="36" t="s">
        <v>12</v>
      </c>
    </row>
    <row r="86" spans="1:18" x14ac:dyDescent="0.2">
      <c r="A86" s="26"/>
      <c r="B86" s="26"/>
      <c r="C86" s="27" t="s">
        <v>74</v>
      </c>
      <c r="D86" s="26"/>
      <c r="E86" s="26"/>
      <c r="F86" s="31"/>
      <c r="G86" s="31"/>
      <c r="H86" s="36" t="s">
        <v>12</v>
      </c>
    </row>
    <row r="87" spans="1:18" x14ac:dyDescent="0.2">
      <c r="A87" s="26"/>
      <c r="B87" s="26"/>
      <c r="C87" s="27" t="s">
        <v>11</v>
      </c>
      <c r="D87" s="26"/>
      <c r="E87" s="26" t="s">
        <v>12</v>
      </c>
      <c r="F87" s="28" t="s">
        <v>13</v>
      </c>
      <c r="G87" s="29">
        <v>0</v>
      </c>
      <c r="H87" s="36" t="s">
        <v>12</v>
      </c>
    </row>
    <row r="88" spans="1:18" x14ac:dyDescent="0.2">
      <c r="A88" s="26"/>
      <c r="B88" s="26"/>
      <c r="C88" s="30"/>
      <c r="D88" s="26"/>
      <c r="E88" s="26"/>
      <c r="F88" s="31"/>
      <c r="G88" s="31"/>
      <c r="H88" s="36" t="s">
        <v>12</v>
      </c>
    </row>
    <row r="89" spans="1:18" x14ac:dyDescent="0.2">
      <c r="A89" s="48"/>
      <c r="B89" s="48"/>
      <c r="C89" s="49" t="s">
        <v>370</v>
      </c>
      <c r="D89" s="48"/>
      <c r="E89" s="48"/>
      <c r="F89" s="50"/>
      <c r="G89" s="50"/>
      <c r="H89" s="51"/>
      <c r="K89" s="52"/>
      <c r="L89" s="52"/>
      <c r="M89" s="52"/>
      <c r="N89" s="52"/>
      <c r="O89" s="52"/>
      <c r="P89" s="53"/>
      <c r="Q89" s="53"/>
      <c r="R89" s="53"/>
    </row>
    <row r="90" spans="1:18" x14ac:dyDescent="0.2">
      <c r="A90" s="33">
        <v>1</v>
      </c>
      <c r="B90" s="34" t="s">
        <v>70</v>
      </c>
      <c r="C90" s="34" t="s">
        <v>71</v>
      </c>
      <c r="D90" s="34"/>
      <c r="E90" s="40">
        <v>1138.2429999999999</v>
      </c>
      <c r="F90" s="36">
        <v>116.908599334</v>
      </c>
      <c r="G90" s="37">
        <v>3.55105E-3</v>
      </c>
      <c r="H90" s="36"/>
    </row>
    <row r="91" spans="1:18" x14ac:dyDescent="0.2">
      <c r="A91" s="26"/>
      <c r="B91" s="26"/>
      <c r="C91" s="27" t="s">
        <v>11</v>
      </c>
      <c r="D91" s="26"/>
      <c r="E91" s="26" t="s">
        <v>12</v>
      </c>
      <c r="F91" s="32">
        <v>116.908599334</v>
      </c>
      <c r="G91" s="29">
        <v>3.55105E-3</v>
      </c>
      <c r="H91" s="36" t="s">
        <v>12</v>
      </c>
    </row>
    <row r="92" spans="1:18" x14ac:dyDescent="0.2">
      <c r="A92" s="26"/>
      <c r="B92" s="34"/>
      <c r="C92" s="34"/>
      <c r="D92" s="27"/>
      <c r="E92" s="26"/>
      <c r="F92" s="34"/>
      <c r="G92" s="38"/>
      <c r="H92" s="36" t="s">
        <v>12</v>
      </c>
    </row>
    <row r="93" spans="1:18" x14ac:dyDescent="0.2">
      <c r="A93" s="38"/>
      <c r="B93" s="34"/>
      <c r="C93" s="34" t="s">
        <v>75</v>
      </c>
      <c r="D93" s="34"/>
      <c r="E93" s="38"/>
      <c r="F93" s="36">
        <v>799.03497966999998</v>
      </c>
      <c r="G93" s="37">
        <v>2.427033E-2</v>
      </c>
      <c r="H93" s="36" t="s">
        <v>12</v>
      </c>
    </row>
    <row r="94" spans="1:18" x14ac:dyDescent="0.2">
      <c r="A94" s="30"/>
      <c r="B94" s="30"/>
      <c r="C94" s="27" t="s">
        <v>76</v>
      </c>
      <c r="D94" s="31"/>
      <c r="E94" s="31"/>
      <c r="F94" s="32">
        <v>32922.294062904002</v>
      </c>
      <c r="G94" s="39">
        <v>1</v>
      </c>
      <c r="H94" s="36" t="s">
        <v>12</v>
      </c>
    </row>
    <row r="95" spans="1:18" x14ac:dyDescent="0.2">
      <c r="A95" s="5"/>
      <c r="B95" s="5"/>
      <c r="C95" s="5"/>
      <c r="D95" s="7"/>
      <c r="E95" s="7"/>
      <c r="F95" s="7"/>
      <c r="G95" s="7"/>
    </row>
    <row r="96" spans="1:18" x14ac:dyDescent="0.2">
      <c r="A96" s="54"/>
      <c r="B96" s="124" t="s">
        <v>371</v>
      </c>
      <c r="C96" s="124"/>
      <c r="D96" s="124"/>
      <c r="E96" s="124"/>
      <c r="F96" s="124"/>
      <c r="G96" s="124"/>
      <c r="H96" s="124"/>
    </row>
    <row r="97" spans="1:8" x14ac:dyDescent="0.2">
      <c r="A97" s="54"/>
      <c r="B97" s="124" t="s">
        <v>372</v>
      </c>
      <c r="C97" s="124"/>
      <c r="D97" s="124"/>
      <c r="E97" s="124"/>
      <c r="F97" s="124"/>
      <c r="G97" s="124"/>
      <c r="H97" s="124"/>
    </row>
    <row r="98" spans="1:8" x14ac:dyDescent="0.2">
      <c r="A98" s="54"/>
      <c r="B98" s="124" t="s">
        <v>373</v>
      </c>
      <c r="C98" s="124"/>
      <c r="D98" s="124"/>
      <c r="E98" s="124"/>
      <c r="F98" s="124"/>
      <c r="G98" s="124"/>
      <c r="H98" s="124"/>
    </row>
    <row r="99" spans="1:8" x14ac:dyDescent="0.2">
      <c r="A99" s="5"/>
      <c r="B99" s="5"/>
      <c r="C99" s="5"/>
      <c r="D99" s="7"/>
      <c r="E99" s="7"/>
      <c r="F99" s="7"/>
      <c r="G99" s="7"/>
    </row>
    <row r="100" spans="1:8" x14ac:dyDescent="0.2">
      <c r="A100" s="5"/>
      <c r="B100" s="119" t="s">
        <v>77</v>
      </c>
      <c r="C100" s="120"/>
      <c r="D100" s="121"/>
      <c r="E100" s="8"/>
      <c r="F100" s="7"/>
      <c r="G100" s="7"/>
    </row>
    <row r="101" spans="1:8" x14ac:dyDescent="0.2">
      <c r="A101" s="5"/>
      <c r="B101" s="122" t="s">
        <v>78</v>
      </c>
      <c r="C101" s="123"/>
      <c r="D101" s="1" t="s">
        <v>79</v>
      </c>
      <c r="E101" s="8"/>
      <c r="F101" s="7"/>
      <c r="G101" s="7"/>
    </row>
    <row r="102" spans="1:8" x14ac:dyDescent="0.2">
      <c r="A102" s="5"/>
      <c r="B102" s="122" t="s">
        <v>80</v>
      </c>
      <c r="C102" s="123"/>
      <c r="D102" s="1" t="s">
        <v>79</v>
      </c>
      <c r="E102" s="8"/>
      <c r="F102" s="7"/>
      <c r="G102" s="7"/>
    </row>
    <row r="103" spans="1:8" x14ac:dyDescent="0.2">
      <c r="A103" s="5"/>
      <c r="B103" s="122" t="s">
        <v>81</v>
      </c>
      <c r="C103" s="123"/>
      <c r="D103" s="2" t="s">
        <v>12</v>
      </c>
      <c r="E103" s="8"/>
      <c r="F103" s="7"/>
      <c r="G103" s="7"/>
    </row>
    <row r="104" spans="1:8" x14ac:dyDescent="0.2">
      <c r="A104" s="56"/>
      <c r="B104" s="103" t="s">
        <v>12</v>
      </c>
      <c r="C104" s="103" t="s">
        <v>574</v>
      </c>
      <c r="D104" s="103" t="s">
        <v>82</v>
      </c>
      <c r="E104" s="56"/>
      <c r="F104" s="56"/>
      <c r="G104" s="56"/>
      <c r="H104" s="104"/>
    </row>
    <row r="105" spans="1:8" x14ac:dyDescent="0.2">
      <c r="A105" s="9"/>
      <c r="B105" s="11" t="s">
        <v>83</v>
      </c>
      <c r="C105" s="10" t="s">
        <v>84</v>
      </c>
      <c r="D105" s="10" t="s">
        <v>85</v>
      </c>
      <c r="E105" s="9"/>
      <c r="F105" s="9"/>
      <c r="G105" s="9"/>
    </row>
    <row r="106" spans="1:8" x14ac:dyDescent="0.2">
      <c r="A106" s="9"/>
      <c r="B106" s="3" t="s">
        <v>86</v>
      </c>
      <c r="C106" s="12">
        <v>39.823700000000002</v>
      </c>
      <c r="D106" s="12">
        <v>39.945900000000002</v>
      </c>
      <c r="E106" s="9"/>
      <c r="F106" s="6"/>
      <c r="G106" s="13"/>
    </row>
    <row r="107" spans="1:8" x14ac:dyDescent="0.2">
      <c r="A107" s="9"/>
      <c r="B107" s="3" t="s">
        <v>110</v>
      </c>
      <c r="C107" s="12">
        <v>19.922499999999999</v>
      </c>
      <c r="D107" s="12">
        <v>19.983699999999999</v>
      </c>
      <c r="E107" s="9"/>
      <c r="F107" s="6"/>
      <c r="G107" s="13"/>
    </row>
    <row r="108" spans="1:8" ht="25.5" x14ac:dyDescent="0.2">
      <c r="A108" s="9"/>
      <c r="B108" s="3" t="s">
        <v>590</v>
      </c>
      <c r="C108" s="12">
        <v>10.23</v>
      </c>
      <c r="D108" s="12">
        <v>10.231999999999999</v>
      </c>
      <c r="E108" s="9"/>
      <c r="F108" s="6"/>
      <c r="G108" s="13"/>
    </row>
    <row r="109" spans="1:8" ht="25.5" x14ac:dyDescent="0.2">
      <c r="A109" s="9"/>
      <c r="B109" s="3" t="s">
        <v>591</v>
      </c>
      <c r="C109" s="12">
        <v>12.941000000000001</v>
      </c>
      <c r="D109" s="12">
        <v>12.9808</v>
      </c>
      <c r="E109" s="9"/>
      <c r="F109" s="6"/>
      <c r="G109" s="13"/>
    </row>
    <row r="110" spans="1:8" ht="25.5" x14ac:dyDescent="0.2">
      <c r="A110" s="9"/>
      <c r="B110" s="3" t="s">
        <v>583</v>
      </c>
      <c r="C110" s="12">
        <v>11.542</v>
      </c>
      <c r="D110" s="12">
        <v>11.5085</v>
      </c>
      <c r="E110" s="9"/>
      <c r="F110" s="6"/>
      <c r="G110" s="13"/>
    </row>
    <row r="111" spans="1:8" x14ac:dyDescent="0.2">
      <c r="A111" s="9"/>
      <c r="B111" s="3" t="s">
        <v>111</v>
      </c>
      <c r="C111" s="12">
        <v>35.438299999999998</v>
      </c>
      <c r="D111" s="12">
        <v>35.545099999999998</v>
      </c>
      <c r="E111" s="9"/>
      <c r="F111" s="6"/>
      <c r="G111" s="13"/>
    </row>
    <row r="112" spans="1:8" ht="25.5" x14ac:dyDescent="0.2">
      <c r="A112" s="9"/>
      <c r="B112" s="3" t="s">
        <v>592</v>
      </c>
      <c r="C112" s="12">
        <v>11.4992</v>
      </c>
      <c r="D112" s="12">
        <v>11.4664</v>
      </c>
      <c r="E112" s="9"/>
      <c r="F112" s="6"/>
      <c r="G112" s="13"/>
    </row>
    <row r="113" spans="1:15" x14ac:dyDescent="0.2">
      <c r="A113" s="9"/>
      <c r="B113" s="3" t="s">
        <v>87</v>
      </c>
      <c r="C113" s="12">
        <v>39.325400000000002</v>
      </c>
      <c r="D113" s="12">
        <v>39.443899999999999</v>
      </c>
      <c r="E113" s="9"/>
      <c r="F113" s="6"/>
      <c r="G113" s="13"/>
    </row>
    <row r="114" spans="1:15" x14ac:dyDescent="0.2">
      <c r="A114" s="9"/>
      <c r="B114" s="3" t="s">
        <v>112</v>
      </c>
      <c r="C114" s="12">
        <v>19.8307</v>
      </c>
      <c r="D114" s="12">
        <v>19.8904</v>
      </c>
      <c r="E114" s="9"/>
      <c r="F114" s="6"/>
      <c r="G114" s="13"/>
    </row>
    <row r="115" spans="1:15" ht="25.5" x14ac:dyDescent="0.2">
      <c r="A115" s="9"/>
      <c r="B115" s="3" t="s">
        <v>593</v>
      </c>
      <c r="C115" s="12">
        <v>10.355</v>
      </c>
      <c r="D115" s="12">
        <v>10.3569</v>
      </c>
      <c r="E115" s="9"/>
      <c r="F115" s="6"/>
      <c r="G115" s="13"/>
    </row>
    <row r="116" spans="1:15" ht="25.5" x14ac:dyDescent="0.2">
      <c r="A116" s="9"/>
      <c r="B116" s="3" t="s">
        <v>594</v>
      </c>
      <c r="C116" s="12">
        <v>12.104200000000001</v>
      </c>
      <c r="D116" s="12">
        <v>12.097099999999999</v>
      </c>
      <c r="E116" s="9"/>
      <c r="F116" s="6"/>
      <c r="G116" s="13"/>
    </row>
    <row r="117" spans="1:15" ht="25.5" x14ac:dyDescent="0.2">
      <c r="A117" s="9"/>
      <c r="B117" s="3" t="s">
        <v>586</v>
      </c>
      <c r="C117" s="12">
        <v>11.5945</v>
      </c>
      <c r="D117" s="12">
        <v>11.561400000000001</v>
      </c>
      <c r="E117" s="9"/>
      <c r="F117" s="6"/>
      <c r="G117" s="13"/>
    </row>
    <row r="118" spans="1:15" x14ac:dyDescent="0.2">
      <c r="A118" s="9"/>
      <c r="B118" s="9"/>
      <c r="C118" s="9"/>
      <c r="D118" s="9"/>
      <c r="E118" s="9"/>
      <c r="F118" s="9"/>
      <c r="G118" s="9"/>
    </row>
    <row r="119" spans="1:15" x14ac:dyDescent="0.2">
      <c r="A119" s="9"/>
      <c r="B119" s="122" t="s">
        <v>589</v>
      </c>
      <c r="C119" s="123"/>
      <c r="D119" s="1" t="s">
        <v>12</v>
      </c>
      <c r="E119" s="9"/>
      <c r="F119" s="9"/>
      <c r="G119" s="9"/>
    </row>
    <row r="120" spans="1:15" x14ac:dyDescent="0.2">
      <c r="A120" s="9"/>
      <c r="B120" s="14" t="s">
        <v>83</v>
      </c>
      <c r="C120" s="15" t="s">
        <v>88</v>
      </c>
      <c r="D120" s="15" t="s">
        <v>89</v>
      </c>
      <c r="E120" s="9"/>
      <c r="F120" s="9"/>
      <c r="G120" s="9"/>
    </row>
    <row r="121" spans="1:15" ht="25.5" x14ac:dyDescent="0.2">
      <c r="A121" s="9"/>
      <c r="B121" s="3" t="s">
        <v>604</v>
      </c>
      <c r="C121" s="16">
        <v>2.9388999999999998E-2</v>
      </c>
      <c r="D121" s="4" t="s">
        <v>90</v>
      </c>
      <c r="E121" s="9"/>
      <c r="F121" s="6"/>
      <c r="G121" s="13"/>
    </row>
    <row r="122" spans="1:15" ht="25.5" x14ac:dyDescent="0.2">
      <c r="A122" s="9"/>
      <c r="B122" s="3" t="s">
        <v>605</v>
      </c>
      <c r="C122" s="16">
        <v>6.8900000000000003E-2</v>
      </c>
      <c r="D122" s="4" t="s">
        <v>90</v>
      </c>
      <c r="E122" s="9"/>
      <c r="F122" s="6"/>
      <c r="G122" s="13"/>
    </row>
    <row r="123" spans="1:15" ht="25.5" x14ac:dyDescent="0.2">
      <c r="A123" s="9"/>
      <c r="B123" s="3" t="s">
        <v>606</v>
      </c>
      <c r="C123" s="16">
        <v>6.7400000000000002E-2</v>
      </c>
      <c r="D123" s="16">
        <v>6.7400000000000002E-2</v>
      </c>
      <c r="E123" s="9"/>
      <c r="F123" s="6"/>
      <c r="G123" s="13"/>
    </row>
    <row r="124" spans="1:15" ht="25.5" x14ac:dyDescent="0.2">
      <c r="A124" s="9"/>
      <c r="B124" s="3" t="s">
        <v>607</v>
      </c>
      <c r="C124" s="16">
        <v>2.9222000000000001E-2</v>
      </c>
      <c r="D124" s="4" t="s">
        <v>90</v>
      </c>
      <c r="E124" s="9"/>
      <c r="F124" s="6"/>
      <c r="G124" s="13"/>
    </row>
    <row r="125" spans="1:15" ht="25.5" x14ac:dyDescent="0.2">
      <c r="A125" s="9"/>
      <c r="B125" s="3" t="s">
        <v>608</v>
      </c>
      <c r="C125" s="16">
        <v>3.4099999999999998E-2</v>
      </c>
      <c r="D125" s="4" t="s">
        <v>90</v>
      </c>
      <c r="E125" s="9"/>
      <c r="F125" s="6"/>
      <c r="G125" s="13"/>
    </row>
    <row r="126" spans="1:15" ht="25.5" x14ac:dyDescent="0.2">
      <c r="A126" s="9"/>
      <c r="B126" s="3" t="s">
        <v>609</v>
      </c>
      <c r="C126" s="16">
        <v>6.8000000000000005E-2</v>
      </c>
      <c r="D126" s="16">
        <v>6.8000000000000005E-2</v>
      </c>
      <c r="E126" s="9"/>
      <c r="F126" s="6"/>
      <c r="G126" s="13"/>
    </row>
    <row r="127" spans="1:15" x14ac:dyDescent="0.2">
      <c r="A127" s="9"/>
      <c r="B127" s="6"/>
      <c r="C127" s="6"/>
      <c r="D127" s="9"/>
      <c r="E127" s="9"/>
      <c r="F127" s="9"/>
      <c r="G127" s="9"/>
    </row>
    <row r="128" spans="1:15" s="59" customFormat="1" x14ac:dyDescent="0.2">
      <c r="A128" s="67"/>
      <c r="B128" s="129" t="s">
        <v>387</v>
      </c>
      <c r="C128" s="130"/>
      <c r="D128" s="57" t="s">
        <v>79</v>
      </c>
      <c r="E128" s="67"/>
      <c r="F128" s="55"/>
      <c r="G128" s="67"/>
      <c r="I128"/>
      <c r="J128" s="23"/>
      <c r="K128" s="52"/>
      <c r="L128" s="52"/>
      <c r="M128" s="52"/>
      <c r="N128" s="52"/>
      <c r="O128" s="68"/>
    </row>
    <row r="129" spans="1:18" x14ac:dyDescent="0.2">
      <c r="A129" s="56"/>
      <c r="B129" s="129" t="s">
        <v>388</v>
      </c>
      <c r="C129" s="130"/>
      <c r="D129" s="57" t="s">
        <v>79</v>
      </c>
      <c r="E129" s="58"/>
      <c r="F129" s="56"/>
      <c r="G129" s="56"/>
      <c r="J129" s="52"/>
    </row>
    <row r="130" spans="1:18" x14ac:dyDescent="0.2">
      <c r="A130" s="56"/>
      <c r="B130" s="129" t="s">
        <v>389</v>
      </c>
      <c r="C130" s="130"/>
      <c r="D130" s="57" t="s">
        <v>79</v>
      </c>
      <c r="E130" s="58"/>
      <c r="F130" s="56"/>
      <c r="G130" s="56"/>
    </row>
    <row r="131" spans="1:18" x14ac:dyDescent="0.2">
      <c r="A131" s="56"/>
      <c r="B131" s="129" t="s">
        <v>390</v>
      </c>
      <c r="C131" s="130"/>
      <c r="D131" s="57" t="s">
        <v>79</v>
      </c>
      <c r="E131" s="58"/>
      <c r="F131" s="56"/>
      <c r="G131" s="56"/>
    </row>
    <row r="132" spans="1:18" x14ac:dyDescent="0.2">
      <c r="A132" s="19"/>
      <c r="B132" s="19"/>
      <c r="C132" s="19"/>
      <c r="D132" s="19"/>
      <c r="E132" s="19"/>
      <c r="F132" s="19"/>
      <c r="G132" s="19"/>
    </row>
    <row r="133" spans="1:18" s="59" customFormat="1" x14ac:dyDescent="0.2">
      <c r="B133" s="125" t="s">
        <v>375</v>
      </c>
      <c r="C133" s="126"/>
      <c r="D133" s="127"/>
      <c r="I133"/>
      <c r="J133" s="23"/>
      <c r="K133" s="52"/>
      <c r="L133" s="52"/>
      <c r="M133" s="52"/>
      <c r="N133" s="52"/>
      <c r="O133" s="68"/>
    </row>
    <row r="134" spans="1:18" s="59" customFormat="1" ht="38.25" x14ac:dyDescent="0.2">
      <c r="B134" s="139" t="s">
        <v>376</v>
      </c>
      <c r="C134" s="139"/>
      <c r="D134" s="60" t="s">
        <v>93</v>
      </c>
      <c r="I134"/>
      <c r="J134" s="23"/>
      <c r="K134" s="52"/>
      <c r="L134" s="52"/>
      <c r="M134" s="52"/>
      <c r="N134" s="52"/>
      <c r="O134" s="68"/>
    </row>
    <row r="135" spans="1:18" s="59" customFormat="1" x14ac:dyDescent="0.2">
      <c r="B135" s="138" t="s">
        <v>377</v>
      </c>
      <c r="C135" s="138"/>
      <c r="D135" s="61"/>
      <c r="I135"/>
      <c r="J135" s="23"/>
      <c r="K135" s="52"/>
      <c r="L135" s="52"/>
      <c r="M135" s="52"/>
      <c r="N135" s="52"/>
      <c r="O135" s="68"/>
    </row>
    <row r="136" spans="1:18" s="59" customFormat="1" x14ac:dyDescent="0.2">
      <c r="B136" s="138"/>
      <c r="C136" s="138"/>
      <c r="D136" s="62"/>
      <c r="I136"/>
      <c r="J136" s="23"/>
      <c r="K136" s="52"/>
      <c r="L136" s="52"/>
      <c r="M136" s="52"/>
      <c r="N136" s="52"/>
      <c r="O136" s="68"/>
    </row>
    <row r="137" spans="1:18" s="59" customFormat="1" x14ac:dyDescent="0.2">
      <c r="B137" s="138" t="s">
        <v>378</v>
      </c>
      <c r="C137" s="138"/>
      <c r="D137" s="69">
        <v>7.5364458577186628</v>
      </c>
      <c r="I137"/>
      <c r="J137" s="23"/>
      <c r="K137" s="52"/>
      <c r="L137" s="52"/>
      <c r="M137" s="52"/>
      <c r="N137" s="52"/>
      <c r="O137" s="68"/>
    </row>
    <row r="138" spans="1:18" s="59" customFormat="1" x14ac:dyDescent="0.2">
      <c r="B138" s="138"/>
      <c r="C138" s="138"/>
      <c r="D138" s="62"/>
      <c r="I138"/>
      <c r="J138" s="23"/>
      <c r="K138" s="52"/>
      <c r="L138" s="52"/>
      <c r="M138" s="52"/>
      <c r="N138" s="52"/>
      <c r="O138" s="68"/>
    </row>
    <row r="139" spans="1:18" s="59" customFormat="1" x14ac:dyDescent="0.2">
      <c r="B139" s="138" t="s">
        <v>379</v>
      </c>
      <c r="C139" s="138"/>
      <c r="D139" s="69">
        <v>3.2796791050803029</v>
      </c>
      <c r="I139"/>
      <c r="J139" s="23"/>
      <c r="K139" s="52"/>
      <c r="L139" s="52"/>
      <c r="M139" s="52"/>
      <c r="N139" s="52"/>
      <c r="O139" s="68"/>
    </row>
    <row r="140" spans="1:18" s="59" customFormat="1" x14ac:dyDescent="0.2">
      <c r="B140" s="138" t="s">
        <v>380</v>
      </c>
      <c r="C140" s="138"/>
      <c r="D140" s="69">
        <v>3.9289627173382935</v>
      </c>
      <c r="I140"/>
      <c r="J140" s="23"/>
      <c r="K140" s="52"/>
      <c r="L140" s="52"/>
      <c r="M140" s="52"/>
      <c r="N140" s="52"/>
      <c r="O140" s="68"/>
    </row>
    <row r="141" spans="1:18" s="59" customFormat="1" x14ac:dyDescent="0.2">
      <c r="B141" s="138"/>
      <c r="C141" s="138"/>
      <c r="D141" s="62"/>
      <c r="I141"/>
      <c r="J141" s="23"/>
      <c r="K141" s="52"/>
      <c r="L141" s="52"/>
      <c r="M141" s="52"/>
      <c r="N141" s="52"/>
      <c r="O141" s="68"/>
      <c r="R141"/>
    </row>
    <row r="142" spans="1:18" s="59" customFormat="1" x14ac:dyDescent="0.2">
      <c r="B142" s="138" t="s">
        <v>381</v>
      </c>
      <c r="C142" s="138"/>
      <c r="D142" s="64" t="s">
        <v>599</v>
      </c>
      <c r="I142"/>
      <c r="J142" s="23"/>
      <c r="K142" s="52"/>
      <c r="L142" s="52"/>
      <c r="M142" s="52"/>
      <c r="N142" s="52"/>
      <c r="O142" s="68"/>
      <c r="R142"/>
    </row>
    <row r="143" spans="1:18" s="59" customFormat="1" x14ac:dyDescent="0.2">
      <c r="B143" s="135" t="s">
        <v>382</v>
      </c>
      <c r="C143" s="136"/>
      <c r="D143" s="137"/>
      <c r="I143"/>
      <c r="J143" s="23"/>
      <c r="K143" s="52"/>
      <c r="L143" s="52"/>
      <c r="M143" s="52"/>
      <c r="N143" s="52"/>
      <c r="O143" s="68"/>
      <c r="R143"/>
    </row>
  </sheetData>
  <mergeCells count="26">
    <mergeCell ref="B143:D143"/>
    <mergeCell ref="B139:C139"/>
    <mergeCell ref="B140:C140"/>
    <mergeCell ref="B141:C141"/>
    <mergeCell ref="B131:C131"/>
    <mergeCell ref="B133:D133"/>
    <mergeCell ref="B142:C142"/>
    <mergeCell ref="B134:C134"/>
    <mergeCell ref="B135:C135"/>
    <mergeCell ref="B136:C136"/>
    <mergeCell ref="B137:C137"/>
    <mergeCell ref="B138:C138"/>
    <mergeCell ref="B129:C129"/>
    <mergeCell ref="B130:C130"/>
    <mergeCell ref="A1:H1"/>
    <mergeCell ref="A2:H2"/>
    <mergeCell ref="A3:H3"/>
    <mergeCell ref="B100:D100"/>
    <mergeCell ref="B101:C101"/>
    <mergeCell ref="B102:C102"/>
    <mergeCell ref="B103:C103"/>
    <mergeCell ref="B119:C119"/>
    <mergeCell ref="B128:C128"/>
    <mergeCell ref="B96:H96"/>
    <mergeCell ref="B97:H97"/>
    <mergeCell ref="B98:H98"/>
  </mergeCells>
  <hyperlinks>
    <hyperlink ref="I1" location="Index!B3" display="Index" xr:uid="{57BAF98F-E555-4610-9055-74DB86D3E5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F3978-4229-49FA-951C-7BA4CD24A617}">
  <sheetPr>
    <outlinePr summaryBelow="0" summaryRight="0"/>
  </sheetPr>
  <dimension ref="A1:R141"/>
  <sheetViews>
    <sheetView showGridLines="0" tabSelected="1" topLeftCell="A64" workbookViewId="0">
      <selection activeCell="H73" sqref="A73:XFD73"/>
    </sheetView>
  </sheetViews>
  <sheetFormatPr defaultRowHeight="12.75" x14ac:dyDescent="0.2"/>
  <cols>
    <col min="1" max="1" width="5.85546875" bestFit="1" customWidth="1"/>
    <col min="2" max="2" width="20.28515625" bestFit="1" customWidth="1"/>
    <col min="3" max="3" width="43.7109375" customWidth="1"/>
    <col min="4" max="4" width="10.7109375" bestFit="1" customWidth="1"/>
    <col min="5" max="5" width="8.7109375" bestFit="1" customWidth="1"/>
    <col min="6" max="6" width="10.140625" bestFit="1" customWidth="1"/>
    <col min="7" max="7" width="14" bestFit="1" customWidth="1"/>
    <col min="8" max="8" width="8.85546875" bestFit="1"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113</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356</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x14ac:dyDescent="0.2">
      <c r="A14" s="26"/>
      <c r="B14" s="26"/>
      <c r="C14" s="30"/>
      <c r="D14" s="26"/>
      <c r="E14" s="26"/>
      <c r="F14" s="31"/>
      <c r="G14" s="31"/>
      <c r="H14" s="36" t="s">
        <v>12</v>
      </c>
    </row>
    <row r="15" spans="1:10" ht="25.5" x14ac:dyDescent="0.2">
      <c r="A15" s="26"/>
      <c r="B15" s="26"/>
      <c r="C15" s="27" t="s">
        <v>16</v>
      </c>
      <c r="D15" s="26"/>
      <c r="E15" s="26"/>
      <c r="F15" s="26"/>
      <c r="G15" s="26"/>
      <c r="H15" s="36" t="s">
        <v>12</v>
      </c>
      <c r="J15" s="66" t="s">
        <v>392</v>
      </c>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x14ac:dyDescent="0.2">
      <c r="A27" s="26"/>
      <c r="B27" s="26"/>
      <c r="C27" s="27" t="s">
        <v>10</v>
      </c>
      <c r="D27" s="26"/>
      <c r="E27" s="26"/>
      <c r="F27" s="31"/>
      <c r="G27" s="31"/>
      <c r="H27" s="36" t="s">
        <v>12</v>
      </c>
    </row>
    <row r="28" spans="1:10" ht="25.5" x14ac:dyDescent="0.2">
      <c r="A28" s="26"/>
      <c r="B28" s="26"/>
      <c r="C28" s="27" t="s">
        <v>11</v>
      </c>
      <c r="D28" s="26"/>
      <c r="E28" s="26" t="s">
        <v>12</v>
      </c>
      <c r="F28" s="28" t="s">
        <v>13</v>
      </c>
      <c r="G28" s="29">
        <v>0</v>
      </c>
      <c r="H28" s="36" t="s">
        <v>12</v>
      </c>
      <c r="J28" s="66" t="s">
        <v>393</v>
      </c>
    </row>
    <row r="29" spans="1:10" x14ac:dyDescent="0.2">
      <c r="A29" s="26"/>
      <c r="B29" s="26"/>
      <c r="C29" s="30"/>
      <c r="D29" s="26"/>
      <c r="E29" s="26"/>
      <c r="F29" s="31"/>
      <c r="G29" s="31"/>
      <c r="H29" s="36" t="s">
        <v>12</v>
      </c>
      <c r="J29" s="66"/>
    </row>
    <row r="30" spans="1:10" x14ac:dyDescent="0.2">
      <c r="A30" s="26"/>
      <c r="B30" s="26"/>
      <c r="C30" s="27" t="s">
        <v>50</v>
      </c>
      <c r="D30" s="26"/>
      <c r="E30" s="26"/>
      <c r="F30" s="26"/>
      <c r="G30" s="26"/>
      <c r="H30" s="36" t="s">
        <v>12</v>
      </c>
    </row>
    <row r="31" spans="1:10" x14ac:dyDescent="0.2">
      <c r="A31" s="26"/>
      <c r="B31" s="26"/>
      <c r="C31" s="27" t="s">
        <v>11</v>
      </c>
      <c r="D31" s="26"/>
      <c r="E31" s="26" t="s">
        <v>12</v>
      </c>
      <c r="F31" s="28" t="s">
        <v>13</v>
      </c>
      <c r="G31" s="29">
        <v>0</v>
      </c>
      <c r="H31" s="36" t="s">
        <v>12</v>
      </c>
    </row>
    <row r="32" spans="1:10" x14ac:dyDescent="0.2">
      <c r="A32" s="26"/>
      <c r="B32" s="26"/>
      <c r="C32" s="30"/>
      <c r="D32" s="26"/>
      <c r="E32" s="26"/>
      <c r="F32" s="31"/>
      <c r="G32" s="31"/>
      <c r="H32" s="36" t="s">
        <v>12</v>
      </c>
    </row>
    <row r="33" spans="1:8" x14ac:dyDescent="0.2">
      <c r="A33" s="26"/>
      <c r="B33" s="26"/>
      <c r="C33" s="27" t="s">
        <v>51</v>
      </c>
      <c r="D33" s="26"/>
      <c r="E33" s="26"/>
      <c r="F33" s="26"/>
      <c r="G33" s="26"/>
      <c r="H33" s="36" t="s">
        <v>12</v>
      </c>
    </row>
    <row r="34" spans="1:8" x14ac:dyDescent="0.2">
      <c r="A34" s="26"/>
      <c r="B34" s="26"/>
      <c r="C34" s="27" t="s">
        <v>11</v>
      </c>
      <c r="D34" s="26"/>
      <c r="E34" s="26" t="s">
        <v>12</v>
      </c>
      <c r="F34" s="28" t="s">
        <v>13</v>
      </c>
      <c r="G34" s="29">
        <v>0</v>
      </c>
      <c r="H34" s="36" t="s">
        <v>12</v>
      </c>
    </row>
    <row r="35" spans="1:8" x14ac:dyDescent="0.2">
      <c r="A35" s="26"/>
      <c r="B35" s="26"/>
      <c r="C35" s="30"/>
      <c r="D35" s="26"/>
      <c r="E35" s="26"/>
      <c r="F35" s="31"/>
      <c r="G35" s="31"/>
      <c r="H35" s="36" t="s">
        <v>12</v>
      </c>
    </row>
    <row r="36" spans="1:8" x14ac:dyDescent="0.2">
      <c r="A36" s="26"/>
      <c r="B36" s="26"/>
      <c r="C36" s="27" t="s">
        <v>59</v>
      </c>
      <c r="D36" s="26"/>
      <c r="E36" s="26"/>
      <c r="F36" s="31"/>
      <c r="G36" s="31"/>
      <c r="H36" s="36" t="s">
        <v>12</v>
      </c>
    </row>
    <row r="37" spans="1:8" x14ac:dyDescent="0.2">
      <c r="A37" s="26"/>
      <c r="B37" s="26"/>
      <c r="C37" s="27" t="s">
        <v>11</v>
      </c>
      <c r="D37" s="26"/>
      <c r="E37" s="26" t="s">
        <v>12</v>
      </c>
      <c r="F37" s="28" t="s">
        <v>13</v>
      </c>
      <c r="G37" s="29">
        <v>0</v>
      </c>
      <c r="H37" s="36" t="s">
        <v>12</v>
      </c>
    </row>
    <row r="38" spans="1:8" x14ac:dyDescent="0.2">
      <c r="A38" s="26"/>
      <c r="B38" s="26"/>
      <c r="C38" s="30"/>
      <c r="D38" s="26"/>
      <c r="E38" s="26"/>
      <c r="F38" s="31"/>
      <c r="G38" s="31"/>
      <c r="H38" s="36" t="s">
        <v>12</v>
      </c>
    </row>
    <row r="39" spans="1:8" x14ac:dyDescent="0.2">
      <c r="A39" s="26"/>
      <c r="B39" s="26"/>
      <c r="C39" s="27" t="s">
        <v>60</v>
      </c>
      <c r="D39" s="26"/>
      <c r="E39" s="26"/>
      <c r="F39" s="32">
        <v>0</v>
      </c>
      <c r="G39" s="29">
        <v>0</v>
      </c>
      <c r="H39" s="36" t="s">
        <v>12</v>
      </c>
    </row>
    <row r="40" spans="1:8" x14ac:dyDescent="0.2">
      <c r="A40" s="26"/>
      <c r="B40" s="26"/>
      <c r="C40" s="30"/>
      <c r="D40" s="26"/>
      <c r="E40" s="26"/>
      <c r="F40" s="31"/>
      <c r="G40" s="31"/>
      <c r="H40" s="36" t="s">
        <v>12</v>
      </c>
    </row>
    <row r="41" spans="1:8" x14ac:dyDescent="0.2">
      <c r="A41" s="26"/>
      <c r="B41" s="26"/>
      <c r="C41" s="27" t="s">
        <v>61</v>
      </c>
      <c r="D41" s="26"/>
      <c r="E41" s="26"/>
      <c r="F41" s="31"/>
      <c r="G41" s="31"/>
      <c r="H41" s="36" t="s">
        <v>12</v>
      </c>
    </row>
    <row r="42" spans="1:8" x14ac:dyDescent="0.2">
      <c r="A42" s="26"/>
      <c r="B42" s="26"/>
      <c r="C42" s="27" t="s">
        <v>62</v>
      </c>
      <c r="D42" s="26"/>
      <c r="E42" s="26"/>
      <c r="F42" s="31"/>
      <c r="G42" s="31"/>
      <c r="H42" s="36" t="s">
        <v>12</v>
      </c>
    </row>
    <row r="43" spans="1:8" x14ac:dyDescent="0.2">
      <c r="A43" s="33">
        <v>1</v>
      </c>
      <c r="B43" s="34" t="s">
        <v>114</v>
      </c>
      <c r="C43" s="3" t="s">
        <v>457</v>
      </c>
      <c r="D43" s="34" t="s">
        <v>115</v>
      </c>
      <c r="E43" s="35">
        <v>300</v>
      </c>
      <c r="F43" s="36">
        <v>1427.175</v>
      </c>
      <c r="G43" s="37">
        <v>5.8139629999999998E-2</v>
      </c>
      <c r="H43" s="36">
        <v>7.48</v>
      </c>
    </row>
    <row r="44" spans="1:8" x14ac:dyDescent="0.2">
      <c r="A44" s="33">
        <v>2</v>
      </c>
      <c r="B44" s="34" t="s">
        <v>116</v>
      </c>
      <c r="C44" s="3" t="s">
        <v>458</v>
      </c>
      <c r="D44" s="34" t="s">
        <v>117</v>
      </c>
      <c r="E44" s="35">
        <v>300</v>
      </c>
      <c r="F44" s="36">
        <v>1424.4704999999999</v>
      </c>
      <c r="G44" s="37">
        <v>5.8029450000000003E-2</v>
      </c>
      <c r="H44" s="36">
        <v>7.56</v>
      </c>
    </row>
    <row r="45" spans="1:8" x14ac:dyDescent="0.2">
      <c r="A45" s="33">
        <v>3</v>
      </c>
      <c r="B45" s="34" t="s">
        <v>118</v>
      </c>
      <c r="C45" s="3" t="s">
        <v>459</v>
      </c>
      <c r="D45" s="34" t="s">
        <v>117</v>
      </c>
      <c r="E45" s="35">
        <v>300</v>
      </c>
      <c r="F45" s="36">
        <v>1419.2204999999999</v>
      </c>
      <c r="G45" s="37">
        <v>5.7815579999999998E-2</v>
      </c>
      <c r="H45" s="36">
        <v>7.5</v>
      </c>
    </row>
    <row r="46" spans="1:8" x14ac:dyDescent="0.2">
      <c r="A46" s="33">
        <v>4</v>
      </c>
      <c r="B46" s="34" t="s">
        <v>119</v>
      </c>
      <c r="C46" s="3" t="s">
        <v>460</v>
      </c>
      <c r="D46" s="34" t="s">
        <v>117</v>
      </c>
      <c r="E46" s="35">
        <v>300</v>
      </c>
      <c r="F46" s="36">
        <v>1399.8240000000001</v>
      </c>
      <c r="G46" s="37">
        <v>5.7025409999999999E-2</v>
      </c>
      <c r="H46" s="36">
        <v>7.66</v>
      </c>
    </row>
    <row r="47" spans="1:8" x14ac:dyDescent="0.2">
      <c r="A47" s="33">
        <v>5</v>
      </c>
      <c r="B47" s="34" t="s">
        <v>120</v>
      </c>
      <c r="C47" s="3" t="s">
        <v>461</v>
      </c>
      <c r="D47" s="34" t="s">
        <v>117</v>
      </c>
      <c r="E47" s="35">
        <v>200</v>
      </c>
      <c r="F47" s="36">
        <v>964.67700000000002</v>
      </c>
      <c r="G47" s="37">
        <v>3.9298590000000001E-2</v>
      </c>
      <c r="H47" s="36">
        <v>7.4249999999999998</v>
      </c>
    </row>
    <row r="48" spans="1:8" ht="25.5" x14ac:dyDescent="0.2">
      <c r="A48" s="33">
        <v>6</v>
      </c>
      <c r="B48" s="34" t="s">
        <v>121</v>
      </c>
      <c r="C48" s="3" t="s">
        <v>462</v>
      </c>
      <c r="D48" s="34" t="s">
        <v>117</v>
      </c>
      <c r="E48" s="35">
        <v>200</v>
      </c>
      <c r="F48" s="36">
        <v>952.30700000000002</v>
      </c>
      <c r="G48" s="37">
        <v>3.8794660000000002E-2</v>
      </c>
      <c r="H48" s="36">
        <v>7.585</v>
      </c>
    </row>
    <row r="49" spans="1:8" x14ac:dyDescent="0.2">
      <c r="A49" s="33">
        <v>7</v>
      </c>
      <c r="B49" s="34" t="s">
        <v>122</v>
      </c>
      <c r="C49" s="3" t="s">
        <v>463</v>
      </c>
      <c r="D49" s="34" t="s">
        <v>117</v>
      </c>
      <c r="E49" s="35">
        <v>200</v>
      </c>
      <c r="F49" s="36">
        <v>951.02800000000002</v>
      </c>
      <c r="G49" s="37">
        <v>3.8742560000000002E-2</v>
      </c>
      <c r="H49" s="36">
        <v>7.5483000000000002</v>
      </c>
    </row>
    <row r="50" spans="1:8" x14ac:dyDescent="0.2">
      <c r="A50" s="33">
        <v>8</v>
      </c>
      <c r="B50" s="34" t="s">
        <v>123</v>
      </c>
      <c r="C50" s="3" t="s">
        <v>464</v>
      </c>
      <c r="D50" s="34" t="s">
        <v>117</v>
      </c>
      <c r="E50" s="35">
        <v>200</v>
      </c>
      <c r="F50" s="36">
        <v>950.27099999999996</v>
      </c>
      <c r="G50" s="37">
        <v>3.8711719999999998E-2</v>
      </c>
      <c r="H50" s="36">
        <v>7.52</v>
      </c>
    </row>
    <row r="51" spans="1:8" x14ac:dyDescent="0.2">
      <c r="A51" s="33">
        <v>9</v>
      </c>
      <c r="B51" s="34" t="s">
        <v>124</v>
      </c>
      <c r="C51" s="3" t="s">
        <v>465</v>
      </c>
      <c r="D51" s="34" t="s">
        <v>117</v>
      </c>
      <c r="E51" s="35">
        <v>200</v>
      </c>
      <c r="F51" s="36">
        <v>947.89400000000001</v>
      </c>
      <c r="G51" s="37">
        <v>3.8614889999999999E-2</v>
      </c>
      <c r="H51" s="36">
        <v>7.6</v>
      </c>
    </row>
    <row r="52" spans="1:8" x14ac:dyDescent="0.2">
      <c r="A52" s="33">
        <v>10</v>
      </c>
      <c r="B52" s="34" t="s">
        <v>125</v>
      </c>
      <c r="C52" s="3" t="s">
        <v>466</v>
      </c>
      <c r="D52" s="34" t="s">
        <v>117</v>
      </c>
      <c r="E52" s="35">
        <v>140</v>
      </c>
      <c r="F52" s="36">
        <v>665.21349999999995</v>
      </c>
      <c r="G52" s="37">
        <v>2.709918E-2</v>
      </c>
      <c r="H52" s="36">
        <v>7.6349999999999998</v>
      </c>
    </row>
    <row r="53" spans="1:8" x14ac:dyDescent="0.2">
      <c r="A53" s="33">
        <v>11</v>
      </c>
      <c r="B53" s="34" t="s">
        <v>126</v>
      </c>
      <c r="C53" s="3" t="s">
        <v>467</v>
      </c>
      <c r="D53" s="34" t="s">
        <v>117</v>
      </c>
      <c r="E53" s="35">
        <v>140</v>
      </c>
      <c r="F53" s="36">
        <v>664.96990000000005</v>
      </c>
      <c r="G53" s="37">
        <v>2.7089249999999999E-2</v>
      </c>
      <c r="H53" s="36">
        <v>7.6</v>
      </c>
    </row>
    <row r="54" spans="1:8" x14ac:dyDescent="0.2">
      <c r="A54" s="33">
        <v>12</v>
      </c>
      <c r="B54" s="34" t="s">
        <v>127</v>
      </c>
      <c r="C54" s="3" t="s">
        <v>468</v>
      </c>
      <c r="D54" s="34" t="s">
        <v>128</v>
      </c>
      <c r="E54" s="35">
        <v>100</v>
      </c>
      <c r="F54" s="36">
        <v>477.57299999999998</v>
      </c>
      <c r="G54" s="37">
        <v>1.9455159999999999E-2</v>
      </c>
      <c r="H54" s="36">
        <v>7.4850000000000003</v>
      </c>
    </row>
    <row r="55" spans="1:8" x14ac:dyDescent="0.2">
      <c r="A55" s="33">
        <v>13</v>
      </c>
      <c r="B55" s="34" t="s">
        <v>129</v>
      </c>
      <c r="C55" s="3" t="s">
        <v>469</v>
      </c>
      <c r="D55" s="34" t="s">
        <v>117</v>
      </c>
      <c r="E55" s="35">
        <v>100</v>
      </c>
      <c r="F55" s="36">
        <v>476.80700000000002</v>
      </c>
      <c r="G55" s="37">
        <v>1.9423949999999999E-2</v>
      </c>
      <c r="H55" s="36">
        <v>7.62</v>
      </c>
    </row>
    <row r="56" spans="1:8" x14ac:dyDescent="0.2">
      <c r="A56" s="33">
        <v>14</v>
      </c>
      <c r="B56" s="34" t="s">
        <v>130</v>
      </c>
      <c r="C56" s="3" t="s">
        <v>470</v>
      </c>
      <c r="D56" s="34" t="s">
        <v>128</v>
      </c>
      <c r="E56" s="35">
        <v>100</v>
      </c>
      <c r="F56" s="36">
        <v>474.88650000000001</v>
      </c>
      <c r="G56" s="37">
        <v>1.934572E-2</v>
      </c>
      <c r="H56" s="36">
        <v>7.54</v>
      </c>
    </row>
    <row r="57" spans="1:8" x14ac:dyDescent="0.2">
      <c r="A57" s="26"/>
      <c r="B57" s="26"/>
      <c r="C57" s="1" t="s">
        <v>11</v>
      </c>
      <c r="D57" s="26"/>
      <c r="E57" s="26" t="s">
        <v>12</v>
      </c>
      <c r="F57" s="32">
        <v>13196.3169</v>
      </c>
      <c r="G57" s="29">
        <v>0.53758574999999997</v>
      </c>
      <c r="H57" s="36" t="s">
        <v>12</v>
      </c>
    </row>
    <row r="58" spans="1:8" x14ac:dyDescent="0.2">
      <c r="A58" s="26"/>
      <c r="B58" s="26"/>
      <c r="C58" s="102"/>
      <c r="D58" s="26"/>
      <c r="E58" s="26"/>
      <c r="F58" s="31"/>
      <c r="G58" s="31"/>
      <c r="H58" s="36" t="s">
        <v>12</v>
      </c>
    </row>
    <row r="59" spans="1:8" x14ac:dyDescent="0.2">
      <c r="A59" s="26"/>
      <c r="B59" s="26"/>
      <c r="C59" s="1" t="s">
        <v>63</v>
      </c>
      <c r="D59" s="26"/>
      <c r="E59" s="26"/>
      <c r="F59" s="31"/>
      <c r="G59" s="31"/>
      <c r="H59" s="36" t="s">
        <v>12</v>
      </c>
    </row>
    <row r="60" spans="1:8" ht="25.5" x14ac:dyDescent="0.2">
      <c r="A60" s="33">
        <v>1</v>
      </c>
      <c r="B60" s="34" t="s">
        <v>131</v>
      </c>
      <c r="C60" s="3" t="s">
        <v>471</v>
      </c>
      <c r="D60" s="34" t="s">
        <v>117</v>
      </c>
      <c r="E60" s="35">
        <v>200</v>
      </c>
      <c r="F60" s="36">
        <v>987.28099999999995</v>
      </c>
      <c r="G60" s="37">
        <v>4.0219419999999999E-2</v>
      </c>
      <c r="H60" s="36">
        <v>7.97</v>
      </c>
    </row>
    <row r="61" spans="1:8" ht="25.5" x14ac:dyDescent="0.2">
      <c r="A61" s="33">
        <v>2</v>
      </c>
      <c r="B61" s="34" t="s">
        <v>132</v>
      </c>
      <c r="C61" s="3" t="s">
        <v>472</v>
      </c>
      <c r="D61" s="34" t="s">
        <v>117</v>
      </c>
      <c r="E61" s="35">
        <v>200</v>
      </c>
      <c r="F61" s="36">
        <v>962.00900000000001</v>
      </c>
      <c r="G61" s="37">
        <v>3.91899E-2</v>
      </c>
      <c r="H61" s="36">
        <v>8.19</v>
      </c>
    </row>
    <row r="62" spans="1:8" x14ac:dyDescent="0.2">
      <c r="A62" s="33">
        <v>3</v>
      </c>
      <c r="B62" s="34" t="s">
        <v>133</v>
      </c>
      <c r="C62" s="3" t="s">
        <v>473</v>
      </c>
      <c r="D62" s="34" t="s">
        <v>117</v>
      </c>
      <c r="E62" s="35">
        <v>200</v>
      </c>
      <c r="F62" s="36">
        <v>947.43700000000001</v>
      </c>
      <c r="G62" s="37">
        <v>3.8596270000000002E-2</v>
      </c>
      <c r="H62" s="36">
        <v>8.1</v>
      </c>
    </row>
    <row r="63" spans="1:8" x14ac:dyDescent="0.2">
      <c r="A63" s="33">
        <v>4</v>
      </c>
      <c r="B63" s="34" t="s">
        <v>134</v>
      </c>
      <c r="C63" s="3" t="s">
        <v>474</v>
      </c>
      <c r="D63" s="34" t="s">
        <v>117</v>
      </c>
      <c r="E63" s="35">
        <v>200</v>
      </c>
      <c r="F63" s="36">
        <v>945.35</v>
      </c>
      <c r="G63" s="37">
        <v>3.8511249999999997E-2</v>
      </c>
      <c r="H63" s="36">
        <v>7.59</v>
      </c>
    </row>
    <row r="64" spans="1:8" ht="25.5" x14ac:dyDescent="0.2">
      <c r="A64" s="33">
        <v>5</v>
      </c>
      <c r="B64" s="34" t="s">
        <v>135</v>
      </c>
      <c r="C64" s="3" t="s">
        <v>475</v>
      </c>
      <c r="D64" s="34" t="s">
        <v>117</v>
      </c>
      <c r="E64" s="35">
        <v>200</v>
      </c>
      <c r="F64" s="36">
        <v>931.91200000000003</v>
      </c>
      <c r="G64" s="37">
        <v>3.7963820000000002E-2</v>
      </c>
      <c r="H64" s="36">
        <v>7.7074999999999996</v>
      </c>
    </row>
    <row r="65" spans="1:8" x14ac:dyDescent="0.2">
      <c r="A65" s="33">
        <v>6</v>
      </c>
      <c r="B65" s="34" t="s">
        <v>136</v>
      </c>
      <c r="C65" s="3" t="s">
        <v>137</v>
      </c>
      <c r="D65" s="34" t="s">
        <v>117</v>
      </c>
      <c r="E65" s="35">
        <v>100</v>
      </c>
      <c r="F65" s="36">
        <v>490.23200000000003</v>
      </c>
      <c r="G65" s="37">
        <v>1.997086E-2</v>
      </c>
      <c r="H65" s="36">
        <v>7.13</v>
      </c>
    </row>
    <row r="66" spans="1:8" x14ac:dyDescent="0.2">
      <c r="A66" s="26"/>
      <c r="B66" s="26"/>
      <c r="C66" s="1" t="s">
        <v>11</v>
      </c>
      <c r="D66" s="26"/>
      <c r="E66" s="26" t="s">
        <v>12</v>
      </c>
      <c r="F66" s="32">
        <v>5264.2209999999995</v>
      </c>
      <c r="G66" s="29">
        <v>0.21445152000000001</v>
      </c>
      <c r="H66" s="36" t="s">
        <v>12</v>
      </c>
    </row>
    <row r="67" spans="1:8" x14ac:dyDescent="0.2">
      <c r="A67" s="26"/>
      <c r="B67" s="26"/>
      <c r="C67" s="102"/>
      <c r="D67" s="26"/>
      <c r="E67" s="26"/>
      <c r="F67" s="31"/>
      <c r="G67" s="31"/>
      <c r="H67" s="36" t="s">
        <v>12</v>
      </c>
    </row>
    <row r="68" spans="1:8" x14ac:dyDescent="0.2">
      <c r="A68" s="26"/>
      <c r="B68" s="26"/>
      <c r="C68" s="1" t="s">
        <v>64</v>
      </c>
      <c r="D68" s="26"/>
      <c r="E68" s="26"/>
      <c r="F68" s="31"/>
      <c r="G68" s="31"/>
      <c r="H68" s="36" t="s">
        <v>12</v>
      </c>
    </row>
    <row r="69" spans="1:8" x14ac:dyDescent="0.2">
      <c r="A69" s="33">
        <v>1</v>
      </c>
      <c r="B69" s="34" t="s">
        <v>138</v>
      </c>
      <c r="C69" s="3" t="s">
        <v>139</v>
      </c>
      <c r="D69" s="34" t="s">
        <v>54</v>
      </c>
      <c r="E69" s="35">
        <v>2500000</v>
      </c>
      <c r="F69" s="36">
        <v>2350.6075000000001</v>
      </c>
      <c r="G69" s="37">
        <v>9.5758010000000005E-2</v>
      </c>
      <c r="H69" s="36">
        <v>6.9663000000000004</v>
      </c>
    </row>
    <row r="70" spans="1:8" x14ac:dyDescent="0.2">
      <c r="A70" s="26"/>
      <c r="B70" s="26"/>
      <c r="C70" s="27" t="s">
        <v>11</v>
      </c>
      <c r="D70" s="26"/>
      <c r="E70" s="26" t="s">
        <v>12</v>
      </c>
      <c r="F70" s="32">
        <v>2350.6075000000001</v>
      </c>
      <c r="G70" s="29">
        <v>9.5758010000000005E-2</v>
      </c>
      <c r="H70" s="36" t="s">
        <v>12</v>
      </c>
    </row>
    <row r="71" spans="1:8" x14ac:dyDescent="0.2">
      <c r="A71" s="26"/>
      <c r="B71" s="26"/>
      <c r="C71" s="30"/>
      <c r="D71" s="26"/>
      <c r="E71" s="26"/>
      <c r="F71" s="31"/>
      <c r="G71" s="31"/>
      <c r="H71" s="36" t="s">
        <v>12</v>
      </c>
    </row>
    <row r="72" spans="1:8" x14ac:dyDescent="0.2">
      <c r="A72" s="26"/>
      <c r="B72" s="26"/>
      <c r="C72" s="27" t="s">
        <v>65</v>
      </c>
      <c r="D72" s="26"/>
      <c r="E72" s="26"/>
      <c r="F72" s="31"/>
      <c r="G72" s="31"/>
      <c r="H72" s="36" t="s">
        <v>12</v>
      </c>
    </row>
    <row r="73" spans="1:8" x14ac:dyDescent="0.2">
      <c r="A73" s="33">
        <v>1</v>
      </c>
      <c r="B73" s="34" t="s">
        <v>66</v>
      </c>
      <c r="C73" s="34" t="s">
        <v>66</v>
      </c>
      <c r="D73" s="34"/>
      <c r="E73" s="38"/>
      <c r="F73" s="36">
        <v>3767.2084330940002</v>
      </c>
      <c r="G73" s="37">
        <v>0.15346688</v>
      </c>
      <c r="H73" s="36">
        <v>6.6426580793991246</v>
      </c>
    </row>
    <row r="74" spans="1:8" x14ac:dyDescent="0.2">
      <c r="A74" s="26"/>
      <c r="B74" s="26"/>
      <c r="C74" s="27" t="s">
        <v>11</v>
      </c>
      <c r="D74" s="26"/>
      <c r="E74" s="26" t="s">
        <v>12</v>
      </c>
      <c r="F74" s="32">
        <v>3767.2084330940002</v>
      </c>
      <c r="G74" s="29">
        <v>0.15346688</v>
      </c>
      <c r="H74" s="36" t="s">
        <v>12</v>
      </c>
    </row>
    <row r="75" spans="1:8" x14ac:dyDescent="0.2">
      <c r="A75" s="26"/>
      <c r="B75" s="26"/>
      <c r="C75" s="30"/>
      <c r="D75" s="26"/>
      <c r="E75" s="26"/>
      <c r="F75" s="31"/>
      <c r="G75" s="31"/>
      <c r="H75" s="36" t="s">
        <v>12</v>
      </c>
    </row>
    <row r="76" spans="1:8" x14ac:dyDescent="0.2">
      <c r="A76" s="26"/>
      <c r="B76" s="26"/>
      <c r="C76" s="27" t="s">
        <v>67</v>
      </c>
      <c r="D76" s="26"/>
      <c r="E76" s="26"/>
      <c r="F76" s="32">
        <v>24578.353833093999</v>
      </c>
      <c r="G76" s="29">
        <v>1.00126216</v>
      </c>
      <c r="H76" s="36" t="s">
        <v>12</v>
      </c>
    </row>
    <row r="77" spans="1:8" x14ac:dyDescent="0.2">
      <c r="A77" s="26"/>
      <c r="B77" s="26"/>
      <c r="C77" s="31"/>
      <c r="D77" s="26"/>
      <c r="E77" s="26"/>
      <c r="F77" s="26"/>
      <c r="G77" s="26"/>
      <c r="H77" s="36" t="s">
        <v>12</v>
      </c>
    </row>
    <row r="78" spans="1:8" x14ac:dyDescent="0.2">
      <c r="A78" s="26"/>
      <c r="B78" s="26"/>
      <c r="C78" s="27" t="s">
        <v>68</v>
      </c>
      <c r="D78" s="26"/>
      <c r="E78" s="26"/>
      <c r="F78" s="26"/>
      <c r="G78" s="26"/>
      <c r="H78" s="36" t="s">
        <v>12</v>
      </c>
    </row>
    <row r="79" spans="1:8" x14ac:dyDescent="0.2">
      <c r="A79" s="26"/>
      <c r="B79" s="26"/>
      <c r="C79" s="27" t="s">
        <v>69</v>
      </c>
      <c r="D79" s="26"/>
      <c r="E79" s="26"/>
      <c r="F79" s="26"/>
      <c r="G79" s="26"/>
      <c r="H79" s="36" t="s">
        <v>12</v>
      </c>
    </row>
    <row r="80" spans="1:8" x14ac:dyDescent="0.2">
      <c r="A80" s="26"/>
      <c r="B80" s="26"/>
      <c r="C80" s="27" t="s">
        <v>11</v>
      </c>
      <c r="D80" s="26"/>
      <c r="E80" s="26" t="s">
        <v>12</v>
      </c>
      <c r="F80" s="28" t="s">
        <v>13</v>
      </c>
      <c r="G80" s="29">
        <v>0</v>
      </c>
      <c r="H80" s="36" t="s">
        <v>12</v>
      </c>
    </row>
    <row r="81" spans="1:18" x14ac:dyDescent="0.2">
      <c r="A81" s="26"/>
      <c r="B81" s="26"/>
      <c r="C81" s="30"/>
      <c r="D81" s="26"/>
      <c r="E81" s="26"/>
      <c r="F81" s="31"/>
      <c r="G81" s="31"/>
      <c r="H81" s="36" t="s">
        <v>12</v>
      </c>
    </row>
    <row r="82" spans="1:18" x14ac:dyDescent="0.2">
      <c r="A82" s="26"/>
      <c r="B82" s="26"/>
      <c r="C82" s="27" t="s">
        <v>72</v>
      </c>
      <c r="D82" s="26"/>
      <c r="E82" s="26"/>
      <c r="F82" s="26"/>
      <c r="G82" s="26"/>
      <c r="H82" s="36" t="s">
        <v>12</v>
      </c>
    </row>
    <row r="83" spans="1:18" x14ac:dyDescent="0.2">
      <c r="A83" s="26"/>
      <c r="B83" s="26"/>
      <c r="C83" s="27" t="s">
        <v>73</v>
      </c>
      <c r="D83" s="26"/>
      <c r="E83" s="26"/>
      <c r="F83" s="26"/>
      <c r="G83" s="26"/>
      <c r="H83" s="36" t="s">
        <v>12</v>
      </c>
    </row>
    <row r="84" spans="1:18" x14ac:dyDescent="0.2">
      <c r="A84" s="26"/>
      <c r="B84" s="26"/>
      <c r="C84" s="27" t="s">
        <v>11</v>
      </c>
      <c r="D84" s="26"/>
      <c r="E84" s="26" t="s">
        <v>12</v>
      </c>
      <c r="F84" s="28" t="s">
        <v>13</v>
      </c>
      <c r="G84" s="29">
        <v>0</v>
      </c>
      <c r="H84" s="36" t="s">
        <v>12</v>
      </c>
    </row>
    <row r="85" spans="1:18" x14ac:dyDescent="0.2">
      <c r="A85" s="26"/>
      <c r="B85" s="26"/>
      <c r="C85" s="30"/>
      <c r="D85" s="26"/>
      <c r="E85" s="26"/>
      <c r="F85" s="31"/>
      <c r="G85" s="31"/>
      <c r="H85" s="36" t="s">
        <v>12</v>
      </c>
    </row>
    <row r="86" spans="1:18" x14ac:dyDescent="0.2">
      <c r="A86" s="26"/>
      <c r="B86" s="26"/>
      <c r="C86" s="27" t="s">
        <v>74</v>
      </c>
      <c r="D86" s="26"/>
      <c r="E86" s="26"/>
      <c r="F86" s="31"/>
      <c r="G86" s="31"/>
      <c r="H86" s="36" t="s">
        <v>12</v>
      </c>
    </row>
    <row r="87" spans="1:18" x14ac:dyDescent="0.2">
      <c r="A87" s="26"/>
      <c r="B87" s="26"/>
      <c r="C87" s="27" t="s">
        <v>11</v>
      </c>
      <c r="D87" s="26"/>
      <c r="E87" s="26" t="s">
        <v>12</v>
      </c>
      <c r="F87" s="28" t="s">
        <v>13</v>
      </c>
      <c r="G87" s="29">
        <v>0</v>
      </c>
      <c r="H87" s="36" t="s">
        <v>12</v>
      </c>
    </row>
    <row r="88" spans="1:18" x14ac:dyDescent="0.2">
      <c r="A88" s="26"/>
      <c r="B88" s="26"/>
      <c r="C88" s="30"/>
      <c r="D88" s="26"/>
      <c r="E88" s="26"/>
      <c r="F88" s="31"/>
      <c r="G88" s="31"/>
      <c r="H88" s="36" t="s">
        <v>12</v>
      </c>
    </row>
    <row r="89" spans="1:18" x14ac:dyDescent="0.2">
      <c r="A89" s="48"/>
      <c r="B89" s="48"/>
      <c r="C89" s="49" t="s">
        <v>370</v>
      </c>
      <c r="D89" s="48"/>
      <c r="E89" s="48"/>
      <c r="F89" s="50"/>
      <c r="G89" s="50"/>
      <c r="H89" s="51"/>
      <c r="K89" s="52"/>
      <c r="L89" s="52"/>
      <c r="M89" s="52"/>
      <c r="N89" s="52"/>
      <c r="O89" s="52"/>
      <c r="P89" s="53"/>
      <c r="Q89" s="53"/>
      <c r="R89" s="53"/>
    </row>
    <row r="90" spans="1:18" x14ac:dyDescent="0.2">
      <c r="A90" s="33">
        <v>1</v>
      </c>
      <c r="B90" s="34" t="s">
        <v>70</v>
      </c>
      <c r="C90" s="34" t="s">
        <v>71</v>
      </c>
      <c r="D90" s="34"/>
      <c r="E90" s="40">
        <v>337.54399999999998</v>
      </c>
      <c r="F90" s="36">
        <v>34.669043651999999</v>
      </c>
      <c r="G90" s="37">
        <v>1.4123300000000001E-3</v>
      </c>
      <c r="H90" s="36"/>
    </row>
    <row r="91" spans="1:18" x14ac:dyDescent="0.2">
      <c r="A91" s="26"/>
      <c r="B91" s="26"/>
      <c r="C91" s="27" t="s">
        <v>11</v>
      </c>
      <c r="D91" s="26"/>
      <c r="E91" s="26" t="s">
        <v>12</v>
      </c>
      <c r="F91" s="32">
        <v>34.669043651999999</v>
      </c>
      <c r="G91" s="29">
        <v>1.4123300000000001E-3</v>
      </c>
      <c r="H91" s="36" t="s">
        <v>12</v>
      </c>
    </row>
    <row r="92" spans="1:18" x14ac:dyDescent="0.2">
      <c r="A92" s="26"/>
      <c r="B92" s="34"/>
      <c r="C92" s="34"/>
      <c r="D92" s="27"/>
      <c r="E92" s="26"/>
      <c r="F92" s="34"/>
      <c r="G92" s="38"/>
      <c r="H92" s="36" t="s">
        <v>12</v>
      </c>
    </row>
    <row r="93" spans="1:18" x14ac:dyDescent="0.2">
      <c r="A93" s="38"/>
      <c r="B93" s="34"/>
      <c r="C93" s="34" t="s">
        <v>75</v>
      </c>
      <c r="D93" s="34"/>
      <c r="E93" s="38"/>
      <c r="F93" s="36">
        <f>-65.65180819-0.000002696</f>
        <v>-65.651810885999993</v>
      </c>
      <c r="G93" s="37">
        <v>-2.6744899999999999E-3</v>
      </c>
      <c r="H93" s="36" t="s">
        <v>12</v>
      </c>
    </row>
    <row r="94" spans="1:18" x14ac:dyDescent="0.2">
      <c r="A94" s="30"/>
      <c r="B94" s="30"/>
      <c r="C94" s="27" t="s">
        <v>76</v>
      </c>
      <c r="D94" s="31"/>
      <c r="E94" s="31"/>
      <c r="F94" s="32">
        <f>24547.371068556-0.000002696</f>
        <v>24547.371065859999</v>
      </c>
      <c r="G94" s="39">
        <v>1</v>
      </c>
      <c r="H94" s="36" t="s">
        <v>12</v>
      </c>
    </row>
    <row r="95" spans="1:18" x14ac:dyDescent="0.2">
      <c r="A95" s="5"/>
      <c r="B95" s="5"/>
      <c r="C95" s="5"/>
      <c r="D95" s="7"/>
      <c r="E95" s="7"/>
      <c r="F95" s="7"/>
      <c r="G95" s="7"/>
    </row>
    <row r="96" spans="1:18" x14ac:dyDescent="0.2">
      <c r="A96" s="54"/>
      <c r="B96" s="124" t="s">
        <v>371</v>
      </c>
      <c r="C96" s="124"/>
      <c r="D96" s="124"/>
      <c r="E96" s="124"/>
      <c r="F96" s="124"/>
      <c r="G96" s="124"/>
      <c r="H96" s="124"/>
    </row>
    <row r="97" spans="1:8" x14ac:dyDescent="0.2">
      <c r="A97" s="54"/>
      <c r="B97" s="124" t="s">
        <v>372</v>
      </c>
      <c r="C97" s="124"/>
      <c r="D97" s="124"/>
      <c r="E97" s="124"/>
      <c r="F97" s="124"/>
      <c r="G97" s="124"/>
      <c r="H97" s="124"/>
    </row>
    <row r="98" spans="1:8" x14ac:dyDescent="0.2">
      <c r="A98" s="54"/>
      <c r="B98" s="124" t="s">
        <v>373</v>
      </c>
      <c r="C98" s="124"/>
      <c r="D98" s="124"/>
      <c r="E98" s="124"/>
      <c r="F98" s="124"/>
      <c r="G98" s="124"/>
      <c r="H98" s="124"/>
    </row>
    <row r="99" spans="1:8" x14ac:dyDescent="0.2">
      <c r="A99" s="5"/>
      <c r="B99" s="5"/>
      <c r="C99" s="5"/>
      <c r="D99" s="7"/>
      <c r="E99" s="7"/>
      <c r="F99" s="7"/>
      <c r="G99" s="7"/>
    </row>
    <row r="100" spans="1:8" x14ac:dyDescent="0.2">
      <c r="A100" s="5"/>
      <c r="B100" s="119" t="s">
        <v>77</v>
      </c>
      <c r="C100" s="120"/>
      <c r="D100" s="121"/>
      <c r="E100" s="8"/>
      <c r="F100" s="7"/>
      <c r="G100" s="7"/>
    </row>
    <row r="101" spans="1:8" x14ac:dyDescent="0.2">
      <c r="A101" s="5"/>
      <c r="B101" s="122" t="s">
        <v>78</v>
      </c>
      <c r="C101" s="123"/>
      <c r="D101" s="1" t="s">
        <v>79</v>
      </c>
      <c r="E101" s="8"/>
      <c r="F101" s="7"/>
      <c r="G101" s="7"/>
    </row>
    <row r="102" spans="1:8" x14ac:dyDescent="0.2">
      <c r="A102" s="5"/>
      <c r="B102" s="122" t="s">
        <v>80</v>
      </c>
      <c r="C102" s="123"/>
      <c r="D102" s="1" t="s">
        <v>79</v>
      </c>
      <c r="E102" s="8"/>
      <c r="F102" s="7"/>
      <c r="G102" s="7"/>
    </row>
    <row r="103" spans="1:8" x14ac:dyDescent="0.2">
      <c r="A103" s="5"/>
      <c r="B103" s="122" t="s">
        <v>81</v>
      </c>
      <c r="C103" s="123"/>
      <c r="D103" s="2" t="s">
        <v>12</v>
      </c>
      <c r="E103" s="8"/>
      <c r="F103" s="7"/>
      <c r="G103" s="7"/>
    </row>
    <row r="104" spans="1:8" x14ac:dyDescent="0.2">
      <c r="A104" s="56"/>
      <c r="B104" s="103" t="s">
        <v>12</v>
      </c>
      <c r="C104" s="103" t="s">
        <v>574</v>
      </c>
      <c r="D104" s="103" t="s">
        <v>82</v>
      </c>
      <c r="E104" s="56"/>
      <c r="F104" s="56"/>
      <c r="G104" s="56"/>
      <c r="H104" s="104"/>
    </row>
    <row r="105" spans="1:8" x14ac:dyDescent="0.2">
      <c r="A105" s="9"/>
      <c r="B105" s="11" t="s">
        <v>83</v>
      </c>
      <c r="C105" s="10" t="s">
        <v>84</v>
      </c>
      <c r="D105" s="10" t="s">
        <v>85</v>
      </c>
      <c r="E105" s="9"/>
      <c r="F105" s="9"/>
      <c r="G105" s="9"/>
    </row>
    <row r="106" spans="1:8" x14ac:dyDescent="0.2">
      <c r="A106" s="9"/>
      <c r="B106" s="3" t="s">
        <v>86</v>
      </c>
      <c r="C106" s="12">
        <v>13.9057</v>
      </c>
      <c r="D106" s="12">
        <v>13.946</v>
      </c>
      <c r="E106" s="9"/>
      <c r="F106" s="6"/>
      <c r="G106" s="13"/>
    </row>
    <row r="107" spans="1:8" ht="25.5" x14ac:dyDescent="0.2">
      <c r="A107" s="9"/>
      <c r="B107" s="3" t="s">
        <v>590</v>
      </c>
      <c r="C107" s="12">
        <v>10.061999999999999</v>
      </c>
      <c r="D107" s="12">
        <v>10.0639</v>
      </c>
      <c r="E107" s="9"/>
      <c r="F107" s="6"/>
      <c r="G107" s="13"/>
    </row>
    <row r="108" spans="1:8" ht="25.5" x14ac:dyDescent="0.2">
      <c r="A108" s="9"/>
      <c r="B108" s="3" t="s">
        <v>583</v>
      </c>
      <c r="C108" s="12">
        <v>11.182499999999999</v>
      </c>
      <c r="D108" s="12">
        <v>11.154</v>
      </c>
      <c r="E108" s="9"/>
      <c r="F108" s="6"/>
      <c r="G108" s="13"/>
    </row>
    <row r="109" spans="1:8" ht="25.5" x14ac:dyDescent="0.2">
      <c r="A109" s="9"/>
      <c r="B109" s="3" t="s">
        <v>581</v>
      </c>
      <c r="C109" s="12">
        <v>12.188000000000001</v>
      </c>
      <c r="D109" s="12">
        <v>12.148199999999999</v>
      </c>
      <c r="E109" s="9"/>
      <c r="F109" s="6"/>
      <c r="G109" s="13"/>
    </row>
    <row r="110" spans="1:8" x14ac:dyDescent="0.2">
      <c r="A110" s="9"/>
      <c r="B110" s="3" t="s">
        <v>87</v>
      </c>
      <c r="C110" s="12">
        <v>13.8345</v>
      </c>
      <c r="D110" s="12">
        <v>13.8741</v>
      </c>
      <c r="E110" s="9"/>
      <c r="F110" s="6"/>
      <c r="G110" s="13"/>
    </row>
    <row r="111" spans="1:8" ht="25.5" x14ac:dyDescent="0.2">
      <c r="A111" s="9"/>
      <c r="B111" s="3" t="s">
        <v>593</v>
      </c>
      <c r="C111" s="12">
        <v>10.061999999999999</v>
      </c>
      <c r="D111" s="12">
        <v>10.0639</v>
      </c>
      <c r="E111" s="9"/>
      <c r="F111" s="6"/>
      <c r="G111" s="13"/>
    </row>
    <row r="112" spans="1:8" ht="25.5" x14ac:dyDescent="0.2">
      <c r="A112" s="9"/>
      <c r="B112" s="3" t="s">
        <v>594</v>
      </c>
      <c r="C112" s="12">
        <v>10.492800000000001</v>
      </c>
      <c r="D112" s="12">
        <v>10.4819</v>
      </c>
      <c r="E112" s="9"/>
      <c r="F112" s="6"/>
      <c r="G112" s="13"/>
    </row>
    <row r="113" spans="1:7" ht="25.5" x14ac:dyDescent="0.2">
      <c r="A113" s="9"/>
      <c r="B113" s="3" t="s">
        <v>595</v>
      </c>
      <c r="C113" s="12">
        <v>11.2209</v>
      </c>
      <c r="D113" s="12"/>
      <c r="E113" s="9"/>
      <c r="F113" s="6"/>
      <c r="G113" s="13"/>
    </row>
    <row r="114" spans="1:7" ht="25.5" x14ac:dyDescent="0.2">
      <c r="A114" s="9"/>
      <c r="B114" s="3" t="s">
        <v>586</v>
      </c>
      <c r="C114" s="12">
        <v>11.1614</v>
      </c>
      <c r="D114" s="12">
        <v>11.1334</v>
      </c>
      <c r="E114" s="9"/>
      <c r="F114" s="6"/>
      <c r="G114" s="13"/>
    </row>
    <row r="115" spans="1:7" ht="25.5" x14ac:dyDescent="0.2">
      <c r="A115" s="9"/>
      <c r="B115" s="3" t="s">
        <v>582</v>
      </c>
      <c r="C115" s="12">
        <v>12.123900000000001</v>
      </c>
      <c r="D115" s="12">
        <v>12.083399999999999</v>
      </c>
      <c r="E115" s="9"/>
      <c r="F115" s="6"/>
      <c r="G115" s="13"/>
    </row>
    <row r="116" spans="1:7" x14ac:dyDescent="0.2">
      <c r="A116" s="9"/>
      <c r="B116" s="9"/>
      <c r="C116" s="9"/>
      <c r="D116" s="9"/>
      <c r="E116" s="9"/>
      <c r="F116" s="9"/>
      <c r="G116" s="9"/>
    </row>
    <row r="117" spans="1:7" x14ac:dyDescent="0.2">
      <c r="A117" s="9"/>
      <c r="B117" s="122" t="s">
        <v>589</v>
      </c>
      <c r="C117" s="123"/>
      <c r="D117" s="1" t="s">
        <v>12</v>
      </c>
      <c r="E117" s="9"/>
      <c r="F117" s="9"/>
      <c r="G117" s="9"/>
    </row>
    <row r="118" spans="1:7" x14ac:dyDescent="0.2">
      <c r="A118" s="9"/>
      <c r="B118" s="14" t="s">
        <v>83</v>
      </c>
      <c r="C118" s="15" t="s">
        <v>88</v>
      </c>
      <c r="D118" s="15" t="s">
        <v>89</v>
      </c>
      <c r="E118" s="9"/>
      <c r="F118" s="9"/>
      <c r="G118" s="9"/>
    </row>
    <row r="119" spans="1:7" ht="25.5" x14ac:dyDescent="0.2">
      <c r="A119" s="9"/>
      <c r="B119" s="3" t="s">
        <v>604</v>
      </c>
      <c r="C119" s="16">
        <v>2.7156E-2</v>
      </c>
      <c r="D119" s="4" t="s">
        <v>90</v>
      </c>
      <c r="E119" s="9"/>
      <c r="F119" s="6"/>
      <c r="G119" s="13"/>
    </row>
    <row r="120" spans="1:7" ht="25.5" x14ac:dyDescent="0.2">
      <c r="A120" s="9"/>
      <c r="B120" s="3" t="s">
        <v>605</v>
      </c>
      <c r="C120" s="16">
        <v>6.0999999999999999E-2</v>
      </c>
      <c r="D120" s="4" t="s">
        <v>90</v>
      </c>
      <c r="E120" s="9"/>
      <c r="F120" s="6"/>
      <c r="G120" s="13"/>
    </row>
    <row r="121" spans="1:7" ht="25.5" x14ac:dyDescent="0.2">
      <c r="A121" s="9"/>
      <c r="B121" s="3" t="s">
        <v>610</v>
      </c>
      <c r="C121" s="16">
        <v>7.4999999999999997E-2</v>
      </c>
      <c r="D121" s="4" t="s">
        <v>90</v>
      </c>
      <c r="E121" s="9"/>
      <c r="F121" s="6"/>
      <c r="G121" s="13"/>
    </row>
    <row r="122" spans="1:7" ht="25.5" x14ac:dyDescent="0.2">
      <c r="A122" s="9"/>
      <c r="B122" s="3" t="s">
        <v>607</v>
      </c>
      <c r="C122" s="16">
        <v>2.6877000000000002E-2</v>
      </c>
      <c r="D122" s="4" t="s">
        <v>90</v>
      </c>
      <c r="E122" s="9"/>
      <c r="F122" s="6"/>
      <c r="G122" s="13"/>
    </row>
    <row r="123" spans="1:7" ht="25.5" x14ac:dyDescent="0.2">
      <c r="A123" s="9"/>
      <c r="B123" s="3" t="s">
        <v>608</v>
      </c>
      <c r="C123" s="16">
        <v>2.8000000000000001E-2</v>
      </c>
      <c r="D123" s="4" t="s">
        <v>90</v>
      </c>
      <c r="E123" s="9"/>
      <c r="F123" s="6"/>
      <c r="G123" s="13"/>
    </row>
    <row r="124" spans="1:7" ht="25.5" x14ac:dyDescent="0.2">
      <c r="A124" s="9"/>
      <c r="B124" s="3" t="s">
        <v>609</v>
      </c>
      <c r="C124" s="16">
        <v>5.9900000000000002E-2</v>
      </c>
      <c r="D124" s="4" t="s">
        <v>90</v>
      </c>
      <c r="E124" s="9"/>
      <c r="F124" s="6"/>
      <c r="G124" s="13"/>
    </row>
    <row r="125" spans="1:7" ht="25.5" x14ac:dyDescent="0.2">
      <c r="A125" s="9"/>
      <c r="B125" s="3" t="s">
        <v>611</v>
      </c>
      <c r="C125" s="16">
        <v>7.4999999999999997E-2</v>
      </c>
      <c r="D125" s="4" t="s">
        <v>90</v>
      </c>
      <c r="E125" s="9"/>
      <c r="F125" s="6"/>
      <c r="G125" s="13"/>
    </row>
    <row r="126" spans="1:7" x14ac:dyDescent="0.2">
      <c r="A126" s="9"/>
      <c r="B126" s="17"/>
      <c r="C126" s="17"/>
      <c r="D126" s="18"/>
      <c r="E126" s="9"/>
      <c r="F126" s="6"/>
      <c r="G126" s="13"/>
    </row>
    <row r="127" spans="1:7" x14ac:dyDescent="0.2">
      <c r="A127" s="56"/>
      <c r="B127" s="129" t="s">
        <v>91</v>
      </c>
      <c r="C127" s="130"/>
      <c r="D127" s="57" t="s">
        <v>79</v>
      </c>
      <c r="E127" s="58"/>
      <c r="F127" s="56"/>
      <c r="G127" s="56"/>
    </row>
    <row r="128" spans="1:7" x14ac:dyDescent="0.2">
      <c r="A128" s="56"/>
      <c r="B128" s="129" t="s">
        <v>92</v>
      </c>
      <c r="C128" s="130"/>
      <c r="D128" s="57" t="s">
        <v>79</v>
      </c>
      <c r="E128" s="58"/>
      <c r="F128" s="56"/>
      <c r="G128" s="56"/>
    </row>
    <row r="129" spans="1:17" x14ac:dyDescent="0.2">
      <c r="A129" s="56"/>
      <c r="B129" s="129" t="s">
        <v>374</v>
      </c>
      <c r="C129" s="130"/>
      <c r="D129" s="57" t="s">
        <v>79</v>
      </c>
      <c r="E129" s="58"/>
      <c r="F129" s="56"/>
      <c r="G129" s="56"/>
    </row>
    <row r="130" spans="1:17" x14ac:dyDescent="0.2">
      <c r="A130" s="19"/>
      <c r="B130" s="19"/>
      <c r="C130" s="19"/>
      <c r="D130" s="19"/>
      <c r="E130" s="19"/>
      <c r="F130" s="19"/>
      <c r="G130" s="19"/>
    </row>
    <row r="131" spans="1:17" s="59" customFormat="1" x14ac:dyDescent="0.2">
      <c r="B131" s="125" t="s">
        <v>375</v>
      </c>
      <c r="C131" s="126"/>
      <c r="D131" s="127"/>
      <c r="I131"/>
      <c r="J131" s="23"/>
      <c r="K131" s="52"/>
      <c r="L131" s="52"/>
      <c r="M131" s="52"/>
      <c r="N131" s="52"/>
      <c r="O131" s="68"/>
    </row>
    <row r="132" spans="1:17" s="59" customFormat="1" ht="51" x14ac:dyDescent="0.2">
      <c r="B132" s="128" t="s">
        <v>376</v>
      </c>
      <c r="C132" s="128"/>
      <c r="D132" s="60" t="s">
        <v>113</v>
      </c>
      <c r="I132"/>
      <c r="J132" s="23"/>
      <c r="K132" s="52"/>
      <c r="L132" s="52"/>
      <c r="M132" s="52"/>
      <c r="N132" s="52"/>
      <c r="O132" s="68"/>
    </row>
    <row r="133" spans="1:17" s="59" customFormat="1" x14ac:dyDescent="0.2">
      <c r="B133" s="131" t="s">
        <v>377</v>
      </c>
      <c r="C133" s="131"/>
      <c r="D133" s="61"/>
      <c r="I133"/>
      <c r="J133" s="23"/>
      <c r="K133" s="52"/>
      <c r="L133" s="52"/>
      <c r="M133" s="52"/>
      <c r="N133" s="52"/>
      <c r="O133" s="68"/>
    </row>
    <row r="134" spans="1:17" s="59" customFormat="1" x14ac:dyDescent="0.2">
      <c r="B134" s="131"/>
      <c r="C134" s="131"/>
      <c r="D134" s="62"/>
      <c r="I134"/>
      <c r="J134" s="23"/>
      <c r="K134" s="52"/>
      <c r="L134" s="52"/>
      <c r="M134" s="52"/>
      <c r="N134" s="52"/>
      <c r="O134" s="68"/>
    </row>
    <row r="135" spans="1:17" s="59" customFormat="1" x14ac:dyDescent="0.2">
      <c r="B135" s="131" t="s">
        <v>378</v>
      </c>
      <c r="C135" s="131"/>
      <c r="D135" s="63">
        <v>7.4301845741268089</v>
      </c>
      <c r="I135"/>
      <c r="J135" s="23"/>
      <c r="K135" s="52"/>
      <c r="L135" s="52"/>
      <c r="M135" s="52"/>
      <c r="N135" s="52"/>
      <c r="O135" s="68"/>
    </row>
    <row r="136" spans="1:17" s="59" customFormat="1" x14ac:dyDescent="0.2">
      <c r="B136" s="131"/>
      <c r="C136" s="131"/>
      <c r="D136" s="62"/>
      <c r="I136"/>
      <c r="J136" s="23"/>
      <c r="K136" s="52"/>
      <c r="L136" s="52"/>
      <c r="M136" s="52"/>
      <c r="N136" s="52"/>
      <c r="O136" s="68"/>
    </row>
    <row r="137" spans="1:17" s="59" customFormat="1" x14ac:dyDescent="0.2">
      <c r="B137" s="131" t="s">
        <v>379</v>
      </c>
      <c r="C137" s="131"/>
      <c r="D137" s="63">
        <v>0.59221355076457427</v>
      </c>
      <c r="I137"/>
      <c r="J137" s="23"/>
      <c r="K137" s="52"/>
      <c r="L137" s="52"/>
      <c r="M137" s="52"/>
      <c r="N137" s="52"/>
      <c r="O137" s="68"/>
    </row>
    <row r="138" spans="1:17" s="59" customFormat="1" x14ac:dyDescent="0.2">
      <c r="B138" s="131" t="s">
        <v>380</v>
      </c>
      <c r="C138" s="131"/>
      <c r="D138" s="63">
        <v>0.59221355076457427</v>
      </c>
      <c r="I138"/>
      <c r="J138" s="23"/>
      <c r="K138" s="52"/>
      <c r="L138" s="52"/>
      <c r="M138" s="52"/>
      <c r="N138" s="52"/>
      <c r="O138" s="68"/>
    </row>
    <row r="139" spans="1:17" s="59" customFormat="1" x14ac:dyDescent="0.2">
      <c r="B139" s="131"/>
      <c r="C139" s="131"/>
      <c r="D139" s="62"/>
      <c r="I139"/>
      <c r="J139" s="23"/>
      <c r="K139" s="52"/>
      <c r="L139" s="52"/>
      <c r="M139" s="52"/>
      <c r="N139" s="52"/>
      <c r="O139" s="68"/>
    </row>
    <row r="140" spans="1:17" s="59" customFormat="1" x14ac:dyDescent="0.2">
      <c r="B140" s="131" t="s">
        <v>381</v>
      </c>
      <c r="C140" s="131"/>
      <c r="D140" s="64" t="s">
        <v>599</v>
      </c>
      <c r="I140"/>
      <c r="J140" s="23"/>
      <c r="K140" s="52"/>
      <c r="L140" s="52"/>
      <c r="M140" s="52"/>
      <c r="N140" s="52"/>
      <c r="O140" s="68"/>
    </row>
    <row r="141" spans="1:17" s="59" customFormat="1" x14ac:dyDescent="0.2">
      <c r="B141" s="132" t="s">
        <v>382</v>
      </c>
      <c r="C141" s="134"/>
      <c r="D141" s="133"/>
      <c r="I141"/>
      <c r="J141" s="23"/>
      <c r="K141" s="52"/>
      <c r="L141" s="52"/>
      <c r="M141" s="52"/>
      <c r="N141" s="52"/>
      <c r="O141" s="68"/>
      <c r="P141"/>
      <c r="Q141"/>
    </row>
  </sheetData>
  <mergeCells count="25">
    <mergeCell ref="B138:C138"/>
    <mergeCell ref="B139:C139"/>
    <mergeCell ref="B140:C140"/>
    <mergeCell ref="B141:D141"/>
    <mergeCell ref="B133:C133"/>
    <mergeCell ref="B134:C134"/>
    <mergeCell ref="B135:C135"/>
    <mergeCell ref="B136:C136"/>
    <mergeCell ref="B137:C137"/>
    <mergeCell ref="B132:C132"/>
    <mergeCell ref="A1:H1"/>
    <mergeCell ref="A2:H2"/>
    <mergeCell ref="A3:H3"/>
    <mergeCell ref="B100:D100"/>
    <mergeCell ref="B101:C101"/>
    <mergeCell ref="B102:C102"/>
    <mergeCell ref="B103:C103"/>
    <mergeCell ref="B117:C117"/>
    <mergeCell ref="B128:C128"/>
    <mergeCell ref="B96:H96"/>
    <mergeCell ref="B97:H97"/>
    <mergeCell ref="B98:H98"/>
    <mergeCell ref="B127:C127"/>
    <mergeCell ref="B131:D131"/>
    <mergeCell ref="B129:C129"/>
  </mergeCells>
  <hyperlinks>
    <hyperlink ref="I1" location="Index!B4" display="Index" xr:uid="{D196DE5C-6585-4A9C-9A94-6A87B403CDE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F62E-2C16-44F2-954B-643861C64A72}">
  <sheetPr>
    <outlinePr summaryBelow="0" summaryRight="0"/>
  </sheetPr>
  <dimension ref="A1:T173"/>
  <sheetViews>
    <sheetView showGridLines="0" topLeftCell="A85" workbookViewId="0">
      <selection activeCell="H93" sqref="H93"/>
    </sheetView>
  </sheetViews>
  <sheetFormatPr defaultRowHeight="12.75" x14ac:dyDescent="0.2"/>
  <cols>
    <col min="1" max="1" width="5.85546875" bestFit="1" customWidth="1"/>
    <col min="2" max="2" width="20.28515625" bestFit="1" customWidth="1"/>
    <col min="3" max="3" width="44.85546875" customWidth="1"/>
    <col min="4" max="4" width="10.7109375" bestFit="1" customWidth="1"/>
    <col min="5" max="5" width="9.42578125" bestFit="1" customWidth="1"/>
    <col min="6" max="6" width="10.140625" bestFit="1" customWidth="1"/>
    <col min="7" max="7" width="14" bestFit="1" customWidth="1"/>
    <col min="8" max="8" width="9.85546875" bestFit="1"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140</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355</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ht="25.5" x14ac:dyDescent="0.2">
      <c r="A14" s="26"/>
      <c r="B14" s="26"/>
      <c r="C14" s="30"/>
      <c r="D14" s="26"/>
      <c r="E14" s="26"/>
      <c r="F14" s="31"/>
      <c r="G14" s="31"/>
      <c r="H14" s="36" t="s">
        <v>12</v>
      </c>
      <c r="J14" s="66" t="s">
        <v>394</v>
      </c>
    </row>
    <row r="15" spans="1:10" x14ac:dyDescent="0.2">
      <c r="A15" s="26"/>
      <c r="B15" s="26"/>
      <c r="C15" s="27" t="s">
        <v>16</v>
      </c>
      <c r="D15" s="26"/>
      <c r="E15" s="26"/>
      <c r="F15" s="26"/>
      <c r="G15" s="26"/>
      <c r="H15" s="36" t="s">
        <v>12</v>
      </c>
      <c r="J15" s="66"/>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ht="25.5" x14ac:dyDescent="0.2">
      <c r="A27" s="26"/>
      <c r="B27" s="26"/>
      <c r="C27" s="27" t="s">
        <v>10</v>
      </c>
      <c r="D27" s="26"/>
      <c r="E27" s="26"/>
      <c r="F27" s="31"/>
      <c r="G27" s="31"/>
      <c r="H27" s="36" t="s">
        <v>12</v>
      </c>
      <c r="J27" s="66" t="s">
        <v>395</v>
      </c>
    </row>
    <row r="28" spans="1:10" x14ac:dyDescent="0.2">
      <c r="A28" s="33">
        <v>1</v>
      </c>
      <c r="B28" s="34" t="s">
        <v>141</v>
      </c>
      <c r="C28" s="3" t="s">
        <v>142</v>
      </c>
      <c r="D28" s="34" t="s">
        <v>22</v>
      </c>
      <c r="E28" s="35">
        <v>250</v>
      </c>
      <c r="F28" s="36">
        <v>2487.6624999999999</v>
      </c>
      <c r="G28" s="37">
        <v>4.8290399999999997E-2</v>
      </c>
      <c r="H28" s="36">
        <v>7.7</v>
      </c>
      <c r="J28" s="66"/>
    </row>
    <row r="29" spans="1:10" x14ac:dyDescent="0.2">
      <c r="A29" s="33">
        <v>2</v>
      </c>
      <c r="B29" s="34" t="s">
        <v>143</v>
      </c>
      <c r="C29" s="3" t="s">
        <v>476</v>
      </c>
      <c r="D29" s="34" t="s">
        <v>144</v>
      </c>
      <c r="E29" s="35">
        <v>2000</v>
      </c>
      <c r="F29" s="36">
        <v>2001.694</v>
      </c>
      <c r="G29" s="37">
        <v>3.8856799999999997E-2</v>
      </c>
      <c r="H29" s="36">
        <v>7.5875000000000004</v>
      </c>
      <c r="J29" s="66"/>
    </row>
    <row r="30" spans="1:10" x14ac:dyDescent="0.2">
      <c r="A30" s="33">
        <v>3</v>
      </c>
      <c r="B30" s="34" t="s">
        <v>145</v>
      </c>
      <c r="C30" s="3" t="s">
        <v>146</v>
      </c>
      <c r="D30" s="34" t="s">
        <v>147</v>
      </c>
      <c r="E30" s="35">
        <v>1700</v>
      </c>
      <c r="F30" s="36">
        <v>1701.7935</v>
      </c>
      <c r="G30" s="37">
        <v>3.3035139999999998E-2</v>
      </c>
      <c r="H30" s="36">
        <v>8.75</v>
      </c>
    </row>
    <row r="31" spans="1:10" x14ac:dyDescent="0.2">
      <c r="A31" s="33">
        <v>4</v>
      </c>
      <c r="B31" s="34" t="s">
        <v>148</v>
      </c>
      <c r="C31" s="3" t="s">
        <v>477</v>
      </c>
      <c r="D31" s="34" t="s">
        <v>147</v>
      </c>
      <c r="E31" s="35">
        <v>1500</v>
      </c>
      <c r="F31" s="36">
        <v>1501.0245</v>
      </c>
      <c r="G31" s="37">
        <v>2.9137819999999998E-2</v>
      </c>
      <c r="H31" s="36">
        <v>9.1449999999999996</v>
      </c>
    </row>
    <row r="32" spans="1:10" x14ac:dyDescent="0.2">
      <c r="A32" s="33">
        <v>5</v>
      </c>
      <c r="B32" s="34" t="s">
        <v>149</v>
      </c>
      <c r="C32" s="3" t="s">
        <v>478</v>
      </c>
      <c r="D32" s="34" t="s">
        <v>22</v>
      </c>
      <c r="E32" s="35">
        <v>100</v>
      </c>
      <c r="F32" s="36">
        <v>999.52099999999996</v>
      </c>
      <c r="G32" s="37">
        <v>1.9402659999999999E-2</v>
      </c>
      <c r="H32" s="36">
        <v>7.2050000000000001</v>
      </c>
    </row>
    <row r="33" spans="1:8" ht="25.5" x14ac:dyDescent="0.2">
      <c r="A33" s="33">
        <v>6</v>
      </c>
      <c r="B33" s="34" t="s">
        <v>150</v>
      </c>
      <c r="C33" s="3" t="s">
        <v>479</v>
      </c>
      <c r="D33" s="34" t="s">
        <v>22</v>
      </c>
      <c r="E33" s="35">
        <v>100</v>
      </c>
      <c r="F33" s="36">
        <v>995.91300000000001</v>
      </c>
      <c r="G33" s="37">
        <v>1.9332619999999998E-2</v>
      </c>
      <c r="H33" s="36">
        <v>7.75</v>
      </c>
    </row>
    <row r="34" spans="1:8" ht="25.5" x14ac:dyDescent="0.2">
      <c r="A34" s="33">
        <v>7</v>
      </c>
      <c r="B34" s="34" t="s">
        <v>21</v>
      </c>
      <c r="C34" s="3" t="s">
        <v>434</v>
      </c>
      <c r="D34" s="34" t="s">
        <v>22</v>
      </c>
      <c r="E34" s="35">
        <v>1000</v>
      </c>
      <c r="F34" s="36">
        <v>992.54399999999998</v>
      </c>
      <c r="G34" s="37">
        <v>1.9267220000000002E-2</v>
      </c>
      <c r="H34" s="36">
        <v>7.6</v>
      </c>
    </row>
    <row r="35" spans="1:8" x14ac:dyDescent="0.2">
      <c r="A35" s="33">
        <v>8</v>
      </c>
      <c r="B35" s="34" t="s">
        <v>151</v>
      </c>
      <c r="C35" s="3" t="s">
        <v>480</v>
      </c>
      <c r="D35" s="34" t="s">
        <v>22</v>
      </c>
      <c r="E35" s="35">
        <v>100</v>
      </c>
      <c r="F35" s="36">
        <v>987.048</v>
      </c>
      <c r="G35" s="37">
        <v>1.9160529999999999E-2</v>
      </c>
      <c r="H35" s="36">
        <v>7.73</v>
      </c>
    </row>
    <row r="36" spans="1:8" x14ac:dyDescent="0.2">
      <c r="A36" s="33">
        <v>9</v>
      </c>
      <c r="B36" s="34" t="s">
        <v>152</v>
      </c>
      <c r="C36" s="3" t="s">
        <v>481</v>
      </c>
      <c r="D36" s="34" t="s">
        <v>22</v>
      </c>
      <c r="E36" s="35">
        <v>100</v>
      </c>
      <c r="F36" s="36">
        <v>984.61400000000003</v>
      </c>
      <c r="G36" s="37">
        <v>1.9113290000000002E-2</v>
      </c>
      <c r="H36" s="36">
        <v>7.89</v>
      </c>
    </row>
    <row r="37" spans="1:8" x14ac:dyDescent="0.2">
      <c r="A37" s="33">
        <v>10</v>
      </c>
      <c r="B37" s="34" t="s">
        <v>153</v>
      </c>
      <c r="C37" s="3" t="s">
        <v>482</v>
      </c>
      <c r="D37" s="34" t="s">
        <v>154</v>
      </c>
      <c r="E37" s="35">
        <v>1000</v>
      </c>
      <c r="F37" s="36">
        <v>980.52599999999995</v>
      </c>
      <c r="G37" s="37">
        <v>1.9033930000000001E-2</v>
      </c>
      <c r="H37" s="36">
        <v>10.3094</v>
      </c>
    </row>
    <row r="38" spans="1:8" x14ac:dyDescent="0.2">
      <c r="A38" s="33">
        <v>11</v>
      </c>
      <c r="B38" s="34" t="s">
        <v>155</v>
      </c>
      <c r="C38" s="3" t="s">
        <v>483</v>
      </c>
      <c r="D38" s="34" t="s">
        <v>154</v>
      </c>
      <c r="E38" s="35">
        <v>900</v>
      </c>
      <c r="F38" s="36">
        <v>899.91</v>
      </c>
      <c r="G38" s="37">
        <v>1.7469019999999998E-2</v>
      </c>
      <c r="H38" s="36">
        <v>8.3699999999999992</v>
      </c>
    </row>
    <row r="39" spans="1:8" x14ac:dyDescent="0.2">
      <c r="A39" s="33">
        <v>12</v>
      </c>
      <c r="B39" s="34" t="s">
        <v>156</v>
      </c>
      <c r="C39" s="34" t="s">
        <v>555</v>
      </c>
      <c r="D39" s="34" t="s">
        <v>147</v>
      </c>
      <c r="E39" s="35">
        <v>500</v>
      </c>
      <c r="F39" s="36">
        <v>501.33199999999999</v>
      </c>
      <c r="G39" s="37">
        <v>9.7318400000000003E-3</v>
      </c>
      <c r="H39" s="36">
        <v>8.98</v>
      </c>
    </row>
    <row r="40" spans="1:8" x14ac:dyDescent="0.2">
      <c r="A40" s="33">
        <v>13</v>
      </c>
      <c r="B40" s="34" t="s">
        <v>42</v>
      </c>
      <c r="C40" s="34" t="s">
        <v>43</v>
      </c>
      <c r="D40" s="34" t="s">
        <v>22</v>
      </c>
      <c r="E40" s="35">
        <v>500</v>
      </c>
      <c r="F40" s="36">
        <v>501.01150000000001</v>
      </c>
      <c r="G40" s="37">
        <v>9.7256100000000009E-3</v>
      </c>
      <c r="H40" s="36">
        <v>7.65</v>
      </c>
    </row>
    <row r="41" spans="1:8" x14ac:dyDescent="0.2">
      <c r="A41" s="33">
        <v>14</v>
      </c>
      <c r="B41" s="34" t="s">
        <v>157</v>
      </c>
      <c r="C41" s="34" t="s">
        <v>547</v>
      </c>
      <c r="D41" s="34" t="s">
        <v>22</v>
      </c>
      <c r="E41" s="35">
        <v>500</v>
      </c>
      <c r="F41" s="36">
        <v>500.04250000000002</v>
      </c>
      <c r="G41" s="37">
        <v>9.7067999999999998E-3</v>
      </c>
      <c r="H41" s="36">
        <v>7.1849999999999996</v>
      </c>
    </row>
    <row r="42" spans="1:8" x14ac:dyDescent="0.2">
      <c r="A42" s="33">
        <v>15</v>
      </c>
      <c r="B42" s="34" t="s">
        <v>49</v>
      </c>
      <c r="C42" s="34" t="s">
        <v>446</v>
      </c>
      <c r="D42" s="34" t="s">
        <v>22</v>
      </c>
      <c r="E42" s="35">
        <v>500</v>
      </c>
      <c r="F42" s="36">
        <v>499.0455</v>
      </c>
      <c r="G42" s="37">
        <v>9.6874500000000002E-3</v>
      </c>
      <c r="H42" s="36">
        <v>8.2200000000000006</v>
      </c>
    </row>
    <row r="43" spans="1:8" ht="25.5" x14ac:dyDescent="0.2">
      <c r="A43" s="33">
        <v>16</v>
      </c>
      <c r="B43" s="34" t="s">
        <v>158</v>
      </c>
      <c r="C43" s="34" t="s">
        <v>554</v>
      </c>
      <c r="D43" s="34" t="s">
        <v>159</v>
      </c>
      <c r="E43" s="35">
        <v>50</v>
      </c>
      <c r="F43" s="36">
        <v>498.33949999999999</v>
      </c>
      <c r="G43" s="37">
        <v>9.6737500000000001E-3</v>
      </c>
      <c r="H43" s="36">
        <v>8.64</v>
      </c>
    </row>
    <row r="44" spans="1:8" x14ac:dyDescent="0.2">
      <c r="A44" s="26"/>
      <c r="B44" s="26"/>
      <c r="C44" s="27" t="s">
        <v>11</v>
      </c>
      <c r="D44" s="26"/>
      <c r="E44" s="26" t="s">
        <v>12</v>
      </c>
      <c r="F44" s="32">
        <v>17032.021499999999</v>
      </c>
      <c r="G44" s="29">
        <v>0.33062488000000001</v>
      </c>
      <c r="H44" s="36" t="s">
        <v>12</v>
      </c>
    </row>
    <row r="45" spans="1:8" x14ac:dyDescent="0.2">
      <c r="A45" s="26"/>
      <c r="B45" s="26"/>
      <c r="C45" s="30"/>
      <c r="D45" s="26"/>
      <c r="E45" s="26"/>
      <c r="F45" s="31"/>
      <c r="G45" s="31"/>
      <c r="H45" s="36" t="s">
        <v>12</v>
      </c>
    </row>
    <row r="46" spans="1:8" x14ac:dyDescent="0.2">
      <c r="A46" s="26"/>
      <c r="B46" s="26"/>
      <c r="C46" s="27" t="s">
        <v>50</v>
      </c>
      <c r="D46" s="26"/>
      <c r="E46" s="26"/>
      <c r="F46" s="26"/>
      <c r="G46" s="26"/>
      <c r="H46" s="36" t="s">
        <v>12</v>
      </c>
    </row>
    <row r="47" spans="1:8" x14ac:dyDescent="0.2">
      <c r="A47" s="26"/>
      <c r="B47" s="26"/>
      <c r="C47" s="27" t="s">
        <v>11</v>
      </c>
      <c r="D47" s="26"/>
      <c r="E47" s="26" t="s">
        <v>12</v>
      </c>
      <c r="F47" s="28" t="s">
        <v>13</v>
      </c>
      <c r="G47" s="29">
        <v>0</v>
      </c>
      <c r="H47" s="36" t="s">
        <v>12</v>
      </c>
    </row>
    <row r="48" spans="1:8" x14ac:dyDescent="0.2">
      <c r="A48" s="26"/>
      <c r="B48" s="26"/>
      <c r="C48" s="30"/>
      <c r="D48" s="26"/>
      <c r="E48" s="26"/>
      <c r="F48" s="31"/>
      <c r="G48" s="31"/>
      <c r="H48" s="36" t="s">
        <v>12</v>
      </c>
    </row>
    <row r="49" spans="1:8" x14ac:dyDescent="0.2">
      <c r="A49" s="26"/>
      <c r="B49" s="26"/>
      <c r="C49" s="27" t="s">
        <v>51</v>
      </c>
      <c r="D49" s="26"/>
      <c r="E49" s="26"/>
      <c r="F49" s="26"/>
      <c r="G49" s="26"/>
      <c r="H49" s="36" t="s">
        <v>12</v>
      </c>
    </row>
    <row r="50" spans="1:8" x14ac:dyDescent="0.2">
      <c r="A50" s="33">
        <v>1</v>
      </c>
      <c r="B50" s="34" t="s">
        <v>160</v>
      </c>
      <c r="C50" s="34" t="s">
        <v>161</v>
      </c>
      <c r="D50" s="34" t="s">
        <v>54</v>
      </c>
      <c r="E50" s="35">
        <v>1500000</v>
      </c>
      <c r="F50" s="36">
        <v>1515.5145</v>
      </c>
      <c r="G50" s="37">
        <v>2.94191E-2</v>
      </c>
      <c r="H50" s="36">
        <v>7.1147999999999998</v>
      </c>
    </row>
    <row r="51" spans="1:8" x14ac:dyDescent="0.2">
      <c r="A51" s="33">
        <v>2</v>
      </c>
      <c r="B51" s="34" t="s">
        <v>108</v>
      </c>
      <c r="C51" s="34" t="s">
        <v>109</v>
      </c>
      <c r="D51" s="34" t="s">
        <v>54</v>
      </c>
      <c r="E51" s="35">
        <v>1000000</v>
      </c>
      <c r="F51" s="36">
        <v>1013.634</v>
      </c>
      <c r="G51" s="37">
        <v>1.9676619999999999E-2</v>
      </c>
      <c r="H51" s="36">
        <v>7.1200999999999999</v>
      </c>
    </row>
    <row r="52" spans="1:8" x14ac:dyDescent="0.2">
      <c r="A52" s="26"/>
      <c r="B52" s="26"/>
      <c r="C52" s="27" t="s">
        <v>11</v>
      </c>
      <c r="D52" s="26"/>
      <c r="E52" s="26" t="s">
        <v>12</v>
      </c>
      <c r="F52" s="32">
        <v>2529.1484999999998</v>
      </c>
      <c r="G52" s="29">
        <v>4.9095720000000002E-2</v>
      </c>
      <c r="H52" s="36" t="s">
        <v>12</v>
      </c>
    </row>
    <row r="53" spans="1:8" x14ac:dyDescent="0.2">
      <c r="A53" s="26"/>
      <c r="B53" s="26"/>
      <c r="C53" s="30"/>
      <c r="D53" s="26"/>
      <c r="E53" s="26"/>
      <c r="F53" s="31"/>
      <c r="G53" s="31"/>
      <c r="H53" s="36" t="s">
        <v>12</v>
      </c>
    </row>
    <row r="54" spans="1:8" x14ac:dyDescent="0.2">
      <c r="A54" s="26"/>
      <c r="B54" s="26"/>
      <c r="C54" s="27" t="s">
        <v>59</v>
      </c>
      <c r="D54" s="26"/>
      <c r="E54" s="26"/>
      <c r="F54" s="31"/>
      <c r="G54" s="31"/>
      <c r="H54" s="36" t="s">
        <v>12</v>
      </c>
    </row>
    <row r="55" spans="1:8" x14ac:dyDescent="0.2">
      <c r="A55" s="26"/>
      <c r="B55" s="26"/>
      <c r="C55" s="27" t="s">
        <v>11</v>
      </c>
      <c r="D55" s="26"/>
      <c r="E55" s="26" t="s">
        <v>12</v>
      </c>
      <c r="F55" s="28" t="s">
        <v>13</v>
      </c>
      <c r="G55" s="29">
        <v>0</v>
      </c>
      <c r="H55" s="36" t="s">
        <v>12</v>
      </c>
    </row>
    <row r="56" spans="1:8" x14ac:dyDescent="0.2">
      <c r="A56" s="26"/>
      <c r="B56" s="26"/>
      <c r="C56" s="30"/>
      <c r="D56" s="26"/>
      <c r="E56" s="26"/>
      <c r="F56" s="31"/>
      <c r="G56" s="31"/>
      <c r="H56" s="36" t="s">
        <v>12</v>
      </c>
    </row>
    <row r="57" spans="1:8" x14ac:dyDescent="0.2">
      <c r="A57" s="26"/>
      <c r="B57" s="26"/>
      <c r="C57" s="27" t="s">
        <v>60</v>
      </c>
      <c r="D57" s="26"/>
      <c r="E57" s="26"/>
      <c r="F57" s="32">
        <v>19561.169999999998</v>
      </c>
      <c r="G57" s="29">
        <v>0.37972060000000002</v>
      </c>
      <c r="H57" s="36" t="s">
        <v>12</v>
      </c>
    </row>
    <row r="58" spans="1:8" x14ac:dyDescent="0.2">
      <c r="A58" s="26"/>
      <c r="B58" s="26"/>
      <c r="C58" s="30"/>
      <c r="D58" s="26"/>
      <c r="E58" s="26"/>
      <c r="F58" s="31"/>
      <c r="G58" s="31"/>
      <c r="H58" s="36" t="s">
        <v>12</v>
      </c>
    </row>
    <row r="59" spans="1:8" x14ac:dyDescent="0.2">
      <c r="A59" s="26"/>
      <c r="B59" s="26"/>
      <c r="C59" s="27" t="s">
        <v>61</v>
      </c>
      <c r="D59" s="26"/>
      <c r="E59" s="26"/>
      <c r="F59" s="31"/>
      <c r="G59" s="31"/>
      <c r="H59" s="36" t="s">
        <v>12</v>
      </c>
    </row>
    <row r="60" spans="1:8" x14ac:dyDescent="0.2">
      <c r="A60" s="26"/>
      <c r="B60" s="26"/>
      <c r="C60" s="27" t="s">
        <v>62</v>
      </c>
      <c r="D60" s="26"/>
      <c r="E60" s="26"/>
      <c r="F60" s="31"/>
      <c r="G60" s="31"/>
      <c r="H60" s="36" t="s">
        <v>12</v>
      </c>
    </row>
    <row r="61" spans="1:8" x14ac:dyDescent="0.2">
      <c r="A61" s="33">
        <v>1</v>
      </c>
      <c r="B61" s="34" t="s">
        <v>162</v>
      </c>
      <c r="C61" s="3" t="s">
        <v>163</v>
      </c>
      <c r="D61" s="34" t="s">
        <v>117</v>
      </c>
      <c r="E61" s="35">
        <v>500</v>
      </c>
      <c r="F61" s="36">
        <v>2373.8074999999999</v>
      </c>
      <c r="G61" s="37">
        <v>4.6080250000000003E-2</v>
      </c>
      <c r="H61" s="36">
        <v>7.55</v>
      </c>
    </row>
    <row r="62" spans="1:8" x14ac:dyDescent="0.2">
      <c r="A62" s="33">
        <v>2</v>
      </c>
      <c r="B62" s="34" t="s">
        <v>164</v>
      </c>
      <c r="C62" s="3" t="s">
        <v>484</v>
      </c>
      <c r="D62" s="34" t="s">
        <v>117</v>
      </c>
      <c r="E62" s="35">
        <v>500</v>
      </c>
      <c r="F62" s="36">
        <v>2371.6875</v>
      </c>
      <c r="G62" s="37">
        <v>4.6039099999999999E-2</v>
      </c>
      <c r="H62" s="36">
        <v>7.48</v>
      </c>
    </row>
    <row r="63" spans="1:8" x14ac:dyDescent="0.2">
      <c r="A63" s="33">
        <v>3</v>
      </c>
      <c r="B63" s="34" t="s">
        <v>120</v>
      </c>
      <c r="C63" s="3" t="s">
        <v>461</v>
      </c>
      <c r="D63" s="34" t="s">
        <v>117</v>
      </c>
      <c r="E63" s="35">
        <v>400</v>
      </c>
      <c r="F63" s="36">
        <v>1929.354</v>
      </c>
      <c r="G63" s="37">
        <v>3.7452539999999999E-2</v>
      </c>
      <c r="H63" s="36">
        <v>7.4249999999999998</v>
      </c>
    </row>
    <row r="64" spans="1:8" x14ac:dyDescent="0.2">
      <c r="A64" s="33">
        <v>4</v>
      </c>
      <c r="B64" s="34" t="s">
        <v>165</v>
      </c>
      <c r="C64" s="3" t="s">
        <v>485</v>
      </c>
      <c r="D64" s="34" t="s">
        <v>128</v>
      </c>
      <c r="E64" s="35">
        <v>300</v>
      </c>
      <c r="F64" s="36">
        <v>1470.4965</v>
      </c>
      <c r="G64" s="37">
        <v>2.854522E-2</v>
      </c>
      <c r="H64" s="36">
        <v>7.1101000000000001</v>
      </c>
    </row>
    <row r="65" spans="1:8" ht="25.5" x14ac:dyDescent="0.2">
      <c r="A65" s="33">
        <v>5</v>
      </c>
      <c r="B65" s="34" t="s">
        <v>166</v>
      </c>
      <c r="C65" s="3" t="s">
        <v>167</v>
      </c>
      <c r="D65" s="34" t="s">
        <v>117</v>
      </c>
      <c r="E65" s="35">
        <v>300</v>
      </c>
      <c r="F65" s="36">
        <v>1447.0050000000001</v>
      </c>
      <c r="G65" s="37">
        <v>2.8089200000000002E-2</v>
      </c>
      <c r="H65" s="36">
        <v>7.51</v>
      </c>
    </row>
    <row r="66" spans="1:8" x14ac:dyDescent="0.2">
      <c r="A66" s="33">
        <v>6</v>
      </c>
      <c r="B66" s="34" t="s">
        <v>168</v>
      </c>
      <c r="C66" s="3" t="s">
        <v>486</v>
      </c>
      <c r="D66" s="34" t="s">
        <v>117</v>
      </c>
      <c r="E66" s="35">
        <v>300</v>
      </c>
      <c r="F66" s="36">
        <v>1438.086</v>
      </c>
      <c r="G66" s="37">
        <v>2.7916070000000001E-2</v>
      </c>
      <c r="H66" s="36">
        <v>7.5549999999999997</v>
      </c>
    </row>
    <row r="67" spans="1:8" x14ac:dyDescent="0.2">
      <c r="A67" s="33">
        <v>7</v>
      </c>
      <c r="B67" s="34" t="s">
        <v>169</v>
      </c>
      <c r="C67" s="3" t="s">
        <v>487</v>
      </c>
      <c r="D67" s="34" t="s">
        <v>117</v>
      </c>
      <c r="E67" s="35">
        <v>200</v>
      </c>
      <c r="F67" s="36">
        <v>967.154</v>
      </c>
      <c r="G67" s="37">
        <v>1.8774349999999999E-2</v>
      </c>
      <c r="H67" s="36">
        <v>7.4676</v>
      </c>
    </row>
    <row r="68" spans="1:8" x14ac:dyDescent="0.2">
      <c r="A68" s="33">
        <v>8</v>
      </c>
      <c r="B68" s="34" t="s">
        <v>170</v>
      </c>
      <c r="C68" s="3" t="s">
        <v>488</v>
      </c>
      <c r="D68" s="34" t="s">
        <v>117</v>
      </c>
      <c r="E68" s="35">
        <v>200</v>
      </c>
      <c r="F68" s="36">
        <v>966.01800000000003</v>
      </c>
      <c r="G68" s="37">
        <v>1.87523E-2</v>
      </c>
      <c r="H68" s="36">
        <v>7.4649999999999999</v>
      </c>
    </row>
    <row r="69" spans="1:8" x14ac:dyDescent="0.2">
      <c r="A69" s="33">
        <v>9</v>
      </c>
      <c r="B69" s="34" t="s">
        <v>127</v>
      </c>
      <c r="C69" s="3" t="s">
        <v>468</v>
      </c>
      <c r="D69" s="34" t="s">
        <v>128</v>
      </c>
      <c r="E69" s="35">
        <v>200</v>
      </c>
      <c r="F69" s="36">
        <v>955.14599999999996</v>
      </c>
      <c r="G69" s="37">
        <v>1.8541249999999999E-2</v>
      </c>
      <c r="H69" s="36">
        <v>7.4850000000000003</v>
      </c>
    </row>
    <row r="70" spans="1:8" x14ac:dyDescent="0.2">
      <c r="A70" s="33">
        <v>10</v>
      </c>
      <c r="B70" s="34" t="s">
        <v>129</v>
      </c>
      <c r="C70" s="3" t="s">
        <v>469</v>
      </c>
      <c r="D70" s="34" t="s">
        <v>117</v>
      </c>
      <c r="E70" s="35">
        <v>200</v>
      </c>
      <c r="F70" s="36">
        <v>953.61400000000003</v>
      </c>
      <c r="G70" s="37">
        <v>1.851152E-2</v>
      </c>
      <c r="H70" s="36">
        <v>7.62</v>
      </c>
    </row>
    <row r="71" spans="1:8" ht="25.5" x14ac:dyDescent="0.2">
      <c r="A71" s="33">
        <v>11</v>
      </c>
      <c r="B71" s="34" t="s">
        <v>171</v>
      </c>
      <c r="C71" s="3" t="s">
        <v>489</v>
      </c>
      <c r="D71" s="34" t="s">
        <v>117</v>
      </c>
      <c r="E71" s="35">
        <v>200</v>
      </c>
      <c r="F71" s="36">
        <v>953.25099999999998</v>
      </c>
      <c r="G71" s="37">
        <v>1.8504469999999999E-2</v>
      </c>
      <c r="H71" s="36">
        <v>7.585</v>
      </c>
    </row>
    <row r="72" spans="1:8" x14ac:dyDescent="0.2">
      <c r="A72" s="33">
        <v>12</v>
      </c>
      <c r="B72" s="34" t="s">
        <v>114</v>
      </c>
      <c r="C72" s="3" t="s">
        <v>457</v>
      </c>
      <c r="D72" s="34" t="s">
        <v>115</v>
      </c>
      <c r="E72" s="35">
        <v>200</v>
      </c>
      <c r="F72" s="36">
        <v>951.45</v>
      </c>
      <c r="G72" s="37">
        <v>1.8469510000000001E-2</v>
      </c>
      <c r="H72" s="36">
        <v>7.48</v>
      </c>
    </row>
    <row r="73" spans="1:8" x14ac:dyDescent="0.2">
      <c r="A73" s="33">
        <v>13</v>
      </c>
      <c r="B73" s="34" t="s">
        <v>122</v>
      </c>
      <c r="C73" s="3" t="s">
        <v>463</v>
      </c>
      <c r="D73" s="34" t="s">
        <v>117</v>
      </c>
      <c r="E73" s="35">
        <v>200</v>
      </c>
      <c r="F73" s="36">
        <v>951.02800000000002</v>
      </c>
      <c r="G73" s="37">
        <v>1.846132E-2</v>
      </c>
      <c r="H73" s="36">
        <v>7.5483000000000002</v>
      </c>
    </row>
    <row r="74" spans="1:8" x14ac:dyDescent="0.2">
      <c r="A74" s="33">
        <v>14</v>
      </c>
      <c r="B74" s="34" t="s">
        <v>125</v>
      </c>
      <c r="C74" s="3" t="s">
        <v>466</v>
      </c>
      <c r="D74" s="34" t="s">
        <v>117</v>
      </c>
      <c r="E74" s="35">
        <v>200</v>
      </c>
      <c r="F74" s="36">
        <v>950.30499999999995</v>
      </c>
      <c r="G74" s="37">
        <v>1.844728E-2</v>
      </c>
      <c r="H74" s="36">
        <v>7.6349999999999998</v>
      </c>
    </row>
    <row r="75" spans="1:8" x14ac:dyDescent="0.2">
      <c r="A75" s="33">
        <v>15</v>
      </c>
      <c r="B75" s="34" t="s">
        <v>126</v>
      </c>
      <c r="C75" s="3" t="s">
        <v>467</v>
      </c>
      <c r="D75" s="34" t="s">
        <v>117</v>
      </c>
      <c r="E75" s="35">
        <v>200</v>
      </c>
      <c r="F75" s="36">
        <v>949.95699999999999</v>
      </c>
      <c r="G75" s="37">
        <v>1.844053E-2</v>
      </c>
      <c r="H75" s="36">
        <v>7.6</v>
      </c>
    </row>
    <row r="76" spans="1:8" ht="25.5" x14ac:dyDescent="0.2">
      <c r="A76" s="33">
        <v>16</v>
      </c>
      <c r="B76" s="34" t="s">
        <v>172</v>
      </c>
      <c r="C76" s="3" t="s">
        <v>490</v>
      </c>
      <c r="D76" s="34" t="s">
        <v>117</v>
      </c>
      <c r="E76" s="35">
        <v>200</v>
      </c>
      <c r="F76" s="36">
        <v>949.67600000000004</v>
      </c>
      <c r="G76" s="37">
        <v>1.8435070000000001E-2</v>
      </c>
      <c r="H76" s="36">
        <v>7.585</v>
      </c>
    </row>
    <row r="77" spans="1:8" x14ac:dyDescent="0.2">
      <c r="A77" s="33">
        <v>17</v>
      </c>
      <c r="B77" s="34" t="s">
        <v>118</v>
      </c>
      <c r="C77" s="3" t="s">
        <v>459</v>
      </c>
      <c r="D77" s="34" t="s">
        <v>117</v>
      </c>
      <c r="E77" s="35">
        <v>200</v>
      </c>
      <c r="F77" s="36">
        <v>946.14700000000005</v>
      </c>
      <c r="G77" s="37">
        <v>1.8366569999999999E-2</v>
      </c>
      <c r="H77" s="36">
        <v>7.5</v>
      </c>
    </row>
    <row r="78" spans="1:8" x14ac:dyDescent="0.2">
      <c r="A78" s="33">
        <v>18</v>
      </c>
      <c r="B78" s="34" t="s">
        <v>119</v>
      </c>
      <c r="C78" s="3" t="s">
        <v>460</v>
      </c>
      <c r="D78" s="34" t="s">
        <v>117</v>
      </c>
      <c r="E78" s="35">
        <v>200</v>
      </c>
      <c r="F78" s="36">
        <v>933.21600000000001</v>
      </c>
      <c r="G78" s="37">
        <v>1.8115550000000001E-2</v>
      </c>
      <c r="H78" s="36">
        <v>7.66</v>
      </c>
    </row>
    <row r="79" spans="1:8" x14ac:dyDescent="0.2">
      <c r="A79" s="26"/>
      <c r="B79" s="26"/>
      <c r="C79" s="1" t="s">
        <v>11</v>
      </c>
      <c r="D79" s="26"/>
      <c r="E79" s="26" t="s">
        <v>12</v>
      </c>
      <c r="F79" s="32">
        <v>22457.398499999999</v>
      </c>
      <c r="G79" s="29">
        <v>0.4359421</v>
      </c>
      <c r="H79" s="36" t="s">
        <v>12</v>
      </c>
    </row>
    <row r="80" spans="1:8" x14ac:dyDescent="0.2">
      <c r="A80" s="26"/>
      <c r="B80" s="26"/>
      <c r="C80" s="102"/>
      <c r="D80" s="26"/>
      <c r="E80" s="26"/>
      <c r="F80" s="31"/>
      <c r="G80" s="31"/>
      <c r="H80" s="36" t="s">
        <v>12</v>
      </c>
    </row>
    <row r="81" spans="1:8" x14ac:dyDescent="0.2">
      <c r="A81" s="26"/>
      <c r="B81" s="26"/>
      <c r="C81" s="1" t="s">
        <v>63</v>
      </c>
      <c r="D81" s="26"/>
      <c r="E81" s="26"/>
      <c r="F81" s="31"/>
      <c r="G81" s="31"/>
      <c r="H81" s="36" t="s">
        <v>12</v>
      </c>
    </row>
    <row r="82" spans="1:8" ht="25.5" x14ac:dyDescent="0.2">
      <c r="A82" s="33">
        <v>1</v>
      </c>
      <c r="B82" s="34" t="s">
        <v>173</v>
      </c>
      <c r="C82" s="3" t="s">
        <v>491</v>
      </c>
      <c r="D82" s="34" t="s">
        <v>117</v>
      </c>
      <c r="E82" s="35">
        <v>300</v>
      </c>
      <c r="F82" s="36">
        <v>1404.579</v>
      </c>
      <c r="G82" s="37">
        <v>2.7265629999999999E-2</v>
      </c>
      <c r="H82" s="36">
        <v>9.15</v>
      </c>
    </row>
    <row r="83" spans="1:8" x14ac:dyDescent="0.2">
      <c r="A83" s="33">
        <v>2</v>
      </c>
      <c r="B83" s="34" t="s">
        <v>174</v>
      </c>
      <c r="C83" s="3" t="s">
        <v>492</v>
      </c>
      <c r="D83" s="34" t="s">
        <v>117</v>
      </c>
      <c r="E83" s="35">
        <v>200</v>
      </c>
      <c r="F83" s="36">
        <v>985.80200000000002</v>
      </c>
      <c r="G83" s="37">
        <v>1.913635E-2</v>
      </c>
      <c r="H83" s="36">
        <v>7.9649999999999999</v>
      </c>
    </row>
    <row r="84" spans="1:8" ht="25.5" x14ac:dyDescent="0.2">
      <c r="A84" s="33">
        <v>3</v>
      </c>
      <c r="B84" s="34" t="s">
        <v>175</v>
      </c>
      <c r="C84" s="3" t="s">
        <v>493</v>
      </c>
      <c r="D84" s="34" t="s">
        <v>117</v>
      </c>
      <c r="E84" s="35">
        <v>200</v>
      </c>
      <c r="F84" s="36">
        <v>946.88400000000001</v>
      </c>
      <c r="G84" s="37">
        <v>1.8380870000000001E-2</v>
      </c>
      <c r="H84" s="36">
        <v>8.19</v>
      </c>
    </row>
    <row r="85" spans="1:8" x14ac:dyDescent="0.2">
      <c r="A85" s="33">
        <v>4</v>
      </c>
      <c r="B85" s="34" t="s">
        <v>176</v>
      </c>
      <c r="C85" s="3" t="s">
        <v>494</v>
      </c>
      <c r="D85" s="34" t="s">
        <v>128</v>
      </c>
      <c r="E85" s="35">
        <v>100</v>
      </c>
      <c r="F85" s="36">
        <v>495.625</v>
      </c>
      <c r="G85" s="37">
        <v>9.6210500000000008E-3</v>
      </c>
      <c r="H85" s="36">
        <v>7.16</v>
      </c>
    </row>
    <row r="86" spans="1:8" x14ac:dyDescent="0.2">
      <c r="A86" s="26"/>
      <c r="B86" s="26"/>
      <c r="C86" s="1" t="s">
        <v>11</v>
      </c>
      <c r="D86" s="26"/>
      <c r="E86" s="26" t="s">
        <v>12</v>
      </c>
      <c r="F86" s="32">
        <v>3832.89</v>
      </c>
      <c r="G86" s="29">
        <v>7.4403899999999995E-2</v>
      </c>
      <c r="H86" s="36" t="s">
        <v>12</v>
      </c>
    </row>
    <row r="87" spans="1:8" x14ac:dyDescent="0.2">
      <c r="A87" s="26"/>
      <c r="B87" s="26"/>
      <c r="C87" s="102"/>
      <c r="D87" s="26"/>
      <c r="E87" s="26"/>
      <c r="F87" s="31"/>
      <c r="G87" s="31"/>
      <c r="H87" s="36" t="s">
        <v>12</v>
      </c>
    </row>
    <row r="88" spans="1:8" x14ac:dyDescent="0.2">
      <c r="A88" s="26"/>
      <c r="B88" s="26"/>
      <c r="C88" s="1" t="s">
        <v>64</v>
      </c>
      <c r="D88" s="26"/>
      <c r="E88" s="26"/>
      <c r="F88" s="31"/>
      <c r="G88" s="31"/>
      <c r="H88" s="36" t="s">
        <v>12</v>
      </c>
    </row>
    <row r="89" spans="1:8" x14ac:dyDescent="0.2">
      <c r="A89" s="33">
        <v>1</v>
      </c>
      <c r="B89" s="34" t="s">
        <v>177</v>
      </c>
      <c r="C89" s="3" t="s">
        <v>178</v>
      </c>
      <c r="D89" s="34" t="s">
        <v>54</v>
      </c>
      <c r="E89" s="35">
        <v>2500000</v>
      </c>
      <c r="F89" s="36">
        <v>2389.6574999999998</v>
      </c>
      <c r="G89" s="37">
        <v>4.6387930000000001E-2</v>
      </c>
      <c r="H89" s="36">
        <v>6.9645000000000001</v>
      </c>
    </row>
    <row r="90" spans="1:8" x14ac:dyDescent="0.2">
      <c r="A90" s="26"/>
      <c r="B90" s="26"/>
      <c r="C90" s="27" t="s">
        <v>11</v>
      </c>
      <c r="D90" s="26"/>
      <c r="E90" s="26" t="s">
        <v>12</v>
      </c>
      <c r="F90" s="32">
        <v>2389.6574999999998</v>
      </c>
      <c r="G90" s="29">
        <v>4.6387930000000001E-2</v>
      </c>
      <c r="H90" s="36" t="s">
        <v>12</v>
      </c>
    </row>
    <row r="91" spans="1:8" x14ac:dyDescent="0.2">
      <c r="A91" s="26"/>
      <c r="B91" s="26"/>
      <c r="C91" s="30"/>
      <c r="D91" s="26"/>
      <c r="E91" s="26"/>
      <c r="F91" s="31"/>
      <c r="G91" s="31"/>
      <c r="H91" s="36" t="s">
        <v>12</v>
      </c>
    </row>
    <row r="92" spans="1:8" x14ac:dyDescent="0.2">
      <c r="A92" s="26"/>
      <c r="B92" s="26"/>
      <c r="C92" s="27" t="s">
        <v>65</v>
      </c>
      <c r="D92" s="26"/>
      <c r="E92" s="26"/>
      <c r="F92" s="31"/>
      <c r="G92" s="31"/>
      <c r="H92" s="36" t="s">
        <v>12</v>
      </c>
    </row>
    <row r="93" spans="1:8" x14ac:dyDescent="0.2">
      <c r="A93" s="33">
        <v>1</v>
      </c>
      <c r="B93" s="34" t="s">
        <v>66</v>
      </c>
      <c r="C93" s="34" t="s">
        <v>66</v>
      </c>
      <c r="D93" s="34"/>
      <c r="E93" s="38"/>
      <c r="F93" s="36">
        <v>2876.7871176079998</v>
      </c>
      <c r="G93" s="37">
        <v>5.5844070000000003E-2</v>
      </c>
      <c r="H93" s="36">
        <v>6.6841381571857204</v>
      </c>
    </row>
    <row r="94" spans="1:8" x14ac:dyDescent="0.2">
      <c r="A94" s="26"/>
      <c r="B94" s="26"/>
      <c r="C94" s="27" t="s">
        <v>11</v>
      </c>
      <c r="D94" s="26"/>
      <c r="E94" s="26" t="s">
        <v>12</v>
      </c>
      <c r="F94" s="32">
        <v>2876.7871176079998</v>
      </c>
      <c r="G94" s="29">
        <v>5.5844070000000003E-2</v>
      </c>
      <c r="H94" s="36" t="s">
        <v>12</v>
      </c>
    </row>
    <row r="95" spans="1:8" x14ac:dyDescent="0.2">
      <c r="A95" s="26"/>
      <c r="B95" s="26"/>
      <c r="C95" s="30"/>
      <c r="D95" s="26"/>
      <c r="E95" s="26"/>
      <c r="F95" s="31"/>
      <c r="G95" s="31"/>
      <c r="H95" s="36" t="s">
        <v>12</v>
      </c>
    </row>
    <row r="96" spans="1:8" x14ac:dyDescent="0.2">
      <c r="A96" s="26"/>
      <c r="B96" s="26"/>
      <c r="C96" s="27" t="s">
        <v>67</v>
      </c>
      <c r="D96" s="26"/>
      <c r="E96" s="26"/>
      <c r="F96" s="32">
        <v>31556.733117608001</v>
      </c>
      <c r="G96" s="29">
        <v>0.61257799999999996</v>
      </c>
      <c r="H96" s="36" t="s">
        <v>12</v>
      </c>
    </row>
    <row r="97" spans="1:18" x14ac:dyDescent="0.2">
      <c r="A97" s="26"/>
      <c r="B97" s="26"/>
      <c r="C97" s="31"/>
      <c r="D97" s="26"/>
      <c r="E97" s="26"/>
      <c r="F97" s="26"/>
      <c r="G97" s="26"/>
      <c r="H97" s="36" t="s">
        <v>12</v>
      </c>
    </row>
    <row r="98" spans="1:18" x14ac:dyDescent="0.2">
      <c r="A98" s="26"/>
      <c r="B98" s="26"/>
      <c r="C98" s="27" t="s">
        <v>68</v>
      </c>
      <c r="D98" s="26"/>
      <c r="E98" s="26"/>
      <c r="F98" s="26"/>
      <c r="G98" s="26"/>
      <c r="H98" s="36" t="s">
        <v>12</v>
      </c>
    </row>
    <row r="99" spans="1:18" x14ac:dyDescent="0.2">
      <c r="A99" s="26"/>
      <c r="B99" s="26"/>
      <c r="C99" s="27" t="s">
        <v>69</v>
      </c>
      <c r="D99" s="26"/>
      <c r="E99" s="26"/>
      <c r="F99" s="26"/>
      <c r="G99" s="26"/>
      <c r="H99" s="36" t="s">
        <v>12</v>
      </c>
    </row>
    <row r="100" spans="1:18" x14ac:dyDescent="0.2">
      <c r="A100" s="26"/>
      <c r="B100" s="26"/>
      <c r="C100" s="27" t="s">
        <v>11</v>
      </c>
      <c r="D100" s="26"/>
      <c r="E100" s="26" t="s">
        <v>12</v>
      </c>
      <c r="F100" s="28" t="s">
        <v>13</v>
      </c>
      <c r="G100" s="29">
        <v>0</v>
      </c>
      <c r="H100" s="36" t="s">
        <v>12</v>
      </c>
    </row>
    <row r="101" spans="1:18" x14ac:dyDescent="0.2">
      <c r="A101" s="26"/>
      <c r="B101" s="26"/>
      <c r="C101" s="30"/>
      <c r="D101" s="26"/>
      <c r="E101" s="26"/>
      <c r="F101" s="31"/>
      <c r="G101" s="31"/>
      <c r="H101" s="36" t="s">
        <v>12</v>
      </c>
    </row>
    <row r="102" spans="1:18" x14ac:dyDescent="0.2">
      <c r="A102" s="26"/>
      <c r="B102" s="26"/>
      <c r="C102" s="27" t="s">
        <v>72</v>
      </c>
      <c r="D102" s="26"/>
      <c r="E102" s="26"/>
      <c r="F102" s="26"/>
      <c r="G102" s="26"/>
      <c r="H102" s="36" t="s">
        <v>12</v>
      </c>
    </row>
    <row r="103" spans="1:18" x14ac:dyDescent="0.2">
      <c r="A103" s="26"/>
      <c r="B103" s="26"/>
      <c r="C103" s="27" t="s">
        <v>73</v>
      </c>
      <c r="D103" s="26"/>
      <c r="E103" s="26"/>
      <c r="F103" s="26"/>
      <c r="G103" s="26"/>
      <c r="H103" s="36" t="s">
        <v>12</v>
      </c>
    </row>
    <row r="104" spans="1:18" x14ac:dyDescent="0.2">
      <c r="A104" s="26"/>
      <c r="B104" s="26"/>
      <c r="C104" s="27" t="s">
        <v>11</v>
      </c>
      <c r="D104" s="26"/>
      <c r="E104" s="26" t="s">
        <v>12</v>
      </c>
      <c r="F104" s="28" t="s">
        <v>13</v>
      </c>
      <c r="G104" s="29">
        <v>0</v>
      </c>
      <c r="H104" s="36" t="s">
        <v>12</v>
      </c>
    </row>
    <row r="105" spans="1:18" x14ac:dyDescent="0.2">
      <c r="A105" s="26"/>
      <c r="B105" s="26"/>
      <c r="C105" s="30"/>
      <c r="D105" s="26"/>
      <c r="E105" s="26"/>
      <c r="F105" s="31"/>
      <c r="G105" s="31"/>
      <c r="H105" s="36" t="s">
        <v>12</v>
      </c>
    </row>
    <row r="106" spans="1:18" x14ac:dyDescent="0.2">
      <c r="A106" s="26"/>
      <c r="B106" s="26"/>
      <c r="C106" s="27" t="s">
        <v>74</v>
      </c>
      <c r="D106" s="26"/>
      <c r="E106" s="26"/>
      <c r="F106" s="31"/>
      <c r="G106" s="31"/>
      <c r="H106" s="36" t="s">
        <v>12</v>
      </c>
    </row>
    <row r="107" spans="1:18" x14ac:dyDescent="0.2">
      <c r="A107" s="26"/>
      <c r="B107" s="26"/>
      <c r="C107" s="27" t="s">
        <v>11</v>
      </c>
      <c r="D107" s="26"/>
      <c r="E107" s="26" t="s">
        <v>12</v>
      </c>
      <c r="F107" s="28" t="s">
        <v>13</v>
      </c>
      <c r="G107" s="29">
        <v>0</v>
      </c>
      <c r="H107" s="36" t="s">
        <v>12</v>
      </c>
    </row>
    <row r="108" spans="1:18" x14ac:dyDescent="0.2">
      <c r="A108" s="26"/>
      <c r="B108" s="26"/>
      <c r="C108" s="30"/>
      <c r="D108" s="26"/>
      <c r="E108" s="26"/>
      <c r="F108" s="31"/>
      <c r="G108" s="31"/>
      <c r="H108" s="36" t="s">
        <v>12</v>
      </c>
    </row>
    <row r="109" spans="1:18" x14ac:dyDescent="0.2">
      <c r="A109" s="48"/>
      <c r="B109" s="48"/>
      <c r="C109" s="49" t="s">
        <v>370</v>
      </c>
      <c r="D109" s="48"/>
      <c r="E109" s="48"/>
      <c r="F109" s="50"/>
      <c r="G109" s="50"/>
      <c r="H109" s="51"/>
      <c r="K109" s="52"/>
      <c r="L109" s="52"/>
      <c r="M109" s="52"/>
      <c r="N109" s="52"/>
      <c r="O109" s="52"/>
      <c r="P109" s="53"/>
      <c r="Q109" s="53"/>
      <c r="R109" s="53"/>
    </row>
    <row r="110" spans="1:18" ht="12" customHeight="1" x14ac:dyDescent="0.2">
      <c r="A110" s="105">
        <v>1</v>
      </c>
      <c r="B110" s="106" t="s">
        <v>70</v>
      </c>
      <c r="C110" s="106" t="s">
        <v>71</v>
      </c>
      <c r="D110" s="106"/>
      <c r="E110" s="107">
        <v>1043.4449999999999</v>
      </c>
      <c r="F110" s="51">
        <v>107.171925003</v>
      </c>
      <c r="G110" s="108">
        <v>2.0804199999999999E-3</v>
      </c>
      <c r="H110" s="109"/>
    </row>
    <row r="111" spans="1:18" x14ac:dyDescent="0.2">
      <c r="A111" s="26"/>
      <c r="B111" s="26"/>
      <c r="C111" s="27" t="s">
        <v>11</v>
      </c>
      <c r="D111" s="26"/>
      <c r="E111" s="26" t="s">
        <v>12</v>
      </c>
      <c r="F111" s="32">
        <v>107.171925003</v>
      </c>
      <c r="G111" s="29">
        <v>2.0804199999999999E-3</v>
      </c>
      <c r="H111" s="36" t="s">
        <v>12</v>
      </c>
    </row>
    <row r="112" spans="1:18" x14ac:dyDescent="0.2">
      <c r="A112" s="26"/>
      <c r="B112" s="34"/>
      <c r="C112" s="34"/>
      <c r="D112" s="27"/>
      <c r="E112" s="26"/>
      <c r="F112" s="34"/>
      <c r="G112" s="38"/>
      <c r="H112" s="36" t="s">
        <v>12</v>
      </c>
    </row>
    <row r="113" spans="1:8" x14ac:dyDescent="0.2">
      <c r="A113" s="38"/>
      <c r="B113" s="34"/>
      <c r="C113" s="34" t="s">
        <v>75</v>
      </c>
      <c r="D113" s="34"/>
      <c r="E113" s="38"/>
      <c r="F113" s="36">
        <v>289.56382861999998</v>
      </c>
      <c r="G113" s="37">
        <v>5.6210000000000001E-3</v>
      </c>
      <c r="H113" s="36" t="s">
        <v>12</v>
      </c>
    </row>
    <row r="114" spans="1:8" x14ac:dyDescent="0.2">
      <c r="A114" s="30"/>
      <c r="B114" s="30"/>
      <c r="C114" s="27" t="s">
        <v>76</v>
      </c>
      <c r="D114" s="31"/>
      <c r="E114" s="31"/>
      <c r="F114" s="32">
        <v>51514.638871231</v>
      </c>
      <c r="G114" s="39">
        <v>1.0000000200000001</v>
      </c>
      <c r="H114" s="36" t="s">
        <v>12</v>
      </c>
    </row>
    <row r="115" spans="1:8" x14ac:dyDescent="0.2">
      <c r="A115" s="5"/>
      <c r="B115" s="5"/>
      <c r="C115" s="5"/>
      <c r="D115" s="7"/>
      <c r="E115" s="7"/>
      <c r="F115" s="7"/>
      <c r="G115" s="7"/>
    </row>
    <row r="116" spans="1:8" x14ac:dyDescent="0.2">
      <c r="A116" s="54"/>
      <c r="B116" s="124" t="s">
        <v>371</v>
      </c>
      <c r="C116" s="124"/>
      <c r="D116" s="124"/>
      <c r="E116" s="124"/>
      <c r="F116" s="124"/>
      <c r="G116" s="124"/>
      <c r="H116" s="124"/>
    </row>
    <row r="117" spans="1:8" x14ac:dyDescent="0.2">
      <c r="A117" s="54"/>
      <c r="B117" s="124" t="s">
        <v>372</v>
      </c>
      <c r="C117" s="124"/>
      <c r="D117" s="124"/>
      <c r="E117" s="124"/>
      <c r="F117" s="124"/>
      <c r="G117" s="124"/>
      <c r="H117" s="124"/>
    </row>
    <row r="118" spans="1:8" x14ac:dyDescent="0.2">
      <c r="A118" s="54"/>
      <c r="B118" s="124" t="s">
        <v>373</v>
      </c>
      <c r="C118" s="124"/>
      <c r="D118" s="124"/>
      <c r="E118" s="124"/>
      <c r="F118" s="124"/>
      <c r="G118" s="124"/>
      <c r="H118" s="124"/>
    </row>
    <row r="119" spans="1:8" x14ac:dyDescent="0.2">
      <c r="A119" s="5"/>
      <c r="B119" s="5"/>
      <c r="C119" s="5"/>
      <c r="D119" s="7"/>
      <c r="E119" s="7"/>
      <c r="F119" s="7"/>
      <c r="G119" s="7"/>
    </row>
    <row r="120" spans="1:8" x14ac:dyDescent="0.2">
      <c r="A120" s="5"/>
      <c r="B120" s="119" t="s">
        <v>77</v>
      </c>
      <c r="C120" s="120"/>
      <c r="D120" s="121"/>
      <c r="E120" s="8"/>
      <c r="F120" s="7"/>
      <c r="G120" s="7"/>
    </row>
    <row r="121" spans="1:8" ht="25.5" x14ac:dyDescent="0.2">
      <c r="A121" s="5"/>
      <c r="B121" s="122" t="s">
        <v>78</v>
      </c>
      <c r="C121" s="123"/>
      <c r="D121" s="49" t="s">
        <v>396</v>
      </c>
      <c r="E121" s="8"/>
      <c r="F121" s="7"/>
      <c r="G121" s="7"/>
    </row>
    <row r="122" spans="1:8" x14ac:dyDescent="0.2">
      <c r="A122" s="5"/>
      <c r="B122" s="122" t="s">
        <v>80</v>
      </c>
      <c r="C122" s="123"/>
      <c r="D122" s="1" t="s">
        <v>79</v>
      </c>
      <c r="E122" s="8"/>
      <c r="F122" s="7"/>
      <c r="G122" s="7"/>
    </row>
    <row r="123" spans="1:8" x14ac:dyDescent="0.2">
      <c r="A123" s="5"/>
      <c r="B123" s="122" t="s">
        <v>81</v>
      </c>
      <c r="C123" s="123"/>
      <c r="D123" s="2" t="s">
        <v>12</v>
      </c>
      <c r="E123" s="8"/>
      <c r="F123" s="7"/>
      <c r="G123" s="7"/>
    </row>
    <row r="124" spans="1:8" x14ac:dyDescent="0.2">
      <c r="A124" s="56"/>
      <c r="B124" s="103" t="s">
        <v>12</v>
      </c>
      <c r="C124" s="103" t="s">
        <v>574</v>
      </c>
      <c r="D124" s="103" t="s">
        <v>82</v>
      </c>
      <c r="E124" s="56"/>
      <c r="F124" s="56"/>
      <c r="G124" s="56"/>
      <c r="H124" s="104"/>
    </row>
    <row r="125" spans="1:8" x14ac:dyDescent="0.2">
      <c r="A125" s="9"/>
      <c r="B125" s="11" t="s">
        <v>83</v>
      </c>
      <c r="C125" s="10" t="s">
        <v>84</v>
      </c>
      <c r="D125" s="10" t="s">
        <v>85</v>
      </c>
      <c r="E125" s="9"/>
      <c r="F125" s="9"/>
      <c r="G125" s="9"/>
    </row>
    <row r="126" spans="1:8" x14ac:dyDescent="0.2">
      <c r="A126" s="9"/>
      <c r="B126" s="3" t="s">
        <v>86</v>
      </c>
      <c r="C126" s="12">
        <v>3400.3391999999999</v>
      </c>
      <c r="D126" s="12">
        <v>3410.9848000000002</v>
      </c>
      <c r="E126" s="9"/>
      <c r="F126" s="6"/>
      <c r="G126" s="13"/>
    </row>
    <row r="127" spans="1:8" ht="25.5" x14ac:dyDescent="0.2">
      <c r="A127" s="9"/>
      <c r="B127" s="3" t="s">
        <v>590</v>
      </c>
      <c r="C127" s="12">
        <v>1009.6449</v>
      </c>
      <c r="D127" s="12">
        <v>1009.8391</v>
      </c>
      <c r="E127" s="9"/>
      <c r="F127" s="6"/>
      <c r="G127" s="13"/>
    </row>
    <row r="128" spans="1:8" ht="25.5" x14ac:dyDescent="0.2">
      <c r="A128" s="9"/>
      <c r="B128" s="3" t="s">
        <v>591</v>
      </c>
      <c r="C128" s="12">
        <v>1006.0749</v>
      </c>
      <c r="D128" s="12">
        <v>1005.1937</v>
      </c>
      <c r="E128" s="9"/>
      <c r="F128" s="6"/>
      <c r="G128" s="13"/>
    </row>
    <row r="129" spans="1:7" ht="25.5" x14ac:dyDescent="0.2">
      <c r="A129" s="9"/>
      <c r="B129" s="3" t="s">
        <v>596</v>
      </c>
      <c r="C129" s="12">
        <v>1096.0997</v>
      </c>
      <c r="D129" s="12">
        <v>1095.1405999999999</v>
      </c>
      <c r="E129" s="9"/>
      <c r="F129" s="6"/>
      <c r="G129" s="13"/>
    </row>
    <row r="130" spans="1:7" ht="25.5" x14ac:dyDescent="0.2">
      <c r="A130" s="9"/>
      <c r="B130" s="3" t="s">
        <v>583</v>
      </c>
      <c r="C130" s="12">
        <v>1097.8989999999999</v>
      </c>
      <c r="D130" s="12">
        <v>1095.1428000000001</v>
      </c>
      <c r="E130" s="9"/>
      <c r="F130" s="6"/>
      <c r="G130" s="13"/>
    </row>
    <row r="131" spans="1:7" ht="25.5" x14ac:dyDescent="0.2">
      <c r="A131" s="9"/>
      <c r="B131" s="3" t="s">
        <v>581</v>
      </c>
      <c r="C131" s="12">
        <v>1198.1017999999999</v>
      </c>
      <c r="D131" s="12">
        <v>1194.3389</v>
      </c>
      <c r="E131" s="9"/>
      <c r="F131" s="6"/>
      <c r="G131" s="13"/>
    </row>
    <row r="132" spans="1:7" x14ac:dyDescent="0.2">
      <c r="A132" s="9"/>
      <c r="B132" s="3" t="s">
        <v>87</v>
      </c>
      <c r="C132" s="12">
        <v>3197.3775999999998</v>
      </c>
      <c r="D132" s="12">
        <v>3206.4387000000002</v>
      </c>
      <c r="E132" s="9"/>
      <c r="F132" s="6"/>
      <c r="G132" s="13"/>
    </row>
    <row r="133" spans="1:7" x14ac:dyDescent="0.2">
      <c r="A133" s="9"/>
      <c r="B133" s="3" t="s">
        <v>112</v>
      </c>
      <c r="C133" s="12">
        <v>1238.2566999999999</v>
      </c>
      <c r="D133" s="12">
        <v>1241.7659000000001</v>
      </c>
      <c r="E133" s="9"/>
      <c r="F133" s="6"/>
      <c r="G133" s="13"/>
    </row>
    <row r="134" spans="1:7" ht="25.5" x14ac:dyDescent="0.2">
      <c r="A134" s="9"/>
      <c r="B134" s="3" t="s">
        <v>593</v>
      </c>
      <c r="C134" s="12">
        <v>1015.7943</v>
      </c>
      <c r="D134" s="12">
        <v>1015.9696</v>
      </c>
      <c r="E134" s="9"/>
      <c r="F134" s="6"/>
      <c r="G134" s="13"/>
    </row>
    <row r="135" spans="1:7" ht="25.5" x14ac:dyDescent="0.2">
      <c r="A135" s="9"/>
      <c r="B135" s="3" t="s">
        <v>594</v>
      </c>
      <c r="C135" s="12">
        <v>1010.1386</v>
      </c>
      <c r="D135" s="12">
        <v>1009.2461</v>
      </c>
      <c r="E135" s="9"/>
      <c r="F135" s="6"/>
      <c r="G135" s="13"/>
    </row>
    <row r="136" spans="1:7" ht="25.5" x14ac:dyDescent="0.2">
      <c r="A136" s="9"/>
      <c r="B136" s="3" t="s">
        <v>595</v>
      </c>
      <c r="C136" s="12">
        <v>1086.2437</v>
      </c>
      <c r="D136" s="12">
        <v>1085.4214999999999</v>
      </c>
      <c r="E136" s="9"/>
      <c r="F136" s="6"/>
      <c r="G136" s="13"/>
    </row>
    <row r="137" spans="1:7" ht="25.5" x14ac:dyDescent="0.2">
      <c r="A137" s="9"/>
      <c r="B137" s="3" t="s">
        <v>586</v>
      </c>
      <c r="C137" s="12">
        <v>1087.8738000000001</v>
      </c>
      <c r="D137" s="12">
        <v>1085.4203</v>
      </c>
      <c r="E137" s="9"/>
      <c r="F137" s="6"/>
      <c r="G137" s="13"/>
    </row>
    <row r="138" spans="1:7" ht="25.5" x14ac:dyDescent="0.2">
      <c r="A138" s="9"/>
      <c r="B138" s="3" t="s">
        <v>582</v>
      </c>
      <c r="C138" s="12">
        <v>1165.5119</v>
      </c>
      <c r="D138" s="12">
        <v>1161.3010999999999</v>
      </c>
      <c r="E138" s="9"/>
      <c r="F138" s="6"/>
      <c r="G138" s="13"/>
    </row>
    <row r="139" spans="1:7" x14ac:dyDescent="0.2">
      <c r="A139" s="9"/>
      <c r="B139" s="9"/>
      <c r="C139" s="9"/>
      <c r="D139" s="9"/>
      <c r="E139" s="9"/>
      <c r="F139" s="9"/>
      <c r="G139" s="9"/>
    </row>
    <row r="140" spans="1:7" x14ac:dyDescent="0.2">
      <c r="A140" s="9"/>
      <c r="B140" s="122" t="s">
        <v>589</v>
      </c>
      <c r="C140" s="123"/>
      <c r="D140" s="1" t="s">
        <v>12</v>
      </c>
      <c r="E140" s="9"/>
      <c r="F140" s="9"/>
      <c r="G140" s="9"/>
    </row>
    <row r="141" spans="1:7" x14ac:dyDescent="0.2">
      <c r="A141" s="9"/>
      <c r="B141" s="14" t="s">
        <v>83</v>
      </c>
      <c r="C141" s="15" t="s">
        <v>88</v>
      </c>
      <c r="D141" s="15" t="s">
        <v>89</v>
      </c>
      <c r="E141" s="9"/>
      <c r="F141" s="9"/>
      <c r="G141" s="9"/>
    </row>
    <row r="142" spans="1:7" ht="25.5" x14ac:dyDescent="0.2">
      <c r="A142" s="9"/>
      <c r="B142" s="3" t="s">
        <v>604</v>
      </c>
      <c r="C142" s="16">
        <v>2.9634369999999999</v>
      </c>
      <c r="D142" s="16">
        <v>2.9634369999999999</v>
      </c>
      <c r="E142" s="9"/>
      <c r="F142" s="6"/>
      <c r="G142" s="13"/>
    </row>
    <row r="143" spans="1:7" ht="25.5" x14ac:dyDescent="0.2">
      <c r="A143" s="9"/>
      <c r="B143" s="3" t="s">
        <v>612</v>
      </c>
      <c r="C143" s="16">
        <v>2.9508000000000001</v>
      </c>
      <c r="D143" s="4" t="s">
        <v>90</v>
      </c>
      <c r="E143" s="9"/>
      <c r="F143" s="6"/>
      <c r="G143" s="13"/>
    </row>
    <row r="144" spans="1:7" ht="25.5" x14ac:dyDescent="0.2">
      <c r="A144" s="9"/>
      <c r="B144" s="3" t="s">
        <v>613</v>
      </c>
      <c r="C144" s="16">
        <v>4.3898999999999999</v>
      </c>
      <c r="D144" s="4" t="s">
        <v>90</v>
      </c>
      <c r="E144" s="9"/>
      <c r="F144" s="6"/>
      <c r="G144" s="13"/>
    </row>
    <row r="145" spans="1:15" ht="25.5" x14ac:dyDescent="0.2">
      <c r="A145" s="9"/>
      <c r="B145" s="3" t="s">
        <v>605</v>
      </c>
      <c r="C145" s="16">
        <v>6.1932</v>
      </c>
      <c r="D145" s="16">
        <v>6.1932</v>
      </c>
      <c r="E145" s="9"/>
      <c r="F145" s="6"/>
      <c r="G145" s="13"/>
    </row>
    <row r="146" spans="1:15" ht="25.5" x14ac:dyDescent="0.2">
      <c r="A146" s="9"/>
      <c r="B146" s="3" t="s">
        <v>610</v>
      </c>
      <c r="C146" s="16">
        <v>7.5</v>
      </c>
      <c r="D146" s="16">
        <v>7.5</v>
      </c>
      <c r="E146" s="9"/>
      <c r="F146" s="6"/>
      <c r="G146" s="13"/>
    </row>
    <row r="147" spans="1:15" ht="25.5" x14ac:dyDescent="0.2">
      <c r="A147" s="9"/>
      <c r="B147" s="3" t="s">
        <v>607</v>
      </c>
      <c r="C147" s="16">
        <v>2.70113</v>
      </c>
      <c r="D147" s="16">
        <v>2.70113</v>
      </c>
      <c r="E147" s="9"/>
      <c r="F147" s="6"/>
      <c r="G147" s="13"/>
    </row>
    <row r="148" spans="1:15" ht="25.5" x14ac:dyDescent="0.2">
      <c r="A148" s="9"/>
      <c r="B148" s="3" t="s">
        <v>608</v>
      </c>
      <c r="C148" s="16">
        <v>2.5099999999999998</v>
      </c>
      <c r="D148" s="16">
        <v>2.5099999999999998</v>
      </c>
      <c r="E148" s="9"/>
      <c r="F148" s="6"/>
      <c r="G148" s="13"/>
    </row>
    <row r="149" spans="1:15" ht="25.5" x14ac:dyDescent="0.2">
      <c r="A149" s="9"/>
      <c r="B149" s="3" t="s">
        <v>614</v>
      </c>
      <c r="C149" s="16">
        <v>3.9011</v>
      </c>
      <c r="D149" s="4" t="s">
        <v>90</v>
      </c>
      <c r="E149" s="9"/>
      <c r="F149" s="6"/>
      <c r="G149" s="13"/>
    </row>
    <row r="150" spans="1:15" ht="25.5" x14ac:dyDescent="0.2">
      <c r="A150" s="9"/>
      <c r="B150" s="3" t="s">
        <v>609</v>
      </c>
      <c r="C150" s="16">
        <v>5.5366</v>
      </c>
      <c r="D150" s="16">
        <v>5.5366</v>
      </c>
      <c r="E150" s="9"/>
      <c r="F150" s="6"/>
      <c r="G150" s="13"/>
    </row>
    <row r="151" spans="1:15" ht="25.5" x14ac:dyDescent="0.2">
      <c r="A151" s="9"/>
      <c r="B151" s="3" t="s">
        <v>611</v>
      </c>
      <c r="C151" s="16">
        <v>7.5</v>
      </c>
      <c r="D151" s="16">
        <v>7.5</v>
      </c>
      <c r="E151" s="9"/>
      <c r="F151" s="6"/>
      <c r="G151" s="13"/>
    </row>
    <row r="152" spans="1:15" x14ac:dyDescent="0.2">
      <c r="A152" s="9"/>
      <c r="B152" s="17"/>
      <c r="C152" s="17"/>
      <c r="D152" s="18"/>
      <c r="E152" s="9"/>
      <c r="F152" s="6"/>
      <c r="G152" s="13"/>
      <c r="I152" s="52"/>
    </row>
    <row r="153" spans="1:15" s="59" customFormat="1" x14ac:dyDescent="0.2">
      <c r="A153" s="67"/>
      <c r="B153" s="129" t="s">
        <v>387</v>
      </c>
      <c r="C153" s="130"/>
      <c r="D153" s="57" t="s">
        <v>79</v>
      </c>
      <c r="G153" s="67"/>
      <c r="I153"/>
      <c r="J153" s="23"/>
      <c r="K153" s="52"/>
      <c r="L153" s="52"/>
      <c r="M153" s="52"/>
      <c r="N153" s="52"/>
      <c r="O153" s="68"/>
    </row>
    <row r="154" spans="1:15" x14ac:dyDescent="0.2">
      <c r="A154" s="56"/>
      <c r="B154" s="129" t="s">
        <v>388</v>
      </c>
      <c r="C154" s="130"/>
      <c r="D154" s="57" t="s">
        <v>79</v>
      </c>
      <c r="E154" s="58"/>
      <c r="F154" s="56"/>
      <c r="G154" s="56"/>
      <c r="I154" s="52"/>
    </row>
    <row r="155" spans="1:15" x14ac:dyDescent="0.2">
      <c r="A155" s="56"/>
      <c r="B155" s="129" t="s">
        <v>389</v>
      </c>
      <c r="C155" s="130"/>
      <c r="D155" s="57" t="s">
        <v>79</v>
      </c>
      <c r="E155" s="58"/>
      <c r="F155" s="56"/>
      <c r="G155" s="56"/>
    </row>
    <row r="156" spans="1:15" x14ac:dyDescent="0.2">
      <c r="A156" s="56"/>
      <c r="B156" s="129" t="s">
        <v>390</v>
      </c>
      <c r="C156" s="130"/>
      <c r="D156" s="57" t="s">
        <v>79</v>
      </c>
      <c r="E156" s="58"/>
      <c r="F156" s="56"/>
      <c r="G156" s="56"/>
    </row>
    <row r="157" spans="1:15" x14ac:dyDescent="0.2">
      <c r="A157" s="19"/>
      <c r="B157" s="19"/>
      <c r="C157" s="19"/>
      <c r="D157" s="19"/>
      <c r="E157" s="19"/>
      <c r="F157" s="19"/>
      <c r="G157" s="19"/>
    </row>
    <row r="158" spans="1:15" s="59" customFormat="1" ht="15" x14ac:dyDescent="0.25">
      <c r="B158" s="71" t="s">
        <v>600</v>
      </c>
      <c r="C158" s="71"/>
      <c r="D158" s="71"/>
      <c r="E158" s="71"/>
      <c r="F158" s="71"/>
      <c r="G158" s="71"/>
      <c r="H158" s="71"/>
      <c r="I158" s="70"/>
      <c r="J158" s="23"/>
      <c r="K158" s="52"/>
      <c r="L158" s="52"/>
      <c r="M158" s="52"/>
      <c r="N158" s="52"/>
      <c r="O158" s="68"/>
    </row>
    <row r="159" spans="1:15" s="59" customFormat="1" x14ac:dyDescent="0.2">
      <c r="B159" s="72"/>
      <c r="C159" s="72"/>
      <c r="D159" s="72"/>
      <c r="E159" s="72"/>
      <c r="F159" s="72"/>
      <c r="G159" s="72"/>
      <c r="H159" s="72"/>
      <c r="I159"/>
      <c r="J159" s="23"/>
      <c r="K159" s="52"/>
      <c r="L159" s="52"/>
      <c r="M159" s="52"/>
      <c r="N159" s="52"/>
      <c r="O159" s="68"/>
    </row>
    <row r="160" spans="1:15" s="59" customFormat="1" ht="102" x14ac:dyDescent="0.2">
      <c r="A160" s="73"/>
      <c r="B160" s="74" t="s">
        <v>397</v>
      </c>
      <c r="C160" s="74" t="s">
        <v>398</v>
      </c>
      <c r="D160" s="74" t="s">
        <v>399</v>
      </c>
      <c r="E160" s="74" t="s">
        <v>400</v>
      </c>
      <c r="F160" s="74" t="s">
        <v>401</v>
      </c>
      <c r="G160" s="72"/>
      <c r="H160" s="72"/>
      <c r="I160"/>
      <c r="J160" s="23"/>
      <c r="K160" s="52"/>
      <c r="L160" s="52"/>
      <c r="M160" s="52"/>
      <c r="N160" s="52"/>
      <c r="O160" s="68"/>
    </row>
    <row r="161" spans="1:20" s="59" customFormat="1" x14ac:dyDescent="0.2">
      <c r="A161" s="75"/>
      <c r="B161" s="76" t="s">
        <v>402</v>
      </c>
      <c r="C161" s="76" t="s">
        <v>403</v>
      </c>
      <c r="D161" s="77">
        <v>0</v>
      </c>
      <c r="E161" s="78">
        <v>0</v>
      </c>
      <c r="F161" s="79">
        <v>300</v>
      </c>
      <c r="G161" s="72"/>
      <c r="H161" s="72"/>
      <c r="I161" s="52"/>
      <c r="J161" s="23"/>
      <c r="K161" s="52"/>
      <c r="L161" s="52"/>
      <c r="M161" s="52"/>
      <c r="N161" s="52"/>
      <c r="O161" s="68"/>
    </row>
    <row r="162" spans="1:20" s="59" customFormat="1" x14ac:dyDescent="0.2">
      <c r="A162" s="80"/>
      <c r="B162" s="80"/>
      <c r="C162" s="80"/>
      <c r="D162" s="80"/>
      <c r="E162" s="80"/>
      <c r="F162" s="80"/>
      <c r="G162" s="80"/>
      <c r="I162" s="52"/>
      <c r="J162" s="23"/>
      <c r="K162" s="52"/>
      <c r="L162" s="52"/>
      <c r="M162" s="52"/>
      <c r="N162" s="52"/>
      <c r="O162" s="68"/>
    </row>
    <row r="163" spans="1:20" s="59" customFormat="1" x14ac:dyDescent="0.2">
      <c r="B163" s="125" t="s">
        <v>375</v>
      </c>
      <c r="C163" s="126"/>
      <c r="D163" s="127"/>
      <c r="I163" s="52"/>
      <c r="J163" s="23"/>
      <c r="K163" s="52"/>
      <c r="L163" s="52"/>
      <c r="M163" s="52"/>
      <c r="N163" s="52"/>
      <c r="O163" s="68"/>
    </row>
    <row r="164" spans="1:20" s="59" customFormat="1" ht="51" x14ac:dyDescent="0.2">
      <c r="B164" s="128" t="s">
        <v>376</v>
      </c>
      <c r="C164" s="128"/>
      <c r="D164" s="60" t="s">
        <v>140</v>
      </c>
      <c r="I164" s="52"/>
      <c r="J164" s="23"/>
      <c r="K164" s="52"/>
      <c r="L164" s="52"/>
      <c r="M164" s="52"/>
      <c r="N164" s="52"/>
      <c r="O164" s="68"/>
    </row>
    <row r="165" spans="1:20" s="59" customFormat="1" x14ac:dyDescent="0.2">
      <c r="B165" s="131" t="s">
        <v>377</v>
      </c>
      <c r="C165" s="131"/>
      <c r="D165" s="61"/>
      <c r="I165" s="52"/>
      <c r="J165" s="23"/>
      <c r="K165" s="52"/>
      <c r="L165" s="52"/>
      <c r="M165" s="52"/>
      <c r="N165" s="52"/>
      <c r="O165" s="68"/>
    </row>
    <row r="166" spans="1:20" s="59" customFormat="1" x14ac:dyDescent="0.2">
      <c r="B166" s="131"/>
      <c r="C166" s="131"/>
      <c r="D166" s="62"/>
      <c r="I166"/>
      <c r="J166" s="23"/>
      <c r="K166" s="52"/>
      <c r="L166" s="52"/>
      <c r="M166" s="52"/>
      <c r="N166" s="52"/>
      <c r="O166" s="68"/>
    </row>
    <row r="167" spans="1:20" s="59" customFormat="1" x14ac:dyDescent="0.2">
      <c r="B167" s="131" t="s">
        <v>378</v>
      </c>
      <c r="C167" s="131"/>
      <c r="D167" s="63">
        <v>7.7002265864074371</v>
      </c>
      <c r="I167"/>
      <c r="J167" s="23"/>
      <c r="K167" s="52"/>
      <c r="L167" s="52"/>
      <c r="M167" s="52"/>
      <c r="N167" s="52"/>
      <c r="O167" s="68"/>
    </row>
    <row r="168" spans="1:20" s="59" customFormat="1" x14ac:dyDescent="0.2">
      <c r="B168" s="131"/>
      <c r="C168" s="131"/>
      <c r="D168" s="62"/>
      <c r="I168"/>
      <c r="J168" s="23"/>
      <c r="K168" s="52"/>
      <c r="L168" s="52"/>
      <c r="M168" s="52"/>
      <c r="N168" s="52"/>
      <c r="O168" s="68"/>
      <c r="P168"/>
      <c r="Q168"/>
    </row>
    <row r="169" spans="1:20" s="59" customFormat="1" x14ac:dyDescent="0.2">
      <c r="B169" s="131" t="s">
        <v>379</v>
      </c>
      <c r="C169" s="131"/>
      <c r="D169" s="63">
        <v>0.90938501269681149</v>
      </c>
      <c r="I169"/>
      <c r="J169" s="23"/>
      <c r="K169" s="52"/>
      <c r="L169" s="52"/>
      <c r="M169" s="52"/>
      <c r="N169" s="52"/>
      <c r="O169" s="68"/>
      <c r="P169"/>
      <c r="Q169"/>
    </row>
    <row r="170" spans="1:20" s="59" customFormat="1" x14ac:dyDescent="0.2">
      <c r="B170" s="131" t="s">
        <v>380</v>
      </c>
      <c r="C170" s="131"/>
      <c r="D170" s="63">
        <v>1.0419571673784529</v>
      </c>
      <c r="I170"/>
      <c r="J170" s="23"/>
      <c r="K170" s="52"/>
      <c r="L170" s="52"/>
      <c r="M170" s="52"/>
      <c r="N170" s="52"/>
      <c r="O170"/>
      <c r="P170"/>
      <c r="Q170"/>
    </row>
    <row r="171" spans="1:20" s="59" customFormat="1" x14ac:dyDescent="0.2">
      <c r="B171" s="131"/>
      <c r="C171" s="131"/>
      <c r="D171" s="62"/>
      <c r="I171"/>
      <c r="J171" s="23"/>
      <c r="K171" s="52"/>
      <c r="L171" s="52"/>
      <c r="M171" s="52"/>
      <c r="N171" s="52"/>
      <c r="O171"/>
      <c r="P171"/>
      <c r="Q171"/>
    </row>
    <row r="172" spans="1:20" s="59" customFormat="1" x14ac:dyDescent="0.2">
      <c r="B172" s="131" t="s">
        <v>381</v>
      </c>
      <c r="C172" s="131"/>
      <c r="D172" s="64" t="s">
        <v>599</v>
      </c>
      <c r="I172"/>
      <c r="J172" s="23"/>
      <c r="K172" s="52"/>
      <c r="L172" s="52"/>
      <c r="M172" s="52"/>
      <c r="N172" s="52"/>
      <c r="O172"/>
      <c r="P172"/>
      <c r="Q172"/>
    </row>
    <row r="173" spans="1:20" s="59" customFormat="1" x14ac:dyDescent="0.2">
      <c r="B173" s="132" t="s">
        <v>382</v>
      </c>
      <c r="C173" s="134"/>
      <c r="D173" s="133"/>
      <c r="I173"/>
      <c r="J173" s="23"/>
      <c r="K173" s="52"/>
      <c r="L173" s="52"/>
      <c r="M173" s="52"/>
      <c r="N173" s="52"/>
      <c r="O173"/>
      <c r="P173"/>
      <c r="Q173"/>
      <c r="R173"/>
      <c r="S173"/>
      <c r="T173"/>
    </row>
  </sheetData>
  <mergeCells count="26">
    <mergeCell ref="B169:C169"/>
    <mergeCell ref="B170:C170"/>
    <mergeCell ref="B171:C171"/>
    <mergeCell ref="B172:C172"/>
    <mergeCell ref="B173:D173"/>
    <mergeCell ref="B164:C164"/>
    <mergeCell ref="B165:C165"/>
    <mergeCell ref="B166:C166"/>
    <mergeCell ref="B167:C167"/>
    <mergeCell ref="B168:C168"/>
    <mergeCell ref="B153:C153"/>
    <mergeCell ref="B163:D163"/>
    <mergeCell ref="B155:C155"/>
    <mergeCell ref="B156:C156"/>
    <mergeCell ref="B122:C122"/>
    <mergeCell ref="B123:C123"/>
    <mergeCell ref="B140:C140"/>
    <mergeCell ref="B154:C154"/>
    <mergeCell ref="A1:H1"/>
    <mergeCell ref="A2:H2"/>
    <mergeCell ref="A3:H3"/>
    <mergeCell ref="B120:D120"/>
    <mergeCell ref="B121:C121"/>
    <mergeCell ref="B116:H116"/>
    <mergeCell ref="B117:H117"/>
    <mergeCell ref="B118:H118"/>
  </mergeCells>
  <hyperlinks>
    <hyperlink ref="I1" location="Index!B5" display="Index" xr:uid="{3B1B2534-280B-45A7-847F-BDC2956EA0F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0BA2-FF06-45FC-AD4F-EB0FB22104F5}">
  <sheetPr>
    <outlinePr summaryBelow="0" summaryRight="0"/>
  </sheetPr>
  <dimension ref="A1:R201"/>
  <sheetViews>
    <sheetView showGridLines="0" topLeftCell="A111" workbookViewId="0">
      <selection activeCell="H118" sqref="H118"/>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7.140625" bestFit="1" customWidth="1"/>
    <col min="7" max="7" width="20.5703125" bestFit="1" customWidth="1"/>
    <col min="8" max="8" width="8.85546875" bestFit="1" customWidth="1"/>
    <col min="9" max="9" width="12.140625"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179</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356</v>
      </c>
      <c r="J4" s="23"/>
    </row>
    <row r="5" spans="1:10" ht="14.1" customHeight="1" x14ac:dyDescent="0.2">
      <c r="A5" s="26"/>
      <c r="B5" s="26"/>
      <c r="C5" s="27" t="s">
        <v>9</v>
      </c>
      <c r="D5" s="26"/>
      <c r="E5" s="26"/>
      <c r="F5" s="26"/>
      <c r="G5" s="26"/>
      <c r="H5" s="36" t="s">
        <v>12</v>
      </c>
    </row>
    <row r="6" spans="1:10" x14ac:dyDescent="0.2">
      <c r="A6" s="26"/>
      <c r="B6" s="26"/>
      <c r="C6" s="27" t="s">
        <v>10</v>
      </c>
      <c r="D6" s="26"/>
      <c r="E6" s="26"/>
      <c r="F6" s="26"/>
      <c r="G6" s="26"/>
      <c r="H6" s="36" t="s">
        <v>12</v>
      </c>
    </row>
    <row r="7" spans="1:10" ht="14.1" customHeight="1" x14ac:dyDescent="0.2">
      <c r="A7" s="26"/>
      <c r="B7" s="26"/>
      <c r="C7" s="27" t="s">
        <v>11</v>
      </c>
      <c r="D7" s="26"/>
      <c r="E7" s="26" t="s">
        <v>12</v>
      </c>
      <c r="F7" s="28" t="s">
        <v>13</v>
      </c>
      <c r="G7" s="29">
        <v>0</v>
      </c>
      <c r="H7" s="36" t="s">
        <v>12</v>
      </c>
    </row>
    <row r="8" spans="1:10" ht="14.1" customHeight="1" x14ac:dyDescent="0.2">
      <c r="A8" s="26"/>
      <c r="B8" s="26"/>
      <c r="C8" s="30"/>
      <c r="D8" s="26"/>
      <c r="E8" s="26"/>
      <c r="F8" s="31"/>
      <c r="G8" s="31"/>
      <c r="H8" s="36" t="s">
        <v>12</v>
      </c>
    </row>
    <row r="9" spans="1:10" ht="14.1" customHeight="1" x14ac:dyDescent="0.2">
      <c r="A9" s="26"/>
      <c r="B9" s="26"/>
      <c r="C9" s="27" t="s">
        <v>14</v>
      </c>
      <c r="D9" s="26"/>
      <c r="E9" s="26"/>
      <c r="F9" s="26"/>
      <c r="G9" s="26"/>
      <c r="H9" s="36" t="s">
        <v>12</v>
      </c>
    </row>
    <row r="10" spans="1:10" ht="14.1" customHeight="1" x14ac:dyDescent="0.2">
      <c r="A10" s="26"/>
      <c r="B10" s="26"/>
      <c r="C10" s="27" t="s">
        <v>11</v>
      </c>
      <c r="D10" s="26"/>
      <c r="E10" s="26" t="s">
        <v>12</v>
      </c>
      <c r="F10" s="28" t="s">
        <v>13</v>
      </c>
      <c r="G10" s="29">
        <v>0</v>
      </c>
      <c r="H10" s="36" t="s">
        <v>12</v>
      </c>
    </row>
    <row r="11" spans="1:10" ht="14.1" customHeight="1" x14ac:dyDescent="0.2">
      <c r="A11" s="26"/>
      <c r="B11" s="26"/>
      <c r="C11" s="30"/>
      <c r="D11" s="26"/>
      <c r="E11" s="26"/>
      <c r="F11" s="31"/>
      <c r="G11" s="31"/>
      <c r="H11" s="36" t="s">
        <v>12</v>
      </c>
    </row>
    <row r="12" spans="1:10" ht="14.1" customHeight="1" x14ac:dyDescent="0.2">
      <c r="A12" s="26"/>
      <c r="B12" s="26"/>
      <c r="C12" s="27" t="s">
        <v>15</v>
      </c>
      <c r="D12" s="26"/>
      <c r="E12" s="26"/>
      <c r="F12" s="26"/>
      <c r="G12" s="26"/>
      <c r="H12" s="36" t="s">
        <v>12</v>
      </c>
      <c r="J12" s="65"/>
    </row>
    <row r="13" spans="1:10" ht="14.1" customHeight="1" x14ac:dyDescent="0.2">
      <c r="A13" s="26"/>
      <c r="B13" s="26"/>
      <c r="C13" s="27" t="s">
        <v>11</v>
      </c>
      <c r="D13" s="26"/>
      <c r="E13" s="26" t="s">
        <v>12</v>
      </c>
      <c r="F13" s="28" t="s">
        <v>13</v>
      </c>
      <c r="G13" s="29">
        <v>0</v>
      </c>
      <c r="H13" s="36" t="s">
        <v>12</v>
      </c>
      <c r="J13" s="66"/>
    </row>
    <row r="14" spans="1:10" ht="14.1" customHeight="1" x14ac:dyDescent="0.2">
      <c r="A14" s="26"/>
      <c r="B14" s="26"/>
      <c r="C14" s="30"/>
      <c r="D14" s="26"/>
      <c r="E14" s="26"/>
      <c r="F14" s="31"/>
      <c r="G14" s="31"/>
      <c r="H14" s="36" t="s">
        <v>12</v>
      </c>
      <c r="J14" s="66"/>
    </row>
    <row r="15" spans="1:10" ht="14.1" customHeight="1" x14ac:dyDescent="0.2">
      <c r="A15" s="26"/>
      <c r="B15" s="26"/>
      <c r="C15" s="27" t="s">
        <v>16</v>
      </c>
      <c r="D15" s="26"/>
      <c r="E15" s="26"/>
      <c r="F15" s="26"/>
      <c r="G15" s="26"/>
      <c r="H15" s="36" t="s">
        <v>12</v>
      </c>
      <c r="J15" s="66" t="s">
        <v>404</v>
      </c>
    </row>
    <row r="16" spans="1:10" ht="14.1" customHeight="1" x14ac:dyDescent="0.2">
      <c r="A16" s="26"/>
      <c r="B16" s="26"/>
      <c r="C16" s="27" t="s">
        <v>11</v>
      </c>
      <c r="D16" s="26"/>
      <c r="E16" s="26" t="s">
        <v>12</v>
      </c>
      <c r="F16" s="28" t="s">
        <v>13</v>
      </c>
      <c r="G16" s="29">
        <v>0</v>
      </c>
      <c r="H16" s="36" t="s">
        <v>12</v>
      </c>
    </row>
    <row r="17" spans="1:10" ht="14.1" customHeight="1" x14ac:dyDescent="0.2">
      <c r="A17" s="26"/>
      <c r="B17" s="26"/>
      <c r="C17" s="30"/>
      <c r="D17" s="26"/>
      <c r="E17" s="26"/>
      <c r="F17" s="31"/>
      <c r="G17" s="31"/>
      <c r="H17" s="36" t="s">
        <v>12</v>
      </c>
    </row>
    <row r="18" spans="1:10" ht="14.1" customHeight="1" x14ac:dyDescent="0.2">
      <c r="A18" s="26"/>
      <c r="B18" s="26"/>
      <c r="C18" s="27" t="s">
        <v>17</v>
      </c>
      <c r="D18" s="26"/>
      <c r="E18" s="26"/>
      <c r="F18" s="31"/>
      <c r="G18" s="31"/>
      <c r="H18" s="36" t="s">
        <v>12</v>
      </c>
    </row>
    <row r="19" spans="1:10" ht="14.1" customHeight="1" x14ac:dyDescent="0.2">
      <c r="A19" s="26"/>
      <c r="B19" s="26"/>
      <c r="C19" s="27" t="s">
        <v>11</v>
      </c>
      <c r="D19" s="26"/>
      <c r="E19" s="26" t="s">
        <v>12</v>
      </c>
      <c r="F19" s="28" t="s">
        <v>13</v>
      </c>
      <c r="G19" s="29">
        <v>0</v>
      </c>
      <c r="H19" s="36" t="s">
        <v>12</v>
      </c>
    </row>
    <row r="20" spans="1:10" ht="14.1" customHeight="1" x14ac:dyDescent="0.2">
      <c r="A20" s="26"/>
      <c r="B20" s="26"/>
      <c r="C20" s="30"/>
      <c r="D20" s="26"/>
      <c r="E20" s="26"/>
      <c r="F20" s="31"/>
      <c r="G20" s="31"/>
      <c r="H20" s="36" t="s">
        <v>12</v>
      </c>
    </row>
    <row r="21" spans="1:10" ht="14.1" customHeight="1" x14ac:dyDescent="0.2">
      <c r="A21" s="26"/>
      <c r="B21" s="26"/>
      <c r="C21" s="27" t="s">
        <v>18</v>
      </c>
      <c r="D21" s="26"/>
      <c r="E21" s="26"/>
      <c r="F21" s="31"/>
      <c r="G21" s="31"/>
      <c r="H21" s="36" t="s">
        <v>12</v>
      </c>
    </row>
    <row r="22" spans="1:10" ht="14.1" customHeight="1" x14ac:dyDescent="0.2">
      <c r="A22" s="26"/>
      <c r="B22" s="26"/>
      <c r="C22" s="27" t="s">
        <v>11</v>
      </c>
      <c r="D22" s="26"/>
      <c r="E22" s="26" t="s">
        <v>12</v>
      </c>
      <c r="F22" s="28" t="s">
        <v>13</v>
      </c>
      <c r="G22" s="29">
        <v>0</v>
      </c>
      <c r="H22" s="36" t="s">
        <v>12</v>
      </c>
      <c r="J22" s="65"/>
    </row>
    <row r="23" spans="1:10" ht="14.1" customHeight="1" x14ac:dyDescent="0.2">
      <c r="A23" s="26"/>
      <c r="B23" s="26"/>
      <c r="C23" s="30"/>
      <c r="D23" s="26"/>
      <c r="E23" s="26"/>
      <c r="F23" s="31"/>
      <c r="G23" s="31"/>
      <c r="H23" s="36" t="s">
        <v>12</v>
      </c>
      <c r="J23" s="66"/>
    </row>
    <row r="24" spans="1:10" ht="18" customHeight="1" x14ac:dyDescent="0.2">
      <c r="A24" s="26"/>
      <c r="B24" s="26"/>
      <c r="C24" s="27" t="s">
        <v>19</v>
      </c>
      <c r="D24" s="26"/>
      <c r="E24" s="26"/>
      <c r="F24" s="32">
        <v>0</v>
      </c>
      <c r="G24" s="29">
        <v>0</v>
      </c>
      <c r="H24" s="36" t="s">
        <v>12</v>
      </c>
    </row>
    <row r="25" spans="1:10" ht="14.1" customHeight="1" x14ac:dyDescent="0.2">
      <c r="A25" s="26"/>
      <c r="B25" s="26"/>
      <c r="C25" s="30"/>
      <c r="D25" s="26"/>
      <c r="E25" s="26"/>
      <c r="F25" s="31"/>
      <c r="G25" s="31"/>
      <c r="H25" s="36" t="s">
        <v>12</v>
      </c>
    </row>
    <row r="26" spans="1:10" ht="14.1" customHeight="1" x14ac:dyDescent="0.2">
      <c r="A26" s="26"/>
      <c r="B26" s="26"/>
      <c r="C26" s="27" t="s">
        <v>20</v>
      </c>
      <c r="D26" s="26"/>
      <c r="E26" s="26"/>
      <c r="F26" s="31"/>
      <c r="G26" s="31"/>
      <c r="H26" s="36" t="s">
        <v>12</v>
      </c>
    </row>
    <row r="27" spans="1:10" ht="24" customHeight="1" x14ac:dyDescent="0.2">
      <c r="A27" s="26"/>
      <c r="B27" s="26"/>
      <c r="C27" s="27" t="s">
        <v>10</v>
      </c>
      <c r="D27" s="26"/>
      <c r="E27" s="26"/>
      <c r="F27" s="31"/>
      <c r="G27" s="31"/>
      <c r="H27" s="36" t="s">
        <v>12</v>
      </c>
      <c r="J27" s="66"/>
    </row>
    <row r="28" spans="1:10" ht="29.1" customHeight="1" x14ac:dyDescent="0.2">
      <c r="A28" s="33">
        <v>1</v>
      </c>
      <c r="B28" s="34" t="s">
        <v>180</v>
      </c>
      <c r="C28" s="3" t="s">
        <v>495</v>
      </c>
      <c r="D28" s="34" t="s">
        <v>22</v>
      </c>
      <c r="E28" s="35">
        <v>1000</v>
      </c>
      <c r="F28" s="36">
        <v>10023.74</v>
      </c>
      <c r="G28" s="37">
        <v>1.548274E-2</v>
      </c>
      <c r="H28" s="36">
        <v>7.27</v>
      </c>
      <c r="J28" s="66" t="s">
        <v>405</v>
      </c>
    </row>
    <row r="29" spans="1:10" ht="29.1" customHeight="1" x14ac:dyDescent="0.2">
      <c r="A29" s="33">
        <v>2</v>
      </c>
      <c r="B29" s="34" t="s">
        <v>181</v>
      </c>
      <c r="C29" s="3" t="s">
        <v>496</v>
      </c>
      <c r="D29" s="34" t="s">
        <v>39</v>
      </c>
      <c r="E29" s="35">
        <v>750</v>
      </c>
      <c r="F29" s="36">
        <v>7492.3275000000003</v>
      </c>
      <c r="G29" s="37">
        <v>1.15727E-2</v>
      </c>
      <c r="H29" s="36">
        <v>7.2183999999999999</v>
      </c>
    </row>
    <row r="30" spans="1:10" ht="14.1" customHeight="1" x14ac:dyDescent="0.2">
      <c r="A30" s="26"/>
      <c r="B30" s="26"/>
      <c r="C30" s="27" t="s">
        <v>11</v>
      </c>
      <c r="D30" s="26"/>
      <c r="E30" s="26" t="s">
        <v>12</v>
      </c>
      <c r="F30" s="32">
        <v>17516.067500000001</v>
      </c>
      <c r="G30" s="29">
        <v>2.705544E-2</v>
      </c>
      <c r="H30" s="36" t="s">
        <v>12</v>
      </c>
    </row>
    <row r="31" spans="1:10" ht="14.1" customHeight="1" x14ac:dyDescent="0.2">
      <c r="A31" s="26"/>
      <c r="B31" s="26"/>
      <c r="C31" s="30"/>
      <c r="D31" s="26"/>
      <c r="E31" s="26"/>
      <c r="F31" s="31"/>
      <c r="G31" s="31"/>
      <c r="H31" s="36" t="s">
        <v>12</v>
      </c>
    </row>
    <row r="32" spans="1:10" ht="14.1" customHeight="1" x14ac:dyDescent="0.2">
      <c r="A32" s="26"/>
      <c r="B32" s="26"/>
      <c r="C32" s="27" t="s">
        <v>50</v>
      </c>
      <c r="D32" s="26"/>
      <c r="E32" s="26"/>
      <c r="F32" s="26"/>
      <c r="G32" s="26"/>
      <c r="H32" s="36" t="s">
        <v>12</v>
      </c>
    </row>
    <row r="33" spans="1:8" ht="14.1" customHeight="1" x14ac:dyDescent="0.2">
      <c r="A33" s="26"/>
      <c r="B33" s="26"/>
      <c r="C33" s="27" t="s">
        <v>11</v>
      </c>
      <c r="D33" s="26"/>
      <c r="E33" s="26" t="s">
        <v>12</v>
      </c>
      <c r="F33" s="28" t="s">
        <v>13</v>
      </c>
      <c r="G33" s="29">
        <v>0</v>
      </c>
      <c r="H33" s="36" t="s">
        <v>12</v>
      </c>
    </row>
    <row r="34" spans="1:8" ht="14.1" customHeight="1" x14ac:dyDescent="0.2">
      <c r="A34" s="26"/>
      <c r="B34" s="26"/>
      <c r="C34" s="30"/>
      <c r="D34" s="26"/>
      <c r="E34" s="26"/>
      <c r="F34" s="31"/>
      <c r="G34" s="31"/>
      <c r="H34" s="36" t="s">
        <v>12</v>
      </c>
    </row>
    <row r="35" spans="1:8" ht="14.1" customHeight="1" x14ac:dyDescent="0.2">
      <c r="A35" s="26"/>
      <c r="B35" s="26"/>
      <c r="C35" s="27" t="s">
        <v>51</v>
      </c>
      <c r="D35" s="26"/>
      <c r="E35" s="26"/>
      <c r="F35" s="26"/>
      <c r="G35" s="26"/>
      <c r="H35" s="36" t="s">
        <v>12</v>
      </c>
    </row>
    <row r="36" spans="1:8" ht="14.1" customHeight="1" x14ac:dyDescent="0.2">
      <c r="A36" s="26"/>
      <c r="B36" s="26"/>
      <c r="C36" s="27" t="s">
        <v>11</v>
      </c>
      <c r="D36" s="26"/>
      <c r="E36" s="26" t="s">
        <v>12</v>
      </c>
      <c r="F36" s="28" t="s">
        <v>13</v>
      </c>
      <c r="G36" s="29">
        <v>0</v>
      </c>
      <c r="H36" s="36" t="s">
        <v>12</v>
      </c>
    </row>
    <row r="37" spans="1:8" ht="14.1" customHeight="1" x14ac:dyDescent="0.2">
      <c r="A37" s="26"/>
      <c r="B37" s="26"/>
      <c r="C37" s="30"/>
      <c r="D37" s="26"/>
      <c r="E37" s="26"/>
      <c r="F37" s="31"/>
      <c r="G37" s="31"/>
      <c r="H37" s="36" t="s">
        <v>12</v>
      </c>
    </row>
    <row r="38" spans="1:8" ht="14.1" customHeight="1" x14ac:dyDescent="0.2">
      <c r="A38" s="26"/>
      <c r="B38" s="26"/>
      <c r="C38" s="27" t="s">
        <v>59</v>
      </c>
      <c r="D38" s="26"/>
      <c r="E38" s="26"/>
      <c r="F38" s="31"/>
      <c r="G38" s="31"/>
      <c r="H38" s="36" t="s">
        <v>12</v>
      </c>
    </row>
    <row r="39" spans="1:8" ht="14.1" customHeight="1" x14ac:dyDescent="0.2">
      <c r="A39" s="26"/>
      <c r="B39" s="26"/>
      <c r="C39" s="27" t="s">
        <v>11</v>
      </c>
      <c r="D39" s="26"/>
      <c r="E39" s="26" t="s">
        <v>12</v>
      </c>
      <c r="F39" s="28" t="s">
        <v>13</v>
      </c>
      <c r="G39" s="29">
        <v>0</v>
      </c>
      <c r="H39" s="36" t="s">
        <v>12</v>
      </c>
    </row>
    <row r="40" spans="1:8" ht="14.1" customHeight="1" x14ac:dyDescent="0.2">
      <c r="A40" s="26"/>
      <c r="B40" s="26"/>
      <c r="C40" s="30"/>
      <c r="D40" s="26"/>
      <c r="E40" s="26"/>
      <c r="F40" s="31"/>
      <c r="G40" s="31"/>
      <c r="H40" s="36" t="s">
        <v>12</v>
      </c>
    </row>
    <row r="41" spans="1:8" ht="14.1" customHeight="1" x14ac:dyDescent="0.2">
      <c r="A41" s="26"/>
      <c r="B41" s="26"/>
      <c r="C41" s="27" t="s">
        <v>60</v>
      </c>
      <c r="D41" s="26"/>
      <c r="E41" s="26"/>
      <c r="F41" s="32">
        <v>17516.067500000001</v>
      </c>
      <c r="G41" s="29">
        <v>2.705544E-2</v>
      </c>
      <c r="H41" s="36" t="s">
        <v>12</v>
      </c>
    </row>
    <row r="42" spans="1:8" ht="14.1" customHeight="1" x14ac:dyDescent="0.2">
      <c r="A42" s="26"/>
      <c r="B42" s="26"/>
      <c r="C42" s="30"/>
      <c r="D42" s="26"/>
      <c r="E42" s="26"/>
      <c r="F42" s="31"/>
      <c r="G42" s="31"/>
      <c r="H42" s="36" t="s">
        <v>12</v>
      </c>
    </row>
    <row r="43" spans="1:8" ht="14.1" customHeight="1" x14ac:dyDescent="0.2">
      <c r="A43" s="26"/>
      <c r="B43" s="26"/>
      <c r="C43" s="27" t="s">
        <v>61</v>
      </c>
      <c r="D43" s="26"/>
      <c r="E43" s="26"/>
      <c r="F43" s="31"/>
      <c r="G43" s="31"/>
      <c r="H43" s="36" t="s">
        <v>12</v>
      </c>
    </row>
    <row r="44" spans="1:8" ht="14.1" customHeight="1" x14ac:dyDescent="0.2">
      <c r="A44" s="26"/>
      <c r="B44" s="26"/>
      <c r="C44" s="27" t="s">
        <v>62</v>
      </c>
      <c r="D44" s="26"/>
      <c r="E44" s="26"/>
      <c r="F44" s="31"/>
      <c r="G44" s="31"/>
      <c r="H44" s="36" t="s">
        <v>12</v>
      </c>
    </row>
    <row r="45" spans="1:8" ht="17.100000000000001" customHeight="1" x14ac:dyDescent="0.2">
      <c r="A45" s="33">
        <v>1</v>
      </c>
      <c r="B45" s="34" t="s">
        <v>182</v>
      </c>
      <c r="C45" s="3" t="s">
        <v>497</v>
      </c>
      <c r="D45" s="34" t="s">
        <v>117</v>
      </c>
      <c r="E45" s="35">
        <v>3500</v>
      </c>
      <c r="F45" s="36">
        <v>17281.04</v>
      </c>
      <c r="G45" s="37">
        <v>2.6692420000000001E-2</v>
      </c>
      <c r="H45" s="36">
        <v>7.1151999999999997</v>
      </c>
    </row>
    <row r="46" spans="1:8" ht="17.100000000000001" customHeight="1" x14ac:dyDescent="0.2">
      <c r="A46" s="33">
        <v>2</v>
      </c>
      <c r="B46" s="34" t="s">
        <v>183</v>
      </c>
      <c r="C46" s="3" t="s">
        <v>498</v>
      </c>
      <c r="D46" s="34" t="s">
        <v>117</v>
      </c>
      <c r="E46" s="35">
        <v>3500</v>
      </c>
      <c r="F46" s="36">
        <v>17237.727500000001</v>
      </c>
      <c r="G46" s="37">
        <v>2.662552E-2</v>
      </c>
      <c r="H46" s="36">
        <v>7.1200999999999999</v>
      </c>
    </row>
    <row r="47" spans="1:8" ht="17.100000000000001" customHeight="1" x14ac:dyDescent="0.2">
      <c r="A47" s="33">
        <v>3</v>
      </c>
      <c r="B47" s="34" t="s">
        <v>184</v>
      </c>
      <c r="C47" s="3" t="s">
        <v>499</v>
      </c>
      <c r="D47" s="34" t="s">
        <v>117</v>
      </c>
      <c r="E47" s="35">
        <v>3000</v>
      </c>
      <c r="F47" s="36">
        <v>14750.385</v>
      </c>
      <c r="G47" s="37">
        <v>2.278355E-2</v>
      </c>
      <c r="H47" s="36">
        <v>7.0998999999999999</v>
      </c>
    </row>
    <row r="48" spans="1:8" ht="17.100000000000001" customHeight="1" x14ac:dyDescent="0.2">
      <c r="A48" s="33">
        <v>4</v>
      </c>
      <c r="B48" s="34" t="s">
        <v>185</v>
      </c>
      <c r="C48" s="3" t="s">
        <v>500</v>
      </c>
      <c r="D48" s="34" t="s">
        <v>117</v>
      </c>
      <c r="E48" s="35">
        <v>3000</v>
      </c>
      <c r="F48" s="36">
        <v>14744.73</v>
      </c>
      <c r="G48" s="37">
        <v>2.2774820000000001E-2</v>
      </c>
      <c r="H48" s="36">
        <v>7.1</v>
      </c>
    </row>
    <row r="49" spans="1:8" ht="17.100000000000001" customHeight="1" x14ac:dyDescent="0.2">
      <c r="A49" s="33">
        <v>5</v>
      </c>
      <c r="B49" s="34" t="s">
        <v>186</v>
      </c>
      <c r="C49" s="3" t="s">
        <v>501</v>
      </c>
      <c r="D49" s="34" t="s">
        <v>128</v>
      </c>
      <c r="E49" s="35">
        <v>3000</v>
      </c>
      <c r="F49" s="36">
        <v>14744.385</v>
      </c>
      <c r="G49" s="37">
        <v>2.2774280000000001E-2</v>
      </c>
      <c r="H49" s="36">
        <v>7.11</v>
      </c>
    </row>
    <row r="50" spans="1:8" ht="17.100000000000001" customHeight="1" x14ac:dyDescent="0.2">
      <c r="A50" s="33">
        <v>6</v>
      </c>
      <c r="B50" s="34" t="s">
        <v>187</v>
      </c>
      <c r="C50" s="3" t="s">
        <v>502</v>
      </c>
      <c r="D50" s="34" t="s">
        <v>117</v>
      </c>
      <c r="E50" s="35">
        <v>2500</v>
      </c>
      <c r="F50" s="36">
        <v>12488.1</v>
      </c>
      <c r="G50" s="37">
        <v>1.9289210000000001E-2</v>
      </c>
      <c r="H50" s="36">
        <v>6.9599000000000002</v>
      </c>
    </row>
    <row r="51" spans="1:8" ht="17.100000000000001" customHeight="1" x14ac:dyDescent="0.2">
      <c r="A51" s="33">
        <v>7</v>
      </c>
      <c r="B51" s="34" t="s">
        <v>188</v>
      </c>
      <c r="C51" s="3" t="s">
        <v>503</v>
      </c>
      <c r="D51" s="34" t="s">
        <v>117</v>
      </c>
      <c r="E51" s="35">
        <v>2000</v>
      </c>
      <c r="F51" s="36">
        <v>9896.06</v>
      </c>
      <c r="G51" s="37">
        <v>1.528553E-2</v>
      </c>
      <c r="H51" s="36">
        <v>7.0998999999999999</v>
      </c>
    </row>
    <row r="52" spans="1:8" ht="17.100000000000001" customHeight="1" x14ac:dyDescent="0.2">
      <c r="A52" s="33">
        <v>8</v>
      </c>
      <c r="B52" s="34" t="s">
        <v>189</v>
      </c>
      <c r="C52" s="3" t="s">
        <v>504</v>
      </c>
      <c r="D52" s="34" t="s">
        <v>115</v>
      </c>
      <c r="E52" s="35">
        <v>2000</v>
      </c>
      <c r="F52" s="36">
        <v>9883.14</v>
      </c>
      <c r="G52" s="37">
        <v>1.5265569999999999E-2</v>
      </c>
      <c r="H52" s="36">
        <v>7.0750000000000002</v>
      </c>
    </row>
    <row r="53" spans="1:8" ht="17.100000000000001" customHeight="1" x14ac:dyDescent="0.2">
      <c r="A53" s="33">
        <v>9</v>
      </c>
      <c r="B53" s="34" t="s">
        <v>190</v>
      </c>
      <c r="C53" s="3" t="s">
        <v>505</v>
      </c>
      <c r="D53" s="34" t="s">
        <v>115</v>
      </c>
      <c r="E53" s="35">
        <v>2000</v>
      </c>
      <c r="F53" s="36">
        <v>9869.91</v>
      </c>
      <c r="G53" s="37">
        <v>1.5245130000000001E-2</v>
      </c>
      <c r="H53" s="36">
        <v>7.0750000000000002</v>
      </c>
    </row>
    <row r="54" spans="1:8" ht="17.100000000000001" customHeight="1" x14ac:dyDescent="0.2">
      <c r="A54" s="33">
        <v>10</v>
      </c>
      <c r="B54" s="34" t="s">
        <v>191</v>
      </c>
      <c r="C54" s="3" t="s">
        <v>506</v>
      </c>
      <c r="D54" s="34" t="s">
        <v>128</v>
      </c>
      <c r="E54" s="35">
        <v>2000</v>
      </c>
      <c r="F54" s="36">
        <v>9869.27</v>
      </c>
      <c r="G54" s="37">
        <v>1.524415E-2</v>
      </c>
      <c r="H54" s="36">
        <v>7.11</v>
      </c>
    </row>
    <row r="55" spans="1:8" ht="17.100000000000001" customHeight="1" x14ac:dyDescent="0.2">
      <c r="A55" s="33">
        <v>11</v>
      </c>
      <c r="B55" s="34" t="s">
        <v>192</v>
      </c>
      <c r="C55" s="3" t="s">
        <v>507</v>
      </c>
      <c r="D55" s="34" t="s">
        <v>117</v>
      </c>
      <c r="E55" s="35">
        <v>2000</v>
      </c>
      <c r="F55" s="36">
        <v>9837.35</v>
      </c>
      <c r="G55" s="37">
        <v>1.5194839999999999E-2</v>
      </c>
      <c r="H55" s="36">
        <v>7.1</v>
      </c>
    </row>
    <row r="56" spans="1:8" ht="17.100000000000001" customHeight="1" x14ac:dyDescent="0.2">
      <c r="A56" s="33">
        <v>12</v>
      </c>
      <c r="B56" s="34" t="s">
        <v>193</v>
      </c>
      <c r="C56" s="3" t="s">
        <v>508</v>
      </c>
      <c r="D56" s="34" t="s">
        <v>117</v>
      </c>
      <c r="E56" s="35">
        <v>1500</v>
      </c>
      <c r="F56" s="36">
        <v>7495.74</v>
      </c>
      <c r="G56" s="37">
        <v>1.157797E-2</v>
      </c>
      <c r="H56" s="36">
        <v>6.9192</v>
      </c>
    </row>
    <row r="57" spans="1:8" ht="17.100000000000001" customHeight="1" x14ac:dyDescent="0.2">
      <c r="A57" s="33">
        <v>13</v>
      </c>
      <c r="B57" s="34" t="s">
        <v>194</v>
      </c>
      <c r="C57" s="3" t="s">
        <v>509</v>
      </c>
      <c r="D57" s="34" t="s">
        <v>117</v>
      </c>
      <c r="E57" s="35">
        <v>1500</v>
      </c>
      <c r="F57" s="36">
        <v>7447.8450000000003</v>
      </c>
      <c r="G57" s="37">
        <v>1.1504E-2</v>
      </c>
      <c r="H57" s="36">
        <v>7.1</v>
      </c>
    </row>
    <row r="58" spans="1:8" ht="17.100000000000001" customHeight="1" x14ac:dyDescent="0.2">
      <c r="A58" s="33">
        <v>14</v>
      </c>
      <c r="B58" s="34" t="s">
        <v>195</v>
      </c>
      <c r="C58" s="3" t="s">
        <v>196</v>
      </c>
      <c r="D58" s="34" t="s">
        <v>117</v>
      </c>
      <c r="E58" s="35">
        <v>1500</v>
      </c>
      <c r="F58" s="36">
        <v>7414.8975</v>
      </c>
      <c r="G58" s="37">
        <v>1.1453100000000001E-2</v>
      </c>
      <c r="H58" s="36">
        <v>7.1002000000000001</v>
      </c>
    </row>
    <row r="59" spans="1:8" ht="17.100000000000001" customHeight="1" x14ac:dyDescent="0.2">
      <c r="A59" s="33">
        <v>15</v>
      </c>
      <c r="B59" s="34" t="s">
        <v>197</v>
      </c>
      <c r="C59" s="3" t="s">
        <v>510</v>
      </c>
      <c r="D59" s="34" t="s">
        <v>115</v>
      </c>
      <c r="E59" s="35">
        <v>1500</v>
      </c>
      <c r="F59" s="36">
        <v>7395.3525</v>
      </c>
      <c r="G59" s="37">
        <v>1.142292E-2</v>
      </c>
      <c r="H59" s="36">
        <v>7.0750000000000002</v>
      </c>
    </row>
    <row r="60" spans="1:8" ht="17.100000000000001" customHeight="1" x14ac:dyDescent="0.2">
      <c r="A60" s="33">
        <v>16</v>
      </c>
      <c r="B60" s="34" t="s">
        <v>198</v>
      </c>
      <c r="C60" s="3" t="s">
        <v>511</v>
      </c>
      <c r="D60" s="34" t="s">
        <v>117</v>
      </c>
      <c r="E60" s="35">
        <v>1000</v>
      </c>
      <c r="F60" s="36">
        <v>4924.17</v>
      </c>
      <c r="G60" s="37">
        <v>7.6059099999999996E-3</v>
      </c>
      <c r="H60" s="36">
        <v>7.1151999999999997</v>
      </c>
    </row>
    <row r="61" spans="1:8" ht="14.1" customHeight="1" x14ac:dyDescent="0.2">
      <c r="A61" s="26"/>
      <c r="B61" s="26"/>
      <c r="C61" s="1" t="s">
        <v>11</v>
      </c>
      <c r="D61" s="26"/>
      <c r="E61" s="26" t="s">
        <v>12</v>
      </c>
      <c r="F61" s="32">
        <v>175280.10250000001</v>
      </c>
      <c r="G61" s="29">
        <v>0.27073891999999999</v>
      </c>
      <c r="H61" s="36" t="s">
        <v>12</v>
      </c>
    </row>
    <row r="62" spans="1:8" ht="14.1" customHeight="1" x14ac:dyDescent="0.2">
      <c r="A62" s="26"/>
      <c r="B62" s="26"/>
      <c r="C62" s="102"/>
      <c r="D62" s="26"/>
      <c r="E62" s="26"/>
      <c r="F62" s="31"/>
      <c r="G62" s="31"/>
      <c r="H62" s="36" t="s">
        <v>12</v>
      </c>
    </row>
    <row r="63" spans="1:8" ht="14.1" customHeight="1" x14ac:dyDescent="0.2">
      <c r="A63" s="26"/>
      <c r="B63" s="26"/>
      <c r="C63" s="1" t="s">
        <v>63</v>
      </c>
      <c r="D63" s="26"/>
      <c r="E63" s="26"/>
      <c r="F63" s="31"/>
      <c r="G63" s="31"/>
      <c r="H63" s="36" t="s">
        <v>12</v>
      </c>
    </row>
    <row r="64" spans="1:8" ht="29.1" customHeight="1" x14ac:dyDescent="0.2">
      <c r="A64" s="33">
        <v>1</v>
      </c>
      <c r="B64" s="34" t="s">
        <v>199</v>
      </c>
      <c r="C64" s="3" t="s">
        <v>512</v>
      </c>
      <c r="D64" s="34" t="s">
        <v>117</v>
      </c>
      <c r="E64" s="35">
        <v>3000</v>
      </c>
      <c r="F64" s="36">
        <v>14794.094999999999</v>
      </c>
      <c r="G64" s="37">
        <v>2.2851070000000001E-2</v>
      </c>
      <c r="H64" s="36">
        <v>7.1550000000000002</v>
      </c>
    </row>
    <row r="65" spans="1:8" ht="17.100000000000001" customHeight="1" x14ac:dyDescent="0.2">
      <c r="A65" s="33">
        <v>2</v>
      </c>
      <c r="B65" s="34" t="s">
        <v>200</v>
      </c>
      <c r="C65" s="3" t="s">
        <v>513</v>
      </c>
      <c r="D65" s="34" t="s">
        <v>117</v>
      </c>
      <c r="E65" s="35">
        <v>3000</v>
      </c>
      <c r="F65" s="36">
        <v>14756.19</v>
      </c>
      <c r="G65" s="37">
        <v>2.279252E-2</v>
      </c>
      <c r="H65" s="36">
        <v>7.0949999999999998</v>
      </c>
    </row>
    <row r="66" spans="1:8" ht="17.100000000000001" customHeight="1" x14ac:dyDescent="0.2">
      <c r="A66" s="33">
        <v>3</v>
      </c>
      <c r="B66" s="34" t="s">
        <v>201</v>
      </c>
      <c r="C66" s="3" t="s">
        <v>514</v>
      </c>
      <c r="D66" s="34" t="s">
        <v>117</v>
      </c>
      <c r="E66" s="35">
        <v>2000</v>
      </c>
      <c r="F66" s="36">
        <v>9857.66</v>
      </c>
      <c r="G66" s="37">
        <v>1.522621E-2</v>
      </c>
      <c r="H66" s="36">
        <v>7.32</v>
      </c>
    </row>
    <row r="67" spans="1:8" ht="29.1" customHeight="1" x14ac:dyDescent="0.2">
      <c r="A67" s="33">
        <v>4</v>
      </c>
      <c r="B67" s="34" t="s">
        <v>202</v>
      </c>
      <c r="C67" s="3" t="s">
        <v>515</v>
      </c>
      <c r="D67" s="34" t="s">
        <v>117</v>
      </c>
      <c r="E67" s="35">
        <v>2000</v>
      </c>
      <c r="F67" s="36">
        <v>9847.19</v>
      </c>
      <c r="G67" s="37">
        <v>1.5210039999999999E-2</v>
      </c>
      <c r="H67" s="36">
        <v>7.1700999999999997</v>
      </c>
    </row>
    <row r="68" spans="1:8" ht="17.100000000000001" customHeight="1" x14ac:dyDescent="0.2">
      <c r="A68" s="33">
        <v>5</v>
      </c>
      <c r="B68" s="34" t="s">
        <v>203</v>
      </c>
      <c r="C68" s="3" t="s">
        <v>516</v>
      </c>
      <c r="D68" s="34" t="s">
        <v>117</v>
      </c>
      <c r="E68" s="35">
        <v>2000</v>
      </c>
      <c r="F68" s="36">
        <v>9844.32</v>
      </c>
      <c r="G68" s="37">
        <v>1.520561E-2</v>
      </c>
      <c r="H68" s="36">
        <v>7.8</v>
      </c>
    </row>
    <row r="69" spans="1:8" ht="29.1" customHeight="1" x14ac:dyDescent="0.2">
      <c r="A69" s="33">
        <v>6</v>
      </c>
      <c r="B69" s="34" t="s">
        <v>204</v>
      </c>
      <c r="C69" s="3" t="s">
        <v>517</v>
      </c>
      <c r="D69" s="34" t="s">
        <v>117</v>
      </c>
      <c r="E69" s="35">
        <v>2000</v>
      </c>
      <c r="F69" s="36">
        <v>9831.9699999999993</v>
      </c>
      <c r="G69" s="37">
        <v>1.518653E-2</v>
      </c>
      <c r="H69" s="36">
        <v>7.1700999999999997</v>
      </c>
    </row>
    <row r="70" spans="1:8" ht="17.100000000000001" customHeight="1" x14ac:dyDescent="0.2">
      <c r="A70" s="33">
        <v>7</v>
      </c>
      <c r="B70" s="34" t="s">
        <v>205</v>
      </c>
      <c r="C70" s="3" t="s">
        <v>518</v>
      </c>
      <c r="D70" s="34" t="s">
        <v>117</v>
      </c>
      <c r="E70" s="35">
        <v>2000</v>
      </c>
      <c r="F70" s="36">
        <v>9828.9699999999993</v>
      </c>
      <c r="G70" s="37">
        <v>1.51819E-2</v>
      </c>
      <c r="H70" s="36">
        <v>7.2175000000000002</v>
      </c>
    </row>
    <row r="71" spans="1:8" ht="17.100000000000001" customHeight="1" x14ac:dyDescent="0.2">
      <c r="A71" s="33">
        <v>8</v>
      </c>
      <c r="B71" s="34" t="s">
        <v>206</v>
      </c>
      <c r="C71" s="3" t="s">
        <v>519</v>
      </c>
      <c r="D71" s="34" t="s">
        <v>115</v>
      </c>
      <c r="E71" s="35">
        <v>2000</v>
      </c>
      <c r="F71" s="36">
        <v>9816.81</v>
      </c>
      <c r="G71" s="37">
        <v>1.516312E-2</v>
      </c>
      <c r="H71" s="36">
        <v>7.92</v>
      </c>
    </row>
    <row r="72" spans="1:8" ht="17.100000000000001" customHeight="1" x14ac:dyDescent="0.2">
      <c r="A72" s="33">
        <v>9</v>
      </c>
      <c r="B72" s="34" t="s">
        <v>207</v>
      </c>
      <c r="C72" s="3" t="s">
        <v>520</v>
      </c>
      <c r="D72" s="34" t="s">
        <v>117</v>
      </c>
      <c r="E72" s="35">
        <v>2000</v>
      </c>
      <c r="F72" s="36">
        <v>9814.77</v>
      </c>
      <c r="G72" s="37">
        <v>1.515996E-2</v>
      </c>
      <c r="H72" s="36">
        <v>8.01</v>
      </c>
    </row>
    <row r="73" spans="1:8" ht="17.100000000000001" customHeight="1" x14ac:dyDescent="0.2">
      <c r="A73" s="33">
        <v>10</v>
      </c>
      <c r="B73" s="34" t="s">
        <v>208</v>
      </c>
      <c r="C73" s="3" t="s">
        <v>616</v>
      </c>
      <c r="D73" s="34" t="s">
        <v>576</v>
      </c>
      <c r="E73" s="35">
        <v>2000</v>
      </c>
      <c r="F73" s="36">
        <v>9803.9699999999993</v>
      </c>
      <c r="G73" s="37">
        <v>1.514328E-2</v>
      </c>
      <c r="H73" s="36">
        <v>0</v>
      </c>
    </row>
    <row r="74" spans="1:8" ht="17.100000000000001" customHeight="1" x14ac:dyDescent="0.2">
      <c r="A74" s="33">
        <v>11</v>
      </c>
      <c r="B74" s="34" t="s">
        <v>209</v>
      </c>
      <c r="C74" s="3" t="s">
        <v>210</v>
      </c>
      <c r="D74" s="34" t="s">
        <v>117</v>
      </c>
      <c r="E74" s="35">
        <v>1500</v>
      </c>
      <c r="F74" s="36">
        <v>7497.165</v>
      </c>
      <c r="G74" s="37">
        <v>1.1580180000000001E-2</v>
      </c>
      <c r="H74" s="36">
        <v>6.9036999999999997</v>
      </c>
    </row>
    <row r="75" spans="1:8" ht="29.1" customHeight="1" x14ac:dyDescent="0.2">
      <c r="A75" s="33">
        <v>12</v>
      </c>
      <c r="B75" s="34" t="s">
        <v>211</v>
      </c>
      <c r="C75" s="3" t="s">
        <v>521</v>
      </c>
      <c r="D75" s="34" t="s">
        <v>117</v>
      </c>
      <c r="E75" s="35">
        <v>1500</v>
      </c>
      <c r="F75" s="36">
        <v>7463.3175000000001</v>
      </c>
      <c r="G75" s="37">
        <v>1.1527890000000001E-2</v>
      </c>
      <c r="H75" s="36">
        <v>7.8</v>
      </c>
    </row>
    <row r="76" spans="1:8" ht="29.1" customHeight="1" x14ac:dyDescent="0.2">
      <c r="A76" s="33">
        <v>13</v>
      </c>
      <c r="B76" s="34" t="s">
        <v>212</v>
      </c>
      <c r="C76" s="3" t="s">
        <v>522</v>
      </c>
      <c r="D76" s="34" t="s">
        <v>117</v>
      </c>
      <c r="E76" s="35">
        <v>1500</v>
      </c>
      <c r="F76" s="36">
        <v>7434.8774999999996</v>
      </c>
      <c r="G76" s="37">
        <v>1.148397E-2</v>
      </c>
      <c r="H76" s="36">
        <v>7.1050000000000004</v>
      </c>
    </row>
    <row r="77" spans="1:8" ht="29.1" customHeight="1" x14ac:dyDescent="0.2">
      <c r="A77" s="33">
        <v>14</v>
      </c>
      <c r="B77" s="34" t="s">
        <v>213</v>
      </c>
      <c r="C77" s="3" t="s">
        <v>523</v>
      </c>
      <c r="D77" s="34" t="s">
        <v>117</v>
      </c>
      <c r="E77" s="35">
        <v>1500</v>
      </c>
      <c r="F77" s="36">
        <v>7421.28</v>
      </c>
      <c r="G77" s="37">
        <v>1.1462959999999999E-2</v>
      </c>
      <c r="H77" s="36">
        <v>7.1700999999999997</v>
      </c>
    </row>
    <row r="78" spans="1:8" ht="29.1" customHeight="1" x14ac:dyDescent="0.2">
      <c r="A78" s="33">
        <v>15</v>
      </c>
      <c r="B78" s="34" t="s">
        <v>214</v>
      </c>
      <c r="C78" s="3" t="s">
        <v>524</v>
      </c>
      <c r="D78" s="34" t="s">
        <v>128</v>
      </c>
      <c r="E78" s="35">
        <v>1500</v>
      </c>
      <c r="F78" s="36">
        <v>7411.44</v>
      </c>
      <c r="G78" s="37">
        <v>1.144776E-2</v>
      </c>
      <c r="H78" s="36">
        <v>7.15</v>
      </c>
    </row>
    <row r="79" spans="1:8" ht="29.1" customHeight="1" x14ac:dyDescent="0.2">
      <c r="A79" s="33">
        <v>16</v>
      </c>
      <c r="B79" s="34" t="s">
        <v>215</v>
      </c>
      <c r="C79" s="3" t="s">
        <v>525</v>
      </c>
      <c r="D79" s="34" t="s">
        <v>117</v>
      </c>
      <c r="E79" s="35">
        <v>1500</v>
      </c>
      <c r="F79" s="36">
        <v>7389.5924999999997</v>
      </c>
      <c r="G79" s="37">
        <v>1.141402E-2</v>
      </c>
      <c r="H79" s="36">
        <v>8.02</v>
      </c>
    </row>
    <row r="80" spans="1:8" ht="17.100000000000001" customHeight="1" x14ac:dyDescent="0.2">
      <c r="A80" s="33">
        <v>17</v>
      </c>
      <c r="B80" s="34" t="s">
        <v>216</v>
      </c>
      <c r="C80" s="3" t="s">
        <v>526</v>
      </c>
      <c r="D80" s="34" t="s">
        <v>117</v>
      </c>
      <c r="E80" s="35">
        <v>1500</v>
      </c>
      <c r="F80" s="36">
        <v>7379.8874999999998</v>
      </c>
      <c r="G80" s="37">
        <v>1.1399029999999999E-2</v>
      </c>
      <c r="H80" s="36">
        <v>7.2450000000000001</v>
      </c>
    </row>
    <row r="81" spans="1:8" ht="17.100000000000001" customHeight="1" x14ac:dyDescent="0.2">
      <c r="A81" s="33">
        <v>18</v>
      </c>
      <c r="B81" s="34" t="s">
        <v>217</v>
      </c>
      <c r="C81" s="3" t="s">
        <v>527</v>
      </c>
      <c r="D81" s="34" t="s">
        <v>117</v>
      </c>
      <c r="E81" s="35">
        <v>1500</v>
      </c>
      <c r="F81" s="36">
        <v>7372.8374999999996</v>
      </c>
      <c r="G81" s="37">
        <v>1.138814E-2</v>
      </c>
      <c r="H81" s="36">
        <v>7.32</v>
      </c>
    </row>
    <row r="82" spans="1:8" ht="29.1" customHeight="1" x14ac:dyDescent="0.2">
      <c r="A82" s="33">
        <v>19</v>
      </c>
      <c r="B82" s="34" t="s">
        <v>218</v>
      </c>
      <c r="C82" s="3" t="s">
        <v>528</v>
      </c>
      <c r="D82" s="34" t="s">
        <v>117</v>
      </c>
      <c r="E82" s="35">
        <v>1000</v>
      </c>
      <c r="F82" s="36">
        <v>4986.7299999999996</v>
      </c>
      <c r="G82" s="37">
        <v>7.7025399999999999E-3</v>
      </c>
      <c r="H82" s="36">
        <v>8.0950000000000006</v>
      </c>
    </row>
    <row r="83" spans="1:8" ht="17.100000000000001" customHeight="1" x14ac:dyDescent="0.2">
      <c r="A83" s="33">
        <v>20</v>
      </c>
      <c r="B83" s="34" t="s">
        <v>219</v>
      </c>
      <c r="C83" s="3" t="s">
        <v>529</v>
      </c>
      <c r="D83" s="34" t="s">
        <v>117</v>
      </c>
      <c r="E83" s="35">
        <v>1000</v>
      </c>
      <c r="F83" s="36">
        <v>4960.21</v>
      </c>
      <c r="G83" s="37">
        <v>7.6615800000000003E-3</v>
      </c>
      <c r="H83" s="36">
        <v>7.32</v>
      </c>
    </row>
    <row r="84" spans="1:8" ht="17.100000000000001" customHeight="1" x14ac:dyDescent="0.2">
      <c r="A84" s="33">
        <v>21</v>
      </c>
      <c r="B84" s="34" t="s">
        <v>220</v>
      </c>
      <c r="C84" s="3" t="s">
        <v>530</v>
      </c>
      <c r="D84" s="34" t="s">
        <v>117</v>
      </c>
      <c r="E84" s="35">
        <v>1000</v>
      </c>
      <c r="F84" s="36">
        <v>4959.3149999999996</v>
      </c>
      <c r="G84" s="37">
        <v>7.6601899999999999E-3</v>
      </c>
      <c r="H84" s="36">
        <v>7.88</v>
      </c>
    </row>
    <row r="85" spans="1:8" ht="17.100000000000001" customHeight="1" x14ac:dyDescent="0.2">
      <c r="A85" s="33">
        <v>22</v>
      </c>
      <c r="B85" s="34" t="s">
        <v>221</v>
      </c>
      <c r="C85" s="3" t="s">
        <v>531</v>
      </c>
      <c r="D85" s="34" t="s">
        <v>117</v>
      </c>
      <c r="E85" s="35">
        <v>1000</v>
      </c>
      <c r="F85" s="36">
        <v>4952.5950000000003</v>
      </c>
      <c r="G85" s="37">
        <v>7.6498099999999999E-3</v>
      </c>
      <c r="H85" s="36">
        <v>7.94</v>
      </c>
    </row>
    <row r="86" spans="1:8" ht="29.1" customHeight="1" x14ac:dyDescent="0.2">
      <c r="A86" s="33">
        <v>23</v>
      </c>
      <c r="B86" s="34" t="s">
        <v>222</v>
      </c>
      <c r="C86" s="3" t="s">
        <v>532</v>
      </c>
      <c r="D86" s="34" t="s">
        <v>117</v>
      </c>
      <c r="E86" s="35">
        <v>1000</v>
      </c>
      <c r="F86" s="36">
        <v>4948.18</v>
      </c>
      <c r="G86" s="37">
        <v>7.6429899999999997E-3</v>
      </c>
      <c r="H86" s="36">
        <v>8.31</v>
      </c>
    </row>
    <row r="87" spans="1:8" ht="17.100000000000001" customHeight="1" x14ac:dyDescent="0.2">
      <c r="A87" s="33">
        <v>24</v>
      </c>
      <c r="B87" s="34" t="s">
        <v>223</v>
      </c>
      <c r="C87" s="3" t="s">
        <v>533</v>
      </c>
      <c r="D87" s="34" t="s">
        <v>117</v>
      </c>
      <c r="E87" s="35">
        <v>1000</v>
      </c>
      <c r="F87" s="36">
        <v>4939.45</v>
      </c>
      <c r="G87" s="37">
        <v>7.6295099999999999E-3</v>
      </c>
      <c r="H87" s="36">
        <v>7.8501000000000003</v>
      </c>
    </row>
    <row r="88" spans="1:8" ht="29.1" customHeight="1" x14ac:dyDescent="0.2">
      <c r="A88" s="33">
        <v>25</v>
      </c>
      <c r="B88" s="34" t="s">
        <v>224</v>
      </c>
      <c r="C88" s="3" t="s">
        <v>534</v>
      </c>
      <c r="D88" s="34" t="s">
        <v>117</v>
      </c>
      <c r="E88" s="35">
        <v>1000</v>
      </c>
      <c r="F88" s="36">
        <v>4922.6099999999997</v>
      </c>
      <c r="G88" s="37">
        <v>7.6035E-3</v>
      </c>
      <c r="H88" s="36">
        <v>7.97</v>
      </c>
    </row>
    <row r="89" spans="1:8" ht="17.100000000000001" customHeight="1" x14ac:dyDescent="0.2">
      <c r="A89" s="33">
        <v>26</v>
      </c>
      <c r="B89" s="34" t="s">
        <v>225</v>
      </c>
      <c r="C89" s="3" t="s">
        <v>535</v>
      </c>
      <c r="D89" s="34" t="s">
        <v>117</v>
      </c>
      <c r="E89" s="35">
        <v>1000</v>
      </c>
      <c r="F89" s="36">
        <v>4921.125</v>
      </c>
      <c r="G89" s="37">
        <v>7.6012099999999997E-3</v>
      </c>
      <c r="H89" s="36">
        <v>7.8</v>
      </c>
    </row>
    <row r="90" spans="1:8" ht="17.100000000000001" customHeight="1" x14ac:dyDescent="0.2">
      <c r="A90" s="33">
        <v>27</v>
      </c>
      <c r="B90" s="34" t="s">
        <v>226</v>
      </c>
      <c r="C90" s="3" t="s">
        <v>536</v>
      </c>
      <c r="D90" s="34" t="s">
        <v>117</v>
      </c>
      <c r="E90" s="35">
        <v>1000</v>
      </c>
      <c r="F90" s="36">
        <v>4920.3500000000004</v>
      </c>
      <c r="G90" s="37">
        <v>7.6000099999999999E-3</v>
      </c>
      <c r="H90" s="36">
        <v>7.9850000000000003</v>
      </c>
    </row>
    <row r="91" spans="1:8" ht="29.1" customHeight="1" x14ac:dyDescent="0.2">
      <c r="A91" s="33">
        <v>28</v>
      </c>
      <c r="B91" s="34" t="s">
        <v>227</v>
      </c>
      <c r="C91" s="3" t="s">
        <v>537</v>
      </c>
      <c r="D91" s="34" t="s">
        <v>117</v>
      </c>
      <c r="E91" s="35">
        <v>1000</v>
      </c>
      <c r="F91" s="36">
        <v>4920</v>
      </c>
      <c r="G91" s="37">
        <v>7.5994699999999997E-3</v>
      </c>
      <c r="H91" s="36">
        <v>8.02</v>
      </c>
    </row>
    <row r="92" spans="1:8" ht="29.1" customHeight="1" x14ac:dyDescent="0.2">
      <c r="A92" s="33">
        <v>29</v>
      </c>
      <c r="B92" s="34" t="s">
        <v>228</v>
      </c>
      <c r="C92" s="3" t="s">
        <v>538</v>
      </c>
      <c r="D92" s="34" t="s">
        <v>117</v>
      </c>
      <c r="E92" s="35">
        <v>1000</v>
      </c>
      <c r="F92" s="36">
        <v>4915.42</v>
      </c>
      <c r="G92" s="37">
        <v>7.5923900000000001E-3</v>
      </c>
      <c r="H92" s="36">
        <v>7.95</v>
      </c>
    </row>
    <row r="93" spans="1:8" ht="17.100000000000001" customHeight="1" x14ac:dyDescent="0.2">
      <c r="A93" s="33">
        <v>30</v>
      </c>
      <c r="B93" s="34" t="s">
        <v>229</v>
      </c>
      <c r="C93" s="3" t="s">
        <v>539</v>
      </c>
      <c r="D93" s="34" t="s">
        <v>117</v>
      </c>
      <c r="E93" s="35">
        <v>1000</v>
      </c>
      <c r="F93" s="36">
        <v>4913.87</v>
      </c>
      <c r="G93" s="37">
        <v>7.5900000000000004E-3</v>
      </c>
      <c r="H93" s="36">
        <v>7.27</v>
      </c>
    </row>
    <row r="94" spans="1:8" ht="17.100000000000001" customHeight="1" x14ac:dyDescent="0.2">
      <c r="A94" s="33">
        <v>31</v>
      </c>
      <c r="B94" s="34" t="s">
        <v>230</v>
      </c>
      <c r="C94" s="3" t="s">
        <v>540</v>
      </c>
      <c r="D94" s="34" t="s">
        <v>117</v>
      </c>
      <c r="E94" s="35">
        <v>1000</v>
      </c>
      <c r="F94" s="36">
        <v>4913.53</v>
      </c>
      <c r="G94" s="37">
        <v>7.5894700000000001E-3</v>
      </c>
      <c r="H94" s="36">
        <v>7.2175000000000002</v>
      </c>
    </row>
    <row r="95" spans="1:8" ht="17.100000000000001" customHeight="1" x14ac:dyDescent="0.2">
      <c r="A95" s="33">
        <v>32</v>
      </c>
      <c r="B95" s="34" t="s">
        <v>231</v>
      </c>
      <c r="C95" s="3" t="s">
        <v>541</v>
      </c>
      <c r="D95" s="34" t="s">
        <v>117</v>
      </c>
      <c r="E95" s="35">
        <v>1000</v>
      </c>
      <c r="F95" s="36">
        <v>4906.2700000000004</v>
      </c>
      <c r="G95" s="37">
        <v>7.5782599999999999E-3</v>
      </c>
      <c r="H95" s="36">
        <v>7.8350999999999997</v>
      </c>
    </row>
    <row r="96" spans="1:8" ht="29.1" customHeight="1" x14ac:dyDescent="0.2">
      <c r="A96" s="33">
        <v>33</v>
      </c>
      <c r="B96" s="34" t="s">
        <v>232</v>
      </c>
      <c r="C96" s="3" t="s">
        <v>542</v>
      </c>
      <c r="D96" s="34" t="s">
        <v>117</v>
      </c>
      <c r="E96" s="35">
        <v>1000</v>
      </c>
      <c r="F96" s="36">
        <v>4905.0349999999999</v>
      </c>
      <c r="G96" s="37">
        <v>7.5763499999999999E-3</v>
      </c>
      <c r="H96" s="36">
        <v>7.94</v>
      </c>
    </row>
    <row r="97" spans="1:8" ht="29.1" customHeight="1" x14ac:dyDescent="0.2">
      <c r="A97" s="33">
        <v>34</v>
      </c>
      <c r="B97" s="34" t="s">
        <v>176</v>
      </c>
      <c r="C97" s="3" t="s">
        <v>494</v>
      </c>
      <c r="D97" s="34" t="s">
        <v>128</v>
      </c>
      <c r="E97" s="35">
        <v>900</v>
      </c>
      <c r="F97" s="36">
        <v>4460.625</v>
      </c>
      <c r="G97" s="37">
        <v>6.88991E-3</v>
      </c>
      <c r="H97" s="36">
        <v>7.16</v>
      </c>
    </row>
    <row r="98" spans="1:8" ht="29.1" customHeight="1" x14ac:dyDescent="0.2">
      <c r="A98" s="33">
        <v>35</v>
      </c>
      <c r="B98" s="34" t="s">
        <v>131</v>
      </c>
      <c r="C98" s="3" t="s">
        <v>471</v>
      </c>
      <c r="D98" s="34" t="s">
        <v>117</v>
      </c>
      <c r="E98" s="35">
        <v>800</v>
      </c>
      <c r="F98" s="36">
        <v>3949.1239999999998</v>
      </c>
      <c r="G98" s="37">
        <v>6.0998500000000004E-3</v>
      </c>
      <c r="H98" s="36">
        <v>7.97</v>
      </c>
    </row>
    <row r="99" spans="1:8" ht="29.1" customHeight="1" x14ac:dyDescent="0.2">
      <c r="A99" s="33">
        <v>36</v>
      </c>
      <c r="B99" s="34" t="s">
        <v>233</v>
      </c>
      <c r="C99" s="3" t="s">
        <v>543</v>
      </c>
      <c r="D99" s="34" t="s">
        <v>117</v>
      </c>
      <c r="E99" s="35">
        <v>500</v>
      </c>
      <c r="F99" s="36">
        <v>2470.6849999999999</v>
      </c>
      <c r="G99" s="37">
        <v>3.8162399999999998E-3</v>
      </c>
      <c r="H99" s="36">
        <v>8.02</v>
      </c>
    </row>
    <row r="100" spans="1:8" ht="17.100000000000001" customHeight="1" x14ac:dyDescent="0.2">
      <c r="A100" s="33">
        <v>37</v>
      </c>
      <c r="B100" s="34" t="s">
        <v>234</v>
      </c>
      <c r="C100" s="3" t="s">
        <v>544</v>
      </c>
      <c r="D100" s="34" t="s">
        <v>117</v>
      </c>
      <c r="E100" s="35">
        <v>500</v>
      </c>
      <c r="F100" s="36">
        <v>2463.2800000000002</v>
      </c>
      <c r="G100" s="37">
        <v>3.8048000000000001E-3</v>
      </c>
      <c r="H100" s="36">
        <v>7.2549999999999999</v>
      </c>
    </row>
    <row r="101" spans="1:8" ht="14.1" customHeight="1" x14ac:dyDescent="0.2">
      <c r="A101" s="26"/>
      <c r="B101" s="26"/>
      <c r="C101" s="1" t="s">
        <v>11</v>
      </c>
      <c r="D101" s="26"/>
      <c r="E101" s="26" t="s">
        <v>12</v>
      </c>
      <c r="F101" s="32">
        <v>254894.74650000001</v>
      </c>
      <c r="G101" s="29">
        <v>0.39371226999999998</v>
      </c>
      <c r="H101" s="36" t="s">
        <v>12</v>
      </c>
    </row>
    <row r="102" spans="1:8" ht="14.1" customHeight="1" x14ac:dyDescent="0.2">
      <c r="A102" s="26"/>
      <c r="B102" s="26"/>
      <c r="C102" s="102"/>
      <c r="D102" s="26"/>
      <c r="E102" s="26"/>
      <c r="F102" s="31"/>
      <c r="G102" s="31"/>
      <c r="H102" s="36" t="s">
        <v>12</v>
      </c>
    </row>
    <row r="103" spans="1:8" ht="14.1" customHeight="1" x14ac:dyDescent="0.2">
      <c r="A103" s="26"/>
      <c r="B103" s="26"/>
      <c r="C103" s="1" t="s">
        <v>64</v>
      </c>
      <c r="D103" s="26"/>
      <c r="E103" s="26"/>
      <c r="F103" s="31"/>
      <c r="G103" s="31"/>
      <c r="H103" s="36" t="s">
        <v>12</v>
      </c>
    </row>
    <row r="104" spans="1:8" ht="17.100000000000001" customHeight="1" x14ac:dyDescent="0.2">
      <c r="A104" s="33">
        <v>1</v>
      </c>
      <c r="B104" s="34" t="s">
        <v>235</v>
      </c>
      <c r="C104" s="3" t="s">
        <v>236</v>
      </c>
      <c r="D104" s="34" t="s">
        <v>54</v>
      </c>
      <c r="E104" s="35">
        <v>20000000</v>
      </c>
      <c r="F104" s="36">
        <v>19934.14</v>
      </c>
      <c r="G104" s="37">
        <v>3.0790419999999999E-2</v>
      </c>
      <c r="H104" s="36">
        <v>6.7</v>
      </c>
    </row>
    <row r="105" spans="1:8" ht="17.100000000000001" customHeight="1" x14ac:dyDescent="0.2">
      <c r="A105" s="33">
        <v>2</v>
      </c>
      <c r="B105" s="34" t="s">
        <v>237</v>
      </c>
      <c r="C105" s="3" t="s">
        <v>238</v>
      </c>
      <c r="D105" s="34" t="s">
        <v>54</v>
      </c>
      <c r="E105" s="35">
        <v>20000000</v>
      </c>
      <c r="F105" s="36">
        <v>19825.52</v>
      </c>
      <c r="G105" s="37">
        <v>3.062264E-2</v>
      </c>
      <c r="H105" s="36">
        <v>6.8348000000000004</v>
      </c>
    </row>
    <row r="106" spans="1:8" ht="17.100000000000001" customHeight="1" x14ac:dyDescent="0.2">
      <c r="A106" s="33">
        <v>3</v>
      </c>
      <c r="B106" s="34" t="s">
        <v>239</v>
      </c>
      <c r="C106" s="3" t="s">
        <v>240</v>
      </c>
      <c r="D106" s="34" t="s">
        <v>54</v>
      </c>
      <c r="E106" s="35">
        <v>20000000</v>
      </c>
      <c r="F106" s="36">
        <v>19779.66</v>
      </c>
      <c r="G106" s="37">
        <v>3.0551809999999999E-2</v>
      </c>
      <c r="H106" s="36">
        <v>6.7767999999999997</v>
      </c>
    </row>
    <row r="107" spans="1:8" ht="17.100000000000001" customHeight="1" x14ac:dyDescent="0.2">
      <c r="A107" s="33">
        <v>4</v>
      </c>
      <c r="B107" s="34" t="s">
        <v>241</v>
      </c>
      <c r="C107" s="3" t="s">
        <v>242</v>
      </c>
      <c r="D107" s="34" t="s">
        <v>54</v>
      </c>
      <c r="E107" s="35">
        <v>17500000</v>
      </c>
      <c r="F107" s="36">
        <v>17393.075000000001</v>
      </c>
      <c r="G107" s="37">
        <v>2.6865469999999999E-2</v>
      </c>
      <c r="H107" s="36">
        <v>6.8</v>
      </c>
    </row>
    <row r="108" spans="1:8" ht="17.100000000000001" customHeight="1" x14ac:dyDescent="0.2">
      <c r="A108" s="33">
        <v>5</v>
      </c>
      <c r="B108" s="34" t="s">
        <v>243</v>
      </c>
      <c r="C108" s="3" t="s">
        <v>244</v>
      </c>
      <c r="D108" s="34" t="s">
        <v>54</v>
      </c>
      <c r="E108" s="35">
        <v>15000000</v>
      </c>
      <c r="F108" s="36">
        <v>14871.825000000001</v>
      </c>
      <c r="G108" s="37">
        <v>2.2971129999999999E-2</v>
      </c>
      <c r="H108" s="36">
        <v>6.8392999999999997</v>
      </c>
    </row>
    <row r="109" spans="1:8" ht="17.100000000000001" customHeight="1" x14ac:dyDescent="0.2">
      <c r="A109" s="33">
        <v>6</v>
      </c>
      <c r="B109" s="34" t="s">
        <v>245</v>
      </c>
      <c r="C109" s="3" t="s">
        <v>246</v>
      </c>
      <c r="D109" s="34" t="s">
        <v>54</v>
      </c>
      <c r="E109" s="35">
        <v>10000000</v>
      </c>
      <c r="F109" s="36">
        <v>9980</v>
      </c>
      <c r="G109" s="37">
        <v>1.5415180000000001E-2</v>
      </c>
      <c r="H109" s="36">
        <v>6.65</v>
      </c>
    </row>
    <row r="110" spans="1:8" ht="17.100000000000001" customHeight="1" x14ac:dyDescent="0.2">
      <c r="A110" s="33">
        <v>7</v>
      </c>
      <c r="B110" s="34" t="s">
        <v>247</v>
      </c>
      <c r="C110" s="3" t="s">
        <v>248</v>
      </c>
      <c r="D110" s="34" t="s">
        <v>54</v>
      </c>
      <c r="E110" s="35">
        <v>10000000</v>
      </c>
      <c r="F110" s="36">
        <v>9863.41</v>
      </c>
      <c r="G110" s="37">
        <v>1.523509E-2</v>
      </c>
      <c r="H110" s="36">
        <v>6.8305999999999996</v>
      </c>
    </row>
    <row r="111" spans="1:8" ht="17.100000000000001" customHeight="1" x14ac:dyDescent="0.2">
      <c r="A111" s="33">
        <v>8</v>
      </c>
      <c r="B111" s="34" t="s">
        <v>249</v>
      </c>
      <c r="C111" s="3" t="s">
        <v>250</v>
      </c>
      <c r="D111" s="34" t="s">
        <v>54</v>
      </c>
      <c r="E111" s="35">
        <v>8000000</v>
      </c>
      <c r="F111" s="36">
        <v>7952.5919999999996</v>
      </c>
      <c r="G111" s="37">
        <v>1.228363E-2</v>
      </c>
      <c r="H111" s="36">
        <v>6.8</v>
      </c>
    </row>
    <row r="112" spans="1:8" ht="17.100000000000001" customHeight="1" x14ac:dyDescent="0.2">
      <c r="A112" s="33">
        <v>9</v>
      </c>
      <c r="B112" s="34" t="s">
        <v>251</v>
      </c>
      <c r="C112" s="3" t="s">
        <v>252</v>
      </c>
      <c r="D112" s="34" t="s">
        <v>54</v>
      </c>
      <c r="E112" s="35">
        <v>7000000</v>
      </c>
      <c r="F112" s="36">
        <v>6958.518</v>
      </c>
      <c r="G112" s="37">
        <v>1.074818E-2</v>
      </c>
      <c r="H112" s="36">
        <v>6.8</v>
      </c>
    </row>
    <row r="113" spans="1:8" ht="17.100000000000001" customHeight="1" x14ac:dyDescent="0.2">
      <c r="A113" s="33">
        <v>10</v>
      </c>
      <c r="B113" s="34" t="s">
        <v>253</v>
      </c>
      <c r="C113" s="3" t="s">
        <v>254</v>
      </c>
      <c r="D113" s="34" t="s">
        <v>54</v>
      </c>
      <c r="E113" s="35">
        <v>5000000</v>
      </c>
      <c r="F113" s="36">
        <v>4963.915</v>
      </c>
      <c r="G113" s="37">
        <v>7.6673000000000002E-3</v>
      </c>
      <c r="H113" s="36">
        <v>6.8042999999999996</v>
      </c>
    </row>
    <row r="114" spans="1:8" ht="17.100000000000001" customHeight="1" x14ac:dyDescent="0.2">
      <c r="A114" s="33">
        <v>11</v>
      </c>
      <c r="B114" s="34" t="s">
        <v>255</v>
      </c>
      <c r="C114" s="3" t="s">
        <v>256</v>
      </c>
      <c r="D114" s="34" t="s">
        <v>54</v>
      </c>
      <c r="E114" s="35">
        <v>2500000</v>
      </c>
      <c r="F114" s="36">
        <v>2475.4175</v>
      </c>
      <c r="G114" s="37">
        <v>3.8235500000000002E-3</v>
      </c>
      <c r="H114" s="36">
        <v>6.8392999999999997</v>
      </c>
    </row>
    <row r="115" spans="1:8" ht="14.1" customHeight="1" x14ac:dyDescent="0.2">
      <c r="A115" s="26"/>
      <c r="B115" s="26"/>
      <c r="C115" s="27" t="s">
        <v>11</v>
      </c>
      <c r="D115" s="26"/>
      <c r="E115" s="26" t="s">
        <v>12</v>
      </c>
      <c r="F115" s="32">
        <v>133998.07250000001</v>
      </c>
      <c r="G115" s="29">
        <v>0.2069744</v>
      </c>
      <c r="H115" s="36" t="s">
        <v>12</v>
      </c>
    </row>
    <row r="116" spans="1:8" ht="14.1" customHeight="1" x14ac:dyDescent="0.2">
      <c r="A116" s="26"/>
      <c r="B116" s="26"/>
      <c r="C116" s="30"/>
      <c r="D116" s="26"/>
      <c r="E116" s="26"/>
      <c r="F116" s="31"/>
      <c r="G116" s="31"/>
      <c r="H116" s="36" t="s">
        <v>12</v>
      </c>
    </row>
    <row r="117" spans="1:8" ht="14.1" customHeight="1" x14ac:dyDescent="0.2">
      <c r="A117" s="26"/>
      <c r="B117" s="26"/>
      <c r="C117" s="27" t="s">
        <v>65</v>
      </c>
      <c r="D117" s="26"/>
      <c r="E117" s="26"/>
      <c r="F117" s="31"/>
      <c r="G117" s="31"/>
      <c r="H117" s="36" t="s">
        <v>12</v>
      </c>
    </row>
    <row r="118" spans="1:8" ht="17.100000000000001" customHeight="1" x14ac:dyDescent="0.2">
      <c r="A118" s="33">
        <v>1</v>
      </c>
      <c r="B118" s="34" t="s">
        <v>618</v>
      </c>
      <c r="C118" s="34" t="s">
        <v>617</v>
      </c>
      <c r="D118" s="34"/>
      <c r="E118" s="38"/>
      <c r="F118" s="36">
        <v>39999.893377799999</v>
      </c>
      <c r="G118" s="37">
        <v>6.1784119999999998E-2</v>
      </c>
      <c r="H118" s="36">
        <v>6.7650000000000006</v>
      </c>
    </row>
    <row r="119" spans="1:8" ht="17.100000000000001" customHeight="1" x14ac:dyDescent="0.2">
      <c r="A119" s="33">
        <v>2</v>
      </c>
      <c r="B119" s="34" t="s">
        <v>66</v>
      </c>
      <c r="C119" s="34" t="s">
        <v>66</v>
      </c>
      <c r="D119" s="34"/>
      <c r="E119" s="38"/>
      <c r="F119" s="36">
        <v>28057.166626586</v>
      </c>
      <c r="G119" s="37">
        <v>4.3337300000000002E-2</v>
      </c>
      <c r="H119" s="36">
        <v>6.6841381571857204</v>
      </c>
    </row>
    <row r="120" spans="1:8" ht="14.1" customHeight="1" x14ac:dyDescent="0.2">
      <c r="A120" s="26"/>
      <c r="B120" s="26"/>
      <c r="C120" s="27" t="s">
        <v>11</v>
      </c>
      <c r="D120" s="26"/>
      <c r="E120" s="26" t="s">
        <v>12</v>
      </c>
      <c r="F120" s="32">
        <v>68057.060004899991</v>
      </c>
      <c r="G120" s="29">
        <v>0.1051</v>
      </c>
      <c r="H120" s="36" t="s">
        <v>12</v>
      </c>
    </row>
    <row r="121" spans="1:8" ht="14.1" customHeight="1" x14ac:dyDescent="0.2">
      <c r="A121" s="26"/>
      <c r="B121" s="26"/>
      <c r="C121" s="30"/>
      <c r="D121" s="26"/>
      <c r="E121" s="26"/>
      <c r="F121" s="31"/>
      <c r="G121" s="31"/>
      <c r="H121" s="36" t="s">
        <v>12</v>
      </c>
    </row>
    <row r="122" spans="1:8" ht="14.1" customHeight="1" x14ac:dyDescent="0.2">
      <c r="A122" s="26"/>
      <c r="B122" s="26"/>
      <c r="C122" s="27" t="s">
        <v>67</v>
      </c>
      <c r="D122" s="26"/>
      <c r="E122" s="26"/>
      <c r="F122" s="32">
        <f>F120+F115+F101+F61</f>
        <v>632229.98150490003</v>
      </c>
      <c r="G122" s="29">
        <f>G120+G115+G101+G61</f>
        <v>0.97652558999999994</v>
      </c>
      <c r="H122" s="36" t="s">
        <v>12</v>
      </c>
    </row>
    <row r="123" spans="1:8" ht="14.1" customHeight="1" x14ac:dyDescent="0.2">
      <c r="A123" s="26"/>
      <c r="B123" s="26"/>
      <c r="C123" s="31"/>
      <c r="D123" s="26"/>
      <c r="E123" s="26"/>
      <c r="F123" s="26"/>
      <c r="G123" s="26"/>
      <c r="H123" s="36" t="s">
        <v>12</v>
      </c>
    </row>
    <row r="124" spans="1:8" ht="14.1" customHeight="1" x14ac:dyDescent="0.2">
      <c r="A124" s="26"/>
      <c r="B124" s="26"/>
      <c r="C124" s="27" t="s">
        <v>68</v>
      </c>
      <c r="D124" s="26"/>
      <c r="E124" s="26"/>
      <c r="F124" s="26"/>
      <c r="G124" s="26"/>
      <c r="H124" s="36" t="s">
        <v>12</v>
      </c>
    </row>
    <row r="125" spans="1:8" ht="14.1" customHeight="1" x14ac:dyDescent="0.2">
      <c r="A125" s="26"/>
      <c r="B125" s="26"/>
      <c r="C125" s="27" t="s">
        <v>69</v>
      </c>
      <c r="D125" s="26"/>
      <c r="E125" s="26"/>
      <c r="F125" s="26"/>
      <c r="G125" s="26"/>
      <c r="H125" s="36" t="s">
        <v>12</v>
      </c>
    </row>
    <row r="126" spans="1:8" ht="14.1" customHeight="1" x14ac:dyDescent="0.2">
      <c r="A126" s="26"/>
      <c r="B126" s="26"/>
      <c r="C126" s="27" t="s">
        <v>11</v>
      </c>
      <c r="D126" s="26"/>
      <c r="E126" s="26" t="s">
        <v>12</v>
      </c>
      <c r="F126" s="28" t="s">
        <v>13</v>
      </c>
      <c r="G126" s="29">
        <v>0</v>
      </c>
      <c r="H126" s="36" t="s">
        <v>12</v>
      </c>
    </row>
    <row r="127" spans="1:8" ht="14.1" customHeight="1" x14ac:dyDescent="0.2">
      <c r="A127" s="26"/>
      <c r="B127" s="26"/>
      <c r="C127" s="30"/>
      <c r="D127" s="26"/>
      <c r="E127" s="26"/>
      <c r="F127" s="31"/>
      <c r="G127" s="31"/>
      <c r="H127" s="36" t="s">
        <v>12</v>
      </c>
    </row>
    <row r="128" spans="1:8" ht="14.1" customHeight="1" x14ac:dyDescent="0.2">
      <c r="A128" s="26"/>
      <c r="B128" s="26"/>
      <c r="C128" s="27" t="s">
        <v>72</v>
      </c>
      <c r="D128" s="26"/>
      <c r="E128" s="26"/>
      <c r="F128" s="26"/>
      <c r="G128" s="26"/>
      <c r="H128" s="36" t="s">
        <v>12</v>
      </c>
    </row>
    <row r="129" spans="1:18" ht="14.1" customHeight="1" x14ac:dyDescent="0.2">
      <c r="A129" s="26"/>
      <c r="B129" s="26"/>
      <c r="C129" s="27" t="s">
        <v>73</v>
      </c>
      <c r="D129" s="26"/>
      <c r="E129" s="26"/>
      <c r="F129" s="26"/>
      <c r="G129" s="26"/>
      <c r="H129" s="36" t="s">
        <v>12</v>
      </c>
    </row>
    <row r="130" spans="1:18" ht="14.1" customHeight="1" x14ac:dyDescent="0.2">
      <c r="A130" s="26"/>
      <c r="B130" s="26"/>
      <c r="C130" s="27" t="s">
        <v>11</v>
      </c>
      <c r="D130" s="26"/>
      <c r="E130" s="26" t="s">
        <v>12</v>
      </c>
      <c r="F130" s="28" t="s">
        <v>13</v>
      </c>
      <c r="G130" s="29">
        <v>0</v>
      </c>
      <c r="H130" s="36" t="s">
        <v>12</v>
      </c>
    </row>
    <row r="131" spans="1:18" ht="14.1" customHeight="1" x14ac:dyDescent="0.2">
      <c r="A131" s="26"/>
      <c r="B131" s="26"/>
      <c r="C131" s="30"/>
      <c r="D131" s="26"/>
      <c r="E131" s="26"/>
      <c r="F131" s="31"/>
      <c r="G131" s="31"/>
      <c r="H131" s="36" t="s">
        <v>12</v>
      </c>
    </row>
    <row r="132" spans="1:18" x14ac:dyDescent="0.2">
      <c r="A132" s="26"/>
      <c r="B132" s="26"/>
      <c r="C132" s="27" t="s">
        <v>74</v>
      </c>
      <c r="D132" s="26"/>
      <c r="E132" s="26"/>
      <c r="F132" s="31"/>
      <c r="G132" s="31"/>
      <c r="H132" s="36" t="s">
        <v>12</v>
      </c>
    </row>
    <row r="133" spans="1:18" ht="14.1" customHeight="1" x14ac:dyDescent="0.2">
      <c r="A133" s="26"/>
      <c r="B133" s="26"/>
      <c r="C133" s="27" t="s">
        <v>11</v>
      </c>
      <c r="D133" s="26"/>
      <c r="E133" s="26" t="s">
        <v>12</v>
      </c>
      <c r="F133" s="28" t="s">
        <v>13</v>
      </c>
      <c r="G133" s="29">
        <v>0</v>
      </c>
      <c r="H133" s="36" t="s">
        <v>12</v>
      </c>
    </row>
    <row r="134" spans="1:18" ht="14.1" customHeight="1" x14ac:dyDescent="0.2">
      <c r="A134" s="26"/>
      <c r="B134" s="26"/>
      <c r="C134" s="30"/>
      <c r="D134" s="26"/>
      <c r="E134" s="26"/>
      <c r="F134" s="31"/>
      <c r="G134" s="31"/>
      <c r="H134" s="36" t="s">
        <v>12</v>
      </c>
    </row>
    <row r="135" spans="1:18" x14ac:dyDescent="0.2">
      <c r="A135" s="48"/>
      <c r="B135" s="48"/>
      <c r="C135" s="49" t="s">
        <v>370</v>
      </c>
      <c r="D135" s="48"/>
      <c r="E135" s="48"/>
      <c r="F135" s="50"/>
      <c r="G135" s="50"/>
      <c r="H135" s="51"/>
      <c r="K135" s="52"/>
      <c r="L135" s="52"/>
      <c r="M135" s="52"/>
      <c r="N135" s="52"/>
      <c r="O135" s="52"/>
      <c r="P135" s="53"/>
      <c r="Q135" s="53"/>
      <c r="R135" s="53"/>
    </row>
    <row r="136" spans="1:18" ht="29.1" customHeight="1" x14ac:dyDescent="0.2">
      <c r="A136" s="33">
        <v>1</v>
      </c>
      <c r="B136" s="34" t="s">
        <v>70</v>
      </c>
      <c r="C136" s="34" t="s">
        <v>71</v>
      </c>
      <c r="D136" s="34"/>
      <c r="E136" s="40">
        <v>7968.2974000000004</v>
      </c>
      <c r="F136" s="36">
        <v>818.42145140100001</v>
      </c>
      <c r="G136" s="37">
        <v>1.26414E-3</v>
      </c>
      <c r="H136" s="36"/>
    </row>
    <row r="137" spans="1:18" ht="14.1" customHeight="1" x14ac:dyDescent="0.2">
      <c r="A137" s="26"/>
      <c r="B137" s="26"/>
      <c r="C137" s="27" t="s">
        <v>11</v>
      </c>
      <c r="D137" s="26"/>
      <c r="E137" s="26" t="s">
        <v>12</v>
      </c>
      <c r="F137" s="32">
        <v>818.42145140100001</v>
      </c>
      <c r="G137" s="29">
        <v>1.26414E-3</v>
      </c>
      <c r="H137" s="36" t="s">
        <v>12</v>
      </c>
    </row>
    <row r="138" spans="1:18" ht="14.1" customHeight="1" x14ac:dyDescent="0.2">
      <c r="A138" s="26"/>
      <c r="B138" s="34"/>
      <c r="C138" s="34"/>
      <c r="D138" s="27"/>
      <c r="E138" s="26"/>
      <c r="F138" s="34"/>
      <c r="G138" s="38"/>
      <c r="H138" s="36" t="s">
        <v>12</v>
      </c>
    </row>
    <row r="139" spans="1:18" x14ac:dyDescent="0.2">
      <c r="A139" s="38"/>
      <c r="B139" s="34"/>
      <c r="C139" s="34" t="s">
        <v>75</v>
      </c>
      <c r="D139" s="34"/>
      <c r="E139" s="38"/>
      <c r="F139" s="36">
        <v>-3150.6792504299997</v>
      </c>
      <c r="G139" s="37">
        <v>-4.8665618455163203E-3</v>
      </c>
      <c r="H139" s="36" t="s">
        <v>12</v>
      </c>
    </row>
    <row r="140" spans="1:18" ht="14.1" customHeight="1" x14ac:dyDescent="0.2">
      <c r="A140" s="30"/>
      <c r="B140" s="30"/>
      <c r="C140" s="27" t="s">
        <v>76</v>
      </c>
      <c r="D140" s="31"/>
      <c r="E140" s="31"/>
      <c r="F140" s="32">
        <f>647413.791205857-0.000845256958007812</f>
        <v>647413.79036059999</v>
      </c>
      <c r="G140" s="39">
        <v>1.00000003</v>
      </c>
      <c r="H140" s="36" t="s">
        <v>12</v>
      </c>
    </row>
    <row r="141" spans="1:18" ht="14.1" customHeight="1" x14ac:dyDescent="0.2">
      <c r="A141" s="5"/>
      <c r="B141" s="5"/>
      <c r="C141" s="5"/>
      <c r="D141" s="7"/>
      <c r="E141" s="7"/>
      <c r="F141" s="113"/>
      <c r="G141" s="114"/>
    </row>
    <row r="142" spans="1:18" ht="12.75" customHeight="1" x14ac:dyDescent="0.2">
      <c r="A142" s="54"/>
      <c r="B142" s="124" t="s">
        <v>371</v>
      </c>
      <c r="C142" s="124"/>
      <c r="D142" s="124"/>
      <c r="E142" s="124"/>
      <c r="F142" s="124"/>
      <c r="G142" s="124"/>
      <c r="H142" s="124"/>
    </row>
    <row r="143" spans="1:18" ht="12.75" customHeight="1" x14ac:dyDescent="0.2">
      <c r="A143" s="54"/>
      <c r="B143" s="124" t="s">
        <v>372</v>
      </c>
      <c r="C143" s="124"/>
      <c r="D143" s="124"/>
      <c r="E143" s="124"/>
      <c r="F143" s="124"/>
      <c r="G143" s="124"/>
      <c r="H143" s="124"/>
    </row>
    <row r="144" spans="1:18" ht="12.75" customHeight="1" x14ac:dyDescent="0.2">
      <c r="A144" s="54"/>
      <c r="B144" s="124" t="s">
        <v>373</v>
      </c>
      <c r="C144" s="124"/>
      <c r="D144" s="124"/>
      <c r="E144" s="124"/>
      <c r="F144" s="124"/>
      <c r="G144" s="124"/>
      <c r="H144" s="124"/>
    </row>
    <row r="145" spans="1:8" ht="12.75" customHeight="1" x14ac:dyDescent="0.2">
      <c r="A145" s="54"/>
      <c r="B145" s="140" t="s">
        <v>603</v>
      </c>
      <c r="C145" s="124"/>
      <c r="D145" s="124"/>
      <c r="E145" s="124"/>
      <c r="F145" s="124"/>
      <c r="G145" s="124"/>
      <c r="H145" s="124"/>
    </row>
    <row r="146" spans="1:8" ht="14.1" customHeight="1" x14ac:dyDescent="0.2">
      <c r="A146" s="5"/>
      <c r="B146" s="5"/>
      <c r="C146" s="5"/>
      <c r="D146" s="7"/>
      <c r="E146" s="7"/>
      <c r="F146" s="7"/>
      <c r="G146" s="7"/>
    </row>
    <row r="147" spans="1:8" ht="14.1" customHeight="1" x14ac:dyDescent="0.2">
      <c r="A147" s="5"/>
      <c r="B147" s="119" t="s">
        <v>77</v>
      </c>
      <c r="C147" s="120"/>
      <c r="D147" s="121"/>
      <c r="E147" s="8"/>
      <c r="F147" s="7"/>
      <c r="G147" s="7"/>
    </row>
    <row r="148" spans="1:8" ht="29.1" customHeight="1" x14ac:dyDescent="0.2">
      <c r="A148" s="5"/>
      <c r="B148" s="122" t="s">
        <v>78</v>
      </c>
      <c r="C148" s="123"/>
      <c r="D148" s="49" t="s">
        <v>396</v>
      </c>
      <c r="E148" s="8"/>
      <c r="F148" s="7"/>
      <c r="G148" s="7"/>
    </row>
    <row r="149" spans="1:8" ht="17.100000000000001" customHeight="1" x14ac:dyDescent="0.2">
      <c r="A149" s="5"/>
      <c r="B149" s="122" t="s">
        <v>80</v>
      </c>
      <c r="C149" s="123"/>
      <c r="D149" s="1" t="s">
        <v>79</v>
      </c>
      <c r="E149" s="8"/>
      <c r="F149" s="7"/>
      <c r="G149" s="7"/>
    </row>
    <row r="150" spans="1:8" ht="17.100000000000001" customHeight="1" x14ac:dyDescent="0.2">
      <c r="A150" s="5"/>
      <c r="B150" s="122" t="s">
        <v>81</v>
      </c>
      <c r="C150" s="123"/>
      <c r="D150" s="2" t="s">
        <v>12</v>
      </c>
      <c r="E150" s="8"/>
      <c r="F150" s="7"/>
      <c r="G150" s="7"/>
    </row>
    <row r="151" spans="1:8" x14ac:dyDescent="0.2">
      <c r="A151" s="56"/>
      <c r="B151" s="103" t="s">
        <v>12</v>
      </c>
      <c r="C151" s="103" t="s">
        <v>574</v>
      </c>
      <c r="D151" s="103" t="s">
        <v>82</v>
      </c>
      <c r="E151" s="56"/>
      <c r="F151" s="56"/>
      <c r="G151" s="56"/>
      <c r="H151" s="104"/>
    </row>
    <row r="152" spans="1:8" ht="18" customHeight="1" x14ac:dyDescent="0.2">
      <c r="A152" s="9"/>
      <c r="B152" s="11" t="s">
        <v>83</v>
      </c>
      <c r="C152" s="10" t="s">
        <v>84</v>
      </c>
      <c r="D152" s="10" t="s">
        <v>85</v>
      </c>
      <c r="E152" s="9"/>
      <c r="F152" s="9"/>
      <c r="G152" s="9"/>
    </row>
    <row r="153" spans="1:8" ht="17.100000000000001" customHeight="1" x14ac:dyDescent="0.2">
      <c r="A153" s="9"/>
      <c r="B153" s="3" t="s">
        <v>86</v>
      </c>
      <c r="C153" s="12">
        <v>2158.8658</v>
      </c>
      <c r="D153" s="12">
        <v>2165.1520999999998</v>
      </c>
      <c r="E153" s="9"/>
      <c r="F153" s="6"/>
      <c r="G153" s="13"/>
    </row>
    <row r="154" spans="1:8" ht="17.100000000000001" customHeight="1" x14ac:dyDescent="0.2">
      <c r="A154" s="9"/>
      <c r="B154" s="3" t="s">
        <v>110</v>
      </c>
      <c r="C154" s="12">
        <v>1187.1831</v>
      </c>
      <c r="D154" s="12">
        <v>1190.6401000000001</v>
      </c>
      <c r="E154" s="9"/>
      <c r="F154" s="6"/>
      <c r="G154" s="13"/>
    </row>
    <row r="155" spans="1:8" ht="29.1" customHeight="1" x14ac:dyDescent="0.2">
      <c r="A155" s="9"/>
      <c r="B155" s="3" t="s">
        <v>590</v>
      </c>
      <c r="C155" s="12">
        <v>1000.6367</v>
      </c>
      <c r="D155" s="12">
        <v>1000.827</v>
      </c>
      <c r="E155" s="9"/>
      <c r="F155" s="6"/>
      <c r="G155" s="13"/>
    </row>
    <row r="156" spans="1:8" ht="29.1" customHeight="1" x14ac:dyDescent="0.2">
      <c r="A156" s="9"/>
      <c r="B156" s="3" t="s">
        <v>591</v>
      </c>
      <c r="C156" s="12">
        <v>1008.3781</v>
      </c>
      <c r="D156" s="12">
        <v>1007.2225</v>
      </c>
      <c r="E156" s="9"/>
      <c r="F156" s="6"/>
      <c r="G156" s="13"/>
    </row>
    <row r="157" spans="1:8" ht="29.1" customHeight="1" x14ac:dyDescent="0.2">
      <c r="A157" s="9"/>
      <c r="B157" s="3" t="s">
        <v>596</v>
      </c>
      <c r="C157" s="12">
        <v>1025.5473</v>
      </c>
      <c r="D157" s="12">
        <v>1024.3739</v>
      </c>
      <c r="E157" s="9"/>
      <c r="F157" s="6"/>
      <c r="G157" s="13"/>
    </row>
    <row r="158" spans="1:8" ht="29.1" customHeight="1" x14ac:dyDescent="0.2">
      <c r="A158" s="9"/>
      <c r="B158" s="3" t="s">
        <v>583</v>
      </c>
      <c r="C158" s="12">
        <v>1027.0501999999999</v>
      </c>
      <c r="D158" s="12">
        <v>1024.3742</v>
      </c>
      <c r="E158" s="9"/>
      <c r="F158" s="6"/>
      <c r="G158" s="13"/>
    </row>
    <row r="159" spans="1:8" ht="29.1" customHeight="1" x14ac:dyDescent="0.2">
      <c r="A159" s="9"/>
      <c r="B159" s="3" t="s">
        <v>581</v>
      </c>
      <c r="C159" s="12">
        <v>1113.8710000000001</v>
      </c>
      <c r="D159" s="12">
        <v>1109.6016</v>
      </c>
      <c r="E159" s="9"/>
      <c r="F159" s="6"/>
      <c r="G159" s="13"/>
    </row>
    <row r="160" spans="1:8" ht="17.100000000000001" customHeight="1" x14ac:dyDescent="0.2">
      <c r="A160" s="9"/>
      <c r="B160" s="3" t="s">
        <v>87</v>
      </c>
      <c r="C160" s="12">
        <v>2138.3687</v>
      </c>
      <c r="D160" s="12">
        <v>2144.4717000000001</v>
      </c>
      <c r="E160" s="9"/>
      <c r="F160" s="6"/>
      <c r="G160" s="13"/>
    </row>
    <row r="161" spans="1:7" ht="17.100000000000001" customHeight="1" x14ac:dyDescent="0.2">
      <c r="A161" s="9"/>
      <c r="B161" s="3" t="s">
        <v>112</v>
      </c>
      <c r="C161" s="12">
        <v>1183.6514999999999</v>
      </c>
      <c r="D161" s="12">
        <v>1187.0297</v>
      </c>
      <c r="E161" s="9"/>
      <c r="F161" s="6"/>
      <c r="G161" s="13"/>
    </row>
    <row r="162" spans="1:7" ht="29.1" customHeight="1" x14ac:dyDescent="0.2">
      <c r="A162" s="9"/>
      <c r="B162" s="3" t="s">
        <v>593</v>
      </c>
      <c r="C162" s="12">
        <v>1000.8893</v>
      </c>
      <c r="D162" s="12">
        <v>1001.0758</v>
      </c>
      <c r="E162" s="9"/>
      <c r="F162" s="6"/>
      <c r="G162" s="13"/>
    </row>
    <row r="163" spans="1:7" ht="29.1" customHeight="1" x14ac:dyDescent="0.2">
      <c r="A163" s="9"/>
      <c r="B163" s="3" t="s">
        <v>594</v>
      </c>
      <c r="C163" s="12">
        <v>1007.8909</v>
      </c>
      <c r="D163" s="12">
        <v>1006.7622</v>
      </c>
      <c r="E163" s="9"/>
      <c r="F163" s="6"/>
      <c r="G163" s="13"/>
    </row>
    <row r="164" spans="1:7" ht="29.1" customHeight="1" x14ac:dyDescent="0.2">
      <c r="A164" s="9"/>
      <c r="B164" s="3" t="s">
        <v>595</v>
      </c>
      <c r="C164" s="12">
        <v>1025.4662000000001</v>
      </c>
      <c r="D164" s="12">
        <v>1024.3154</v>
      </c>
      <c r="E164" s="9"/>
      <c r="F164" s="6"/>
      <c r="G164" s="13"/>
    </row>
    <row r="165" spans="1:7" ht="29.1" customHeight="1" x14ac:dyDescent="0.2">
      <c r="A165" s="9"/>
      <c r="B165" s="3" t="s">
        <v>586</v>
      </c>
      <c r="C165" s="12">
        <v>1026.9395</v>
      </c>
      <c r="D165" s="12">
        <v>1024.3144</v>
      </c>
      <c r="E165" s="9"/>
      <c r="F165" s="6"/>
      <c r="G165" s="13"/>
    </row>
    <row r="166" spans="1:7" ht="29.1" customHeight="1" x14ac:dyDescent="0.2">
      <c r="A166" s="9"/>
      <c r="B166" s="3" t="s">
        <v>582</v>
      </c>
      <c r="C166" s="12">
        <v>1110.825</v>
      </c>
      <c r="D166" s="12">
        <v>1106.4836</v>
      </c>
      <c r="E166" s="9"/>
      <c r="F166" s="6"/>
      <c r="G166" s="13"/>
    </row>
    <row r="167" spans="1:7" ht="14.1" customHeight="1" x14ac:dyDescent="0.2">
      <c r="A167" s="9"/>
      <c r="B167" s="9"/>
      <c r="C167" s="9"/>
      <c r="D167" s="9"/>
      <c r="E167" s="9"/>
      <c r="F167" s="9"/>
      <c r="G167" s="9"/>
    </row>
    <row r="168" spans="1:7" ht="17.100000000000001" customHeight="1" x14ac:dyDescent="0.2">
      <c r="A168" s="9"/>
      <c r="B168" s="122" t="s">
        <v>589</v>
      </c>
      <c r="C168" s="123"/>
      <c r="D168" s="1" t="s">
        <v>12</v>
      </c>
      <c r="E168" s="9"/>
      <c r="F168" s="9"/>
      <c r="G168" s="9"/>
    </row>
    <row r="169" spans="1:7" ht="18" customHeight="1" x14ac:dyDescent="0.2">
      <c r="A169" s="9"/>
      <c r="B169" s="14" t="s">
        <v>83</v>
      </c>
      <c r="C169" s="15" t="s">
        <v>88</v>
      </c>
      <c r="D169" s="15" t="s">
        <v>89</v>
      </c>
      <c r="E169" s="9"/>
      <c r="F169" s="9"/>
      <c r="G169" s="9"/>
    </row>
    <row r="170" spans="1:7" ht="29.1" customHeight="1" x14ac:dyDescent="0.2">
      <c r="A170" s="9"/>
      <c r="B170" s="3" t="s">
        <v>590</v>
      </c>
      <c r="C170" s="16">
        <v>2.7201939999999998</v>
      </c>
      <c r="D170" s="16">
        <v>2.7201939999999998</v>
      </c>
      <c r="E170" s="9"/>
      <c r="F170" s="6"/>
      <c r="G170" s="13"/>
    </row>
    <row r="171" spans="1:7" ht="29.1" customHeight="1" x14ac:dyDescent="0.2">
      <c r="A171" s="9"/>
      <c r="B171" s="3" t="s">
        <v>591</v>
      </c>
      <c r="C171" s="16">
        <v>2.7383999999999999</v>
      </c>
      <c r="D171" s="4" t="s">
        <v>90</v>
      </c>
      <c r="E171" s="9"/>
      <c r="F171" s="6"/>
      <c r="G171" s="13"/>
    </row>
    <row r="172" spans="1:7" ht="29.1" customHeight="1" x14ac:dyDescent="0.2">
      <c r="A172" s="9"/>
      <c r="B172" s="3" t="s">
        <v>596</v>
      </c>
      <c r="C172" s="16">
        <v>4.1597999999999997</v>
      </c>
      <c r="D172" s="4" t="s">
        <v>90</v>
      </c>
      <c r="E172" s="9"/>
      <c r="F172" s="6"/>
      <c r="G172" s="13"/>
    </row>
    <row r="173" spans="1:7" ht="29.1" customHeight="1" x14ac:dyDescent="0.2">
      <c r="A173" s="9"/>
      <c r="B173" s="3" t="s">
        <v>583</v>
      </c>
      <c r="C173" s="16">
        <v>5.6669999999999998</v>
      </c>
      <c r="D173" s="4" t="s">
        <v>90</v>
      </c>
      <c r="E173" s="9"/>
      <c r="F173" s="6"/>
      <c r="G173" s="13"/>
    </row>
    <row r="174" spans="1:7" ht="29.1" customHeight="1" x14ac:dyDescent="0.2">
      <c r="A174" s="9"/>
      <c r="B174" s="3" t="s">
        <v>581</v>
      </c>
      <c r="C174" s="16">
        <v>7.5</v>
      </c>
      <c r="D174" s="4" t="s">
        <v>90</v>
      </c>
      <c r="E174" s="9"/>
      <c r="F174" s="6"/>
      <c r="G174" s="13"/>
    </row>
    <row r="175" spans="1:7" ht="29.1" customHeight="1" x14ac:dyDescent="0.2">
      <c r="A175" s="9"/>
      <c r="B175" s="3" t="s">
        <v>593</v>
      </c>
      <c r="C175" s="16">
        <v>2.6669849999999999</v>
      </c>
      <c r="D175" s="16">
        <v>2.6669849999999999</v>
      </c>
      <c r="E175" s="9"/>
      <c r="F175" s="6"/>
      <c r="G175" s="13"/>
    </row>
    <row r="176" spans="1:7" ht="29.1" customHeight="1" x14ac:dyDescent="0.2">
      <c r="A176" s="9"/>
      <c r="B176" s="3" t="s">
        <v>594</v>
      </c>
      <c r="C176" s="16">
        <v>2.6840999999999999</v>
      </c>
      <c r="D176" s="16">
        <v>2.6840999999999999</v>
      </c>
      <c r="E176" s="9"/>
      <c r="F176" s="6"/>
      <c r="G176" s="13"/>
    </row>
    <row r="177" spans="1:18" ht="29.1" customHeight="1" x14ac:dyDescent="0.2">
      <c r="A177" s="9"/>
      <c r="B177" s="3" t="s">
        <v>595</v>
      </c>
      <c r="C177" s="16">
        <v>4.0781000000000001</v>
      </c>
      <c r="D177" s="4" t="s">
        <v>90</v>
      </c>
      <c r="E177" s="9"/>
      <c r="F177" s="6"/>
      <c r="G177" s="13"/>
    </row>
    <row r="178" spans="1:18" ht="29.1" customHeight="1" x14ac:dyDescent="0.2">
      <c r="A178" s="9"/>
      <c r="B178" s="3" t="s">
        <v>586</v>
      </c>
      <c r="C178" s="16">
        <v>5.5560999999999998</v>
      </c>
      <c r="D178" s="4" t="s">
        <v>90</v>
      </c>
      <c r="E178" s="9"/>
      <c r="F178" s="6"/>
      <c r="G178" s="13"/>
    </row>
    <row r="179" spans="1:18" ht="29.1" customHeight="1" x14ac:dyDescent="0.2">
      <c r="A179" s="9"/>
      <c r="B179" s="3" t="s">
        <v>582</v>
      </c>
      <c r="C179" s="16">
        <v>7.5</v>
      </c>
      <c r="D179" s="4" t="s">
        <v>90</v>
      </c>
      <c r="E179" s="9"/>
      <c r="F179" s="6"/>
      <c r="G179" s="13"/>
    </row>
    <row r="180" spans="1:18" ht="14.1" customHeight="1" x14ac:dyDescent="0.2">
      <c r="A180" s="9"/>
      <c r="B180" s="17"/>
      <c r="C180" s="17"/>
      <c r="D180" s="18"/>
      <c r="E180" s="9"/>
      <c r="F180" s="6"/>
      <c r="G180" s="13"/>
    </row>
    <row r="181" spans="1:18" s="59" customFormat="1" ht="17.100000000000001" customHeight="1" x14ac:dyDescent="0.2">
      <c r="A181" s="67"/>
      <c r="B181" s="129" t="s">
        <v>387</v>
      </c>
      <c r="C181" s="130"/>
      <c r="D181" s="57" t="s">
        <v>79</v>
      </c>
      <c r="E181" s="67"/>
      <c r="F181" s="67"/>
      <c r="G181" s="67"/>
      <c r="I181"/>
      <c r="J181" s="23"/>
      <c r="K181" s="52"/>
      <c r="L181" s="52"/>
      <c r="M181" s="52"/>
      <c r="N181" s="52"/>
      <c r="O181" s="68"/>
      <c r="P181"/>
      <c r="Q181"/>
    </row>
    <row r="182" spans="1:18" ht="12.75" customHeight="1" x14ac:dyDescent="0.2">
      <c r="A182" s="56"/>
      <c r="B182" s="129" t="s">
        <v>388</v>
      </c>
      <c r="C182" s="130"/>
      <c r="D182" s="57" t="s">
        <v>79</v>
      </c>
      <c r="E182" s="58"/>
      <c r="F182" s="56"/>
      <c r="G182" s="56"/>
    </row>
    <row r="183" spans="1:18" ht="12.75" customHeight="1" x14ac:dyDescent="0.2">
      <c r="A183" s="56"/>
      <c r="B183" s="129" t="s">
        <v>389</v>
      </c>
      <c r="C183" s="130"/>
      <c r="D183" s="57" t="s">
        <v>79</v>
      </c>
      <c r="E183" s="58"/>
      <c r="F183" s="56"/>
      <c r="G183" s="56"/>
    </row>
    <row r="184" spans="1:18" ht="12.75" customHeight="1" x14ac:dyDescent="0.2">
      <c r="A184" s="56"/>
      <c r="B184" s="129" t="s">
        <v>390</v>
      </c>
      <c r="C184" s="130"/>
      <c r="D184" s="57" t="s">
        <v>79</v>
      </c>
      <c r="E184" s="58"/>
      <c r="F184" s="56"/>
      <c r="G184" s="56"/>
    </row>
    <row r="185" spans="1:18" x14ac:dyDescent="0.2">
      <c r="A185" s="19"/>
      <c r="B185" s="19"/>
      <c r="C185" s="19"/>
      <c r="D185" s="19"/>
      <c r="E185" s="19"/>
      <c r="F185" s="19"/>
      <c r="G185" s="19"/>
    </row>
    <row r="186" spans="1:18" s="59" customFormat="1" x14ac:dyDescent="0.2">
      <c r="B186" s="71" t="s">
        <v>600</v>
      </c>
      <c r="C186" s="71"/>
      <c r="D186" s="71"/>
      <c r="E186" s="71"/>
      <c r="F186" s="71"/>
      <c r="G186" s="71"/>
      <c r="I186"/>
      <c r="J186" s="23"/>
      <c r="K186" s="52"/>
      <c r="L186" s="52"/>
      <c r="M186" s="52"/>
      <c r="N186" s="52"/>
      <c r="O186"/>
    </row>
    <row r="187" spans="1:18" s="59" customFormat="1" x14ac:dyDescent="0.2">
      <c r="B187" s="71"/>
      <c r="C187" s="71"/>
      <c r="D187" s="71"/>
      <c r="E187" s="71"/>
      <c r="F187" s="71"/>
      <c r="G187" s="71"/>
      <c r="I187"/>
      <c r="J187" s="23"/>
      <c r="K187" s="52"/>
      <c r="L187" s="52"/>
      <c r="M187" s="52"/>
      <c r="N187" s="52"/>
      <c r="O187"/>
    </row>
    <row r="188" spans="1:18" s="59" customFormat="1" ht="63.75" x14ac:dyDescent="0.2">
      <c r="B188" s="74" t="s">
        <v>398</v>
      </c>
      <c r="C188" s="74" t="s">
        <v>397</v>
      </c>
      <c r="D188" s="74" t="s">
        <v>406</v>
      </c>
      <c r="E188" s="74" t="s">
        <v>407</v>
      </c>
      <c r="F188" s="74" t="s">
        <v>401</v>
      </c>
      <c r="I188"/>
      <c r="J188" s="23"/>
      <c r="K188" s="52"/>
      <c r="L188" s="52"/>
      <c r="M188" s="52"/>
      <c r="N188" s="52"/>
      <c r="O188"/>
    </row>
    <row r="189" spans="1:18" s="59" customFormat="1" ht="25.5" x14ac:dyDescent="0.2">
      <c r="B189" s="61" t="s">
        <v>403</v>
      </c>
      <c r="C189" s="76" t="s">
        <v>402</v>
      </c>
      <c r="D189" s="81">
        <v>0</v>
      </c>
      <c r="E189" s="82">
        <v>0</v>
      </c>
      <c r="F189" s="79">
        <v>5650</v>
      </c>
      <c r="I189"/>
      <c r="J189" s="23"/>
      <c r="K189" s="52"/>
      <c r="L189" s="52"/>
      <c r="M189" s="52"/>
      <c r="N189" s="52"/>
      <c r="O189"/>
      <c r="R189"/>
    </row>
    <row r="190" spans="1:18" s="59" customFormat="1" x14ac:dyDescent="0.2">
      <c r="I190"/>
      <c r="J190" s="23"/>
      <c r="K190" s="52"/>
      <c r="L190" s="52"/>
      <c r="M190" s="52"/>
      <c r="N190" s="52"/>
      <c r="O190"/>
      <c r="R190"/>
    </row>
    <row r="191" spans="1:18" s="59" customFormat="1" x14ac:dyDescent="0.2">
      <c r="B191" s="125" t="s">
        <v>375</v>
      </c>
      <c r="C191" s="126"/>
      <c r="D191" s="127"/>
      <c r="I191"/>
      <c r="J191" s="23"/>
      <c r="K191" s="52"/>
      <c r="L191" s="52"/>
      <c r="M191" s="52"/>
      <c r="N191" s="52"/>
      <c r="O191"/>
      <c r="R191"/>
    </row>
    <row r="192" spans="1:18" s="59" customFormat="1" ht="25.5" x14ac:dyDescent="0.2">
      <c r="B192" s="128" t="s">
        <v>376</v>
      </c>
      <c r="C192" s="128"/>
      <c r="D192" s="60" t="s">
        <v>179</v>
      </c>
      <c r="I192"/>
      <c r="J192" s="23"/>
      <c r="K192" s="52"/>
      <c r="L192" s="52"/>
      <c r="M192" s="52"/>
      <c r="N192" s="52"/>
      <c r="O192"/>
      <c r="R192"/>
    </row>
    <row r="193" spans="2:18" s="59" customFormat="1" x14ac:dyDescent="0.2">
      <c r="B193" s="131" t="s">
        <v>377</v>
      </c>
      <c r="C193" s="131"/>
      <c r="D193" s="61"/>
      <c r="I193"/>
      <c r="J193" s="23"/>
      <c r="K193" s="52"/>
      <c r="L193" s="52"/>
      <c r="M193" s="52"/>
      <c r="N193" s="52"/>
      <c r="O193"/>
      <c r="R193"/>
    </row>
    <row r="194" spans="2:18" s="59" customFormat="1" x14ac:dyDescent="0.2">
      <c r="B194" s="131"/>
      <c r="C194" s="131"/>
      <c r="D194" s="62"/>
      <c r="I194"/>
      <c r="J194" s="23"/>
      <c r="K194" s="52"/>
      <c r="L194" s="52"/>
      <c r="M194" s="52"/>
      <c r="N194" s="52"/>
      <c r="O194"/>
      <c r="R194"/>
    </row>
    <row r="195" spans="2:18" s="59" customFormat="1" x14ac:dyDescent="0.2">
      <c r="B195" s="131" t="s">
        <v>378</v>
      </c>
      <c r="C195" s="131"/>
      <c r="D195" s="63">
        <v>7.1500153868476195</v>
      </c>
      <c r="I195"/>
      <c r="J195" s="23"/>
      <c r="K195" s="52"/>
      <c r="L195" s="52"/>
      <c r="M195" s="52"/>
      <c r="N195" s="52"/>
      <c r="O195"/>
      <c r="R195"/>
    </row>
    <row r="196" spans="2:18" s="59" customFormat="1" x14ac:dyDescent="0.2">
      <c r="B196" s="131"/>
      <c r="C196" s="131"/>
      <c r="D196" s="62"/>
      <c r="I196"/>
      <c r="J196" s="23"/>
      <c r="K196" s="52"/>
      <c r="L196" s="52"/>
      <c r="M196" s="52"/>
      <c r="N196" s="52"/>
      <c r="O196"/>
      <c r="R196"/>
    </row>
    <row r="197" spans="2:18" s="59" customFormat="1" x14ac:dyDescent="0.2">
      <c r="B197" s="131" t="s">
        <v>379</v>
      </c>
      <c r="C197" s="131"/>
      <c r="D197" s="63">
        <v>0.1489252918802437</v>
      </c>
      <c r="I197"/>
      <c r="J197" s="23"/>
      <c r="K197" s="52"/>
      <c r="L197" s="52"/>
      <c r="M197" s="52"/>
      <c r="N197" s="52"/>
      <c r="O197"/>
      <c r="R197"/>
    </row>
    <row r="198" spans="2:18" s="59" customFormat="1" x14ac:dyDescent="0.2">
      <c r="B198" s="131" t="s">
        <v>380</v>
      </c>
      <c r="C198" s="131"/>
      <c r="D198" s="63">
        <v>0.1489252918802437</v>
      </c>
      <c r="I198"/>
      <c r="J198" s="23"/>
      <c r="K198" s="52"/>
      <c r="L198" s="52"/>
      <c r="M198" s="52"/>
      <c r="N198" s="52"/>
      <c r="O198"/>
      <c r="R198"/>
    </row>
    <row r="199" spans="2:18" s="59" customFormat="1" x14ac:dyDescent="0.2">
      <c r="B199" s="131"/>
      <c r="C199" s="131"/>
      <c r="D199" s="62"/>
      <c r="I199"/>
      <c r="J199" s="23"/>
      <c r="K199" s="52"/>
      <c r="L199" s="52"/>
      <c r="M199" s="52"/>
      <c r="N199" s="52"/>
      <c r="O199"/>
      <c r="P199"/>
      <c r="Q199"/>
      <c r="R199"/>
    </row>
    <row r="200" spans="2:18" s="59" customFormat="1" x14ac:dyDescent="0.2">
      <c r="B200" s="131" t="s">
        <v>381</v>
      </c>
      <c r="C200" s="131"/>
      <c r="D200" s="64" t="s">
        <v>599</v>
      </c>
      <c r="I200"/>
      <c r="J200" s="23"/>
      <c r="K200" s="52"/>
      <c r="L200" s="52"/>
      <c r="M200" s="52"/>
      <c r="N200" s="52"/>
      <c r="O200"/>
      <c r="P200"/>
      <c r="Q200"/>
      <c r="R200"/>
    </row>
    <row r="201" spans="2:18" s="59" customFormat="1" x14ac:dyDescent="0.2">
      <c r="B201" s="132" t="s">
        <v>382</v>
      </c>
      <c r="C201" s="134"/>
      <c r="D201" s="133"/>
      <c r="I201"/>
      <c r="J201" s="23"/>
      <c r="K201" s="52"/>
      <c r="L201" s="52"/>
      <c r="M201" s="52"/>
      <c r="N201" s="52"/>
      <c r="O201"/>
      <c r="P201"/>
      <c r="Q201"/>
      <c r="R201"/>
    </row>
  </sheetData>
  <mergeCells count="27">
    <mergeCell ref="B197:C197"/>
    <mergeCell ref="B198:C198"/>
    <mergeCell ref="B199:C199"/>
    <mergeCell ref="B200:C200"/>
    <mergeCell ref="B201:D201"/>
    <mergeCell ref="B192:C192"/>
    <mergeCell ref="B193:C193"/>
    <mergeCell ref="B194:C194"/>
    <mergeCell ref="B195:C195"/>
    <mergeCell ref="B196:C196"/>
    <mergeCell ref="B181:C181"/>
    <mergeCell ref="B191:D191"/>
    <mergeCell ref="B183:C183"/>
    <mergeCell ref="B184:C184"/>
    <mergeCell ref="B149:C149"/>
    <mergeCell ref="B150:C150"/>
    <mergeCell ref="B168:C168"/>
    <mergeCell ref="B182:C182"/>
    <mergeCell ref="A1:H1"/>
    <mergeCell ref="A2:H2"/>
    <mergeCell ref="A3:H3"/>
    <mergeCell ref="B147:D147"/>
    <mergeCell ref="B148:C148"/>
    <mergeCell ref="B145:H145"/>
    <mergeCell ref="B142:H142"/>
    <mergeCell ref="B143:H143"/>
    <mergeCell ref="B144:H144"/>
  </mergeCells>
  <hyperlinks>
    <hyperlink ref="I1" location="Index!B6" display="Index" xr:uid="{2137068F-8A98-4967-9179-44CA93D3E51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9A4-3C36-4699-BBE4-1AF26879FD9E}">
  <sheetPr>
    <outlinePr summaryBelow="0" summaryRight="0"/>
  </sheetPr>
  <dimension ref="A1:S159"/>
  <sheetViews>
    <sheetView showGridLines="0" topLeftCell="A126" workbookViewId="0">
      <selection activeCell="I132" sqref="I132"/>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10.5703125"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257</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355</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ht="25.5" x14ac:dyDescent="0.2">
      <c r="A14" s="26"/>
      <c r="B14" s="26"/>
      <c r="C14" s="30"/>
      <c r="D14" s="26"/>
      <c r="E14" s="26"/>
      <c r="F14" s="31"/>
      <c r="G14" s="31"/>
      <c r="H14" s="36" t="s">
        <v>12</v>
      </c>
      <c r="J14" s="66" t="s">
        <v>408</v>
      </c>
    </row>
    <row r="15" spans="1:10" x14ac:dyDescent="0.2">
      <c r="A15" s="26"/>
      <c r="B15" s="26"/>
      <c r="C15" s="27" t="s">
        <v>16</v>
      </c>
      <c r="D15" s="26"/>
      <c r="E15" s="26"/>
      <c r="F15" s="26"/>
      <c r="G15" s="26"/>
      <c r="H15" s="36" t="s">
        <v>12</v>
      </c>
      <c r="J15" s="66"/>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ht="25.5" x14ac:dyDescent="0.2">
      <c r="A27" s="26"/>
      <c r="B27" s="26"/>
      <c r="C27" s="27" t="s">
        <v>10</v>
      </c>
      <c r="D27" s="26"/>
      <c r="E27" s="26"/>
      <c r="F27" s="31"/>
      <c r="G27" s="31"/>
      <c r="H27" s="36" t="s">
        <v>12</v>
      </c>
      <c r="J27" s="66" t="s">
        <v>409</v>
      </c>
    </row>
    <row r="28" spans="1:10" x14ac:dyDescent="0.2">
      <c r="A28" s="33">
        <v>1</v>
      </c>
      <c r="B28" s="34" t="s">
        <v>258</v>
      </c>
      <c r="C28" s="3" t="s">
        <v>545</v>
      </c>
      <c r="D28" s="34" t="s">
        <v>22</v>
      </c>
      <c r="E28" s="35">
        <v>1000</v>
      </c>
      <c r="F28" s="36">
        <v>1010.496</v>
      </c>
      <c r="G28" s="37">
        <v>5.1832540000000003E-2</v>
      </c>
      <c r="H28" s="36">
        <v>7.5152000000000001</v>
      </c>
      <c r="J28" s="66"/>
    </row>
    <row r="29" spans="1:10" ht="25.5" x14ac:dyDescent="0.2">
      <c r="A29" s="33">
        <v>2</v>
      </c>
      <c r="B29" s="34" t="s">
        <v>259</v>
      </c>
      <c r="C29" s="3" t="s">
        <v>546</v>
      </c>
      <c r="D29" s="34" t="s">
        <v>22</v>
      </c>
      <c r="E29" s="35">
        <v>1000</v>
      </c>
      <c r="F29" s="36">
        <v>1003.308</v>
      </c>
      <c r="G29" s="37">
        <v>5.1463830000000002E-2</v>
      </c>
      <c r="H29" s="36">
        <v>7.6550000000000002</v>
      </c>
    </row>
    <row r="30" spans="1:10" ht="25.5" x14ac:dyDescent="0.2">
      <c r="A30" s="33">
        <v>3</v>
      </c>
      <c r="B30" s="34" t="s">
        <v>26</v>
      </c>
      <c r="C30" s="3" t="s">
        <v>27</v>
      </c>
      <c r="D30" s="34" t="s">
        <v>22</v>
      </c>
      <c r="E30" s="35">
        <v>1000</v>
      </c>
      <c r="F30" s="36">
        <v>999.67600000000004</v>
      </c>
      <c r="G30" s="37">
        <v>5.1277530000000002E-2</v>
      </c>
      <c r="H30" s="36">
        <v>7.6218000000000004</v>
      </c>
    </row>
    <row r="31" spans="1:10" ht="25.5" x14ac:dyDescent="0.2">
      <c r="A31" s="33">
        <v>4</v>
      </c>
      <c r="B31" s="34" t="s">
        <v>106</v>
      </c>
      <c r="C31" s="3" t="s">
        <v>455</v>
      </c>
      <c r="D31" s="34" t="s">
        <v>39</v>
      </c>
      <c r="E31" s="35">
        <v>100</v>
      </c>
      <c r="F31" s="36">
        <v>995.47199999999998</v>
      </c>
      <c r="G31" s="37">
        <v>5.1061889999999999E-2</v>
      </c>
      <c r="H31" s="36">
        <v>7.7672999999999996</v>
      </c>
    </row>
    <row r="32" spans="1:10" x14ac:dyDescent="0.2">
      <c r="A32" s="33">
        <v>5</v>
      </c>
      <c r="B32" s="34" t="s">
        <v>145</v>
      </c>
      <c r="C32" s="3" t="s">
        <v>146</v>
      </c>
      <c r="D32" s="34" t="s">
        <v>147</v>
      </c>
      <c r="E32" s="35">
        <v>700</v>
      </c>
      <c r="F32" s="36">
        <v>700.73850000000004</v>
      </c>
      <c r="G32" s="37">
        <v>3.5943790000000003E-2</v>
      </c>
      <c r="H32" s="36">
        <v>8.75</v>
      </c>
    </row>
    <row r="33" spans="1:8" x14ac:dyDescent="0.2">
      <c r="A33" s="33">
        <v>6</v>
      </c>
      <c r="B33" s="34" t="s">
        <v>47</v>
      </c>
      <c r="C33" s="3" t="s">
        <v>48</v>
      </c>
      <c r="D33" s="34" t="s">
        <v>22</v>
      </c>
      <c r="E33" s="35">
        <v>50</v>
      </c>
      <c r="F33" s="36">
        <v>500.71249999999998</v>
      </c>
      <c r="G33" s="37">
        <v>2.5683620000000001E-2</v>
      </c>
      <c r="H33" s="36">
        <v>7.88</v>
      </c>
    </row>
    <row r="34" spans="1:8" x14ac:dyDescent="0.2">
      <c r="A34" s="33">
        <v>7</v>
      </c>
      <c r="B34" s="34" t="s">
        <v>143</v>
      </c>
      <c r="C34" s="3" t="s">
        <v>476</v>
      </c>
      <c r="D34" s="34" t="s">
        <v>144</v>
      </c>
      <c r="E34" s="35">
        <v>500</v>
      </c>
      <c r="F34" s="36">
        <v>500.42349999999999</v>
      </c>
      <c r="G34" s="37">
        <v>2.5668799999999999E-2</v>
      </c>
      <c r="H34" s="36">
        <v>7.5875000000000004</v>
      </c>
    </row>
    <row r="35" spans="1:8" ht="25.5" x14ac:dyDescent="0.2">
      <c r="A35" s="33">
        <v>8</v>
      </c>
      <c r="B35" s="34" t="s">
        <v>157</v>
      </c>
      <c r="C35" s="3" t="s">
        <v>547</v>
      </c>
      <c r="D35" s="34" t="s">
        <v>22</v>
      </c>
      <c r="E35" s="35">
        <v>500</v>
      </c>
      <c r="F35" s="36">
        <v>500.04250000000002</v>
      </c>
      <c r="G35" s="37">
        <v>2.564926E-2</v>
      </c>
      <c r="H35" s="36">
        <v>7.1849999999999996</v>
      </c>
    </row>
    <row r="36" spans="1:8" x14ac:dyDescent="0.2">
      <c r="A36" s="33">
        <v>9</v>
      </c>
      <c r="B36" s="34" t="s">
        <v>96</v>
      </c>
      <c r="C36" s="3" t="s">
        <v>97</v>
      </c>
      <c r="D36" s="34" t="s">
        <v>22</v>
      </c>
      <c r="E36" s="35">
        <v>500</v>
      </c>
      <c r="F36" s="36">
        <v>499.99250000000001</v>
      </c>
      <c r="G36" s="37">
        <v>2.564669E-2</v>
      </c>
      <c r="H36" s="36">
        <v>7.5949</v>
      </c>
    </row>
    <row r="37" spans="1:8" ht="25.5" x14ac:dyDescent="0.2">
      <c r="A37" s="33">
        <v>10</v>
      </c>
      <c r="B37" s="34" t="s">
        <v>49</v>
      </c>
      <c r="C37" s="3" t="s">
        <v>446</v>
      </c>
      <c r="D37" s="34" t="s">
        <v>22</v>
      </c>
      <c r="E37" s="35">
        <v>500</v>
      </c>
      <c r="F37" s="36">
        <v>499.0455</v>
      </c>
      <c r="G37" s="37">
        <v>2.5598119999999999E-2</v>
      </c>
      <c r="H37" s="36">
        <v>8.2200000000000006</v>
      </c>
    </row>
    <row r="38" spans="1:8" x14ac:dyDescent="0.2">
      <c r="A38" s="33">
        <v>11</v>
      </c>
      <c r="B38" s="34" t="s">
        <v>260</v>
      </c>
      <c r="C38" s="3" t="s">
        <v>548</v>
      </c>
      <c r="D38" s="34" t="s">
        <v>22</v>
      </c>
      <c r="E38" s="35">
        <v>500</v>
      </c>
      <c r="F38" s="36">
        <v>498.52850000000001</v>
      </c>
      <c r="G38" s="37">
        <v>2.55716E-2</v>
      </c>
      <c r="H38" s="36">
        <v>7.6496000000000004</v>
      </c>
    </row>
    <row r="39" spans="1:8" ht="25.5" x14ac:dyDescent="0.2">
      <c r="A39" s="33">
        <v>12</v>
      </c>
      <c r="B39" s="34" t="s">
        <v>35</v>
      </c>
      <c r="C39" s="3" t="s">
        <v>441</v>
      </c>
      <c r="D39" s="34" t="s">
        <v>22</v>
      </c>
      <c r="E39" s="35">
        <v>50</v>
      </c>
      <c r="F39" s="36">
        <v>494.83949999999999</v>
      </c>
      <c r="G39" s="37">
        <v>2.5382370000000001E-2</v>
      </c>
      <c r="H39" s="36">
        <v>7.6760000000000002</v>
      </c>
    </row>
    <row r="40" spans="1:8" x14ac:dyDescent="0.2">
      <c r="A40" s="33">
        <v>13</v>
      </c>
      <c r="B40" s="34" t="s">
        <v>261</v>
      </c>
      <c r="C40" s="3" t="s">
        <v>549</v>
      </c>
      <c r="D40" s="34" t="s">
        <v>22</v>
      </c>
      <c r="E40" s="35">
        <v>50</v>
      </c>
      <c r="F40" s="36">
        <v>482.29599999999999</v>
      </c>
      <c r="G40" s="37">
        <v>2.4738960000000001E-2</v>
      </c>
      <c r="H40" s="36">
        <v>7.9550000000000001</v>
      </c>
    </row>
    <row r="41" spans="1:8" x14ac:dyDescent="0.2">
      <c r="A41" s="26"/>
      <c r="B41" s="26"/>
      <c r="C41" s="27" t="s">
        <v>11</v>
      </c>
      <c r="D41" s="26"/>
      <c r="E41" s="26" t="s">
        <v>12</v>
      </c>
      <c r="F41" s="32">
        <v>8685.5709999999999</v>
      </c>
      <c r="G41" s="29">
        <v>0.445519</v>
      </c>
      <c r="H41" s="36" t="s">
        <v>12</v>
      </c>
    </row>
    <row r="42" spans="1:8" x14ac:dyDescent="0.2">
      <c r="A42" s="26"/>
      <c r="B42" s="26"/>
      <c r="C42" s="30"/>
      <c r="D42" s="26"/>
      <c r="E42" s="26"/>
      <c r="F42" s="31"/>
      <c r="G42" s="31"/>
      <c r="H42" s="36" t="s">
        <v>12</v>
      </c>
    </row>
    <row r="43" spans="1:8" x14ac:dyDescent="0.2">
      <c r="A43" s="26"/>
      <c r="B43" s="26"/>
      <c r="C43" s="27" t="s">
        <v>50</v>
      </c>
      <c r="D43" s="26"/>
      <c r="E43" s="26"/>
      <c r="F43" s="26"/>
      <c r="G43" s="26"/>
      <c r="H43" s="36" t="s">
        <v>12</v>
      </c>
    </row>
    <row r="44" spans="1:8" x14ac:dyDescent="0.2">
      <c r="A44" s="26"/>
      <c r="B44" s="26"/>
      <c r="C44" s="27" t="s">
        <v>11</v>
      </c>
      <c r="D44" s="26"/>
      <c r="E44" s="26" t="s">
        <v>12</v>
      </c>
      <c r="F44" s="28" t="s">
        <v>13</v>
      </c>
      <c r="G44" s="29">
        <v>0</v>
      </c>
      <c r="H44" s="36" t="s">
        <v>12</v>
      </c>
    </row>
    <row r="45" spans="1:8" x14ac:dyDescent="0.2">
      <c r="A45" s="26"/>
      <c r="B45" s="26"/>
      <c r="C45" s="30"/>
      <c r="D45" s="26"/>
      <c r="E45" s="26"/>
      <c r="F45" s="31"/>
      <c r="G45" s="31"/>
      <c r="H45" s="36" t="s">
        <v>12</v>
      </c>
    </row>
    <row r="46" spans="1:8" x14ac:dyDescent="0.2">
      <c r="A46" s="26"/>
      <c r="B46" s="26"/>
      <c r="C46" s="27" t="s">
        <v>51</v>
      </c>
      <c r="D46" s="26"/>
      <c r="E46" s="26"/>
      <c r="F46" s="26"/>
      <c r="G46" s="26"/>
      <c r="H46" s="36" t="s">
        <v>12</v>
      </c>
    </row>
    <row r="47" spans="1:8" x14ac:dyDescent="0.2">
      <c r="A47" s="33">
        <v>1</v>
      </c>
      <c r="B47" s="34" t="s">
        <v>52</v>
      </c>
      <c r="C47" s="34" t="s">
        <v>53</v>
      </c>
      <c r="D47" s="34" t="s">
        <v>54</v>
      </c>
      <c r="E47" s="35">
        <v>3000000</v>
      </c>
      <c r="F47" s="36">
        <v>3027.54</v>
      </c>
      <c r="G47" s="37">
        <v>0.15529509</v>
      </c>
      <c r="H47" s="36">
        <v>7.1642000000000001</v>
      </c>
    </row>
    <row r="48" spans="1:8" ht="25.5" x14ac:dyDescent="0.2">
      <c r="A48" s="33">
        <v>2</v>
      </c>
      <c r="B48" s="34" t="s">
        <v>57</v>
      </c>
      <c r="C48" s="34" t="s">
        <v>58</v>
      </c>
      <c r="D48" s="34" t="s">
        <v>54</v>
      </c>
      <c r="E48" s="35">
        <v>1500000</v>
      </c>
      <c r="F48" s="36">
        <v>1502.7284999999999</v>
      </c>
      <c r="G48" s="37">
        <v>7.7081179999999999E-2</v>
      </c>
      <c r="H48" s="36">
        <v>7.1231</v>
      </c>
    </row>
    <row r="49" spans="1:8" ht="25.5" x14ac:dyDescent="0.2">
      <c r="A49" s="33">
        <v>3</v>
      </c>
      <c r="B49" s="34" t="s">
        <v>160</v>
      </c>
      <c r="C49" s="34" t="s">
        <v>161</v>
      </c>
      <c r="D49" s="34" t="s">
        <v>54</v>
      </c>
      <c r="E49" s="35">
        <v>1000000</v>
      </c>
      <c r="F49" s="36">
        <v>1010.343</v>
      </c>
      <c r="G49" s="37">
        <v>5.182469E-2</v>
      </c>
      <c r="H49" s="36">
        <v>7.1147999999999998</v>
      </c>
    </row>
    <row r="50" spans="1:8" ht="25.5" x14ac:dyDescent="0.2">
      <c r="A50" s="33">
        <v>4</v>
      </c>
      <c r="B50" s="34" t="s">
        <v>262</v>
      </c>
      <c r="C50" s="34" t="s">
        <v>263</v>
      </c>
      <c r="D50" s="34" t="s">
        <v>54</v>
      </c>
      <c r="E50" s="35">
        <v>500000</v>
      </c>
      <c r="F50" s="36">
        <v>502.77249999999998</v>
      </c>
      <c r="G50" s="37">
        <v>2.5789289999999999E-2</v>
      </c>
      <c r="H50" s="36">
        <v>7.4923000000000002</v>
      </c>
    </row>
    <row r="51" spans="1:8" ht="25.5" x14ac:dyDescent="0.2">
      <c r="A51" s="33">
        <v>5</v>
      </c>
      <c r="B51" s="34" t="s">
        <v>264</v>
      </c>
      <c r="C51" s="34" t="s">
        <v>575</v>
      </c>
      <c r="D51" s="34" t="s">
        <v>54</v>
      </c>
      <c r="E51" s="35">
        <v>500000</v>
      </c>
      <c r="F51" s="36">
        <v>500.81400000000002</v>
      </c>
      <c r="G51" s="37">
        <v>2.5688829999999999E-2</v>
      </c>
      <c r="H51" s="36">
        <v>7.5904462631800422</v>
      </c>
    </row>
    <row r="52" spans="1:8" x14ac:dyDescent="0.2">
      <c r="A52" s="26"/>
      <c r="B52" s="26"/>
      <c r="C52" s="27" t="s">
        <v>11</v>
      </c>
      <c r="D52" s="26"/>
      <c r="E52" s="26" t="s">
        <v>12</v>
      </c>
      <c r="F52" s="32">
        <v>6544.1980000000003</v>
      </c>
      <c r="G52" s="29">
        <v>0.33567908000000002</v>
      </c>
      <c r="H52" s="36" t="s">
        <v>12</v>
      </c>
    </row>
    <row r="53" spans="1:8" x14ac:dyDescent="0.2">
      <c r="A53" s="26"/>
      <c r="B53" s="26"/>
      <c r="C53" s="30"/>
      <c r="D53" s="26"/>
      <c r="E53" s="26"/>
      <c r="F53" s="31"/>
      <c r="G53" s="31"/>
      <c r="H53" s="36" t="s">
        <v>12</v>
      </c>
    </row>
    <row r="54" spans="1:8" x14ac:dyDescent="0.2">
      <c r="A54" s="26"/>
      <c r="B54" s="26"/>
      <c r="C54" s="27" t="s">
        <v>59</v>
      </c>
      <c r="D54" s="26"/>
      <c r="E54" s="26"/>
      <c r="F54" s="31"/>
      <c r="G54" s="31"/>
      <c r="H54" s="36" t="s">
        <v>12</v>
      </c>
    </row>
    <row r="55" spans="1:8" x14ac:dyDescent="0.2">
      <c r="A55" s="26"/>
      <c r="B55" s="26"/>
      <c r="C55" s="27" t="s">
        <v>11</v>
      </c>
      <c r="D55" s="26"/>
      <c r="E55" s="26" t="s">
        <v>12</v>
      </c>
      <c r="F55" s="28" t="s">
        <v>13</v>
      </c>
      <c r="G55" s="29">
        <v>0</v>
      </c>
      <c r="H55" s="36" t="s">
        <v>12</v>
      </c>
    </row>
    <row r="56" spans="1:8" x14ac:dyDescent="0.2">
      <c r="A56" s="26"/>
      <c r="B56" s="26"/>
      <c r="C56" s="30"/>
      <c r="D56" s="26"/>
      <c r="E56" s="26"/>
      <c r="F56" s="31"/>
      <c r="G56" s="31"/>
      <c r="H56" s="36" t="s">
        <v>12</v>
      </c>
    </row>
    <row r="57" spans="1:8" x14ac:dyDescent="0.2">
      <c r="A57" s="26"/>
      <c r="B57" s="26"/>
      <c r="C57" s="27" t="s">
        <v>60</v>
      </c>
      <c r="D57" s="26"/>
      <c r="E57" s="26"/>
      <c r="F57" s="32">
        <v>15229.769</v>
      </c>
      <c r="G57" s="29">
        <v>0.78119808000000002</v>
      </c>
      <c r="H57" s="36" t="s">
        <v>12</v>
      </c>
    </row>
    <row r="58" spans="1:8" x14ac:dyDescent="0.2">
      <c r="A58" s="26"/>
      <c r="B58" s="26"/>
      <c r="C58" s="30"/>
      <c r="D58" s="26"/>
      <c r="E58" s="26"/>
      <c r="F58" s="31"/>
      <c r="G58" s="31"/>
      <c r="H58" s="36" t="s">
        <v>12</v>
      </c>
    </row>
    <row r="59" spans="1:8" x14ac:dyDescent="0.2">
      <c r="A59" s="26"/>
      <c r="B59" s="26"/>
      <c r="C59" s="27" t="s">
        <v>61</v>
      </c>
      <c r="D59" s="26"/>
      <c r="E59" s="26"/>
      <c r="F59" s="31"/>
      <c r="G59" s="31"/>
      <c r="H59" s="36" t="s">
        <v>12</v>
      </c>
    </row>
    <row r="60" spans="1:8" x14ac:dyDescent="0.2">
      <c r="A60" s="26"/>
      <c r="B60" s="26"/>
      <c r="C60" s="27" t="s">
        <v>62</v>
      </c>
      <c r="D60" s="26"/>
      <c r="E60" s="26"/>
      <c r="F60" s="31"/>
      <c r="G60" s="31"/>
      <c r="H60" s="36" t="s">
        <v>12</v>
      </c>
    </row>
    <row r="61" spans="1:8" x14ac:dyDescent="0.2">
      <c r="A61" s="33">
        <v>1</v>
      </c>
      <c r="B61" s="34" t="s">
        <v>127</v>
      </c>
      <c r="C61" s="3" t="s">
        <v>468</v>
      </c>
      <c r="D61" s="34" t="s">
        <v>128</v>
      </c>
      <c r="E61" s="35">
        <v>100</v>
      </c>
      <c r="F61" s="36">
        <v>477.57299999999998</v>
      </c>
      <c r="G61" s="37">
        <v>2.44967E-2</v>
      </c>
      <c r="H61" s="36">
        <v>7.4850000000000003</v>
      </c>
    </row>
    <row r="62" spans="1:8" x14ac:dyDescent="0.2">
      <c r="A62" s="33">
        <v>2</v>
      </c>
      <c r="B62" s="34" t="s">
        <v>130</v>
      </c>
      <c r="C62" s="3" t="s">
        <v>470</v>
      </c>
      <c r="D62" s="34" t="s">
        <v>128</v>
      </c>
      <c r="E62" s="35">
        <v>100</v>
      </c>
      <c r="F62" s="36">
        <v>474.88650000000001</v>
      </c>
      <c r="G62" s="37">
        <v>2.4358899999999999E-2</v>
      </c>
      <c r="H62" s="36">
        <v>7.54</v>
      </c>
    </row>
    <row r="63" spans="1:8" x14ac:dyDescent="0.2">
      <c r="A63" s="26"/>
      <c r="B63" s="26"/>
      <c r="C63" s="27" t="s">
        <v>11</v>
      </c>
      <c r="D63" s="26"/>
      <c r="E63" s="26" t="s">
        <v>12</v>
      </c>
      <c r="F63" s="32">
        <v>952.45950000000005</v>
      </c>
      <c r="G63" s="29">
        <v>4.8855599999999999E-2</v>
      </c>
      <c r="H63" s="36" t="s">
        <v>12</v>
      </c>
    </row>
    <row r="64" spans="1:8" x14ac:dyDescent="0.2">
      <c r="A64" s="26"/>
      <c r="B64" s="26"/>
      <c r="C64" s="30"/>
      <c r="D64" s="26"/>
      <c r="E64" s="26"/>
      <c r="F64" s="31"/>
      <c r="G64" s="31"/>
      <c r="H64" s="36" t="s">
        <v>12</v>
      </c>
    </row>
    <row r="65" spans="1:8" x14ac:dyDescent="0.2">
      <c r="A65" s="26"/>
      <c r="B65" s="26"/>
      <c r="C65" s="27" t="s">
        <v>63</v>
      </c>
      <c r="D65" s="26"/>
      <c r="E65" s="26"/>
      <c r="F65" s="31"/>
      <c r="G65" s="31"/>
      <c r="H65" s="36" t="s">
        <v>12</v>
      </c>
    </row>
    <row r="66" spans="1:8" x14ac:dyDescent="0.2">
      <c r="A66" s="26"/>
      <c r="B66" s="26"/>
      <c r="C66" s="27" t="s">
        <v>11</v>
      </c>
      <c r="D66" s="26"/>
      <c r="E66" s="26" t="s">
        <v>12</v>
      </c>
      <c r="F66" s="28" t="s">
        <v>13</v>
      </c>
      <c r="G66" s="29">
        <v>0</v>
      </c>
      <c r="H66" s="36" t="s">
        <v>12</v>
      </c>
    </row>
    <row r="67" spans="1:8" x14ac:dyDescent="0.2">
      <c r="A67" s="26"/>
      <c r="B67" s="26"/>
      <c r="C67" s="30"/>
      <c r="D67" s="26"/>
      <c r="E67" s="26"/>
      <c r="F67" s="31"/>
      <c r="G67" s="31"/>
      <c r="H67" s="36" t="s">
        <v>12</v>
      </c>
    </row>
    <row r="68" spans="1:8" x14ac:dyDescent="0.2">
      <c r="A68" s="26"/>
      <c r="B68" s="26"/>
      <c r="C68" s="27" t="s">
        <v>64</v>
      </c>
      <c r="D68" s="26"/>
      <c r="E68" s="26"/>
      <c r="F68" s="31"/>
      <c r="G68" s="31"/>
      <c r="H68" s="36" t="s">
        <v>12</v>
      </c>
    </row>
    <row r="69" spans="1:8" x14ac:dyDescent="0.2">
      <c r="A69" s="26"/>
      <c r="B69" s="26"/>
      <c r="C69" s="27" t="s">
        <v>11</v>
      </c>
      <c r="D69" s="26"/>
      <c r="E69" s="26" t="s">
        <v>12</v>
      </c>
      <c r="F69" s="28" t="s">
        <v>13</v>
      </c>
      <c r="G69" s="29">
        <v>0</v>
      </c>
      <c r="H69" s="36" t="s">
        <v>12</v>
      </c>
    </row>
    <row r="70" spans="1:8" x14ac:dyDescent="0.2">
      <c r="A70" s="26"/>
      <c r="B70" s="26"/>
      <c r="C70" s="30"/>
      <c r="D70" s="26"/>
      <c r="E70" s="26"/>
      <c r="F70" s="31"/>
      <c r="G70" s="31"/>
      <c r="H70" s="36" t="s">
        <v>12</v>
      </c>
    </row>
    <row r="71" spans="1:8" x14ac:dyDescent="0.2">
      <c r="A71" s="26"/>
      <c r="B71" s="26"/>
      <c r="C71" s="27" t="s">
        <v>65</v>
      </c>
      <c r="D71" s="26"/>
      <c r="E71" s="26"/>
      <c r="F71" s="31"/>
      <c r="G71" s="31"/>
      <c r="H71" s="36" t="s">
        <v>12</v>
      </c>
    </row>
    <row r="72" spans="1:8" x14ac:dyDescent="0.2">
      <c r="A72" s="33">
        <v>1</v>
      </c>
      <c r="B72" s="34" t="s">
        <v>66</v>
      </c>
      <c r="C72" s="34" t="s">
        <v>66</v>
      </c>
      <c r="D72" s="34"/>
      <c r="E72" s="38"/>
      <c r="F72" s="36">
        <v>2890.9157908000002</v>
      </c>
      <c r="G72" s="37">
        <v>0.14828706999999999</v>
      </c>
      <c r="H72" s="36">
        <v>6.6841381571857204</v>
      </c>
    </row>
    <row r="73" spans="1:8" x14ac:dyDescent="0.2">
      <c r="A73" s="26"/>
      <c r="B73" s="26"/>
      <c r="C73" s="27" t="s">
        <v>11</v>
      </c>
      <c r="D73" s="26"/>
      <c r="E73" s="26" t="s">
        <v>12</v>
      </c>
      <c r="F73" s="32">
        <v>2890.9157908000002</v>
      </c>
      <c r="G73" s="29">
        <v>0.14828706999999999</v>
      </c>
      <c r="H73" s="36" t="s">
        <v>12</v>
      </c>
    </row>
    <row r="74" spans="1:8" x14ac:dyDescent="0.2">
      <c r="A74" s="26"/>
      <c r="B74" s="26"/>
      <c r="C74" s="30"/>
      <c r="D74" s="26"/>
      <c r="E74" s="26"/>
      <c r="F74" s="31"/>
      <c r="G74" s="31"/>
      <c r="H74" s="36" t="s">
        <v>12</v>
      </c>
    </row>
    <row r="75" spans="1:8" x14ac:dyDescent="0.2">
      <c r="A75" s="26"/>
      <c r="B75" s="26"/>
      <c r="C75" s="27" t="s">
        <v>67</v>
      </c>
      <c r="D75" s="26"/>
      <c r="E75" s="26"/>
      <c r="F75" s="32">
        <v>3843.3752908000001</v>
      </c>
      <c r="G75" s="29">
        <v>0.19714266999999999</v>
      </c>
      <c r="H75" s="36" t="s">
        <v>12</v>
      </c>
    </row>
    <row r="76" spans="1:8" x14ac:dyDescent="0.2">
      <c r="A76" s="26"/>
      <c r="B76" s="26"/>
      <c r="C76" s="31"/>
      <c r="D76" s="26"/>
      <c r="E76" s="26"/>
      <c r="F76" s="26"/>
      <c r="G76" s="26"/>
      <c r="H76" s="36" t="s">
        <v>12</v>
      </c>
    </row>
    <row r="77" spans="1:8" x14ac:dyDescent="0.2">
      <c r="A77" s="26"/>
      <c r="B77" s="26"/>
      <c r="C77" s="27" t="s">
        <v>68</v>
      </c>
      <c r="D77" s="26"/>
      <c r="E77" s="26"/>
      <c r="F77" s="26"/>
      <c r="G77" s="26"/>
      <c r="H77" s="36" t="s">
        <v>12</v>
      </c>
    </row>
    <row r="78" spans="1:8" x14ac:dyDescent="0.2">
      <c r="A78" s="26"/>
      <c r="B78" s="26"/>
      <c r="C78" s="27" t="s">
        <v>69</v>
      </c>
      <c r="D78" s="26"/>
      <c r="E78" s="26"/>
      <c r="F78" s="26"/>
      <c r="G78" s="26"/>
      <c r="H78" s="36" t="s">
        <v>12</v>
      </c>
    </row>
    <row r="79" spans="1:8" x14ac:dyDescent="0.2">
      <c r="A79" s="26"/>
      <c r="B79" s="26"/>
      <c r="C79" s="27" t="s">
        <v>11</v>
      </c>
      <c r="D79" s="26"/>
      <c r="E79" s="26" t="s">
        <v>12</v>
      </c>
      <c r="F79" s="28" t="s">
        <v>13</v>
      </c>
      <c r="G79" s="29">
        <v>0</v>
      </c>
      <c r="H79" s="36" t="s">
        <v>12</v>
      </c>
    </row>
    <row r="80" spans="1:8" x14ac:dyDescent="0.2">
      <c r="A80" s="26"/>
      <c r="B80" s="26"/>
      <c r="C80" s="30"/>
      <c r="D80" s="26"/>
      <c r="E80" s="26"/>
      <c r="F80" s="31"/>
      <c r="G80" s="31"/>
      <c r="H80" s="36" t="s">
        <v>12</v>
      </c>
    </row>
    <row r="81" spans="1:18" x14ac:dyDescent="0.2">
      <c r="A81" s="26"/>
      <c r="B81" s="26"/>
      <c r="C81" s="27" t="s">
        <v>72</v>
      </c>
      <c r="D81" s="26"/>
      <c r="E81" s="26"/>
      <c r="F81" s="26"/>
      <c r="G81" s="26"/>
      <c r="H81" s="36" t="s">
        <v>12</v>
      </c>
    </row>
    <row r="82" spans="1:18" x14ac:dyDescent="0.2">
      <c r="A82" s="26"/>
      <c r="B82" s="26"/>
      <c r="C82" s="27" t="s">
        <v>73</v>
      </c>
      <c r="D82" s="26"/>
      <c r="E82" s="26"/>
      <c r="F82" s="26"/>
      <c r="G82" s="26"/>
      <c r="H82" s="36" t="s">
        <v>12</v>
      </c>
    </row>
    <row r="83" spans="1:18" x14ac:dyDescent="0.2">
      <c r="A83" s="26"/>
      <c r="B83" s="26"/>
      <c r="C83" s="27" t="s">
        <v>11</v>
      </c>
      <c r="D83" s="26"/>
      <c r="E83" s="26" t="s">
        <v>12</v>
      </c>
      <c r="F83" s="28" t="s">
        <v>13</v>
      </c>
      <c r="G83" s="29">
        <v>0</v>
      </c>
      <c r="H83" s="36" t="s">
        <v>12</v>
      </c>
    </row>
    <row r="84" spans="1:18" x14ac:dyDescent="0.2">
      <c r="A84" s="26"/>
      <c r="B84" s="26"/>
      <c r="C84" s="30"/>
      <c r="D84" s="26"/>
      <c r="E84" s="26"/>
      <c r="F84" s="31"/>
      <c r="G84" s="31"/>
      <c r="H84" s="36" t="s">
        <v>12</v>
      </c>
    </row>
    <row r="85" spans="1:18" x14ac:dyDescent="0.2">
      <c r="A85" s="26"/>
      <c r="B85" s="26"/>
      <c r="C85" s="27" t="s">
        <v>74</v>
      </c>
      <c r="D85" s="26"/>
      <c r="E85" s="26"/>
      <c r="F85" s="31"/>
      <c r="G85" s="31"/>
      <c r="H85" s="36" t="s">
        <v>12</v>
      </c>
    </row>
    <row r="86" spans="1:18" x14ac:dyDescent="0.2">
      <c r="A86" s="26"/>
      <c r="B86" s="26"/>
      <c r="C86" s="27" t="s">
        <v>11</v>
      </c>
      <c r="D86" s="26"/>
      <c r="E86" s="26" t="s">
        <v>12</v>
      </c>
      <c r="F86" s="28" t="s">
        <v>13</v>
      </c>
      <c r="G86" s="29">
        <v>0</v>
      </c>
      <c r="H86" s="36" t="s">
        <v>12</v>
      </c>
    </row>
    <row r="87" spans="1:18" x14ac:dyDescent="0.2">
      <c r="A87" s="26"/>
      <c r="B87" s="26"/>
      <c r="C87" s="30"/>
      <c r="D87" s="26"/>
      <c r="E87" s="26"/>
      <c r="F87" s="31"/>
      <c r="G87" s="31"/>
      <c r="H87" s="36" t="s">
        <v>12</v>
      </c>
    </row>
    <row r="88" spans="1:18" x14ac:dyDescent="0.2">
      <c r="A88" s="48"/>
      <c r="B88" s="48"/>
      <c r="C88" s="49" t="s">
        <v>370</v>
      </c>
      <c r="D88" s="48"/>
      <c r="E88" s="48"/>
      <c r="F88" s="50"/>
      <c r="G88" s="50"/>
      <c r="H88" s="51"/>
      <c r="K88" s="52"/>
      <c r="L88" s="52"/>
      <c r="M88" s="52"/>
      <c r="N88" s="52"/>
      <c r="O88" s="52"/>
      <c r="P88" s="53"/>
      <c r="Q88" s="53"/>
      <c r="R88" s="53"/>
    </row>
    <row r="89" spans="1:18" ht="25.5" x14ac:dyDescent="0.2">
      <c r="A89" s="33">
        <v>1</v>
      </c>
      <c r="B89" s="34" t="s">
        <v>70</v>
      </c>
      <c r="C89" s="34" t="s">
        <v>71</v>
      </c>
      <c r="D89" s="34"/>
      <c r="E89" s="40">
        <v>511.47399999999999</v>
      </c>
      <c r="F89" s="36">
        <v>52.533342120999997</v>
      </c>
      <c r="G89" s="37">
        <v>2.6946499999999998E-3</v>
      </c>
      <c r="H89" s="36"/>
    </row>
    <row r="90" spans="1:18" x14ac:dyDescent="0.2">
      <c r="A90" s="26"/>
      <c r="B90" s="26"/>
      <c r="C90" s="27" t="s">
        <v>11</v>
      </c>
      <c r="D90" s="26"/>
      <c r="E90" s="26" t="s">
        <v>12</v>
      </c>
      <c r="F90" s="32">
        <v>52.533342120999997</v>
      </c>
      <c r="G90" s="29">
        <v>2.6946499999999998E-3</v>
      </c>
      <c r="H90" s="36" t="s">
        <v>12</v>
      </c>
    </row>
    <row r="91" spans="1:18" x14ac:dyDescent="0.2">
      <c r="A91" s="26"/>
      <c r="B91" s="34"/>
      <c r="C91" s="34"/>
      <c r="D91" s="27"/>
      <c r="E91" s="26"/>
      <c r="F91" s="34"/>
      <c r="G91" s="38"/>
      <c r="H91" s="36" t="s">
        <v>12</v>
      </c>
    </row>
    <row r="92" spans="1:18" x14ac:dyDescent="0.2">
      <c r="A92" s="38"/>
      <c r="B92" s="34"/>
      <c r="C92" s="34" t="s">
        <v>75</v>
      </c>
      <c r="D92" s="34"/>
      <c r="E92" s="38"/>
      <c r="F92" s="36">
        <v>369.72246339999998</v>
      </c>
      <c r="G92" s="37">
        <v>1.8964600000000002E-2</v>
      </c>
      <c r="H92" s="36" t="s">
        <v>12</v>
      </c>
    </row>
    <row r="93" spans="1:18" x14ac:dyDescent="0.2">
      <c r="A93" s="30"/>
      <c r="B93" s="30"/>
      <c r="C93" s="27" t="s">
        <v>76</v>
      </c>
      <c r="D93" s="31"/>
      <c r="E93" s="31"/>
      <c r="F93" s="32">
        <v>19495.400096320998</v>
      </c>
      <c r="G93" s="39">
        <v>1</v>
      </c>
      <c r="H93" s="36" t="s">
        <v>12</v>
      </c>
    </row>
    <row r="94" spans="1:18" x14ac:dyDescent="0.2">
      <c r="A94" s="5"/>
      <c r="B94" s="5"/>
      <c r="C94" s="5"/>
      <c r="D94" s="7"/>
      <c r="E94" s="7"/>
      <c r="F94" s="7"/>
      <c r="G94" s="7"/>
    </row>
    <row r="95" spans="1:18" x14ac:dyDescent="0.2">
      <c r="A95" s="54"/>
      <c r="B95" s="124" t="s">
        <v>371</v>
      </c>
      <c r="C95" s="124"/>
      <c r="D95" s="124"/>
      <c r="E95" s="124"/>
      <c r="F95" s="124"/>
      <c r="G95" s="124"/>
      <c r="H95" s="124"/>
    </row>
    <row r="96" spans="1:18" x14ac:dyDescent="0.2">
      <c r="A96" s="54"/>
      <c r="B96" s="124" t="s">
        <v>372</v>
      </c>
      <c r="C96" s="124"/>
      <c r="D96" s="124"/>
      <c r="E96" s="124"/>
      <c r="F96" s="124"/>
      <c r="G96" s="124"/>
      <c r="H96" s="124"/>
    </row>
    <row r="97" spans="1:10" x14ac:dyDescent="0.2">
      <c r="A97" s="54"/>
      <c r="B97" s="124" t="s">
        <v>373</v>
      </c>
      <c r="C97" s="124"/>
      <c r="D97" s="124"/>
      <c r="E97" s="124"/>
      <c r="F97" s="124"/>
      <c r="G97" s="124"/>
      <c r="H97" s="124"/>
    </row>
    <row r="98" spans="1:10" s="84" customFormat="1" ht="69" customHeight="1" x14ac:dyDescent="0.2">
      <c r="A98" s="83"/>
      <c r="B98" s="141" t="s">
        <v>410</v>
      </c>
      <c r="C98" s="141"/>
      <c r="D98" s="141"/>
      <c r="E98" s="141"/>
      <c r="F98" s="141"/>
      <c r="G98" s="141"/>
      <c r="H98" s="141"/>
      <c r="I98"/>
      <c r="J98" s="23"/>
    </row>
    <row r="99" spans="1:10" x14ac:dyDescent="0.2">
      <c r="A99" s="5"/>
      <c r="B99" s="5"/>
      <c r="C99" s="5"/>
      <c r="D99" s="7"/>
      <c r="E99" s="7"/>
      <c r="F99" s="7"/>
      <c r="G99" s="7"/>
    </row>
    <row r="100" spans="1:10" x14ac:dyDescent="0.2">
      <c r="A100" s="5"/>
      <c r="B100" s="119" t="s">
        <v>77</v>
      </c>
      <c r="C100" s="120"/>
      <c r="D100" s="121"/>
      <c r="E100" s="8"/>
      <c r="F100" s="7"/>
      <c r="G100" s="7"/>
    </row>
    <row r="101" spans="1:10" x14ac:dyDescent="0.2">
      <c r="A101" s="5"/>
      <c r="B101" s="122" t="s">
        <v>78</v>
      </c>
      <c r="C101" s="123"/>
      <c r="D101" s="1" t="s">
        <v>79</v>
      </c>
      <c r="E101" s="8"/>
      <c r="F101" s="7"/>
      <c r="G101" s="7"/>
    </row>
    <row r="102" spans="1:10" x14ac:dyDescent="0.2">
      <c r="A102" s="5"/>
      <c r="B102" s="122" t="s">
        <v>80</v>
      </c>
      <c r="C102" s="123"/>
      <c r="D102" s="1" t="s">
        <v>79</v>
      </c>
      <c r="E102" s="8"/>
      <c r="F102" s="7"/>
      <c r="G102" s="7"/>
    </row>
    <row r="103" spans="1:10" x14ac:dyDescent="0.2">
      <c r="A103" s="5"/>
      <c r="B103" s="122" t="s">
        <v>81</v>
      </c>
      <c r="C103" s="123"/>
      <c r="D103" s="2" t="s">
        <v>12</v>
      </c>
      <c r="E103" s="8"/>
      <c r="F103" s="7"/>
      <c r="G103" s="7"/>
    </row>
    <row r="104" spans="1:10" x14ac:dyDescent="0.2">
      <c r="A104" s="56"/>
      <c r="B104" s="103" t="s">
        <v>12</v>
      </c>
      <c r="C104" s="103" t="s">
        <v>574</v>
      </c>
      <c r="D104" s="103" t="s">
        <v>82</v>
      </c>
      <c r="E104" s="56"/>
      <c r="F104" s="56"/>
      <c r="G104" s="56"/>
      <c r="H104" s="104"/>
    </row>
    <row r="105" spans="1:10" x14ac:dyDescent="0.2">
      <c r="A105" s="9"/>
      <c r="B105" s="11" t="s">
        <v>83</v>
      </c>
      <c r="C105" s="10" t="s">
        <v>84</v>
      </c>
      <c r="D105" s="10" t="s">
        <v>85</v>
      </c>
      <c r="E105" s="9"/>
      <c r="F105" s="9"/>
      <c r="G105" s="9"/>
    </row>
    <row r="106" spans="1:10" x14ac:dyDescent="0.2">
      <c r="A106" s="9"/>
      <c r="B106" s="3" t="s">
        <v>86</v>
      </c>
      <c r="C106" s="12">
        <v>43.561399999999999</v>
      </c>
      <c r="D106" s="12">
        <v>43.691699999999997</v>
      </c>
      <c r="E106" s="9"/>
      <c r="F106" s="6"/>
      <c r="G106" s="13"/>
    </row>
    <row r="107" spans="1:10" ht="25.5" x14ac:dyDescent="0.2">
      <c r="A107" s="9"/>
      <c r="B107" s="3" t="s">
        <v>591</v>
      </c>
      <c r="C107" s="12">
        <v>12.894500000000001</v>
      </c>
      <c r="D107" s="12">
        <v>12.885400000000001</v>
      </c>
      <c r="E107" s="9"/>
      <c r="F107" s="6"/>
      <c r="G107" s="13"/>
    </row>
    <row r="108" spans="1:10" ht="25.5" x14ac:dyDescent="0.2">
      <c r="A108" s="9"/>
      <c r="B108" s="3" t="s">
        <v>596</v>
      </c>
      <c r="C108" s="12">
        <v>12.894600000000001</v>
      </c>
      <c r="D108" s="12">
        <v>12.8855</v>
      </c>
      <c r="E108" s="9"/>
      <c r="F108" s="6"/>
      <c r="G108" s="13"/>
    </row>
    <row r="109" spans="1:10" ht="25.5" x14ac:dyDescent="0.2">
      <c r="A109" s="9"/>
      <c r="B109" s="3" t="s">
        <v>583</v>
      </c>
      <c r="C109" s="12">
        <v>12.9259</v>
      </c>
      <c r="D109" s="12">
        <v>12.8855</v>
      </c>
      <c r="E109" s="9"/>
      <c r="F109" s="6"/>
      <c r="G109" s="13"/>
    </row>
    <row r="110" spans="1:10" ht="25.5" x14ac:dyDescent="0.2">
      <c r="A110" s="9"/>
      <c r="B110" s="3" t="s">
        <v>581</v>
      </c>
      <c r="C110" s="12">
        <v>14.2293</v>
      </c>
      <c r="D110" s="12">
        <v>14.1967</v>
      </c>
      <c r="E110" s="9"/>
      <c r="F110" s="6"/>
      <c r="G110" s="13"/>
    </row>
    <row r="111" spans="1:10" ht="25.5" x14ac:dyDescent="0.2">
      <c r="A111" s="9"/>
      <c r="B111" s="3" t="s">
        <v>584</v>
      </c>
      <c r="C111" s="12">
        <v>14.062900000000001</v>
      </c>
      <c r="D111" s="12">
        <v>14.105</v>
      </c>
      <c r="E111" s="9"/>
      <c r="F111" s="6"/>
      <c r="G111" s="13"/>
    </row>
    <row r="112" spans="1:10" ht="25.5" x14ac:dyDescent="0.2">
      <c r="A112" s="9"/>
      <c r="B112" s="3" t="s">
        <v>585</v>
      </c>
      <c r="C112" s="12">
        <v>14.2074</v>
      </c>
      <c r="D112" s="12">
        <v>14.2501</v>
      </c>
      <c r="E112" s="9"/>
      <c r="F112" s="6"/>
      <c r="G112" s="13"/>
    </row>
    <row r="113" spans="1:7" x14ac:dyDescent="0.2">
      <c r="A113" s="9"/>
      <c r="B113" s="3" t="s">
        <v>87</v>
      </c>
      <c r="C113" s="12">
        <v>40.513599999999997</v>
      </c>
      <c r="D113" s="12">
        <v>40.625500000000002</v>
      </c>
      <c r="E113" s="9"/>
      <c r="F113" s="6"/>
      <c r="G113" s="13"/>
    </row>
    <row r="114" spans="1:7" x14ac:dyDescent="0.2">
      <c r="A114" s="9"/>
      <c r="B114" s="3" t="s">
        <v>112</v>
      </c>
      <c r="C114" s="12">
        <v>14.634499999999999</v>
      </c>
      <c r="D114" s="12">
        <v>14.674899999999999</v>
      </c>
      <c r="E114" s="9"/>
      <c r="F114" s="6"/>
      <c r="G114" s="13"/>
    </row>
    <row r="115" spans="1:7" ht="25.5" x14ac:dyDescent="0.2">
      <c r="A115" s="9"/>
      <c r="B115" s="3" t="s">
        <v>594</v>
      </c>
      <c r="C115" s="12">
        <v>12.8584</v>
      </c>
      <c r="D115" s="12">
        <v>12.8505</v>
      </c>
      <c r="E115" s="9"/>
      <c r="F115" s="6"/>
      <c r="G115" s="13"/>
    </row>
    <row r="116" spans="1:7" ht="25.5" x14ac:dyDescent="0.2">
      <c r="A116" s="9"/>
      <c r="B116" s="3" t="s">
        <v>595</v>
      </c>
      <c r="C116" s="12">
        <v>12.8584</v>
      </c>
      <c r="D116" s="12">
        <v>12.8505</v>
      </c>
      <c r="E116" s="9"/>
      <c r="F116" s="6"/>
      <c r="G116" s="13"/>
    </row>
    <row r="117" spans="1:7" ht="25.5" x14ac:dyDescent="0.2">
      <c r="A117" s="9"/>
      <c r="B117" s="3" t="s">
        <v>586</v>
      </c>
      <c r="C117" s="12">
        <v>12.888199999999999</v>
      </c>
      <c r="D117" s="12">
        <v>12.8505</v>
      </c>
      <c r="E117" s="9"/>
      <c r="F117" s="6"/>
      <c r="G117" s="13"/>
    </row>
    <row r="118" spans="1:7" ht="25.5" x14ac:dyDescent="0.2">
      <c r="A118" s="9"/>
      <c r="B118" s="3" t="s">
        <v>582</v>
      </c>
      <c r="C118" s="12">
        <v>13.990600000000001</v>
      </c>
      <c r="D118" s="12">
        <v>13.9541</v>
      </c>
      <c r="E118" s="9"/>
      <c r="F118" s="6"/>
      <c r="G118" s="13"/>
    </row>
    <row r="119" spans="1:7" ht="25.5" x14ac:dyDescent="0.2">
      <c r="A119" s="9"/>
      <c r="B119" s="3" t="s">
        <v>587</v>
      </c>
      <c r="C119" s="12">
        <v>13.824400000000001</v>
      </c>
      <c r="D119" s="12">
        <v>13.8626</v>
      </c>
      <c r="E119" s="9"/>
      <c r="F119" s="6"/>
      <c r="G119" s="13"/>
    </row>
    <row r="120" spans="1:7" ht="25.5" x14ac:dyDescent="0.2">
      <c r="A120" s="9"/>
      <c r="B120" s="3" t="s">
        <v>588</v>
      </c>
      <c r="C120" s="12">
        <v>13.968999999999999</v>
      </c>
      <c r="D120" s="12">
        <v>14.0075</v>
      </c>
      <c r="E120" s="9"/>
      <c r="F120" s="6"/>
      <c r="G120" s="13"/>
    </row>
    <row r="121" spans="1:7" x14ac:dyDescent="0.2">
      <c r="A121" s="9"/>
      <c r="B121" s="9"/>
      <c r="C121" s="9"/>
      <c r="D121" s="9"/>
      <c r="E121" s="9"/>
      <c r="F121" s="9"/>
      <c r="G121" s="9"/>
    </row>
    <row r="122" spans="1:7" x14ac:dyDescent="0.2">
      <c r="A122" s="9"/>
      <c r="B122" s="122" t="s">
        <v>589</v>
      </c>
      <c r="C122" s="123"/>
      <c r="D122" s="1" t="s">
        <v>12</v>
      </c>
      <c r="E122" s="9"/>
      <c r="F122" s="9"/>
      <c r="G122" s="9"/>
    </row>
    <row r="123" spans="1:7" x14ac:dyDescent="0.2">
      <c r="A123" s="9"/>
      <c r="B123" s="14" t="s">
        <v>83</v>
      </c>
      <c r="C123" s="15" t="s">
        <v>88</v>
      </c>
      <c r="D123" s="15" t="s">
        <v>89</v>
      </c>
      <c r="E123" s="9"/>
      <c r="F123" s="9"/>
      <c r="G123" s="9"/>
    </row>
    <row r="124" spans="1:7" ht="25.5" x14ac:dyDescent="0.2">
      <c r="A124" s="9"/>
      <c r="B124" s="3" t="s">
        <v>591</v>
      </c>
      <c r="C124" s="16">
        <v>3.61E-2</v>
      </c>
      <c r="D124" s="4" t="s">
        <v>90</v>
      </c>
      <c r="E124" s="9"/>
      <c r="F124" s="6"/>
      <c r="G124" s="13"/>
    </row>
    <row r="125" spans="1:7" ht="25.5" x14ac:dyDescent="0.2">
      <c r="A125" s="9"/>
      <c r="B125" s="3" t="s">
        <v>596</v>
      </c>
      <c r="C125" s="16">
        <v>4.7699999999999999E-2</v>
      </c>
      <c r="D125" s="4" t="s">
        <v>90</v>
      </c>
      <c r="E125" s="9"/>
      <c r="F125" s="6"/>
      <c r="G125" s="13"/>
    </row>
    <row r="126" spans="1:7" ht="25.5" x14ac:dyDescent="0.2">
      <c r="A126" s="9"/>
      <c r="B126" s="3" t="s">
        <v>583</v>
      </c>
      <c r="C126" s="16">
        <v>7.9100000000000004E-2</v>
      </c>
      <c r="D126" s="4" t="s">
        <v>90</v>
      </c>
      <c r="E126" s="9"/>
      <c r="F126" s="6"/>
      <c r="G126" s="13"/>
    </row>
    <row r="127" spans="1:7" ht="25.5" x14ac:dyDescent="0.2">
      <c r="A127" s="9"/>
      <c r="B127" s="3" t="s">
        <v>581</v>
      </c>
      <c r="C127" s="16">
        <v>7.4999999999999997E-2</v>
      </c>
      <c r="D127" s="4" t="s">
        <v>90</v>
      </c>
      <c r="E127" s="9"/>
      <c r="F127" s="6"/>
      <c r="G127" s="13"/>
    </row>
    <row r="128" spans="1:7" ht="25.5" x14ac:dyDescent="0.2">
      <c r="A128" s="9"/>
      <c r="B128" s="3" t="s">
        <v>594</v>
      </c>
      <c r="C128" s="16">
        <v>3.3300000000000003E-2</v>
      </c>
      <c r="D128" s="4" t="s">
        <v>90</v>
      </c>
      <c r="E128" s="9"/>
      <c r="F128" s="6"/>
      <c r="G128" s="13"/>
    </row>
    <row r="129" spans="1:19" ht="25.5" x14ac:dyDescent="0.2">
      <c r="A129" s="9"/>
      <c r="B129" s="3" t="s">
        <v>595</v>
      </c>
      <c r="C129" s="16">
        <v>4.3299999999999998E-2</v>
      </c>
      <c r="D129" s="4" t="s">
        <v>90</v>
      </c>
      <c r="E129" s="9"/>
      <c r="F129" s="6"/>
      <c r="G129" s="13"/>
    </row>
    <row r="130" spans="1:19" ht="25.5" x14ac:dyDescent="0.2">
      <c r="A130" s="9"/>
      <c r="B130" s="3" t="s">
        <v>586</v>
      </c>
      <c r="C130" s="16">
        <v>7.3300000000000004E-2</v>
      </c>
      <c r="D130" s="16">
        <v>7.3300000000000004E-2</v>
      </c>
      <c r="E130" s="9"/>
      <c r="F130" s="6"/>
      <c r="G130" s="13"/>
    </row>
    <row r="131" spans="1:19" ht="25.5" x14ac:dyDescent="0.2">
      <c r="A131" s="9"/>
      <c r="B131" s="3" t="s">
        <v>582</v>
      </c>
      <c r="C131" s="16">
        <v>7.4999999999999997E-2</v>
      </c>
      <c r="D131" s="4" t="s">
        <v>90</v>
      </c>
      <c r="E131" s="9"/>
      <c r="F131" s="6"/>
      <c r="G131" s="13"/>
    </row>
    <row r="132" spans="1:19" x14ac:dyDescent="0.2">
      <c r="A132" s="9"/>
      <c r="B132" s="17"/>
      <c r="C132" s="17"/>
      <c r="D132" s="18"/>
      <c r="E132" s="9"/>
      <c r="F132" s="6"/>
      <c r="G132" s="13"/>
    </row>
    <row r="133" spans="1:19" s="59" customFormat="1" x14ac:dyDescent="0.2">
      <c r="A133" s="67"/>
      <c r="B133" s="129" t="s">
        <v>387</v>
      </c>
      <c r="C133" s="130"/>
      <c r="D133" s="57" t="s">
        <v>79</v>
      </c>
      <c r="E133" s="67"/>
      <c r="F133" s="67"/>
      <c r="G133" s="67"/>
      <c r="I133"/>
      <c r="J133" s="23"/>
      <c r="K133" s="52"/>
      <c r="L133" s="52"/>
      <c r="M133" s="52"/>
      <c r="N133" s="52"/>
      <c r="O133" s="68"/>
      <c r="P133"/>
      <c r="Q133"/>
    </row>
    <row r="134" spans="1:19" x14ac:dyDescent="0.2">
      <c r="A134" s="56"/>
      <c r="B134" s="129" t="s">
        <v>388</v>
      </c>
      <c r="C134" s="130"/>
      <c r="D134" s="57" t="s">
        <v>79</v>
      </c>
      <c r="E134" s="58"/>
      <c r="F134" s="56"/>
      <c r="G134" s="56"/>
    </row>
    <row r="135" spans="1:19" x14ac:dyDescent="0.2">
      <c r="A135" s="56"/>
      <c r="B135" s="129" t="s">
        <v>389</v>
      </c>
      <c r="C135" s="130"/>
      <c r="D135" s="57" t="s">
        <v>79</v>
      </c>
      <c r="E135" s="58"/>
      <c r="F135" s="56"/>
      <c r="G135" s="56"/>
    </row>
    <row r="136" spans="1:19" x14ac:dyDescent="0.2">
      <c r="A136" s="56"/>
      <c r="B136" s="129" t="s">
        <v>390</v>
      </c>
      <c r="C136" s="130"/>
      <c r="D136" s="57" t="s">
        <v>79</v>
      </c>
      <c r="E136" s="58"/>
      <c r="F136" s="56"/>
      <c r="G136" s="56"/>
    </row>
    <row r="137" spans="1:19" x14ac:dyDescent="0.2">
      <c r="A137" s="19"/>
      <c r="B137" s="19"/>
      <c r="C137" s="19"/>
      <c r="D137" s="19"/>
      <c r="E137" s="19"/>
      <c r="F137" s="19"/>
      <c r="G137" s="19"/>
    </row>
    <row r="138" spans="1:19" s="59" customFormat="1" x14ac:dyDescent="0.2">
      <c r="B138" s="125" t="s">
        <v>375</v>
      </c>
      <c r="C138" s="126"/>
      <c r="D138" s="127"/>
      <c r="I138"/>
      <c r="J138" s="23"/>
      <c r="K138" s="52"/>
      <c r="L138" s="52"/>
      <c r="M138" s="52"/>
      <c r="N138" s="52"/>
      <c r="O138" s="68"/>
      <c r="R138"/>
      <c r="S138"/>
    </row>
    <row r="139" spans="1:19" s="59" customFormat="1" ht="51" x14ac:dyDescent="0.2">
      <c r="B139" s="128" t="s">
        <v>376</v>
      </c>
      <c r="C139" s="128"/>
      <c r="D139" s="60" t="s">
        <v>257</v>
      </c>
      <c r="I139"/>
      <c r="J139" s="23"/>
      <c r="K139" s="52"/>
      <c r="L139" s="52"/>
      <c r="M139" s="52"/>
      <c r="N139" s="52"/>
      <c r="O139" s="68"/>
      <c r="R139"/>
      <c r="S139"/>
    </row>
    <row r="140" spans="1:19" s="59" customFormat="1" x14ac:dyDescent="0.2">
      <c r="B140" s="131" t="s">
        <v>377</v>
      </c>
      <c r="C140" s="131"/>
      <c r="D140" s="61"/>
      <c r="I140"/>
      <c r="J140" s="23"/>
      <c r="K140" s="52"/>
      <c r="L140" s="52"/>
      <c r="M140" s="52"/>
      <c r="N140" s="52"/>
      <c r="O140" s="68"/>
      <c r="R140"/>
      <c r="S140"/>
    </row>
    <row r="141" spans="1:19" s="59" customFormat="1" x14ac:dyDescent="0.2">
      <c r="B141" s="131"/>
      <c r="C141" s="131"/>
      <c r="D141" s="62"/>
      <c r="I141"/>
      <c r="J141" s="23"/>
      <c r="K141" s="52"/>
      <c r="L141" s="52"/>
      <c r="M141" s="52"/>
      <c r="N141" s="52"/>
      <c r="O141" s="68"/>
      <c r="R141"/>
      <c r="S141"/>
    </row>
    <row r="142" spans="1:19" s="59" customFormat="1" x14ac:dyDescent="0.2">
      <c r="B142" s="131" t="s">
        <v>378</v>
      </c>
      <c r="C142" s="131"/>
      <c r="D142" s="63">
        <v>7.4051111734865094</v>
      </c>
      <c r="I142"/>
      <c r="J142" s="23"/>
      <c r="K142" s="52"/>
      <c r="L142" s="52"/>
      <c r="M142" s="52"/>
      <c r="N142" s="52"/>
      <c r="O142" s="68"/>
    </row>
    <row r="143" spans="1:19" s="59" customFormat="1" x14ac:dyDescent="0.2">
      <c r="B143" s="131"/>
      <c r="C143" s="131"/>
      <c r="D143" s="62"/>
      <c r="I143"/>
      <c r="J143" s="23"/>
      <c r="K143" s="52"/>
      <c r="L143" s="52"/>
      <c r="M143" s="52"/>
      <c r="N143" s="52"/>
      <c r="O143" s="68"/>
    </row>
    <row r="144" spans="1:19" s="59" customFormat="1" x14ac:dyDescent="0.2">
      <c r="B144" s="131" t="s">
        <v>379</v>
      </c>
      <c r="C144" s="131"/>
      <c r="D144" s="63">
        <v>2.936476782212516</v>
      </c>
      <c r="I144"/>
      <c r="J144" s="23"/>
      <c r="K144" s="52"/>
      <c r="L144" s="52"/>
      <c r="M144" s="52"/>
      <c r="N144" s="52"/>
      <c r="O144" s="68"/>
    </row>
    <row r="145" spans="2:15" s="59" customFormat="1" x14ac:dyDescent="0.2">
      <c r="B145" s="131" t="s">
        <v>380</v>
      </c>
      <c r="C145" s="131"/>
      <c r="D145" s="63">
        <v>3.8278788792111582</v>
      </c>
      <c r="I145"/>
      <c r="J145" s="23"/>
      <c r="K145" s="52"/>
      <c r="L145" s="52"/>
      <c r="M145" s="52"/>
      <c r="N145" s="52"/>
      <c r="O145" s="68"/>
    </row>
    <row r="146" spans="2:15" s="59" customFormat="1" x14ac:dyDescent="0.2">
      <c r="B146" s="131"/>
      <c r="C146" s="131"/>
      <c r="D146" s="62"/>
      <c r="I146"/>
      <c r="J146" s="23"/>
      <c r="K146" s="52"/>
      <c r="L146" s="52"/>
      <c r="M146" s="52"/>
      <c r="N146" s="52"/>
      <c r="O146" s="68"/>
    </row>
    <row r="147" spans="2:15" s="59" customFormat="1" x14ac:dyDescent="0.2">
      <c r="B147" s="131" t="s">
        <v>381</v>
      </c>
      <c r="C147" s="131"/>
      <c r="D147" s="64" t="s">
        <v>599</v>
      </c>
      <c r="I147"/>
      <c r="J147" s="23"/>
      <c r="K147" s="52"/>
      <c r="L147" s="52"/>
      <c r="M147" s="52"/>
      <c r="N147" s="52"/>
      <c r="O147" s="68"/>
    </row>
    <row r="148" spans="2:15" s="59" customFormat="1" x14ac:dyDescent="0.2">
      <c r="B148" s="132" t="s">
        <v>382</v>
      </c>
      <c r="C148" s="134"/>
      <c r="D148" s="133"/>
      <c r="I148"/>
      <c r="J148" s="23"/>
      <c r="K148" s="52"/>
      <c r="L148" s="52"/>
      <c r="M148" s="52"/>
      <c r="N148" s="52"/>
      <c r="O148" s="68"/>
    </row>
    <row r="149" spans="2:15" x14ac:dyDescent="0.2">
      <c r="I149" s="52"/>
    </row>
    <row r="156" spans="2:15" x14ac:dyDescent="0.2">
      <c r="I156" s="52"/>
    </row>
    <row r="157" spans="2:15" x14ac:dyDescent="0.2">
      <c r="I157" s="52"/>
    </row>
    <row r="158" spans="2:15" x14ac:dyDescent="0.2">
      <c r="I158" s="52"/>
    </row>
    <row r="159" spans="2:15" x14ac:dyDescent="0.2">
      <c r="I159" s="52"/>
    </row>
  </sheetData>
  <mergeCells count="27">
    <mergeCell ref="B148:D148"/>
    <mergeCell ref="B143:C143"/>
    <mergeCell ref="B144:C144"/>
    <mergeCell ref="B145:C145"/>
    <mergeCell ref="B146:C146"/>
    <mergeCell ref="B147:C147"/>
    <mergeCell ref="B138:D138"/>
    <mergeCell ref="B139:C139"/>
    <mergeCell ref="B140:C140"/>
    <mergeCell ref="B141:C141"/>
    <mergeCell ref="B142:C142"/>
    <mergeCell ref="B135:C135"/>
    <mergeCell ref="B136:C136"/>
    <mergeCell ref="A1:H1"/>
    <mergeCell ref="A2:H2"/>
    <mergeCell ref="A3:H3"/>
    <mergeCell ref="B100:D100"/>
    <mergeCell ref="B101:C101"/>
    <mergeCell ref="B102:C102"/>
    <mergeCell ref="B103:C103"/>
    <mergeCell ref="B122:C122"/>
    <mergeCell ref="B134:C134"/>
    <mergeCell ref="B95:H95"/>
    <mergeCell ref="B96:H96"/>
    <mergeCell ref="B97:H97"/>
    <mergeCell ref="B98:H98"/>
    <mergeCell ref="B133:C133"/>
  </mergeCells>
  <hyperlinks>
    <hyperlink ref="I1" location="Index!B7" display="Index" xr:uid="{5C5FB3F2-0CDF-484F-B8EF-F40A304776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042B-B55A-429A-AB68-357C20A84D0E}">
  <sheetPr>
    <outlinePr summaryBelow="0" summaryRight="0"/>
  </sheetPr>
  <dimension ref="A1:R194"/>
  <sheetViews>
    <sheetView showGridLines="0" topLeftCell="A164" workbookViewId="0">
      <selection activeCell="C165" sqref="C165:D173"/>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8.85546875" bestFit="1"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265</v>
      </c>
      <c r="B2" s="118"/>
      <c r="C2" s="118"/>
      <c r="D2" s="118"/>
      <c r="E2" s="118"/>
      <c r="F2" s="118"/>
      <c r="G2" s="118"/>
      <c r="H2" s="118"/>
      <c r="J2" s="24" t="s">
        <v>412</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356</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x14ac:dyDescent="0.2">
      <c r="A14" s="26"/>
      <c r="B14" s="26"/>
      <c r="C14" s="30"/>
      <c r="D14" s="26"/>
      <c r="E14" s="26"/>
      <c r="F14" s="31"/>
      <c r="G14" s="31"/>
      <c r="H14" s="36" t="s">
        <v>12</v>
      </c>
      <c r="J14" s="66"/>
    </row>
    <row r="15" spans="1:10" ht="25.5" x14ac:dyDescent="0.2">
      <c r="A15" s="26"/>
      <c r="B15" s="26"/>
      <c r="C15" s="27" t="s">
        <v>16</v>
      </c>
      <c r="D15" s="26"/>
      <c r="E15" s="26"/>
      <c r="F15" s="26"/>
      <c r="G15" s="26"/>
      <c r="H15" s="36" t="s">
        <v>12</v>
      </c>
      <c r="J15" s="66" t="s">
        <v>413</v>
      </c>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ht="25.5" x14ac:dyDescent="0.2">
      <c r="A27" s="26"/>
      <c r="B27" s="26"/>
      <c r="C27" s="27" t="s">
        <v>10</v>
      </c>
      <c r="D27" s="26"/>
      <c r="E27" s="26"/>
      <c r="F27" s="31"/>
      <c r="G27" s="31"/>
      <c r="H27" s="36" t="s">
        <v>12</v>
      </c>
      <c r="J27" s="66" t="s">
        <v>414</v>
      </c>
    </row>
    <row r="28" spans="1:10" x14ac:dyDescent="0.2">
      <c r="A28" s="33">
        <v>1</v>
      </c>
      <c r="B28" s="34" t="s">
        <v>145</v>
      </c>
      <c r="C28" s="34" t="s">
        <v>146</v>
      </c>
      <c r="D28" s="34" t="s">
        <v>147</v>
      </c>
      <c r="E28" s="35">
        <v>5000</v>
      </c>
      <c r="F28" s="36">
        <v>5005.2749999999996</v>
      </c>
      <c r="G28" s="37">
        <v>2.139512E-2</v>
      </c>
      <c r="H28" s="36">
        <v>8.75</v>
      </c>
    </row>
    <row r="29" spans="1:10" ht="25.5" x14ac:dyDescent="0.2">
      <c r="A29" s="33">
        <v>2</v>
      </c>
      <c r="B29" s="34" t="s">
        <v>151</v>
      </c>
      <c r="C29" s="34" t="s">
        <v>480</v>
      </c>
      <c r="D29" s="34" t="s">
        <v>22</v>
      </c>
      <c r="E29" s="35">
        <v>300</v>
      </c>
      <c r="F29" s="36">
        <v>2961.1439999999998</v>
      </c>
      <c r="G29" s="37">
        <v>1.2657450000000001E-2</v>
      </c>
      <c r="H29" s="36">
        <v>7.73</v>
      </c>
    </row>
    <row r="30" spans="1:10" x14ac:dyDescent="0.2">
      <c r="A30" s="33">
        <v>3</v>
      </c>
      <c r="B30" s="34" t="s">
        <v>266</v>
      </c>
      <c r="C30" s="34" t="s">
        <v>550</v>
      </c>
      <c r="D30" s="34" t="s">
        <v>39</v>
      </c>
      <c r="E30" s="35">
        <v>250</v>
      </c>
      <c r="F30" s="36">
        <v>2497.7674999999999</v>
      </c>
      <c r="G30" s="37">
        <v>1.0676740000000001E-2</v>
      </c>
      <c r="H30" s="36">
        <v>7.32</v>
      </c>
    </row>
    <row r="31" spans="1:10" ht="25.5" x14ac:dyDescent="0.2">
      <c r="A31" s="33">
        <v>4</v>
      </c>
      <c r="B31" s="34" t="s">
        <v>267</v>
      </c>
      <c r="C31" s="34" t="s">
        <v>551</v>
      </c>
      <c r="D31" s="34" t="s">
        <v>159</v>
      </c>
      <c r="E31" s="35">
        <v>250000</v>
      </c>
      <c r="F31" s="36">
        <v>2496.52</v>
      </c>
      <c r="G31" s="37">
        <v>1.0671409999999999E-2</v>
      </c>
      <c r="H31" s="36">
        <v>8.375</v>
      </c>
    </row>
    <row r="32" spans="1:10" ht="25.5" x14ac:dyDescent="0.2">
      <c r="A32" s="33">
        <v>5</v>
      </c>
      <c r="B32" s="34" t="s">
        <v>268</v>
      </c>
      <c r="C32" s="34" t="s">
        <v>552</v>
      </c>
      <c r="D32" s="34" t="s">
        <v>22</v>
      </c>
      <c r="E32" s="35">
        <v>250</v>
      </c>
      <c r="F32" s="36">
        <v>2476.1075000000001</v>
      </c>
      <c r="G32" s="37">
        <v>1.058416E-2</v>
      </c>
      <c r="H32" s="36">
        <v>8.2721999999999998</v>
      </c>
    </row>
    <row r="33" spans="1:8" ht="25.5" x14ac:dyDescent="0.2">
      <c r="A33" s="33">
        <v>6</v>
      </c>
      <c r="B33" s="34" t="s">
        <v>269</v>
      </c>
      <c r="C33" s="34" t="s">
        <v>553</v>
      </c>
      <c r="D33" s="34" t="s">
        <v>22</v>
      </c>
      <c r="E33" s="35">
        <v>250</v>
      </c>
      <c r="F33" s="36">
        <v>2471.7275</v>
      </c>
      <c r="G33" s="37">
        <v>1.0565430000000001E-2</v>
      </c>
      <c r="H33" s="36">
        <v>7.625</v>
      </c>
    </row>
    <row r="34" spans="1:8" x14ac:dyDescent="0.2">
      <c r="A34" s="33">
        <v>7</v>
      </c>
      <c r="B34" s="34" t="s">
        <v>148</v>
      </c>
      <c r="C34" s="34" t="s">
        <v>477</v>
      </c>
      <c r="D34" s="34" t="s">
        <v>147</v>
      </c>
      <c r="E34" s="35">
        <v>2000</v>
      </c>
      <c r="F34" s="36">
        <v>2001.366</v>
      </c>
      <c r="G34" s="37">
        <v>8.5548699999999991E-3</v>
      </c>
      <c r="H34" s="36">
        <v>9.1449999999999996</v>
      </c>
    </row>
    <row r="35" spans="1:8" ht="25.5" x14ac:dyDescent="0.2">
      <c r="A35" s="33">
        <v>8</v>
      </c>
      <c r="B35" s="34" t="s">
        <v>158</v>
      </c>
      <c r="C35" s="34" t="s">
        <v>554</v>
      </c>
      <c r="D35" s="34" t="s">
        <v>159</v>
      </c>
      <c r="E35" s="35">
        <v>200</v>
      </c>
      <c r="F35" s="36">
        <v>1993.3579999999999</v>
      </c>
      <c r="G35" s="37">
        <v>8.5206399999999995E-3</v>
      </c>
      <c r="H35" s="36">
        <v>8.64</v>
      </c>
    </row>
    <row r="36" spans="1:8" x14ac:dyDescent="0.2">
      <c r="A36" s="33">
        <v>9</v>
      </c>
      <c r="B36" s="34" t="s">
        <v>149</v>
      </c>
      <c r="C36" s="34" t="s">
        <v>478</v>
      </c>
      <c r="D36" s="34" t="s">
        <v>22</v>
      </c>
      <c r="E36" s="35">
        <v>150</v>
      </c>
      <c r="F36" s="36">
        <v>1499.2815000000001</v>
      </c>
      <c r="G36" s="37">
        <v>6.4086999999999998E-3</v>
      </c>
      <c r="H36" s="36">
        <v>7.2050000000000001</v>
      </c>
    </row>
    <row r="37" spans="1:8" ht="25.5" x14ac:dyDescent="0.2">
      <c r="A37" s="33">
        <v>10</v>
      </c>
      <c r="B37" s="34" t="s">
        <v>104</v>
      </c>
      <c r="C37" s="34" t="s">
        <v>453</v>
      </c>
      <c r="D37" s="34" t="s">
        <v>22</v>
      </c>
      <c r="E37" s="35">
        <v>1500</v>
      </c>
      <c r="F37" s="36">
        <v>1497.4034999999999</v>
      </c>
      <c r="G37" s="37">
        <v>6.4006699999999998E-3</v>
      </c>
      <c r="H37" s="36">
        <v>7.97</v>
      </c>
    </row>
    <row r="38" spans="1:8" ht="25.5" x14ac:dyDescent="0.2">
      <c r="A38" s="33">
        <v>11</v>
      </c>
      <c r="B38" s="34" t="s">
        <v>49</v>
      </c>
      <c r="C38" s="34" t="s">
        <v>446</v>
      </c>
      <c r="D38" s="34" t="s">
        <v>22</v>
      </c>
      <c r="E38" s="35">
        <v>1500</v>
      </c>
      <c r="F38" s="36">
        <v>1497.1365000000001</v>
      </c>
      <c r="G38" s="37">
        <v>6.3995299999999996E-3</v>
      </c>
      <c r="H38" s="36">
        <v>8.2200000000000006</v>
      </c>
    </row>
    <row r="39" spans="1:8" x14ac:dyDescent="0.2">
      <c r="A39" s="33">
        <v>12</v>
      </c>
      <c r="B39" s="34" t="s">
        <v>156</v>
      </c>
      <c r="C39" s="34" t="s">
        <v>555</v>
      </c>
      <c r="D39" s="34" t="s">
        <v>147</v>
      </c>
      <c r="E39" s="35">
        <v>1000</v>
      </c>
      <c r="F39" s="36">
        <v>1002.664</v>
      </c>
      <c r="G39" s="37">
        <v>4.2858999999999996E-3</v>
      </c>
      <c r="H39" s="36">
        <v>8.98</v>
      </c>
    </row>
    <row r="40" spans="1:8" x14ac:dyDescent="0.2">
      <c r="A40" s="26"/>
      <c r="B40" s="26"/>
      <c r="C40" s="27" t="s">
        <v>11</v>
      </c>
      <c r="D40" s="26"/>
      <c r="E40" s="26" t="s">
        <v>12</v>
      </c>
      <c r="F40" s="32">
        <v>27399.751</v>
      </c>
      <c r="G40" s="29">
        <v>0.11712061999999999</v>
      </c>
      <c r="H40" s="36" t="s">
        <v>12</v>
      </c>
    </row>
    <row r="41" spans="1:8" x14ac:dyDescent="0.2">
      <c r="A41" s="26"/>
      <c r="B41" s="26"/>
      <c r="C41" s="30"/>
      <c r="D41" s="26"/>
      <c r="E41" s="26"/>
      <c r="F41" s="31"/>
      <c r="G41" s="31"/>
      <c r="H41" s="36" t="s">
        <v>12</v>
      </c>
    </row>
    <row r="42" spans="1:8" x14ac:dyDescent="0.2">
      <c r="A42" s="26"/>
      <c r="B42" s="26"/>
      <c r="C42" s="27" t="s">
        <v>50</v>
      </c>
      <c r="D42" s="26"/>
      <c r="E42" s="26"/>
      <c r="F42" s="26"/>
      <c r="G42" s="26"/>
      <c r="H42" s="36" t="s">
        <v>12</v>
      </c>
    </row>
    <row r="43" spans="1:8" x14ac:dyDescent="0.2">
      <c r="A43" s="26"/>
      <c r="B43" s="26"/>
      <c r="C43" s="27" t="s">
        <v>11</v>
      </c>
      <c r="D43" s="26"/>
      <c r="E43" s="26" t="s">
        <v>12</v>
      </c>
      <c r="F43" s="28" t="s">
        <v>13</v>
      </c>
      <c r="G43" s="29">
        <v>0</v>
      </c>
      <c r="H43" s="36" t="s">
        <v>12</v>
      </c>
    </row>
    <row r="44" spans="1:8" x14ac:dyDescent="0.2">
      <c r="A44" s="26"/>
      <c r="B44" s="26"/>
      <c r="C44" s="30"/>
      <c r="D44" s="26"/>
      <c r="E44" s="26"/>
      <c r="F44" s="31"/>
      <c r="G44" s="31"/>
      <c r="H44" s="36" t="s">
        <v>12</v>
      </c>
    </row>
    <row r="45" spans="1:8" x14ac:dyDescent="0.2">
      <c r="A45" s="26"/>
      <c r="B45" s="26"/>
      <c r="C45" s="27" t="s">
        <v>51</v>
      </c>
      <c r="D45" s="26"/>
      <c r="E45" s="26"/>
      <c r="F45" s="26"/>
      <c r="G45" s="26"/>
      <c r="H45" s="36" t="s">
        <v>12</v>
      </c>
    </row>
    <row r="46" spans="1:8" x14ac:dyDescent="0.2">
      <c r="A46" s="26"/>
      <c r="B46" s="26"/>
      <c r="C46" s="27" t="s">
        <v>11</v>
      </c>
      <c r="D46" s="26"/>
      <c r="E46" s="26" t="s">
        <v>12</v>
      </c>
      <c r="F46" s="28" t="s">
        <v>13</v>
      </c>
      <c r="G46" s="29">
        <v>0</v>
      </c>
      <c r="H46" s="36" t="s">
        <v>12</v>
      </c>
    </row>
    <row r="47" spans="1:8" x14ac:dyDescent="0.2">
      <c r="A47" s="26"/>
      <c r="B47" s="26"/>
      <c r="C47" s="30"/>
      <c r="D47" s="26"/>
      <c r="E47" s="26"/>
      <c r="F47" s="31"/>
      <c r="G47" s="31"/>
      <c r="H47" s="36" t="s">
        <v>12</v>
      </c>
    </row>
    <row r="48" spans="1:8" x14ac:dyDescent="0.2">
      <c r="A48" s="26"/>
      <c r="B48" s="26"/>
      <c r="C48" s="27" t="s">
        <v>59</v>
      </c>
      <c r="D48" s="26"/>
      <c r="E48" s="26"/>
      <c r="F48" s="31"/>
      <c r="G48" s="31"/>
      <c r="H48" s="36" t="s">
        <v>12</v>
      </c>
    </row>
    <row r="49" spans="1:8" x14ac:dyDescent="0.2">
      <c r="A49" s="26"/>
      <c r="B49" s="26"/>
      <c r="C49" s="27" t="s">
        <v>11</v>
      </c>
      <c r="D49" s="26"/>
      <c r="E49" s="26" t="s">
        <v>12</v>
      </c>
      <c r="F49" s="28" t="s">
        <v>13</v>
      </c>
      <c r="G49" s="29">
        <v>0</v>
      </c>
      <c r="H49" s="36" t="s">
        <v>12</v>
      </c>
    </row>
    <row r="50" spans="1:8" x14ac:dyDescent="0.2">
      <c r="A50" s="26"/>
      <c r="B50" s="26"/>
      <c r="C50" s="30"/>
      <c r="D50" s="26"/>
      <c r="E50" s="26"/>
      <c r="F50" s="31"/>
      <c r="G50" s="31"/>
      <c r="H50" s="36" t="s">
        <v>12</v>
      </c>
    </row>
    <row r="51" spans="1:8" x14ac:dyDescent="0.2">
      <c r="A51" s="26"/>
      <c r="B51" s="26"/>
      <c r="C51" s="27" t="s">
        <v>60</v>
      </c>
      <c r="D51" s="26"/>
      <c r="E51" s="26"/>
      <c r="F51" s="32">
        <v>27399.751</v>
      </c>
      <c r="G51" s="29">
        <v>0.11712061999999999</v>
      </c>
      <c r="H51" s="36" t="s">
        <v>12</v>
      </c>
    </row>
    <row r="52" spans="1:8" x14ac:dyDescent="0.2">
      <c r="A52" s="26"/>
      <c r="B52" s="26"/>
      <c r="C52" s="30"/>
      <c r="D52" s="26"/>
      <c r="E52" s="26"/>
      <c r="F52" s="31"/>
      <c r="G52" s="31"/>
      <c r="H52" s="36" t="s">
        <v>12</v>
      </c>
    </row>
    <row r="53" spans="1:8" x14ac:dyDescent="0.2">
      <c r="A53" s="26"/>
      <c r="B53" s="26"/>
      <c r="C53" s="27" t="s">
        <v>61</v>
      </c>
      <c r="D53" s="26"/>
      <c r="E53" s="26"/>
      <c r="F53" s="31"/>
      <c r="G53" s="31"/>
      <c r="H53" s="36" t="s">
        <v>12</v>
      </c>
    </row>
    <row r="54" spans="1:8" x14ac:dyDescent="0.2">
      <c r="A54" s="26"/>
      <c r="B54" s="26"/>
      <c r="C54" s="27" t="s">
        <v>62</v>
      </c>
      <c r="D54" s="26"/>
      <c r="E54" s="26"/>
      <c r="F54" s="31"/>
      <c r="G54" s="31"/>
      <c r="H54" s="36" t="s">
        <v>12</v>
      </c>
    </row>
    <row r="55" spans="1:8" x14ac:dyDescent="0.2">
      <c r="A55" s="33">
        <v>1</v>
      </c>
      <c r="B55" s="34" t="s">
        <v>270</v>
      </c>
      <c r="C55" s="3" t="s">
        <v>556</v>
      </c>
      <c r="D55" s="34" t="s">
        <v>117</v>
      </c>
      <c r="E55" s="35">
        <v>2000</v>
      </c>
      <c r="F55" s="36">
        <v>9817.18</v>
      </c>
      <c r="G55" s="37">
        <v>4.1963670000000002E-2</v>
      </c>
      <c r="H55" s="36">
        <v>7.1551</v>
      </c>
    </row>
    <row r="56" spans="1:8" x14ac:dyDescent="0.2">
      <c r="A56" s="33">
        <v>2</v>
      </c>
      <c r="B56" s="34" t="s">
        <v>271</v>
      </c>
      <c r="C56" s="3" t="s">
        <v>272</v>
      </c>
      <c r="D56" s="34" t="s">
        <v>117</v>
      </c>
      <c r="E56" s="35">
        <v>1500</v>
      </c>
      <c r="F56" s="36">
        <v>7372.3725000000004</v>
      </c>
      <c r="G56" s="37">
        <v>3.1513310000000003E-2</v>
      </c>
      <c r="H56" s="36">
        <v>7.0998000000000001</v>
      </c>
    </row>
    <row r="57" spans="1:8" x14ac:dyDescent="0.2">
      <c r="A57" s="33">
        <v>3</v>
      </c>
      <c r="B57" s="34" t="s">
        <v>120</v>
      </c>
      <c r="C57" s="3" t="s">
        <v>461</v>
      </c>
      <c r="D57" s="34" t="s">
        <v>117</v>
      </c>
      <c r="E57" s="35">
        <v>1400</v>
      </c>
      <c r="F57" s="36">
        <v>6752.7389999999996</v>
      </c>
      <c r="G57" s="37">
        <v>2.886468E-2</v>
      </c>
      <c r="H57" s="36">
        <v>7.4249999999999998</v>
      </c>
    </row>
    <row r="58" spans="1:8" x14ac:dyDescent="0.2">
      <c r="A58" s="33">
        <v>4</v>
      </c>
      <c r="B58" s="34" t="s">
        <v>123</v>
      </c>
      <c r="C58" s="3" t="s">
        <v>464</v>
      </c>
      <c r="D58" s="34" t="s">
        <v>117</v>
      </c>
      <c r="E58" s="35">
        <v>1300</v>
      </c>
      <c r="F58" s="36">
        <v>6176.7614999999996</v>
      </c>
      <c r="G58" s="37">
        <v>2.640265E-2</v>
      </c>
      <c r="H58" s="36">
        <v>7.52</v>
      </c>
    </row>
    <row r="59" spans="1:8" x14ac:dyDescent="0.2">
      <c r="A59" s="33">
        <v>5</v>
      </c>
      <c r="B59" s="34" t="s">
        <v>165</v>
      </c>
      <c r="C59" s="3" t="s">
        <v>485</v>
      </c>
      <c r="D59" s="34" t="s">
        <v>128</v>
      </c>
      <c r="E59" s="35">
        <v>1200</v>
      </c>
      <c r="F59" s="36">
        <v>5881.9859999999999</v>
      </c>
      <c r="G59" s="37">
        <v>2.5142629999999999E-2</v>
      </c>
      <c r="H59" s="36">
        <v>7.1101000000000001</v>
      </c>
    </row>
    <row r="60" spans="1:8" x14ac:dyDescent="0.2">
      <c r="A60" s="33">
        <v>6</v>
      </c>
      <c r="B60" s="34" t="s">
        <v>273</v>
      </c>
      <c r="C60" s="3" t="s">
        <v>557</v>
      </c>
      <c r="D60" s="34" t="s">
        <v>117</v>
      </c>
      <c r="E60" s="35">
        <v>1000</v>
      </c>
      <c r="F60" s="36">
        <v>4989.6049999999996</v>
      </c>
      <c r="G60" s="37">
        <v>2.1328139999999999E-2</v>
      </c>
      <c r="H60" s="36">
        <v>6.915</v>
      </c>
    </row>
    <row r="61" spans="1:8" x14ac:dyDescent="0.2">
      <c r="A61" s="33">
        <v>7</v>
      </c>
      <c r="B61" s="34" t="s">
        <v>274</v>
      </c>
      <c r="C61" s="3" t="s">
        <v>558</v>
      </c>
      <c r="D61" s="34" t="s">
        <v>115</v>
      </c>
      <c r="E61" s="35">
        <v>1000</v>
      </c>
      <c r="F61" s="36">
        <v>4841.21</v>
      </c>
      <c r="G61" s="37">
        <v>2.0693820000000002E-2</v>
      </c>
      <c r="H61" s="36">
        <v>7.39</v>
      </c>
    </row>
    <row r="62" spans="1:8" x14ac:dyDescent="0.2">
      <c r="A62" s="33">
        <v>8</v>
      </c>
      <c r="B62" s="34" t="s">
        <v>275</v>
      </c>
      <c r="C62" s="3" t="s">
        <v>559</v>
      </c>
      <c r="D62" s="34" t="s">
        <v>128</v>
      </c>
      <c r="E62" s="35">
        <v>1000</v>
      </c>
      <c r="F62" s="36">
        <v>4830.13</v>
      </c>
      <c r="G62" s="37">
        <v>2.0646459999999998E-2</v>
      </c>
      <c r="H62" s="36">
        <v>7.4200999999999997</v>
      </c>
    </row>
    <row r="63" spans="1:8" x14ac:dyDescent="0.2">
      <c r="A63" s="33">
        <v>9</v>
      </c>
      <c r="B63" s="34" t="s">
        <v>276</v>
      </c>
      <c r="C63" s="3" t="s">
        <v>560</v>
      </c>
      <c r="D63" s="34" t="s">
        <v>117</v>
      </c>
      <c r="E63" s="35">
        <v>1000</v>
      </c>
      <c r="F63" s="36">
        <v>4774.87</v>
      </c>
      <c r="G63" s="37">
        <v>2.0410250000000001E-2</v>
      </c>
      <c r="H63" s="36">
        <v>7.5149999999999997</v>
      </c>
    </row>
    <row r="64" spans="1:8" x14ac:dyDescent="0.2">
      <c r="A64" s="33">
        <v>10</v>
      </c>
      <c r="B64" s="34" t="s">
        <v>169</v>
      </c>
      <c r="C64" s="3" t="s">
        <v>487</v>
      </c>
      <c r="D64" s="34" t="s">
        <v>117</v>
      </c>
      <c r="E64" s="35">
        <v>900</v>
      </c>
      <c r="F64" s="36">
        <v>4352.1930000000002</v>
      </c>
      <c r="G64" s="37">
        <v>1.860351E-2</v>
      </c>
      <c r="H64" s="36">
        <v>7.4676</v>
      </c>
    </row>
    <row r="65" spans="1:8" ht="25.5" x14ac:dyDescent="0.2">
      <c r="A65" s="33">
        <v>11</v>
      </c>
      <c r="B65" s="34" t="s">
        <v>171</v>
      </c>
      <c r="C65" s="3" t="s">
        <v>489</v>
      </c>
      <c r="D65" s="34" t="s">
        <v>117</v>
      </c>
      <c r="E65" s="35">
        <v>800</v>
      </c>
      <c r="F65" s="36">
        <v>3813.0039999999999</v>
      </c>
      <c r="G65" s="37">
        <v>1.6298739999999999E-2</v>
      </c>
      <c r="H65" s="36">
        <v>7.585</v>
      </c>
    </row>
    <row r="66" spans="1:8" x14ac:dyDescent="0.2">
      <c r="A66" s="33">
        <v>12</v>
      </c>
      <c r="B66" s="34" t="s">
        <v>130</v>
      </c>
      <c r="C66" s="3" t="s">
        <v>470</v>
      </c>
      <c r="D66" s="34" t="s">
        <v>128</v>
      </c>
      <c r="E66" s="35">
        <v>800</v>
      </c>
      <c r="F66" s="36">
        <v>3799.0920000000001</v>
      </c>
      <c r="G66" s="37">
        <v>1.623927E-2</v>
      </c>
      <c r="H66" s="36">
        <v>7.54</v>
      </c>
    </row>
    <row r="67" spans="1:8" ht="25.5" x14ac:dyDescent="0.2">
      <c r="A67" s="33">
        <v>13</v>
      </c>
      <c r="B67" s="34" t="s">
        <v>166</v>
      </c>
      <c r="C67" s="3" t="s">
        <v>167</v>
      </c>
      <c r="D67" s="34" t="s">
        <v>117</v>
      </c>
      <c r="E67" s="35">
        <v>700</v>
      </c>
      <c r="F67" s="36">
        <v>3376.3449999999998</v>
      </c>
      <c r="G67" s="37">
        <v>1.4432230000000001E-2</v>
      </c>
      <c r="H67" s="36">
        <v>7.51</v>
      </c>
    </row>
    <row r="68" spans="1:8" x14ac:dyDescent="0.2">
      <c r="A68" s="33">
        <v>14</v>
      </c>
      <c r="B68" s="34" t="s">
        <v>168</v>
      </c>
      <c r="C68" s="3" t="s">
        <v>486</v>
      </c>
      <c r="D68" s="34" t="s">
        <v>117</v>
      </c>
      <c r="E68" s="35">
        <v>700</v>
      </c>
      <c r="F68" s="36">
        <v>3355.5340000000001</v>
      </c>
      <c r="G68" s="37">
        <v>1.434328E-2</v>
      </c>
      <c r="H68" s="36">
        <v>7.5549999999999997</v>
      </c>
    </row>
    <row r="69" spans="1:8" x14ac:dyDescent="0.2">
      <c r="A69" s="33">
        <v>15</v>
      </c>
      <c r="B69" s="34" t="s">
        <v>129</v>
      </c>
      <c r="C69" s="3" t="s">
        <v>469</v>
      </c>
      <c r="D69" s="34" t="s">
        <v>117</v>
      </c>
      <c r="E69" s="35">
        <v>700</v>
      </c>
      <c r="F69" s="36">
        <v>3337.6489999999999</v>
      </c>
      <c r="G69" s="37">
        <v>1.4266829999999999E-2</v>
      </c>
      <c r="H69" s="36">
        <v>7.62</v>
      </c>
    </row>
    <row r="70" spans="1:8" x14ac:dyDescent="0.2">
      <c r="A70" s="33">
        <v>16</v>
      </c>
      <c r="B70" s="34" t="s">
        <v>125</v>
      </c>
      <c r="C70" s="3" t="s">
        <v>466</v>
      </c>
      <c r="D70" s="34" t="s">
        <v>117</v>
      </c>
      <c r="E70" s="35">
        <v>660</v>
      </c>
      <c r="F70" s="36">
        <v>3136.0065</v>
      </c>
      <c r="G70" s="37">
        <v>1.3404900000000001E-2</v>
      </c>
      <c r="H70" s="36">
        <v>7.6349999999999998</v>
      </c>
    </row>
    <row r="71" spans="1:8" x14ac:dyDescent="0.2">
      <c r="A71" s="33">
        <v>17</v>
      </c>
      <c r="B71" s="34" t="s">
        <v>126</v>
      </c>
      <c r="C71" s="3" t="s">
        <v>467</v>
      </c>
      <c r="D71" s="34" t="s">
        <v>117</v>
      </c>
      <c r="E71" s="35">
        <v>660</v>
      </c>
      <c r="F71" s="36">
        <v>3134.8580999999999</v>
      </c>
      <c r="G71" s="37">
        <v>1.3399990000000001E-2</v>
      </c>
      <c r="H71" s="36">
        <v>7.6</v>
      </c>
    </row>
    <row r="72" spans="1:8" x14ac:dyDescent="0.2">
      <c r="A72" s="33">
        <v>18</v>
      </c>
      <c r="B72" s="34" t="s">
        <v>127</v>
      </c>
      <c r="C72" s="3" t="s">
        <v>468</v>
      </c>
      <c r="D72" s="34" t="s">
        <v>128</v>
      </c>
      <c r="E72" s="35">
        <v>600</v>
      </c>
      <c r="F72" s="36">
        <v>2865.4380000000001</v>
      </c>
      <c r="G72" s="37">
        <v>1.224835E-2</v>
      </c>
      <c r="H72" s="36">
        <v>7.4850000000000003</v>
      </c>
    </row>
    <row r="73" spans="1:8" x14ac:dyDescent="0.2">
      <c r="A73" s="33">
        <v>19</v>
      </c>
      <c r="B73" s="34" t="s">
        <v>122</v>
      </c>
      <c r="C73" s="3" t="s">
        <v>463</v>
      </c>
      <c r="D73" s="34" t="s">
        <v>117</v>
      </c>
      <c r="E73" s="35">
        <v>600</v>
      </c>
      <c r="F73" s="36">
        <v>2853.0839999999998</v>
      </c>
      <c r="G73" s="37">
        <v>1.2195549999999999E-2</v>
      </c>
      <c r="H73" s="36">
        <v>7.5483000000000002</v>
      </c>
    </row>
    <row r="74" spans="1:8" x14ac:dyDescent="0.2">
      <c r="A74" s="33">
        <v>20</v>
      </c>
      <c r="B74" s="34" t="s">
        <v>277</v>
      </c>
      <c r="C74" s="3" t="s">
        <v>561</v>
      </c>
      <c r="D74" s="34" t="s">
        <v>128</v>
      </c>
      <c r="E74" s="35">
        <v>500</v>
      </c>
      <c r="F74" s="36">
        <v>2455.0475000000001</v>
      </c>
      <c r="G74" s="37">
        <v>1.0494130000000001E-2</v>
      </c>
      <c r="H74" s="36">
        <v>7.1101000000000001</v>
      </c>
    </row>
    <row r="75" spans="1:8" x14ac:dyDescent="0.2">
      <c r="A75" s="33">
        <v>21</v>
      </c>
      <c r="B75" s="34" t="s">
        <v>278</v>
      </c>
      <c r="C75" s="3" t="s">
        <v>562</v>
      </c>
      <c r="D75" s="34" t="s">
        <v>117</v>
      </c>
      <c r="E75" s="35">
        <v>500</v>
      </c>
      <c r="F75" s="36">
        <v>2417.54</v>
      </c>
      <c r="G75" s="37">
        <v>1.0333810000000001E-2</v>
      </c>
      <c r="H75" s="36">
        <v>7.5000999999999998</v>
      </c>
    </row>
    <row r="76" spans="1:8" x14ac:dyDescent="0.2">
      <c r="A76" s="33">
        <v>22</v>
      </c>
      <c r="B76" s="34" t="s">
        <v>279</v>
      </c>
      <c r="C76" s="3" t="s">
        <v>563</v>
      </c>
      <c r="D76" s="34" t="s">
        <v>117</v>
      </c>
      <c r="E76" s="35">
        <v>500</v>
      </c>
      <c r="F76" s="36">
        <v>2414.6774999999998</v>
      </c>
      <c r="G76" s="37">
        <v>1.032157E-2</v>
      </c>
      <c r="H76" s="36">
        <v>7.4550999999999998</v>
      </c>
    </row>
    <row r="77" spans="1:8" ht="25.5" x14ac:dyDescent="0.2">
      <c r="A77" s="33">
        <v>23</v>
      </c>
      <c r="B77" s="34" t="s">
        <v>280</v>
      </c>
      <c r="C77" s="3" t="s">
        <v>564</v>
      </c>
      <c r="D77" s="34" t="s">
        <v>117</v>
      </c>
      <c r="E77" s="35">
        <v>500</v>
      </c>
      <c r="F77" s="36">
        <v>2408.3274999999999</v>
      </c>
      <c r="G77" s="37">
        <v>1.029443E-2</v>
      </c>
      <c r="H77" s="36">
        <v>7.51</v>
      </c>
    </row>
    <row r="78" spans="1:8" ht="25.5" x14ac:dyDescent="0.2">
      <c r="A78" s="33">
        <v>24</v>
      </c>
      <c r="B78" s="34" t="s">
        <v>281</v>
      </c>
      <c r="C78" s="3" t="s">
        <v>565</v>
      </c>
      <c r="D78" s="34" t="s">
        <v>117</v>
      </c>
      <c r="E78" s="35">
        <v>500</v>
      </c>
      <c r="F78" s="36">
        <v>2390.2975000000001</v>
      </c>
      <c r="G78" s="37">
        <v>1.021736E-2</v>
      </c>
      <c r="H78" s="36">
        <v>7.58</v>
      </c>
    </row>
    <row r="79" spans="1:8" x14ac:dyDescent="0.2">
      <c r="A79" s="33">
        <v>25</v>
      </c>
      <c r="B79" s="34" t="s">
        <v>282</v>
      </c>
      <c r="C79" s="3" t="s">
        <v>566</v>
      </c>
      <c r="D79" s="34" t="s">
        <v>117</v>
      </c>
      <c r="E79" s="35">
        <v>500</v>
      </c>
      <c r="F79" s="36">
        <v>2385.6025</v>
      </c>
      <c r="G79" s="37">
        <v>1.0197289999999999E-2</v>
      </c>
      <c r="H79" s="36">
        <v>7.48</v>
      </c>
    </row>
    <row r="80" spans="1:8" x14ac:dyDescent="0.2">
      <c r="A80" s="33">
        <v>26</v>
      </c>
      <c r="B80" s="34" t="s">
        <v>283</v>
      </c>
      <c r="C80" s="3" t="s">
        <v>284</v>
      </c>
      <c r="D80" s="34" t="s">
        <v>117</v>
      </c>
      <c r="E80" s="35">
        <v>500</v>
      </c>
      <c r="F80" s="36">
        <v>2384.08</v>
      </c>
      <c r="G80" s="37">
        <v>1.019078E-2</v>
      </c>
      <c r="H80" s="36">
        <v>7.52</v>
      </c>
    </row>
    <row r="81" spans="1:8" ht="25.5" x14ac:dyDescent="0.2">
      <c r="A81" s="33">
        <v>27</v>
      </c>
      <c r="B81" s="34" t="s">
        <v>285</v>
      </c>
      <c r="C81" s="3" t="s">
        <v>567</v>
      </c>
      <c r="D81" s="34" t="s">
        <v>117</v>
      </c>
      <c r="E81" s="35">
        <v>500</v>
      </c>
      <c r="F81" s="36">
        <v>2383.5650000000001</v>
      </c>
      <c r="G81" s="37">
        <v>1.0188579999999999E-2</v>
      </c>
      <c r="H81" s="36">
        <v>7.5549999999999997</v>
      </c>
    </row>
    <row r="82" spans="1:8" x14ac:dyDescent="0.2">
      <c r="A82" s="33">
        <v>28</v>
      </c>
      <c r="B82" s="34" t="s">
        <v>114</v>
      </c>
      <c r="C82" s="3" t="s">
        <v>457</v>
      </c>
      <c r="D82" s="34" t="s">
        <v>115</v>
      </c>
      <c r="E82" s="35">
        <v>500</v>
      </c>
      <c r="F82" s="36">
        <v>2378.625</v>
      </c>
      <c r="G82" s="37">
        <v>1.016747E-2</v>
      </c>
      <c r="H82" s="36">
        <v>7.48</v>
      </c>
    </row>
    <row r="83" spans="1:8" x14ac:dyDescent="0.2">
      <c r="A83" s="33">
        <v>29</v>
      </c>
      <c r="B83" s="34" t="s">
        <v>119</v>
      </c>
      <c r="C83" s="3" t="s">
        <v>460</v>
      </c>
      <c r="D83" s="34" t="s">
        <v>117</v>
      </c>
      <c r="E83" s="35">
        <v>500</v>
      </c>
      <c r="F83" s="36">
        <v>2333.04</v>
      </c>
      <c r="G83" s="37">
        <v>9.9726099999999998E-3</v>
      </c>
      <c r="H83" s="36">
        <v>7.66</v>
      </c>
    </row>
    <row r="84" spans="1:8" x14ac:dyDescent="0.2">
      <c r="A84" s="33">
        <v>30</v>
      </c>
      <c r="B84" s="34" t="s">
        <v>170</v>
      </c>
      <c r="C84" s="3" t="s">
        <v>488</v>
      </c>
      <c r="D84" s="34" t="s">
        <v>117</v>
      </c>
      <c r="E84" s="35">
        <v>300</v>
      </c>
      <c r="F84" s="36">
        <v>1449.027</v>
      </c>
      <c r="G84" s="37">
        <v>6.1938899999999996E-3</v>
      </c>
      <c r="H84" s="36">
        <v>7.4649999999999999</v>
      </c>
    </row>
    <row r="85" spans="1:8" ht="25.5" x14ac:dyDescent="0.2">
      <c r="A85" s="33">
        <v>31</v>
      </c>
      <c r="B85" s="34" t="s">
        <v>121</v>
      </c>
      <c r="C85" s="3" t="s">
        <v>462</v>
      </c>
      <c r="D85" s="34" t="s">
        <v>117</v>
      </c>
      <c r="E85" s="35">
        <v>300</v>
      </c>
      <c r="F85" s="36">
        <v>1428.4604999999999</v>
      </c>
      <c r="G85" s="37">
        <v>6.1059699999999996E-3</v>
      </c>
      <c r="H85" s="36">
        <v>7.585</v>
      </c>
    </row>
    <row r="86" spans="1:8" ht="25.5" x14ac:dyDescent="0.2">
      <c r="A86" s="33">
        <v>32</v>
      </c>
      <c r="B86" s="34" t="s">
        <v>172</v>
      </c>
      <c r="C86" s="3" t="s">
        <v>490</v>
      </c>
      <c r="D86" s="34" t="s">
        <v>117</v>
      </c>
      <c r="E86" s="35">
        <v>300</v>
      </c>
      <c r="F86" s="36">
        <v>1424.5139999999999</v>
      </c>
      <c r="G86" s="37">
        <v>6.08911E-3</v>
      </c>
      <c r="H86" s="36">
        <v>7.585</v>
      </c>
    </row>
    <row r="87" spans="1:8" x14ac:dyDescent="0.2">
      <c r="A87" s="33">
        <v>33</v>
      </c>
      <c r="B87" s="34" t="s">
        <v>124</v>
      </c>
      <c r="C87" s="3" t="s">
        <v>465</v>
      </c>
      <c r="D87" s="34" t="s">
        <v>117</v>
      </c>
      <c r="E87" s="35">
        <v>300</v>
      </c>
      <c r="F87" s="36">
        <v>1421.8409999999999</v>
      </c>
      <c r="G87" s="37">
        <v>6.0776800000000002E-3</v>
      </c>
      <c r="H87" s="36">
        <v>7.6</v>
      </c>
    </row>
    <row r="88" spans="1:8" x14ac:dyDescent="0.2">
      <c r="A88" s="33">
        <v>34</v>
      </c>
      <c r="B88" s="34" t="s">
        <v>116</v>
      </c>
      <c r="C88" s="3" t="s">
        <v>458</v>
      </c>
      <c r="D88" s="34" t="s">
        <v>117</v>
      </c>
      <c r="E88" s="35">
        <v>200</v>
      </c>
      <c r="F88" s="36">
        <v>949.64700000000005</v>
      </c>
      <c r="G88" s="37">
        <v>4.0592800000000002E-3</v>
      </c>
      <c r="H88" s="36">
        <v>7.56</v>
      </c>
    </row>
    <row r="89" spans="1:8" x14ac:dyDescent="0.2">
      <c r="A89" s="26"/>
      <c r="B89" s="26"/>
      <c r="C89" s="27" t="s">
        <v>11</v>
      </c>
      <c r="D89" s="26"/>
      <c r="E89" s="26" t="s">
        <v>12</v>
      </c>
      <c r="F89" s="32">
        <v>120084.3496</v>
      </c>
      <c r="G89" s="29">
        <v>0.51330222000000003</v>
      </c>
      <c r="H89" s="36" t="s">
        <v>12</v>
      </c>
    </row>
    <row r="90" spans="1:8" x14ac:dyDescent="0.2">
      <c r="A90" s="26"/>
      <c r="B90" s="26"/>
      <c r="C90" s="30"/>
      <c r="D90" s="26"/>
      <c r="E90" s="26"/>
      <c r="F90" s="31"/>
      <c r="G90" s="31"/>
      <c r="H90" s="36" t="s">
        <v>12</v>
      </c>
    </row>
    <row r="91" spans="1:8" x14ac:dyDescent="0.2">
      <c r="A91" s="26"/>
      <c r="B91" s="26"/>
      <c r="C91" s="27" t="s">
        <v>63</v>
      </c>
      <c r="D91" s="26"/>
      <c r="E91" s="26"/>
      <c r="F91" s="31"/>
      <c r="G91" s="31"/>
      <c r="H91" s="36" t="s">
        <v>12</v>
      </c>
    </row>
    <row r="92" spans="1:8" x14ac:dyDescent="0.2">
      <c r="A92" s="33">
        <v>1</v>
      </c>
      <c r="B92" s="34" t="s">
        <v>286</v>
      </c>
      <c r="C92" s="3" t="s">
        <v>287</v>
      </c>
      <c r="D92" s="34" t="s">
        <v>117</v>
      </c>
      <c r="E92" s="35">
        <v>1000</v>
      </c>
      <c r="F92" s="36">
        <v>4929.9949999999999</v>
      </c>
      <c r="G92" s="37">
        <v>2.1073330000000001E-2</v>
      </c>
      <c r="H92" s="36">
        <v>7.0998999999999999</v>
      </c>
    </row>
    <row r="93" spans="1:8" ht="25.5" x14ac:dyDescent="0.2">
      <c r="A93" s="33">
        <v>2</v>
      </c>
      <c r="B93" s="34" t="s">
        <v>288</v>
      </c>
      <c r="C93" s="3" t="s">
        <v>568</v>
      </c>
      <c r="D93" s="34" t="s">
        <v>117</v>
      </c>
      <c r="E93" s="35">
        <v>1000</v>
      </c>
      <c r="F93" s="36">
        <v>4794.5200000000004</v>
      </c>
      <c r="G93" s="37">
        <v>2.049424E-2</v>
      </c>
      <c r="H93" s="36">
        <v>8.19</v>
      </c>
    </row>
    <row r="94" spans="1:8" ht="25.5" x14ac:dyDescent="0.2">
      <c r="A94" s="33">
        <v>3</v>
      </c>
      <c r="B94" s="34" t="s">
        <v>289</v>
      </c>
      <c r="C94" s="3" t="s">
        <v>569</v>
      </c>
      <c r="D94" s="34" t="s">
        <v>117</v>
      </c>
      <c r="E94" s="35">
        <v>1000</v>
      </c>
      <c r="F94" s="36">
        <v>4747.3</v>
      </c>
      <c r="G94" s="37">
        <v>2.0292399999999999E-2</v>
      </c>
      <c r="H94" s="36">
        <v>7.56</v>
      </c>
    </row>
    <row r="95" spans="1:8" x14ac:dyDescent="0.2">
      <c r="A95" s="33">
        <v>4</v>
      </c>
      <c r="B95" s="34" t="s">
        <v>290</v>
      </c>
      <c r="C95" s="3" t="s">
        <v>570</v>
      </c>
      <c r="D95" s="34" t="s">
        <v>117</v>
      </c>
      <c r="E95" s="35">
        <v>1000</v>
      </c>
      <c r="F95" s="36">
        <v>4725.42</v>
      </c>
      <c r="G95" s="37">
        <v>2.0198870000000001E-2</v>
      </c>
      <c r="H95" s="36">
        <v>8.35</v>
      </c>
    </row>
    <row r="96" spans="1:8" x14ac:dyDescent="0.2">
      <c r="A96" s="33">
        <v>5</v>
      </c>
      <c r="B96" s="34" t="s">
        <v>291</v>
      </c>
      <c r="C96" s="3" t="s">
        <v>571</v>
      </c>
      <c r="D96" s="34" t="s">
        <v>117</v>
      </c>
      <c r="E96" s="35">
        <v>1000</v>
      </c>
      <c r="F96" s="36">
        <v>4717.3649999999998</v>
      </c>
      <c r="G96" s="37">
        <v>2.0164439999999999E-2</v>
      </c>
      <c r="H96" s="36">
        <v>8.16</v>
      </c>
    </row>
    <row r="97" spans="1:8" x14ac:dyDescent="0.2">
      <c r="A97" s="33">
        <v>6</v>
      </c>
      <c r="B97" s="34" t="s">
        <v>136</v>
      </c>
      <c r="C97" s="3" t="s">
        <v>137</v>
      </c>
      <c r="D97" s="34" t="s">
        <v>117</v>
      </c>
      <c r="E97" s="35">
        <v>900</v>
      </c>
      <c r="F97" s="36">
        <v>4412.0879999999997</v>
      </c>
      <c r="G97" s="37">
        <v>1.8859529999999999E-2</v>
      </c>
      <c r="H97" s="36">
        <v>7.13</v>
      </c>
    </row>
    <row r="98" spans="1:8" ht="25.5" x14ac:dyDescent="0.2">
      <c r="A98" s="33">
        <v>7</v>
      </c>
      <c r="B98" s="34" t="s">
        <v>132</v>
      </c>
      <c r="C98" s="3" t="s">
        <v>472</v>
      </c>
      <c r="D98" s="34" t="s">
        <v>117</v>
      </c>
      <c r="E98" s="35">
        <v>800</v>
      </c>
      <c r="F98" s="36">
        <v>3848.0360000000001</v>
      </c>
      <c r="G98" s="37">
        <v>1.6448480000000001E-2</v>
      </c>
      <c r="H98" s="36">
        <v>8.19</v>
      </c>
    </row>
    <row r="99" spans="1:8" ht="25.5" x14ac:dyDescent="0.2">
      <c r="A99" s="33">
        <v>8</v>
      </c>
      <c r="B99" s="34" t="s">
        <v>218</v>
      </c>
      <c r="C99" s="3" t="s">
        <v>528</v>
      </c>
      <c r="D99" s="34" t="s">
        <v>117</v>
      </c>
      <c r="E99" s="35">
        <v>500</v>
      </c>
      <c r="F99" s="36">
        <v>2493.3649999999998</v>
      </c>
      <c r="G99" s="37">
        <v>1.065792E-2</v>
      </c>
      <c r="H99" s="36">
        <v>8.0950000000000006</v>
      </c>
    </row>
    <row r="100" spans="1:8" ht="25.5" x14ac:dyDescent="0.2">
      <c r="A100" s="33">
        <v>9</v>
      </c>
      <c r="B100" s="34" t="s">
        <v>233</v>
      </c>
      <c r="C100" s="3" t="s">
        <v>543</v>
      </c>
      <c r="D100" s="34" t="s">
        <v>117</v>
      </c>
      <c r="E100" s="35">
        <v>500</v>
      </c>
      <c r="F100" s="36">
        <v>2470.6849999999999</v>
      </c>
      <c r="G100" s="37">
        <v>1.0560979999999999E-2</v>
      </c>
      <c r="H100" s="36">
        <v>8.02</v>
      </c>
    </row>
    <row r="101" spans="1:8" x14ac:dyDescent="0.2">
      <c r="A101" s="33">
        <v>10</v>
      </c>
      <c r="B101" s="34" t="s">
        <v>292</v>
      </c>
      <c r="C101" s="3" t="s">
        <v>572</v>
      </c>
      <c r="D101" s="34" t="s">
        <v>117</v>
      </c>
      <c r="E101" s="35">
        <v>500</v>
      </c>
      <c r="F101" s="36">
        <v>2371.3000000000002</v>
      </c>
      <c r="G101" s="37">
        <v>1.013616E-2</v>
      </c>
      <c r="H101" s="36">
        <v>7.59</v>
      </c>
    </row>
    <row r="102" spans="1:8" ht="25.5" x14ac:dyDescent="0.2">
      <c r="A102" s="33">
        <v>11</v>
      </c>
      <c r="B102" s="34" t="s">
        <v>293</v>
      </c>
      <c r="C102" s="3" t="s">
        <v>573</v>
      </c>
      <c r="D102" s="34" t="s">
        <v>117</v>
      </c>
      <c r="E102" s="35">
        <v>500</v>
      </c>
      <c r="F102" s="36">
        <v>2350.5149999999999</v>
      </c>
      <c r="G102" s="37">
        <v>1.004731E-2</v>
      </c>
      <c r="H102" s="36">
        <v>8.35</v>
      </c>
    </row>
    <row r="103" spans="1:8" x14ac:dyDescent="0.2">
      <c r="A103" s="33">
        <v>12</v>
      </c>
      <c r="B103" s="34" t="s">
        <v>133</v>
      </c>
      <c r="C103" s="3" t="s">
        <v>473</v>
      </c>
      <c r="D103" s="34" t="s">
        <v>117</v>
      </c>
      <c r="E103" s="35">
        <v>300</v>
      </c>
      <c r="F103" s="36">
        <v>1421.1555000000001</v>
      </c>
      <c r="G103" s="37">
        <v>6.0747500000000003E-3</v>
      </c>
      <c r="H103" s="36">
        <v>8.1</v>
      </c>
    </row>
    <row r="104" spans="1:8" ht="25.5" x14ac:dyDescent="0.2">
      <c r="A104" s="33">
        <v>13</v>
      </c>
      <c r="B104" s="34" t="s">
        <v>175</v>
      </c>
      <c r="C104" s="3" t="s">
        <v>493</v>
      </c>
      <c r="D104" s="34" t="s">
        <v>117</v>
      </c>
      <c r="E104" s="35">
        <v>300</v>
      </c>
      <c r="F104" s="36">
        <v>1420.326</v>
      </c>
      <c r="G104" s="37">
        <v>6.0711999999999997E-3</v>
      </c>
      <c r="H104" s="36">
        <v>8.19</v>
      </c>
    </row>
    <row r="105" spans="1:8" ht="25.5" x14ac:dyDescent="0.2">
      <c r="A105" s="33">
        <v>14</v>
      </c>
      <c r="B105" s="34" t="s">
        <v>135</v>
      </c>
      <c r="C105" s="3" t="s">
        <v>475</v>
      </c>
      <c r="D105" s="34" t="s">
        <v>117</v>
      </c>
      <c r="E105" s="35">
        <v>300</v>
      </c>
      <c r="F105" s="36">
        <v>1397.8679999999999</v>
      </c>
      <c r="G105" s="37">
        <v>5.9752099999999999E-3</v>
      </c>
      <c r="H105" s="36">
        <v>7.7074999999999996</v>
      </c>
    </row>
    <row r="106" spans="1:8" x14ac:dyDescent="0.2">
      <c r="A106" s="26"/>
      <c r="B106" s="26"/>
      <c r="C106" s="27" t="s">
        <v>11</v>
      </c>
      <c r="D106" s="26"/>
      <c r="E106" s="26" t="s">
        <v>12</v>
      </c>
      <c r="F106" s="32">
        <v>46099.938499999997</v>
      </c>
      <c r="G106" s="29">
        <v>0.19705481999999999</v>
      </c>
      <c r="H106" s="36" t="s">
        <v>12</v>
      </c>
    </row>
    <row r="107" spans="1:8" x14ac:dyDescent="0.2">
      <c r="A107" s="26"/>
      <c r="B107" s="26"/>
      <c r="C107" s="30"/>
      <c r="D107" s="26"/>
      <c r="E107" s="26"/>
      <c r="F107" s="31"/>
      <c r="G107" s="31"/>
      <c r="H107" s="36" t="s">
        <v>12</v>
      </c>
    </row>
    <row r="108" spans="1:8" x14ac:dyDescent="0.2">
      <c r="A108" s="26"/>
      <c r="B108" s="26"/>
      <c r="C108" s="27" t="s">
        <v>64</v>
      </c>
      <c r="D108" s="26"/>
      <c r="E108" s="26"/>
      <c r="F108" s="31"/>
      <c r="G108" s="31"/>
      <c r="H108" s="36" t="s">
        <v>12</v>
      </c>
    </row>
    <row r="109" spans="1:8" x14ac:dyDescent="0.2">
      <c r="A109" s="33">
        <v>1</v>
      </c>
      <c r="B109" s="34" t="s">
        <v>251</v>
      </c>
      <c r="C109" s="34" t="s">
        <v>252</v>
      </c>
      <c r="D109" s="34" t="s">
        <v>54</v>
      </c>
      <c r="E109" s="35">
        <v>7500000</v>
      </c>
      <c r="F109" s="36">
        <v>7455.5550000000003</v>
      </c>
      <c r="G109" s="37">
        <v>3.1868870000000001E-2</v>
      </c>
      <c r="H109" s="36">
        <v>6.8</v>
      </c>
    </row>
    <row r="110" spans="1:8" x14ac:dyDescent="0.2">
      <c r="A110" s="33">
        <v>2</v>
      </c>
      <c r="B110" s="34" t="s">
        <v>249</v>
      </c>
      <c r="C110" s="34" t="s">
        <v>250</v>
      </c>
      <c r="D110" s="34" t="s">
        <v>54</v>
      </c>
      <c r="E110" s="35">
        <v>5000000</v>
      </c>
      <c r="F110" s="36">
        <v>4970.37</v>
      </c>
      <c r="G110" s="37">
        <v>2.1245920000000001E-2</v>
      </c>
      <c r="H110" s="36">
        <v>6.8</v>
      </c>
    </row>
    <row r="111" spans="1:8" x14ac:dyDescent="0.2">
      <c r="A111" s="33">
        <v>3</v>
      </c>
      <c r="B111" s="34" t="s">
        <v>243</v>
      </c>
      <c r="C111" s="34" t="s">
        <v>244</v>
      </c>
      <c r="D111" s="34" t="s">
        <v>54</v>
      </c>
      <c r="E111" s="35">
        <v>5000000</v>
      </c>
      <c r="F111" s="36">
        <v>4957.2749999999996</v>
      </c>
      <c r="G111" s="37">
        <v>2.1189940000000001E-2</v>
      </c>
      <c r="H111" s="36">
        <v>6.8392999999999997</v>
      </c>
    </row>
    <row r="112" spans="1:8" x14ac:dyDescent="0.2">
      <c r="A112" s="33">
        <v>4</v>
      </c>
      <c r="B112" s="34" t="s">
        <v>294</v>
      </c>
      <c r="C112" s="34" t="s">
        <v>295</v>
      </c>
      <c r="D112" s="34" t="s">
        <v>54</v>
      </c>
      <c r="E112" s="35">
        <v>5000000</v>
      </c>
      <c r="F112" s="36">
        <v>4950.835</v>
      </c>
      <c r="G112" s="37">
        <v>2.116241E-2</v>
      </c>
      <c r="H112" s="36">
        <v>6.8392999999999997</v>
      </c>
    </row>
    <row r="113" spans="1:8" x14ac:dyDescent="0.2">
      <c r="A113" s="33">
        <v>5</v>
      </c>
      <c r="B113" s="34" t="s">
        <v>239</v>
      </c>
      <c r="C113" s="34" t="s">
        <v>240</v>
      </c>
      <c r="D113" s="34" t="s">
        <v>54</v>
      </c>
      <c r="E113" s="35">
        <v>5000000</v>
      </c>
      <c r="F113" s="36">
        <v>4944.915</v>
      </c>
      <c r="G113" s="37">
        <v>2.1137110000000001E-2</v>
      </c>
      <c r="H113" s="36">
        <v>6.7767999999999997</v>
      </c>
    </row>
    <row r="114" spans="1:8" x14ac:dyDescent="0.2">
      <c r="A114" s="33">
        <v>6</v>
      </c>
      <c r="B114" s="34" t="s">
        <v>296</v>
      </c>
      <c r="C114" s="34" t="s">
        <v>297</v>
      </c>
      <c r="D114" s="34" t="s">
        <v>54</v>
      </c>
      <c r="E114" s="35">
        <v>500000</v>
      </c>
      <c r="F114" s="36">
        <v>489.86950000000002</v>
      </c>
      <c r="G114" s="37">
        <v>2.0939499999999998E-3</v>
      </c>
      <c r="H114" s="36">
        <v>6.9249999999999998</v>
      </c>
    </row>
    <row r="115" spans="1:8" x14ac:dyDescent="0.2">
      <c r="A115" s="26"/>
      <c r="B115" s="26"/>
      <c r="C115" s="27" t="s">
        <v>11</v>
      </c>
      <c r="D115" s="26"/>
      <c r="E115" s="26" t="s">
        <v>12</v>
      </c>
      <c r="F115" s="32">
        <v>27768.819500000001</v>
      </c>
      <c r="G115" s="29">
        <v>0.1186982</v>
      </c>
      <c r="H115" s="36" t="s">
        <v>12</v>
      </c>
    </row>
    <row r="116" spans="1:8" x14ac:dyDescent="0.2">
      <c r="A116" s="26"/>
      <c r="B116" s="26"/>
      <c r="C116" s="30"/>
      <c r="D116" s="26"/>
      <c r="E116" s="26"/>
      <c r="F116" s="31"/>
      <c r="G116" s="31"/>
      <c r="H116" s="36" t="s">
        <v>12</v>
      </c>
    </row>
    <row r="117" spans="1:8" x14ac:dyDescent="0.2">
      <c r="A117" s="26"/>
      <c r="B117" s="26"/>
      <c r="C117" s="27" t="s">
        <v>65</v>
      </c>
      <c r="D117" s="26"/>
      <c r="E117" s="26"/>
      <c r="F117" s="31"/>
      <c r="G117" s="31"/>
      <c r="H117" s="36" t="s">
        <v>12</v>
      </c>
    </row>
    <row r="118" spans="1:8" x14ac:dyDescent="0.2">
      <c r="A118" s="33">
        <v>1</v>
      </c>
      <c r="B118" s="34" t="s">
        <v>66</v>
      </c>
      <c r="C118" s="34" t="s">
        <v>66</v>
      </c>
      <c r="D118" s="34"/>
      <c r="E118" s="38"/>
      <c r="F118" s="36">
        <v>11785.066923644001</v>
      </c>
      <c r="G118" s="37">
        <v>5.0375429999999999E-2</v>
      </c>
      <c r="H118" s="36">
        <v>6.6841381571857204</v>
      </c>
    </row>
    <row r="119" spans="1:8" x14ac:dyDescent="0.2">
      <c r="A119" s="26"/>
      <c r="B119" s="26"/>
      <c r="C119" s="27" t="s">
        <v>11</v>
      </c>
      <c r="D119" s="26"/>
      <c r="E119" s="26" t="s">
        <v>12</v>
      </c>
      <c r="F119" s="32">
        <v>11785.066923644001</v>
      </c>
      <c r="G119" s="29">
        <v>5.0375429999999999E-2</v>
      </c>
      <c r="H119" s="36" t="s">
        <v>12</v>
      </c>
    </row>
    <row r="120" spans="1:8" x14ac:dyDescent="0.2">
      <c r="A120" s="26"/>
      <c r="B120" s="26"/>
      <c r="C120" s="30"/>
      <c r="D120" s="26"/>
      <c r="E120" s="26"/>
      <c r="F120" s="31"/>
      <c r="G120" s="31"/>
      <c r="H120" s="36" t="s">
        <v>12</v>
      </c>
    </row>
    <row r="121" spans="1:8" x14ac:dyDescent="0.2">
      <c r="A121" s="26"/>
      <c r="B121" s="26"/>
      <c r="C121" s="27" t="s">
        <v>67</v>
      </c>
      <c r="D121" s="26"/>
      <c r="E121" s="26"/>
      <c r="F121" s="32">
        <v>205738.174523644</v>
      </c>
      <c r="G121" s="29">
        <v>0.87943066999999997</v>
      </c>
      <c r="H121" s="36" t="s">
        <v>12</v>
      </c>
    </row>
    <row r="122" spans="1:8" x14ac:dyDescent="0.2">
      <c r="A122" s="26"/>
      <c r="B122" s="26"/>
      <c r="C122" s="31"/>
      <c r="D122" s="26"/>
      <c r="E122" s="26"/>
      <c r="F122" s="26"/>
      <c r="G122" s="26"/>
      <c r="H122" s="36" t="s">
        <v>12</v>
      </c>
    </row>
    <row r="123" spans="1:8" x14ac:dyDescent="0.2">
      <c r="A123" s="26"/>
      <c r="B123" s="26"/>
      <c r="C123" s="27" t="s">
        <v>68</v>
      </c>
      <c r="D123" s="26"/>
      <c r="E123" s="26"/>
      <c r="F123" s="26"/>
      <c r="G123" s="26"/>
      <c r="H123" s="36" t="s">
        <v>12</v>
      </c>
    </row>
    <row r="124" spans="1:8" x14ac:dyDescent="0.2">
      <c r="A124" s="26"/>
      <c r="B124" s="26"/>
      <c r="C124" s="27" t="s">
        <v>69</v>
      </c>
      <c r="D124" s="26"/>
      <c r="E124" s="26"/>
      <c r="F124" s="26"/>
      <c r="G124" s="26"/>
      <c r="H124" s="36" t="s">
        <v>12</v>
      </c>
    </row>
    <row r="125" spans="1:8" x14ac:dyDescent="0.2">
      <c r="A125" s="26"/>
      <c r="B125" s="26"/>
      <c r="C125" s="27" t="s">
        <v>11</v>
      </c>
      <c r="D125" s="26"/>
      <c r="E125" s="26" t="s">
        <v>12</v>
      </c>
      <c r="F125" s="28" t="s">
        <v>13</v>
      </c>
      <c r="G125" s="29">
        <v>0</v>
      </c>
      <c r="H125" s="36" t="s">
        <v>12</v>
      </c>
    </row>
    <row r="126" spans="1:8" x14ac:dyDescent="0.2">
      <c r="A126" s="26"/>
      <c r="B126" s="26"/>
      <c r="C126" s="30"/>
      <c r="D126" s="26"/>
      <c r="E126" s="26"/>
      <c r="F126" s="31"/>
      <c r="G126" s="31"/>
      <c r="H126" s="36" t="s">
        <v>12</v>
      </c>
    </row>
    <row r="127" spans="1:8" x14ac:dyDescent="0.2">
      <c r="A127" s="26"/>
      <c r="B127" s="26"/>
      <c r="C127" s="27" t="s">
        <v>72</v>
      </c>
      <c r="D127" s="26"/>
      <c r="E127" s="26"/>
      <c r="F127" s="26"/>
      <c r="G127" s="26"/>
      <c r="H127" s="36" t="s">
        <v>12</v>
      </c>
    </row>
    <row r="128" spans="1:8" x14ac:dyDescent="0.2">
      <c r="A128" s="26"/>
      <c r="B128" s="26"/>
      <c r="C128" s="27" t="s">
        <v>73</v>
      </c>
      <c r="D128" s="26"/>
      <c r="E128" s="26"/>
      <c r="F128" s="26"/>
      <c r="G128" s="26"/>
      <c r="H128" s="36" t="s">
        <v>12</v>
      </c>
    </row>
    <row r="129" spans="1:18" x14ac:dyDescent="0.2">
      <c r="A129" s="26"/>
      <c r="B129" s="26"/>
      <c r="C129" s="27" t="s">
        <v>11</v>
      </c>
      <c r="D129" s="26"/>
      <c r="E129" s="26" t="s">
        <v>12</v>
      </c>
      <c r="F129" s="28" t="s">
        <v>13</v>
      </c>
      <c r="G129" s="29">
        <v>0</v>
      </c>
      <c r="H129" s="36" t="s">
        <v>12</v>
      </c>
    </row>
    <row r="130" spans="1:18" x14ac:dyDescent="0.2">
      <c r="A130" s="26"/>
      <c r="B130" s="26"/>
      <c r="C130" s="30"/>
      <c r="D130" s="26"/>
      <c r="E130" s="26"/>
      <c r="F130" s="31"/>
      <c r="G130" s="31"/>
      <c r="H130" s="36" t="s">
        <v>12</v>
      </c>
    </row>
    <row r="131" spans="1:18" x14ac:dyDescent="0.2">
      <c r="A131" s="26"/>
      <c r="B131" s="26"/>
      <c r="C131" s="27" t="s">
        <v>74</v>
      </c>
      <c r="D131" s="26"/>
      <c r="E131" s="26"/>
      <c r="F131" s="31"/>
      <c r="G131" s="31"/>
      <c r="H131" s="36" t="s">
        <v>12</v>
      </c>
    </row>
    <row r="132" spans="1:18" x14ac:dyDescent="0.2">
      <c r="A132" s="26"/>
      <c r="B132" s="26"/>
      <c r="C132" s="27" t="s">
        <v>11</v>
      </c>
      <c r="D132" s="26"/>
      <c r="E132" s="26" t="s">
        <v>12</v>
      </c>
      <c r="F132" s="28" t="s">
        <v>13</v>
      </c>
      <c r="G132" s="29">
        <v>0</v>
      </c>
      <c r="H132" s="36" t="s">
        <v>12</v>
      </c>
    </row>
    <row r="133" spans="1:18" x14ac:dyDescent="0.2">
      <c r="A133" s="26"/>
      <c r="B133" s="26"/>
      <c r="C133" s="30"/>
      <c r="D133" s="26"/>
      <c r="E133" s="26"/>
      <c r="F133" s="31"/>
      <c r="G133" s="31"/>
      <c r="H133" s="36" t="s">
        <v>12</v>
      </c>
    </row>
    <row r="134" spans="1:18" x14ac:dyDescent="0.2">
      <c r="A134" s="48"/>
      <c r="B134" s="48"/>
      <c r="C134" s="49" t="s">
        <v>370</v>
      </c>
      <c r="D134" s="48"/>
      <c r="E134" s="48"/>
      <c r="F134" s="50"/>
      <c r="G134" s="50"/>
      <c r="H134" s="51"/>
      <c r="K134" s="52"/>
      <c r="L134" s="52"/>
      <c r="M134" s="52"/>
      <c r="N134" s="52"/>
      <c r="O134" s="52"/>
      <c r="P134" s="53"/>
      <c r="Q134" s="53"/>
      <c r="R134" s="53"/>
    </row>
    <row r="135" spans="1:18" ht="25.5" x14ac:dyDescent="0.2">
      <c r="A135" s="33">
        <v>1</v>
      </c>
      <c r="B135" s="34" t="s">
        <v>70</v>
      </c>
      <c r="C135" s="34" t="s">
        <v>71</v>
      </c>
      <c r="D135" s="34"/>
      <c r="E135" s="40">
        <v>4528.5039999999999</v>
      </c>
      <c r="F135" s="36">
        <v>465.12129634600001</v>
      </c>
      <c r="G135" s="37">
        <v>1.98817E-3</v>
      </c>
      <c r="H135" s="36"/>
    </row>
    <row r="136" spans="1:18" x14ac:dyDescent="0.2">
      <c r="A136" s="26"/>
      <c r="B136" s="26"/>
      <c r="C136" s="27" t="s">
        <v>11</v>
      </c>
      <c r="D136" s="26"/>
      <c r="E136" s="26" t="s">
        <v>12</v>
      </c>
      <c r="F136" s="32">
        <v>465.12129634600001</v>
      </c>
      <c r="G136" s="29">
        <v>1.98817E-3</v>
      </c>
      <c r="H136" s="36" t="s">
        <v>12</v>
      </c>
    </row>
    <row r="137" spans="1:18" x14ac:dyDescent="0.2">
      <c r="A137" s="26"/>
      <c r="B137" s="34"/>
      <c r="C137" s="34"/>
      <c r="D137" s="27"/>
      <c r="E137" s="26"/>
      <c r="F137" s="34"/>
      <c r="G137" s="38"/>
      <c r="H137" s="36" t="s">
        <v>12</v>
      </c>
    </row>
    <row r="138" spans="1:18" x14ac:dyDescent="0.2">
      <c r="A138" s="38"/>
      <c r="B138" s="34"/>
      <c r="C138" s="34" t="s">
        <v>75</v>
      </c>
      <c r="D138" s="34"/>
      <c r="E138" s="38"/>
      <c r="F138" s="36">
        <f>341.68955553+0.00000015</f>
        <v>341.68955568000001</v>
      </c>
      <c r="G138" s="37">
        <v>1.4605600000000001E-3</v>
      </c>
      <c r="H138" s="36" t="s">
        <v>12</v>
      </c>
    </row>
    <row r="139" spans="1:18" x14ac:dyDescent="0.2">
      <c r="A139" s="30"/>
      <c r="B139" s="30"/>
      <c r="C139" s="27" t="s">
        <v>76</v>
      </c>
      <c r="D139" s="31"/>
      <c r="E139" s="31"/>
      <c r="F139" s="32">
        <f>233944.73637552+0.00000015</f>
        <v>233944.73637567001</v>
      </c>
      <c r="G139" s="39">
        <v>1.0000000200000001</v>
      </c>
      <c r="H139" s="36" t="s">
        <v>12</v>
      </c>
    </row>
    <row r="140" spans="1:18" x14ac:dyDescent="0.2">
      <c r="A140" s="5"/>
      <c r="B140" s="5"/>
      <c r="C140" s="5"/>
      <c r="D140" s="7"/>
      <c r="E140" s="7"/>
      <c r="F140" s="7"/>
      <c r="G140" s="7"/>
    </row>
    <row r="141" spans="1:18" x14ac:dyDescent="0.2">
      <c r="A141" s="54"/>
      <c r="B141" s="124" t="s">
        <v>371</v>
      </c>
      <c r="C141" s="124"/>
      <c r="D141" s="124"/>
      <c r="E141" s="124"/>
      <c r="F141" s="124"/>
      <c r="G141" s="124"/>
      <c r="H141" s="124"/>
    </row>
    <row r="142" spans="1:18" x14ac:dyDescent="0.2">
      <c r="A142" s="54"/>
      <c r="B142" s="124" t="s">
        <v>372</v>
      </c>
      <c r="C142" s="124"/>
      <c r="D142" s="124"/>
      <c r="E142" s="124"/>
      <c r="F142" s="124"/>
      <c r="G142" s="124"/>
      <c r="H142" s="124"/>
    </row>
    <row r="143" spans="1:18" x14ac:dyDescent="0.2">
      <c r="A143" s="54"/>
      <c r="B143" s="124" t="s">
        <v>373</v>
      </c>
      <c r="C143" s="124"/>
      <c r="D143" s="124"/>
      <c r="E143" s="124"/>
      <c r="F143" s="124"/>
      <c r="G143" s="124"/>
      <c r="H143" s="124"/>
    </row>
    <row r="144" spans="1:18" x14ac:dyDescent="0.2">
      <c r="A144" s="5"/>
      <c r="B144" s="5"/>
      <c r="C144" s="5"/>
      <c r="D144" s="7"/>
      <c r="E144" s="7"/>
      <c r="F144" s="7"/>
      <c r="G144" s="7"/>
    </row>
    <row r="145" spans="1:8" x14ac:dyDescent="0.2">
      <c r="A145" s="5"/>
      <c r="B145" s="119" t="s">
        <v>77</v>
      </c>
      <c r="C145" s="120"/>
      <c r="D145" s="121"/>
      <c r="E145" s="8"/>
      <c r="F145" s="7"/>
      <c r="G145" s="7"/>
    </row>
    <row r="146" spans="1:8" ht="25.5" x14ac:dyDescent="0.2">
      <c r="A146" s="5"/>
      <c r="B146" s="122" t="s">
        <v>78</v>
      </c>
      <c r="C146" s="123"/>
      <c r="D146" s="49" t="s">
        <v>411</v>
      </c>
      <c r="E146" s="8"/>
      <c r="F146" s="7"/>
      <c r="G146" s="7"/>
    </row>
    <row r="147" spans="1:8" x14ac:dyDescent="0.2">
      <c r="A147" s="5"/>
      <c r="B147" s="122" t="s">
        <v>80</v>
      </c>
      <c r="C147" s="123"/>
      <c r="D147" s="1" t="s">
        <v>79</v>
      </c>
      <c r="E147" s="8"/>
      <c r="F147" s="7"/>
      <c r="G147" s="7"/>
    </row>
    <row r="148" spans="1:8" x14ac:dyDescent="0.2">
      <c r="A148" s="5"/>
      <c r="B148" s="122" t="s">
        <v>81</v>
      </c>
      <c r="C148" s="123"/>
      <c r="D148" s="2" t="s">
        <v>12</v>
      </c>
      <c r="E148" s="8"/>
      <c r="F148" s="7"/>
      <c r="G148" s="7"/>
    </row>
    <row r="149" spans="1:8" x14ac:dyDescent="0.2">
      <c r="A149" s="56"/>
      <c r="B149" s="103" t="s">
        <v>12</v>
      </c>
      <c r="C149" s="103" t="s">
        <v>574</v>
      </c>
      <c r="D149" s="103" t="s">
        <v>82</v>
      </c>
      <c r="E149" s="56"/>
      <c r="F149" s="56"/>
      <c r="G149" s="56"/>
      <c r="H149" s="104"/>
    </row>
    <row r="150" spans="1:8" x14ac:dyDescent="0.2">
      <c r="A150" s="9"/>
      <c r="B150" s="11" t="s">
        <v>83</v>
      </c>
      <c r="C150" s="10" t="s">
        <v>84</v>
      </c>
      <c r="D150" s="10" t="s">
        <v>85</v>
      </c>
      <c r="E150" s="9"/>
      <c r="F150" s="9"/>
      <c r="G150" s="9"/>
    </row>
    <row r="151" spans="1:8" x14ac:dyDescent="0.2">
      <c r="A151" s="9"/>
      <c r="B151" s="3" t="s">
        <v>86</v>
      </c>
      <c r="C151" s="12">
        <v>2699.3463999999999</v>
      </c>
      <c r="D151" s="12">
        <v>2707.4953999999998</v>
      </c>
      <c r="E151" s="9"/>
      <c r="F151" s="6"/>
      <c r="G151" s="13"/>
    </row>
    <row r="152" spans="1:8" ht="25.5" x14ac:dyDescent="0.2">
      <c r="A152" s="9"/>
      <c r="B152" s="3" t="s">
        <v>590</v>
      </c>
      <c r="C152" s="12">
        <v>1006.1763</v>
      </c>
      <c r="D152" s="12">
        <v>1006.3680000000001</v>
      </c>
      <c r="E152" s="9"/>
      <c r="F152" s="6"/>
      <c r="G152" s="13"/>
    </row>
    <row r="153" spans="1:8" ht="25.5" x14ac:dyDescent="0.2">
      <c r="A153" s="9"/>
      <c r="B153" s="3" t="s">
        <v>596</v>
      </c>
      <c r="C153" s="12">
        <v>1062.7054000000001</v>
      </c>
      <c r="D153" s="12">
        <v>1061.2954999999999</v>
      </c>
      <c r="E153" s="9"/>
      <c r="F153" s="6"/>
      <c r="G153" s="13"/>
    </row>
    <row r="154" spans="1:8" ht="25.5" x14ac:dyDescent="0.2">
      <c r="A154" s="9"/>
      <c r="B154" s="3" t="s">
        <v>583</v>
      </c>
      <c r="C154" s="12">
        <v>1063.3522</v>
      </c>
      <c r="D154" s="12">
        <v>1060.5934</v>
      </c>
      <c r="E154" s="9"/>
      <c r="F154" s="6"/>
      <c r="G154" s="13"/>
    </row>
    <row r="155" spans="1:8" ht="25.5" x14ac:dyDescent="0.2">
      <c r="A155" s="9"/>
      <c r="B155" s="3" t="s">
        <v>581</v>
      </c>
      <c r="C155" s="12">
        <v>1159.8367000000001</v>
      </c>
      <c r="D155" s="12">
        <v>1155.7942</v>
      </c>
      <c r="E155" s="9"/>
      <c r="F155" s="6"/>
      <c r="G155" s="13"/>
    </row>
    <row r="156" spans="1:8" x14ac:dyDescent="0.2">
      <c r="A156" s="9"/>
      <c r="B156" s="3" t="s">
        <v>87</v>
      </c>
      <c r="C156" s="12">
        <v>2508.4452999999999</v>
      </c>
      <c r="D156" s="12">
        <v>2514.7568999999999</v>
      </c>
      <c r="E156" s="9"/>
      <c r="F156" s="6"/>
      <c r="G156" s="13"/>
    </row>
    <row r="157" spans="1:8" ht="25.5" x14ac:dyDescent="0.2">
      <c r="A157" s="9"/>
      <c r="B157" s="3" t="s">
        <v>593</v>
      </c>
      <c r="C157" s="12">
        <v>1005.43</v>
      </c>
      <c r="D157" s="12">
        <v>1005.5878</v>
      </c>
      <c r="E157" s="9"/>
      <c r="F157" s="6"/>
      <c r="G157" s="13"/>
    </row>
    <row r="158" spans="1:8" ht="25.5" x14ac:dyDescent="0.2">
      <c r="A158" s="9"/>
      <c r="B158" s="3" t="s">
        <v>594</v>
      </c>
      <c r="C158" s="12">
        <v>1020.2814</v>
      </c>
      <c r="D158" s="12">
        <v>1019.3302</v>
      </c>
      <c r="E158" s="9"/>
      <c r="F158" s="6"/>
      <c r="G158" s="13"/>
    </row>
    <row r="159" spans="1:8" ht="25.5" x14ac:dyDescent="0.2">
      <c r="A159" s="9"/>
      <c r="B159" s="3" t="s">
        <v>595</v>
      </c>
      <c r="C159" s="12">
        <v>1061.1410000000001</v>
      </c>
      <c r="D159" s="12">
        <v>1060.1522</v>
      </c>
      <c r="E159" s="9"/>
      <c r="F159" s="6"/>
      <c r="G159" s="13"/>
    </row>
    <row r="160" spans="1:8" ht="25.5" x14ac:dyDescent="0.2">
      <c r="A160" s="9"/>
      <c r="B160" s="3" t="s">
        <v>586</v>
      </c>
      <c r="C160" s="12">
        <v>1062.4591</v>
      </c>
      <c r="D160" s="12">
        <v>1060.1555000000001</v>
      </c>
      <c r="E160" s="9"/>
      <c r="F160" s="6"/>
      <c r="G160" s="13"/>
    </row>
    <row r="161" spans="1:7" ht="25.5" x14ac:dyDescent="0.2">
      <c r="A161" s="9"/>
      <c r="B161" s="3" t="s">
        <v>582</v>
      </c>
      <c r="C161" s="12">
        <v>1124.7665999999999</v>
      </c>
      <c r="D161" s="12">
        <v>1120.0878</v>
      </c>
      <c r="E161" s="9"/>
      <c r="F161" s="6"/>
      <c r="G161" s="13"/>
    </row>
    <row r="162" spans="1:7" x14ac:dyDescent="0.2">
      <c r="A162" s="9"/>
      <c r="B162" s="9"/>
      <c r="C162" s="9"/>
      <c r="D162" s="9"/>
      <c r="E162" s="9"/>
      <c r="F162" s="9"/>
      <c r="G162" s="9"/>
    </row>
    <row r="163" spans="1:7" x14ac:dyDescent="0.2">
      <c r="A163" s="9"/>
      <c r="B163" s="122" t="s">
        <v>589</v>
      </c>
      <c r="C163" s="123"/>
      <c r="D163" s="1" t="s">
        <v>12</v>
      </c>
      <c r="E163" s="9"/>
      <c r="F163" s="9"/>
      <c r="G163" s="9"/>
    </row>
    <row r="164" spans="1:7" x14ac:dyDescent="0.2">
      <c r="A164" s="9"/>
      <c r="B164" s="14" t="s">
        <v>83</v>
      </c>
      <c r="C164" s="15" t="s">
        <v>88</v>
      </c>
      <c r="D164" s="15" t="s">
        <v>89</v>
      </c>
      <c r="E164" s="9"/>
      <c r="F164" s="9"/>
      <c r="G164" s="9"/>
    </row>
    <row r="165" spans="1:7" ht="25.5" x14ac:dyDescent="0.2">
      <c r="A165" s="9"/>
      <c r="B165" s="3" t="s">
        <v>590</v>
      </c>
      <c r="C165" s="16">
        <v>2.8318500000000002</v>
      </c>
      <c r="D165" s="4" t="s">
        <v>90</v>
      </c>
      <c r="E165" s="9"/>
      <c r="F165" s="6"/>
      <c r="G165" s="13"/>
    </row>
    <row r="166" spans="1:7" ht="25.5" x14ac:dyDescent="0.2">
      <c r="A166" s="9"/>
      <c r="B166" s="3" t="s">
        <v>596</v>
      </c>
      <c r="C166" s="16">
        <v>4.7</v>
      </c>
      <c r="D166" s="4" t="s">
        <v>90</v>
      </c>
      <c r="E166" s="9"/>
      <c r="F166" s="6"/>
      <c r="G166" s="13"/>
    </row>
    <row r="167" spans="1:7" ht="25.5" x14ac:dyDescent="0.2">
      <c r="A167" s="9"/>
      <c r="B167" s="3" t="s">
        <v>583</v>
      </c>
      <c r="C167" s="16">
        <v>5.9715999999999996</v>
      </c>
      <c r="D167" s="4" t="s">
        <v>90</v>
      </c>
      <c r="E167" s="9"/>
      <c r="F167" s="6"/>
      <c r="G167" s="13"/>
    </row>
    <row r="168" spans="1:7" ht="25.5" x14ac:dyDescent="0.2">
      <c r="A168" s="9"/>
      <c r="B168" s="3" t="s">
        <v>581</v>
      </c>
      <c r="C168" s="16">
        <v>7.5</v>
      </c>
      <c r="D168" s="4" t="s">
        <v>90</v>
      </c>
      <c r="E168" s="9"/>
      <c r="F168" s="6"/>
      <c r="G168" s="13"/>
    </row>
    <row r="169" spans="1:7" ht="25.5" x14ac:dyDescent="0.2">
      <c r="A169" s="9"/>
      <c r="B169" s="3" t="s">
        <v>593</v>
      </c>
      <c r="C169" s="16">
        <v>2.3622559999999999</v>
      </c>
      <c r="D169" s="4" t="s">
        <v>90</v>
      </c>
      <c r="E169" s="9"/>
      <c r="F169" s="6"/>
      <c r="G169" s="13"/>
    </row>
    <row r="170" spans="1:7" ht="25.5" x14ac:dyDescent="0.2">
      <c r="A170" s="9"/>
      <c r="B170" s="3" t="s">
        <v>594</v>
      </c>
      <c r="C170" s="16">
        <v>2.4014000000000002</v>
      </c>
      <c r="D170" s="16">
        <v>2.4014000000000002</v>
      </c>
      <c r="E170" s="9"/>
      <c r="F170" s="6"/>
      <c r="G170" s="13"/>
    </row>
    <row r="171" spans="1:7" ht="25.5" x14ac:dyDescent="0.2">
      <c r="A171" s="9"/>
      <c r="B171" s="3" t="s">
        <v>595</v>
      </c>
      <c r="C171" s="16">
        <v>3.6594000000000002</v>
      </c>
      <c r="D171" s="4" t="s">
        <v>90</v>
      </c>
      <c r="E171" s="9"/>
      <c r="F171" s="6"/>
      <c r="G171" s="13"/>
    </row>
    <row r="172" spans="1:7" ht="25.5" x14ac:dyDescent="0.2">
      <c r="A172" s="9"/>
      <c r="B172" s="3" t="s">
        <v>586</v>
      </c>
      <c r="C172" s="16">
        <v>4.9771000000000001</v>
      </c>
      <c r="D172" s="16">
        <v>4.9771000000000001</v>
      </c>
      <c r="E172" s="9"/>
      <c r="F172" s="6"/>
      <c r="G172" s="13"/>
    </row>
    <row r="173" spans="1:7" ht="25.5" x14ac:dyDescent="0.2">
      <c r="A173" s="9"/>
      <c r="B173" s="3" t="s">
        <v>582</v>
      </c>
      <c r="C173" s="16">
        <v>7.5</v>
      </c>
      <c r="D173" s="4" t="s">
        <v>90</v>
      </c>
      <c r="E173" s="9"/>
      <c r="F173" s="6"/>
      <c r="G173" s="13"/>
    </row>
    <row r="174" spans="1:7" x14ac:dyDescent="0.2">
      <c r="A174" s="9"/>
      <c r="B174" s="17"/>
      <c r="C174" s="17"/>
      <c r="D174" s="18"/>
      <c r="E174" s="9"/>
      <c r="F174" s="6"/>
      <c r="G174" s="13"/>
    </row>
    <row r="175" spans="1:7" x14ac:dyDescent="0.2">
      <c r="A175" s="56"/>
      <c r="B175" s="129" t="s">
        <v>91</v>
      </c>
      <c r="C175" s="130"/>
      <c r="D175" s="57" t="s">
        <v>79</v>
      </c>
      <c r="E175" s="58"/>
      <c r="F175" s="56"/>
      <c r="G175" s="56"/>
    </row>
    <row r="176" spans="1:7" x14ac:dyDescent="0.2">
      <c r="A176" s="56"/>
      <c r="B176" s="129" t="s">
        <v>92</v>
      </c>
      <c r="C176" s="130"/>
      <c r="D176" s="57" t="s">
        <v>79</v>
      </c>
      <c r="E176" s="58"/>
      <c r="F176" s="56"/>
      <c r="G176" s="56"/>
    </row>
    <row r="177" spans="1:15" x14ac:dyDescent="0.2">
      <c r="A177" s="56"/>
      <c r="B177" s="129" t="s">
        <v>374</v>
      </c>
      <c r="C177" s="130"/>
      <c r="D177" s="57" t="s">
        <v>79</v>
      </c>
      <c r="E177" s="58"/>
      <c r="F177" s="56"/>
      <c r="G177" s="56"/>
    </row>
    <row r="178" spans="1:15" x14ac:dyDescent="0.2">
      <c r="A178" s="19"/>
      <c r="B178" s="19"/>
      <c r="C178" s="19"/>
      <c r="D178" s="19"/>
      <c r="E178" s="19"/>
      <c r="F178" s="19"/>
      <c r="G178" s="19"/>
    </row>
    <row r="179" spans="1:15" s="59" customFormat="1" x14ac:dyDescent="0.2">
      <c r="B179" s="71" t="s">
        <v>601</v>
      </c>
      <c r="C179" s="71"/>
      <c r="D179" s="71"/>
      <c r="E179" s="71"/>
      <c r="F179" s="71"/>
      <c r="G179" s="71"/>
      <c r="I179"/>
      <c r="J179" s="23"/>
      <c r="K179" s="52"/>
      <c r="L179" s="52"/>
      <c r="M179" s="52"/>
      <c r="N179" s="52"/>
      <c r="O179" s="68"/>
    </row>
    <row r="180" spans="1:15" s="59" customFormat="1" x14ac:dyDescent="0.2">
      <c r="B180" s="72"/>
      <c r="C180" s="72"/>
      <c r="D180" s="72"/>
      <c r="E180" s="72"/>
      <c r="F180" s="72"/>
      <c r="G180" s="72"/>
      <c r="I180"/>
      <c r="J180" s="23"/>
      <c r="K180" s="52"/>
      <c r="L180" s="52"/>
      <c r="M180" s="52"/>
      <c r="N180" s="52"/>
      <c r="O180" s="68"/>
    </row>
    <row r="181" spans="1:15" s="59" customFormat="1" ht="102" x14ac:dyDescent="0.2">
      <c r="B181" s="85" t="s">
        <v>397</v>
      </c>
      <c r="C181" s="85" t="s">
        <v>398</v>
      </c>
      <c r="D181" s="85" t="s">
        <v>399</v>
      </c>
      <c r="E181" s="85" t="s">
        <v>400</v>
      </c>
      <c r="F181" s="85" t="s">
        <v>401</v>
      </c>
      <c r="G181" s="72"/>
      <c r="I181"/>
      <c r="J181" s="23"/>
      <c r="K181" s="52"/>
      <c r="L181" s="52"/>
      <c r="M181" s="52"/>
      <c r="N181" s="52"/>
      <c r="O181" s="68"/>
    </row>
    <row r="182" spans="1:15" s="59" customFormat="1" x14ac:dyDescent="0.2">
      <c r="B182" s="76" t="s">
        <v>402</v>
      </c>
      <c r="C182" s="76" t="s">
        <v>403</v>
      </c>
      <c r="D182" s="77">
        <v>0</v>
      </c>
      <c r="E182" s="78">
        <v>0</v>
      </c>
      <c r="F182" s="79">
        <v>500</v>
      </c>
      <c r="G182" s="72"/>
      <c r="I182"/>
      <c r="J182" s="23"/>
      <c r="K182" s="52"/>
      <c r="L182" s="52"/>
      <c r="M182" s="52"/>
      <c r="N182" s="52"/>
      <c r="O182" s="68"/>
    </row>
    <row r="183" spans="1:15" s="59" customFormat="1" x14ac:dyDescent="0.2">
      <c r="I183"/>
      <c r="J183" s="23"/>
      <c r="K183" s="52"/>
      <c r="L183" s="52"/>
      <c r="M183" s="52"/>
      <c r="N183" s="52"/>
      <c r="O183" s="68"/>
    </row>
    <row r="184" spans="1:15" s="59" customFormat="1" x14ac:dyDescent="0.2">
      <c r="B184" s="125" t="s">
        <v>375</v>
      </c>
      <c r="C184" s="126"/>
      <c r="D184" s="127"/>
      <c r="I184"/>
      <c r="J184" s="23"/>
      <c r="K184" s="52"/>
      <c r="L184" s="52"/>
      <c r="M184" s="52"/>
      <c r="N184" s="52"/>
      <c r="O184" s="68"/>
    </row>
    <row r="185" spans="1:15" s="59" customFormat="1" ht="51" x14ac:dyDescent="0.2">
      <c r="B185" s="128" t="s">
        <v>376</v>
      </c>
      <c r="C185" s="128"/>
      <c r="D185" s="60" t="s">
        <v>265</v>
      </c>
      <c r="I185"/>
      <c r="J185" s="23"/>
      <c r="K185" s="52"/>
      <c r="L185" s="52"/>
      <c r="M185" s="52"/>
      <c r="N185" s="52"/>
      <c r="O185" s="68"/>
    </row>
    <row r="186" spans="1:15" s="59" customFormat="1" x14ac:dyDescent="0.2">
      <c r="B186" s="131" t="s">
        <v>377</v>
      </c>
      <c r="C186" s="131"/>
      <c r="D186" s="61"/>
      <c r="I186"/>
      <c r="J186" s="23"/>
      <c r="K186" s="52"/>
      <c r="L186" s="52"/>
      <c r="M186" s="52"/>
      <c r="N186" s="52"/>
      <c r="O186" s="68"/>
    </row>
    <row r="187" spans="1:15" s="59" customFormat="1" x14ac:dyDescent="0.2">
      <c r="B187" s="131"/>
      <c r="C187" s="131"/>
      <c r="D187" s="62"/>
      <c r="I187"/>
      <c r="J187" s="23"/>
      <c r="K187" s="52"/>
      <c r="L187" s="52"/>
      <c r="M187" s="52"/>
      <c r="N187" s="52"/>
      <c r="O187" s="68"/>
    </row>
    <row r="188" spans="1:15" s="59" customFormat="1" x14ac:dyDescent="0.2">
      <c r="B188" s="131" t="s">
        <v>378</v>
      </c>
      <c r="C188" s="131"/>
      <c r="D188" s="63">
        <v>7.4906384590130433</v>
      </c>
      <c r="I188"/>
      <c r="J188" s="23"/>
      <c r="K188" s="52"/>
      <c r="L188" s="52"/>
      <c r="M188" s="52"/>
      <c r="N188" s="52"/>
      <c r="O188" s="68"/>
    </row>
    <row r="189" spans="1:15" s="59" customFormat="1" x14ac:dyDescent="0.2">
      <c r="B189" s="131"/>
      <c r="C189" s="131"/>
      <c r="D189" s="62"/>
      <c r="I189"/>
      <c r="J189" s="23"/>
      <c r="K189" s="52"/>
      <c r="L189" s="52"/>
      <c r="M189" s="52"/>
      <c r="N189" s="52"/>
      <c r="O189" s="68"/>
    </row>
    <row r="190" spans="1:15" s="59" customFormat="1" x14ac:dyDescent="0.2">
      <c r="B190" s="131" t="s">
        <v>379</v>
      </c>
      <c r="C190" s="131"/>
      <c r="D190" s="63">
        <v>0.49612436354822992</v>
      </c>
      <c r="I190"/>
      <c r="J190" s="23"/>
      <c r="K190" s="52"/>
      <c r="L190" s="52"/>
      <c r="M190" s="52"/>
      <c r="N190" s="52"/>
      <c r="O190" s="68"/>
    </row>
    <row r="191" spans="1:15" s="59" customFormat="1" x14ac:dyDescent="0.2">
      <c r="B191" s="131" t="s">
        <v>380</v>
      </c>
      <c r="C191" s="131"/>
      <c r="D191" s="63">
        <v>0.49612436354822992</v>
      </c>
      <c r="I191"/>
      <c r="J191" s="23"/>
      <c r="K191" s="52"/>
      <c r="L191" s="52"/>
      <c r="M191" s="52"/>
      <c r="N191" s="52"/>
      <c r="O191" s="68"/>
    </row>
    <row r="192" spans="1:15" s="59" customFormat="1" x14ac:dyDescent="0.2">
      <c r="B192" s="131"/>
      <c r="C192" s="131"/>
      <c r="D192" s="62"/>
      <c r="I192"/>
      <c r="J192" s="23"/>
      <c r="K192" s="52"/>
      <c r="L192" s="52"/>
      <c r="M192" s="52"/>
      <c r="N192" s="52"/>
      <c r="O192" s="68"/>
    </row>
    <row r="193" spans="2:17" s="59" customFormat="1" x14ac:dyDescent="0.2">
      <c r="B193" s="131" t="s">
        <v>381</v>
      </c>
      <c r="C193" s="131"/>
      <c r="D193" s="64" t="s">
        <v>599</v>
      </c>
      <c r="I193"/>
      <c r="J193" s="23"/>
      <c r="K193" s="52"/>
      <c r="L193" s="52"/>
      <c r="M193" s="52"/>
      <c r="N193" s="52"/>
      <c r="O193" s="68"/>
    </row>
    <row r="194" spans="2:17" s="59" customFormat="1" x14ac:dyDescent="0.2">
      <c r="B194" s="132" t="s">
        <v>382</v>
      </c>
      <c r="C194" s="134"/>
      <c r="D194" s="133"/>
      <c r="I194"/>
      <c r="J194" s="23"/>
      <c r="K194" s="52"/>
      <c r="L194" s="52"/>
      <c r="M194" s="52"/>
      <c r="N194" s="52"/>
      <c r="O194" s="68"/>
      <c r="P194"/>
      <c r="Q194"/>
    </row>
  </sheetData>
  <mergeCells count="25">
    <mergeCell ref="B190:C190"/>
    <mergeCell ref="B191:C191"/>
    <mergeCell ref="B192:C192"/>
    <mergeCell ref="B193:C193"/>
    <mergeCell ref="B194:D194"/>
    <mergeCell ref="B185:C185"/>
    <mergeCell ref="B186:C186"/>
    <mergeCell ref="B187:C187"/>
    <mergeCell ref="B188:C188"/>
    <mergeCell ref="B189:C189"/>
    <mergeCell ref="B175:C175"/>
    <mergeCell ref="B184:D184"/>
    <mergeCell ref="B177:C177"/>
    <mergeCell ref="B147:C147"/>
    <mergeCell ref="B148:C148"/>
    <mergeCell ref="B163:C163"/>
    <mergeCell ref="B176:C176"/>
    <mergeCell ref="A1:H1"/>
    <mergeCell ref="A2:H2"/>
    <mergeCell ref="A3:H3"/>
    <mergeCell ref="B145:D145"/>
    <mergeCell ref="B146:C146"/>
    <mergeCell ref="B141:H141"/>
    <mergeCell ref="B142:H142"/>
    <mergeCell ref="B143:H143"/>
  </mergeCells>
  <hyperlinks>
    <hyperlink ref="I1" location="Index!B8" display="Index" xr:uid="{34730399-7F7A-4891-AE37-A31886C8B1D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D458-E305-4390-966D-FF10F46F246F}">
  <sheetPr>
    <outlinePr summaryBelow="0" summaryRight="0"/>
  </sheetPr>
  <dimension ref="A1:R130"/>
  <sheetViews>
    <sheetView showGridLines="0" topLeftCell="A94" workbookViewId="0">
      <selection activeCell="B105" sqref="B105"/>
    </sheetView>
  </sheetViews>
  <sheetFormatPr defaultRowHeight="12.75" x14ac:dyDescent="0.2"/>
  <cols>
    <col min="1" max="1" width="5.85546875" bestFit="1" customWidth="1"/>
    <col min="2" max="2" width="19.7109375" bestFit="1" customWidth="1"/>
    <col min="3" max="3" width="39.140625" bestFit="1" customWidth="1"/>
    <col min="4" max="4" width="14.7109375" customWidth="1"/>
    <col min="5" max="5" width="8.7109375" bestFit="1" customWidth="1"/>
    <col min="6" max="6" width="10.140625" bestFit="1" customWidth="1"/>
    <col min="7" max="7" width="14" bestFit="1" customWidth="1"/>
    <col min="8" max="8" width="9.7109375"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298</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355</v>
      </c>
      <c r="I4"/>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ht="25.5" x14ac:dyDescent="0.2">
      <c r="A14" s="26"/>
      <c r="B14" s="26"/>
      <c r="C14" s="30"/>
      <c r="D14" s="26"/>
      <c r="E14" s="26"/>
      <c r="F14" s="31"/>
      <c r="G14" s="31"/>
      <c r="H14" s="36" t="s">
        <v>12</v>
      </c>
      <c r="J14" s="66" t="s">
        <v>415</v>
      </c>
    </row>
    <row r="15" spans="1:10" x14ac:dyDescent="0.2">
      <c r="A15" s="26"/>
      <c r="B15" s="26"/>
      <c r="C15" s="27" t="s">
        <v>16</v>
      </c>
      <c r="D15" s="26"/>
      <c r="E15" s="26"/>
      <c r="F15" s="26"/>
      <c r="G15" s="26"/>
      <c r="H15" s="36" t="s">
        <v>12</v>
      </c>
      <c r="J15" s="66"/>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ht="25.5" x14ac:dyDescent="0.2">
      <c r="A27" s="26"/>
      <c r="B27" s="26"/>
      <c r="C27" s="27" t="s">
        <v>10</v>
      </c>
      <c r="D27" s="26"/>
      <c r="E27" s="26"/>
      <c r="F27" s="31"/>
      <c r="G27" s="31"/>
      <c r="H27" s="36" t="s">
        <v>12</v>
      </c>
      <c r="J27" s="66" t="s">
        <v>416</v>
      </c>
    </row>
    <row r="28" spans="1:10" x14ac:dyDescent="0.2">
      <c r="A28" s="33">
        <v>1</v>
      </c>
      <c r="B28" s="34" t="s">
        <v>145</v>
      </c>
      <c r="C28" s="3" t="s">
        <v>146</v>
      </c>
      <c r="D28" s="34" t="s">
        <v>147</v>
      </c>
      <c r="E28" s="35">
        <v>100</v>
      </c>
      <c r="F28" s="36">
        <v>100.10550000000001</v>
      </c>
      <c r="G28" s="37">
        <v>2.3140569999999999E-2</v>
      </c>
      <c r="H28" s="36">
        <v>8.75</v>
      </c>
    </row>
    <row r="29" spans="1:10" x14ac:dyDescent="0.2">
      <c r="A29" s="33">
        <v>2</v>
      </c>
      <c r="B29" s="34" t="s">
        <v>155</v>
      </c>
      <c r="C29" s="3" t="s">
        <v>483</v>
      </c>
      <c r="D29" s="34" t="s">
        <v>154</v>
      </c>
      <c r="E29" s="35">
        <v>100</v>
      </c>
      <c r="F29" s="36">
        <v>99.99</v>
      </c>
      <c r="G29" s="37">
        <v>2.3113870000000002E-2</v>
      </c>
      <c r="H29" s="36">
        <v>8.3699999999999992</v>
      </c>
    </row>
    <row r="30" spans="1:10" x14ac:dyDescent="0.2">
      <c r="A30" s="26"/>
      <c r="B30" s="26"/>
      <c r="C30" s="27" t="s">
        <v>11</v>
      </c>
      <c r="D30" s="26"/>
      <c r="E30" s="26" t="s">
        <v>12</v>
      </c>
      <c r="F30" s="32">
        <v>200.09549999999999</v>
      </c>
      <c r="G30" s="29">
        <v>4.6254440000000001E-2</v>
      </c>
      <c r="H30" s="36" t="s">
        <v>12</v>
      </c>
    </row>
    <row r="31" spans="1:10" x14ac:dyDescent="0.2">
      <c r="A31" s="26"/>
      <c r="B31" s="26"/>
      <c r="C31" s="30"/>
      <c r="D31" s="26"/>
      <c r="E31" s="26"/>
      <c r="F31" s="31"/>
      <c r="G31" s="31"/>
      <c r="H31" s="36" t="s">
        <v>12</v>
      </c>
    </row>
    <row r="32" spans="1:10" x14ac:dyDescent="0.2">
      <c r="A32" s="26"/>
      <c r="B32" s="26"/>
      <c r="C32" s="27" t="s">
        <v>50</v>
      </c>
      <c r="D32" s="26"/>
      <c r="E32" s="26"/>
      <c r="F32" s="26"/>
      <c r="G32" s="26"/>
      <c r="H32" s="36" t="s">
        <v>12</v>
      </c>
    </row>
    <row r="33" spans="1:8" x14ac:dyDescent="0.2">
      <c r="A33" s="26"/>
      <c r="B33" s="26"/>
      <c r="C33" s="27" t="s">
        <v>11</v>
      </c>
      <c r="D33" s="26"/>
      <c r="E33" s="26" t="s">
        <v>12</v>
      </c>
      <c r="F33" s="28" t="s">
        <v>13</v>
      </c>
      <c r="G33" s="29">
        <v>0</v>
      </c>
      <c r="H33" s="36" t="s">
        <v>12</v>
      </c>
    </row>
    <row r="34" spans="1:8" x14ac:dyDescent="0.2">
      <c r="A34" s="26"/>
      <c r="B34" s="26"/>
      <c r="C34" s="30"/>
      <c r="D34" s="26"/>
      <c r="E34" s="26"/>
      <c r="F34" s="31"/>
      <c r="G34" s="31"/>
      <c r="H34" s="36" t="s">
        <v>12</v>
      </c>
    </row>
    <row r="35" spans="1:8" x14ac:dyDescent="0.2">
      <c r="A35" s="26"/>
      <c r="B35" s="26"/>
      <c r="C35" s="27" t="s">
        <v>51</v>
      </c>
      <c r="D35" s="26"/>
      <c r="E35" s="26"/>
      <c r="F35" s="26"/>
      <c r="G35" s="26"/>
      <c r="H35" s="36" t="s">
        <v>12</v>
      </c>
    </row>
    <row r="36" spans="1:8" x14ac:dyDescent="0.2">
      <c r="A36" s="33">
        <v>1</v>
      </c>
      <c r="B36" s="34" t="s">
        <v>52</v>
      </c>
      <c r="C36" s="3" t="s">
        <v>53</v>
      </c>
      <c r="D36" s="34" t="s">
        <v>54</v>
      </c>
      <c r="E36" s="35">
        <v>1500000</v>
      </c>
      <c r="F36" s="36">
        <v>1513.77</v>
      </c>
      <c r="G36" s="37">
        <v>0.34992583999999999</v>
      </c>
      <c r="H36" s="36">
        <v>7.1642000000000001</v>
      </c>
    </row>
    <row r="37" spans="1:8" ht="25.5" x14ac:dyDescent="0.2">
      <c r="A37" s="33">
        <v>2</v>
      </c>
      <c r="B37" s="34" t="s">
        <v>299</v>
      </c>
      <c r="C37" s="3" t="s">
        <v>300</v>
      </c>
      <c r="D37" s="34" t="s">
        <v>54</v>
      </c>
      <c r="E37" s="35">
        <v>1500000</v>
      </c>
      <c r="F37" s="36">
        <v>1459.7370000000001</v>
      </c>
      <c r="G37" s="37">
        <v>0.33743547000000002</v>
      </c>
      <c r="H37" s="36">
        <v>7.0853999999999999</v>
      </c>
    </row>
    <row r="38" spans="1:8" ht="25.5" x14ac:dyDescent="0.2">
      <c r="A38" s="33">
        <v>3</v>
      </c>
      <c r="B38" s="34" t="s">
        <v>301</v>
      </c>
      <c r="C38" s="3" t="s">
        <v>302</v>
      </c>
      <c r="D38" s="34" t="s">
        <v>54</v>
      </c>
      <c r="E38" s="35">
        <v>500000</v>
      </c>
      <c r="F38" s="36">
        <v>487.86900000000003</v>
      </c>
      <c r="G38" s="37">
        <v>0.11277669</v>
      </c>
      <c r="H38" s="36">
        <v>7.1197999999999997</v>
      </c>
    </row>
    <row r="39" spans="1:8" ht="25.5" x14ac:dyDescent="0.2">
      <c r="A39" s="33">
        <v>4</v>
      </c>
      <c r="B39" s="34" t="s">
        <v>262</v>
      </c>
      <c r="C39" s="3" t="s">
        <v>263</v>
      </c>
      <c r="D39" s="34" t="s">
        <v>54</v>
      </c>
      <c r="E39" s="35">
        <v>230000</v>
      </c>
      <c r="F39" s="36">
        <v>231.27535</v>
      </c>
      <c r="G39" s="37">
        <v>5.3462030000000001E-2</v>
      </c>
      <c r="H39" s="36">
        <v>7.4923000000000002</v>
      </c>
    </row>
    <row r="40" spans="1:8" x14ac:dyDescent="0.2">
      <c r="A40" s="26"/>
      <c r="B40" s="26"/>
      <c r="C40" s="27" t="s">
        <v>11</v>
      </c>
      <c r="D40" s="26"/>
      <c r="E40" s="26" t="s">
        <v>12</v>
      </c>
      <c r="F40" s="32">
        <v>3692.6513500000001</v>
      </c>
      <c r="G40" s="29">
        <v>0.85360002999999995</v>
      </c>
      <c r="H40" s="36" t="s">
        <v>12</v>
      </c>
    </row>
    <row r="41" spans="1:8" x14ac:dyDescent="0.2">
      <c r="A41" s="26"/>
      <c r="B41" s="26"/>
      <c r="C41" s="30"/>
      <c r="D41" s="26"/>
      <c r="E41" s="26"/>
      <c r="F41" s="31"/>
      <c r="G41" s="31"/>
      <c r="H41" s="36" t="s">
        <v>12</v>
      </c>
    </row>
    <row r="42" spans="1:8" x14ac:dyDescent="0.2">
      <c r="A42" s="26"/>
      <c r="B42" s="26"/>
      <c r="C42" s="27" t="s">
        <v>59</v>
      </c>
      <c r="D42" s="26"/>
      <c r="E42" s="26"/>
      <c r="F42" s="31"/>
      <c r="G42" s="31"/>
      <c r="H42" s="36" t="s">
        <v>12</v>
      </c>
    </row>
    <row r="43" spans="1:8" x14ac:dyDescent="0.2">
      <c r="A43" s="26"/>
      <c r="B43" s="26"/>
      <c r="C43" s="27" t="s">
        <v>11</v>
      </c>
      <c r="D43" s="26"/>
      <c r="E43" s="26" t="s">
        <v>12</v>
      </c>
      <c r="F43" s="28" t="s">
        <v>13</v>
      </c>
      <c r="G43" s="29">
        <v>0</v>
      </c>
      <c r="H43" s="36" t="s">
        <v>12</v>
      </c>
    </row>
    <row r="44" spans="1:8" x14ac:dyDescent="0.2">
      <c r="A44" s="26"/>
      <c r="B44" s="26"/>
      <c r="C44" s="30"/>
      <c r="D44" s="26"/>
      <c r="E44" s="26"/>
      <c r="F44" s="31"/>
      <c r="G44" s="31"/>
      <c r="H44" s="36" t="s">
        <v>12</v>
      </c>
    </row>
    <row r="45" spans="1:8" x14ac:dyDescent="0.2">
      <c r="A45" s="26"/>
      <c r="B45" s="26"/>
      <c r="C45" s="27" t="s">
        <v>60</v>
      </c>
      <c r="D45" s="26"/>
      <c r="E45" s="26"/>
      <c r="F45" s="32">
        <v>3892.74685</v>
      </c>
      <c r="G45" s="29">
        <v>0.89985446999999996</v>
      </c>
      <c r="H45" s="36" t="s">
        <v>12</v>
      </c>
    </row>
    <row r="46" spans="1:8" x14ac:dyDescent="0.2">
      <c r="A46" s="26"/>
      <c r="B46" s="26"/>
      <c r="C46" s="30"/>
      <c r="D46" s="26"/>
      <c r="E46" s="26"/>
      <c r="F46" s="31"/>
      <c r="G46" s="31"/>
      <c r="H46" s="36" t="s">
        <v>12</v>
      </c>
    </row>
    <row r="47" spans="1:8" x14ac:dyDescent="0.2">
      <c r="A47" s="26"/>
      <c r="B47" s="26"/>
      <c r="C47" s="27" t="s">
        <v>61</v>
      </c>
      <c r="D47" s="26"/>
      <c r="E47" s="26"/>
      <c r="F47" s="31"/>
      <c r="G47" s="31"/>
      <c r="H47" s="36" t="s">
        <v>12</v>
      </c>
    </row>
    <row r="48" spans="1:8" x14ac:dyDescent="0.2">
      <c r="A48" s="26"/>
      <c r="B48" s="26"/>
      <c r="C48" s="27" t="s">
        <v>62</v>
      </c>
      <c r="D48" s="26"/>
      <c r="E48" s="26"/>
      <c r="F48" s="31"/>
      <c r="G48" s="31"/>
      <c r="H48" s="36" t="s">
        <v>12</v>
      </c>
    </row>
    <row r="49" spans="1:8" x14ac:dyDescent="0.2">
      <c r="A49" s="26"/>
      <c r="B49" s="26"/>
      <c r="C49" s="27" t="s">
        <v>11</v>
      </c>
      <c r="D49" s="26"/>
      <c r="E49" s="26" t="s">
        <v>12</v>
      </c>
      <c r="F49" s="28" t="s">
        <v>13</v>
      </c>
      <c r="G49" s="29">
        <v>0</v>
      </c>
      <c r="H49" s="36" t="s">
        <v>12</v>
      </c>
    </row>
    <row r="50" spans="1:8" x14ac:dyDescent="0.2">
      <c r="A50" s="26"/>
      <c r="B50" s="26"/>
      <c r="C50" s="30"/>
      <c r="D50" s="26"/>
      <c r="E50" s="26"/>
      <c r="F50" s="31"/>
      <c r="G50" s="31"/>
      <c r="H50" s="36" t="s">
        <v>12</v>
      </c>
    </row>
    <row r="51" spans="1:8" x14ac:dyDescent="0.2">
      <c r="A51" s="26"/>
      <c r="B51" s="26"/>
      <c r="C51" s="27" t="s">
        <v>63</v>
      </c>
      <c r="D51" s="26"/>
      <c r="E51" s="26"/>
      <c r="F51" s="31"/>
      <c r="G51" s="31"/>
      <c r="H51" s="36" t="s">
        <v>12</v>
      </c>
    </row>
    <row r="52" spans="1:8" x14ac:dyDescent="0.2">
      <c r="A52" s="26"/>
      <c r="B52" s="26"/>
      <c r="C52" s="27" t="s">
        <v>11</v>
      </c>
      <c r="D52" s="26"/>
      <c r="E52" s="26" t="s">
        <v>12</v>
      </c>
      <c r="F52" s="28" t="s">
        <v>13</v>
      </c>
      <c r="G52" s="29">
        <v>0</v>
      </c>
      <c r="H52" s="36" t="s">
        <v>12</v>
      </c>
    </row>
    <row r="53" spans="1:8" x14ac:dyDescent="0.2">
      <c r="A53" s="26"/>
      <c r="B53" s="26"/>
      <c r="C53" s="30"/>
      <c r="D53" s="26"/>
      <c r="E53" s="26"/>
      <c r="F53" s="31"/>
      <c r="G53" s="31"/>
      <c r="H53" s="36" t="s">
        <v>12</v>
      </c>
    </row>
    <row r="54" spans="1:8" x14ac:dyDescent="0.2">
      <c r="A54" s="26"/>
      <c r="B54" s="26"/>
      <c r="C54" s="27" t="s">
        <v>64</v>
      </c>
      <c r="D54" s="26"/>
      <c r="E54" s="26"/>
      <c r="F54" s="31"/>
      <c r="G54" s="31"/>
      <c r="H54" s="36" t="s">
        <v>12</v>
      </c>
    </row>
    <row r="55" spans="1:8" x14ac:dyDescent="0.2">
      <c r="A55" s="26"/>
      <c r="B55" s="26"/>
      <c r="C55" s="27" t="s">
        <v>11</v>
      </c>
      <c r="D55" s="26"/>
      <c r="E55" s="26" t="s">
        <v>12</v>
      </c>
      <c r="F55" s="28" t="s">
        <v>13</v>
      </c>
      <c r="G55" s="29">
        <v>0</v>
      </c>
      <c r="H55" s="36" t="s">
        <v>12</v>
      </c>
    </row>
    <row r="56" spans="1:8" x14ac:dyDescent="0.2">
      <c r="A56" s="26"/>
      <c r="B56" s="26"/>
      <c r="C56" s="30"/>
      <c r="D56" s="26"/>
      <c r="E56" s="26"/>
      <c r="F56" s="31"/>
      <c r="G56" s="31"/>
      <c r="H56" s="36" t="s">
        <v>12</v>
      </c>
    </row>
    <row r="57" spans="1:8" x14ac:dyDescent="0.2">
      <c r="A57" s="26"/>
      <c r="B57" s="26"/>
      <c r="C57" s="27" t="s">
        <v>65</v>
      </c>
      <c r="D57" s="26"/>
      <c r="E57" s="26"/>
      <c r="F57" s="31"/>
      <c r="G57" s="31"/>
      <c r="H57" s="36" t="s">
        <v>12</v>
      </c>
    </row>
    <row r="58" spans="1:8" x14ac:dyDescent="0.2">
      <c r="A58" s="33">
        <v>1</v>
      </c>
      <c r="B58" s="34" t="s">
        <v>66</v>
      </c>
      <c r="C58" s="34" t="s">
        <v>66</v>
      </c>
      <c r="D58" s="34"/>
      <c r="E58" s="38"/>
      <c r="F58" s="36">
        <v>376.20486589799998</v>
      </c>
      <c r="G58" s="37">
        <v>8.696421E-2</v>
      </c>
      <c r="H58" s="36">
        <v>6.6841381571857204</v>
      </c>
    </row>
    <row r="59" spans="1:8" x14ac:dyDescent="0.2">
      <c r="A59" s="26"/>
      <c r="B59" s="26"/>
      <c r="C59" s="27" t="s">
        <v>11</v>
      </c>
      <c r="D59" s="26"/>
      <c r="E59" s="26" t="s">
        <v>12</v>
      </c>
      <c r="F59" s="32">
        <v>376.20486589799998</v>
      </c>
      <c r="G59" s="29">
        <v>8.696421E-2</v>
      </c>
      <c r="H59" s="36" t="s">
        <v>12</v>
      </c>
    </row>
    <row r="60" spans="1:8" x14ac:dyDescent="0.2">
      <c r="A60" s="26"/>
      <c r="B60" s="26"/>
      <c r="C60" s="30"/>
      <c r="D60" s="26"/>
      <c r="E60" s="26"/>
      <c r="F60" s="31"/>
      <c r="G60" s="31"/>
      <c r="H60" s="36" t="s">
        <v>12</v>
      </c>
    </row>
    <row r="61" spans="1:8" x14ac:dyDescent="0.2">
      <c r="A61" s="26"/>
      <c r="B61" s="26"/>
      <c r="C61" s="27" t="s">
        <v>67</v>
      </c>
      <c r="D61" s="26"/>
      <c r="E61" s="26"/>
      <c r="F61" s="32">
        <v>376.20486589799998</v>
      </c>
      <c r="G61" s="29">
        <v>8.696421E-2</v>
      </c>
      <c r="H61" s="36" t="s">
        <v>12</v>
      </c>
    </row>
    <row r="62" spans="1:8" x14ac:dyDescent="0.2">
      <c r="A62" s="26"/>
      <c r="B62" s="26"/>
      <c r="C62" s="31"/>
      <c r="D62" s="26"/>
      <c r="E62" s="26"/>
      <c r="F62" s="26"/>
      <c r="G62" s="26"/>
      <c r="H62" s="36" t="s">
        <v>12</v>
      </c>
    </row>
    <row r="63" spans="1:8" x14ac:dyDescent="0.2">
      <c r="A63" s="26"/>
      <c r="B63" s="26"/>
      <c r="C63" s="27" t="s">
        <v>68</v>
      </c>
      <c r="D63" s="26"/>
      <c r="E63" s="26"/>
      <c r="F63" s="26"/>
      <c r="G63" s="26"/>
      <c r="H63" s="36" t="s">
        <v>12</v>
      </c>
    </row>
    <row r="64" spans="1:8" x14ac:dyDescent="0.2">
      <c r="A64" s="26"/>
      <c r="B64" s="26"/>
      <c r="C64" s="27" t="s">
        <v>69</v>
      </c>
      <c r="D64" s="26"/>
      <c r="E64" s="26"/>
      <c r="F64" s="26"/>
      <c r="G64" s="26"/>
      <c r="H64" s="36" t="s">
        <v>12</v>
      </c>
    </row>
    <row r="65" spans="1:18" x14ac:dyDescent="0.2">
      <c r="A65" s="26"/>
      <c r="B65" s="26"/>
      <c r="C65" s="27" t="s">
        <v>11</v>
      </c>
      <c r="D65" s="26"/>
      <c r="E65" s="26" t="s">
        <v>12</v>
      </c>
      <c r="F65" s="28" t="s">
        <v>13</v>
      </c>
      <c r="G65" s="29">
        <v>0</v>
      </c>
      <c r="H65" s="36" t="s">
        <v>12</v>
      </c>
    </row>
    <row r="66" spans="1:18" x14ac:dyDescent="0.2">
      <c r="A66" s="26"/>
      <c r="B66" s="26"/>
      <c r="C66" s="30"/>
      <c r="D66" s="26"/>
      <c r="E66" s="26"/>
      <c r="F66" s="31"/>
      <c r="G66" s="31"/>
      <c r="H66" s="36" t="s">
        <v>12</v>
      </c>
    </row>
    <row r="67" spans="1:18" x14ac:dyDescent="0.2">
      <c r="A67" s="26"/>
      <c r="B67" s="26"/>
      <c r="C67" s="27" t="s">
        <v>72</v>
      </c>
      <c r="D67" s="26"/>
      <c r="E67" s="26"/>
      <c r="F67" s="26"/>
      <c r="G67" s="26"/>
      <c r="H67" s="36" t="s">
        <v>12</v>
      </c>
    </row>
    <row r="68" spans="1:18" x14ac:dyDescent="0.2">
      <c r="A68" s="26"/>
      <c r="B68" s="26"/>
      <c r="C68" s="27" t="s">
        <v>73</v>
      </c>
      <c r="D68" s="26"/>
      <c r="E68" s="26"/>
      <c r="F68" s="26"/>
      <c r="G68" s="26"/>
      <c r="H68" s="36" t="s">
        <v>12</v>
      </c>
    </row>
    <row r="69" spans="1:18" x14ac:dyDescent="0.2">
      <c r="A69" s="26"/>
      <c r="B69" s="26"/>
      <c r="C69" s="27" t="s">
        <v>11</v>
      </c>
      <c r="D69" s="26"/>
      <c r="E69" s="26" t="s">
        <v>12</v>
      </c>
      <c r="F69" s="28" t="s">
        <v>13</v>
      </c>
      <c r="G69" s="29">
        <v>0</v>
      </c>
      <c r="H69" s="36" t="s">
        <v>12</v>
      </c>
    </row>
    <row r="70" spans="1:18" x14ac:dyDescent="0.2">
      <c r="A70" s="26"/>
      <c r="B70" s="26"/>
      <c r="C70" s="30"/>
      <c r="D70" s="26"/>
      <c r="E70" s="26"/>
      <c r="F70" s="31"/>
      <c r="G70" s="31"/>
      <c r="H70" s="36" t="s">
        <v>12</v>
      </c>
    </row>
    <row r="71" spans="1:18" x14ac:dyDescent="0.2">
      <c r="A71" s="26"/>
      <c r="B71" s="26"/>
      <c r="C71" s="27" t="s">
        <v>74</v>
      </c>
      <c r="D71" s="26"/>
      <c r="E71" s="26"/>
      <c r="F71" s="31"/>
      <c r="G71" s="31"/>
      <c r="H71" s="36" t="s">
        <v>12</v>
      </c>
    </row>
    <row r="72" spans="1:18" x14ac:dyDescent="0.2">
      <c r="A72" s="26"/>
      <c r="B72" s="26"/>
      <c r="C72" s="27" t="s">
        <v>11</v>
      </c>
      <c r="D72" s="26"/>
      <c r="E72" s="26" t="s">
        <v>12</v>
      </c>
      <c r="F72" s="28" t="s">
        <v>13</v>
      </c>
      <c r="G72" s="29">
        <v>0</v>
      </c>
      <c r="H72" s="36" t="s">
        <v>12</v>
      </c>
    </row>
    <row r="73" spans="1:18" x14ac:dyDescent="0.2">
      <c r="A73" s="26"/>
      <c r="B73" s="26"/>
      <c r="C73" s="30"/>
      <c r="D73" s="26"/>
      <c r="E73" s="26"/>
      <c r="F73" s="31"/>
      <c r="G73" s="31"/>
      <c r="H73" s="36" t="s">
        <v>12</v>
      </c>
    </row>
    <row r="74" spans="1:18" x14ac:dyDescent="0.2">
      <c r="A74" s="48"/>
      <c r="B74" s="48"/>
      <c r="C74" s="49" t="s">
        <v>370</v>
      </c>
      <c r="D74" s="48"/>
      <c r="E74" s="48"/>
      <c r="F74" s="50"/>
      <c r="G74" s="50"/>
      <c r="H74" s="51"/>
      <c r="K74" s="52"/>
      <c r="L74" s="52"/>
      <c r="M74" s="52"/>
      <c r="N74" s="52"/>
      <c r="O74" s="52"/>
      <c r="P74" s="53"/>
      <c r="Q74" s="53"/>
      <c r="R74" s="53"/>
    </row>
    <row r="75" spans="1:18" ht="25.5" x14ac:dyDescent="0.2">
      <c r="A75" s="33">
        <v>1</v>
      </c>
      <c r="B75" s="34" t="s">
        <v>70</v>
      </c>
      <c r="C75" s="34" t="s">
        <v>71</v>
      </c>
      <c r="D75" s="34"/>
      <c r="E75" s="40">
        <v>112.994</v>
      </c>
      <c r="F75" s="36">
        <v>11.605580068</v>
      </c>
      <c r="G75" s="37">
        <v>2.6827700000000001E-3</v>
      </c>
      <c r="H75" s="36"/>
    </row>
    <row r="76" spans="1:18" x14ac:dyDescent="0.2">
      <c r="A76" s="26"/>
      <c r="B76" s="26"/>
      <c r="C76" s="27" t="s">
        <v>11</v>
      </c>
      <c r="D76" s="26"/>
      <c r="E76" s="26" t="s">
        <v>12</v>
      </c>
      <c r="F76" s="32">
        <v>11.605580068</v>
      </c>
      <c r="G76" s="29">
        <v>2.6827700000000001E-3</v>
      </c>
      <c r="H76" s="36" t="s">
        <v>12</v>
      </c>
    </row>
    <row r="77" spans="1:18" x14ac:dyDescent="0.2">
      <c r="A77" s="26"/>
      <c r="B77" s="34"/>
      <c r="C77" s="34"/>
      <c r="D77" s="27"/>
      <c r="E77" s="26"/>
      <c r="F77" s="34"/>
      <c r="G77" s="38"/>
      <c r="H77" s="36" t="s">
        <v>12</v>
      </c>
    </row>
    <row r="78" spans="1:18" x14ac:dyDescent="0.2">
      <c r="A78" s="38"/>
      <c r="B78" s="34"/>
      <c r="C78" s="34" t="s">
        <v>75</v>
      </c>
      <c r="D78" s="34"/>
      <c r="E78" s="38"/>
      <c r="F78" s="36">
        <f>45.41644251+0.00100057399988174</f>
        <v>45.417443083999885</v>
      </c>
      <c r="G78" s="37">
        <v>1.0498550000000001E-2</v>
      </c>
      <c r="H78" s="36" t="s">
        <v>12</v>
      </c>
    </row>
    <row r="79" spans="1:18" x14ac:dyDescent="0.2">
      <c r="A79" s="30"/>
      <c r="B79" s="30"/>
      <c r="C79" s="27" t="s">
        <v>76</v>
      </c>
      <c r="D79" s="31"/>
      <c r="E79" s="31"/>
      <c r="F79" s="32">
        <f>4325.973738476+0.00100057399988174</f>
        <v>4325.9747390499997</v>
      </c>
      <c r="G79" s="39">
        <v>1</v>
      </c>
      <c r="H79" s="36" t="s">
        <v>12</v>
      </c>
    </row>
    <row r="80" spans="1:18" x14ac:dyDescent="0.2">
      <c r="A80" s="5"/>
      <c r="B80" s="5"/>
      <c r="C80" s="5"/>
      <c r="D80" s="7"/>
      <c r="E80" s="7"/>
      <c r="F80" s="7"/>
      <c r="G80" s="7"/>
    </row>
    <row r="81" spans="1:8" x14ac:dyDescent="0.2">
      <c r="A81" s="54"/>
      <c r="B81" s="124" t="s">
        <v>371</v>
      </c>
      <c r="C81" s="124"/>
      <c r="D81" s="124"/>
      <c r="E81" s="124"/>
      <c r="F81" s="124"/>
      <c r="G81" s="124"/>
      <c r="H81" s="124"/>
    </row>
    <row r="82" spans="1:8" x14ac:dyDescent="0.2">
      <c r="A82" s="54"/>
      <c r="B82" s="124" t="s">
        <v>372</v>
      </c>
      <c r="C82" s="124"/>
      <c r="D82" s="124"/>
      <c r="E82" s="124"/>
      <c r="F82" s="124"/>
      <c r="G82" s="124"/>
      <c r="H82" s="124"/>
    </row>
    <row r="83" spans="1:8" x14ac:dyDescent="0.2">
      <c r="A83" s="54"/>
      <c r="B83" s="124" t="s">
        <v>373</v>
      </c>
      <c r="C83" s="124"/>
      <c r="D83" s="124"/>
      <c r="E83" s="124"/>
      <c r="F83" s="124"/>
      <c r="G83" s="124"/>
      <c r="H83" s="124"/>
    </row>
    <row r="84" spans="1:8" x14ac:dyDescent="0.2">
      <c r="A84" s="5"/>
      <c r="B84" s="5"/>
      <c r="C84" s="5"/>
      <c r="D84" s="7"/>
      <c r="E84" s="7"/>
      <c r="F84" s="7"/>
      <c r="G84" s="7"/>
    </row>
    <row r="85" spans="1:8" x14ac:dyDescent="0.2">
      <c r="A85" s="5"/>
      <c r="B85" s="119" t="s">
        <v>77</v>
      </c>
      <c r="C85" s="120"/>
      <c r="D85" s="121"/>
      <c r="E85" s="8"/>
      <c r="F85" s="7"/>
      <c r="G85" s="7"/>
    </row>
    <row r="86" spans="1:8" ht="25.5" x14ac:dyDescent="0.2">
      <c r="A86" s="5"/>
      <c r="B86" s="122" t="s">
        <v>78</v>
      </c>
      <c r="C86" s="123"/>
      <c r="D86" s="49" t="s">
        <v>396</v>
      </c>
      <c r="E86" s="8"/>
      <c r="F86" s="7"/>
      <c r="G86" s="7"/>
    </row>
    <row r="87" spans="1:8" x14ac:dyDescent="0.2">
      <c r="A87" s="5"/>
      <c r="B87" s="122" t="s">
        <v>80</v>
      </c>
      <c r="C87" s="123"/>
      <c r="D87" s="1" t="s">
        <v>79</v>
      </c>
      <c r="E87" s="8"/>
      <c r="F87" s="7"/>
      <c r="G87" s="7"/>
    </row>
    <row r="88" spans="1:8" x14ac:dyDescent="0.2">
      <c r="A88" s="5"/>
      <c r="B88" s="122" t="s">
        <v>81</v>
      </c>
      <c r="C88" s="123"/>
      <c r="D88" s="2" t="s">
        <v>12</v>
      </c>
      <c r="E88" s="8"/>
      <c r="F88" s="7"/>
      <c r="G88" s="7"/>
    </row>
    <row r="89" spans="1:8" x14ac:dyDescent="0.2">
      <c r="A89" s="56"/>
      <c r="B89" s="103" t="s">
        <v>12</v>
      </c>
      <c r="C89" s="103" t="s">
        <v>574</v>
      </c>
      <c r="D89" s="103" t="s">
        <v>82</v>
      </c>
      <c r="E89" s="56"/>
      <c r="F89" s="56"/>
      <c r="G89" s="56"/>
      <c r="H89" s="104"/>
    </row>
    <row r="90" spans="1:8" x14ac:dyDescent="0.2">
      <c r="A90" s="9"/>
      <c r="B90" s="11" t="s">
        <v>83</v>
      </c>
      <c r="C90" s="10" t="s">
        <v>84</v>
      </c>
      <c r="D90" s="10" t="s">
        <v>85</v>
      </c>
      <c r="E90" s="9"/>
      <c r="F90" s="9"/>
      <c r="G90" s="9"/>
    </row>
    <row r="91" spans="1:8" x14ac:dyDescent="0.2">
      <c r="A91" s="9"/>
      <c r="B91" s="3" t="s">
        <v>86</v>
      </c>
      <c r="C91" s="12">
        <v>70.942700000000002</v>
      </c>
      <c r="D91" s="12">
        <v>71.134200000000007</v>
      </c>
      <c r="E91" s="9"/>
      <c r="F91" s="6"/>
      <c r="G91" s="13"/>
    </row>
    <row r="92" spans="1:8" ht="25.5" x14ac:dyDescent="0.2">
      <c r="A92" s="9"/>
      <c r="B92" s="3" t="s">
        <v>581</v>
      </c>
      <c r="C92" s="12">
        <v>25.613800000000001</v>
      </c>
      <c r="D92" s="12">
        <v>25.607800000000001</v>
      </c>
      <c r="E92" s="9"/>
      <c r="F92" s="6"/>
      <c r="G92" s="13"/>
    </row>
    <row r="93" spans="1:8" ht="25.5" x14ac:dyDescent="0.2">
      <c r="A93" s="9"/>
      <c r="B93" s="3" t="s">
        <v>585</v>
      </c>
      <c r="C93" s="12">
        <v>14.6252</v>
      </c>
      <c r="D93" s="12">
        <v>14.6647</v>
      </c>
      <c r="E93" s="9"/>
      <c r="F93" s="6"/>
      <c r="G93" s="13"/>
    </row>
    <row r="94" spans="1:8" ht="25.5" x14ac:dyDescent="0.2">
      <c r="A94" s="9"/>
      <c r="B94" s="3" t="s">
        <v>303</v>
      </c>
      <c r="C94" s="12">
        <v>72.472899999999996</v>
      </c>
      <c r="D94" s="12">
        <v>72.641400000000004</v>
      </c>
      <c r="E94" s="9"/>
      <c r="F94" s="6"/>
      <c r="G94" s="13"/>
    </row>
    <row r="95" spans="1:8" x14ac:dyDescent="0.2">
      <c r="A95" s="9"/>
      <c r="B95" s="3" t="s">
        <v>87</v>
      </c>
      <c r="C95" s="12">
        <v>64.134299999999996</v>
      </c>
      <c r="D95" s="12">
        <v>64.2834</v>
      </c>
      <c r="E95" s="9"/>
      <c r="F95" s="6"/>
      <c r="G95" s="13"/>
    </row>
    <row r="96" spans="1:8" x14ac:dyDescent="0.2">
      <c r="A96" s="9"/>
      <c r="B96" s="3" t="s">
        <v>112</v>
      </c>
      <c r="C96" s="12">
        <v>21.9054</v>
      </c>
      <c r="D96" s="12">
        <v>21.956299999999999</v>
      </c>
      <c r="E96" s="9"/>
      <c r="F96" s="6"/>
      <c r="G96" s="13"/>
    </row>
    <row r="97" spans="1:15" ht="25.5" x14ac:dyDescent="0.2">
      <c r="A97" s="9"/>
      <c r="B97" s="3" t="s">
        <v>582</v>
      </c>
      <c r="C97" s="12">
        <v>12.8591</v>
      </c>
      <c r="D97" s="12">
        <v>12.8139</v>
      </c>
      <c r="E97" s="9"/>
      <c r="F97" s="6"/>
      <c r="G97" s="13"/>
    </row>
    <row r="98" spans="1:15" ht="25.5" x14ac:dyDescent="0.2">
      <c r="A98" s="9"/>
      <c r="B98" s="3" t="s">
        <v>587</v>
      </c>
      <c r="C98" s="12">
        <v>13.1372</v>
      </c>
      <c r="D98" s="12">
        <v>13.1678</v>
      </c>
      <c r="E98" s="9"/>
      <c r="F98" s="6"/>
      <c r="G98" s="13"/>
    </row>
    <row r="99" spans="1:15" ht="25.5" x14ac:dyDescent="0.2">
      <c r="A99" s="9"/>
      <c r="B99" s="3" t="s">
        <v>588</v>
      </c>
      <c r="C99" s="12">
        <v>13.0349</v>
      </c>
      <c r="D99" s="12">
        <v>13.065200000000001</v>
      </c>
      <c r="E99" s="9"/>
      <c r="F99" s="6"/>
      <c r="G99" s="13"/>
    </row>
    <row r="100" spans="1:15" x14ac:dyDescent="0.2">
      <c r="A100" s="9"/>
      <c r="B100" s="9"/>
      <c r="C100" s="9"/>
      <c r="D100" s="9"/>
      <c r="E100" s="9"/>
      <c r="F100" s="9"/>
      <c r="G100" s="9"/>
    </row>
    <row r="101" spans="1:15" x14ac:dyDescent="0.2">
      <c r="A101" s="9"/>
      <c r="B101" s="122" t="s">
        <v>589</v>
      </c>
      <c r="C101" s="123"/>
      <c r="D101" s="1" t="s">
        <v>12</v>
      </c>
      <c r="E101" s="9"/>
      <c r="F101" s="9"/>
      <c r="G101" s="9"/>
    </row>
    <row r="102" spans="1:15" x14ac:dyDescent="0.2">
      <c r="A102" s="9"/>
      <c r="B102" s="14" t="s">
        <v>83</v>
      </c>
      <c r="C102" s="15" t="s">
        <v>88</v>
      </c>
      <c r="D102" s="15" t="s">
        <v>89</v>
      </c>
      <c r="E102" s="9"/>
      <c r="F102" s="9"/>
      <c r="G102" s="9"/>
    </row>
    <row r="103" spans="1:15" ht="25.5" x14ac:dyDescent="0.25">
      <c r="A103" s="9"/>
      <c r="B103" s="3" t="s">
        <v>581</v>
      </c>
      <c r="C103" s="16">
        <v>7.4999999999999997E-2</v>
      </c>
      <c r="D103" s="4" t="s">
        <v>90</v>
      </c>
      <c r="E103" s="9"/>
      <c r="F103" s="6"/>
      <c r="G103" s="13"/>
      <c r="I103" s="86"/>
    </row>
    <row r="104" spans="1:15" ht="25.5" x14ac:dyDescent="0.2">
      <c r="A104" s="9"/>
      <c r="B104" s="3" t="s">
        <v>582</v>
      </c>
      <c r="C104" s="16">
        <v>7.4999999999999997E-2</v>
      </c>
      <c r="D104" s="16">
        <v>7.4999999999999997E-2</v>
      </c>
      <c r="E104" s="9"/>
      <c r="F104" s="6"/>
      <c r="G104" s="13"/>
    </row>
    <row r="105" spans="1:15" x14ac:dyDescent="0.2">
      <c r="A105" s="9"/>
      <c r="B105" s="17"/>
      <c r="C105" s="17"/>
      <c r="D105" s="18"/>
      <c r="E105" s="9"/>
      <c r="F105" s="6"/>
      <c r="G105" s="13"/>
    </row>
    <row r="106" spans="1:15" s="59" customFormat="1" ht="15" x14ac:dyDescent="0.25">
      <c r="A106" s="67"/>
      <c r="B106" s="129" t="s">
        <v>387</v>
      </c>
      <c r="C106" s="130"/>
      <c r="D106" s="57" t="s">
        <v>79</v>
      </c>
      <c r="E106" s="67"/>
      <c r="F106" s="55"/>
      <c r="G106" s="67"/>
      <c r="I106" s="86"/>
      <c r="J106" s="23"/>
      <c r="K106" s="86"/>
      <c r="L106" s="86"/>
      <c r="M106" s="86"/>
      <c r="N106" s="86"/>
      <c r="O106"/>
    </row>
    <row r="107" spans="1:15" x14ac:dyDescent="0.2">
      <c r="A107" s="56"/>
      <c r="B107" s="129" t="s">
        <v>388</v>
      </c>
      <c r="C107" s="130"/>
      <c r="D107" s="57" t="s">
        <v>79</v>
      </c>
      <c r="E107" s="58"/>
      <c r="F107" s="56"/>
      <c r="G107" s="56"/>
    </row>
    <row r="108" spans="1:15" x14ac:dyDescent="0.2">
      <c r="A108" s="56"/>
      <c r="B108" s="129" t="s">
        <v>389</v>
      </c>
      <c r="C108" s="130"/>
      <c r="D108" s="57" t="s">
        <v>79</v>
      </c>
      <c r="E108" s="58"/>
      <c r="F108" s="56"/>
      <c r="G108" s="56"/>
    </row>
    <row r="109" spans="1:15" ht="15" x14ac:dyDescent="0.25">
      <c r="A109" s="56"/>
      <c r="B109" s="129" t="s">
        <v>390</v>
      </c>
      <c r="C109" s="130"/>
      <c r="D109" s="57" t="s">
        <v>79</v>
      </c>
      <c r="E109" s="58"/>
      <c r="F109" s="56"/>
      <c r="G109" s="56"/>
      <c r="I109" s="86"/>
    </row>
    <row r="110" spans="1:15" ht="15" x14ac:dyDescent="0.2">
      <c r="A110" s="19"/>
      <c r="B110" s="19"/>
      <c r="C110" s="19"/>
      <c r="D110" s="19"/>
      <c r="E110" s="19"/>
      <c r="F110" s="19"/>
      <c r="G110" s="19"/>
      <c r="I110" s="87"/>
    </row>
    <row r="111" spans="1:15" s="59" customFormat="1" ht="15" x14ac:dyDescent="0.25">
      <c r="B111" s="142" t="s">
        <v>600</v>
      </c>
      <c r="C111" s="143"/>
      <c r="D111" s="143"/>
      <c r="E111" s="143"/>
      <c r="F111" s="143"/>
      <c r="G111" s="144"/>
      <c r="I111" s="88"/>
      <c r="J111" s="23"/>
      <c r="K111" s="86"/>
      <c r="L111" s="86"/>
      <c r="M111" s="86"/>
      <c r="N111" s="86"/>
      <c r="O111"/>
    </row>
    <row r="112" spans="1:15" s="59" customFormat="1" ht="45" customHeight="1" x14ac:dyDescent="0.25">
      <c r="B112" s="90" t="s">
        <v>417</v>
      </c>
      <c r="C112" s="90" t="s">
        <v>418</v>
      </c>
      <c r="D112" s="145" t="s">
        <v>399</v>
      </c>
      <c r="E112" s="146"/>
      <c r="F112" s="147" t="s">
        <v>400</v>
      </c>
      <c r="G112" s="147"/>
      <c r="H112" s="91"/>
      <c r="I112" s="89"/>
      <c r="J112" s="23"/>
      <c r="K112" s="86"/>
      <c r="L112" s="86"/>
      <c r="M112" s="86"/>
      <c r="N112" s="86"/>
      <c r="O112"/>
    </row>
    <row r="113" spans="2:15" s="59" customFormat="1" ht="25.5" x14ac:dyDescent="0.25">
      <c r="B113" s="92" t="s">
        <v>419</v>
      </c>
      <c r="C113" s="93" t="s">
        <v>420</v>
      </c>
      <c r="D113" s="148">
        <v>0</v>
      </c>
      <c r="E113" s="149"/>
      <c r="F113" s="148">
        <v>0</v>
      </c>
      <c r="G113" s="149"/>
      <c r="H113" s="94"/>
      <c r="I113"/>
      <c r="J113" s="23"/>
      <c r="K113" s="86"/>
      <c r="L113" s="86"/>
      <c r="M113" s="86"/>
      <c r="N113" s="86"/>
      <c r="O113"/>
    </row>
    <row r="114" spans="2:15" s="59" customFormat="1" ht="15" x14ac:dyDescent="0.25">
      <c r="B114" s="150" t="s">
        <v>421</v>
      </c>
      <c r="C114" s="151"/>
      <c r="D114" s="151"/>
      <c r="E114" s="151"/>
      <c r="F114" s="151"/>
      <c r="G114" s="152"/>
      <c r="H114" s="94"/>
      <c r="I114"/>
      <c r="J114" s="23"/>
      <c r="K114" s="89"/>
      <c r="L114" s="89"/>
      <c r="M114" s="89"/>
      <c r="N114" s="86"/>
      <c r="O114"/>
    </row>
    <row r="115" spans="2:15" s="59" customFormat="1" ht="15" x14ac:dyDescent="0.25">
      <c r="B115" s="147" t="s">
        <v>417</v>
      </c>
      <c r="C115" s="147" t="s">
        <v>418</v>
      </c>
      <c r="D115" s="150" t="s">
        <v>422</v>
      </c>
      <c r="E115" s="151"/>
      <c r="F115" s="152"/>
      <c r="G115" s="92"/>
      <c r="H115" s="94"/>
      <c r="I115"/>
      <c r="J115" s="23"/>
      <c r="K115" s="89"/>
      <c r="L115" s="89"/>
      <c r="M115" s="89"/>
      <c r="N115" s="86"/>
      <c r="O115"/>
    </row>
    <row r="116" spans="2:15" s="59" customFormat="1" ht="76.5" x14ac:dyDescent="0.25">
      <c r="B116" s="147"/>
      <c r="C116" s="147"/>
      <c r="D116" s="95" t="s">
        <v>423</v>
      </c>
      <c r="E116" s="95" t="s">
        <v>424</v>
      </c>
      <c r="F116" s="95" t="s">
        <v>425</v>
      </c>
      <c r="G116" s="95" t="s">
        <v>602</v>
      </c>
      <c r="H116" s="96"/>
      <c r="I116"/>
      <c r="J116" s="23"/>
      <c r="K116" s="89"/>
      <c r="L116" s="89"/>
      <c r="M116" s="89"/>
      <c r="N116" s="86"/>
      <c r="O116"/>
    </row>
    <row r="117" spans="2:15" s="59" customFormat="1" ht="25.5" x14ac:dyDescent="0.2">
      <c r="B117" s="97" t="s">
        <v>419</v>
      </c>
      <c r="C117" s="93" t="s">
        <v>420</v>
      </c>
      <c r="D117" s="98">
        <v>200</v>
      </c>
      <c r="E117" s="98">
        <v>6.8852450999999997</v>
      </c>
      <c r="F117" s="98">
        <v>206.88524509999999</v>
      </c>
      <c r="G117" s="112">
        <v>4.7800000000000002E-2</v>
      </c>
      <c r="H117" s="99"/>
      <c r="I117"/>
      <c r="J117" s="23"/>
      <c r="K117"/>
      <c r="L117"/>
      <c r="M117"/>
      <c r="N117"/>
      <c r="O117"/>
    </row>
    <row r="118" spans="2:15" s="59" customFormat="1" ht="33.75" customHeight="1" x14ac:dyDescent="0.2">
      <c r="B118" s="153" t="s">
        <v>426</v>
      </c>
      <c r="C118" s="154"/>
      <c r="D118" s="154"/>
      <c r="E118" s="154"/>
      <c r="F118" s="154"/>
      <c r="G118" s="155"/>
      <c r="H118" s="100"/>
      <c r="I118"/>
      <c r="J118" s="23"/>
      <c r="K118"/>
      <c r="L118"/>
      <c r="M118"/>
      <c r="N118"/>
      <c r="O118"/>
    </row>
    <row r="119" spans="2:15" s="59" customFormat="1" x14ac:dyDescent="0.2">
      <c r="H119" s="100"/>
      <c r="I119"/>
      <c r="J119" s="23"/>
      <c r="K119"/>
      <c r="L119"/>
      <c r="M119"/>
      <c r="N119"/>
      <c r="O119"/>
    </row>
    <row r="120" spans="2:15" s="59" customFormat="1" x14ac:dyDescent="0.2">
      <c r="B120" s="125" t="s">
        <v>375</v>
      </c>
      <c r="C120" s="126"/>
      <c r="D120" s="127"/>
      <c r="I120"/>
      <c r="J120" s="23"/>
      <c r="K120"/>
      <c r="L120"/>
      <c r="M120"/>
      <c r="N120"/>
      <c r="O120"/>
    </row>
    <row r="121" spans="2:15" s="59" customFormat="1" ht="38.25" x14ac:dyDescent="0.2">
      <c r="B121" s="128" t="s">
        <v>376</v>
      </c>
      <c r="C121" s="128"/>
      <c r="D121" s="60" t="s">
        <v>298</v>
      </c>
      <c r="I121"/>
      <c r="J121" s="23"/>
      <c r="K121"/>
      <c r="L121"/>
      <c r="M121"/>
      <c r="N121"/>
      <c r="O121"/>
    </row>
    <row r="122" spans="2:15" s="59" customFormat="1" x14ac:dyDescent="0.2">
      <c r="B122" s="131" t="s">
        <v>377</v>
      </c>
      <c r="C122" s="131"/>
      <c r="D122" s="61"/>
      <c r="I122"/>
      <c r="J122" s="23"/>
      <c r="K122"/>
      <c r="L122"/>
      <c r="M122"/>
      <c r="N122"/>
      <c r="O122"/>
    </row>
    <row r="123" spans="2:15" s="59" customFormat="1" x14ac:dyDescent="0.2">
      <c r="B123" s="131"/>
      <c r="C123" s="131"/>
      <c r="D123" s="62"/>
      <c r="I123"/>
      <c r="J123" s="23"/>
      <c r="K123"/>
      <c r="L123"/>
      <c r="M123"/>
      <c r="N123"/>
      <c r="O123"/>
    </row>
    <row r="124" spans="2:15" s="59" customFormat="1" x14ac:dyDescent="0.2">
      <c r="B124" s="131" t="s">
        <v>378</v>
      </c>
      <c r="C124" s="131"/>
      <c r="D124" s="63">
        <v>7.1754721446972987</v>
      </c>
      <c r="I124"/>
      <c r="J124" s="23"/>
      <c r="K124"/>
      <c r="L124"/>
      <c r="M124"/>
      <c r="N124"/>
      <c r="O124"/>
    </row>
    <row r="125" spans="2:15" s="59" customFormat="1" x14ac:dyDescent="0.2">
      <c r="B125" s="131"/>
      <c r="C125" s="131"/>
      <c r="D125" s="62"/>
      <c r="I125"/>
      <c r="J125" s="23"/>
      <c r="K125"/>
      <c r="L125"/>
      <c r="M125"/>
      <c r="N125"/>
      <c r="O125"/>
    </row>
    <row r="126" spans="2:15" s="59" customFormat="1" x14ac:dyDescent="0.2">
      <c r="B126" s="131" t="s">
        <v>379</v>
      </c>
      <c r="C126" s="131"/>
      <c r="D126" s="63">
        <v>3.8070951054808808</v>
      </c>
      <c r="I126"/>
      <c r="J126" s="23"/>
      <c r="K126"/>
      <c r="L126"/>
      <c r="M126"/>
      <c r="N126"/>
      <c r="O126"/>
    </row>
    <row r="127" spans="2:15" s="59" customFormat="1" x14ac:dyDescent="0.2">
      <c r="B127" s="131" t="s">
        <v>380</v>
      </c>
      <c r="C127" s="131"/>
      <c r="D127" s="63">
        <v>4.8981059525300159</v>
      </c>
      <c r="I127"/>
      <c r="J127" s="23"/>
      <c r="K127"/>
      <c r="L127"/>
      <c r="M127"/>
      <c r="N127"/>
      <c r="O127"/>
    </row>
    <row r="128" spans="2:15" s="59" customFormat="1" x14ac:dyDescent="0.2">
      <c r="B128" s="131"/>
      <c r="C128" s="131"/>
      <c r="D128" s="62"/>
      <c r="I128"/>
      <c r="J128" s="23"/>
      <c r="K128"/>
      <c r="L128"/>
      <c r="M128"/>
      <c r="N128"/>
      <c r="O128"/>
    </row>
    <row r="129" spans="2:17" s="59" customFormat="1" x14ac:dyDescent="0.2">
      <c r="B129" s="131" t="s">
        <v>381</v>
      </c>
      <c r="C129" s="131"/>
      <c r="D129" s="64" t="s">
        <v>599</v>
      </c>
      <c r="I129"/>
      <c r="J129" s="23"/>
      <c r="K129"/>
      <c r="L129"/>
      <c r="M129"/>
      <c r="N129"/>
      <c r="O129"/>
    </row>
    <row r="130" spans="2:17" s="59" customFormat="1" x14ac:dyDescent="0.2">
      <c r="B130" s="132" t="s">
        <v>382</v>
      </c>
      <c r="C130" s="134"/>
      <c r="D130" s="133"/>
      <c r="I130"/>
      <c r="J130" s="23"/>
      <c r="K130"/>
      <c r="L130"/>
      <c r="M130"/>
      <c r="N130"/>
      <c r="O130"/>
      <c r="P130"/>
      <c r="Q130"/>
    </row>
  </sheetData>
  <mergeCells count="36">
    <mergeCell ref="B118:G118"/>
    <mergeCell ref="B120:D120"/>
    <mergeCell ref="B130:D130"/>
    <mergeCell ref="B125:C125"/>
    <mergeCell ref="B126:C126"/>
    <mergeCell ref="B127:C127"/>
    <mergeCell ref="B128:C128"/>
    <mergeCell ref="B129:C129"/>
    <mergeCell ref="F113:G113"/>
    <mergeCell ref="B114:G114"/>
    <mergeCell ref="B115:B116"/>
    <mergeCell ref="C115:C116"/>
    <mergeCell ref="D115:F115"/>
    <mergeCell ref="A1:H1"/>
    <mergeCell ref="A2:H2"/>
    <mergeCell ref="A3:H3"/>
    <mergeCell ref="B124:C124"/>
    <mergeCell ref="B121:C121"/>
    <mergeCell ref="B122:C122"/>
    <mergeCell ref="B87:C87"/>
    <mergeCell ref="B88:C88"/>
    <mergeCell ref="B101:C101"/>
    <mergeCell ref="B107:C107"/>
    <mergeCell ref="B123:C123"/>
    <mergeCell ref="B106:C106"/>
    <mergeCell ref="B111:G111"/>
    <mergeCell ref="D112:E112"/>
    <mergeCell ref="F112:G112"/>
    <mergeCell ref="D113:E113"/>
    <mergeCell ref="B85:D85"/>
    <mergeCell ref="B86:C86"/>
    <mergeCell ref="B108:C108"/>
    <mergeCell ref="B109:C109"/>
    <mergeCell ref="B81:H81"/>
    <mergeCell ref="B82:H82"/>
    <mergeCell ref="B83:H83"/>
  </mergeCells>
  <hyperlinks>
    <hyperlink ref="I1" location="Index!B9" display="Index" xr:uid="{6D7141A6-25CE-4F07-8FC8-D97E76E972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5974-8004-42ED-9DDE-A22733BCF7FA}">
  <sheetPr>
    <outlinePr summaryBelow="0" summaryRight="0"/>
  </sheetPr>
  <dimension ref="A1:R134"/>
  <sheetViews>
    <sheetView showGridLines="0" topLeftCell="A59" workbookViewId="0">
      <selection activeCell="F71" sqref="F71"/>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10" customWidth="1"/>
    <col min="9" max="9" width="6"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304</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355</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33">
        <v>1</v>
      </c>
      <c r="B7" s="34" t="s">
        <v>305</v>
      </c>
      <c r="C7" s="34" t="s">
        <v>306</v>
      </c>
      <c r="D7" s="34" t="s">
        <v>307</v>
      </c>
      <c r="E7" s="35">
        <v>10000</v>
      </c>
      <c r="F7" s="36">
        <v>110.565</v>
      </c>
      <c r="G7" s="37">
        <v>3.6345469999999998E-2</v>
      </c>
      <c r="H7" s="36" t="s">
        <v>12</v>
      </c>
    </row>
    <row r="8" spans="1:10" x14ac:dyDescent="0.2">
      <c r="A8" s="33">
        <v>2</v>
      </c>
      <c r="B8" s="34" t="s">
        <v>308</v>
      </c>
      <c r="C8" s="34" t="s">
        <v>309</v>
      </c>
      <c r="D8" s="34" t="s">
        <v>310</v>
      </c>
      <c r="E8" s="35">
        <v>2400</v>
      </c>
      <c r="F8" s="36">
        <v>70.922399999999996</v>
      </c>
      <c r="G8" s="37">
        <v>2.3313960000000002E-2</v>
      </c>
      <c r="H8" s="36" t="s">
        <v>12</v>
      </c>
    </row>
    <row r="9" spans="1:10" x14ac:dyDescent="0.2">
      <c r="A9" s="33">
        <v>3</v>
      </c>
      <c r="B9" s="34" t="s">
        <v>311</v>
      </c>
      <c r="C9" s="34" t="s">
        <v>312</v>
      </c>
      <c r="D9" s="34" t="s">
        <v>307</v>
      </c>
      <c r="E9" s="35">
        <v>4400</v>
      </c>
      <c r="F9" s="36">
        <v>70.263599999999997</v>
      </c>
      <c r="G9" s="37">
        <v>2.3097400000000001E-2</v>
      </c>
      <c r="H9" s="36" t="s">
        <v>12</v>
      </c>
    </row>
    <row r="10" spans="1:10" x14ac:dyDescent="0.2">
      <c r="A10" s="33">
        <v>4</v>
      </c>
      <c r="B10" s="34" t="s">
        <v>313</v>
      </c>
      <c r="C10" s="34" t="s">
        <v>314</v>
      </c>
      <c r="D10" s="34" t="s">
        <v>315</v>
      </c>
      <c r="E10" s="35">
        <v>1750</v>
      </c>
      <c r="F10" s="36">
        <v>64.536500000000004</v>
      </c>
      <c r="G10" s="37">
        <v>2.1214759999999999E-2</v>
      </c>
      <c r="H10" s="36" t="s">
        <v>12</v>
      </c>
    </row>
    <row r="11" spans="1:10" x14ac:dyDescent="0.2">
      <c r="A11" s="33">
        <v>5</v>
      </c>
      <c r="B11" s="34" t="s">
        <v>316</v>
      </c>
      <c r="C11" s="34" t="s">
        <v>317</v>
      </c>
      <c r="D11" s="34" t="s">
        <v>307</v>
      </c>
      <c r="E11" s="35">
        <v>4750</v>
      </c>
      <c r="F11" s="36">
        <v>56.099874999999997</v>
      </c>
      <c r="G11" s="37">
        <v>1.8441430000000002E-2</v>
      </c>
      <c r="H11" s="36" t="s">
        <v>12</v>
      </c>
    </row>
    <row r="12" spans="1:10" ht="15" x14ac:dyDescent="0.2">
      <c r="A12" s="33">
        <v>6</v>
      </c>
      <c r="B12" s="34" t="s">
        <v>318</v>
      </c>
      <c r="C12" s="34" t="s">
        <v>319</v>
      </c>
      <c r="D12" s="34" t="s">
        <v>320</v>
      </c>
      <c r="E12" s="35">
        <v>3000</v>
      </c>
      <c r="F12" s="36">
        <v>49.177500000000002</v>
      </c>
      <c r="G12" s="37">
        <v>1.6165869999999999E-2</v>
      </c>
      <c r="H12" s="36" t="s">
        <v>12</v>
      </c>
      <c r="J12" s="65"/>
    </row>
    <row r="13" spans="1:10" ht="25.5" x14ac:dyDescent="0.2">
      <c r="A13" s="33">
        <v>7</v>
      </c>
      <c r="B13" s="34" t="s">
        <v>321</v>
      </c>
      <c r="C13" s="34" t="s">
        <v>322</v>
      </c>
      <c r="D13" s="34" t="s">
        <v>323</v>
      </c>
      <c r="E13" s="35">
        <v>3116</v>
      </c>
      <c r="F13" s="36">
        <v>47.23856</v>
      </c>
      <c r="G13" s="37">
        <v>1.5528490000000001E-2</v>
      </c>
      <c r="H13" s="36" t="s">
        <v>12</v>
      </c>
    </row>
    <row r="14" spans="1:10" x14ac:dyDescent="0.2">
      <c r="A14" s="33">
        <v>8</v>
      </c>
      <c r="B14" s="34" t="s">
        <v>324</v>
      </c>
      <c r="C14" s="34" t="s">
        <v>325</v>
      </c>
      <c r="D14" s="34" t="s">
        <v>326</v>
      </c>
      <c r="E14" s="35">
        <v>3000</v>
      </c>
      <c r="F14" s="36">
        <v>42.822000000000003</v>
      </c>
      <c r="G14" s="37">
        <v>1.407666E-2</v>
      </c>
      <c r="H14" s="36" t="s">
        <v>12</v>
      </c>
    </row>
    <row r="15" spans="1:10" ht="25.5" x14ac:dyDescent="0.2">
      <c r="A15" s="105">
        <v>9</v>
      </c>
      <c r="B15" s="106" t="s">
        <v>578</v>
      </c>
      <c r="C15" s="106" t="s">
        <v>579</v>
      </c>
      <c r="D15" s="106" t="s">
        <v>580</v>
      </c>
      <c r="E15" s="111">
        <v>30000</v>
      </c>
      <c r="F15" s="51">
        <v>28.815000000000001</v>
      </c>
      <c r="G15" s="108">
        <v>9.4999999999999998E-3</v>
      </c>
      <c r="H15" s="36"/>
      <c r="J15" s="66" t="s">
        <v>427</v>
      </c>
    </row>
    <row r="16" spans="1:10" x14ac:dyDescent="0.2">
      <c r="A16" s="33">
        <v>10</v>
      </c>
      <c r="B16" s="34" t="s">
        <v>327</v>
      </c>
      <c r="C16" s="34" t="s">
        <v>328</v>
      </c>
      <c r="D16" s="34" t="s">
        <v>329</v>
      </c>
      <c r="E16" s="35">
        <v>1848</v>
      </c>
      <c r="F16" s="36">
        <v>26.445803999999999</v>
      </c>
      <c r="G16" s="37">
        <v>8.6934000000000004E-3</v>
      </c>
      <c r="H16" s="36" t="s">
        <v>12</v>
      </c>
      <c r="J16" s="66"/>
    </row>
    <row r="17" spans="1:10" x14ac:dyDescent="0.2">
      <c r="A17" s="33">
        <v>11</v>
      </c>
      <c r="B17" s="34" t="s">
        <v>330</v>
      </c>
      <c r="C17" s="34" t="s">
        <v>331</v>
      </c>
      <c r="D17" s="34" t="s">
        <v>329</v>
      </c>
      <c r="E17" s="35">
        <v>1750</v>
      </c>
      <c r="F17" s="36">
        <v>26.05575</v>
      </c>
      <c r="G17" s="37">
        <v>8.5651800000000004E-3</v>
      </c>
      <c r="H17" s="36" t="s">
        <v>12</v>
      </c>
    </row>
    <row r="18" spans="1:10" x14ac:dyDescent="0.2">
      <c r="A18" s="33">
        <v>12</v>
      </c>
      <c r="B18" s="34" t="s">
        <v>332</v>
      </c>
      <c r="C18" s="34" t="s">
        <v>333</v>
      </c>
      <c r="D18" s="34" t="s">
        <v>307</v>
      </c>
      <c r="E18" s="35">
        <v>3000</v>
      </c>
      <c r="F18" s="36">
        <v>25.175999999999998</v>
      </c>
      <c r="G18" s="37">
        <v>8.2759800000000005E-3</v>
      </c>
      <c r="H18" s="36" t="s">
        <v>12</v>
      </c>
    </row>
    <row r="19" spans="1:10" ht="25.5" x14ac:dyDescent="0.2">
      <c r="A19" s="33">
        <v>13</v>
      </c>
      <c r="B19" s="34" t="s">
        <v>334</v>
      </c>
      <c r="C19" s="34" t="s">
        <v>335</v>
      </c>
      <c r="D19" s="34" t="s">
        <v>323</v>
      </c>
      <c r="E19" s="35">
        <v>1000</v>
      </c>
      <c r="F19" s="36">
        <v>15.647500000000001</v>
      </c>
      <c r="G19" s="37">
        <v>5.1437200000000001E-3</v>
      </c>
      <c r="H19" s="36" t="s">
        <v>12</v>
      </c>
    </row>
    <row r="20" spans="1:10" ht="25.5" x14ac:dyDescent="0.2">
      <c r="A20" s="33">
        <v>14</v>
      </c>
      <c r="B20" s="34" t="s">
        <v>336</v>
      </c>
      <c r="C20" s="34" t="s">
        <v>337</v>
      </c>
      <c r="D20" s="34" t="s">
        <v>338</v>
      </c>
      <c r="E20" s="35">
        <v>125</v>
      </c>
      <c r="F20" s="36">
        <v>14.0535</v>
      </c>
      <c r="G20" s="37">
        <v>4.6197399999999998E-3</v>
      </c>
      <c r="H20" s="36" t="s">
        <v>12</v>
      </c>
    </row>
    <row r="21" spans="1:10" x14ac:dyDescent="0.2">
      <c r="A21" s="33">
        <v>15</v>
      </c>
      <c r="B21" s="34" t="s">
        <v>339</v>
      </c>
      <c r="C21" s="34" t="s">
        <v>340</v>
      </c>
      <c r="D21" s="34" t="s">
        <v>320</v>
      </c>
      <c r="E21" s="35">
        <v>900</v>
      </c>
      <c r="F21" s="36">
        <v>11.420999999999999</v>
      </c>
      <c r="G21" s="37">
        <v>3.7543699999999999E-3</v>
      </c>
      <c r="H21" s="36" t="s">
        <v>12</v>
      </c>
    </row>
    <row r="22" spans="1:10" ht="25.5" x14ac:dyDescent="0.2">
      <c r="A22" s="33">
        <v>16</v>
      </c>
      <c r="B22" s="34" t="s">
        <v>341</v>
      </c>
      <c r="C22" s="34" t="s">
        <v>342</v>
      </c>
      <c r="D22" s="34" t="s">
        <v>338</v>
      </c>
      <c r="E22" s="35">
        <v>450</v>
      </c>
      <c r="F22" s="36">
        <v>11.1204</v>
      </c>
      <c r="G22" s="37">
        <v>3.65555E-3</v>
      </c>
      <c r="H22" s="36" t="s">
        <v>12</v>
      </c>
    </row>
    <row r="23" spans="1:10" x14ac:dyDescent="0.2">
      <c r="A23" s="33">
        <v>17</v>
      </c>
      <c r="B23" s="34" t="s">
        <v>343</v>
      </c>
      <c r="C23" s="106" t="s">
        <v>577</v>
      </c>
      <c r="D23" s="34" t="s">
        <v>326</v>
      </c>
      <c r="E23" s="35">
        <v>218</v>
      </c>
      <c r="F23" s="36">
        <v>2.2861660000000001</v>
      </c>
      <c r="G23" s="37">
        <v>7.5151999999999999E-4</v>
      </c>
      <c r="H23" s="36" t="s">
        <v>12</v>
      </c>
    </row>
    <row r="24" spans="1:10" ht="15" x14ac:dyDescent="0.2">
      <c r="A24" s="26"/>
      <c r="B24" s="26"/>
      <c r="C24" s="27" t="s">
        <v>11</v>
      </c>
      <c r="D24" s="26"/>
      <c r="E24" s="26" t="s">
        <v>12</v>
      </c>
      <c r="F24" s="32">
        <f>SUM(F7:F23)</f>
        <v>672.64655500000003</v>
      </c>
      <c r="G24" s="29">
        <f>SUM(G7:G23)</f>
        <v>0.22114350000000002</v>
      </c>
      <c r="H24" s="36" t="s">
        <v>12</v>
      </c>
      <c r="J24" s="65"/>
    </row>
    <row r="25" spans="1:10" x14ac:dyDescent="0.2">
      <c r="A25" s="26"/>
      <c r="B25" s="26"/>
      <c r="C25" s="30"/>
      <c r="D25" s="26"/>
      <c r="E25" s="26"/>
      <c r="F25" s="31"/>
      <c r="G25" s="31"/>
      <c r="H25" s="36" t="s">
        <v>12</v>
      </c>
      <c r="J25" s="66"/>
    </row>
    <row r="26" spans="1:10" x14ac:dyDescent="0.2">
      <c r="A26" s="26"/>
      <c r="B26" s="26"/>
      <c r="C26" s="27" t="s">
        <v>14</v>
      </c>
      <c r="D26" s="26"/>
      <c r="E26" s="26"/>
      <c r="F26" s="26"/>
      <c r="G26" s="26"/>
      <c r="H26" s="36" t="s">
        <v>12</v>
      </c>
    </row>
    <row r="27" spans="1:10" x14ac:dyDescent="0.2">
      <c r="A27" s="26"/>
      <c r="B27" s="26"/>
      <c r="C27" s="27" t="s">
        <v>11</v>
      </c>
      <c r="D27" s="26"/>
      <c r="E27" s="26" t="s">
        <v>12</v>
      </c>
      <c r="F27" s="28" t="s">
        <v>13</v>
      </c>
      <c r="G27" s="29">
        <v>0</v>
      </c>
      <c r="H27" s="36" t="s">
        <v>12</v>
      </c>
    </row>
    <row r="28" spans="1:10" x14ac:dyDescent="0.2">
      <c r="A28" s="26"/>
      <c r="B28" s="26"/>
      <c r="C28" s="30"/>
      <c r="D28" s="26"/>
      <c r="E28" s="26"/>
      <c r="F28" s="31"/>
      <c r="G28" s="31"/>
      <c r="H28" s="36" t="s">
        <v>12</v>
      </c>
    </row>
    <row r="29" spans="1:10" x14ac:dyDescent="0.2">
      <c r="A29" s="26"/>
      <c r="B29" s="26"/>
      <c r="C29" s="27" t="s">
        <v>15</v>
      </c>
      <c r="D29" s="26"/>
      <c r="E29" s="26"/>
      <c r="F29" s="26"/>
      <c r="G29" s="26"/>
      <c r="H29" s="36" t="s">
        <v>12</v>
      </c>
      <c r="J29" s="66"/>
    </row>
    <row r="30" spans="1:10" x14ac:dyDescent="0.2">
      <c r="A30" s="26"/>
      <c r="B30" s="26"/>
      <c r="C30" s="27" t="s">
        <v>11</v>
      </c>
      <c r="D30" s="26"/>
      <c r="E30" s="26" t="s">
        <v>12</v>
      </c>
      <c r="F30" s="28" t="s">
        <v>13</v>
      </c>
      <c r="G30" s="29">
        <v>0</v>
      </c>
      <c r="H30" s="36" t="s">
        <v>12</v>
      </c>
    </row>
    <row r="31" spans="1:10" x14ac:dyDescent="0.2">
      <c r="A31" s="26"/>
      <c r="B31" s="26"/>
      <c r="C31" s="30"/>
      <c r="D31" s="26"/>
      <c r="E31" s="26"/>
      <c r="F31" s="31"/>
      <c r="G31" s="31"/>
      <c r="H31" s="36" t="s">
        <v>12</v>
      </c>
    </row>
    <row r="32" spans="1:10" x14ac:dyDescent="0.2">
      <c r="A32" s="26"/>
      <c r="B32" s="26"/>
      <c r="C32" s="27" t="s">
        <v>16</v>
      </c>
      <c r="D32" s="26"/>
      <c r="E32" s="26"/>
      <c r="F32" s="26"/>
      <c r="G32" s="26"/>
      <c r="H32" s="36" t="s">
        <v>12</v>
      </c>
    </row>
    <row r="33" spans="1:8" x14ac:dyDescent="0.2">
      <c r="A33" s="26"/>
      <c r="B33" s="26"/>
      <c r="C33" s="27" t="s">
        <v>11</v>
      </c>
      <c r="D33" s="26"/>
      <c r="E33" s="26" t="s">
        <v>12</v>
      </c>
      <c r="F33" s="28" t="s">
        <v>13</v>
      </c>
      <c r="G33" s="29">
        <v>0</v>
      </c>
      <c r="H33" s="36" t="s">
        <v>12</v>
      </c>
    </row>
    <row r="34" spans="1:8" x14ac:dyDescent="0.2">
      <c r="A34" s="26"/>
      <c r="B34" s="26"/>
      <c r="C34" s="30"/>
      <c r="D34" s="26"/>
      <c r="E34" s="26"/>
      <c r="F34" s="31"/>
      <c r="G34" s="31"/>
      <c r="H34" s="36" t="s">
        <v>12</v>
      </c>
    </row>
    <row r="35" spans="1:8" x14ac:dyDescent="0.2">
      <c r="A35" s="26"/>
      <c r="B35" s="26"/>
      <c r="C35" s="27" t="s">
        <v>17</v>
      </c>
      <c r="D35" s="26"/>
      <c r="E35" s="26"/>
      <c r="F35" s="31"/>
      <c r="G35" s="31"/>
      <c r="H35" s="36" t="s">
        <v>12</v>
      </c>
    </row>
    <row r="36" spans="1:8" x14ac:dyDescent="0.2">
      <c r="A36" s="26"/>
      <c r="B36" s="26"/>
      <c r="C36" s="27" t="s">
        <v>11</v>
      </c>
      <c r="D36" s="26"/>
      <c r="E36" s="26" t="s">
        <v>12</v>
      </c>
      <c r="F36" s="28" t="s">
        <v>13</v>
      </c>
      <c r="G36" s="29">
        <v>0</v>
      </c>
      <c r="H36" s="36" t="s">
        <v>12</v>
      </c>
    </row>
    <row r="37" spans="1:8" x14ac:dyDescent="0.2">
      <c r="A37" s="26"/>
      <c r="B37" s="26"/>
      <c r="C37" s="30"/>
      <c r="D37" s="26"/>
      <c r="E37" s="26"/>
      <c r="F37" s="31"/>
      <c r="G37" s="31"/>
      <c r="H37" s="36" t="s">
        <v>12</v>
      </c>
    </row>
    <row r="38" spans="1:8" x14ac:dyDescent="0.2">
      <c r="A38" s="26"/>
      <c r="B38" s="26"/>
      <c r="C38" s="27" t="s">
        <v>18</v>
      </c>
      <c r="D38" s="26"/>
      <c r="E38" s="26"/>
      <c r="F38" s="31"/>
      <c r="G38" s="31"/>
      <c r="H38" s="36" t="s">
        <v>12</v>
      </c>
    </row>
    <row r="39" spans="1:8" x14ac:dyDescent="0.2">
      <c r="A39" s="26"/>
      <c r="B39" s="26"/>
      <c r="C39" s="27" t="s">
        <v>11</v>
      </c>
      <c r="D39" s="26"/>
      <c r="E39" s="26" t="s">
        <v>12</v>
      </c>
      <c r="F39" s="28" t="s">
        <v>13</v>
      </c>
      <c r="G39" s="29">
        <v>0</v>
      </c>
      <c r="H39" s="36" t="s">
        <v>12</v>
      </c>
    </row>
    <row r="40" spans="1:8" x14ac:dyDescent="0.2">
      <c r="A40" s="26"/>
      <c r="B40" s="26"/>
      <c r="C40" s="30"/>
      <c r="D40" s="26"/>
      <c r="E40" s="26"/>
      <c r="F40" s="31"/>
      <c r="G40" s="31"/>
      <c r="H40" s="36" t="s">
        <v>12</v>
      </c>
    </row>
    <row r="41" spans="1:8" x14ac:dyDescent="0.2">
      <c r="A41" s="26"/>
      <c r="B41" s="26"/>
      <c r="C41" s="27" t="s">
        <v>19</v>
      </c>
      <c r="D41" s="26"/>
      <c r="E41" s="26"/>
      <c r="F41" s="32">
        <f>F24</f>
        <v>672.64655500000003</v>
      </c>
      <c r="G41" s="29">
        <f>G24</f>
        <v>0.22114350000000002</v>
      </c>
      <c r="H41" s="36"/>
    </row>
    <row r="42" spans="1:8" x14ac:dyDescent="0.2">
      <c r="A42" s="26"/>
      <c r="B42" s="26"/>
      <c r="C42" s="30"/>
      <c r="D42" s="26"/>
      <c r="E42" s="26"/>
      <c r="F42" s="31"/>
      <c r="G42" s="31"/>
      <c r="H42" s="36" t="s">
        <v>12</v>
      </c>
    </row>
    <row r="43" spans="1:8" x14ac:dyDescent="0.2">
      <c r="A43" s="26"/>
      <c r="B43" s="26"/>
      <c r="C43" s="27" t="s">
        <v>20</v>
      </c>
      <c r="D43" s="26"/>
      <c r="E43" s="26"/>
      <c r="F43" s="31"/>
      <c r="G43" s="31"/>
      <c r="H43" s="36" t="s">
        <v>12</v>
      </c>
    </row>
    <row r="44" spans="1:8" x14ac:dyDescent="0.2">
      <c r="A44" s="26"/>
      <c r="B44" s="26"/>
      <c r="C44" s="27" t="s">
        <v>10</v>
      </c>
      <c r="D44" s="26"/>
      <c r="E44" s="26"/>
      <c r="F44" s="31"/>
      <c r="G44" s="31"/>
      <c r="H44" s="36" t="s">
        <v>12</v>
      </c>
    </row>
    <row r="45" spans="1:8" x14ac:dyDescent="0.2">
      <c r="A45" s="26"/>
      <c r="B45" s="26"/>
      <c r="C45" s="27" t="s">
        <v>11</v>
      </c>
      <c r="D45" s="26"/>
      <c r="E45" s="26" t="s">
        <v>12</v>
      </c>
      <c r="F45" s="28" t="s">
        <v>13</v>
      </c>
      <c r="G45" s="29">
        <v>0</v>
      </c>
      <c r="H45" s="36" t="s">
        <v>12</v>
      </c>
    </row>
    <row r="46" spans="1:8" x14ac:dyDescent="0.2">
      <c r="A46" s="26"/>
      <c r="B46" s="26"/>
      <c r="C46" s="30"/>
      <c r="D46" s="26"/>
      <c r="E46" s="26"/>
      <c r="F46" s="31"/>
      <c r="G46" s="31"/>
      <c r="H46" s="36" t="s">
        <v>12</v>
      </c>
    </row>
    <row r="47" spans="1:8" x14ac:dyDescent="0.2">
      <c r="A47" s="26"/>
      <c r="B47" s="26"/>
      <c r="C47" s="27" t="s">
        <v>50</v>
      </c>
      <c r="D47" s="26"/>
      <c r="E47" s="26"/>
      <c r="F47" s="26"/>
      <c r="G47" s="26"/>
      <c r="H47" s="36" t="s">
        <v>12</v>
      </c>
    </row>
    <row r="48" spans="1:8" x14ac:dyDescent="0.2">
      <c r="A48" s="26"/>
      <c r="B48" s="26"/>
      <c r="C48" s="27" t="s">
        <v>11</v>
      </c>
      <c r="D48" s="26"/>
      <c r="E48" s="26" t="s">
        <v>12</v>
      </c>
      <c r="F48" s="28" t="s">
        <v>13</v>
      </c>
      <c r="G48" s="29">
        <v>0</v>
      </c>
      <c r="H48" s="36" t="s">
        <v>12</v>
      </c>
    </row>
    <row r="49" spans="1:8" x14ac:dyDescent="0.2">
      <c r="A49" s="26"/>
      <c r="B49" s="26"/>
      <c r="C49" s="30"/>
      <c r="D49" s="26"/>
      <c r="E49" s="26"/>
      <c r="F49" s="31"/>
      <c r="G49" s="31"/>
      <c r="H49" s="36" t="s">
        <v>12</v>
      </c>
    </row>
    <row r="50" spans="1:8" x14ac:dyDescent="0.2">
      <c r="A50" s="26"/>
      <c r="B50" s="26"/>
      <c r="C50" s="27" t="s">
        <v>51</v>
      </c>
      <c r="D50" s="26"/>
      <c r="E50" s="26"/>
      <c r="F50" s="26"/>
      <c r="G50" s="26"/>
      <c r="H50" s="36" t="s">
        <v>12</v>
      </c>
    </row>
    <row r="51" spans="1:8" x14ac:dyDescent="0.2">
      <c r="A51" s="33">
        <v>1</v>
      </c>
      <c r="B51" s="34" t="s">
        <v>52</v>
      </c>
      <c r="C51" s="34" t="s">
        <v>53</v>
      </c>
      <c r="D51" s="34" t="s">
        <v>54</v>
      </c>
      <c r="E51" s="35">
        <v>1100000</v>
      </c>
      <c r="F51" s="36">
        <v>1110.098</v>
      </c>
      <c r="G51" s="37">
        <v>0.36491690999999998</v>
      </c>
      <c r="H51" s="36">
        <v>7.1642000000000001</v>
      </c>
    </row>
    <row r="52" spans="1:8" x14ac:dyDescent="0.2">
      <c r="A52" s="33">
        <v>2</v>
      </c>
      <c r="B52" s="34" t="s">
        <v>344</v>
      </c>
      <c r="C52" s="34" t="s">
        <v>345</v>
      </c>
      <c r="D52" s="34" t="s">
        <v>54</v>
      </c>
      <c r="E52" s="35">
        <v>500000</v>
      </c>
      <c r="F52" s="36">
        <v>512.94799999999998</v>
      </c>
      <c r="G52" s="37">
        <v>0.16861881000000001</v>
      </c>
      <c r="H52" s="36">
        <v>7.2138999999999998</v>
      </c>
    </row>
    <row r="53" spans="1:8" x14ac:dyDescent="0.2">
      <c r="A53" s="26"/>
      <c r="B53" s="26"/>
      <c r="C53" s="27" t="s">
        <v>11</v>
      </c>
      <c r="D53" s="26"/>
      <c r="E53" s="26" t="s">
        <v>12</v>
      </c>
      <c r="F53" s="32">
        <v>1623.046</v>
      </c>
      <c r="G53" s="29">
        <v>0.53353572000000005</v>
      </c>
      <c r="H53" s="36" t="s">
        <v>12</v>
      </c>
    </row>
    <row r="54" spans="1:8" x14ac:dyDescent="0.2">
      <c r="A54" s="26"/>
      <c r="B54" s="26"/>
      <c r="C54" s="30"/>
      <c r="D54" s="26"/>
      <c r="E54" s="26"/>
      <c r="F54" s="31"/>
      <c r="G54" s="31"/>
      <c r="H54" s="36" t="s">
        <v>12</v>
      </c>
    </row>
    <row r="55" spans="1:8" x14ac:dyDescent="0.2">
      <c r="A55" s="26"/>
      <c r="B55" s="26"/>
      <c r="C55" s="27" t="s">
        <v>59</v>
      </c>
      <c r="D55" s="26"/>
      <c r="E55" s="26"/>
      <c r="F55" s="31"/>
      <c r="G55" s="31"/>
      <c r="H55" s="36" t="s">
        <v>12</v>
      </c>
    </row>
    <row r="56" spans="1:8" x14ac:dyDescent="0.2">
      <c r="A56" s="26"/>
      <c r="B56" s="26"/>
      <c r="C56" s="27" t="s">
        <v>11</v>
      </c>
      <c r="D56" s="26"/>
      <c r="E56" s="26" t="s">
        <v>12</v>
      </c>
      <c r="F56" s="28" t="s">
        <v>13</v>
      </c>
      <c r="G56" s="29">
        <v>0</v>
      </c>
      <c r="H56" s="36" t="s">
        <v>12</v>
      </c>
    </row>
    <row r="57" spans="1:8" x14ac:dyDescent="0.2">
      <c r="A57" s="26"/>
      <c r="B57" s="26"/>
      <c r="C57" s="30"/>
      <c r="D57" s="26"/>
      <c r="E57" s="26"/>
      <c r="F57" s="31"/>
      <c r="G57" s="31"/>
      <c r="H57" s="36" t="s">
        <v>12</v>
      </c>
    </row>
    <row r="58" spans="1:8" x14ac:dyDescent="0.2">
      <c r="A58" s="26"/>
      <c r="B58" s="26"/>
      <c r="C58" s="27" t="s">
        <v>60</v>
      </c>
      <c r="D58" s="26"/>
      <c r="E58" s="26"/>
      <c r="F58" s="32">
        <v>1623.046</v>
      </c>
      <c r="G58" s="29">
        <v>0.53353572000000005</v>
      </c>
      <c r="H58" s="36"/>
    </row>
    <row r="59" spans="1:8" x14ac:dyDescent="0.2">
      <c r="A59" s="26"/>
      <c r="B59" s="26"/>
      <c r="C59" s="30"/>
      <c r="D59" s="26"/>
      <c r="E59" s="26"/>
      <c r="F59" s="31"/>
      <c r="G59" s="31"/>
      <c r="H59" s="36" t="s">
        <v>12</v>
      </c>
    </row>
    <row r="60" spans="1:8" x14ac:dyDescent="0.2">
      <c r="A60" s="26"/>
      <c r="B60" s="26"/>
      <c r="C60" s="27" t="s">
        <v>61</v>
      </c>
      <c r="D60" s="26"/>
      <c r="E60" s="26"/>
      <c r="F60" s="31"/>
      <c r="G60" s="31"/>
      <c r="H60" s="36" t="s">
        <v>12</v>
      </c>
    </row>
    <row r="61" spans="1:8" x14ac:dyDescent="0.2">
      <c r="A61" s="26"/>
      <c r="B61" s="26"/>
      <c r="C61" s="27" t="s">
        <v>62</v>
      </c>
      <c r="D61" s="26"/>
      <c r="E61" s="26"/>
      <c r="F61" s="31"/>
      <c r="G61" s="31"/>
      <c r="H61" s="36" t="s">
        <v>12</v>
      </c>
    </row>
    <row r="62" spans="1:8" x14ac:dyDescent="0.2">
      <c r="A62" s="26"/>
      <c r="B62" s="26"/>
      <c r="C62" s="27" t="s">
        <v>11</v>
      </c>
      <c r="D62" s="26"/>
      <c r="E62" s="26" t="s">
        <v>12</v>
      </c>
      <c r="F62" s="28" t="s">
        <v>13</v>
      </c>
      <c r="G62" s="29">
        <v>0</v>
      </c>
      <c r="H62" s="36" t="s">
        <v>12</v>
      </c>
    </row>
    <row r="63" spans="1:8" x14ac:dyDescent="0.2">
      <c r="A63" s="26"/>
      <c r="B63" s="26"/>
      <c r="C63" s="30"/>
      <c r="D63" s="26"/>
      <c r="E63" s="26"/>
      <c r="F63" s="31"/>
      <c r="G63" s="31"/>
      <c r="H63" s="36" t="s">
        <v>12</v>
      </c>
    </row>
    <row r="64" spans="1:8" x14ac:dyDescent="0.2">
      <c r="A64" s="26"/>
      <c r="B64" s="26"/>
      <c r="C64" s="27" t="s">
        <v>63</v>
      </c>
      <c r="D64" s="26"/>
      <c r="E64" s="26"/>
      <c r="F64" s="31"/>
      <c r="G64" s="31"/>
      <c r="H64" s="36" t="s">
        <v>12</v>
      </c>
    </row>
    <row r="65" spans="1:8" x14ac:dyDescent="0.2">
      <c r="A65" s="26"/>
      <c r="B65" s="26"/>
      <c r="C65" s="27" t="s">
        <v>11</v>
      </c>
      <c r="D65" s="26"/>
      <c r="E65" s="26" t="s">
        <v>12</v>
      </c>
      <c r="F65" s="28" t="s">
        <v>13</v>
      </c>
      <c r="G65" s="29">
        <v>0</v>
      </c>
      <c r="H65" s="36" t="s">
        <v>12</v>
      </c>
    </row>
    <row r="66" spans="1:8" x14ac:dyDescent="0.2">
      <c r="A66" s="26"/>
      <c r="B66" s="26"/>
      <c r="C66" s="30"/>
      <c r="D66" s="26"/>
      <c r="E66" s="26"/>
      <c r="F66" s="31"/>
      <c r="G66" s="31"/>
      <c r="H66" s="36" t="s">
        <v>12</v>
      </c>
    </row>
    <row r="67" spans="1:8" x14ac:dyDescent="0.2">
      <c r="A67" s="26"/>
      <c r="B67" s="26"/>
      <c r="C67" s="27" t="s">
        <v>64</v>
      </c>
      <c r="D67" s="26"/>
      <c r="E67" s="26"/>
      <c r="F67" s="31"/>
      <c r="G67" s="31"/>
      <c r="H67" s="36" t="s">
        <v>12</v>
      </c>
    </row>
    <row r="68" spans="1:8" x14ac:dyDescent="0.2">
      <c r="A68" s="26"/>
      <c r="B68" s="26"/>
      <c r="C68" s="27" t="s">
        <v>11</v>
      </c>
      <c r="D68" s="26"/>
      <c r="E68" s="26" t="s">
        <v>12</v>
      </c>
      <c r="F68" s="28" t="s">
        <v>13</v>
      </c>
      <c r="G68" s="29">
        <v>0</v>
      </c>
      <c r="H68" s="36" t="s">
        <v>12</v>
      </c>
    </row>
    <row r="69" spans="1:8" x14ac:dyDescent="0.2">
      <c r="A69" s="26"/>
      <c r="B69" s="26"/>
      <c r="C69" s="30"/>
      <c r="D69" s="26"/>
      <c r="E69" s="26"/>
      <c r="F69" s="31"/>
      <c r="G69" s="31"/>
      <c r="H69" s="36" t="s">
        <v>12</v>
      </c>
    </row>
    <row r="70" spans="1:8" x14ac:dyDescent="0.2">
      <c r="A70" s="26"/>
      <c r="B70" s="26"/>
      <c r="C70" s="27" t="s">
        <v>65</v>
      </c>
      <c r="D70" s="26"/>
      <c r="E70" s="26"/>
      <c r="F70" s="31"/>
      <c r="G70" s="31"/>
      <c r="H70" s="36" t="s">
        <v>12</v>
      </c>
    </row>
    <row r="71" spans="1:8" x14ac:dyDescent="0.2">
      <c r="A71" s="33">
        <v>1</v>
      </c>
      <c r="B71" s="34" t="s">
        <v>66</v>
      </c>
      <c r="C71" s="34" t="s">
        <v>66</v>
      </c>
      <c r="D71" s="34"/>
      <c r="E71" s="38"/>
      <c r="F71" s="36">
        <v>675.11360339999999</v>
      </c>
      <c r="G71" s="37">
        <v>0.22192669000000001</v>
      </c>
      <c r="H71" s="36">
        <v>6.6841381571857204</v>
      </c>
    </row>
    <row r="72" spans="1:8" x14ac:dyDescent="0.2">
      <c r="A72" s="26"/>
      <c r="B72" s="26"/>
      <c r="C72" s="27" t="s">
        <v>11</v>
      </c>
      <c r="D72" s="26"/>
      <c r="E72" s="26" t="s">
        <v>12</v>
      </c>
      <c r="F72" s="32">
        <v>675.11360339999999</v>
      </c>
      <c r="G72" s="29">
        <v>0.22192669000000001</v>
      </c>
      <c r="H72" s="36" t="s">
        <v>12</v>
      </c>
    </row>
    <row r="73" spans="1:8" x14ac:dyDescent="0.2">
      <c r="A73" s="26"/>
      <c r="B73" s="26"/>
      <c r="C73" s="30"/>
      <c r="D73" s="26"/>
      <c r="E73" s="26"/>
      <c r="F73" s="31"/>
      <c r="G73" s="31"/>
      <c r="H73" s="36" t="s">
        <v>12</v>
      </c>
    </row>
    <row r="74" spans="1:8" x14ac:dyDescent="0.2">
      <c r="A74" s="26"/>
      <c r="B74" s="26"/>
      <c r="C74" s="27" t="s">
        <v>67</v>
      </c>
      <c r="D74" s="26"/>
      <c r="E74" s="26"/>
      <c r="F74" s="32">
        <v>675.11360339999999</v>
      </c>
      <c r="G74" s="29">
        <v>0.22192669000000001</v>
      </c>
      <c r="H74" s="36"/>
    </row>
    <row r="75" spans="1:8" x14ac:dyDescent="0.2">
      <c r="A75" s="26"/>
      <c r="B75" s="26"/>
      <c r="C75" s="31"/>
      <c r="D75" s="26"/>
      <c r="E75" s="26"/>
      <c r="F75" s="26"/>
      <c r="G75" s="26"/>
      <c r="H75" s="36" t="s">
        <v>12</v>
      </c>
    </row>
    <row r="76" spans="1:8" x14ac:dyDescent="0.2">
      <c r="A76" s="26"/>
      <c r="B76" s="26"/>
      <c r="C76" s="27" t="s">
        <v>68</v>
      </c>
      <c r="D76" s="26"/>
      <c r="E76" s="26"/>
      <c r="F76" s="26"/>
      <c r="G76" s="26"/>
      <c r="H76" s="36" t="s">
        <v>12</v>
      </c>
    </row>
    <row r="77" spans="1:8" x14ac:dyDescent="0.2">
      <c r="A77" s="26"/>
      <c r="B77" s="26"/>
      <c r="C77" s="27" t="s">
        <v>69</v>
      </c>
      <c r="D77" s="26"/>
      <c r="E77" s="26"/>
      <c r="F77" s="26"/>
      <c r="G77" s="26"/>
      <c r="H77" s="36" t="s">
        <v>12</v>
      </c>
    </row>
    <row r="78" spans="1:8" x14ac:dyDescent="0.2">
      <c r="A78" s="26"/>
      <c r="B78" s="26"/>
      <c r="C78" s="27" t="s">
        <v>11</v>
      </c>
      <c r="D78" s="26"/>
      <c r="E78" s="26" t="s">
        <v>12</v>
      </c>
      <c r="F78" s="28" t="s">
        <v>13</v>
      </c>
      <c r="G78" s="29">
        <v>0</v>
      </c>
      <c r="H78" s="36" t="s">
        <v>12</v>
      </c>
    </row>
    <row r="79" spans="1:8" x14ac:dyDescent="0.2">
      <c r="A79" s="26"/>
      <c r="B79" s="26"/>
      <c r="C79" s="30"/>
      <c r="D79" s="26"/>
      <c r="E79" s="26"/>
      <c r="F79" s="31"/>
      <c r="G79" s="31"/>
      <c r="H79" s="36" t="s">
        <v>12</v>
      </c>
    </row>
    <row r="80" spans="1:8" x14ac:dyDescent="0.2">
      <c r="A80" s="26"/>
      <c r="B80" s="26"/>
      <c r="C80" s="27" t="s">
        <v>72</v>
      </c>
      <c r="D80" s="26"/>
      <c r="E80" s="26"/>
      <c r="F80" s="26"/>
      <c r="G80" s="26"/>
      <c r="H80" s="36" t="s">
        <v>12</v>
      </c>
    </row>
    <row r="81" spans="1:18" x14ac:dyDescent="0.2">
      <c r="A81" s="26"/>
      <c r="B81" s="26"/>
      <c r="C81" s="27" t="s">
        <v>73</v>
      </c>
      <c r="D81" s="26"/>
      <c r="E81" s="26"/>
      <c r="F81" s="26"/>
      <c r="G81" s="26"/>
      <c r="H81" s="36" t="s">
        <v>12</v>
      </c>
    </row>
    <row r="82" spans="1:18" x14ac:dyDescent="0.2">
      <c r="A82" s="26"/>
      <c r="B82" s="26"/>
      <c r="C82" s="27" t="s">
        <v>11</v>
      </c>
      <c r="D82" s="26"/>
      <c r="E82" s="26" t="s">
        <v>12</v>
      </c>
      <c r="F82" s="28" t="s">
        <v>13</v>
      </c>
      <c r="G82" s="29">
        <v>0</v>
      </c>
      <c r="H82" s="36" t="s">
        <v>12</v>
      </c>
    </row>
    <row r="83" spans="1:18" x14ac:dyDescent="0.2">
      <c r="A83" s="26"/>
      <c r="B83" s="26"/>
      <c r="C83" s="30"/>
      <c r="D83" s="26"/>
      <c r="E83" s="26"/>
      <c r="F83" s="31"/>
      <c r="G83" s="31"/>
      <c r="H83" s="36" t="s">
        <v>12</v>
      </c>
    </row>
    <row r="84" spans="1:18" x14ac:dyDescent="0.2">
      <c r="A84" s="26"/>
      <c r="B84" s="26"/>
      <c r="C84" s="27" t="s">
        <v>74</v>
      </c>
      <c r="D84" s="26"/>
      <c r="E84" s="26"/>
      <c r="F84" s="31"/>
      <c r="G84" s="31"/>
      <c r="H84" s="36" t="s">
        <v>12</v>
      </c>
    </row>
    <row r="85" spans="1:18" x14ac:dyDescent="0.2">
      <c r="A85" s="26"/>
      <c r="B85" s="26"/>
      <c r="C85" s="27" t="s">
        <v>11</v>
      </c>
      <c r="D85" s="26"/>
      <c r="E85" s="26" t="s">
        <v>12</v>
      </c>
      <c r="F85" s="28" t="s">
        <v>13</v>
      </c>
      <c r="G85" s="29">
        <v>0</v>
      </c>
      <c r="H85" s="36" t="s">
        <v>12</v>
      </c>
    </row>
    <row r="86" spans="1:18" x14ac:dyDescent="0.2">
      <c r="A86" s="26"/>
      <c r="B86" s="26"/>
      <c r="C86" s="30"/>
      <c r="D86" s="26"/>
      <c r="E86" s="26"/>
      <c r="F86" s="31"/>
      <c r="G86" s="31"/>
      <c r="H86" s="36" t="s">
        <v>12</v>
      </c>
    </row>
    <row r="87" spans="1:18" x14ac:dyDescent="0.2">
      <c r="A87" s="48"/>
      <c r="B87" s="48"/>
      <c r="C87" s="49" t="s">
        <v>370</v>
      </c>
      <c r="D87" s="48"/>
      <c r="E87" s="48"/>
      <c r="F87" s="50"/>
      <c r="G87" s="50"/>
      <c r="H87" s="51"/>
      <c r="K87" s="52"/>
      <c r="L87" s="52"/>
      <c r="M87" s="52"/>
      <c r="N87" s="52"/>
      <c r="O87" s="52"/>
      <c r="P87" s="53"/>
      <c r="Q87" s="53"/>
      <c r="R87" s="53"/>
    </row>
    <row r="88" spans="1:18" ht="25.5" x14ac:dyDescent="0.2">
      <c r="A88" s="33">
        <v>1</v>
      </c>
      <c r="B88" s="34" t="s">
        <v>70</v>
      </c>
      <c r="C88" s="34" t="s">
        <v>71</v>
      </c>
      <c r="D88" s="34"/>
      <c r="E88" s="40">
        <v>76.796000000000006</v>
      </c>
      <c r="F88" s="36">
        <v>7.8876942750000003</v>
      </c>
      <c r="G88" s="37">
        <v>2.5928800000000001E-3</v>
      </c>
      <c r="H88" s="36"/>
    </row>
    <row r="89" spans="1:18" x14ac:dyDescent="0.2">
      <c r="A89" s="26"/>
      <c r="B89" s="26"/>
      <c r="C89" s="27" t="s">
        <v>11</v>
      </c>
      <c r="D89" s="26"/>
      <c r="E89" s="26" t="s">
        <v>12</v>
      </c>
      <c r="F89" s="32">
        <v>7.8876942750000003</v>
      </c>
      <c r="G89" s="29">
        <v>2.5928800000000001E-3</v>
      </c>
      <c r="H89" s="36" t="s">
        <v>12</v>
      </c>
    </row>
    <row r="90" spans="1:18" x14ac:dyDescent="0.2">
      <c r="A90" s="26"/>
      <c r="B90" s="34"/>
      <c r="C90" s="34"/>
      <c r="D90" s="27"/>
      <c r="E90" s="26"/>
      <c r="F90" s="34"/>
      <c r="G90" s="38"/>
      <c r="H90" s="36" t="s">
        <v>12</v>
      </c>
    </row>
    <row r="91" spans="1:18" x14ac:dyDescent="0.2">
      <c r="A91" s="38"/>
      <c r="B91" s="34"/>
      <c r="C91" s="34" t="s">
        <v>75</v>
      </c>
      <c r="D91" s="34"/>
      <c r="E91" s="38"/>
      <c r="F91" s="36">
        <v>63.363014059999998</v>
      </c>
      <c r="G91" s="37">
        <v>2.0829E-2</v>
      </c>
      <c r="H91" s="36"/>
    </row>
    <row r="92" spans="1:18" x14ac:dyDescent="0.2">
      <c r="A92" s="30"/>
      <c r="B92" s="30"/>
      <c r="C92" s="27" t="s">
        <v>76</v>
      </c>
      <c r="D92" s="31"/>
      <c r="E92" s="31"/>
      <c r="F92" s="32">
        <f>F41+F58+F74+F89+F91</f>
        <v>3042.0568667349999</v>
      </c>
      <c r="G92" s="39">
        <f>G41+G58+G74+G89+G91</f>
        <v>1.0000277900000001</v>
      </c>
      <c r="H92" s="36" t="s">
        <v>12</v>
      </c>
    </row>
    <row r="93" spans="1:18" x14ac:dyDescent="0.2">
      <c r="A93" s="5"/>
      <c r="B93" s="5"/>
      <c r="C93" s="5"/>
      <c r="D93" s="7"/>
      <c r="E93" s="7"/>
      <c r="F93" s="7"/>
      <c r="G93" s="7"/>
    </row>
    <row r="94" spans="1:18" x14ac:dyDescent="0.2">
      <c r="A94" s="54"/>
      <c r="B94" s="124" t="s">
        <v>371</v>
      </c>
      <c r="C94" s="124"/>
      <c r="D94" s="124"/>
      <c r="E94" s="124"/>
      <c r="F94" s="124"/>
      <c r="G94" s="124"/>
      <c r="H94" s="124"/>
    </row>
    <row r="95" spans="1:18" x14ac:dyDescent="0.2">
      <c r="A95" s="54"/>
      <c r="B95" s="124" t="s">
        <v>372</v>
      </c>
      <c r="C95" s="124"/>
      <c r="D95" s="124"/>
      <c r="E95" s="124"/>
      <c r="F95" s="124"/>
      <c r="G95" s="124"/>
      <c r="H95" s="124"/>
    </row>
    <row r="96" spans="1:18" x14ac:dyDescent="0.2">
      <c r="A96" s="54"/>
      <c r="B96" s="124" t="s">
        <v>373</v>
      </c>
      <c r="C96" s="124"/>
      <c r="D96" s="124"/>
      <c r="E96" s="124"/>
      <c r="F96" s="124"/>
      <c r="G96" s="124"/>
      <c r="H96" s="124"/>
    </row>
    <row r="97" spans="1:8" x14ac:dyDescent="0.2">
      <c r="A97" s="5"/>
      <c r="B97" s="5"/>
      <c r="C97" s="5"/>
      <c r="D97" s="7"/>
      <c r="E97" s="7"/>
      <c r="F97" s="7"/>
      <c r="G97" s="7"/>
    </row>
    <row r="98" spans="1:8" x14ac:dyDescent="0.2">
      <c r="A98" s="5"/>
      <c r="B98" s="119" t="s">
        <v>77</v>
      </c>
      <c r="C98" s="120"/>
      <c r="D98" s="121"/>
      <c r="E98" s="8"/>
      <c r="F98" s="7"/>
      <c r="G98" s="7"/>
    </row>
    <row r="99" spans="1:8" x14ac:dyDescent="0.2">
      <c r="A99" s="5"/>
      <c r="B99" s="122" t="s">
        <v>78</v>
      </c>
      <c r="C99" s="123"/>
      <c r="D99" s="1" t="s">
        <v>79</v>
      </c>
      <c r="E99" s="8"/>
      <c r="F99" s="7"/>
      <c r="G99" s="7"/>
    </row>
    <row r="100" spans="1:8" x14ac:dyDescent="0.2">
      <c r="A100" s="5"/>
      <c r="B100" s="122" t="s">
        <v>80</v>
      </c>
      <c r="C100" s="123"/>
      <c r="D100" s="1" t="s">
        <v>79</v>
      </c>
      <c r="E100" s="8"/>
      <c r="F100" s="7"/>
      <c r="G100" s="7"/>
    </row>
    <row r="101" spans="1:8" x14ac:dyDescent="0.2">
      <c r="A101" s="5"/>
      <c r="B101" s="122" t="s">
        <v>81</v>
      </c>
      <c r="C101" s="123"/>
      <c r="D101" s="2" t="s">
        <v>12</v>
      </c>
      <c r="E101" s="8"/>
      <c r="F101" s="7"/>
      <c r="G101" s="7"/>
    </row>
    <row r="102" spans="1:8" x14ac:dyDescent="0.2">
      <c r="A102" s="56"/>
      <c r="B102" s="103" t="s">
        <v>12</v>
      </c>
      <c r="C102" s="103" t="s">
        <v>574</v>
      </c>
      <c r="D102" s="103" t="s">
        <v>82</v>
      </c>
      <c r="E102" s="56"/>
      <c r="F102" s="56"/>
      <c r="G102" s="56"/>
      <c r="H102" s="104"/>
    </row>
    <row r="103" spans="1:8" x14ac:dyDescent="0.2">
      <c r="A103" s="9"/>
      <c r="B103" s="11" t="s">
        <v>83</v>
      </c>
      <c r="C103" s="10" t="s">
        <v>84</v>
      </c>
      <c r="D103" s="10" t="s">
        <v>85</v>
      </c>
      <c r="E103" s="9"/>
      <c r="F103" s="9"/>
      <c r="G103" s="9"/>
    </row>
    <row r="104" spans="1:8" x14ac:dyDescent="0.2">
      <c r="A104" s="9"/>
      <c r="B104" s="3" t="s">
        <v>86</v>
      </c>
      <c r="C104" s="12">
        <v>29.944400000000002</v>
      </c>
      <c r="D104" s="12">
        <v>30.258600000000001</v>
      </c>
      <c r="E104" s="9"/>
      <c r="F104" s="6"/>
      <c r="G104" s="13"/>
    </row>
    <row r="105" spans="1:8" ht="25.5" x14ac:dyDescent="0.2">
      <c r="A105" s="9"/>
      <c r="B105" s="3" t="s">
        <v>583</v>
      </c>
      <c r="C105" s="12">
        <v>13.5634</v>
      </c>
      <c r="D105" s="12">
        <v>13.503299999999999</v>
      </c>
      <c r="E105" s="9"/>
      <c r="F105" s="6"/>
      <c r="G105" s="13"/>
    </row>
    <row r="106" spans="1:8" ht="25.5" x14ac:dyDescent="0.2">
      <c r="A106" s="9"/>
      <c r="B106" s="3" t="s">
        <v>581</v>
      </c>
      <c r="C106" s="12">
        <v>19.858000000000001</v>
      </c>
      <c r="D106" s="12">
        <v>19.9907</v>
      </c>
      <c r="E106" s="9"/>
      <c r="F106" s="6"/>
      <c r="G106" s="13"/>
    </row>
    <row r="107" spans="1:8" ht="25.5" x14ac:dyDescent="0.2">
      <c r="A107" s="9"/>
      <c r="B107" s="3" t="s">
        <v>584</v>
      </c>
      <c r="C107" s="12">
        <v>19.765000000000001</v>
      </c>
      <c r="D107" s="12">
        <v>19.9724</v>
      </c>
      <c r="E107" s="9"/>
      <c r="F107" s="6"/>
      <c r="G107" s="13"/>
    </row>
    <row r="108" spans="1:8" x14ac:dyDescent="0.2">
      <c r="A108" s="9"/>
      <c r="B108" s="3" t="s">
        <v>87</v>
      </c>
      <c r="C108" s="12">
        <v>27.4497</v>
      </c>
      <c r="D108" s="12">
        <v>27.725899999999999</v>
      </c>
      <c r="E108" s="9"/>
      <c r="F108" s="6"/>
      <c r="G108" s="13"/>
    </row>
    <row r="109" spans="1:8" ht="25.5" x14ac:dyDescent="0.2">
      <c r="A109" s="9"/>
      <c r="B109" s="3" t="s">
        <v>586</v>
      </c>
      <c r="C109" s="12">
        <v>13.4565</v>
      </c>
      <c r="D109" s="12">
        <v>13.401899999999999</v>
      </c>
      <c r="E109" s="9"/>
      <c r="F109" s="6"/>
      <c r="G109" s="13"/>
    </row>
    <row r="110" spans="1:8" ht="25.5" x14ac:dyDescent="0.2">
      <c r="A110" s="9"/>
      <c r="B110" s="3" t="s">
        <v>582</v>
      </c>
      <c r="C110" s="12">
        <v>18.110299999999999</v>
      </c>
      <c r="D110" s="12">
        <v>18.216899999999999</v>
      </c>
      <c r="E110" s="9"/>
      <c r="F110" s="6"/>
      <c r="G110" s="13"/>
    </row>
    <row r="111" spans="1:8" ht="25.5" x14ac:dyDescent="0.2">
      <c r="A111" s="9"/>
      <c r="B111" s="3" t="s">
        <v>587</v>
      </c>
      <c r="C111" s="12">
        <v>17.9495</v>
      </c>
      <c r="D111" s="12">
        <v>18.130099999999999</v>
      </c>
      <c r="E111" s="9"/>
      <c r="F111" s="6"/>
      <c r="G111" s="13"/>
    </row>
    <row r="112" spans="1:8" x14ac:dyDescent="0.2">
      <c r="A112" s="9"/>
      <c r="B112" s="9"/>
      <c r="C112" s="9"/>
      <c r="D112" s="9"/>
      <c r="E112" s="9"/>
      <c r="F112" s="9"/>
      <c r="G112" s="9"/>
    </row>
    <row r="113" spans="1:18" x14ac:dyDescent="0.2">
      <c r="A113" s="9"/>
      <c r="B113" s="122" t="s">
        <v>589</v>
      </c>
      <c r="C113" s="123"/>
      <c r="D113" s="1" t="s">
        <v>12</v>
      </c>
      <c r="E113" s="9"/>
      <c r="F113" s="9"/>
      <c r="G113" s="9"/>
    </row>
    <row r="114" spans="1:18" x14ac:dyDescent="0.2">
      <c r="A114" s="9"/>
      <c r="B114" s="14" t="s">
        <v>83</v>
      </c>
      <c r="C114" s="15" t="s">
        <v>88</v>
      </c>
      <c r="D114" s="15" t="s">
        <v>89</v>
      </c>
      <c r="E114" s="9"/>
      <c r="F114" s="9"/>
      <c r="G114" s="9"/>
    </row>
    <row r="115" spans="1:18" ht="25.5" x14ac:dyDescent="0.2">
      <c r="A115" s="9"/>
      <c r="B115" s="3" t="s">
        <v>583</v>
      </c>
      <c r="C115" s="16">
        <v>0.2024</v>
      </c>
      <c r="D115" s="4" t="s">
        <v>90</v>
      </c>
      <c r="E115" s="9"/>
      <c r="F115" s="6"/>
      <c r="G115" s="13"/>
    </row>
    <row r="116" spans="1:18" ht="25.5" x14ac:dyDescent="0.2">
      <c r="A116" s="9"/>
      <c r="B116" s="3" t="s">
        <v>581</v>
      </c>
      <c r="C116" s="16">
        <v>7.4999999999999997E-2</v>
      </c>
      <c r="D116" s="4" t="s">
        <v>90</v>
      </c>
      <c r="E116" s="9"/>
      <c r="F116" s="6"/>
      <c r="G116" s="13"/>
    </row>
    <row r="117" spans="1:18" ht="25.5" x14ac:dyDescent="0.2">
      <c r="A117" s="9"/>
      <c r="B117" s="3" t="s">
        <v>586</v>
      </c>
      <c r="C117" s="16">
        <v>0.19</v>
      </c>
      <c r="D117" s="4" t="s">
        <v>90</v>
      </c>
      <c r="E117" s="9"/>
      <c r="F117" s="6"/>
      <c r="G117" s="13"/>
    </row>
    <row r="118" spans="1:18" ht="25.5" x14ac:dyDescent="0.2">
      <c r="A118" s="9"/>
      <c r="B118" s="3" t="s">
        <v>582</v>
      </c>
      <c r="C118" s="16">
        <v>7.4999999999999997E-2</v>
      </c>
      <c r="D118" s="4" t="s">
        <v>90</v>
      </c>
      <c r="E118" s="9"/>
      <c r="F118" s="6"/>
      <c r="G118" s="13"/>
    </row>
    <row r="119" spans="1:18" x14ac:dyDescent="0.2">
      <c r="A119" s="9"/>
      <c r="B119" s="17"/>
      <c r="C119" s="17"/>
      <c r="D119" s="18"/>
      <c r="E119" s="9"/>
      <c r="F119" s="6"/>
      <c r="G119" s="13"/>
    </row>
    <row r="120" spans="1:18" x14ac:dyDescent="0.2">
      <c r="A120" s="56"/>
      <c r="B120" s="129" t="s">
        <v>91</v>
      </c>
      <c r="C120" s="130"/>
      <c r="D120" s="57" t="s">
        <v>79</v>
      </c>
      <c r="E120" s="58"/>
      <c r="F120" s="56"/>
      <c r="G120" s="56"/>
    </row>
    <row r="121" spans="1:18" x14ac:dyDescent="0.2">
      <c r="A121" s="56"/>
      <c r="B121" s="129" t="s">
        <v>92</v>
      </c>
      <c r="C121" s="130"/>
      <c r="D121" s="57" t="s">
        <v>79</v>
      </c>
      <c r="E121" s="58"/>
      <c r="F121" s="56"/>
      <c r="G121" s="56"/>
    </row>
    <row r="122" spans="1:18" x14ac:dyDescent="0.2">
      <c r="A122" s="56"/>
      <c r="B122" s="129" t="s">
        <v>374</v>
      </c>
      <c r="C122" s="130"/>
      <c r="D122" s="57" t="s">
        <v>79</v>
      </c>
      <c r="E122" s="58"/>
      <c r="F122" s="56"/>
      <c r="G122" s="56"/>
    </row>
    <row r="123" spans="1:18" x14ac:dyDescent="0.2">
      <c r="A123" s="19"/>
      <c r="B123" s="19"/>
      <c r="C123" s="19"/>
      <c r="D123" s="19"/>
      <c r="E123" s="19"/>
      <c r="F123" s="19"/>
      <c r="G123" s="19"/>
    </row>
    <row r="124" spans="1:18" s="59" customFormat="1" x14ac:dyDescent="0.2">
      <c r="B124" s="125" t="s">
        <v>375</v>
      </c>
      <c r="C124" s="126"/>
      <c r="D124" s="127"/>
      <c r="I124"/>
      <c r="J124" s="23"/>
      <c r="K124" s="52"/>
      <c r="L124" s="52"/>
      <c r="M124" s="52"/>
      <c r="N124" s="52"/>
      <c r="O124"/>
      <c r="R124"/>
    </row>
    <row r="125" spans="1:18" s="59" customFormat="1" ht="38.25" x14ac:dyDescent="0.2">
      <c r="B125" s="128" t="s">
        <v>376</v>
      </c>
      <c r="C125" s="128"/>
      <c r="D125" s="60" t="s">
        <v>304</v>
      </c>
      <c r="I125"/>
      <c r="J125" s="23"/>
      <c r="K125" s="52"/>
      <c r="L125" s="52"/>
      <c r="M125" s="52"/>
      <c r="N125" s="52"/>
      <c r="O125"/>
      <c r="R125"/>
    </row>
    <row r="126" spans="1:18" s="59" customFormat="1" x14ac:dyDescent="0.2">
      <c r="B126" s="131" t="s">
        <v>377</v>
      </c>
      <c r="C126" s="131"/>
      <c r="D126" s="61"/>
      <c r="I126"/>
      <c r="J126" s="23"/>
      <c r="K126" s="52"/>
      <c r="L126" s="52"/>
      <c r="M126" s="52"/>
      <c r="N126" s="52"/>
      <c r="O126"/>
      <c r="R126"/>
    </row>
    <row r="127" spans="1:18" s="59" customFormat="1" x14ac:dyDescent="0.2">
      <c r="B127" s="131"/>
      <c r="C127" s="131"/>
      <c r="D127" s="62"/>
      <c r="I127"/>
      <c r="J127" s="23"/>
      <c r="K127" s="52"/>
      <c r="L127" s="52"/>
      <c r="M127" s="52"/>
      <c r="N127" s="52"/>
      <c r="O127"/>
    </row>
    <row r="128" spans="1:18" s="59" customFormat="1" x14ac:dyDescent="0.2">
      <c r="B128" s="131" t="s">
        <v>378</v>
      </c>
      <c r="C128" s="131"/>
      <c r="D128" s="63">
        <v>7.0184227595990496</v>
      </c>
      <c r="I128"/>
      <c r="J128" s="23"/>
      <c r="K128" s="52"/>
      <c r="L128" s="52"/>
      <c r="M128" s="52"/>
      <c r="N128" s="52"/>
      <c r="O128"/>
    </row>
    <row r="129" spans="2:15" s="59" customFormat="1" x14ac:dyDescent="0.2">
      <c r="B129" s="131"/>
      <c r="C129" s="131"/>
      <c r="D129" s="62"/>
      <c r="I129"/>
      <c r="J129" s="23"/>
      <c r="K129" s="52"/>
      <c r="L129" s="52"/>
      <c r="M129" s="52"/>
      <c r="N129" s="52"/>
      <c r="O129"/>
    </row>
    <row r="130" spans="2:15" s="59" customFormat="1" x14ac:dyDescent="0.2">
      <c r="B130" s="131" t="s">
        <v>428</v>
      </c>
      <c r="C130" s="131"/>
      <c r="D130" s="63">
        <v>5.9538320371838438</v>
      </c>
      <c r="I130"/>
      <c r="J130" s="23"/>
      <c r="K130" s="52"/>
      <c r="L130" s="52"/>
      <c r="M130" s="52"/>
      <c r="N130" s="52"/>
      <c r="O130"/>
    </row>
    <row r="131" spans="2:15" s="59" customFormat="1" x14ac:dyDescent="0.2">
      <c r="B131" s="131" t="s">
        <v>429</v>
      </c>
      <c r="C131" s="131"/>
      <c r="D131" s="63">
        <v>10.904352714755921</v>
      </c>
      <c r="I131"/>
      <c r="J131" s="23"/>
      <c r="K131" s="52"/>
      <c r="L131" s="52"/>
      <c r="M131" s="52"/>
      <c r="N131" s="52"/>
      <c r="O131"/>
    </row>
    <row r="132" spans="2:15" s="59" customFormat="1" x14ac:dyDescent="0.2">
      <c r="B132" s="131"/>
      <c r="C132" s="131"/>
      <c r="D132" s="62"/>
      <c r="I132"/>
      <c r="J132" s="23"/>
      <c r="K132" s="52"/>
      <c r="L132" s="52"/>
      <c r="M132" s="52"/>
      <c r="N132" s="52"/>
      <c r="O132"/>
    </row>
    <row r="133" spans="2:15" s="59" customFormat="1" x14ac:dyDescent="0.2">
      <c r="B133" s="131" t="s">
        <v>381</v>
      </c>
      <c r="C133" s="131"/>
      <c r="D133" s="64" t="s">
        <v>599</v>
      </c>
      <c r="I133"/>
      <c r="J133" s="23"/>
      <c r="K133" s="52"/>
      <c r="L133" s="52"/>
      <c r="M133" s="52"/>
      <c r="N133" s="52"/>
      <c r="O133"/>
    </row>
    <row r="134" spans="2:15" s="59" customFormat="1" x14ac:dyDescent="0.2">
      <c r="B134" s="132" t="s">
        <v>382</v>
      </c>
      <c r="C134" s="134"/>
      <c r="D134" s="133"/>
      <c r="I134"/>
      <c r="J134" s="23"/>
      <c r="K134" s="52"/>
      <c r="L134" s="52"/>
      <c r="M134" s="52"/>
      <c r="N134" s="52"/>
      <c r="O134"/>
    </row>
  </sheetData>
  <mergeCells count="25">
    <mergeCell ref="B131:C131"/>
    <mergeCell ref="B132:C132"/>
    <mergeCell ref="B133:C133"/>
    <mergeCell ref="B134:D134"/>
    <mergeCell ref="B126:C126"/>
    <mergeCell ref="B127:C127"/>
    <mergeCell ref="B128:C128"/>
    <mergeCell ref="B129:C129"/>
    <mergeCell ref="B130:C130"/>
    <mergeCell ref="B125:C125"/>
    <mergeCell ref="A1:H1"/>
    <mergeCell ref="A2:H2"/>
    <mergeCell ref="A3:H3"/>
    <mergeCell ref="B98:D98"/>
    <mergeCell ref="B99:C99"/>
    <mergeCell ref="B100:C100"/>
    <mergeCell ref="B101:C101"/>
    <mergeCell ref="B113:C113"/>
    <mergeCell ref="B121:C121"/>
    <mergeCell ref="B94:H94"/>
    <mergeCell ref="B95:H95"/>
    <mergeCell ref="B96:H96"/>
    <mergeCell ref="B120:C120"/>
    <mergeCell ref="B124:D124"/>
    <mergeCell ref="B122:C122"/>
  </mergeCells>
  <hyperlinks>
    <hyperlink ref="I1" location="Index!B10" display="Index" xr:uid="{68AE8488-9FB9-40FB-9F00-F33FB837D11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2D66-F96B-458D-9BC1-4D604BEADFBA}">
  <sheetPr>
    <outlinePr summaryBelow="0" summaryRight="0"/>
  </sheetPr>
  <dimension ref="A1:V128"/>
  <sheetViews>
    <sheetView showGridLines="0" topLeftCell="A99" workbookViewId="0">
      <selection activeCell="C106" sqref="C106"/>
    </sheetView>
  </sheetViews>
  <sheetFormatPr defaultRowHeight="12.75" x14ac:dyDescent="0.2"/>
  <cols>
    <col min="1" max="1" width="5.85546875" bestFit="1" customWidth="1"/>
    <col min="2" max="2" width="20.57031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85546875" bestFit="1" customWidth="1"/>
    <col min="9" max="9" width="11.5703125" bestFit="1" customWidth="1"/>
    <col min="10" max="10" width="50.7109375" style="23" customWidth="1"/>
  </cols>
  <sheetData>
    <row r="1" spans="1:10" ht="15" x14ac:dyDescent="0.2">
      <c r="A1" s="118" t="s">
        <v>0</v>
      </c>
      <c r="B1" s="118"/>
      <c r="C1" s="118"/>
      <c r="D1" s="118"/>
      <c r="E1" s="118"/>
      <c r="F1" s="118"/>
      <c r="G1" s="118"/>
      <c r="H1" s="118"/>
      <c r="I1" s="22" t="s">
        <v>383</v>
      </c>
    </row>
    <row r="2" spans="1:10" ht="15" x14ac:dyDescent="0.2">
      <c r="A2" s="118" t="s">
        <v>346</v>
      </c>
      <c r="B2" s="118"/>
      <c r="C2" s="118"/>
      <c r="D2" s="118"/>
      <c r="E2" s="118"/>
      <c r="F2" s="118"/>
      <c r="G2" s="118"/>
      <c r="H2" s="118"/>
      <c r="J2" s="24" t="s">
        <v>384</v>
      </c>
    </row>
    <row r="3" spans="1:10" ht="15" x14ac:dyDescent="0.2">
      <c r="A3" s="118" t="s">
        <v>615</v>
      </c>
      <c r="B3" s="118"/>
      <c r="C3" s="118"/>
      <c r="D3" s="118"/>
      <c r="E3" s="118"/>
      <c r="F3" s="118"/>
      <c r="G3" s="118"/>
      <c r="H3" s="118"/>
    </row>
    <row r="4" spans="1:10" s="25" customFormat="1" ht="30" x14ac:dyDescent="0.2">
      <c r="A4" s="21" t="s">
        <v>2</v>
      </c>
      <c r="B4" s="21" t="s">
        <v>3</v>
      </c>
      <c r="C4" s="21" t="s">
        <v>4</v>
      </c>
      <c r="D4" s="21" t="s">
        <v>5</v>
      </c>
      <c r="E4" s="21" t="s">
        <v>6</v>
      </c>
      <c r="F4" s="21" t="s">
        <v>7</v>
      </c>
      <c r="G4" s="21" t="s">
        <v>8</v>
      </c>
      <c r="H4" s="20" t="s">
        <v>356</v>
      </c>
      <c r="J4" s="23"/>
    </row>
    <row r="5" spans="1:10" x14ac:dyDescent="0.2">
      <c r="A5" s="26"/>
      <c r="B5" s="26"/>
      <c r="C5" s="27" t="s">
        <v>9</v>
      </c>
      <c r="D5" s="26"/>
      <c r="E5" s="26"/>
      <c r="F5" s="26"/>
      <c r="G5" s="26"/>
      <c r="H5" s="36" t="s">
        <v>12</v>
      </c>
    </row>
    <row r="6" spans="1:10" x14ac:dyDescent="0.2">
      <c r="A6" s="26"/>
      <c r="B6" s="26"/>
      <c r="C6" s="27" t="s">
        <v>10</v>
      </c>
      <c r="D6" s="26"/>
      <c r="E6" s="26"/>
      <c r="F6" s="26"/>
      <c r="G6" s="26"/>
      <c r="H6" s="36" t="s">
        <v>12</v>
      </c>
    </row>
    <row r="7" spans="1:10" x14ac:dyDescent="0.2">
      <c r="A7" s="26"/>
      <c r="B7" s="26"/>
      <c r="C7" s="27" t="s">
        <v>11</v>
      </c>
      <c r="D7" s="26"/>
      <c r="E7" s="26" t="s">
        <v>12</v>
      </c>
      <c r="F7" s="28" t="s">
        <v>13</v>
      </c>
      <c r="G7" s="29">
        <v>0</v>
      </c>
      <c r="H7" s="36" t="s">
        <v>12</v>
      </c>
    </row>
    <row r="8" spans="1:10" x14ac:dyDescent="0.2">
      <c r="A8" s="26"/>
      <c r="B8" s="26"/>
      <c r="C8" s="30"/>
      <c r="D8" s="26"/>
      <c r="E8" s="26"/>
      <c r="F8" s="31"/>
      <c r="G8" s="31"/>
      <c r="H8" s="36" t="s">
        <v>12</v>
      </c>
    </row>
    <row r="9" spans="1:10" x14ac:dyDescent="0.2">
      <c r="A9" s="26"/>
      <c r="B9" s="26"/>
      <c r="C9" s="27" t="s">
        <v>14</v>
      </c>
      <c r="D9" s="26"/>
      <c r="E9" s="26"/>
      <c r="F9" s="26"/>
      <c r="G9" s="26"/>
      <c r="H9" s="36" t="s">
        <v>12</v>
      </c>
    </row>
    <row r="10" spans="1:10" x14ac:dyDescent="0.2">
      <c r="A10" s="26"/>
      <c r="B10" s="26"/>
      <c r="C10" s="27" t="s">
        <v>11</v>
      </c>
      <c r="D10" s="26"/>
      <c r="E10" s="26" t="s">
        <v>12</v>
      </c>
      <c r="F10" s="28" t="s">
        <v>13</v>
      </c>
      <c r="G10" s="29">
        <v>0</v>
      </c>
      <c r="H10" s="36" t="s">
        <v>12</v>
      </c>
    </row>
    <row r="11" spans="1:10" x14ac:dyDescent="0.2">
      <c r="A11" s="26"/>
      <c r="B11" s="26"/>
      <c r="C11" s="30"/>
      <c r="D11" s="26"/>
      <c r="E11" s="26"/>
      <c r="F11" s="31"/>
      <c r="G11" s="31"/>
      <c r="H11" s="36" t="s">
        <v>12</v>
      </c>
    </row>
    <row r="12" spans="1:10" ht="15" x14ac:dyDescent="0.2">
      <c r="A12" s="26"/>
      <c r="B12" s="26"/>
      <c r="C12" s="27" t="s">
        <v>15</v>
      </c>
      <c r="D12" s="26"/>
      <c r="E12" s="26"/>
      <c r="F12" s="26"/>
      <c r="G12" s="26"/>
      <c r="H12" s="36" t="s">
        <v>12</v>
      </c>
      <c r="J12" s="65"/>
    </row>
    <row r="13" spans="1:10" x14ac:dyDescent="0.2">
      <c r="A13" s="26"/>
      <c r="B13" s="26"/>
      <c r="C13" s="27" t="s">
        <v>11</v>
      </c>
      <c r="D13" s="26"/>
      <c r="E13" s="26" t="s">
        <v>12</v>
      </c>
      <c r="F13" s="28" t="s">
        <v>13</v>
      </c>
      <c r="G13" s="29">
        <v>0</v>
      </c>
      <c r="H13" s="36" t="s">
        <v>12</v>
      </c>
      <c r="J13" s="66"/>
    </row>
    <row r="14" spans="1:10" x14ac:dyDescent="0.2">
      <c r="A14" s="26"/>
      <c r="B14" s="26"/>
      <c r="C14" s="30"/>
      <c r="D14" s="26"/>
      <c r="E14" s="26"/>
      <c r="F14" s="31"/>
      <c r="G14" s="31"/>
      <c r="H14" s="36" t="s">
        <v>12</v>
      </c>
      <c r="J14" s="66" t="s">
        <v>430</v>
      </c>
    </row>
    <row r="15" spans="1:10" x14ac:dyDescent="0.2">
      <c r="A15" s="26"/>
      <c r="B15" s="26"/>
      <c r="C15" s="27" t="s">
        <v>16</v>
      </c>
      <c r="D15" s="26"/>
      <c r="E15" s="26"/>
      <c r="F15" s="26"/>
      <c r="G15" s="26"/>
      <c r="H15" s="36" t="s">
        <v>12</v>
      </c>
    </row>
    <row r="16" spans="1:10" x14ac:dyDescent="0.2">
      <c r="A16" s="26"/>
      <c r="B16" s="26"/>
      <c r="C16" s="27" t="s">
        <v>11</v>
      </c>
      <c r="D16" s="26"/>
      <c r="E16" s="26" t="s">
        <v>12</v>
      </c>
      <c r="F16" s="28" t="s">
        <v>13</v>
      </c>
      <c r="G16" s="29">
        <v>0</v>
      </c>
      <c r="H16" s="36" t="s">
        <v>12</v>
      </c>
    </row>
    <row r="17" spans="1:10" x14ac:dyDescent="0.2">
      <c r="A17" s="26"/>
      <c r="B17" s="26"/>
      <c r="C17" s="30"/>
      <c r="D17" s="26"/>
      <c r="E17" s="26"/>
      <c r="F17" s="31"/>
      <c r="G17" s="31"/>
      <c r="H17" s="36" t="s">
        <v>12</v>
      </c>
    </row>
    <row r="18" spans="1:10" x14ac:dyDescent="0.2">
      <c r="A18" s="26"/>
      <c r="B18" s="26"/>
      <c r="C18" s="27" t="s">
        <v>17</v>
      </c>
      <c r="D18" s="26"/>
      <c r="E18" s="26"/>
      <c r="F18" s="31"/>
      <c r="G18" s="31"/>
      <c r="H18" s="36" t="s">
        <v>12</v>
      </c>
    </row>
    <row r="19" spans="1:10" x14ac:dyDescent="0.2">
      <c r="A19" s="26"/>
      <c r="B19" s="26"/>
      <c r="C19" s="27" t="s">
        <v>11</v>
      </c>
      <c r="D19" s="26"/>
      <c r="E19" s="26" t="s">
        <v>12</v>
      </c>
      <c r="F19" s="28" t="s">
        <v>13</v>
      </c>
      <c r="G19" s="29">
        <v>0</v>
      </c>
      <c r="H19" s="36" t="s">
        <v>12</v>
      </c>
    </row>
    <row r="20" spans="1:10" x14ac:dyDescent="0.2">
      <c r="A20" s="26"/>
      <c r="B20" s="26"/>
      <c r="C20" s="30"/>
      <c r="D20" s="26"/>
      <c r="E20" s="26"/>
      <c r="F20" s="31"/>
      <c r="G20" s="31"/>
      <c r="H20" s="36" t="s">
        <v>12</v>
      </c>
    </row>
    <row r="21" spans="1:10" x14ac:dyDescent="0.2">
      <c r="A21" s="26"/>
      <c r="B21" s="26"/>
      <c r="C21" s="27" t="s">
        <v>18</v>
      </c>
      <c r="D21" s="26"/>
      <c r="E21" s="26"/>
      <c r="F21" s="31"/>
      <c r="G21" s="31"/>
      <c r="H21" s="36" t="s">
        <v>12</v>
      </c>
    </row>
    <row r="22" spans="1:10" ht="15" x14ac:dyDescent="0.2">
      <c r="A22" s="26"/>
      <c r="B22" s="26"/>
      <c r="C22" s="27" t="s">
        <v>11</v>
      </c>
      <c r="D22" s="26"/>
      <c r="E22" s="26" t="s">
        <v>12</v>
      </c>
      <c r="F22" s="28" t="s">
        <v>13</v>
      </c>
      <c r="G22" s="29">
        <v>0</v>
      </c>
      <c r="H22" s="36" t="s">
        <v>12</v>
      </c>
      <c r="J22" s="65"/>
    </row>
    <row r="23" spans="1:10" x14ac:dyDescent="0.2">
      <c r="A23" s="26"/>
      <c r="B23" s="26"/>
      <c r="C23" s="30"/>
      <c r="D23" s="26"/>
      <c r="E23" s="26"/>
      <c r="F23" s="31"/>
      <c r="G23" s="31"/>
      <c r="H23" s="36" t="s">
        <v>12</v>
      </c>
      <c r="J23" s="66"/>
    </row>
    <row r="24" spans="1:10" x14ac:dyDescent="0.2">
      <c r="A24" s="26"/>
      <c r="B24" s="26"/>
      <c r="C24" s="27" t="s">
        <v>19</v>
      </c>
      <c r="D24" s="26"/>
      <c r="E24" s="26"/>
      <c r="F24" s="32">
        <v>0</v>
      </c>
      <c r="G24" s="29">
        <v>0</v>
      </c>
      <c r="H24" s="36" t="s">
        <v>12</v>
      </c>
    </row>
    <row r="25" spans="1:10" x14ac:dyDescent="0.2">
      <c r="A25" s="26"/>
      <c r="B25" s="26"/>
      <c r="C25" s="30"/>
      <c r="D25" s="26"/>
      <c r="E25" s="26"/>
      <c r="F25" s="31"/>
      <c r="G25" s="31"/>
      <c r="H25" s="36" t="s">
        <v>12</v>
      </c>
    </row>
    <row r="26" spans="1:10" x14ac:dyDescent="0.2">
      <c r="A26" s="26"/>
      <c r="B26" s="26"/>
      <c r="C26" s="27" t="s">
        <v>20</v>
      </c>
      <c r="D26" s="26"/>
      <c r="E26" s="26"/>
      <c r="F26" s="31"/>
      <c r="G26" s="31"/>
      <c r="H26" s="36" t="s">
        <v>12</v>
      </c>
    </row>
    <row r="27" spans="1:10" x14ac:dyDescent="0.2">
      <c r="A27" s="26"/>
      <c r="B27" s="26"/>
      <c r="C27" s="27" t="s">
        <v>10</v>
      </c>
      <c r="D27" s="26"/>
      <c r="E27" s="26"/>
      <c r="F27" s="31"/>
      <c r="G27" s="31"/>
      <c r="H27" s="36" t="s">
        <v>12</v>
      </c>
    </row>
    <row r="28" spans="1:10" x14ac:dyDescent="0.2">
      <c r="A28" s="26"/>
      <c r="B28" s="26"/>
      <c r="C28" s="27" t="s">
        <v>11</v>
      </c>
      <c r="D28" s="26"/>
      <c r="E28" s="26" t="s">
        <v>12</v>
      </c>
      <c r="F28" s="28" t="s">
        <v>13</v>
      </c>
      <c r="G28" s="29">
        <v>0</v>
      </c>
      <c r="H28" s="36" t="s">
        <v>12</v>
      </c>
      <c r="J28" s="66" t="s">
        <v>431</v>
      </c>
    </row>
    <row r="29" spans="1:10" x14ac:dyDescent="0.2">
      <c r="A29" s="26"/>
      <c r="B29" s="26"/>
      <c r="C29" s="30"/>
      <c r="D29" s="26"/>
      <c r="E29" s="26"/>
      <c r="F29" s="31"/>
      <c r="G29" s="31"/>
      <c r="H29" s="36" t="s">
        <v>12</v>
      </c>
    </row>
    <row r="30" spans="1:10" x14ac:dyDescent="0.2">
      <c r="A30" s="26"/>
      <c r="B30" s="26"/>
      <c r="C30" s="27" t="s">
        <v>50</v>
      </c>
      <c r="D30" s="26"/>
      <c r="E30" s="26"/>
      <c r="F30" s="26"/>
      <c r="G30" s="26"/>
      <c r="H30" s="36" t="s">
        <v>12</v>
      </c>
    </row>
    <row r="31" spans="1:10" x14ac:dyDescent="0.2">
      <c r="A31" s="26"/>
      <c r="B31" s="26"/>
      <c r="C31" s="27" t="s">
        <v>11</v>
      </c>
      <c r="D31" s="26"/>
      <c r="E31" s="26" t="s">
        <v>12</v>
      </c>
      <c r="F31" s="28" t="s">
        <v>13</v>
      </c>
      <c r="G31" s="29">
        <v>0</v>
      </c>
      <c r="H31" s="36" t="s">
        <v>12</v>
      </c>
    </row>
    <row r="32" spans="1:10" x14ac:dyDescent="0.2">
      <c r="A32" s="26"/>
      <c r="B32" s="26"/>
      <c r="C32" s="30"/>
      <c r="D32" s="26"/>
      <c r="E32" s="26"/>
      <c r="F32" s="31"/>
      <c r="G32" s="31"/>
      <c r="H32" s="36" t="s">
        <v>12</v>
      </c>
    </row>
    <row r="33" spans="1:8" x14ac:dyDescent="0.2">
      <c r="A33" s="26"/>
      <c r="B33" s="26"/>
      <c r="C33" s="27" t="s">
        <v>51</v>
      </c>
      <c r="D33" s="26"/>
      <c r="E33" s="26"/>
      <c r="F33" s="26"/>
      <c r="G33" s="26"/>
      <c r="H33" s="36" t="s">
        <v>12</v>
      </c>
    </row>
    <row r="34" spans="1:8" x14ac:dyDescent="0.2">
      <c r="A34" s="26"/>
      <c r="B34" s="26"/>
      <c r="C34" s="27" t="s">
        <v>11</v>
      </c>
      <c r="D34" s="26"/>
      <c r="E34" s="26" t="s">
        <v>12</v>
      </c>
      <c r="F34" s="28" t="s">
        <v>13</v>
      </c>
      <c r="G34" s="29">
        <v>0</v>
      </c>
      <c r="H34" s="36" t="s">
        <v>12</v>
      </c>
    </row>
    <row r="35" spans="1:8" x14ac:dyDescent="0.2">
      <c r="A35" s="26"/>
      <c r="B35" s="26"/>
      <c r="C35" s="30"/>
      <c r="D35" s="26"/>
      <c r="E35" s="26"/>
      <c r="F35" s="31"/>
      <c r="G35" s="31"/>
      <c r="H35" s="36" t="s">
        <v>12</v>
      </c>
    </row>
    <row r="36" spans="1:8" x14ac:dyDescent="0.2">
      <c r="A36" s="26"/>
      <c r="B36" s="26"/>
      <c r="C36" s="27" t="s">
        <v>59</v>
      </c>
      <c r="D36" s="26"/>
      <c r="E36" s="26"/>
      <c r="F36" s="31"/>
      <c r="G36" s="31"/>
      <c r="H36" s="36" t="s">
        <v>12</v>
      </c>
    </row>
    <row r="37" spans="1:8" x14ac:dyDescent="0.2">
      <c r="A37" s="26"/>
      <c r="B37" s="26"/>
      <c r="C37" s="27" t="s">
        <v>11</v>
      </c>
      <c r="D37" s="26"/>
      <c r="E37" s="26" t="s">
        <v>12</v>
      </c>
      <c r="F37" s="28" t="s">
        <v>13</v>
      </c>
      <c r="G37" s="29">
        <v>0</v>
      </c>
      <c r="H37" s="36" t="s">
        <v>12</v>
      </c>
    </row>
    <row r="38" spans="1:8" x14ac:dyDescent="0.2">
      <c r="A38" s="26"/>
      <c r="B38" s="26"/>
      <c r="C38" s="30"/>
      <c r="D38" s="26"/>
      <c r="E38" s="26"/>
      <c r="F38" s="31"/>
      <c r="G38" s="31"/>
      <c r="H38" s="36" t="s">
        <v>12</v>
      </c>
    </row>
    <row r="39" spans="1:8" x14ac:dyDescent="0.2">
      <c r="A39" s="26"/>
      <c r="B39" s="26"/>
      <c r="C39" s="27" t="s">
        <v>60</v>
      </c>
      <c r="D39" s="26"/>
      <c r="E39" s="26"/>
      <c r="F39" s="32">
        <v>0</v>
      </c>
      <c r="G39" s="29">
        <v>0</v>
      </c>
      <c r="H39" s="36" t="s">
        <v>12</v>
      </c>
    </row>
    <row r="40" spans="1:8" x14ac:dyDescent="0.2">
      <c r="A40" s="26"/>
      <c r="B40" s="26"/>
      <c r="C40" s="30"/>
      <c r="D40" s="26"/>
      <c r="E40" s="26"/>
      <c r="F40" s="31"/>
      <c r="G40" s="31"/>
      <c r="H40" s="36" t="s">
        <v>12</v>
      </c>
    </row>
    <row r="41" spans="1:8" x14ac:dyDescent="0.2">
      <c r="A41" s="26"/>
      <c r="B41" s="26"/>
      <c r="C41" s="27" t="s">
        <v>61</v>
      </c>
      <c r="D41" s="26"/>
      <c r="E41" s="26"/>
      <c r="F41" s="31"/>
      <c r="G41" s="31"/>
      <c r="H41" s="36" t="s">
        <v>12</v>
      </c>
    </row>
    <row r="42" spans="1:8" x14ac:dyDescent="0.2">
      <c r="A42" s="26"/>
      <c r="B42" s="26"/>
      <c r="C42" s="27" t="s">
        <v>62</v>
      </c>
      <c r="D42" s="26"/>
      <c r="E42" s="26"/>
      <c r="F42" s="31"/>
      <c r="G42" s="31"/>
      <c r="H42" s="36" t="s">
        <v>12</v>
      </c>
    </row>
    <row r="43" spans="1:8" x14ac:dyDescent="0.2">
      <c r="A43" s="26"/>
      <c r="B43" s="26"/>
      <c r="C43" s="27" t="s">
        <v>11</v>
      </c>
      <c r="D43" s="26"/>
      <c r="E43" s="26" t="s">
        <v>12</v>
      </c>
      <c r="F43" s="28" t="s">
        <v>13</v>
      </c>
      <c r="G43" s="29">
        <v>0</v>
      </c>
      <c r="H43" s="36" t="s">
        <v>12</v>
      </c>
    </row>
    <row r="44" spans="1:8" x14ac:dyDescent="0.2">
      <c r="A44" s="26"/>
      <c r="B44" s="26"/>
      <c r="C44" s="30"/>
      <c r="D44" s="26"/>
      <c r="E44" s="26"/>
      <c r="F44" s="31"/>
      <c r="G44" s="31"/>
      <c r="H44" s="36" t="s">
        <v>12</v>
      </c>
    </row>
    <row r="45" spans="1:8" x14ac:dyDescent="0.2">
      <c r="A45" s="26"/>
      <c r="B45" s="26"/>
      <c r="C45" s="27" t="s">
        <v>63</v>
      </c>
      <c r="D45" s="26"/>
      <c r="E45" s="26"/>
      <c r="F45" s="31"/>
      <c r="G45" s="31"/>
      <c r="H45" s="36" t="s">
        <v>12</v>
      </c>
    </row>
    <row r="46" spans="1:8" x14ac:dyDescent="0.2">
      <c r="A46" s="26"/>
      <c r="B46" s="26"/>
      <c r="C46" s="27" t="s">
        <v>11</v>
      </c>
      <c r="D46" s="26"/>
      <c r="E46" s="26" t="s">
        <v>12</v>
      </c>
      <c r="F46" s="28" t="s">
        <v>13</v>
      </c>
      <c r="G46" s="29">
        <v>0</v>
      </c>
      <c r="H46" s="36" t="s">
        <v>12</v>
      </c>
    </row>
    <row r="47" spans="1:8" x14ac:dyDescent="0.2">
      <c r="A47" s="26"/>
      <c r="B47" s="26"/>
      <c r="C47" s="30"/>
      <c r="D47" s="26"/>
      <c r="E47" s="26"/>
      <c r="F47" s="31"/>
      <c r="G47" s="31"/>
      <c r="H47" s="36" t="s">
        <v>12</v>
      </c>
    </row>
    <row r="48" spans="1:8" x14ac:dyDescent="0.2">
      <c r="A48" s="26"/>
      <c r="B48" s="26"/>
      <c r="C48" s="27" t="s">
        <v>64</v>
      </c>
      <c r="D48" s="26"/>
      <c r="E48" s="26"/>
      <c r="F48" s="31"/>
      <c r="G48" s="31"/>
      <c r="H48" s="36" t="s">
        <v>12</v>
      </c>
    </row>
    <row r="49" spans="1:8" x14ac:dyDescent="0.2">
      <c r="A49" s="33">
        <v>1</v>
      </c>
      <c r="B49" s="34" t="s">
        <v>347</v>
      </c>
      <c r="C49" s="34" t="s">
        <v>348</v>
      </c>
      <c r="D49" s="34" t="s">
        <v>54</v>
      </c>
      <c r="E49" s="35">
        <v>1000000</v>
      </c>
      <c r="F49" s="36">
        <v>999.27200000000005</v>
      </c>
      <c r="G49" s="37">
        <v>1.341667E-2</v>
      </c>
      <c r="H49" s="36">
        <v>6.65</v>
      </c>
    </row>
    <row r="50" spans="1:8" x14ac:dyDescent="0.2">
      <c r="A50" s="33">
        <v>2</v>
      </c>
      <c r="B50" s="34" t="s">
        <v>349</v>
      </c>
      <c r="C50" s="34" t="s">
        <v>350</v>
      </c>
      <c r="D50" s="34" t="s">
        <v>54</v>
      </c>
      <c r="E50" s="35">
        <v>500000</v>
      </c>
      <c r="F50" s="36">
        <v>499.63600000000002</v>
      </c>
      <c r="G50" s="37">
        <v>6.7083300000000002E-3</v>
      </c>
      <c r="H50" s="36">
        <v>6.65</v>
      </c>
    </row>
    <row r="51" spans="1:8" x14ac:dyDescent="0.2">
      <c r="A51" s="33">
        <v>3</v>
      </c>
      <c r="B51" s="34" t="s">
        <v>245</v>
      </c>
      <c r="C51" s="34" t="s">
        <v>246</v>
      </c>
      <c r="D51" s="34" t="s">
        <v>54</v>
      </c>
      <c r="E51" s="35">
        <v>500000</v>
      </c>
      <c r="F51" s="36">
        <v>499</v>
      </c>
      <c r="G51" s="37">
        <v>6.6997899999999997E-3</v>
      </c>
      <c r="H51" s="36">
        <v>6.65</v>
      </c>
    </row>
    <row r="52" spans="1:8" x14ac:dyDescent="0.2">
      <c r="A52" s="33">
        <v>4</v>
      </c>
      <c r="B52" s="34" t="s">
        <v>235</v>
      </c>
      <c r="C52" s="34" t="s">
        <v>236</v>
      </c>
      <c r="D52" s="34" t="s">
        <v>54</v>
      </c>
      <c r="E52" s="35">
        <v>500000</v>
      </c>
      <c r="F52" s="36">
        <v>498.3535</v>
      </c>
      <c r="G52" s="37">
        <v>6.6911100000000001E-3</v>
      </c>
      <c r="H52" s="36">
        <v>6.7</v>
      </c>
    </row>
    <row r="53" spans="1:8" x14ac:dyDescent="0.2">
      <c r="A53" s="33">
        <v>5</v>
      </c>
      <c r="B53" s="34" t="s">
        <v>351</v>
      </c>
      <c r="C53" s="34" t="s">
        <v>352</v>
      </c>
      <c r="D53" s="34" t="s">
        <v>54</v>
      </c>
      <c r="E53" s="35">
        <v>500000</v>
      </c>
      <c r="F53" s="36">
        <v>497.71600000000001</v>
      </c>
      <c r="G53" s="37">
        <v>6.6825599999999997E-3</v>
      </c>
      <c r="H53" s="36">
        <v>6.7</v>
      </c>
    </row>
    <row r="54" spans="1:8" x14ac:dyDescent="0.2">
      <c r="A54" s="26"/>
      <c r="B54" s="26"/>
      <c r="C54" s="27" t="s">
        <v>11</v>
      </c>
      <c r="D54" s="26"/>
      <c r="E54" s="26" t="s">
        <v>12</v>
      </c>
      <c r="F54" s="32">
        <v>2993.9775</v>
      </c>
      <c r="G54" s="29">
        <v>4.0198459999999998E-2</v>
      </c>
      <c r="H54" s="36" t="s">
        <v>12</v>
      </c>
    </row>
    <row r="55" spans="1:8" x14ac:dyDescent="0.2">
      <c r="A55" s="26"/>
      <c r="B55" s="26"/>
      <c r="C55" s="30"/>
      <c r="D55" s="26"/>
      <c r="E55" s="26"/>
      <c r="F55" s="31"/>
      <c r="G55" s="31"/>
      <c r="H55" s="36" t="s">
        <v>12</v>
      </c>
    </row>
    <row r="56" spans="1:8" x14ac:dyDescent="0.2">
      <c r="A56" s="26"/>
      <c r="B56" s="26"/>
      <c r="C56" s="27" t="s">
        <v>65</v>
      </c>
      <c r="D56" s="26"/>
      <c r="E56" s="26"/>
      <c r="F56" s="31"/>
      <c r="G56" s="31"/>
      <c r="H56" s="36" t="s">
        <v>12</v>
      </c>
    </row>
    <row r="57" spans="1:8" ht="17.100000000000001" customHeight="1" x14ac:dyDescent="0.2">
      <c r="A57" s="115">
        <v>1</v>
      </c>
      <c r="B57" s="3"/>
      <c r="C57" s="3" t="s">
        <v>617</v>
      </c>
      <c r="D57" s="3"/>
      <c r="E57" s="4"/>
      <c r="F57" s="116">
        <v>59999.840066600002</v>
      </c>
      <c r="G57" s="117">
        <v>0.80558430999999997</v>
      </c>
      <c r="H57" s="36">
        <v>6.7650000000000006</v>
      </c>
    </row>
    <row r="58" spans="1:8" x14ac:dyDescent="0.2">
      <c r="A58" s="33">
        <v>2</v>
      </c>
      <c r="B58" s="34" t="s">
        <v>66</v>
      </c>
      <c r="C58" s="34" t="s">
        <v>66</v>
      </c>
      <c r="D58" s="34"/>
      <c r="E58" s="38"/>
      <c r="F58" s="36">
        <v>11419.626349774</v>
      </c>
      <c r="G58" s="37">
        <v>0.15332493999999999</v>
      </c>
      <c r="H58" s="36">
        <v>6.6841381571857204</v>
      </c>
    </row>
    <row r="59" spans="1:8" x14ac:dyDescent="0.2">
      <c r="A59" s="26"/>
      <c r="B59" s="26"/>
      <c r="C59" s="27" t="s">
        <v>11</v>
      </c>
      <c r="D59" s="26"/>
      <c r="E59" s="26" t="s">
        <v>12</v>
      </c>
      <c r="F59" s="32">
        <v>71419.4664166</v>
      </c>
      <c r="G59" s="29">
        <v>0.95889999999999997</v>
      </c>
      <c r="H59" s="36" t="s">
        <v>12</v>
      </c>
    </row>
    <row r="60" spans="1:8" x14ac:dyDescent="0.2">
      <c r="A60" s="26"/>
      <c r="B60" s="26"/>
      <c r="C60" s="30"/>
      <c r="D60" s="26"/>
      <c r="E60" s="26"/>
      <c r="F60" s="31"/>
      <c r="G60" s="31"/>
      <c r="H60" s="36" t="s">
        <v>12</v>
      </c>
    </row>
    <row r="61" spans="1:8" x14ac:dyDescent="0.2">
      <c r="A61" s="26"/>
      <c r="B61" s="26"/>
      <c r="C61" s="27" t="s">
        <v>67</v>
      </c>
      <c r="D61" s="26"/>
      <c r="E61" s="26"/>
      <c r="F61" s="32">
        <f>F59+F54</f>
        <v>74413.443916599994</v>
      </c>
      <c r="G61" s="29">
        <f>G59+G54</f>
        <v>0.99909846000000002</v>
      </c>
      <c r="H61" s="36" t="s">
        <v>12</v>
      </c>
    </row>
    <row r="62" spans="1:8" x14ac:dyDescent="0.2">
      <c r="A62" s="26"/>
      <c r="B62" s="26"/>
      <c r="C62" s="31"/>
      <c r="D62" s="26"/>
      <c r="E62" s="26"/>
      <c r="F62" s="26"/>
      <c r="G62" s="26"/>
      <c r="H62" s="36" t="s">
        <v>12</v>
      </c>
    </row>
    <row r="63" spans="1:8" x14ac:dyDescent="0.2">
      <c r="A63" s="26"/>
      <c r="B63" s="26"/>
      <c r="C63" s="27" t="s">
        <v>68</v>
      </c>
      <c r="D63" s="26"/>
      <c r="E63" s="26"/>
      <c r="F63" s="26"/>
      <c r="G63" s="26"/>
      <c r="H63" s="36" t="s">
        <v>12</v>
      </c>
    </row>
    <row r="64" spans="1:8" x14ac:dyDescent="0.2">
      <c r="A64" s="26"/>
      <c r="B64" s="26"/>
      <c r="C64" s="27" t="s">
        <v>69</v>
      </c>
      <c r="D64" s="26"/>
      <c r="E64" s="26"/>
      <c r="F64" s="26"/>
      <c r="G64" s="26"/>
      <c r="H64" s="36" t="s">
        <v>12</v>
      </c>
    </row>
    <row r="65" spans="1:8" x14ac:dyDescent="0.2">
      <c r="A65" s="26"/>
      <c r="B65" s="26"/>
      <c r="C65" s="27" t="s">
        <v>11</v>
      </c>
      <c r="D65" s="26"/>
      <c r="E65" s="26" t="s">
        <v>12</v>
      </c>
      <c r="F65" s="28" t="s">
        <v>13</v>
      </c>
      <c r="G65" s="29">
        <v>0</v>
      </c>
      <c r="H65" s="36" t="s">
        <v>12</v>
      </c>
    </row>
    <row r="66" spans="1:8" x14ac:dyDescent="0.2">
      <c r="A66" s="26"/>
      <c r="B66" s="26"/>
      <c r="C66" s="30"/>
      <c r="D66" s="26"/>
      <c r="E66" s="26"/>
      <c r="F66" s="31"/>
      <c r="G66" s="31"/>
      <c r="H66" s="36" t="s">
        <v>12</v>
      </c>
    </row>
    <row r="67" spans="1:8" x14ac:dyDescent="0.2">
      <c r="A67" s="26"/>
      <c r="B67" s="26"/>
      <c r="C67" s="27" t="s">
        <v>72</v>
      </c>
      <c r="D67" s="26"/>
      <c r="E67" s="26"/>
      <c r="F67" s="26"/>
      <c r="G67" s="26"/>
      <c r="H67" s="36" t="s">
        <v>12</v>
      </c>
    </row>
    <row r="68" spans="1:8" x14ac:dyDescent="0.2">
      <c r="A68" s="26"/>
      <c r="B68" s="26"/>
      <c r="C68" s="27" t="s">
        <v>73</v>
      </c>
      <c r="D68" s="26"/>
      <c r="E68" s="26"/>
      <c r="F68" s="26"/>
      <c r="G68" s="26"/>
      <c r="H68" s="36" t="s">
        <v>12</v>
      </c>
    </row>
    <row r="69" spans="1:8" x14ac:dyDescent="0.2">
      <c r="A69" s="26"/>
      <c r="B69" s="26"/>
      <c r="C69" s="27" t="s">
        <v>11</v>
      </c>
      <c r="D69" s="26"/>
      <c r="E69" s="26" t="s">
        <v>12</v>
      </c>
      <c r="F69" s="28" t="s">
        <v>13</v>
      </c>
      <c r="G69" s="29">
        <v>0</v>
      </c>
      <c r="H69" s="36" t="s">
        <v>12</v>
      </c>
    </row>
    <row r="70" spans="1:8" x14ac:dyDescent="0.2">
      <c r="A70" s="26"/>
      <c r="B70" s="26"/>
      <c r="C70" s="30"/>
      <c r="D70" s="26"/>
      <c r="E70" s="26"/>
      <c r="F70" s="31"/>
      <c r="G70" s="31"/>
      <c r="H70" s="36" t="s">
        <v>12</v>
      </c>
    </row>
    <row r="71" spans="1:8" x14ac:dyDescent="0.2">
      <c r="A71" s="26"/>
      <c r="B71" s="26"/>
      <c r="C71" s="27" t="s">
        <v>74</v>
      </c>
      <c r="D71" s="26"/>
      <c r="E71" s="26"/>
      <c r="F71" s="31"/>
      <c r="G71" s="31"/>
      <c r="H71" s="36" t="s">
        <v>12</v>
      </c>
    </row>
    <row r="72" spans="1:8" x14ac:dyDescent="0.2">
      <c r="A72" s="26"/>
      <c r="B72" s="26"/>
      <c r="C72" s="27" t="s">
        <v>11</v>
      </c>
      <c r="D72" s="26"/>
      <c r="E72" s="26" t="s">
        <v>12</v>
      </c>
      <c r="F72" s="28" t="s">
        <v>13</v>
      </c>
      <c r="G72" s="29">
        <v>0</v>
      </c>
      <c r="H72" s="36" t="s">
        <v>12</v>
      </c>
    </row>
    <row r="73" spans="1:8" x14ac:dyDescent="0.2">
      <c r="A73" s="26"/>
      <c r="B73" s="34"/>
      <c r="C73" s="34"/>
      <c r="D73" s="27"/>
      <c r="E73" s="26"/>
      <c r="F73" s="34"/>
      <c r="G73" s="38"/>
      <c r="H73" s="36" t="s">
        <v>12</v>
      </c>
    </row>
    <row r="74" spans="1:8" x14ac:dyDescent="0.2">
      <c r="A74" s="38"/>
      <c r="B74" s="34"/>
      <c r="C74" s="34" t="s">
        <v>75</v>
      </c>
      <c r="D74" s="34"/>
      <c r="E74" s="38"/>
      <c r="F74" s="36">
        <v>66.457250590000001</v>
      </c>
      <c r="G74" s="37">
        <v>8.9228435522278903E-4</v>
      </c>
      <c r="H74" s="36" t="s">
        <v>12</v>
      </c>
    </row>
    <row r="75" spans="1:8" x14ac:dyDescent="0.2">
      <c r="A75" s="30"/>
      <c r="B75" s="30"/>
      <c r="C75" s="27" t="s">
        <v>76</v>
      </c>
      <c r="D75" s="31"/>
      <c r="E75" s="31"/>
      <c r="F75" s="32">
        <v>74479.901167164004</v>
      </c>
      <c r="G75" s="39">
        <v>1</v>
      </c>
      <c r="H75" s="36" t="s">
        <v>12</v>
      </c>
    </row>
    <row r="76" spans="1:8" x14ac:dyDescent="0.2">
      <c r="A76" s="5"/>
      <c r="B76" s="5"/>
      <c r="C76" s="5"/>
      <c r="D76" s="7"/>
      <c r="E76" s="7"/>
      <c r="F76" s="7"/>
      <c r="G76" s="7"/>
    </row>
    <row r="77" spans="1:8" x14ac:dyDescent="0.2">
      <c r="A77" s="54"/>
      <c r="B77" s="124" t="s">
        <v>371</v>
      </c>
      <c r="C77" s="124"/>
      <c r="D77" s="124"/>
      <c r="E77" s="124"/>
      <c r="F77" s="124"/>
      <c r="G77" s="124"/>
      <c r="H77" s="124"/>
    </row>
    <row r="78" spans="1:8" x14ac:dyDescent="0.2">
      <c r="A78" s="54"/>
      <c r="B78" s="124" t="s">
        <v>372</v>
      </c>
      <c r="C78" s="124"/>
      <c r="D78" s="124"/>
      <c r="E78" s="124"/>
      <c r="F78" s="124"/>
      <c r="G78" s="124"/>
      <c r="H78" s="124"/>
    </row>
    <row r="79" spans="1:8" x14ac:dyDescent="0.2">
      <c r="A79" s="54"/>
      <c r="B79" s="124" t="s">
        <v>373</v>
      </c>
      <c r="C79" s="124"/>
      <c r="D79" s="124"/>
      <c r="E79" s="124"/>
      <c r="F79" s="124"/>
      <c r="G79" s="124"/>
      <c r="H79" s="124"/>
    </row>
    <row r="80" spans="1:8" x14ac:dyDescent="0.2">
      <c r="A80" s="5"/>
      <c r="B80" s="5"/>
      <c r="C80" s="5"/>
      <c r="D80" s="7"/>
      <c r="E80" s="7"/>
      <c r="F80" s="7"/>
      <c r="G80" s="7"/>
    </row>
    <row r="81" spans="1:8" x14ac:dyDescent="0.2">
      <c r="A81" s="5"/>
      <c r="B81" s="119" t="s">
        <v>77</v>
      </c>
      <c r="C81" s="120"/>
      <c r="D81" s="121"/>
      <c r="E81" s="8"/>
      <c r="F81" s="7"/>
      <c r="G81" s="7"/>
    </row>
    <row r="82" spans="1:8" x14ac:dyDescent="0.2">
      <c r="A82" s="5"/>
      <c r="B82" s="122" t="s">
        <v>78</v>
      </c>
      <c r="C82" s="123"/>
      <c r="D82" s="1" t="s">
        <v>79</v>
      </c>
      <c r="E82" s="8"/>
      <c r="F82" s="7"/>
      <c r="G82" s="7"/>
    </row>
    <row r="83" spans="1:8" x14ac:dyDescent="0.2">
      <c r="A83" s="5"/>
      <c r="B83" s="122" t="s">
        <v>80</v>
      </c>
      <c r="C83" s="123"/>
      <c r="D83" s="1" t="s">
        <v>79</v>
      </c>
      <c r="E83" s="8"/>
      <c r="F83" s="7"/>
      <c r="G83" s="7"/>
    </row>
    <row r="84" spans="1:8" x14ac:dyDescent="0.2">
      <c r="A84" s="5"/>
      <c r="B84" s="122" t="s">
        <v>81</v>
      </c>
      <c r="C84" s="123"/>
      <c r="D84" s="2" t="s">
        <v>12</v>
      </c>
      <c r="E84" s="8"/>
      <c r="F84" s="7"/>
      <c r="G84" s="7"/>
    </row>
    <row r="85" spans="1:8" x14ac:dyDescent="0.2">
      <c r="A85" s="56"/>
      <c r="B85" s="103" t="s">
        <v>12</v>
      </c>
      <c r="C85" s="103" t="s">
        <v>574</v>
      </c>
      <c r="D85" s="103" t="s">
        <v>82</v>
      </c>
      <c r="E85" s="56"/>
      <c r="F85" s="56"/>
      <c r="G85" s="56"/>
      <c r="H85" s="104"/>
    </row>
    <row r="86" spans="1:8" x14ac:dyDescent="0.2">
      <c r="A86" s="9"/>
      <c r="B86" s="11" t="s">
        <v>83</v>
      </c>
      <c r="C86" s="10" t="s">
        <v>84</v>
      </c>
      <c r="D86" s="10" t="s">
        <v>85</v>
      </c>
      <c r="E86" s="9"/>
      <c r="F86" s="9"/>
      <c r="G86" s="9"/>
    </row>
    <row r="87" spans="1:8" x14ac:dyDescent="0.2">
      <c r="A87" s="9"/>
      <c r="B87" s="3" t="s">
        <v>86</v>
      </c>
      <c r="C87" s="12">
        <v>1286.1772000000001</v>
      </c>
      <c r="D87" s="12">
        <v>1289.5824</v>
      </c>
      <c r="E87" s="9"/>
      <c r="F87" s="6"/>
      <c r="G87" s="13"/>
    </row>
    <row r="88" spans="1:8" x14ac:dyDescent="0.2">
      <c r="A88" s="9"/>
      <c r="B88" s="3" t="s">
        <v>590</v>
      </c>
      <c r="C88" s="12">
        <v>1000.03</v>
      </c>
      <c r="D88" s="12">
        <v>1000.2134</v>
      </c>
      <c r="E88" s="9"/>
      <c r="F88" s="6"/>
      <c r="G88" s="13"/>
    </row>
    <row r="89" spans="1:8" ht="25.5" x14ac:dyDescent="0.2">
      <c r="A89" s="9"/>
      <c r="B89" s="3" t="s">
        <v>591</v>
      </c>
      <c r="C89" s="12">
        <v>1049.6049</v>
      </c>
      <c r="D89" s="12">
        <v>1048.4885999999999</v>
      </c>
      <c r="E89" s="9"/>
      <c r="F89" s="6"/>
      <c r="G89" s="13"/>
    </row>
    <row r="90" spans="1:8" ht="25.5" x14ac:dyDescent="0.2">
      <c r="A90" s="9"/>
      <c r="B90" s="3" t="s">
        <v>596</v>
      </c>
      <c r="C90" s="12">
        <v>1064.9096</v>
      </c>
      <c r="D90" s="12">
        <v>1063.7525000000001</v>
      </c>
      <c r="E90" s="9"/>
      <c r="F90" s="6"/>
      <c r="G90" s="13"/>
    </row>
    <row r="91" spans="1:8" ht="25.5" x14ac:dyDescent="0.2">
      <c r="A91" s="9"/>
      <c r="B91" s="3" t="s">
        <v>583</v>
      </c>
      <c r="C91" s="12">
        <v>1044.9585999999999</v>
      </c>
      <c r="D91" s="12">
        <v>1042.5036</v>
      </c>
      <c r="E91" s="9"/>
      <c r="F91" s="6"/>
      <c r="G91" s="13"/>
    </row>
    <row r="92" spans="1:8" x14ac:dyDescent="0.2">
      <c r="A92" s="9"/>
      <c r="B92" s="3" t="s">
        <v>87</v>
      </c>
      <c r="C92" s="12">
        <v>1279.576</v>
      </c>
      <c r="D92" s="12">
        <v>1282.9058</v>
      </c>
      <c r="E92" s="9"/>
      <c r="F92" s="6"/>
      <c r="G92" s="13"/>
    </row>
    <row r="93" spans="1:8" ht="25.5" x14ac:dyDescent="0.2">
      <c r="A93" s="9"/>
      <c r="B93" s="3" t="s">
        <v>593</v>
      </c>
      <c r="C93" s="12">
        <v>1000.03</v>
      </c>
      <c r="D93" s="12">
        <v>1000.2091</v>
      </c>
      <c r="E93" s="9"/>
      <c r="F93" s="6"/>
      <c r="G93" s="13"/>
    </row>
    <row r="94" spans="1:8" ht="25.5" x14ac:dyDescent="0.2">
      <c r="A94" s="9"/>
      <c r="B94" s="3" t="s">
        <v>594</v>
      </c>
      <c r="C94" s="12">
        <v>1048.4848</v>
      </c>
      <c r="D94" s="12">
        <v>1047.5454999999999</v>
      </c>
      <c r="E94" s="9"/>
      <c r="F94" s="6"/>
      <c r="G94" s="13"/>
    </row>
    <row r="95" spans="1:8" ht="25.5" x14ac:dyDescent="0.2">
      <c r="A95" s="9"/>
      <c r="B95" s="3" t="s">
        <v>595</v>
      </c>
      <c r="C95" s="12">
        <v>1066.3092999999999</v>
      </c>
      <c r="D95" s="12">
        <v>1065.1914999999999</v>
      </c>
      <c r="E95" s="9"/>
      <c r="F95" s="6"/>
      <c r="G95" s="13"/>
    </row>
    <row r="96" spans="1:8" ht="25.5" x14ac:dyDescent="0.2">
      <c r="A96" s="9"/>
      <c r="B96" s="3" t="s">
        <v>586</v>
      </c>
      <c r="C96" s="12">
        <v>1041.1976999999999</v>
      </c>
      <c r="D96" s="12">
        <v>1038.8110999999999</v>
      </c>
      <c r="E96" s="9"/>
      <c r="F96" s="6"/>
      <c r="G96" s="13"/>
    </row>
    <row r="97" spans="1:9" ht="25.5" x14ac:dyDescent="0.2">
      <c r="A97" s="9"/>
      <c r="B97" s="3" t="s">
        <v>597</v>
      </c>
      <c r="C97" s="12">
        <v>1000</v>
      </c>
      <c r="D97" s="12">
        <v>1000</v>
      </c>
      <c r="E97" s="9"/>
      <c r="F97" s="6"/>
      <c r="G97" s="13"/>
    </row>
    <row r="98" spans="1:9" ht="25.5" x14ac:dyDescent="0.2">
      <c r="A98" s="9"/>
      <c r="B98" s="3" t="s">
        <v>598</v>
      </c>
      <c r="C98" s="12">
        <v>1145.6015</v>
      </c>
      <c r="D98" s="12">
        <v>1148.6346000000001</v>
      </c>
      <c r="E98" s="9"/>
      <c r="F98" s="6"/>
      <c r="G98" s="13"/>
    </row>
    <row r="99" spans="1:9" ht="38.25" x14ac:dyDescent="0.2">
      <c r="A99" s="9"/>
      <c r="B99" s="3" t="s">
        <v>353</v>
      </c>
      <c r="C99" s="12">
        <v>1145.5875000000001</v>
      </c>
      <c r="D99" s="12">
        <v>1148.6205</v>
      </c>
      <c r="E99" s="9"/>
      <c r="F99" s="6"/>
      <c r="G99" s="13"/>
    </row>
    <row r="100" spans="1:9" ht="38.25" x14ac:dyDescent="0.2">
      <c r="A100" s="9"/>
      <c r="B100" s="3" t="s">
        <v>354</v>
      </c>
      <c r="C100" s="12">
        <v>1000</v>
      </c>
      <c r="D100" s="12">
        <v>1000</v>
      </c>
      <c r="E100" s="9"/>
      <c r="F100" s="6"/>
      <c r="G100" s="13"/>
    </row>
    <row r="101" spans="1:9" x14ac:dyDescent="0.2">
      <c r="A101" s="9"/>
      <c r="B101" s="9"/>
      <c r="C101" s="9"/>
      <c r="D101" s="9"/>
      <c r="E101" s="9"/>
      <c r="F101" s="9"/>
      <c r="G101" s="9"/>
    </row>
    <row r="102" spans="1:9" x14ac:dyDescent="0.2">
      <c r="A102" s="9"/>
      <c r="B102" s="122" t="s">
        <v>589</v>
      </c>
      <c r="C102" s="123"/>
      <c r="D102" s="1" t="s">
        <v>12</v>
      </c>
      <c r="E102" s="9"/>
      <c r="F102" s="9"/>
      <c r="G102" s="9"/>
    </row>
    <row r="103" spans="1:9" x14ac:dyDescent="0.2">
      <c r="A103" s="9"/>
      <c r="B103" s="14" t="s">
        <v>83</v>
      </c>
      <c r="C103" s="15" t="s">
        <v>88</v>
      </c>
      <c r="D103" s="15" t="s">
        <v>89</v>
      </c>
      <c r="E103" s="9"/>
      <c r="F103" s="9"/>
      <c r="G103" s="9"/>
    </row>
    <row r="104" spans="1:9" x14ac:dyDescent="0.2">
      <c r="A104" s="9"/>
      <c r="B104" s="3" t="s">
        <v>590</v>
      </c>
      <c r="C104" s="16">
        <v>2.4569549999999998</v>
      </c>
      <c r="D104" s="4" t="s">
        <v>90</v>
      </c>
      <c r="E104" s="9"/>
      <c r="F104" s="6"/>
      <c r="G104" s="13"/>
    </row>
    <row r="105" spans="1:9" ht="25.5" x14ac:dyDescent="0.2">
      <c r="A105" s="9"/>
      <c r="B105" s="3" t="s">
        <v>591</v>
      </c>
      <c r="C105" s="16">
        <v>2.5655999999999999</v>
      </c>
      <c r="D105" s="4" t="s">
        <v>90</v>
      </c>
      <c r="E105" s="9"/>
      <c r="F105" s="6"/>
      <c r="G105" s="13"/>
    </row>
    <row r="106" spans="1:9" ht="25.5" x14ac:dyDescent="0.2">
      <c r="A106" s="9"/>
      <c r="B106" s="3" t="s">
        <v>596</v>
      </c>
      <c r="C106" s="16">
        <v>3.9891000000000001</v>
      </c>
      <c r="D106" s="4" t="s">
        <v>90</v>
      </c>
      <c r="E106" s="9"/>
      <c r="F106" s="6"/>
      <c r="G106" s="13"/>
    </row>
    <row r="107" spans="1:9" ht="25.5" x14ac:dyDescent="0.2">
      <c r="A107" s="9"/>
      <c r="B107" s="3" t="s">
        <v>583</v>
      </c>
      <c r="C107" s="16">
        <v>5.2229999999999999</v>
      </c>
      <c r="D107" s="4" t="s">
        <v>90</v>
      </c>
      <c r="E107" s="9"/>
      <c r="F107" s="6"/>
      <c r="G107" s="13"/>
    </row>
    <row r="108" spans="1:9" ht="25.5" x14ac:dyDescent="0.2">
      <c r="A108" s="9"/>
      <c r="B108" s="3" t="s">
        <v>593</v>
      </c>
      <c r="C108" s="16">
        <v>2.4173119999999999</v>
      </c>
      <c r="D108" s="4" t="s">
        <v>90</v>
      </c>
      <c r="E108" s="9"/>
      <c r="F108" s="6"/>
      <c r="G108" s="13"/>
    </row>
    <row r="109" spans="1:9" ht="25.5" x14ac:dyDescent="0.2">
      <c r="A109" s="9"/>
      <c r="B109" s="3" t="s">
        <v>594</v>
      </c>
      <c r="C109" s="16">
        <v>2.6301999999999999</v>
      </c>
      <c r="D109" s="4" t="s">
        <v>90</v>
      </c>
      <c r="E109" s="9"/>
      <c r="F109" s="6"/>
      <c r="G109" s="13"/>
      <c r="I109" s="52"/>
    </row>
    <row r="110" spans="1:9" ht="25.5" x14ac:dyDescent="0.2">
      <c r="A110" s="9"/>
      <c r="B110" s="3" t="s">
        <v>595</v>
      </c>
      <c r="C110" s="16">
        <v>3.8915999999999999</v>
      </c>
      <c r="D110" s="4" t="s">
        <v>90</v>
      </c>
      <c r="E110" s="9"/>
      <c r="F110" s="6"/>
      <c r="G110" s="13"/>
      <c r="I110" s="52"/>
    </row>
    <row r="111" spans="1:9" ht="25.5" x14ac:dyDescent="0.2">
      <c r="A111" s="9"/>
      <c r="B111" s="3" t="s">
        <v>586</v>
      </c>
      <c r="C111" s="16">
        <v>5.0910000000000002</v>
      </c>
      <c r="D111" s="4" t="s">
        <v>90</v>
      </c>
      <c r="E111" s="9"/>
      <c r="F111" s="6"/>
      <c r="G111" s="13"/>
      <c r="I111" s="52"/>
    </row>
    <row r="112" spans="1:9" x14ac:dyDescent="0.2">
      <c r="A112" s="9"/>
      <c r="B112" s="17"/>
      <c r="C112" s="17"/>
      <c r="D112" s="18"/>
      <c r="E112" s="9"/>
      <c r="F112" s="6"/>
      <c r="G112" s="13"/>
      <c r="I112" s="52"/>
    </row>
    <row r="113" spans="1:22" x14ac:dyDescent="0.2">
      <c r="A113" s="56"/>
      <c r="B113" s="129" t="s">
        <v>91</v>
      </c>
      <c r="C113" s="130"/>
      <c r="D113" s="57" t="s">
        <v>79</v>
      </c>
      <c r="E113" s="58"/>
      <c r="F113" s="56"/>
      <c r="G113" s="56"/>
      <c r="I113" s="52"/>
    </row>
    <row r="114" spans="1:22" x14ac:dyDescent="0.2">
      <c r="A114" s="56"/>
      <c r="B114" s="129" t="s">
        <v>92</v>
      </c>
      <c r="C114" s="130"/>
      <c r="D114" s="57" t="s">
        <v>79</v>
      </c>
      <c r="E114" s="58"/>
      <c r="F114" s="56"/>
      <c r="G114" s="56"/>
      <c r="I114" s="52"/>
    </row>
    <row r="115" spans="1:22" x14ac:dyDescent="0.2">
      <c r="A115" s="56"/>
      <c r="B115" s="129" t="s">
        <v>374</v>
      </c>
      <c r="C115" s="130"/>
      <c r="D115" s="57" t="s">
        <v>79</v>
      </c>
      <c r="E115" s="58"/>
      <c r="F115" s="56"/>
      <c r="G115" s="56"/>
    </row>
    <row r="116" spans="1:22" x14ac:dyDescent="0.2">
      <c r="A116" s="19"/>
      <c r="B116" s="19"/>
      <c r="C116" s="19"/>
      <c r="D116" s="19"/>
      <c r="E116" s="19"/>
      <c r="F116" s="19"/>
      <c r="G116" s="19"/>
    </row>
    <row r="117" spans="1:22" s="59" customFormat="1" x14ac:dyDescent="0.2">
      <c r="B117" s="125" t="s">
        <v>375</v>
      </c>
      <c r="C117" s="126"/>
      <c r="D117" s="127"/>
      <c r="I117"/>
      <c r="J117" s="23"/>
      <c r="K117" s="52"/>
      <c r="L117" s="52"/>
      <c r="M117" s="52"/>
      <c r="N117" s="52"/>
      <c r="O117" s="68"/>
      <c r="R117"/>
      <c r="S117"/>
      <c r="T117"/>
      <c r="U117"/>
      <c r="V117"/>
    </row>
    <row r="118" spans="1:22" s="59" customFormat="1" ht="38.25" x14ac:dyDescent="0.2">
      <c r="B118" s="128" t="s">
        <v>376</v>
      </c>
      <c r="C118" s="128"/>
      <c r="D118" s="60" t="s">
        <v>346</v>
      </c>
      <c r="I118"/>
      <c r="J118" s="23"/>
      <c r="K118" s="52"/>
      <c r="L118" s="52"/>
      <c r="M118" s="52"/>
      <c r="N118" s="52"/>
      <c r="O118" s="68"/>
      <c r="R118"/>
      <c r="S118"/>
      <c r="T118"/>
      <c r="U118"/>
      <c r="V118"/>
    </row>
    <row r="119" spans="1:22" s="59" customFormat="1" x14ac:dyDescent="0.2">
      <c r="B119" s="131" t="s">
        <v>377</v>
      </c>
      <c r="C119" s="131"/>
      <c r="D119" s="61"/>
      <c r="I119"/>
      <c r="J119" s="23"/>
      <c r="K119" s="52"/>
      <c r="L119" s="52"/>
      <c r="M119" s="52"/>
      <c r="N119" s="52"/>
      <c r="O119" s="68"/>
    </row>
    <row r="120" spans="1:22" s="59" customFormat="1" x14ac:dyDescent="0.2">
      <c r="B120" s="131"/>
      <c r="C120" s="131"/>
      <c r="D120" s="62"/>
      <c r="I120"/>
      <c r="J120" s="23"/>
      <c r="K120" s="52"/>
      <c r="L120" s="52"/>
      <c r="M120" s="52"/>
      <c r="N120" s="52"/>
      <c r="O120" s="68"/>
    </row>
    <row r="121" spans="1:22" s="59" customFormat="1" x14ac:dyDescent="0.2">
      <c r="B121" s="131" t="s">
        <v>378</v>
      </c>
      <c r="C121" s="131"/>
      <c r="D121" s="63">
        <v>6.7083236012260574</v>
      </c>
      <c r="I121"/>
      <c r="J121" s="23"/>
      <c r="K121" s="52"/>
      <c r="L121" s="52"/>
      <c r="M121" s="52"/>
      <c r="N121" s="52"/>
      <c r="O121" s="68"/>
    </row>
    <row r="122" spans="1:22" s="59" customFormat="1" x14ac:dyDescent="0.2">
      <c r="B122" s="131"/>
      <c r="C122" s="131"/>
      <c r="D122" s="62"/>
      <c r="I122"/>
      <c r="J122" s="23"/>
      <c r="K122" s="52"/>
      <c r="L122" s="52"/>
      <c r="M122" s="52"/>
      <c r="N122" s="52"/>
      <c r="O122" s="68"/>
    </row>
    <row r="123" spans="1:22" s="59" customFormat="1" x14ac:dyDescent="0.2">
      <c r="B123" s="131" t="s">
        <v>432</v>
      </c>
      <c r="C123" s="131"/>
      <c r="D123" s="63">
        <v>3</v>
      </c>
      <c r="I123"/>
      <c r="J123" s="23"/>
      <c r="K123" s="52"/>
      <c r="L123" s="52"/>
      <c r="M123" s="52"/>
      <c r="N123" s="52"/>
      <c r="O123" s="68"/>
    </row>
    <row r="124" spans="1:22" s="59" customFormat="1" x14ac:dyDescent="0.2">
      <c r="B124" s="131" t="s">
        <v>433</v>
      </c>
      <c r="C124" s="131"/>
      <c r="D124" s="63">
        <v>3</v>
      </c>
      <c r="I124"/>
      <c r="J124" s="23"/>
      <c r="K124" s="52"/>
      <c r="L124" s="52"/>
      <c r="M124" s="52"/>
      <c r="N124" s="52"/>
      <c r="O124" s="68"/>
    </row>
    <row r="125" spans="1:22" s="59" customFormat="1" x14ac:dyDescent="0.2">
      <c r="B125" s="131"/>
      <c r="C125" s="131"/>
      <c r="D125" s="62"/>
      <c r="I125"/>
      <c r="J125" s="23"/>
      <c r="K125" s="52"/>
      <c r="L125" s="52"/>
      <c r="M125" s="52"/>
      <c r="N125" s="52"/>
      <c r="O125" s="68"/>
    </row>
    <row r="126" spans="1:22" s="59" customFormat="1" x14ac:dyDescent="0.2">
      <c r="B126" s="131" t="s">
        <v>381</v>
      </c>
      <c r="C126" s="131"/>
      <c r="D126" s="64" t="s">
        <v>599</v>
      </c>
      <c r="I126"/>
      <c r="J126" s="23"/>
      <c r="K126" s="52"/>
      <c r="L126" s="52"/>
      <c r="M126" s="52"/>
      <c r="N126" s="52"/>
      <c r="O126" s="68"/>
    </row>
    <row r="127" spans="1:22" s="59" customFormat="1" x14ac:dyDescent="0.2">
      <c r="B127" s="132" t="s">
        <v>382</v>
      </c>
      <c r="C127" s="134"/>
      <c r="D127" s="133"/>
      <c r="I127"/>
      <c r="J127" s="23"/>
      <c r="K127" s="52"/>
      <c r="L127" s="52"/>
      <c r="M127" s="52"/>
      <c r="N127" s="52"/>
      <c r="O127" s="68"/>
    </row>
    <row r="128" spans="1:22" x14ac:dyDescent="0.2">
      <c r="H128" s="101"/>
    </row>
  </sheetData>
  <mergeCells count="25">
    <mergeCell ref="B124:C124"/>
    <mergeCell ref="B125:C125"/>
    <mergeCell ref="B126:C126"/>
    <mergeCell ref="B127:D127"/>
    <mergeCell ref="B119:C119"/>
    <mergeCell ref="B120:C120"/>
    <mergeCell ref="B121:C121"/>
    <mergeCell ref="B122:C122"/>
    <mergeCell ref="B123:C123"/>
    <mergeCell ref="B118:C118"/>
    <mergeCell ref="A1:H1"/>
    <mergeCell ref="A2:H2"/>
    <mergeCell ref="A3:H3"/>
    <mergeCell ref="B81:D81"/>
    <mergeCell ref="B82:C82"/>
    <mergeCell ref="B83:C83"/>
    <mergeCell ref="B84:C84"/>
    <mergeCell ref="B102:C102"/>
    <mergeCell ref="B114:C114"/>
    <mergeCell ref="B77:H77"/>
    <mergeCell ref="B78:H78"/>
    <mergeCell ref="B79:H79"/>
    <mergeCell ref="B113:C113"/>
    <mergeCell ref="B117:D117"/>
    <mergeCell ref="B115:C115"/>
  </mergeCells>
  <hyperlinks>
    <hyperlink ref="I1" location="Index!B11" display="Index" xr:uid="{701DA72F-11B0-4002-A6F8-765D68844FC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2024-06-16T17:10:27Z</dcterms:created>
  <dcterms:modified xsi:type="dcterms:W3CDTF">2024-06-20T12:58:35Z</dcterms:modified>
</cp:coreProperties>
</file>