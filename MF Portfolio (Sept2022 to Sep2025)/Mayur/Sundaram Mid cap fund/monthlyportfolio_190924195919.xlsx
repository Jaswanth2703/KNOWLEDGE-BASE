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T:\MCR Report\2024-2025\06. Sep 2024\Fortnightly Portfolio Statement as on 15.09.2024 &amp; 30.09.2024\15.09.2024\"/>
    </mc:Choice>
  </mc:AlternateContent>
  <xr:revisionPtr revIDLastSave="0" documentId="13_ncr:1_{7DD15D93-3680-41CD-A3DA-49CA67A17335}" xr6:coauthVersionLast="47" xr6:coauthVersionMax="47" xr10:uidLastSave="{00000000-0000-0000-0000-000000000000}"/>
  <bookViews>
    <workbookView xWindow="-120" yWindow="-120" windowWidth="24240" windowHeight="13020" tabRatio="692" xr2:uid="{F8FA9613-FF85-4C60-BC0E-7D6A50CA3193}"/>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0" i="8" l="1"/>
  <c r="F73" i="10"/>
  <c r="F72" i="10"/>
  <c r="F100" i="9"/>
  <c r="F101" i="9" s="1"/>
  <c r="F82" i="8"/>
  <c r="F81" i="8"/>
  <c r="F133" i="7"/>
  <c r="F132" i="7"/>
  <c r="F95" i="6"/>
  <c r="F94" i="6"/>
  <c r="F142" i="5"/>
  <c r="F143" i="5"/>
  <c r="F105" i="4"/>
  <c r="F104" i="4"/>
  <c r="F96" i="2"/>
  <c r="F95" i="2"/>
  <c r="G33" i="9" l="1"/>
  <c r="G50" i="9" s="1"/>
  <c r="G101" i="9" s="1"/>
  <c r="F33" i="9"/>
  <c r="F50" i="9" s="1"/>
</calcChain>
</file>

<file path=xl/sharedStrings.xml><?xml version="1.0" encoding="utf-8"?>
<sst xmlns="http://schemas.openxmlformats.org/spreadsheetml/2006/main" count="3075" uniqueCount="633">
  <si>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</si>
  <si>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</si>
  <si>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</si>
  <si>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</si>
  <si>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</si>
  <si>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</si>
  <si>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</si>
  <si>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</si>
  <si>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</si>
  <si>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</si>
  <si>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</si>
  <si>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</si>
  <si>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</si>
  <si>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</si>
  <si>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</si>
  <si>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</si>
  <si>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</si>
  <si>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</si>
  <si>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</si>
  <si>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</si>
  <si>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</si>
  <si>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</si>
  <si>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</si>
  <si>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</si>
  <si>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</si>
  <si>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</si>
  <si>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</si>
  <si>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</si>
  <si>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</si>
  <si>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</si>
  <si>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</si>
  <si>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</si>
  <si>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</si>
  <si>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</si>
  <si>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</si>
  <si>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INE134E08NB7</t>
  </si>
  <si>
    <t>Power Finance Corporation Ltd - 7.32% - 15/07/2039**</t>
  </si>
  <si>
    <t>INE040A08930</t>
  </si>
  <si>
    <t>HDFC Bank Ltd (Prev HDFC Ltd) - 7.65% - 25/05/2033</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</si>
  <si>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</si>
  <si>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</si>
  <si>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</si>
  <si>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</si>
  <si>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</si>
  <si>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</si>
  <si>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</si>
  <si>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</si>
  <si>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</si>
  <si>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</si>
  <si>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</si>
  <si>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</si>
  <si>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</si>
  <si>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</si>
  <si>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</si>
  <si>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</si>
  <si>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</si>
  <si>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</si>
  <si>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</si>
  <si>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</si>
  <si>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</si>
  <si>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</si>
  <si>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</si>
  <si>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</si>
  <si>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</si>
  <si>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</si>
  <si>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INE134E08IO0</t>
  </si>
  <si>
    <t>Power Finance Corporation Ltd - 7.23% - 05/01/2027**</t>
  </si>
  <si>
    <t>(b) Privately Placed / Unlisted</t>
  </si>
  <si>
    <t>(c) Govt Security</t>
  </si>
  <si>
    <t>IN0020230085</t>
  </si>
  <si>
    <t>7.18%  Government Securities - 14/08/2033</t>
  </si>
  <si>
    <t>Sovereign</t>
  </si>
  <si>
    <t>IN0020240019</t>
  </si>
  <si>
    <t>7.10% Central Government Securities 08/04/2034</t>
  </si>
  <si>
    <t>IN0020230135</t>
  </si>
  <si>
    <t>7.32% Government Securities-13/11/2030</t>
  </si>
  <si>
    <t>IN0020230051</t>
  </si>
  <si>
    <t>7.30% Government Securities - 19/06/2053</t>
  </si>
  <si>
    <t>IN0020230101</t>
  </si>
  <si>
    <t>7.37% Government Securities-23/10/2028</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</si>
  <si>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</si>
  <si>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</si>
  <si>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</si>
  <si>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</si>
  <si>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</si>
  <si>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</si>
  <si>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</si>
  <si>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</si>
  <si>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</si>
  <si>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</si>
  <si>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</si>
  <si>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</si>
  <si>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</si>
  <si>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</si>
  <si>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</si>
  <si>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</si>
  <si>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</si>
  <si>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</si>
  <si>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</si>
  <si>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</si>
  <si>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</si>
  <si>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</si>
  <si>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</si>
  <si>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</si>
  <si>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</si>
  <si>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</si>
  <si>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</si>
  <si>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</si>
  <si>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</si>
  <si>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</si>
  <si>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</si>
  <si>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</si>
  <si>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</si>
  <si>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</si>
  <si>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</si>
  <si>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</si>
  <si>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</si>
  <si>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</si>
  <si>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</si>
  <si>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</si>
  <si>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</si>
  <si>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</si>
  <si>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</si>
  <si>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</si>
  <si>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</si>
  <si>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</si>
  <si>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</si>
  <si>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</si>
  <si>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</si>
  <si>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</si>
  <si>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</si>
  <si>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</si>
  <si>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</si>
  <si>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</si>
  <si>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</si>
  <si>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</si>
  <si>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</si>
  <si>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</si>
  <si>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</si>
  <si>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</si>
  <si>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</si>
  <si>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</si>
  <si>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</si>
  <si>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</si>
  <si>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</si>
  <si>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</si>
  <si>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</si>
  <si>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</si>
  <si>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</si>
  <si>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</si>
  <si>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</si>
  <si>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</si>
  <si>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INE237A164X3</t>
  </si>
  <si>
    <t>Kotak Mahindra Bank Ltd - 13/12/2024**</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</si>
  <si>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</si>
  <si>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</si>
  <si>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</si>
  <si>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</si>
  <si>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</si>
  <si>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</si>
  <si>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</si>
  <si>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</si>
  <si>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</si>
  <si>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</si>
  <si>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</si>
  <si>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</si>
  <si>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</si>
  <si>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</si>
  <si>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</si>
  <si>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</si>
  <si>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</si>
  <si>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</si>
  <si>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</si>
  <si>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INE040A16FA5</t>
  </si>
  <si>
    <t>HDFC Bank Ltd - 24/06/2025**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</si>
  <si>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</si>
  <si>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</si>
  <si>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</si>
  <si>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</si>
  <si>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</si>
  <si>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</si>
  <si>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</si>
  <si>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</si>
  <si>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</si>
  <si>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</si>
  <si>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IN002024Y233</t>
  </si>
  <si>
    <t>182 Days - T Bill - 06/03/2025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</si>
  <si>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</si>
  <si>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</si>
  <si>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</si>
  <si>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</si>
  <si>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</si>
  <si>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</si>
  <si>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</si>
  <si>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</si>
  <si>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</si>
  <si>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</si>
  <si>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</si>
  <si>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INE477A07373</t>
  </si>
  <si>
    <t>Can Fin Homes Ltd - 8.45% - 27/05/2026**</t>
  </si>
  <si>
    <t>IND AA+</t>
  </si>
  <si>
    <t>INE115A07OY6</t>
  </si>
  <si>
    <t>LIC Housing Finance Ltd - 5.776% - 11/09/2025**</t>
  </si>
  <si>
    <t>INE721A07SB0</t>
  </si>
  <si>
    <t>Shriram Finance Ltd - 9.2% - 22/05/2026**</t>
  </si>
  <si>
    <t>INE020B08ED9</t>
  </si>
  <si>
    <t>REC LTD - 7.56% - 30/06/2026**</t>
  </si>
  <si>
    <t>INE523H07CB9</t>
  </si>
  <si>
    <t>JM Financial Products Ltd - 8.92% - 16/11/2026**</t>
  </si>
  <si>
    <t>CRISIL AA</t>
  </si>
  <si>
    <t>INE261F08DP6</t>
  </si>
  <si>
    <t>National Bank for Agriculture &amp; Rural Development - 7.35% - 08/07/2025**</t>
  </si>
  <si>
    <t>INE414G07HI7</t>
  </si>
  <si>
    <t>Muthoot Finance Ltd - 8.3% - 06/01/2026**</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</si>
  <si>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</si>
  <si>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</si>
  <si>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</si>
  <si>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</si>
  <si>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</si>
  <si>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</si>
  <si>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</si>
  <si>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</si>
  <si>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</si>
  <si>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IN0020220037</t>
  </si>
  <si>
    <t>7.38% Central Government Securities 20/06/2027</t>
  </si>
  <si>
    <t>INE556F16AM5</t>
  </si>
  <si>
    <t>Small Industries Development Bank of India - 11/12/2024</t>
  </si>
  <si>
    <t>INE160A16OF2</t>
  </si>
  <si>
    <t>Punjab National Bank - 05/12/2024**</t>
  </si>
  <si>
    <t>INE261F16785</t>
  </si>
  <si>
    <t>National Bank for Agriculture &amp; Rural Development - 07/02/2025**</t>
  </si>
  <si>
    <t>INE261F16819</t>
  </si>
  <si>
    <t>National Bank for Agriculture &amp; Rural Development - 26/02/2025**</t>
  </si>
  <si>
    <t>INE238AD6579</t>
  </si>
  <si>
    <t>Axis Bank Ltd - 29/11/2024</t>
  </si>
  <si>
    <t>INE556F16AO1</t>
  </si>
  <si>
    <t>Small Industries Development Bank of India - 10/01/2025**</t>
  </si>
  <si>
    <t>INE466L14DI2</t>
  </si>
  <si>
    <t>360 ONE WAM Ltd (Prev IIFL Wealth Management Ltd) - 14/03/2025**</t>
  </si>
  <si>
    <t>Reverse Repo</t>
  </si>
  <si>
    <t>Sundaram Liquid Fund</t>
  </si>
  <si>
    <t>INE040A16FL2</t>
  </si>
  <si>
    <t>HDFC Bank Ltd - 12/12/2024**</t>
  </si>
  <si>
    <t>INE562A16NF1</t>
  </si>
  <si>
    <t>Indian Bank - 13/11/2024**</t>
  </si>
  <si>
    <t>INE095A16T81</t>
  </si>
  <si>
    <t>IndusInd Bank Ltd - 19/09/2024**</t>
  </si>
  <si>
    <t>INE476A16YU0</t>
  </si>
  <si>
    <t>Canara Bank - 25/10/2024</t>
  </si>
  <si>
    <t>INE040A16FI8</t>
  </si>
  <si>
    <t>HDFC Bank Ltd - 21/11/2024**</t>
  </si>
  <si>
    <t>INE160A16PP8</t>
  </si>
  <si>
    <t>Punjab National Bank - 21/11/2024**</t>
  </si>
  <si>
    <t>INE028A16GJ9</t>
  </si>
  <si>
    <t>Bank of Baroda - 06/12/2024**</t>
  </si>
  <si>
    <t>INE476A16ZD3</t>
  </si>
  <si>
    <t>Canara Bank - 09/12/2024**</t>
  </si>
  <si>
    <t>INE692A16HV5</t>
  </si>
  <si>
    <t>Union Bank of India - 11/12/2024**</t>
  </si>
  <si>
    <t>INE692A16HQ5</t>
  </si>
  <si>
    <t>Union Bank of India - 25/09/2024**</t>
  </si>
  <si>
    <t>INE040A16FG2</t>
  </si>
  <si>
    <t>HDFC Bank Ltd - 24/10/2024**</t>
  </si>
  <si>
    <t>INE160A16PL7</t>
  </si>
  <si>
    <t>Punjab National Bank - 25/10/2024**</t>
  </si>
  <si>
    <t>INE028A16GB6</t>
  </si>
  <si>
    <t>Bank of Baroda - 13/11/2024**</t>
  </si>
  <si>
    <t>INE084A16CP8</t>
  </si>
  <si>
    <t>Bank of India - 09/12/2024**</t>
  </si>
  <si>
    <t>INE028A16GL5</t>
  </si>
  <si>
    <t>Bank of Baroda - 11/12/2024**</t>
  </si>
  <si>
    <t>INE476A16ZF8</t>
  </si>
  <si>
    <t>Canara Bank - 12/12/2024**</t>
  </si>
  <si>
    <t>INE028A16FT0</t>
  </si>
  <si>
    <t>Bank of Baroda - 23/09/2024**</t>
  </si>
  <si>
    <t>INE160A16PD4</t>
  </si>
  <si>
    <t>Punjab National Bank - 26/09/2024**</t>
  </si>
  <si>
    <t>INE237A168U0</t>
  </si>
  <si>
    <t>Kotak Mahindra Bank Ltd - 27/09/2024**</t>
  </si>
  <si>
    <t>INE028A16FI3</t>
  </si>
  <si>
    <t>Bank of Baroda - 21/10/2024**</t>
  </si>
  <si>
    <t>INE160A16PN3</t>
  </si>
  <si>
    <t>Punjab National Bank - 04/11/2024**</t>
  </si>
  <si>
    <t>INE171A16LO7</t>
  </si>
  <si>
    <t>The Federal Bank Ltd - 25/11/2024**</t>
  </si>
  <si>
    <t>INE171A16LN9</t>
  </si>
  <si>
    <t>The Federal Bank Ltd - 26/11/2024**</t>
  </si>
  <si>
    <t>INE562A16NI5</t>
  </si>
  <si>
    <t>Indian Bank - 05/12/2024**</t>
  </si>
  <si>
    <t>INE01GA16210</t>
  </si>
  <si>
    <t>DBS BANK LTD - 12/12/2024**</t>
  </si>
  <si>
    <t>INE090AD6048</t>
  </si>
  <si>
    <t>ICICI Bank Ltd - 16/09/2024**</t>
  </si>
  <si>
    <t>INE929O14CD6</t>
  </si>
  <si>
    <t>Reliance Retail Ventures Ltd - 08/11/2024**</t>
  </si>
  <si>
    <t>INE556F14KO5</t>
  </si>
  <si>
    <t>Small Industries Development Bank of India - 13/12/2024**</t>
  </si>
  <si>
    <t>INE09OL14FK9</t>
  </si>
  <si>
    <t>Birla Group Holdings Pvt Ltd - 18/09/2024**</t>
  </si>
  <si>
    <t>INE498L14CE6</t>
  </si>
  <si>
    <t>L &amp; T Finance Ltd - 24/10/2024**</t>
  </si>
  <si>
    <t>INE289B14JC9</t>
  </si>
  <si>
    <t>GIC Housing Finance Ltd - 22/11/2024**</t>
  </si>
  <si>
    <t>INE081A14FD8</t>
  </si>
  <si>
    <t>Tata Steel Ltd - 09/12/2024**</t>
  </si>
  <si>
    <t>INE607M14BL7</t>
  </si>
  <si>
    <t>Tata Power Renewable Energy Ltd - 12/12/2024**</t>
  </si>
  <si>
    <t>INE721A14DY0</t>
  </si>
  <si>
    <t>Shriram Finance Ltd - 12/12/2024**</t>
  </si>
  <si>
    <t>INE0DZE14115</t>
  </si>
  <si>
    <t>Kisetsu Saison Finance - 12/12/2024**</t>
  </si>
  <si>
    <t>INE338I14IJ6</t>
  </si>
  <si>
    <t>Motilal Oswal Financial Services Ltd - 11/12/2024**</t>
  </si>
  <si>
    <t>INE261F14MA7</t>
  </si>
  <si>
    <t>National Bank for Agriculture &amp; Rural Development - 20/09/2024**</t>
  </si>
  <si>
    <t>INE261F14MB5</t>
  </si>
  <si>
    <t>National Bank for Agriculture &amp; Rural Development - 26/09/2024</t>
  </si>
  <si>
    <t>INE824H14PR5</t>
  </si>
  <si>
    <t>Julius Baer Capital (India) Private Ltd - 30/09/2024**</t>
  </si>
  <si>
    <t>INE338I14HU5</t>
  </si>
  <si>
    <t>Motilal Oswal Financial Services Ltd - 17/10/2024**</t>
  </si>
  <si>
    <t>INE110L14SF0</t>
  </si>
  <si>
    <t>Reliance Jio Infocomm Ltd - 14/11/2024**</t>
  </si>
  <si>
    <t>INE071G14FV8</t>
  </si>
  <si>
    <t>ICICI Home Finance Company Ltd - 19/11/2024**</t>
  </si>
  <si>
    <t>INE514E14SC5</t>
  </si>
  <si>
    <t>Export Import Bank of India - 28/11/2024**</t>
  </si>
  <si>
    <t>INE824H14PZ8</t>
  </si>
  <si>
    <t>Julius Baer Capital (India) Private Ltd - 27/11/2024**</t>
  </si>
  <si>
    <t>INE763G14VR5</t>
  </si>
  <si>
    <t>ICICI Securities Ltd - 03/12/2024**</t>
  </si>
  <si>
    <t>INE233A14S61</t>
  </si>
  <si>
    <t>Godrej Industries Ltd - 13/12/2024**</t>
  </si>
  <si>
    <t>INE733E14BN4</t>
  </si>
  <si>
    <t>NTPC LTD - 20/09/2024</t>
  </si>
  <si>
    <t>INE557F14FJ3</t>
  </si>
  <si>
    <t>National Housing Bank  - 26/09/2024**</t>
  </si>
  <si>
    <t>INE870H14TD0</t>
  </si>
  <si>
    <t>Network18 Media &amp; Investments Ltd - 30/10/2024**</t>
  </si>
  <si>
    <t>INE700G14LD8</t>
  </si>
  <si>
    <t>HDFC Securities Ltd - 12/11/2024**</t>
  </si>
  <si>
    <t>INE572E14JJ7</t>
  </si>
  <si>
    <t>PNB Housing Finance Ltd - 26/11/2024**</t>
  </si>
  <si>
    <t>INE018A14LB2</t>
  </si>
  <si>
    <t>Larsen &amp; Toubro Ltd - 27/11/2024**</t>
  </si>
  <si>
    <t>INE233A14R62</t>
  </si>
  <si>
    <t>Godrej Industries Ltd - 27/11/2024**</t>
  </si>
  <si>
    <t>INE865C14MA2</t>
  </si>
  <si>
    <t>Aditya Birla Money Ltd - 29/11/2024**</t>
  </si>
  <si>
    <t>INE850D14SH4</t>
  </si>
  <si>
    <t>Godrej Agrovet Ltd - 06/12/2024**</t>
  </si>
  <si>
    <t>INE007N14DW1</t>
  </si>
  <si>
    <t>Fedbank Financial Services Ltd - 02/12/2024**</t>
  </si>
  <si>
    <t>INE146O14CN6</t>
  </si>
  <si>
    <t>Hinduja Leyland Finance Ltd - 06/12/2024**</t>
  </si>
  <si>
    <t>INE763G14VJ2</t>
  </si>
  <si>
    <t>ICICI Securities Ltd - 13/11/2024**</t>
  </si>
  <si>
    <t>INE824H14PY1</t>
  </si>
  <si>
    <t>Julius Baer Capital (India) Private Ltd - 22/11/2024**</t>
  </si>
  <si>
    <t>INE212K14734</t>
  </si>
  <si>
    <t>SBI Cap securities Ltd - 19/09/2024**</t>
  </si>
  <si>
    <t>IN002023Y540</t>
  </si>
  <si>
    <t>182 Days - T Bill - 26/09/2024</t>
  </si>
  <si>
    <t>IN002024X177</t>
  </si>
  <si>
    <t>91 Days - T Bill - 18/10/2024</t>
  </si>
  <si>
    <t>IN002024Y050</t>
  </si>
  <si>
    <t>182 Days - T Bill - 01/11/2024</t>
  </si>
  <si>
    <t>IN002024X201</t>
  </si>
  <si>
    <t>91 Days - T Bill - 07/11/2024</t>
  </si>
  <si>
    <t>IN002024X219</t>
  </si>
  <si>
    <t>91 Days - T Bill - 15/11/2024</t>
  </si>
  <si>
    <t>IN002024X227</t>
  </si>
  <si>
    <t>91 Days - T Bill - 21/11/2024</t>
  </si>
  <si>
    <t>IN002024X243</t>
  </si>
  <si>
    <t>91 Days - T Bill - 05/12/2024</t>
  </si>
  <si>
    <t>IN002024X250</t>
  </si>
  <si>
    <t>91 Days - T Bill - 12/12/2024</t>
  </si>
  <si>
    <t>Sundaram Short Duration Fund</t>
  </si>
  <si>
    <t>INE134E08MJ2</t>
  </si>
  <si>
    <t>Power Finance Corporation Ltd - 7.77% - 15/04/2028**</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</si>
  <si>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</si>
  <si>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</si>
  <si>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</si>
  <si>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</si>
  <si>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</si>
  <si>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</si>
  <si>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</si>
  <si>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</si>
  <si>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</si>
  <si>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INE040A16EH3</t>
  </si>
  <si>
    <t>HDFC Bank Ltd - 06/12/2024</t>
  </si>
  <si>
    <t>Sundaram Ultra Short Duration Fund</t>
  </si>
  <si>
    <t>INE115A07PQ9</t>
  </si>
  <si>
    <t>LIC Housing Finance Ltd - 5.9943% - 12/03/2025**</t>
  </si>
  <si>
    <t>INE121A07RB5</t>
  </si>
  <si>
    <t>Cholamandalam Investment and Finance Co Ltd - 8.25% - 04/03/2025**</t>
  </si>
  <si>
    <t>INE756I07EI4</t>
  </si>
  <si>
    <t>HDB Financial Services Ltd - 7.5% - 23/09/2025**</t>
  </si>
  <si>
    <t>INE115A07OX8</t>
  </si>
  <si>
    <t>LIC Housing Finance Ltd - 5.5315% - 20/12/2024**</t>
  </si>
  <si>
    <t>INE261F08DK7</t>
  </si>
  <si>
    <t>National Bank for Agriculture &amp; Rural Development - 5.7% - 31/07/2025**</t>
  </si>
  <si>
    <t>INE028A16FO1</t>
  </si>
  <si>
    <t>Bank of Baroda - 25/11/2024**</t>
  </si>
  <si>
    <t>INE090AD6105</t>
  </si>
  <si>
    <t>ICICI Bank Ltd - 06/12/2024</t>
  </si>
  <si>
    <t>INE476A16YR6</t>
  </si>
  <si>
    <t>Canara Bank - 16/12/2024**</t>
  </si>
  <si>
    <t>INE160A16OH8</t>
  </si>
  <si>
    <t>Punjab National Bank - 31/01/2025**</t>
  </si>
  <si>
    <t>INE171A16LK5</t>
  </si>
  <si>
    <t>The Federal Bank Ltd - 29/11/2024**</t>
  </si>
  <si>
    <t>INE556F16AN3</t>
  </si>
  <si>
    <t>Small Industries Development Bank of India - 18/12/2024</t>
  </si>
  <si>
    <t>INE040A16EK7</t>
  </si>
  <si>
    <t>HDFC Bank Ltd - 09/01/2025**</t>
  </si>
  <si>
    <t>INE261F16777</t>
  </si>
  <si>
    <t>National Bank for Agriculture &amp; Rural Development - 23/01/2025**</t>
  </si>
  <si>
    <t>INE237A160W3</t>
  </si>
  <si>
    <t>Kotak Mahindra Bank Ltd - 05/02/2025**</t>
  </si>
  <si>
    <t>INE160A16OL0</t>
  </si>
  <si>
    <t>Punjab National Bank - 07/02/2025</t>
  </si>
  <si>
    <t>INE028A16FL7</t>
  </si>
  <si>
    <t>Bank of Baroda - 10/03/2025**</t>
  </si>
  <si>
    <t>INE476A16XV0</t>
  </si>
  <si>
    <t>Canara Bank - 11/03/2025**</t>
  </si>
  <si>
    <t>INE238AD6884</t>
  </si>
  <si>
    <t>Axis Bank Ltd - 22/08/2025**</t>
  </si>
  <si>
    <t>INE095A16X10</t>
  </si>
  <si>
    <t>IndusInd Bank Ltd - 19/08/2025**</t>
  </si>
  <si>
    <t>INE115A14EQ9</t>
  </si>
  <si>
    <t>LIC Housing Finance Ltd - 17/12/2024**</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</si>
  <si>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</si>
  <si>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</si>
  <si>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</si>
  <si>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</si>
  <si>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</si>
  <si>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</si>
  <si>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</si>
  <si>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</si>
  <si>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</si>
  <si>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</si>
  <si>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</si>
  <si>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</si>
  <si>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IN002024Y241</t>
  </si>
  <si>
    <t>182 Days - T Bill - 13/03/2025</t>
  </si>
  <si>
    <t>IN002023Z299</t>
  </si>
  <si>
    <t>364 Days- T Bill -03/10/2024</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</si>
  <si>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</si>
  <si>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</si>
  <si>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</si>
  <si>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</si>
  <si>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</si>
  <si>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</si>
  <si>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</si>
  <si>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</si>
  <si>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</si>
  <si>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</si>
  <si>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</si>
  <si>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</si>
  <si>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</si>
  <si>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</si>
  <si>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</si>
  <si>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</si>
  <si>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</si>
  <si>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</si>
  <si>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</si>
  <si>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INE860A01027</t>
  </si>
  <si>
    <t>HCL Technologies Ltd</t>
  </si>
  <si>
    <t>INE018A01030</t>
  </si>
  <si>
    <t>Larsen &amp; Toubro Ltd</t>
  </si>
  <si>
    <t>Construction</t>
  </si>
  <si>
    <t>INE062A01020</t>
  </si>
  <si>
    <t>State Bank of India</t>
  </si>
  <si>
    <t>INE154A01025</t>
  </si>
  <si>
    <t>ITC Ltd</t>
  </si>
  <si>
    <t>Diversified Fmcg</t>
  </si>
  <si>
    <t>INE238A01034</t>
  </si>
  <si>
    <t>Axis Bank Ltd</t>
  </si>
  <si>
    <t>INE917I01010</t>
  </si>
  <si>
    <t>Bajaj Auto Ltd</t>
  </si>
  <si>
    <t>Automobiles</t>
  </si>
  <si>
    <t>INE044A01036</t>
  </si>
  <si>
    <t>Sun Pharmaceutical Industries Ltd</t>
  </si>
  <si>
    <t>Pharmaceuticals &amp; Biotechnology</t>
  </si>
  <si>
    <t>INE200M01039</t>
  </si>
  <si>
    <t>Varun Beverages Ltd</t>
  </si>
  <si>
    <t>Beverages</t>
  </si>
  <si>
    <t>INE540L01014</t>
  </si>
  <si>
    <t>Alkem Laboratories Ltd</t>
  </si>
  <si>
    <t>INE726G01019</t>
  </si>
  <si>
    <t>ICICI Prudential Life Insurance Company Ltd</t>
  </si>
  <si>
    <t>Insurance</t>
  </si>
  <si>
    <t>INE603J01030</t>
  </si>
  <si>
    <t>PI Industries Ltd</t>
  </si>
  <si>
    <t>Fertilizers &amp; Agrochemicals</t>
  </si>
  <si>
    <t>INE481G01011</t>
  </si>
  <si>
    <t>Ultratech Cement Ltd</t>
  </si>
  <si>
    <t>Cement &amp; Cement Products</t>
  </si>
  <si>
    <t>INE029A01011</t>
  </si>
  <si>
    <t>Bharat Petroleum Corporation Ltd</t>
  </si>
  <si>
    <t>INE854D01024</t>
  </si>
  <si>
    <t>United Spirits Ltd</t>
  </si>
  <si>
    <t>INE797F01020</t>
  </si>
  <si>
    <t>Jubilant Foodworks Ltd</t>
  </si>
  <si>
    <t>Leisure Services</t>
  </si>
  <si>
    <t>INE047A01021</t>
  </si>
  <si>
    <t>Grasim Industries Ltd</t>
  </si>
  <si>
    <t>INE585B01010</t>
  </si>
  <si>
    <t>Maruti Suzuki India Ltd</t>
  </si>
  <si>
    <t>INE438A01022</t>
  </si>
  <si>
    <t>Apollo Tyres Ltd</t>
  </si>
  <si>
    <t>Auto Components</t>
  </si>
  <si>
    <t>INE196A01026</t>
  </si>
  <si>
    <t>Marico Ltd</t>
  </si>
  <si>
    <t>Agricultural Food &amp; Other Products</t>
  </si>
  <si>
    <t>IN9397D01014</t>
  </si>
  <si>
    <t>Sundaram Overnight Fund</t>
  </si>
  <si>
    <t>IN002024X151</t>
  </si>
  <si>
    <t>91 Days - T Bill - 03/10/2024</t>
  </si>
  <si>
    <t>IN002023Z307</t>
  </si>
  <si>
    <t>364 Days-T Bill - 10/10/2024</t>
  </si>
  <si>
    <t>Unclaimed Plan - Redemption Less than three years</t>
  </si>
  <si>
    <t>Unclaimed Plan - Redemption greater than three years</t>
  </si>
  <si>
    <t>YTM (%)*</t>
  </si>
  <si>
    <t>Fortnightly Portfolio Statement as on 15 September 2024</t>
  </si>
  <si>
    <t>YTM (%)</t>
  </si>
  <si>
    <t>(b) Corporate Debt Market Development Fund</t>
  </si>
  <si>
    <t>At the beginning</t>
  </si>
  <si>
    <t>Refer below point i)</t>
  </si>
  <si>
    <t>7.72% Central Government Securities_Floating Rate Bond - 04/10/2028 ~</t>
  </si>
  <si>
    <t>Refer below point h)</t>
  </si>
  <si>
    <t>Regular Plan - Quarterly IDCW</t>
  </si>
  <si>
    <t>Bharti Airtel Ltd - Partly Paid Right Shares</t>
  </si>
  <si>
    <t>INE0GGX23010</t>
  </si>
  <si>
    <t>Power Grid Infrastructure Investment Trust(InvIT)</t>
  </si>
  <si>
    <t>Power</t>
  </si>
  <si>
    <t>**Non Traded Securities - Wherever applicable</t>
  </si>
  <si>
    <t>^ Net current assets includes interest accrued on fixed income securities - Wherever applicable</t>
  </si>
  <si>
    <t># percentage to NAV of security is less than 0.01% - Wherever applicable</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</si>
  <si>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</si>
  <si>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</si>
  <si>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</si>
  <si>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</si>
  <si>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</si>
  <si>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</si>
  <si>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</si>
  <si>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</si>
  <si>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</si>
  <si>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</si>
  <si>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</si>
  <si>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</si>
  <si>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</si>
  <si>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</si>
  <si>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</si>
  <si>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</si>
  <si>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</si>
  <si>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</si>
  <si>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</si>
  <si>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</si>
  <si>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Net receivable/ Market value  (Rs. Lakh)</t>
  </si>
  <si>
    <t>% to NAV</t>
  </si>
  <si>
    <t>Total Amount(Principal &amp; Interest)  (Rs. Lakh)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</si>
  <si>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</si>
  <si>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</si>
  <si>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</si>
  <si>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</si>
  <si>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</si>
  <si>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</si>
  <si>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</si>
  <si>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</si>
  <si>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</si>
  <si>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</si>
  <si>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</si>
  <si>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</si>
  <si>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</si>
  <si>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</si>
  <si>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15-Sep-2024</t>
  </si>
  <si>
    <t>i) Exposure to securities classified as below investment grade or default as on 15-Sep-2024:-</t>
  </si>
  <si>
    <t>h) Exposure to securities classified as below investment grade or default as on 15-Sep-2024:-</t>
  </si>
  <si>
    <t>% to AUM as on  15-Sep-2024</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</si>
  <si>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</si>
  <si>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</si>
  <si>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</si>
  <si>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</si>
  <si>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</si>
  <si>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</si>
  <si>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</si>
  <si>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</si>
  <si>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</si>
  <si>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Direct Plan - Weekly IDCW</t>
  </si>
  <si>
    <t>Direct Plan - Fortnightly IDCW</t>
  </si>
  <si>
    <t>Regular Plan - Daily IDCW</t>
  </si>
  <si>
    <t>Regular Plan - Weekly IDCW</t>
  </si>
  <si>
    <t>Regular Plan - Fortnightly IDCW</t>
  </si>
  <si>
    <t>Unclaimed Plan - IDCW greater than three years</t>
  </si>
  <si>
    <t>Unclaimed Plan - IDCW less than three years</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</si>
  <si>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</si>
  <si>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</si>
  <si>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</si>
  <si>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</si>
  <si>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</si>
  <si>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</si>
  <si>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</si>
  <si>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</si>
  <si>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</si>
  <si>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</si>
  <si>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</si>
  <si>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</si>
  <si>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</si>
  <si>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</si>
  <si>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</si>
  <si>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</si>
  <si>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</si>
  <si>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</si>
  <si>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</si>
  <si>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</si>
  <si>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</si>
  <si>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 Aggregate Investments by Other schemes of Sundaram Mutual Fund - Rs.5605.35 Lakhs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</si>
  <si>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</si>
  <si>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 No.</t>
  </si>
  <si>
    <t>ACRONYM</t>
  </si>
  <si>
    <t>SCHEME NAME</t>
  </si>
  <si>
    <t>SFRLTP</t>
  </si>
  <si>
    <t>SFRSTP</t>
  </si>
  <si>
    <t>SMMF</t>
  </si>
  <si>
    <t>SPLDF</t>
  </si>
  <si>
    <t>SPMON</t>
  </si>
  <si>
    <t>SPSDF</t>
  </si>
  <si>
    <t>SPUSDF</t>
  </si>
  <si>
    <t>SUNBDS</t>
  </si>
  <si>
    <t>SUNMIA</t>
  </si>
  <si>
    <t>SUNONF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</si>
</sst>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s>
  <fonts count="31" x14ac:knownFonts="1">
    <font>
      <sz val="10"/>
      <name val="Arial"/>
      <charset val="1"/>
    </font>
    <font>
      <sz val="11"/>
      <color theme="1"/>
      <name val="Aptos Narrow"/>
      <family val="2"/>
      <scheme val="minor"/>
    </font>
    <font>
      <sz val="11"/>
      <color theme="1"/>
      <name val="Aptos Narrow"/>
      <family val="2"/>
      <scheme val="minor"/>
    </font>
    <font>
      <sz val="10"/>
      <name val="Arial"/>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indexed="8"/>
      <name val="Calibri"/>
      <family val="2"/>
    </font>
    <font>
      <u/>
      <sz val="10"/>
      <color theme="10"/>
      <name val="Arial"/>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sz val="11"/>
      <color theme="0"/>
      <name val="Aptos Narrow"/>
      <family val="2"/>
      <scheme val="minor"/>
    </font>
    <font>
      <sz val="11"/>
      <color theme="0"/>
      <name val="Aptos Narrow"/>
      <family val="2"/>
      <scheme val="minor"/>
    </font>
    <font>
      <b/>
      <sz val="10"/>
      <color indexed="8"/>
      <name val="Calibri"/>
      <family val="2"/>
    </font>
    <font>
      <b/>
      <i/>
      <sz val="10"/>
      <color indexed="8"/>
      <name val="Calibri"/>
      <family val="2"/>
    </font>
    <font>
      <sz val="10"/>
      <name val="Calibri"/>
      <family val="2"/>
    </font>
    <font>
      <b/>
      <sz val="10"/>
      <name val="Arial"/>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1"/>
      <color theme="1"/>
      <name val="Aptos Narrow"/>
      <family val="2"/>
      <scheme val="minor"/>
    </font>
    <font>
      <sz val="11"/>
      <color theme="1"/>
      <name val="Calibri"/>
      <family val="2"/>
    </font>
    <font>
      <b/>
      <sz val="11"/>
      <color theme="1"/>
      <name val="Calibri"/>
      <family val="2"/>
    </font>
    <font>
      <b/>
      <sz val="11"/>
      <name val="Calibri"/>
      <family val="2"/>
    </font>
    <font>
      <u/>
      <sz val="11"/>
      <color theme="10"/>
      <name val="Calibri"/>
      <family val="2"/>
    </font>
    <font>
      <sz val="11"/>
      <name val="Calibri"/>
      <family val="2"/>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43" fontId="3" fillId="0" borderId="0" applyFont="0" applyFill="0" applyBorder="0" applyAlignment="0" applyProtection="0">
      <alignment wrapText="1"/>
    </xf>
    <xf numFmtId="0" fontId="9" fillId="0" borderId="0" applyNumberFormat="0" applyFill="0" applyBorder="0" applyAlignment="0" applyProtection="0">
      <alignment wrapText="1"/>
    </xf>
    <xf numFmtId="0" fontId="11" fillId="0" borderId="0">
      <alignment wrapText="1"/>
    </xf>
    <xf numFmtId="164" fontId="11" fillId="0" borderId="0" applyFont="0" applyFill="0" applyBorder="0" applyAlignment="0" applyProtection="0"/>
    <xf numFmtId="9" fontId="11" fillId="0" borderId="0" applyFont="0" applyFill="0" applyBorder="0" applyAlignment="0" applyProtection="0"/>
    <xf numFmtId="0" fontId="2" fillId="0" borderId="0"/>
    <xf numFmtId="9" fontId="24" fillId="0" borderId="0" applyFont="0" applyFill="0" applyBorder="0" applyAlignment="0" applyProtection="0"/>
    <xf numFmtId="0" fontId="1" fillId="0" borderId="0"/>
    <xf numFmtId="0" fontId="1" fillId="0" borderId="0"/>
  </cellStyleXfs>
  <cellXfs count="140">
    <xf numFmtId="0" fontId="0" fillId="0" borderId="0" xfId="0">
      <alignment wrapText="1"/>
    </xf>
    <xf numFmtId="0" fontId="10" fillId="0" borderId="0" xfId="2" applyFont="1" applyFill="1" applyBorder="1" applyAlignment="1">
      <alignment horizontal="center" vertical="center" wrapText="1"/>
    </xf>
    <xf numFmtId="0" fontId="0" fillId="2" borderId="0" xfId="0" applyFill="1" applyAlignment="1">
      <alignment horizontal="center" vertical="center" wrapText="1"/>
    </xf>
    <xf numFmtId="0" fontId="12" fillId="2" borderId="0" xfId="3" applyFont="1" applyFill="1" applyAlignment="1">
      <alignment horizontal="center" vertical="center" wrapText="1"/>
    </xf>
    <xf numFmtId="0" fontId="0" fillId="0" borderId="0" xfId="0" applyAlignment="1">
      <alignment horizontal="center" vertical="center" wrapText="1"/>
    </xf>
    <xf numFmtId="0" fontId="11" fillId="0" borderId="0" xfId="3">
      <alignment wrapText="1"/>
    </xf>
    <xf numFmtId="0" fontId="18" fillId="0" borderId="0" xfId="0" applyFont="1">
      <alignment wrapText="1"/>
    </xf>
    <xf numFmtId="0" fontId="19" fillId="2" borderId="0" xfId="0" applyFont="1" applyFill="1" applyAlignment="1">
      <alignment horizontal="center" vertical="center" wrapText="1"/>
    </xf>
    <xf numFmtId="0" fontId="0" fillId="2" borderId="0" xfId="0" applyFill="1">
      <alignment wrapText="1"/>
    </xf>
    <xf numFmtId="0" fontId="18" fillId="0" borderId="0" xfId="0" applyFont="1" applyAlignment="1">
      <alignment vertical="center" wrapText="1"/>
    </xf>
    <xf numFmtId="0" fontId="0" fillId="0" borderId="0" xfId="0" applyAlignment="1">
      <alignment vertical="center" wrapText="1"/>
    </xf>
    <xf numFmtId="164" fontId="18" fillId="0" borderId="7" xfId="4" applyFont="1" applyFill="1" applyBorder="1" applyAlignment="1">
      <alignment vertical="center"/>
    </xf>
    <xf numFmtId="164" fontId="22" fillId="0" borderId="7" xfId="4" applyFont="1" applyFill="1" applyBorder="1" applyAlignment="1">
      <alignment vertical="center"/>
    </xf>
    <xf numFmtId="10" fontId="22" fillId="0" borderId="7" xfId="5" applyNumberFormat="1" applyFont="1" applyFill="1" applyBorder="1" applyAlignment="1">
      <alignment vertical="center"/>
    </xf>
    <xf numFmtId="0" fontId="2" fillId="0" borderId="0" xfId="6" applyAlignment="1">
      <alignment wrapText="1"/>
    </xf>
    <xf numFmtId="0" fontId="23" fillId="0" borderId="0" xfId="6" applyFont="1" applyAlignment="1">
      <alignment wrapText="1"/>
    </xf>
    <xf numFmtId="0" fontId="25" fillId="2" borderId="0" xfId="0" applyFont="1" applyFill="1" applyAlignment="1">
      <alignment horizontal="center" vertical="center"/>
    </xf>
    <xf numFmtId="0" fontId="26" fillId="0" borderId="0" xfId="8" applyFont="1" applyAlignment="1">
      <alignment vertical="center" wrapText="1"/>
    </xf>
    <xf numFmtId="0" fontId="27" fillId="0" borderId="7" xfId="8" applyFont="1" applyBorder="1" applyAlignment="1">
      <alignment horizontal="center"/>
    </xf>
    <xf numFmtId="0" fontId="28" fillId="0" borderId="7" xfId="8" applyFont="1" applyBorder="1" applyAlignment="1">
      <alignment horizontal="center" vertical="center"/>
    </xf>
    <xf numFmtId="0" fontId="26" fillId="0" borderId="0" xfId="9" applyFont="1"/>
    <xf numFmtId="0" fontId="26" fillId="0" borderId="7" xfId="8" applyFont="1" applyBorder="1" applyAlignment="1">
      <alignment horizontal="center"/>
    </xf>
    <xf numFmtId="0" fontId="29" fillId="0" borderId="7" xfId="2" applyFont="1" applyBorder="1" applyAlignment="1">
      <alignment vertical="center"/>
    </xf>
    <xf numFmtId="0" fontId="30" fillId="0" borderId="7" xfId="8" applyFont="1" applyBorder="1" applyAlignment="1">
      <alignment vertical="top"/>
    </xf>
    <xf numFmtId="0" fontId="8" fillId="0" borderId="4" xfId="0" applyFont="1" applyBorder="1" applyAlignment="1">
      <alignment horizontal="center" vertical="center" wrapText="1" readingOrder="1"/>
    </xf>
    <xf numFmtId="43" fontId="8" fillId="0" borderId="7" xfId="1" applyFont="1" applyFill="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6" fontId="13" fillId="0" borderId="7" xfId="0" applyNumberFormat="1" applyFont="1" applyBorder="1" applyAlignment="1">
      <alignment horizontal="right" vertical="center" wrapText="1" readingOrder="1"/>
    </xf>
    <xf numFmtId="0" fontId="5" fillId="0" borderId="4" xfId="0"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8" fontId="4"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13" fillId="0" borderId="4" xfId="0" applyFont="1" applyBorder="1" applyAlignment="1">
      <alignment horizontal="right" vertical="top" wrapText="1" readingOrder="1"/>
    </xf>
    <xf numFmtId="0" fontId="16"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166" fontId="13" fillId="0" borderId="4" xfId="0" applyNumberFormat="1"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3" fillId="0" borderId="0" xfId="0" applyFont="1" applyAlignment="1">
      <alignment horizontal="lef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3" fillId="0" borderId="0" xfId="0" applyFont="1" applyAlignment="1">
      <alignment horizontal="right" vertical="top" wrapText="1" readingOrder="1"/>
    </xf>
    <xf numFmtId="0" fontId="16" fillId="0" borderId="4" xfId="0" applyFont="1" applyBorder="1" applyAlignment="1">
      <alignment horizontal="right" vertical="top" wrapText="1" readingOrder="1"/>
    </xf>
    <xf numFmtId="43" fontId="13" fillId="0" borderId="0" xfId="1" applyFont="1" applyFill="1" applyBorder="1" applyAlignment="1">
      <alignment horizontal="right" vertical="top" wrapText="1" readingOrder="1"/>
    </xf>
    <xf numFmtId="0" fontId="4" fillId="0" borderId="0" xfId="0" applyFont="1" applyAlignment="1">
      <alignment horizontal="right" vertical="top" wrapText="1" readingOrder="1"/>
    </xf>
    <xf numFmtId="0" fontId="5" fillId="0" borderId="4" xfId="0" applyFont="1" applyBorder="1" applyAlignment="1">
      <alignment horizontal="left" vertical="top" wrapText="1" readingOrder="1"/>
    </xf>
    <xf numFmtId="174" fontId="5" fillId="0" borderId="4" xfId="0" applyNumberFormat="1" applyFont="1" applyBorder="1" applyAlignment="1">
      <alignment horizontal="right" vertical="top" wrapText="1" readingOrder="1"/>
    </xf>
    <xf numFmtId="171"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2"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3" fillId="0" borderId="6" xfId="0" applyFont="1" applyBorder="1" applyAlignment="1">
      <alignment horizontal="right" vertical="top" wrapText="1" readingOrder="1"/>
    </xf>
    <xf numFmtId="0" fontId="0" fillId="0" borderId="0" xfId="0" applyAlignment="1">
      <alignment horizontal="center" vertical="top" readingOrder="1"/>
    </xf>
    <xf numFmtId="0" fontId="20" fillId="0" borderId="7" xfId="0" applyFont="1" applyBorder="1" applyAlignment="1">
      <alignment horizontal="center" vertical="center" wrapText="1"/>
    </xf>
    <xf numFmtId="0" fontId="18" fillId="0" borderId="7" xfId="0" applyFont="1" applyBorder="1" applyAlignment="1">
      <alignment vertical="center" wrapText="1"/>
    </xf>
    <xf numFmtId="0" fontId="18" fillId="0" borderId="7" xfId="0" applyFont="1" applyBorder="1" applyAlignment="1">
      <alignment horizontal="justify" vertical="center" wrapText="1"/>
    </xf>
    <xf numFmtId="173" fontId="16" fillId="0" borderId="4" xfId="0" applyNumberFormat="1" applyFont="1" applyBorder="1" applyAlignment="1">
      <alignment horizontal="left" vertical="center" wrapText="1" readingOrder="1"/>
    </xf>
    <xf numFmtId="14" fontId="18" fillId="0" borderId="7" xfId="0" quotePrefix="1" applyNumberFormat="1" applyFont="1" applyBorder="1" applyAlignment="1">
      <alignment horizontal="justify" vertical="center" wrapText="1"/>
    </xf>
    <xf numFmtId="0" fontId="13" fillId="0" borderId="0" xfId="0" applyFont="1" applyAlignment="1">
      <alignment horizontal="right" vertical="center" wrapText="1" readingOrder="1"/>
    </xf>
    <xf numFmtId="0" fontId="20" fillId="0" borderId="0" xfId="0" applyFont="1" applyAlignment="1">
      <alignment vertical="center" readingOrder="1"/>
    </xf>
    <xf numFmtId="0" fontId="20" fillId="0" borderId="0" xfId="0" applyFont="1" applyAlignment="1">
      <alignment horizontal="left" vertical="center" readingOrder="1"/>
    </xf>
    <xf numFmtId="0" fontId="21" fillId="0" borderId="0" xfId="0" applyFont="1" applyAlignment="1">
      <alignment vertical="center" wrapText="1"/>
    </xf>
    <xf numFmtId="0" fontId="21" fillId="0" borderId="7" xfId="0" applyFont="1" applyBorder="1" applyAlignment="1">
      <alignment horizontal="center" vertical="center" wrapText="1"/>
    </xf>
    <xf numFmtId="0" fontId="18" fillId="0" borderId="0" xfId="0" applyFont="1" applyAlignment="1">
      <alignment vertical="center"/>
    </xf>
    <xf numFmtId="0" fontId="18" fillId="0" borderId="7" xfId="0" applyFont="1" applyBorder="1" applyAlignment="1">
      <alignment vertical="center"/>
    </xf>
    <xf numFmtId="4" fontId="18" fillId="0" borderId="7" xfId="0" applyNumberFormat="1" applyFont="1" applyBorder="1" applyAlignment="1">
      <alignment vertical="center"/>
    </xf>
    <xf numFmtId="0" fontId="18" fillId="0" borderId="0" xfId="0" applyFont="1" applyAlignment="1">
      <alignment horizontal="center" vertical="center" readingOrder="1"/>
    </xf>
    <xf numFmtId="0" fontId="1" fillId="0" borderId="0" xfId="8" applyAlignment="1">
      <alignment wrapText="1"/>
    </xf>
    <xf numFmtId="2" fontId="18" fillId="0" borderId="7" xfId="0" applyNumberFormat="1" applyFont="1" applyBorder="1" applyAlignment="1">
      <alignment vertical="center"/>
    </xf>
    <xf numFmtId="0" fontId="17" fillId="0" borderId="0" xfId="8" applyFont="1" applyAlignment="1">
      <alignment horizontal="left" vertical="center" wrapText="1" readingOrder="1"/>
    </xf>
    <xf numFmtId="0" fontId="21" fillId="0" borderId="7" xfId="0" applyFont="1" applyBorder="1" applyAlignment="1">
      <alignment vertical="center" wrapText="1"/>
    </xf>
    <xf numFmtId="0" fontId="14" fillId="0" borderId="0" xfId="6" applyFont="1" applyAlignment="1">
      <alignment horizontal="center" vertical="center"/>
    </xf>
    <xf numFmtId="4" fontId="15" fillId="0" borderId="0" xfId="6" applyNumberFormat="1" applyFont="1"/>
    <xf numFmtId="0" fontId="21" fillId="0" borderId="7" xfId="6" applyFont="1" applyBorder="1" applyAlignment="1">
      <alignment horizontal="center" vertical="center"/>
    </xf>
    <xf numFmtId="0" fontId="21" fillId="0" borderId="0" xfId="6" applyFont="1" applyAlignment="1">
      <alignment horizontal="center" vertical="center"/>
    </xf>
    <xf numFmtId="0" fontId="22" fillId="0" borderId="7" xfId="6" applyFont="1" applyBorder="1" applyAlignment="1">
      <alignment vertical="center"/>
    </xf>
    <xf numFmtId="0" fontId="22" fillId="0" borderId="7" xfId="6" applyFont="1" applyBorder="1" applyAlignment="1">
      <alignment vertical="center" wrapText="1"/>
    </xf>
    <xf numFmtId="0" fontId="22" fillId="0" borderId="0" xfId="6" applyFont="1" applyAlignment="1">
      <alignment horizontal="center" vertical="center"/>
    </xf>
    <xf numFmtId="0" fontId="21" fillId="0" borderId="7" xfId="6" applyFont="1" applyBorder="1" applyAlignment="1">
      <alignment horizontal="center" vertical="center" wrapText="1"/>
    </xf>
    <xf numFmtId="0" fontId="12" fillId="0" borderId="0" xfId="6" applyFont="1" applyAlignment="1">
      <alignment horizontal="center" vertical="center"/>
    </xf>
    <xf numFmtId="0" fontId="22" fillId="0" borderId="7" xfId="6" applyFont="1" applyBorder="1" applyAlignment="1">
      <alignment horizontal="left" vertical="center"/>
    </xf>
    <xf numFmtId="4" fontId="22" fillId="0" borderId="7" xfId="6" applyNumberFormat="1" applyFont="1" applyBorder="1" applyAlignment="1">
      <alignment horizontal="right" vertical="center"/>
    </xf>
    <xf numFmtId="10" fontId="22" fillId="0" borderId="7" xfId="7" applyNumberFormat="1" applyFont="1" applyFill="1" applyBorder="1" applyAlignment="1">
      <alignment vertical="center"/>
    </xf>
    <xf numFmtId="164" fontId="23" fillId="0" borderId="0" xfId="4" applyFont="1" applyFill="1" applyAlignment="1">
      <alignment vertical="center"/>
    </xf>
    <xf numFmtId="164" fontId="22" fillId="0" borderId="0" xfId="4" applyFont="1" applyFill="1" applyAlignment="1">
      <alignment horizontal="center" vertical="center"/>
    </xf>
    <xf numFmtId="167" fontId="13"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8" fontId="13" fillId="0" borderId="4" xfId="0" applyNumberFormat="1" applyFont="1" applyBorder="1" applyAlignment="1">
      <alignment horizontal="right" vertical="center" wrapText="1" readingOrder="1"/>
    </xf>
    <xf numFmtId="165" fontId="13" fillId="0" borderId="4" xfId="0" applyNumberFormat="1" applyFont="1" applyBorder="1" applyAlignment="1">
      <alignment horizontal="right" vertical="center" wrapText="1" readingOrder="1"/>
    </xf>
    <xf numFmtId="175" fontId="16" fillId="0" borderId="4" xfId="0" applyNumberFormat="1" applyFont="1" applyBorder="1" applyAlignment="1">
      <alignment horizontal="left" vertical="center" wrapText="1" readingOrder="1"/>
    </xf>
    <xf numFmtId="164" fontId="0" fillId="0" borderId="0" xfId="4" applyFont="1" applyFill="1" applyAlignment="1">
      <alignment wrapText="1"/>
    </xf>
    <xf numFmtId="0" fontId="16" fillId="0" borderId="7"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13" fillId="0" borderId="1" xfId="0" applyFont="1" applyBorder="1" applyAlignment="1">
      <alignment horizontal="left" vertical="center" wrapText="1" readingOrder="1"/>
    </xf>
    <xf numFmtId="0" fontId="13" fillId="0" borderId="3" xfId="0" applyFont="1" applyBorder="1" applyAlignment="1">
      <alignment horizontal="left" vertical="center" wrapText="1" readingOrder="1"/>
    </xf>
    <xf numFmtId="0" fontId="13" fillId="0" borderId="0" xfId="0" applyFont="1" applyAlignment="1">
      <alignment horizontal="left" vertical="center" wrapText="1" readingOrder="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13" fillId="0" borderId="7" xfId="0" applyFont="1" applyBorder="1" applyAlignment="1">
      <alignment horizontal="left" vertical="center" wrapText="1" readingOrder="1"/>
    </xf>
    <xf numFmtId="0" fontId="13" fillId="0" borderId="8" xfId="0" applyFont="1" applyBorder="1" applyAlignment="1">
      <alignment horizontal="left" vertical="center" wrapText="1" readingOrder="1"/>
    </xf>
    <xf numFmtId="0" fontId="13" fillId="0" borderId="10" xfId="0" applyFont="1" applyBorder="1" applyAlignment="1">
      <alignment horizontal="left" vertical="center" wrapText="1" readingOrder="1"/>
    </xf>
    <xf numFmtId="0" fontId="13" fillId="0" borderId="9" xfId="0" applyFont="1" applyBorder="1" applyAlignment="1">
      <alignment horizontal="left" vertical="center" wrapText="1" readingOrder="1"/>
    </xf>
    <xf numFmtId="0" fontId="13" fillId="0" borderId="0" xfId="0" quotePrefix="1" applyFont="1" applyAlignment="1">
      <alignment horizontal="left" vertical="center" wrapText="1" readingOrder="1"/>
    </xf>
    <xf numFmtId="0" fontId="13" fillId="0" borderId="0" xfId="0" applyFont="1" applyAlignment="1">
      <alignment horizontal="justify" vertical="top" wrapText="1" readingOrder="1"/>
    </xf>
    <xf numFmtId="0" fontId="20" fillId="0" borderId="8" xfId="0" applyFont="1" applyBorder="1" applyAlignment="1">
      <alignment horizontal="left" vertical="center" readingOrder="1"/>
    </xf>
    <xf numFmtId="0" fontId="20" fillId="0" borderId="9" xfId="0" applyFont="1" applyBorder="1" applyAlignment="1">
      <alignment horizontal="left" vertical="center" readingOrder="1"/>
    </xf>
    <xf numFmtId="0" fontId="20" fillId="0" borderId="10" xfId="0" applyFont="1" applyBorder="1" applyAlignment="1">
      <alignment horizontal="left" vertical="center" readingOrder="1"/>
    </xf>
    <xf numFmtId="0" fontId="21" fillId="0" borderId="8" xfId="6" applyFont="1" applyBorder="1" applyAlignment="1">
      <alignment horizontal="center" vertical="center" wrapText="1"/>
    </xf>
    <xf numFmtId="0" fontId="21" fillId="0" borderId="10" xfId="6" applyFont="1" applyBorder="1" applyAlignment="1">
      <alignment horizontal="center" vertical="center" wrapText="1"/>
    </xf>
    <xf numFmtId="0" fontId="21" fillId="0" borderId="7" xfId="6" applyFont="1" applyBorder="1" applyAlignment="1">
      <alignment horizontal="center" vertical="center"/>
    </xf>
    <xf numFmtId="164" fontId="22" fillId="0" borderId="8" xfId="4" applyFont="1" applyFill="1" applyBorder="1" applyAlignment="1">
      <alignment horizontal="center" vertical="center"/>
    </xf>
    <xf numFmtId="164" fontId="22" fillId="0" borderId="10" xfId="4" applyFont="1" applyFill="1" applyBorder="1" applyAlignment="1">
      <alignment horizontal="center" vertical="center"/>
    </xf>
    <xf numFmtId="0" fontId="21" fillId="0" borderId="8" xfId="6" applyFont="1" applyBorder="1" applyAlignment="1">
      <alignment horizontal="center" vertical="center"/>
    </xf>
    <xf numFmtId="0" fontId="21" fillId="0" borderId="9" xfId="6" applyFont="1" applyBorder="1" applyAlignment="1">
      <alignment horizontal="center" vertical="center"/>
    </xf>
    <xf numFmtId="0" fontId="21" fillId="0" borderId="10" xfId="6" applyFont="1" applyBorder="1" applyAlignment="1">
      <alignment horizontal="center" vertical="center"/>
    </xf>
    <xf numFmtId="0" fontId="22" fillId="0" borderId="8" xfId="6" applyFont="1" applyBorder="1" applyAlignment="1">
      <alignment horizontal="left" vertical="center" wrapText="1"/>
    </xf>
    <xf numFmtId="0" fontId="22" fillId="0" borderId="9" xfId="6" applyFont="1" applyBorder="1" applyAlignment="1">
      <alignment horizontal="left" vertical="center" wrapText="1"/>
    </xf>
    <xf numFmtId="0" fontId="22" fillId="0" borderId="10" xfId="6" applyFont="1" applyBorder="1" applyAlignment="1">
      <alignment horizontal="left" vertical="center" wrapText="1"/>
    </xf>
  </cellXfs>
  <cellStyles count="10">
    <cellStyle name="Comma" xfId="1" builtinId="3"/>
    <cellStyle name="Comma 2" xfId="4" xr:uid="{AFB871D6-6AF7-460A-A8EE-6A0A6968CA48}"/>
    <cellStyle name="Hyperlink 2" xfId="2" xr:uid="{E8027BD0-44D6-4DD4-AD72-0D56BCB71DE7}"/>
    <cellStyle name="Normal" xfId="0" builtinId="0"/>
    <cellStyle name="Normal 2 2 2" xfId="8" xr:uid="{036B6A52-A45F-4705-965B-94D760B3A144}"/>
    <cellStyle name="Normal 2 2 3" xfId="6" xr:uid="{62336426-5AC8-4462-85BE-ADDC3AC48E0D}"/>
    <cellStyle name="Normal 2 3" xfId="9" xr:uid="{84ECD19E-B484-4097-AE22-568D9683AF46}"/>
    <cellStyle name="Normal 3" xfId="3" xr:uid="{AB4BDA73-CED8-4B7D-B81E-1215C899A9B7}"/>
    <cellStyle name="Percent 2" xfId="7" xr:uid="{4648FAF6-6CBD-4E9D-A4DC-5FF98AF85CEC}"/>
    <cellStyle name="Percent 3" xfId="5" xr:uid="{777F6C09-75BA-43C1-943A-7124339648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7AD37856-EAA3-4B3D-A8D8-CF77AD719FC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782050"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8B6F5456-608B-4101-BB84-EC47107F526C}"/>
            </a:ext>
          </a:extLst>
        </xdr:cNvPr>
        <xdr:cNvPicPr preferRelativeResize="0">
          <a:picLocks noChangeAspect="1"/>
        </xdr:cNvPicPr>
      </xdr:nvPicPr>
      <xdr:blipFill>
        <a:blip xmlns:r="http://schemas.openxmlformats.org/officeDocument/2006/relationships" r:embed="rId2"/>
        <a:stretch>
          <a:fillRect/>
        </a:stretch>
      </xdr:blipFill>
      <xdr:spPr>
        <a:xfrm>
          <a:off x="8766175"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34</xdr:row>
      <xdr:rowOff>161925</xdr:rowOff>
    </xdr:to>
    <xdr:pic>
      <xdr:nvPicPr>
        <xdr:cNvPr id="4" name="Picture 3">
          <a:extLst>
            <a:ext uri="{FF2B5EF4-FFF2-40B4-BE49-F238E27FC236}">
              <a16:creationId xmlns:a16="http://schemas.microsoft.com/office/drawing/2014/main" id="{2873337F-B981-41C4-AEB4-2FC8A40E1D0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10625"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34</xdr:row>
      <xdr:rowOff>180975</xdr:rowOff>
    </xdr:to>
    <xdr:pic>
      <xdr:nvPicPr>
        <xdr:cNvPr id="2" name="Picture 1">
          <a:extLst>
            <a:ext uri="{FF2B5EF4-FFF2-40B4-BE49-F238E27FC236}">
              <a16:creationId xmlns:a16="http://schemas.microsoft.com/office/drawing/2014/main" id="{ADE47F4E-630F-4628-BDDC-8E576624089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7725" y="5543550"/>
          <a:ext cx="3238500"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D6C04E98-1AE5-4C89-BFFA-9698BB5466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93416"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333BC841-3EED-4BED-A89A-11B9DE52954E}"/>
            </a:ext>
          </a:extLst>
        </xdr:cNvPr>
        <xdr:cNvPicPr>
          <a:picLocks noChangeAspect="1"/>
        </xdr:cNvPicPr>
      </xdr:nvPicPr>
      <xdr:blipFill>
        <a:blip xmlns:r="http://schemas.openxmlformats.org/officeDocument/2006/relationships" r:embed="rId3"/>
        <a:stretch>
          <a:fillRect/>
        </a:stretch>
      </xdr:blipFill>
      <xdr:spPr>
        <a:xfrm>
          <a:off x="8448675"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BBEC97ED-A89B-4D2C-A684-972F24007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DC6272F2-CA9D-490E-BB4C-B97A53DA681D}"/>
            </a:ext>
          </a:extLst>
        </xdr:cNvPr>
        <xdr:cNvPicPr preferRelativeResize="0">
          <a:picLocks noChangeAspect="1"/>
        </xdr:cNvPicPr>
      </xdr:nvPicPr>
      <xdr:blipFill>
        <a:blip xmlns:r="http://schemas.openxmlformats.org/officeDocument/2006/relationships" r:embed="rId2"/>
        <a:stretch>
          <a:fillRect/>
        </a:stretch>
      </xdr:blipFill>
      <xdr:spPr>
        <a:xfrm>
          <a:off x="8572499"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6E7412B8-AD40-4E8A-B4DD-477C94F920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5675"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34</xdr:row>
      <xdr:rowOff>266700</xdr:rowOff>
    </xdr:to>
    <xdr:pic>
      <xdr:nvPicPr>
        <xdr:cNvPr id="2" name="Picture 1">
          <a:extLst>
            <a:ext uri="{FF2B5EF4-FFF2-40B4-BE49-F238E27FC236}">
              <a16:creationId xmlns:a16="http://schemas.microsoft.com/office/drawing/2014/main" id="{7DE93B67-040A-44D8-B13D-D2B5DB160C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E8D982C3-28FF-4812-843E-8568889B7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7252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4" name="Picture 3">
          <a:extLst>
            <a:ext uri="{FF2B5EF4-FFF2-40B4-BE49-F238E27FC236}">
              <a16:creationId xmlns:a16="http://schemas.microsoft.com/office/drawing/2014/main" id="{76BF38BF-0C72-4F28-8283-7797C1D7481B}"/>
            </a:ext>
          </a:extLst>
        </xdr:cNvPr>
        <xdr:cNvPicPr>
          <a:picLocks noChangeAspect="1"/>
        </xdr:cNvPicPr>
      </xdr:nvPicPr>
      <xdr:blipFill>
        <a:blip xmlns:r="http://schemas.openxmlformats.org/officeDocument/2006/relationships" r:embed="rId3"/>
        <a:stretch>
          <a:fillRect/>
        </a:stretch>
      </xdr:blipFill>
      <xdr:spPr>
        <a:xfrm>
          <a:off x="875347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FBBEE528-42BC-4B60-B297-326139FE0B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5076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13459EC4-06B9-4F6D-BFD7-123F7F82A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0"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0</xdr:rowOff>
    </xdr:to>
    <xdr:pic>
      <xdr:nvPicPr>
        <xdr:cNvPr id="4" name="Picture 3">
          <a:extLst>
            <a:ext uri="{FF2B5EF4-FFF2-40B4-BE49-F238E27FC236}">
              <a16:creationId xmlns:a16="http://schemas.microsoft.com/office/drawing/2014/main" id="{914E5E39-09AF-4F99-88B6-5873F36D9C2A}"/>
            </a:ext>
          </a:extLst>
        </xdr:cNvPr>
        <xdr:cNvPicPr preferRelativeResize="0">
          <a:picLocks noChangeAspect="1"/>
        </xdr:cNvPicPr>
      </xdr:nvPicPr>
      <xdr:blipFill>
        <a:blip xmlns:r="http://schemas.openxmlformats.org/officeDocument/2006/relationships" r:embed="rId3"/>
        <a:stretch>
          <a:fillRect/>
        </a:stretch>
      </xdr:blipFill>
      <xdr:spPr>
        <a:xfrm>
          <a:off x="8934450"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61BC87F7-F2A4-401A-8490-9FD8EB177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9AC0C99E-3343-4027-87B3-84E5E9478A74}"/>
            </a:ext>
          </a:extLst>
        </xdr:cNvPr>
        <xdr:cNvPicPr preferRelativeResize="0">
          <a:picLocks noChangeAspect="1"/>
        </xdr:cNvPicPr>
      </xdr:nvPicPr>
      <xdr:blipFill>
        <a:blip xmlns:r="http://schemas.openxmlformats.org/officeDocument/2006/relationships" r:embed="rId2"/>
        <a:stretch>
          <a:fillRect/>
        </a:stretch>
      </xdr:blipFill>
      <xdr:spPr>
        <a:xfrm>
          <a:off x="8067676" y="400050"/>
          <a:ext cx="3276600" cy="2032000"/>
        </a:xfrm>
        <a:prstGeom prst="rect">
          <a:avLst/>
        </a:prstGeom>
      </xdr:spPr>
    </xdr:pic>
    <xdr:clientData/>
  </xdr:twoCellAnchor>
  <xdr:twoCellAnchor editAs="oneCell">
    <xdr:from>
      <xdr:col>9</xdr:col>
      <xdr:colOff>47626</xdr:colOff>
      <xdr:row>27</xdr:row>
      <xdr:rowOff>66674</xdr:rowOff>
    </xdr:from>
    <xdr:to>
      <xdr:col>9</xdr:col>
      <xdr:colOff>3324224</xdr:colOff>
      <xdr:row>34</xdr:row>
      <xdr:rowOff>244473</xdr:rowOff>
    </xdr:to>
    <xdr:pic>
      <xdr:nvPicPr>
        <xdr:cNvPr id="4" name="Picture 3">
          <a:extLst>
            <a:ext uri="{FF2B5EF4-FFF2-40B4-BE49-F238E27FC236}">
              <a16:creationId xmlns:a16="http://schemas.microsoft.com/office/drawing/2014/main" id="{7BF16B6D-17D9-4D09-A966-CCBFA54974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67676" y="512444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33</xdr:row>
      <xdr:rowOff>168274</xdr:rowOff>
    </xdr:to>
    <xdr:pic>
      <xdr:nvPicPr>
        <xdr:cNvPr id="2" name="Picture 1">
          <a:extLst>
            <a:ext uri="{FF2B5EF4-FFF2-40B4-BE49-F238E27FC236}">
              <a16:creationId xmlns:a16="http://schemas.microsoft.com/office/drawing/2014/main" id="{FCF063F2-8AC1-442F-B5B2-9F0AC60BF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2"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174EDE69-AD1A-44F2-AF5C-6E9F1C191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82050"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12</xdr:row>
      <xdr:rowOff>104776</xdr:rowOff>
    </xdr:to>
    <xdr:pic>
      <xdr:nvPicPr>
        <xdr:cNvPr id="4" name="Picture 3">
          <a:extLst>
            <a:ext uri="{FF2B5EF4-FFF2-40B4-BE49-F238E27FC236}">
              <a16:creationId xmlns:a16="http://schemas.microsoft.com/office/drawing/2014/main" id="{FC7A4A19-9F46-4D9D-A4DD-388B3A8BFFB8}"/>
            </a:ext>
          </a:extLst>
        </xdr:cNvPr>
        <xdr:cNvPicPr preferRelativeResize="0">
          <a:picLocks noChangeAspect="1"/>
        </xdr:cNvPicPr>
      </xdr:nvPicPr>
      <xdr:blipFill>
        <a:blip xmlns:r="http://schemas.openxmlformats.org/officeDocument/2006/relationships" r:embed="rId3"/>
        <a:stretch>
          <a:fillRect/>
        </a:stretch>
      </xdr:blipFill>
      <xdr:spPr>
        <a:xfrm>
          <a:off x="8763000" y="419101"/>
          <a:ext cx="3276600" cy="1962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5DC49870-8BC8-4F97-884A-5386F52679AE}"/>
            </a:ext>
          </a:extLst>
        </xdr:cNvPr>
        <xdr:cNvPicPr>
          <a:picLocks noChangeAspect="1"/>
        </xdr:cNvPicPr>
      </xdr:nvPicPr>
      <xdr:blipFill>
        <a:blip xmlns:r="http://schemas.openxmlformats.org/officeDocument/2006/relationships" r:embed="rId1"/>
        <a:stretch>
          <a:fillRect/>
        </a:stretch>
      </xdr:blipFill>
      <xdr:spPr>
        <a:xfrm>
          <a:off x="8477251"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65F6FBAE-2815-44D2-B67F-A2D5FA660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96300"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DB834D9E-F234-43C9-AED8-94FFA379F9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05827"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23</xdr:row>
      <xdr:rowOff>303239</xdr:rowOff>
    </xdr:to>
    <xdr:pic>
      <xdr:nvPicPr>
        <xdr:cNvPr id="2" name="Picture 1">
          <a:extLst>
            <a:ext uri="{FF2B5EF4-FFF2-40B4-BE49-F238E27FC236}">
              <a16:creationId xmlns:a16="http://schemas.microsoft.com/office/drawing/2014/main" id="{A0235365-D603-479A-8DE6-2AB06FD75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3200400"/>
          <a:ext cx="3267076" cy="1836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C92F929A-122B-4C3D-A07F-A2C445ECBEA6}"/>
            </a:ext>
          </a:extLst>
        </xdr:cNvPr>
        <xdr:cNvPicPr>
          <a:picLocks/>
        </xdr:cNvPicPr>
      </xdr:nvPicPr>
      <xdr:blipFill>
        <a:blip xmlns:r="http://schemas.openxmlformats.org/officeDocument/2006/relationships" r:embed="rId2"/>
        <a:stretch>
          <a:fillRect/>
        </a:stretch>
      </xdr:blipFill>
      <xdr:spPr>
        <a:xfrm>
          <a:off x="87630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E7F18CBD-7525-4FA5-A28E-B03B509D16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6"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FD3EB6E0-ECB1-4782-9855-3291035C9C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4"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5D880041-7E0F-4C41-923C-4951817F84B4}"/>
            </a:ext>
          </a:extLst>
        </xdr:cNvPr>
        <xdr:cNvPicPr>
          <a:picLocks noChangeAspect="1"/>
        </xdr:cNvPicPr>
      </xdr:nvPicPr>
      <xdr:blipFill>
        <a:blip xmlns:r="http://schemas.openxmlformats.org/officeDocument/2006/relationships" r:embed="rId2"/>
        <a:stretch>
          <a:fillRect/>
        </a:stretch>
      </xdr:blipFill>
      <xdr:spPr>
        <a:xfrm>
          <a:off x="8601075"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4044F-34A5-464E-96B3-6701E09134BD}">
  <dimension ref="A1:C11"/>
  <sheetViews>
    <sheetView tabSelected="1" workbookViewId="0"/>
  </sheetViews>
  <sheetFormatPr defaultColWidth="8.85546875" defaultRowHeight="15" x14ac:dyDescent="0.25"/>
  <cols>
    <col min="1" max="1" width="6.140625" style="20" bestFit="1" customWidth="1"/>
    <col min="2" max="2" width="10.85546875" style="20" bestFit="1" customWidth="1"/>
    <col min="3" max="3" width="35" style="20" bestFit="1" customWidth="1"/>
    <col min="4" max="16384" width="8.85546875" style="20"/>
  </cols>
  <sheetData>
    <row r="1" spans="1:3" x14ac:dyDescent="0.25">
      <c r="A1" s="18" t="s">
        <v>620</v>
      </c>
      <c r="B1" s="19" t="s">
        <v>621</v>
      </c>
      <c r="C1" s="19" t="s">
        <v>622</v>
      </c>
    </row>
    <row r="2" spans="1:3" x14ac:dyDescent="0.25">
      <c r="A2" s="21">
        <v>1</v>
      </c>
      <c r="B2" s="22" t="s">
        <v>623</v>
      </c>
      <c r="C2" s="23" t="s">
        <v>1</v>
      </c>
    </row>
    <row r="3" spans="1:3" x14ac:dyDescent="0.25">
      <c r="A3" s="21">
        <v>2</v>
      </c>
      <c r="B3" s="22" t="s">
        <v>624</v>
      </c>
      <c r="C3" s="23" t="s">
        <v>114</v>
      </c>
    </row>
    <row r="4" spans="1:3" x14ac:dyDescent="0.25">
      <c r="A4" s="21">
        <v>3</v>
      </c>
      <c r="B4" s="22" t="s">
        <v>625</v>
      </c>
      <c r="C4" s="23" t="s">
        <v>141</v>
      </c>
    </row>
    <row r="5" spans="1:3" x14ac:dyDescent="0.25">
      <c r="A5" s="21">
        <v>4</v>
      </c>
      <c r="B5" s="22" t="s">
        <v>626</v>
      </c>
      <c r="C5" s="23" t="s">
        <v>189</v>
      </c>
    </row>
    <row r="6" spans="1:3" x14ac:dyDescent="0.25">
      <c r="A6" s="21">
        <v>5</v>
      </c>
      <c r="B6" s="22" t="s">
        <v>627</v>
      </c>
      <c r="C6" s="23" t="s">
        <v>240</v>
      </c>
    </row>
    <row r="7" spans="1:3" x14ac:dyDescent="0.25">
      <c r="A7" s="21">
        <v>6</v>
      </c>
      <c r="B7" s="22" t="s">
        <v>628</v>
      </c>
      <c r="C7" s="23" t="s">
        <v>377</v>
      </c>
    </row>
    <row r="8" spans="1:3" x14ac:dyDescent="0.25">
      <c r="A8" s="21">
        <v>7</v>
      </c>
      <c r="B8" s="22" t="s">
        <v>629</v>
      </c>
      <c r="C8" s="23" t="s">
        <v>391</v>
      </c>
    </row>
    <row r="9" spans="1:3" x14ac:dyDescent="0.25">
      <c r="A9" s="21">
        <v>8</v>
      </c>
      <c r="B9" s="22" t="s">
        <v>630</v>
      </c>
      <c r="C9" s="23" t="s">
        <v>448</v>
      </c>
    </row>
    <row r="10" spans="1:3" x14ac:dyDescent="0.25">
      <c r="A10" s="21">
        <v>9</v>
      </c>
      <c r="B10" s="22" t="s">
        <v>631</v>
      </c>
      <c r="C10" s="23" t="s">
        <v>452</v>
      </c>
    </row>
    <row r="11" spans="1:3" x14ac:dyDescent="0.25">
      <c r="A11" s="21">
        <v>10</v>
      </c>
      <c r="B11" s="22" t="s">
        <v>632</v>
      </c>
      <c r="C11" s="23" t="s">
        <v>517</v>
      </c>
    </row>
  </sheetData>
  <hyperlinks>
    <hyperlink ref="B3" location="SFRSTP!A1" display="SFRSTP" xr:uid="{0E7523D8-D264-461E-9912-A20520EFF91B}"/>
    <hyperlink ref="B4" location="SMMF!A1" display="SMMF" xr:uid="{25309F80-6A5A-4F5C-B629-57E280972B12}"/>
    <hyperlink ref="B5" location="SPLDF!A1" display="SPLDF" xr:uid="{DB31293D-239A-4AE9-A5C4-F887E5EE7B1F}"/>
    <hyperlink ref="B6" location="SPMON!A1" display="SPMON" xr:uid="{27C7EE21-2B6C-476B-97F8-67C21B4D08DF}"/>
    <hyperlink ref="B7" location="SPSDF!A1" display="SPSDF" xr:uid="{F4E6C8E3-3199-4400-A118-BBB139E8E528}"/>
    <hyperlink ref="B8" location="SPUSDF!A1" display="SPUSDF" xr:uid="{6A8EE55B-B648-4C9B-85B4-3C7EB54652A1}"/>
    <hyperlink ref="B9" location="SUNBDS!A1" display="SUNBDS" xr:uid="{830263AA-EE9F-4FC0-8A13-2FA76C4F6BFB}"/>
    <hyperlink ref="B10" location="SUNMIA!A1" display="SUNMIA" xr:uid="{AD4A1399-BFD4-4B7A-B05C-A131E1A68292}"/>
    <hyperlink ref="B11" location="SUNONF!A1" display="SUNONF" xr:uid="{9BC88388-4D91-4F03-8B6E-D30DF99AD86E}"/>
    <hyperlink ref="B2" location="SFRLTP!A1" display="SFRLTP" xr:uid="{52D58A74-39B9-40B1-A5D2-6B59DD497C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8D0E-7A7B-41AE-8B7D-59192AAA26D7}">
  <sheetPr>
    <outlinePr summaryBelow="0" summaryRight="0"/>
  </sheetPr>
  <dimension ref="A1:R143"/>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1</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row>
    <row r="15" spans="1:11" ht="25.5" x14ac:dyDescent="0.2">
      <c r="A15" s="26"/>
      <c r="B15" s="26"/>
      <c r="C15" s="27" t="s">
        <v>16</v>
      </c>
      <c r="D15" s="26"/>
      <c r="E15" s="26"/>
      <c r="F15" s="26"/>
      <c r="G15" s="26"/>
      <c r="H15" s="28" t="s">
        <v>12</v>
      </c>
      <c r="J15" s="7" t="s">
        <v>599</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x14ac:dyDescent="0.2">
      <c r="A27" s="26"/>
      <c r="B27" s="26"/>
      <c r="C27" s="27" t="s">
        <v>10</v>
      </c>
      <c r="D27" s="26"/>
      <c r="E27" s="26"/>
      <c r="F27" s="32"/>
      <c r="G27" s="32"/>
      <c r="H27" s="28" t="s">
        <v>12</v>
      </c>
      <c r="J27" s="7"/>
    </row>
    <row r="28" spans="1:10" ht="25.5" x14ac:dyDescent="0.2">
      <c r="A28" s="34">
        <v>1</v>
      </c>
      <c r="B28" s="35" t="s">
        <v>21</v>
      </c>
      <c r="C28" s="35" t="s">
        <v>22</v>
      </c>
      <c r="D28" s="35" t="s">
        <v>23</v>
      </c>
      <c r="E28" s="36">
        <v>5000</v>
      </c>
      <c r="F28" s="37">
        <v>5047.32</v>
      </c>
      <c r="G28" s="38">
        <v>7.0000279999999998E-2</v>
      </c>
      <c r="H28" s="28">
        <v>7.5454999999999997</v>
      </c>
      <c r="J28" s="7" t="s">
        <v>600</v>
      </c>
    </row>
    <row r="29" spans="1:10" ht="25.5" x14ac:dyDescent="0.2">
      <c r="A29" s="34">
        <v>2</v>
      </c>
      <c r="B29" s="35" t="s">
        <v>24</v>
      </c>
      <c r="C29" s="35" t="s">
        <v>25</v>
      </c>
      <c r="D29" s="35" t="s">
        <v>23</v>
      </c>
      <c r="E29" s="36">
        <v>4000</v>
      </c>
      <c r="F29" s="37">
        <v>4016.768</v>
      </c>
      <c r="G29" s="38">
        <v>5.5707760000000002E-2</v>
      </c>
      <c r="H29" s="28">
        <v>7.28</v>
      </c>
      <c r="J29" s="7"/>
    </row>
    <row r="30" spans="1:10" x14ac:dyDescent="0.2">
      <c r="A30" s="34">
        <v>3</v>
      </c>
      <c r="B30" s="35" t="s">
        <v>26</v>
      </c>
      <c r="C30" s="35" t="s">
        <v>27</v>
      </c>
      <c r="D30" s="35" t="s">
        <v>23</v>
      </c>
      <c r="E30" s="36">
        <v>4000</v>
      </c>
      <c r="F30" s="37">
        <v>3989.3679999999999</v>
      </c>
      <c r="G30" s="38">
        <v>5.5327750000000002E-2</v>
      </c>
      <c r="H30" s="28">
        <v>7.54</v>
      </c>
    </row>
    <row r="31" spans="1:10" x14ac:dyDescent="0.2">
      <c r="A31" s="34">
        <v>4</v>
      </c>
      <c r="B31" s="35" t="s">
        <v>28</v>
      </c>
      <c r="C31" s="35" t="s">
        <v>29</v>
      </c>
      <c r="D31" s="35" t="s">
        <v>23</v>
      </c>
      <c r="E31" s="36">
        <v>300</v>
      </c>
      <c r="F31" s="37">
        <v>2993.451</v>
      </c>
      <c r="G31" s="38">
        <v>4.1515580000000003E-2</v>
      </c>
      <c r="H31" s="28">
        <v>7.75</v>
      </c>
    </row>
    <row r="32" spans="1:10" ht="25.5" x14ac:dyDescent="0.2">
      <c r="A32" s="34">
        <v>5</v>
      </c>
      <c r="B32" s="35" t="s">
        <v>30</v>
      </c>
      <c r="C32" s="35" t="s">
        <v>31</v>
      </c>
      <c r="D32" s="35" t="s">
        <v>32</v>
      </c>
      <c r="E32" s="36">
        <v>2500</v>
      </c>
      <c r="F32" s="37">
        <v>2518.1975000000002</v>
      </c>
      <c r="G32" s="38">
        <v>3.4924379999999998E-2</v>
      </c>
      <c r="H32" s="28">
        <v>7.4702000000000002</v>
      </c>
    </row>
    <row r="33" spans="1:8" ht="25.5" x14ac:dyDescent="0.2">
      <c r="A33" s="34">
        <v>6</v>
      </c>
      <c r="B33" s="35" t="s">
        <v>33</v>
      </c>
      <c r="C33" s="35" t="s">
        <v>34</v>
      </c>
      <c r="D33" s="35" t="s">
        <v>23</v>
      </c>
      <c r="E33" s="36">
        <v>2500</v>
      </c>
      <c r="F33" s="37">
        <v>2514.665</v>
      </c>
      <c r="G33" s="38">
        <v>3.4875389999999999E-2</v>
      </c>
      <c r="H33" s="28">
        <v>7.4497</v>
      </c>
    </row>
    <row r="34" spans="1:8" ht="25.5" x14ac:dyDescent="0.2">
      <c r="A34" s="34">
        <v>7</v>
      </c>
      <c r="B34" s="35" t="s">
        <v>35</v>
      </c>
      <c r="C34" s="35" t="s">
        <v>36</v>
      </c>
      <c r="D34" s="35" t="s">
        <v>23</v>
      </c>
      <c r="E34" s="36">
        <v>2500</v>
      </c>
      <c r="F34" s="37">
        <v>2509.7150000000001</v>
      </c>
      <c r="G34" s="38">
        <v>3.4806740000000003E-2</v>
      </c>
      <c r="H34" s="28">
        <v>7.2755000000000001</v>
      </c>
    </row>
    <row r="35" spans="1:8" ht="25.5" x14ac:dyDescent="0.2">
      <c r="A35" s="34">
        <v>8</v>
      </c>
      <c r="B35" s="35" t="s">
        <v>37</v>
      </c>
      <c r="C35" s="35" t="s">
        <v>38</v>
      </c>
      <c r="D35" s="35" t="s">
        <v>23</v>
      </c>
      <c r="E35" s="36">
        <v>2500</v>
      </c>
      <c r="F35" s="37">
        <v>2509.355</v>
      </c>
      <c r="G35" s="38">
        <v>3.4801749999999999E-2</v>
      </c>
      <c r="H35" s="28">
        <v>7.58</v>
      </c>
    </row>
    <row r="36" spans="1:8" x14ac:dyDescent="0.2">
      <c r="A36" s="34">
        <v>9</v>
      </c>
      <c r="B36" s="35" t="s">
        <v>39</v>
      </c>
      <c r="C36" s="35" t="s">
        <v>40</v>
      </c>
      <c r="D36" s="35" t="s">
        <v>23</v>
      </c>
      <c r="E36" s="36">
        <v>2500</v>
      </c>
      <c r="F36" s="37">
        <v>2498.48</v>
      </c>
      <c r="G36" s="38">
        <v>3.4650920000000002E-2</v>
      </c>
      <c r="H36" s="28">
        <v>7.4649999999999999</v>
      </c>
    </row>
    <row r="37" spans="1:8" x14ac:dyDescent="0.2">
      <c r="A37" s="34">
        <v>10</v>
      </c>
      <c r="B37" s="35" t="s">
        <v>41</v>
      </c>
      <c r="C37" s="35" t="s">
        <v>42</v>
      </c>
      <c r="D37" s="35" t="s">
        <v>23</v>
      </c>
      <c r="E37" s="36">
        <v>2500</v>
      </c>
      <c r="F37" s="37">
        <v>2494.3775000000001</v>
      </c>
      <c r="G37" s="38">
        <v>3.4594029999999998E-2</v>
      </c>
      <c r="H37" s="28">
        <v>7.585</v>
      </c>
    </row>
    <row r="38" spans="1:8" ht="25.5" x14ac:dyDescent="0.2">
      <c r="A38" s="34">
        <v>11</v>
      </c>
      <c r="B38" s="35" t="s">
        <v>43</v>
      </c>
      <c r="C38" s="35" t="s">
        <v>44</v>
      </c>
      <c r="D38" s="35" t="s">
        <v>23</v>
      </c>
      <c r="E38" s="36">
        <v>2500</v>
      </c>
      <c r="F38" s="37">
        <v>2487.2474999999999</v>
      </c>
      <c r="G38" s="38">
        <v>3.4495140000000001E-2</v>
      </c>
      <c r="H38" s="28">
        <v>7.5</v>
      </c>
    </row>
    <row r="39" spans="1:8" x14ac:dyDescent="0.2">
      <c r="A39" s="34">
        <v>12</v>
      </c>
      <c r="B39" s="35" t="s">
        <v>45</v>
      </c>
      <c r="C39" s="35" t="s">
        <v>46</v>
      </c>
      <c r="D39" s="35" t="s">
        <v>23</v>
      </c>
      <c r="E39" s="36">
        <v>2500</v>
      </c>
      <c r="F39" s="37">
        <v>2486.0174999999999</v>
      </c>
      <c r="G39" s="38">
        <v>3.4478080000000001E-2</v>
      </c>
      <c r="H39" s="28">
        <v>7.54</v>
      </c>
    </row>
    <row r="40" spans="1:8" ht="25.5" x14ac:dyDescent="0.2">
      <c r="A40" s="34">
        <v>13</v>
      </c>
      <c r="B40" s="35" t="s">
        <v>47</v>
      </c>
      <c r="C40" s="35" t="s">
        <v>48</v>
      </c>
      <c r="D40" s="35" t="s">
        <v>23</v>
      </c>
      <c r="E40" s="36">
        <v>2000</v>
      </c>
      <c r="F40" s="37">
        <v>2018.348</v>
      </c>
      <c r="G40" s="38">
        <v>2.7992070000000001E-2</v>
      </c>
      <c r="H40" s="28">
        <v>7.3449999999999998</v>
      </c>
    </row>
    <row r="41" spans="1:8" ht="25.5" x14ac:dyDescent="0.2">
      <c r="A41" s="34">
        <v>14</v>
      </c>
      <c r="B41" s="35" t="s">
        <v>49</v>
      </c>
      <c r="C41" s="35" t="s">
        <v>50</v>
      </c>
      <c r="D41" s="35" t="s">
        <v>32</v>
      </c>
      <c r="E41" s="36">
        <v>200</v>
      </c>
      <c r="F41" s="37">
        <v>2005.5219999999999</v>
      </c>
      <c r="G41" s="38">
        <v>2.7814189999999999E-2</v>
      </c>
      <c r="H41" s="28">
        <v>7.3250000000000002</v>
      </c>
    </row>
    <row r="42" spans="1:8" x14ac:dyDescent="0.2">
      <c r="A42" s="34">
        <v>15</v>
      </c>
      <c r="B42" s="35" t="s">
        <v>51</v>
      </c>
      <c r="C42" s="35" t="s">
        <v>52</v>
      </c>
      <c r="D42" s="35" t="s">
        <v>23</v>
      </c>
      <c r="E42" s="36">
        <v>2000</v>
      </c>
      <c r="F42" s="37">
        <v>1998.65</v>
      </c>
      <c r="G42" s="38">
        <v>2.7718880000000001E-2</v>
      </c>
      <c r="H42" s="28">
        <v>7.8265000000000002</v>
      </c>
    </row>
    <row r="43" spans="1:8" ht="25.5" x14ac:dyDescent="0.2">
      <c r="A43" s="34">
        <v>16</v>
      </c>
      <c r="B43" s="35" t="s">
        <v>53</v>
      </c>
      <c r="C43" s="35" t="s">
        <v>54</v>
      </c>
      <c r="D43" s="35" t="s">
        <v>23</v>
      </c>
      <c r="E43" s="36">
        <v>1500</v>
      </c>
      <c r="F43" s="37">
        <v>1520.0625</v>
      </c>
      <c r="G43" s="38">
        <v>2.1081450000000002E-2</v>
      </c>
      <c r="H43" s="28">
        <v>7.5724999999999998</v>
      </c>
    </row>
    <row r="44" spans="1:8" x14ac:dyDescent="0.2">
      <c r="A44" s="34">
        <v>17</v>
      </c>
      <c r="B44" s="35" t="s">
        <v>55</v>
      </c>
      <c r="C44" s="35" t="s">
        <v>56</v>
      </c>
      <c r="D44" s="35" t="s">
        <v>23</v>
      </c>
      <c r="E44" s="36">
        <v>1500</v>
      </c>
      <c r="F44" s="37">
        <v>1504.9425000000001</v>
      </c>
      <c r="G44" s="38">
        <v>2.0871750000000001E-2</v>
      </c>
      <c r="H44" s="28">
        <v>7.585</v>
      </c>
    </row>
    <row r="45" spans="1:8" ht="25.5" x14ac:dyDescent="0.2">
      <c r="A45" s="34">
        <v>18</v>
      </c>
      <c r="B45" s="35" t="s">
        <v>57</v>
      </c>
      <c r="C45" s="35" t="s">
        <v>58</v>
      </c>
      <c r="D45" s="35" t="s">
        <v>23</v>
      </c>
      <c r="E45" s="36">
        <v>1500</v>
      </c>
      <c r="F45" s="37">
        <v>1496.376</v>
      </c>
      <c r="G45" s="38">
        <v>2.0752940000000001E-2</v>
      </c>
      <c r="H45" s="28">
        <v>7.7050000000000001</v>
      </c>
    </row>
    <row r="46" spans="1:8" x14ac:dyDescent="0.2">
      <c r="A46" s="34">
        <v>19</v>
      </c>
      <c r="B46" s="35" t="s">
        <v>59</v>
      </c>
      <c r="C46" s="35" t="s">
        <v>60</v>
      </c>
      <c r="D46" s="35" t="s">
        <v>23</v>
      </c>
      <c r="E46" s="36">
        <v>100</v>
      </c>
      <c r="F46" s="37">
        <v>1005.1079999999999</v>
      </c>
      <c r="G46" s="38">
        <v>1.393964E-2</v>
      </c>
      <c r="H46" s="28">
        <v>7.7477999999999998</v>
      </c>
    </row>
    <row r="47" spans="1:8" ht="25.5" x14ac:dyDescent="0.2">
      <c r="A47" s="34">
        <v>20</v>
      </c>
      <c r="B47" s="35" t="s">
        <v>61</v>
      </c>
      <c r="C47" s="35" t="s">
        <v>62</v>
      </c>
      <c r="D47" s="35" t="s">
        <v>23</v>
      </c>
      <c r="E47" s="36">
        <v>1000</v>
      </c>
      <c r="F47" s="37">
        <v>998.80200000000002</v>
      </c>
      <c r="G47" s="38">
        <v>1.385219E-2</v>
      </c>
      <c r="H47" s="28">
        <v>8.2200000000000006</v>
      </c>
    </row>
    <row r="48" spans="1:8" ht="25.5" x14ac:dyDescent="0.2">
      <c r="A48" s="34">
        <v>21</v>
      </c>
      <c r="B48" s="35" t="s">
        <v>63</v>
      </c>
      <c r="C48" s="35" t="s">
        <v>64</v>
      </c>
      <c r="D48" s="35" t="s">
        <v>23</v>
      </c>
      <c r="E48" s="36">
        <v>1000</v>
      </c>
      <c r="F48" s="37">
        <v>995.58799999999997</v>
      </c>
      <c r="G48" s="38">
        <v>1.380761E-2</v>
      </c>
      <c r="H48" s="28">
        <v>7.6749999999999998</v>
      </c>
    </row>
    <row r="49" spans="1:8" ht="25.5" x14ac:dyDescent="0.2">
      <c r="A49" s="34">
        <v>22</v>
      </c>
      <c r="B49" s="35" t="s">
        <v>65</v>
      </c>
      <c r="C49" s="35" t="s">
        <v>66</v>
      </c>
      <c r="D49" s="35" t="s">
        <v>32</v>
      </c>
      <c r="E49" s="36">
        <v>50</v>
      </c>
      <c r="F49" s="37">
        <v>497.238</v>
      </c>
      <c r="G49" s="38">
        <v>6.8960999999999996E-3</v>
      </c>
      <c r="H49" s="28">
        <v>7.4790000000000001</v>
      </c>
    </row>
    <row r="50" spans="1:8" x14ac:dyDescent="0.2">
      <c r="A50" s="26"/>
      <c r="B50" s="26"/>
      <c r="C50" s="27" t="s">
        <v>11</v>
      </c>
      <c r="D50" s="26"/>
      <c r="E50" s="26" t="s">
        <v>12</v>
      </c>
      <c r="F50" s="33">
        <v>50105.599000000002</v>
      </c>
      <c r="G50" s="30">
        <v>0.69490461999999997</v>
      </c>
      <c r="H50" s="28" t="s">
        <v>12</v>
      </c>
    </row>
    <row r="51" spans="1:8" x14ac:dyDescent="0.2">
      <c r="A51" s="26"/>
      <c r="B51" s="26"/>
      <c r="C51" s="31"/>
      <c r="D51" s="26"/>
      <c r="E51" s="26"/>
      <c r="F51" s="32"/>
      <c r="G51" s="32"/>
      <c r="H51" s="28" t="s">
        <v>12</v>
      </c>
    </row>
    <row r="52" spans="1:8" x14ac:dyDescent="0.2">
      <c r="A52" s="26"/>
      <c r="B52" s="26"/>
      <c r="C52" s="27" t="s">
        <v>67</v>
      </c>
      <c r="D52" s="26"/>
      <c r="E52" s="26"/>
      <c r="F52" s="26"/>
      <c r="G52" s="26"/>
      <c r="H52" s="28" t="s">
        <v>12</v>
      </c>
    </row>
    <row r="53" spans="1:8" x14ac:dyDescent="0.2">
      <c r="A53" s="26"/>
      <c r="B53" s="26"/>
      <c r="C53" s="27" t="s">
        <v>11</v>
      </c>
      <c r="D53" s="26"/>
      <c r="E53" s="26" t="s">
        <v>12</v>
      </c>
      <c r="F53" s="29" t="s">
        <v>13</v>
      </c>
      <c r="G53" s="30">
        <v>0</v>
      </c>
      <c r="H53" s="28" t="s">
        <v>12</v>
      </c>
    </row>
    <row r="54" spans="1:8" x14ac:dyDescent="0.2">
      <c r="A54" s="26"/>
      <c r="B54" s="26"/>
      <c r="C54" s="31"/>
      <c r="D54" s="26"/>
      <c r="E54" s="26"/>
      <c r="F54" s="32"/>
      <c r="G54" s="32"/>
      <c r="H54" s="28" t="s">
        <v>12</v>
      </c>
    </row>
    <row r="55" spans="1:8" x14ac:dyDescent="0.2">
      <c r="A55" s="26"/>
      <c r="B55" s="26"/>
      <c r="C55" s="27" t="s">
        <v>68</v>
      </c>
      <c r="D55" s="26"/>
      <c r="E55" s="26"/>
      <c r="F55" s="26"/>
      <c r="G55" s="26"/>
      <c r="H55" s="28" t="s">
        <v>12</v>
      </c>
    </row>
    <row r="56" spans="1:8" x14ac:dyDescent="0.2">
      <c r="A56" s="34">
        <v>1</v>
      </c>
      <c r="B56" s="35" t="s">
        <v>69</v>
      </c>
      <c r="C56" s="35" t="s">
        <v>70</v>
      </c>
      <c r="D56" s="35" t="s">
        <v>71</v>
      </c>
      <c r="E56" s="36">
        <v>8000000</v>
      </c>
      <c r="F56" s="37">
        <v>8191.848</v>
      </c>
      <c r="G56" s="38">
        <v>0.11361111</v>
      </c>
      <c r="H56" s="28">
        <v>6.9313000000000002</v>
      </c>
    </row>
    <row r="57" spans="1:8" ht="25.5" x14ac:dyDescent="0.2">
      <c r="A57" s="34">
        <v>2</v>
      </c>
      <c r="B57" s="35" t="s">
        <v>72</v>
      </c>
      <c r="C57" s="35" t="s">
        <v>73</v>
      </c>
      <c r="D57" s="35" t="s">
        <v>71</v>
      </c>
      <c r="E57" s="36">
        <v>5000000</v>
      </c>
      <c r="F57" s="37">
        <v>5106.5550000000003</v>
      </c>
      <c r="G57" s="38">
        <v>7.0821800000000004E-2</v>
      </c>
      <c r="H57" s="28">
        <v>6.9077000000000002</v>
      </c>
    </row>
    <row r="58" spans="1:8" x14ac:dyDescent="0.2">
      <c r="A58" s="34">
        <v>3</v>
      </c>
      <c r="B58" s="35" t="s">
        <v>74</v>
      </c>
      <c r="C58" s="35" t="s">
        <v>75</v>
      </c>
      <c r="D58" s="35" t="s">
        <v>71</v>
      </c>
      <c r="E58" s="36">
        <v>2000000</v>
      </c>
      <c r="F58" s="37">
        <v>2055.9560000000001</v>
      </c>
      <c r="G58" s="38">
        <v>2.8513650000000001E-2</v>
      </c>
      <c r="H58" s="28">
        <v>6.8685999999999998</v>
      </c>
    </row>
    <row r="59" spans="1:8" x14ac:dyDescent="0.2">
      <c r="A59" s="34">
        <v>4</v>
      </c>
      <c r="B59" s="35" t="s">
        <v>76</v>
      </c>
      <c r="C59" s="35" t="s">
        <v>77</v>
      </c>
      <c r="D59" s="35" t="s">
        <v>71</v>
      </c>
      <c r="E59" s="36">
        <v>1500000</v>
      </c>
      <c r="F59" s="37">
        <v>1567.4085</v>
      </c>
      <c r="G59" s="38">
        <v>2.173808E-2</v>
      </c>
      <c r="H59" s="28">
        <v>7.0563000000000002</v>
      </c>
    </row>
    <row r="60" spans="1:8" x14ac:dyDescent="0.2">
      <c r="A60" s="34">
        <v>5</v>
      </c>
      <c r="B60" s="35" t="s">
        <v>78</v>
      </c>
      <c r="C60" s="35" t="s">
        <v>79</v>
      </c>
      <c r="D60" s="35" t="s">
        <v>71</v>
      </c>
      <c r="E60" s="36">
        <v>1000000</v>
      </c>
      <c r="F60" s="37">
        <v>1023.197</v>
      </c>
      <c r="G60" s="38">
        <v>1.419052E-2</v>
      </c>
      <c r="H60" s="28">
        <v>6.8235999999999999</v>
      </c>
    </row>
    <row r="61" spans="1:8" ht="25.5" x14ac:dyDescent="0.2">
      <c r="A61" s="34">
        <v>6</v>
      </c>
      <c r="B61" s="35" t="s">
        <v>80</v>
      </c>
      <c r="C61" s="35" t="s">
        <v>81</v>
      </c>
      <c r="D61" s="35" t="s">
        <v>71</v>
      </c>
      <c r="E61" s="36">
        <v>200000</v>
      </c>
      <c r="F61" s="37">
        <v>209.75839999999999</v>
      </c>
      <c r="G61" s="38">
        <v>2.9091E-3</v>
      </c>
      <c r="H61" s="28">
        <v>7.0964</v>
      </c>
    </row>
    <row r="62" spans="1:8" x14ac:dyDescent="0.2">
      <c r="A62" s="26"/>
      <c r="B62" s="26"/>
      <c r="C62" s="27" t="s">
        <v>11</v>
      </c>
      <c r="D62" s="26"/>
      <c r="E62" s="26" t="s">
        <v>12</v>
      </c>
      <c r="F62" s="33">
        <v>18154.722900000001</v>
      </c>
      <c r="G62" s="30">
        <v>0.25178425999999998</v>
      </c>
      <c r="H62" s="28" t="s">
        <v>12</v>
      </c>
    </row>
    <row r="63" spans="1:8" x14ac:dyDescent="0.2">
      <c r="A63" s="26"/>
      <c r="B63" s="26"/>
      <c r="C63" s="31"/>
      <c r="D63" s="26"/>
      <c r="E63" s="26"/>
      <c r="F63" s="32"/>
      <c r="G63" s="32"/>
      <c r="H63" s="28" t="s">
        <v>12</v>
      </c>
    </row>
    <row r="64" spans="1:8" x14ac:dyDescent="0.2">
      <c r="A64" s="26"/>
      <c r="B64" s="26"/>
      <c r="C64" s="27" t="s">
        <v>82</v>
      </c>
      <c r="D64" s="26"/>
      <c r="E64" s="26"/>
      <c r="F64" s="32"/>
      <c r="G64" s="32"/>
      <c r="H64" s="28" t="s">
        <v>12</v>
      </c>
    </row>
    <row r="65" spans="1:8" x14ac:dyDescent="0.2">
      <c r="A65" s="26"/>
      <c r="B65" s="26"/>
      <c r="C65" s="27" t="s">
        <v>11</v>
      </c>
      <c r="D65" s="26"/>
      <c r="E65" s="26" t="s">
        <v>12</v>
      </c>
      <c r="F65" s="29" t="s">
        <v>13</v>
      </c>
      <c r="G65" s="30">
        <v>0</v>
      </c>
      <c r="H65" s="28" t="s">
        <v>12</v>
      </c>
    </row>
    <row r="66" spans="1:8" x14ac:dyDescent="0.2">
      <c r="A66" s="26"/>
      <c r="B66" s="26"/>
      <c r="C66" s="31"/>
      <c r="D66" s="26"/>
      <c r="E66" s="26"/>
      <c r="F66" s="32"/>
      <c r="G66" s="32"/>
      <c r="H66" s="28" t="s">
        <v>12</v>
      </c>
    </row>
    <row r="67" spans="1:8" x14ac:dyDescent="0.2">
      <c r="A67" s="26"/>
      <c r="B67" s="26"/>
      <c r="C67" s="27" t="s">
        <v>83</v>
      </c>
      <c r="D67" s="26"/>
      <c r="E67" s="26"/>
      <c r="F67" s="33">
        <v>68260.321899999995</v>
      </c>
      <c r="G67" s="30">
        <v>0.94668887999999995</v>
      </c>
      <c r="H67" s="28" t="s">
        <v>12</v>
      </c>
    </row>
    <row r="68" spans="1:8" x14ac:dyDescent="0.2">
      <c r="A68" s="26"/>
      <c r="B68" s="26"/>
      <c r="C68" s="31"/>
      <c r="D68" s="26"/>
      <c r="E68" s="26"/>
      <c r="F68" s="32"/>
      <c r="G68" s="32"/>
      <c r="H68" s="28" t="s">
        <v>12</v>
      </c>
    </row>
    <row r="69" spans="1:8" x14ac:dyDescent="0.2">
      <c r="A69" s="26"/>
      <c r="B69" s="26"/>
      <c r="C69" s="27" t="s">
        <v>84</v>
      </c>
      <c r="D69" s="26"/>
      <c r="E69" s="26"/>
      <c r="F69" s="32"/>
      <c r="G69" s="32"/>
      <c r="H69" s="28" t="s">
        <v>12</v>
      </c>
    </row>
    <row r="70" spans="1:8" x14ac:dyDescent="0.2">
      <c r="A70" s="26"/>
      <c r="B70" s="26"/>
      <c r="C70" s="27" t="s">
        <v>85</v>
      </c>
      <c r="D70" s="26"/>
      <c r="E70" s="26"/>
      <c r="F70" s="32"/>
      <c r="G70" s="32"/>
      <c r="H70" s="28" t="s">
        <v>12</v>
      </c>
    </row>
    <row r="71" spans="1:8" x14ac:dyDescent="0.2">
      <c r="A71" s="26"/>
      <c r="B71" s="26"/>
      <c r="C71" s="27" t="s">
        <v>11</v>
      </c>
      <c r="D71" s="26"/>
      <c r="E71" s="26" t="s">
        <v>12</v>
      </c>
      <c r="F71" s="29" t="s">
        <v>13</v>
      </c>
      <c r="G71" s="30">
        <v>0</v>
      </c>
      <c r="H71" s="28" t="s">
        <v>12</v>
      </c>
    </row>
    <row r="72" spans="1:8" x14ac:dyDescent="0.2">
      <c r="A72" s="26"/>
      <c r="B72" s="26"/>
      <c r="C72" s="31"/>
      <c r="D72" s="26"/>
      <c r="E72" s="26"/>
      <c r="F72" s="32"/>
      <c r="G72" s="32"/>
      <c r="H72" s="28" t="s">
        <v>12</v>
      </c>
    </row>
    <row r="73" spans="1:8" x14ac:dyDescent="0.2">
      <c r="A73" s="26"/>
      <c r="B73" s="26"/>
      <c r="C73" s="27" t="s">
        <v>86</v>
      </c>
      <c r="D73" s="26"/>
      <c r="E73" s="26"/>
      <c r="F73" s="32"/>
      <c r="G73" s="32"/>
      <c r="H73" s="28" t="s">
        <v>12</v>
      </c>
    </row>
    <row r="74" spans="1:8" x14ac:dyDescent="0.2">
      <c r="A74" s="26"/>
      <c r="B74" s="26"/>
      <c r="C74" s="27" t="s">
        <v>11</v>
      </c>
      <c r="D74" s="26"/>
      <c r="E74" s="26" t="s">
        <v>12</v>
      </c>
      <c r="F74" s="29" t="s">
        <v>13</v>
      </c>
      <c r="G74" s="30">
        <v>0</v>
      </c>
      <c r="H74" s="28" t="s">
        <v>12</v>
      </c>
    </row>
    <row r="75" spans="1:8" x14ac:dyDescent="0.2">
      <c r="A75" s="26"/>
      <c r="B75" s="26"/>
      <c r="C75" s="31"/>
      <c r="D75" s="26"/>
      <c r="E75" s="26"/>
      <c r="F75" s="32"/>
      <c r="G75" s="32"/>
      <c r="H75" s="28" t="s">
        <v>12</v>
      </c>
    </row>
    <row r="76" spans="1:8" x14ac:dyDescent="0.2">
      <c r="A76" s="26"/>
      <c r="B76" s="26"/>
      <c r="C76" s="27" t="s">
        <v>87</v>
      </c>
      <c r="D76" s="26"/>
      <c r="E76" s="26"/>
      <c r="F76" s="32"/>
      <c r="G76" s="32"/>
      <c r="H76" s="28" t="s">
        <v>12</v>
      </c>
    </row>
    <row r="77" spans="1:8" x14ac:dyDescent="0.2">
      <c r="A77" s="26"/>
      <c r="B77" s="26"/>
      <c r="C77" s="27" t="s">
        <v>11</v>
      </c>
      <c r="D77" s="26"/>
      <c r="E77" s="26" t="s">
        <v>12</v>
      </c>
      <c r="F77" s="29" t="s">
        <v>13</v>
      </c>
      <c r="G77" s="30">
        <v>0</v>
      </c>
      <c r="H77" s="28" t="s">
        <v>12</v>
      </c>
    </row>
    <row r="78" spans="1:8" x14ac:dyDescent="0.2">
      <c r="A78" s="26"/>
      <c r="B78" s="26"/>
      <c r="C78" s="31"/>
      <c r="D78" s="26"/>
      <c r="E78" s="26"/>
      <c r="F78" s="32"/>
      <c r="G78" s="32"/>
      <c r="H78" s="28" t="s">
        <v>12</v>
      </c>
    </row>
    <row r="79" spans="1:8" x14ac:dyDescent="0.2">
      <c r="A79" s="26"/>
      <c r="B79" s="26"/>
      <c r="C79" s="27" t="s">
        <v>88</v>
      </c>
      <c r="D79" s="26"/>
      <c r="E79" s="26"/>
      <c r="F79" s="32"/>
      <c r="G79" s="32"/>
      <c r="H79" s="28" t="s">
        <v>12</v>
      </c>
    </row>
    <row r="80" spans="1:8" x14ac:dyDescent="0.2">
      <c r="A80" s="34">
        <v>1</v>
      </c>
      <c r="B80" s="35"/>
      <c r="C80" s="35" t="s">
        <v>89</v>
      </c>
      <c r="D80" s="35"/>
      <c r="E80" s="39"/>
      <c r="F80" s="37">
        <v>1842.2737341950001</v>
      </c>
      <c r="G80" s="38">
        <v>2.5550130000000001E-2</v>
      </c>
      <c r="H80" s="28">
        <v>6.4</v>
      </c>
    </row>
    <row r="81" spans="1:18" x14ac:dyDescent="0.2">
      <c r="A81" s="26"/>
      <c r="B81" s="26"/>
      <c r="C81" s="27" t="s">
        <v>11</v>
      </c>
      <c r="D81" s="26"/>
      <c r="E81" s="26" t="s">
        <v>12</v>
      </c>
      <c r="F81" s="33">
        <v>1842.2737341950001</v>
      </c>
      <c r="G81" s="30">
        <v>2.5550130000000001E-2</v>
      </c>
      <c r="H81" s="28" t="s">
        <v>12</v>
      </c>
    </row>
    <row r="82" spans="1:18" x14ac:dyDescent="0.2">
      <c r="A82" s="26"/>
      <c r="B82" s="26"/>
      <c r="C82" s="31"/>
      <c r="D82" s="26"/>
      <c r="E82" s="26"/>
      <c r="F82" s="32"/>
      <c r="G82" s="32"/>
      <c r="H82" s="28" t="s">
        <v>12</v>
      </c>
    </row>
    <row r="83" spans="1:18" x14ac:dyDescent="0.2">
      <c r="A83" s="26"/>
      <c r="B83" s="26"/>
      <c r="C83" s="27" t="s">
        <v>90</v>
      </c>
      <c r="D83" s="26"/>
      <c r="E83" s="26"/>
      <c r="F83" s="33">
        <v>1842.2737341950001</v>
      </c>
      <c r="G83" s="30">
        <v>2.5550130000000001E-2</v>
      </c>
      <c r="H83" s="28" t="s">
        <v>12</v>
      </c>
    </row>
    <row r="84" spans="1:18" x14ac:dyDescent="0.2">
      <c r="A84" s="26"/>
      <c r="B84" s="26"/>
      <c r="C84" s="32"/>
      <c r="D84" s="26"/>
      <c r="E84" s="26"/>
      <c r="F84" s="26"/>
      <c r="G84" s="26"/>
      <c r="H84" s="28" t="s">
        <v>12</v>
      </c>
    </row>
    <row r="85" spans="1:18" x14ac:dyDescent="0.2">
      <c r="A85" s="26"/>
      <c r="B85" s="26"/>
      <c r="C85" s="27" t="s">
        <v>91</v>
      </c>
      <c r="D85" s="26"/>
      <c r="E85" s="26"/>
      <c r="F85" s="26"/>
      <c r="G85" s="26"/>
      <c r="H85" s="28" t="s">
        <v>12</v>
      </c>
    </row>
    <row r="86" spans="1:18" x14ac:dyDescent="0.2">
      <c r="A86" s="26"/>
      <c r="B86" s="26"/>
      <c r="C86" s="27" t="s">
        <v>92</v>
      </c>
      <c r="D86" s="26"/>
      <c r="E86" s="26"/>
      <c r="F86" s="26"/>
      <c r="G86" s="26"/>
      <c r="H86" s="28" t="s">
        <v>12</v>
      </c>
    </row>
    <row r="87" spans="1:18" x14ac:dyDescent="0.2">
      <c r="A87" s="26"/>
      <c r="B87" s="26"/>
      <c r="C87" s="27" t="s">
        <v>11</v>
      </c>
      <c r="D87" s="26"/>
      <c r="E87" s="26" t="s">
        <v>12</v>
      </c>
      <c r="F87" s="29" t="s">
        <v>13</v>
      </c>
      <c r="G87" s="30">
        <v>0</v>
      </c>
      <c r="H87" s="28" t="s">
        <v>12</v>
      </c>
    </row>
    <row r="88" spans="1:18" x14ac:dyDescent="0.2">
      <c r="A88" s="26"/>
      <c r="B88" s="26"/>
      <c r="C88" s="31"/>
      <c r="D88" s="26"/>
      <c r="E88" s="26"/>
      <c r="F88" s="32"/>
      <c r="G88" s="32"/>
      <c r="H88" s="28" t="s">
        <v>12</v>
      </c>
    </row>
    <row r="89" spans="1:18" x14ac:dyDescent="0.2">
      <c r="A89" s="40"/>
      <c r="B89" s="40"/>
      <c r="C89" s="41" t="s">
        <v>527</v>
      </c>
      <c r="D89" s="40"/>
      <c r="E89" s="40"/>
      <c r="F89" s="42"/>
      <c r="G89" s="42"/>
      <c r="H89" s="43"/>
      <c r="L89" s="5"/>
      <c r="M89" s="5"/>
      <c r="N89" s="5"/>
      <c r="O89" s="5"/>
      <c r="P89" s="6"/>
      <c r="Q89" s="6"/>
      <c r="R89" s="6"/>
    </row>
    <row r="90" spans="1:18" ht="25.5" x14ac:dyDescent="0.2">
      <c r="A90" s="34">
        <v>1</v>
      </c>
      <c r="B90" s="35" t="s">
        <v>93</v>
      </c>
      <c r="C90" s="35" t="s">
        <v>94</v>
      </c>
      <c r="D90" s="35"/>
      <c r="E90" s="44">
        <v>2586.3710000000001</v>
      </c>
      <c r="F90" s="37">
        <v>268.62920812999999</v>
      </c>
      <c r="G90" s="38">
        <v>3.7255700000000001E-3</v>
      </c>
      <c r="H90" s="28"/>
    </row>
    <row r="91" spans="1:18" x14ac:dyDescent="0.2">
      <c r="A91" s="26"/>
      <c r="B91" s="26"/>
      <c r="C91" s="27" t="s">
        <v>11</v>
      </c>
      <c r="D91" s="26"/>
      <c r="E91" s="26" t="s">
        <v>12</v>
      </c>
      <c r="F91" s="33">
        <v>268.62920812999999</v>
      </c>
      <c r="G91" s="30">
        <v>3.7255700000000001E-3</v>
      </c>
      <c r="H91" s="28" t="s">
        <v>12</v>
      </c>
    </row>
    <row r="92" spans="1:18" x14ac:dyDescent="0.2">
      <c r="A92" s="26"/>
      <c r="B92" s="26"/>
      <c r="C92" s="31"/>
      <c r="D92" s="26"/>
      <c r="E92" s="26"/>
      <c r="F92" s="32"/>
      <c r="G92" s="32"/>
      <c r="H92" s="28" t="s">
        <v>12</v>
      </c>
    </row>
    <row r="93" spans="1:18" x14ac:dyDescent="0.2">
      <c r="A93" s="26"/>
      <c r="B93" s="26"/>
      <c r="C93" s="27" t="s">
        <v>95</v>
      </c>
      <c r="D93" s="26"/>
      <c r="E93" s="26"/>
      <c r="F93" s="26"/>
      <c r="G93" s="26"/>
      <c r="H93" s="28" t="s">
        <v>12</v>
      </c>
    </row>
    <row r="94" spans="1:18" x14ac:dyDescent="0.2">
      <c r="A94" s="26"/>
      <c r="B94" s="26"/>
      <c r="C94" s="27" t="s">
        <v>96</v>
      </c>
      <c r="D94" s="26"/>
      <c r="E94" s="26"/>
      <c r="F94" s="26"/>
      <c r="G94" s="26"/>
      <c r="H94" s="28" t="s">
        <v>12</v>
      </c>
    </row>
    <row r="95" spans="1:18" x14ac:dyDescent="0.2">
      <c r="A95" s="26"/>
      <c r="B95" s="26"/>
      <c r="C95" s="27" t="s">
        <v>11</v>
      </c>
      <c r="D95" s="26"/>
      <c r="E95" s="26" t="s">
        <v>12</v>
      </c>
      <c r="F95" s="29" t="s">
        <v>13</v>
      </c>
      <c r="G95" s="30">
        <v>0</v>
      </c>
      <c r="H95" s="28" t="s">
        <v>12</v>
      </c>
    </row>
    <row r="96" spans="1:18" x14ac:dyDescent="0.2">
      <c r="A96" s="26"/>
      <c r="B96" s="26"/>
      <c r="C96" s="31"/>
      <c r="D96" s="26"/>
      <c r="E96" s="26"/>
      <c r="F96" s="32"/>
      <c r="G96" s="32"/>
      <c r="H96" s="28" t="s">
        <v>12</v>
      </c>
    </row>
    <row r="97" spans="1:8" x14ac:dyDescent="0.2">
      <c r="A97" s="26"/>
      <c r="B97" s="26"/>
      <c r="C97" s="27" t="s">
        <v>97</v>
      </c>
      <c r="D97" s="26"/>
      <c r="E97" s="26"/>
      <c r="F97" s="32"/>
      <c r="G97" s="32"/>
      <c r="H97" s="28" t="s">
        <v>12</v>
      </c>
    </row>
    <row r="98" spans="1:8" x14ac:dyDescent="0.2">
      <c r="A98" s="26"/>
      <c r="B98" s="26"/>
      <c r="C98" s="27" t="s">
        <v>11</v>
      </c>
      <c r="D98" s="26"/>
      <c r="E98" s="26" t="s">
        <v>12</v>
      </c>
      <c r="F98" s="29" t="s">
        <v>13</v>
      </c>
      <c r="G98" s="30">
        <v>0</v>
      </c>
      <c r="H98" s="28" t="s">
        <v>12</v>
      </c>
    </row>
    <row r="99" spans="1:8" x14ac:dyDescent="0.2">
      <c r="A99" s="26"/>
      <c r="B99" s="35"/>
      <c r="C99" s="35"/>
      <c r="D99" s="27"/>
      <c r="E99" s="26"/>
      <c r="F99" s="35"/>
      <c r="G99" s="39"/>
      <c r="H99" s="28" t="s">
        <v>12</v>
      </c>
    </row>
    <row r="100" spans="1:8" x14ac:dyDescent="0.2">
      <c r="A100" s="39"/>
      <c r="B100" s="35"/>
      <c r="C100" s="35" t="s">
        <v>98</v>
      </c>
      <c r="D100" s="35"/>
      <c r="E100" s="39"/>
      <c r="F100" s="37">
        <v>1733.06067519</v>
      </c>
      <c r="G100" s="38">
        <v>2.403547E-2</v>
      </c>
      <c r="H100" s="28" t="s">
        <v>12</v>
      </c>
    </row>
    <row r="101" spans="1:8" x14ac:dyDescent="0.2">
      <c r="A101" s="31"/>
      <c r="B101" s="31"/>
      <c r="C101" s="27" t="s">
        <v>99</v>
      </c>
      <c r="D101" s="32"/>
      <c r="E101" s="32"/>
      <c r="F101" s="33">
        <v>72104.285517515003</v>
      </c>
      <c r="G101" s="45">
        <v>1.0000000499999999</v>
      </c>
      <c r="H101" s="28" t="s">
        <v>12</v>
      </c>
    </row>
    <row r="102" spans="1:8" x14ac:dyDescent="0.2">
      <c r="A102" s="46"/>
      <c r="B102" s="46"/>
      <c r="C102" s="46"/>
      <c r="D102" s="47"/>
      <c r="E102" s="47"/>
      <c r="F102" s="47"/>
      <c r="G102" s="47"/>
    </row>
    <row r="103" spans="1:8" x14ac:dyDescent="0.2">
      <c r="A103" s="48"/>
      <c r="B103" s="116" t="s">
        <v>537</v>
      </c>
      <c r="C103" s="116"/>
      <c r="D103" s="116"/>
      <c r="E103" s="116"/>
      <c r="F103" s="116"/>
      <c r="G103" s="116"/>
      <c r="H103" s="116"/>
    </row>
    <row r="104" spans="1:8" x14ac:dyDescent="0.2">
      <c r="A104" s="48"/>
      <c r="B104" s="116" t="s">
        <v>538</v>
      </c>
      <c r="C104" s="116"/>
      <c r="D104" s="116"/>
      <c r="E104" s="116"/>
      <c r="F104" s="116"/>
      <c r="G104" s="116"/>
      <c r="H104" s="116"/>
    </row>
    <row r="105" spans="1:8" x14ac:dyDescent="0.2">
      <c r="A105" s="48"/>
      <c r="B105" s="116" t="s">
        <v>539</v>
      </c>
      <c r="C105" s="116"/>
      <c r="D105" s="116"/>
      <c r="E105" s="116"/>
      <c r="F105" s="116"/>
      <c r="G105" s="116"/>
      <c r="H105" s="116"/>
    </row>
    <row r="106" spans="1:8" x14ac:dyDescent="0.2">
      <c r="A106" s="50"/>
      <c r="B106" s="50"/>
      <c r="C106" s="50"/>
      <c r="D106" s="51"/>
      <c r="E106" s="51"/>
      <c r="F106" s="51"/>
      <c r="G106" s="51"/>
    </row>
    <row r="107" spans="1:8" x14ac:dyDescent="0.2">
      <c r="A107" s="50"/>
      <c r="B107" s="109" t="s">
        <v>100</v>
      </c>
      <c r="C107" s="110"/>
      <c r="D107" s="111"/>
      <c r="E107" s="52"/>
      <c r="F107" s="51"/>
      <c r="G107" s="51"/>
    </row>
    <row r="108" spans="1:8" x14ac:dyDescent="0.2">
      <c r="A108" s="50"/>
      <c r="B108" s="112" t="s">
        <v>101</v>
      </c>
      <c r="C108" s="113"/>
      <c r="D108" s="27" t="s">
        <v>102</v>
      </c>
      <c r="E108" s="52"/>
      <c r="F108" s="51"/>
      <c r="G108" s="51"/>
    </row>
    <row r="109" spans="1:8" x14ac:dyDescent="0.2">
      <c r="A109" s="50"/>
      <c r="B109" s="112" t="s">
        <v>103</v>
      </c>
      <c r="C109" s="113"/>
      <c r="D109" s="27" t="s">
        <v>102</v>
      </c>
      <c r="E109" s="52"/>
      <c r="F109" s="51"/>
      <c r="G109" s="51"/>
    </row>
    <row r="110" spans="1:8" x14ac:dyDescent="0.2">
      <c r="A110" s="50"/>
      <c r="B110" s="112" t="s">
        <v>104</v>
      </c>
      <c r="C110" s="113"/>
      <c r="D110" s="32" t="s">
        <v>12</v>
      </c>
      <c r="E110" s="52"/>
      <c r="F110" s="51"/>
      <c r="G110" s="51"/>
    </row>
    <row r="111" spans="1:8" x14ac:dyDescent="0.2">
      <c r="A111" s="53"/>
      <c r="B111" s="54" t="s">
        <v>12</v>
      </c>
      <c r="C111" s="54" t="s">
        <v>528</v>
      </c>
      <c r="D111" s="54" t="s">
        <v>105</v>
      </c>
      <c r="E111" s="53"/>
      <c r="F111" s="53"/>
      <c r="G111" s="53"/>
      <c r="H111" s="55"/>
    </row>
    <row r="112" spans="1:8" x14ac:dyDescent="0.2">
      <c r="A112" s="56"/>
      <c r="B112" s="57" t="s">
        <v>106</v>
      </c>
      <c r="C112" s="58">
        <v>45535</v>
      </c>
      <c r="D112" s="58">
        <v>45550</v>
      </c>
      <c r="E112" s="56"/>
      <c r="F112" s="56"/>
      <c r="G112" s="56"/>
    </row>
    <row r="113" spans="1:10" x14ac:dyDescent="0.2">
      <c r="A113" s="56"/>
      <c r="B113" s="35" t="s">
        <v>107</v>
      </c>
      <c r="C113" s="59">
        <v>38.684800000000003</v>
      </c>
      <c r="D113" s="59">
        <v>38.856099999999998</v>
      </c>
      <c r="E113" s="56"/>
      <c r="F113" s="60"/>
      <c r="G113" s="61"/>
    </row>
    <row r="114" spans="1:10" ht="25.5" x14ac:dyDescent="0.2">
      <c r="A114" s="56"/>
      <c r="B114" s="35" t="s">
        <v>581</v>
      </c>
      <c r="C114" s="59">
        <v>17.194700000000001</v>
      </c>
      <c r="D114" s="59">
        <v>17.270900000000001</v>
      </c>
      <c r="E114" s="56"/>
      <c r="F114" s="60"/>
      <c r="G114" s="61"/>
    </row>
    <row r="115" spans="1:10" ht="25.5" x14ac:dyDescent="0.2">
      <c r="A115" s="56"/>
      <c r="B115" s="35" t="s">
        <v>582</v>
      </c>
      <c r="C115" s="59">
        <v>19.0624</v>
      </c>
      <c r="D115" s="59">
        <v>19.0716</v>
      </c>
      <c r="E115" s="56"/>
      <c r="F115" s="60"/>
      <c r="G115" s="61"/>
    </row>
    <row r="116" spans="1:10" ht="25.5" x14ac:dyDescent="0.2">
      <c r="A116" s="56"/>
      <c r="B116" s="35" t="s">
        <v>583</v>
      </c>
      <c r="C116" s="59">
        <v>17.249600000000001</v>
      </c>
      <c r="D116" s="59">
        <v>17.325800000000001</v>
      </c>
      <c r="E116" s="56"/>
      <c r="F116" s="60"/>
      <c r="G116" s="61"/>
    </row>
    <row r="117" spans="1:10" ht="25.5" x14ac:dyDescent="0.2">
      <c r="A117" s="56"/>
      <c r="B117" s="35" t="s">
        <v>584</v>
      </c>
      <c r="C117" s="59">
        <v>17.508199999999999</v>
      </c>
      <c r="D117" s="59">
        <v>17.585699999999999</v>
      </c>
      <c r="E117" s="56"/>
      <c r="F117" s="60"/>
      <c r="G117" s="61"/>
    </row>
    <row r="118" spans="1:10" x14ac:dyDescent="0.2">
      <c r="A118" s="56"/>
      <c r="B118" s="35" t="s">
        <v>108</v>
      </c>
      <c r="C118" s="59">
        <v>37.481400000000001</v>
      </c>
      <c r="D118" s="59">
        <v>37.643900000000002</v>
      </c>
      <c r="E118" s="56"/>
      <c r="F118" s="60"/>
      <c r="G118" s="61"/>
      <c r="J118" s="8"/>
    </row>
    <row r="119" spans="1:10" ht="25.5" x14ac:dyDescent="0.2">
      <c r="A119" s="56"/>
      <c r="B119" s="35" t="s">
        <v>585</v>
      </c>
      <c r="C119" s="59">
        <v>16.263100000000001</v>
      </c>
      <c r="D119" s="59">
        <v>16.333500000000001</v>
      </c>
      <c r="E119" s="56"/>
      <c r="F119" s="60"/>
      <c r="G119" s="61"/>
      <c r="J119" s="8"/>
    </row>
    <row r="120" spans="1:10" ht="25.5" x14ac:dyDescent="0.2">
      <c r="A120" s="56"/>
      <c r="B120" s="35" t="s">
        <v>532</v>
      </c>
      <c r="C120" s="59">
        <v>18.5105</v>
      </c>
      <c r="D120" s="59">
        <v>18.515499999999999</v>
      </c>
      <c r="E120" s="56"/>
      <c r="F120" s="60"/>
      <c r="G120" s="61"/>
      <c r="J120" s="8"/>
    </row>
    <row r="121" spans="1:10" ht="25.5" x14ac:dyDescent="0.2">
      <c r="A121" s="56"/>
      <c r="B121" s="35" t="s">
        <v>586</v>
      </c>
      <c r="C121" s="59">
        <v>17.1464</v>
      </c>
      <c r="D121" s="59">
        <v>17.220700000000001</v>
      </c>
      <c r="E121" s="56"/>
      <c r="F121" s="60"/>
      <c r="G121" s="61"/>
      <c r="J121" s="8"/>
    </row>
    <row r="122" spans="1:10" ht="25.5" x14ac:dyDescent="0.2">
      <c r="A122" s="56"/>
      <c r="B122" s="35" t="s">
        <v>587</v>
      </c>
      <c r="C122" s="59">
        <v>17.0076</v>
      </c>
      <c r="D122" s="59">
        <v>17.081299999999999</v>
      </c>
      <c r="E122" s="56"/>
      <c r="F122" s="60"/>
      <c r="G122" s="61"/>
      <c r="J122" s="8"/>
    </row>
    <row r="123" spans="1:10" x14ac:dyDescent="0.2">
      <c r="A123" s="56"/>
      <c r="B123" s="56"/>
      <c r="C123" s="56"/>
      <c r="D123" s="56"/>
      <c r="E123" s="56"/>
      <c r="F123" s="56"/>
      <c r="G123" s="56"/>
      <c r="J123" s="8"/>
    </row>
    <row r="124" spans="1:10" x14ac:dyDescent="0.2">
      <c r="A124" s="56"/>
      <c r="B124" s="112" t="s">
        <v>588</v>
      </c>
      <c r="C124" s="113"/>
      <c r="D124" s="27" t="s">
        <v>12</v>
      </c>
      <c r="E124" s="56"/>
      <c r="F124" s="56"/>
      <c r="G124" s="56"/>
      <c r="J124" s="8"/>
    </row>
    <row r="125" spans="1:10" x14ac:dyDescent="0.2">
      <c r="A125" s="56"/>
      <c r="B125" s="62" t="s">
        <v>106</v>
      </c>
      <c r="C125" s="63" t="s">
        <v>109</v>
      </c>
      <c r="D125" s="63" t="s">
        <v>110</v>
      </c>
      <c r="E125" s="56"/>
      <c r="F125" s="56"/>
      <c r="G125" s="56"/>
    </row>
    <row r="126" spans="1:10" ht="25.5" x14ac:dyDescent="0.2">
      <c r="A126" s="56"/>
      <c r="B126" s="35" t="s">
        <v>582</v>
      </c>
      <c r="C126" s="64">
        <v>7.4999999999999997E-2</v>
      </c>
      <c r="D126" s="39" t="s">
        <v>111</v>
      </c>
      <c r="E126" s="56"/>
      <c r="F126" s="60"/>
      <c r="G126" s="61"/>
    </row>
    <row r="127" spans="1:10" ht="25.5" x14ac:dyDescent="0.2">
      <c r="A127" s="56"/>
      <c r="B127" s="35" t="s">
        <v>532</v>
      </c>
      <c r="C127" s="64">
        <v>7.4999999999999997E-2</v>
      </c>
      <c r="D127" s="64">
        <v>7.4999999999999997E-2</v>
      </c>
      <c r="E127" s="56"/>
      <c r="F127" s="60"/>
      <c r="G127" s="61"/>
    </row>
    <row r="128" spans="1:10" x14ac:dyDescent="0.2">
      <c r="A128" s="56"/>
      <c r="B128" s="65"/>
      <c r="C128" s="65"/>
      <c r="D128" s="66"/>
      <c r="E128" s="56"/>
      <c r="F128" s="60"/>
      <c r="G128" s="61"/>
      <c r="J128" s="8"/>
    </row>
    <row r="129" spans="1:15" x14ac:dyDescent="0.2">
      <c r="A129" s="53"/>
      <c r="B129" s="114" t="s">
        <v>112</v>
      </c>
      <c r="C129" s="115"/>
      <c r="D129" s="41" t="s">
        <v>102</v>
      </c>
      <c r="E129" s="67"/>
      <c r="F129" s="53"/>
      <c r="G129" s="53"/>
      <c r="J129" s="8"/>
    </row>
    <row r="130" spans="1:15" x14ac:dyDescent="0.2">
      <c r="A130" s="53"/>
      <c r="B130" s="114" t="s">
        <v>113</v>
      </c>
      <c r="C130" s="115"/>
      <c r="D130" s="41" t="s">
        <v>102</v>
      </c>
      <c r="E130" s="67"/>
      <c r="F130" s="53"/>
      <c r="G130" s="53"/>
    </row>
    <row r="131" spans="1:15" x14ac:dyDescent="0.2">
      <c r="A131" s="53"/>
      <c r="B131" s="114" t="s">
        <v>540</v>
      </c>
      <c r="C131" s="115"/>
      <c r="D131" s="41" t="s">
        <v>102</v>
      </c>
      <c r="E131" s="67"/>
      <c r="F131" s="53"/>
      <c r="G131" s="53"/>
    </row>
    <row r="132" spans="1:15" x14ac:dyDescent="0.2">
      <c r="A132" s="68"/>
      <c r="B132" s="68"/>
      <c r="C132" s="68"/>
      <c r="D132" s="68"/>
      <c r="E132" s="68"/>
      <c r="F132" s="68"/>
      <c r="G132" s="68"/>
    </row>
    <row r="133" spans="1:15" s="9" customFormat="1" x14ac:dyDescent="0.2">
      <c r="B133" s="117" t="s">
        <v>541</v>
      </c>
      <c r="C133" s="118"/>
      <c r="D133" s="119"/>
      <c r="I133"/>
      <c r="J133" s="2"/>
      <c r="K133" s="5"/>
      <c r="L133" s="5"/>
      <c r="M133" s="5"/>
      <c r="N133" s="5"/>
      <c r="O133" s="5"/>
    </row>
    <row r="134" spans="1:15" s="9" customFormat="1" ht="38.25" x14ac:dyDescent="0.2">
      <c r="B134" s="107" t="s">
        <v>542</v>
      </c>
      <c r="C134" s="107"/>
      <c r="D134" s="69" t="s">
        <v>1</v>
      </c>
      <c r="I134"/>
      <c r="J134" s="2"/>
      <c r="K134" s="5"/>
      <c r="L134" s="5"/>
      <c r="M134" s="5"/>
      <c r="N134" s="5"/>
      <c r="O134" s="5"/>
    </row>
    <row r="135" spans="1:15" s="9" customFormat="1" x14ac:dyDescent="0.2">
      <c r="B135" s="120" t="s">
        <v>543</v>
      </c>
      <c r="C135" s="120"/>
      <c r="D135" s="70"/>
      <c r="I135"/>
      <c r="J135" s="2"/>
      <c r="K135" s="5"/>
      <c r="L135" s="5"/>
      <c r="M135" s="5"/>
      <c r="N135" s="5"/>
      <c r="O135" s="5"/>
    </row>
    <row r="136" spans="1:15" s="9" customFormat="1" x14ac:dyDescent="0.2">
      <c r="B136" s="121"/>
      <c r="C136" s="122"/>
      <c r="D136" s="71"/>
      <c r="I136"/>
      <c r="J136" s="2"/>
      <c r="K136" s="5"/>
      <c r="L136" s="5"/>
      <c r="M136" s="5"/>
      <c r="N136" s="5"/>
      <c r="O136" s="5"/>
    </row>
    <row r="137" spans="1:15" s="9" customFormat="1" x14ac:dyDescent="0.2">
      <c r="B137" s="120" t="s">
        <v>544</v>
      </c>
      <c r="C137" s="120"/>
      <c r="D137" s="72">
        <v>7.3479835184732734</v>
      </c>
      <c r="I137"/>
      <c r="J137" s="2"/>
      <c r="K137" s="5"/>
      <c r="L137" s="5"/>
      <c r="M137" s="5"/>
      <c r="N137" s="5"/>
      <c r="O137" s="5"/>
    </row>
    <row r="138" spans="1:15" s="9" customFormat="1" x14ac:dyDescent="0.2">
      <c r="B138" s="121"/>
      <c r="C138" s="122"/>
      <c r="D138" s="71"/>
      <c r="I138"/>
      <c r="J138" s="2"/>
      <c r="K138" s="5"/>
      <c r="L138" s="5"/>
      <c r="M138" s="5"/>
      <c r="N138" s="5"/>
      <c r="O138" s="5"/>
    </row>
    <row r="139" spans="1:15" s="9" customFormat="1" x14ac:dyDescent="0.2">
      <c r="B139" s="120" t="s">
        <v>545</v>
      </c>
      <c r="C139" s="120"/>
      <c r="D139" s="72">
        <v>4.3430377119578969</v>
      </c>
      <c r="I139"/>
      <c r="J139" s="2"/>
      <c r="K139" s="5"/>
      <c r="L139" s="5"/>
      <c r="M139" s="5"/>
      <c r="N139" s="5"/>
      <c r="O139" s="5"/>
    </row>
    <row r="140" spans="1:15" s="9" customFormat="1" x14ac:dyDescent="0.2">
      <c r="B140" s="120" t="s">
        <v>546</v>
      </c>
      <c r="C140" s="120"/>
      <c r="D140" s="72">
        <v>5.9670708701046511</v>
      </c>
      <c r="I140"/>
      <c r="J140" s="2"/>
      <c r="K140" s="5"/>
      <c r="L140" s="5"/>
      <c r="M140" s="5"/>
      <c r="N140" s="5"/>
      <c r="O140" s="5"/>
    </row>
    <row r="141" spans="1:15" s="9" customFormat="1" x14ac:dyDescent="0.2">
      <c r="B141" s="121"/>
      <c r="C141" s="122"/>
      <c r="D141" s="71"/>
      <c r="I141"/>
      <c r="J141" s="2"/>
      <c r="K141" s="5"/>
      <c r="L141" s="5"/>
      <c r="M141" s="5"/>
      <c r="N141" s="5"/>
      <c r="O141" s="5"/>
    </row>
    <row r="142" spans="1:15" s="9" customFormat="1" x14ac:dyDescent="0.2">
      <c r="B142" s="120" t="s">
        <v>547</v>
      </c>
      <c r="C142" s="120"/>
      <c r="D142" s="73" t="s">
        <v>577</v>
      </c>
      <c r="I142"/>
      <c r="J142" s="2"/>
      <c r="K142" s="5"/>
      <c r="L142" s="5"/>
      <c r="M142" s="5"/>
      <c r="N142" s="5"/>
      <c r="O142" s="5"/>
    </row>
    <row r="143" spans="1:15" s="9" customFormat="1" x14ac:dyDescent="0.2">
      <c r="B143" s="121" t="s">
        <v>548</v>
      </c>
      <c r="C143" s="123"/>
      <c r="D143" s="122"/>
      <c r="I143"/>
      <c r="J143" s="2"/>
      <c r="K143" s="5"/>
      <c r="L143" s="5"/>
      <c r="M143" s="5"/>
      <c r="N143" s="5"/>
      <c r="O143" s="5"/>
    </row>
  </sheetData>
  <mergeCells count="25">
    <mergeCell ref="B140:C140"/>
    <mergeCell ref="B141:C141"/>
    <mergeCell ref="B142:C142"/>
    <mergeCell ref="B143:D143"/>
    <mergeCell ref="B135:C135"/>
    <mergeCell ref="B136:C136"/>
    <mergeCell ref="B137:C137"/>
    <mergeCell ref="B138:C138"/>
    <mergeCell ref="B139:C139"/>
    <mergeCell ref="B134:C134"/>
    <mergeCell ref="A1:H1"/>
    <mergeCell ref="A2:H2"/>
    <mergeCell ref="A3:H3"/>
    <mergeCell ref="B107:D107"/>
    <mergeCell ref="B108:C108"/>
    <mergeCell ref="B109:C109"/>
    <mergeCell ref="B110:C110"/>
    <mergeCell ref="B124:C124"/>
    <mergeCell ref="B130:C130"/>
    <mergeCell ref="B103:H103"/>
    <mergeCell ref="B104:H104"/>
    <mergeCell ref="B105:H105"/>
    <mergeCell ref="B129:C129"/>
    <mergeCell ref="B133:D133"/>
    <mergeCell ref="B131:C131"/>
  </mergeCells>
  <hyperlinks>
    <hyperlink ref="I1" location="Index!B2" display="Index" xr:uid="{E48A9CEC-EC43-4807-96DB-E2DFC24E20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C09F-318A-44DD-89A7-07B75FD37E59}">
  <sheetPr>
    <outlinePr summaryBelow="0" summaryRight="0"/>
  </sheetPr>
  <dimension ref="A1:R132"/>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114</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row>
    <row r="15" spans="1:11" ht="25.5" x14ac:dyDescent="0.2">
      <c r="A15" s="26"/>
      <c r="B15" s="26"/>
      <c r="C15" s="27" t="s">
        <v>16</v>
      </c>
      <c r="D15" s="26"/>
      <c r="E15" s="26"/>
      <c r="F15" s="26"/>
      <c r="G15" s="26"/>
      <c r="H15" s="28" t="s">
        <v>12</v>
      </c>
      <c r="J15" s="7" t="s">
        <v>601</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x14ac:dyDescent="0.2">
      <c r="A27" s="26"/>
      <c r="B27" s="26"/>
      <c r="C27" s="27" t="s">
        <v>10</v>
      </c>
      <c r="D27" s="26"/>
      <c r="E27" s="26"/>
      <c r="F27" s="32"/>
      <c r="G27" s="32"/>
      <c r="H27" s="28" t="s">
        <v>12</v>
      </c>
      <c r="J27" s="7"/>
    </row>
    <row r="28" spans="1:10" ht="25.5" x14ac:dyDescent="0.2">
      <c r="A28" s="34">
        <v>1</v>
      </c>
      <c r="B28" s="35" t="s">
        <v>49</v>
      </c>
      <c r="C28" s="35" t="s">
        <v>50</v>
      </c>
      <c r="D28" s="35" t="s">
        <v>32</v>
      </c>
      <c r="E28" s="36">
        <v>300</v>
      </c>
      <c r="F28" s="37">
        <v>3008.2829999999999</v>
      </c>
      <c r="G28" s="38">
        <v>9.1090439999999995E-2</v>
      </c>
      <c r="H28" s="28">
        <v>7.3250000000000002</v>
      </c>
      <c r="J28" s="7" t="s">
        <v>600</v>
      </c>
    </row>
    <row r="29" spans="1:10" x14ac:dyDescent="0.2">
      <c r="A29" s="34">
        <v>2</v>
      </c>
      <c r="B29" s="35" t="s">
        <v>115</v>
      </c>
      <c r="C29" s="35" t="s">
        <v>116</v>
      </c>
      <c r="D29" s="35" t="s">
        <v>32</v>
      </c>
      <c r="E29" s="36">
        <v>250</v>
      </c>
      <c r="F29" s="37">
        <v>2504.7125000000001</v>
      </c>
      <c r="G29" s="38">
        <v>7.5842389999999996E-2</v>
      </c>
      <c r="H29" s="28">
        <v>7.4649999999999999</v>
      </c>
      <c r="J29" s="7"/>
    </row>
    <row r="30" spans="1:10" x14ac:dyDescent="0.2">
      <c r="A30" s="34">
        <v>3</v>
      </c>
      <c r="B30" s="35" t="s">
        <v>117</v>
      </c>
      <c r="C30" s="35" t="s">
        <v>118</v>
      </c>
      <c r="D30" s="35" t="s">
        <v>23</v>
      </c>
      <c r="E30" s="36">
        <v>2500</v>
      </c>
      <c r="F30" s="37">
        <v>2494.5425</v>
      </c>
      <c r="G30" s="38">
        <v>7.5534439999999994E-2</v>
      </c>
      <c r="H30" s="28">
        <v>7.75</v>
      </c>
    </row>
    <row r="31" spans="1:10" x14ac:dyDescent="0.2">
      <c r="A31" s="34">
        <v>4</v>
      </c>
      <c r="B31" s="35" t="s">
        <v>119</v>
      </c>
      <c r="C31" s="35" t="s">
        <v>120</v>
      </c>
      <c r="D31" s="35" t="s">
        <v>23</v>
      </c>
      <c r="E31" s="36">
        <v>2000</v>
      </c>
      <c r="F31" s="37">
        <v>2010.71</v>
      </c>
      <c r="G31" s="38">
        <v>6.0884050000000002E-2</v>
      </c>
      <c r="H31" s="28">
        <v>7.36</v>
      </c>
    </row>
    <row r="32" spans="1:10" ht="25.5" x14ac:dyDescent="0.2">
      <c r="A32" s="34">
        <v>5</v>
      </c>
      <c r="B32" s="35" t="s">
        <v>121</v>
      </c>
      <c r="C32" s="35" t="s">
        <v>122</v>
      </c>
      <c r="D32" s="35" t="s">
        <v>32</v>
      </c>
      <c r="E32" s="36">
        <v>200</v>
      </c>
      <c r="F32" s="37">
        <v>1993.134</v>
      </c>
      <c r="G32" s="38">
        <v>6.0351849999999999E-2</v>
      </c>
      <c r="H32" s="28">
        <v>7.8049999999999997</v>
      </c>
    </row>
    <row r="33" spans="1:8" ht="25.5" x14ac:dyDescent="0.2">
      <c r="A33" s="34">
        <v>6</v>
      </c>
      <c r="B33" s="35" t="s">
        <v>123</v>
      </c>
      <c r="C33" s="35" t="s">
        <v>124</v>
      </c>
      <c r="D33" s="35" t="s">
        <v>32</v>
      </c>
      <c r="E33" s="36">
        <v>200</v>
      </c>
      <c r="F33" s="37">
        <v>1947</v>
      </c>
      <c r="G33" s="38">
        <v>5.8954920000000001E-2</v>
      </c>
      <c r="H33" s="28">
        <v>7.6</v>
      </c>
    </row>
    <row r="34" spans="1:8" ht="25.5" x14ac:dyDescent="0.2">
      <c r="A34" s="34">
        <v>7</v>
      </c>
      <c r="B34" s="35" t="s">
        <v>33</v>
      </c>
      <c r="C34" s="35" t="s">
        <v>34</v>
      </c>
      <c r="D34" s="35" t="s">
        <v>23</v>
      </c>
      <c r="E34" s="36">
        <v>1500</v>
      </c>
      <c r="F34" s="37">
        <v>1508.799</v>
      </c>
      <c r="G34" s="38">
        <v>4.5686249999999998E-2</v>
      </c>
      <c r="H34" s="28">
        <v>7.4497</v>
      </c>
    </row>
    <row r="35" spans="1:8" ht="25.5" x14ac:dyDescent="0.2">
      <c r="A35" s="34">
        <v>8</v>
      </c>
      <c r="B35" s="35" t="s">
        <v>43</v>
      </c>
      <c r="C35" s="35" t="s">
        <v>44</v>
      </c>
      <c r="D35" s="35" t="s">
        <v>23</v>
      </c>
      <c r="E35" s="36">
        <v>1500</v>
      </c>
      <c r="F35" s="37">
        <v>1492.3485000000001</v>
      </c>
      <c r="G35" s="38">
        <v>4.518813E-2</v>
      </c>
      <c r="H35" s="28">
        <v>7.5</v>
      </c>
    </row>
    <row r="36" spans="1:8" ht="25.5" x14ac:dyDescent="0.2">
      <c r="A36" s="34">
        <v>9</v>
      </c>
      <c r="B36" s="35" t="s">
        <v>125</v>
      </c>
      <c r="C36" s="35" t="s">
        <v>126</v>
      </c>
      <c r="D36" s="35" t="s">
        <v>32</v>
      </c>
      <c r="E36" s="36">
        <v>150</v>
      </c>
      <c r="F36" s="37">
        <v>1491.9659999999999</v>
      </c>
      <c r="G36" s="38">
        <v>4.5176550000000003E-2</v>
      </c>
      <c r="H36" s="28">
        <v>7.7750000000000004</v>
      </c>
    </row>
    <row r="37" spans="1:8" ht="25.5" x14ac:dyDescent="0.2">
      <c r="A37" s="34">
        <v>10</v>
      </c>
      <c r="B37" s="35" t="s">
        <v>127</v>
      </c>
      <c r="C37" s="35" t="s">
        <v>128</v>
      </c>
      <c r="D37" s="35" t="s">
        <v>23</v>
      </c>
      <c r="E37" s="36">
        <v>1000</v>
      </c>
      <c r="F37" s="37">
        <v>1004.943</v>
      </c>
      <c r="G37" s="38">
        <v>3.042955E-2</v>
      </c>
      <c r="H37" s="28">
        <v>7.2697000000000003</v>
      </c>
    </row>
    <row r="38" spans="1:8" ht="25.5" x14ac:dyDescent="0.2">
      <c r="A38" s="34">
        <v>11</v>
      </c>
      <c r="B38" s="35" t="s">
        <v>24</v>
      </c>
      <c r="C38" s="35" t="s">
        <v>25</v>
      </c>
      <c r="D38" s="35" t="s">
        <v>23</v>
      </c>
      <c r="E38" s="36">
        <v>1000</v>
      </c>
      <c r="F38" s="37">
        <v>1004.192</v>
      </c>
      <c r="G38" s="38">
        <v>3.0406809999999999E-2</v>
      </c>
      <c r="H38" s="28">
        <v>7.28</v>
      </c>
    </row>
    <row r="39" spans="1:8" ht="25.5" x14ac:dyDescent="0.2">
      <c r="A39" s="34">
        <v>12</v>
      </c>
      <c r="B39" s="35" t="s">
        <v>47</v>
      </c>
      <c r="C39" s="35" t="s">
        <v>48</v>
      </c>
      <c r="D39" s="35" t="s">
        <v>23</v>
      </c>
      <c r="E39" s="36">
        <v>500</v>
      </c>
      <c r="F39" s="37">
        <v>504.58699999999999</v>
      </c>
      <c r="G39" s="38">
        <v>1.527883E-2</v>
      </c>
      <c r="H39" s="28">
        <v>7.3449999999999998</v>
      </c>
    </row>
    <row r="40" spans="1:8" ht="25.5" x14ac:dyDescent="0.2">
      <c r="A40" s="34">
        <v>13</v>
      </c>
      <c r="B40" s="35" t="s">
        <v>129</v>
      </c>
      <c r="C40" s="35" t="s">
        <v>130</v>
      </c>
      <c r="D40" s="35" t="s">
        <v>23</v>
      </c>
      <c r="E40" s="36">
        <v>500</v>
      </c>
      <c r="F40" s="37">
        <v>504.5455</v>
      </c>
      <c r="G40" s="38">
        <v>1.5277580000000001E-2</v>
      </c>
      <c r="H40" s="28">
        <v>7.2907999999999999</v>
      </c>
    </row>
    <row r="41" spans="1:8" ht="25.5" x14ac:dyDescent="0.2">
      <c r="A41" s="34">
        <v>14</v>
      </c>
      <c r="B41" s="35" t="s">
        <v>35</v>
      </c>
      <c r="C41" s="35" t="s">
        <v>36</v>
      </c>
      <c r="D41" s="35" t="s">
        <v>23</v>
      </c>
      <c r="E41" s="36">
        <v>500</v>
      </c>
      <c r="F41" s="37">
        <v>501.94299999999998</v>
      </c>
      <c r="G41" s="38">
        <v>1.519877E-2</v>
      </c>
      <c r="H41" s="28">
        <v>7.2755000000000001</v>
      </c>
    </row>
    <row r="42" spans="1:8" ht="25.5" x14ac:dyDescent="0.2">
      <c r="A42" s="34">
        <v>15</v>
      </c>
      <c r="B42" s="35" t="s">
        <v>131</v>
      </c>
      <c r="C42" s="35" t="s">
        <v>132</v>
      </c>
      <c r="D42" s="35" t="s">
        <v>23</v>
      </c>
      <c r="E42" s="36">
        <v>500</v>
      </c>
      <c r="F42" s="37">
        <v>501.79300000000001</v>
      </c>
      <c r="G42" s="38">
        <v>1.519423E-2</v>
      </c>
      <c r="H42" s="28">
        <v>7.5</v>
      </c>
    </row>
    <row r="43" spans="1:8" x14ac:dyDescent="0.2">
      <c r="A43" s="34">
        <v>16</v>
      </c>
      <c r="B43" s="35" t="s">
        <v>55</v>
      </c>
      <c r="C43" s="35" t="s">
        <v>56</v>
      </c>
      <c r="D43" s="35" t="s">
        <v>23</v>
      </c>
      <c r="E43" s="36">
        <v>500</v>
      </c>
      <c r="F43" s="37">
        <v>501.64749999999998</v>
      </c>
      <c r="G43" s="38">
        <v>1.518983E-2</v>
      </c>
      <c r="H43" s="28">
        <v>7.585</v>
      </c>
    </row>
    <row r="44" spans="1:8" ht="25.5" x14ac:dyDescent="0.2">
      <c r="A44" s="34">
        <v>17</v>
      </c>
      <c r="B44" s="35" t="s">
        <v>133</v>
      </c>
      <c r="C44" s="35" t="s">
        <v>134</v>
      </c>
      <c r="D44" s="35" t="s">
        <v>23</v>
      </c>
      <c r="E44" s="36">
        <v>500</v>
      </c>
      <c r="F44" s="37">
        <v>500.56400000000002</v>
      </c>
      <c r="G44" s="38">
        <v>1.515702E-2</v>
      </c>
      <c r="H44" s="28">
        <v>8.01</v>
      </c>
    </row>
    <row r="45" spans="1:8" ht="25.5" x14ac:dyDescent="0.2">
      <c r="A45" s="34">
        <v>18</v>
      </c>
      <c r="B45" s="35" t="s">
        <v>135</v>
      </c>
      <c r="C45" s="35" t="s">
        <v>136</v>
      </c>
      <c r="D45" s="35" t="s">
        <v>32</v>
      </c>
      <c r="E45" s="36">
        <v>50</v>
      </c>
      <c r="F45" s="37">
        <v>498.02949999999998</v>
      </c>
      <c r="G45" s="38">
        <v>1.508027E-2</v>
      </c>
      <c r="H45" s="28">
        <v>7.8</v>
      </c>
    </row>
    <row r="46" spans="1:8" x14ac:dyDescent="0.2">
      <c r="A46" s="26"/>
      <c r="B46" s="26"/>
      <c r="C46" s="27" t="s">
        <v>11</v>
      </c>
      <c r="D46" s="26"/>
      <c r="E46" s="26" t="s">
        <v>12</v>
      </c>
      <c r="F46" s="33">
        <v>23973.74</v>
      </c>
      <c r="G46" s="30">
        <v>0.72592190999999995</v>
      </c>
      <c r="H46" s="28" t="s">
        <v>12</v>
      </c>
    </row>
    <row r="47" spans="1:8" x14ac:dyDescent="0.2">
      <c r="A47" s="26"/>
      <c r="B47" s="26"/>
      <c r="C47" s="31"/>
      <c r="D47" s="26"/>
      <c r="E47" s="26"/>
      <c r="F47" s="32"/>
      <c r="G47" s="32"/>
      <c r="H47" s="28" t="s">
        <v>12</v>
      </c>
    </row>
    <row r="48" spans="1:8" x14ac:dyDescent="0.2">
      <c r="A48" s="26"/>
      <c r="B48" s="26"/>
      <c r="C48" s="27" t="s">
        <v>67</v>
      </c>
      <c r="D48" s="26"/>
      <c r="E48" s="26"/>
      <c r="F48" s="26"/>
      <c r="G48" s="26"/>
      <c r="H48" s="28" t="s">
        <v>12</v>
      </c>
    </row>
    <row r="49" spans="1:8" x14ac:dyDescent="0.2">
      <c r="A49" s="26"/>
      <c r="B49" s="26"/>
      <c r="C49" s="27" t="s">
        <v>11</v>
      </c>
      <c r="D49" s="26"/>
      <c r="E49" s="26" t="s">
        <v>12</v>
      </c>
      <c r="F49" s="29" t="s">
        <v>13</v>
      </c>
      <c r="G49" s="30">
        <v>0</v>
      </c>
      <c r="H49" s="28" t="s">
        <v>12</v>
      </c>
    </row>
    <row r="50" spans="1:8" x14ac:dyDescent="0.2">
      <c r="A50" s="26"/>
      <c r="B50" s="26"/>
      <c r="C50" s="31"/>
      <c r="D50" s="26"/>
      <c r="E50" s="26"/>
      <c r="F50" s="32"/>
      <c r="G50" s="32"/>
      <c r="H50" s="28" t="s">
        <v>12</v>
      </c>
    </row>
    <row r="51" spans="1:8" x14ac:dyDescent="0.2">
      <c r="A51" s="26"/>
      <c r="B51" s="26"/>
      <c r="C51" s="27" t="s">
        <v>68</v>
      </c>
      <c r="D51" s="26"/>
      <c r="E51" s="26"/>
      <c r="F51" s="26"/>
      <c r="G51" s="26"/>
      <c r="H51" s="28" t="s">
        <v>12</v>
      </c>
    </row>
    <row r="52" spans="1:8" x14ac:dyDescent="0.2">
      <c r="A52" s="34">
        <v>1</v>
      </c>
      <c r="B52" s="35" t="s">
        <v>69</v>
      </c>
      <c r="C52" s="35" t="s">
        <v>70</v>
      </c>
      <c r="D52" s="35" t="s">
        <v>71</v>
      </c>
      <c r="E52" s="36">
        <v>3000000</v>
      </c>
      <c r="F52" s="37">
        <v>3071.9430000000002</v>
      </c>
      <c r="G52" s="38">
        <v>9.301806E-2</v>
      </c>
      <c r="H52" s="28">
        <v>6.9313000000000002</v>
      </c>
    </row>
    <row r="53" spans="1:8" ht="25.5" x14ac:dyDescent="0.2">
      <c r="A53" s="34">
        <v>2</v>
      </c>
      <c r="B53" s="35" t="s">
        <v>72</v>
      </c>
      <c r="C53" s="35" t="s">
        <v>73</v>
      </c>
      <c r="D53" s="35" t="s">
        <v>71</v>
      </c>
      <c r="E53" s="36">
        <v>2300000</v>
      </c>
      <c r="F53" s="37">
        <v>2349.0153</v>
      </c>
      <c r="G53" s="38">
        <v>7.1127899999999994E-2</v>
      </c>
      <c r="H53" s="28">
        <v>6.9077000000000002</v>
      </c>
    </row>
    <row r="54" spans="1:8" x14ac:dyDescent="0.2">
      <c r="A54" s="34">
        <v>3</v>
      </c>
      <c r="B54" s="35" t="s">
        <v>74</v>
      </c>
      <c r="C54" s="35" t="s">
        <v>75</v>
      </c>
      <c r="D54" s="35" t="s">
        <v>71</v>
      </c>
      <c r="E54" s="36">
        <v>1000000</v>
      </c>
      <c r="F54" s="37">
        <v>1027.9780000000001</v>
      </c>
      <c r="G54" s="38">
        <v>3.112705E-2</v>
      </c>
      <c r="H54" s="28">
        <v>6.8685999999999998</v>
      </c>
    </row>
    <row r="55" spans="1:8" x14ac:dyDescent="0.2">
      <c r="A55" s="34">
        <v>4</v>
      </c>
      <c r="B55" s="35" t="s">
        <v>76</v>
      </c>
      <c r="C55" s="35" t="s">
        <v>77</v>
      </c>
      <c r="D55" s="35" t="s">
        <v>71</v>
      </c>
      <c r="E55" s="36">
        <v>500000</v>
      </c>
      <c r="F55" s="37">
        <v>522.46950000000004</v>
      </c>
      <c r="G55" s="38">
        <v>1.5820310000000001E-2</v>
      </c>
      <c r="H55" s="28">
        <v>7.0563000000000002</v>
      </c>
    </row>
    <row r="56" spans="1:8" ht="25.5" x14ac:dyDescent="0.2">
      <c r="A56" s="34">
        <v>5</v>
      </c>
      <c r="B56" s="35" t="s">
        <v>137</v>
      </c>
      <c r="C56" s="35" t="s">
        <v>138</v>
      </c>
      <c r="D56" s="35" t="s">
        <v>71</v>
      </c>
      <c r="E56" s="36">
        <v>500000</v>
      </c>
      <c r="F56" s="37">
        <v>517.28399999999999</v>
      </c>
      <c r="G56" s="38">
        <v>1.5663300000000002E-2</v>
      </c>
      <c r="H56" s="28">
        <v>6.9678000000000004</v>
      </c>
    </row>
    <row r="57" spans="1:8" x14ac:dyDescent="0.2">
      <c r="A57" s="26"/>
      <c r="B57" s="26"/>
      <c r="C57" s="27" t="s">
        <v>11</v>
      </c>
      <c r="D57" s="26"/>
      <c r="E57" s="26" t="s">
        <v>12</v>
      </c>
      <c r="F57" s="33">
        <v>7488.6898000000001</v>
      </c>
      <c r="G57" s="30">
        <v>0.22675661999999999</v>
      </c>
      <c r="H57" s="28" t="s">
        <v>12</v>
      </c>
    </row>
    <row r="58" spans="1:8" x14ac:dyDescent="0.2">
      <c r="A58" s="26"/>
      <c r="B58" s="26"/>
      <c r="C58" s="31"/>
      <c r="D58" s="26"/>
      <c r="E58" s="26"/>
      <c r="F58" s="32"/>
      <c r="G58" s="32"/>
      <c r="H58" s="28" t="s">
        <v>12</v>
      </c>
    </row>
    <row r="59" spans="1:8" x14ac:dyDescent="0.2">
      <c r="A59" s="26"/>
      <c r="B59" s="26"/>
      <c r="C59" s="27" t="s">
        <v>82</v>
      </c>
      <c r="D59" s="26"/>
      <c r="E59" s="26"/>
      <c r="F59" s="32"/>
      <c r="G59" s="32"/>
      <c r="H59" s="28" t="s">
        <v>12</v>
      </c>
    </row>
    <row r="60" spans="1:8" x14ac:dyDescent="0.2">
      <c r="A60" s="26"/>
      <c r="B60" s="26"/>
      <c r="C60" s="27" t="s">
        <v>11</v>
      </c>
      <c r="D60" s="26"/>
      <c r="E60" s="26" t="s">
        <v>12</v>
      </c>
      <c r="F60" s="29" t="s">
        <v>13</v>
      </c>
      <c r="G60" s="30">
        <v>0</v>
      </c>
      <c r="H60" s="28" t="s">
        <v>12</v>
      </c>
    </row>
    <row r="61" spans="1:8" x14ac:dyDescent="0.2">
      <c r="A61" s="26"/>
      <c r="B61" s="26"/>
      <c r="C61" s="31"/>
      <c r="D61" s="26"/>
      <c r="E61" s="26"/>
      <c r="F61" s="32"/>
      <c r="G61" s="32"/>
      <c r="H61" s="28" t="s">
        <v>12</v>
      </c>
    </row>
    <row r="62" spans="1:8" x14ac:dyDescent="0.2">
      <c r="A62" s="26"/>
      <c r="B62" s="26"/>
      <c r="C62" s="27" t="s">
        <v>83</v>
      </c>
      <c r="D62" s="26"/>
      <c r="E62" s="26"/>
      <c r="F62" s="33">
        <v>31462.429800000002</v>
      </c>
      <c r="G62" s="30">
        <v>0.95267853000000002</v>
      </c>
      <c r="H62" s="28" t="s">
        <v>12</v>
      </c>
    </row>
    <row r="63" spans="1:8" x14ac:dyDescent="0.2">
      <c r="A63" s="26"/>
      <c r="B63" s="26"/>
      <c r="C63" s="31"/>
      <c r="D63" s="26"/>
      <c r="E63" s="26"/>
      <c r="F63" s="32"/>
      <c r="G63" s="32"/>
      <c r="H63" s="28" t="s">
        <v>12</v>
      </c>
    </row>
    <row r="64" spans="1:8" x14ac:dyDescent="0.2">
      <c r="A64" s="26"/>
      <c r="B64" s="26"/>
      <c r="C64" s="27" t="s">
        <v>84</v>
      </c>
      <c r="D64" s="26"/>
      <c r="E64" s="26"/>
      <c r="F64" s="32"/>
      <c r="G64" s="32"/>
      <c r="H64" s="28" t="s">
        <v>12</v>
      </c>
    </row>
    <row r="65" spans="1:8" x14ac:dyDescent="0.2">
      <c r="A65" s="26"/>
      <c r="B65" s="26"/>
      <c r="C65" s="27" t="s">
        <v>85</v>
      </c>
      <c r="D65" s="26"/>
      <c r="E65" s="26"/>
      <c r="F65" s="32"/>
      <c r="G65" s="32"/>
      <c r="H65" s="28" t="s">
        <v>12</v>
      </c>
    </row>
    <row r="66" spans="1:8" x14ac:dyDescent="0.2">
      <c r="A66" s="26"/>
      <c r="B66" s="26"/>
      <c r="C66" s="27" t="s">
        <v>11</v>
      </c>
      <c r="D66" s="26"/>
      <c r="E66" s="26" t="s">
        <v>12</v>
      </c>
      <c r="F66" s="29" t="s">
        <v>13</v>
      </c>
      <c r="G66" s="30">
        <v>0</v>
      </c>
      <c r="H66" s="28" t="s">
        <v>12</v>
      </c>
    </row>
    <row r="67" spans="1:8" x14ac:dyDescent="0.2">
      <c r="A67" s="26"/>
      <c r="B67" s="26"/>
      <c r="C67" s="31"/>
      <c r="D67" s="26"/>
      <c r="E67" s="26"/>
      <c r="F67" s="32"/>
      <c r="G67" s="32"/>
      <c r="H67" s="28" t="s">
        <v>12</v>
      </c>
    </row>
    <row r="68" spans="1:8" x14ac:dyDescent="0.2">
      <c r="A68" s="26"/>
      <c r="B68" s="26"/>
      <c r="C68" s="27" t="s">
        <v>86</v>
      </c>
      <c r="D68" s="26"/>
      <c r="E68" s="26"/>
      <c r="F68" s="32"/>
      <c r="G68" s="32"/>
      <c r="H68" s="28" t="s">
        <v>12</v>
      </c>
    </row>
    <row r="69" spans="1:8" x14ac:dyDescent="0.2">
      <c r="A69" s="26"/>
      <c r="B69" s="26"/>
      <c r="C69" s="27" t="s">
        <v>11</v>
      </c>
      <c r="D69" s="26"/>
      <c r="E69" s="26" t="s">
        <v>12</v>
      </c>
      <c r="F69" s="29" t="s">
        <v>13</v>
      </c>
      <c r="G69" s="30">
        <v>0</v>
      </c>
      <c r="H69" s="28" t="s">
        <v>12</v>
      </c>
    </row>
    <row r="70" spans="1:8" x14ac:dyDescent="0.2">
      <c r="A70" s="26"/>
      <c r="B70" s="26"/>
      <c r="C70" s="31"/>
      <c r="D70" s="26"/>
      <c r="E70" s="26"/>
      <c r="F70" s="32"/>
      <c r="G70" s="32"/>
      <c r="H70" s="28" t="s">
        <v>12</v>
      </c>
    </row>
    <row r="71" spans="1:8" x14ac:dyDescent="0.2">
      <c r="A71" s="26"/>
      <c r="B71" s="26"/>
      <c r="C71" s="27" t="s">
        <v>87</v>
      </c>
      <c r="D71" s="26"/>
      <c r="E71" s="26"/>
      <c r="F71" s="32"/>
      <c r="G71" s="32"/>
      <c r="H71" s="28" t="s">
        <v>12</v>
      </c>
    </row>
    <row r="72" spans="1:8" x14ac:dyDescent="0.2">
      <c r="A72" s="26"/>
      <c r="B72" s="26"/>
      <c r="C72" s="27" t="s">
        <v>11</v>
      </c>
      <c r="D72" s="26"/>
      <c r="E72" s="26" t="s">
        <v>12</v>
      </c>
      <c r="F72" s="29" t="s">
        <v>13</v>
      </c>
      <c r="G72" s="30">
        <v>0</v>
      </c>
      <c r="H72" s="28" t="s">
        <v>12</v>
      </c>
    </row>
    <row r="73" spans="1:8" x14ac:dyDescent="0.2">
      <c r="A73" s="26"/>
      <c r="B73" s="26"/>
      <c r="C73" s="31"/>
      <c r="D73" s="26"/>
      <c r="E73" s="26"/>
      <c r="F73" s="32"/>
      <c r="G73" s="32"/>
      <c r="H73" s="28" t="s">
        <v>12</v>
      </c>
    </row>
    <row r="74" spans="1:8" x14ac:dyDescent="0.2">
      <c r="A74" s="26"/>
      <c r="B74" s="26"/>
      <c r="C74" s="27" t="s">
        <v>88</v>
      </c>
      <c r="D74" s="26"/>
      <c r="E74" s="26"/>
      <c r="F74" s="32"/>
      <c r="G74" s="32"/>
      <c r="H74" s="28" t="s">
        <v>12</v>
      </c>
    </row>
    <row r="75" spans="1:8" x14ac:dyDescent="0.2">
      <c r="A75" s="34">
        <v>1</v>
      </c>
      <c r="B75" s="35"/>
      <c r="C75" s="35" t="s">
        <v>89</v>
      </c>
      <c r="D75" s="35"/>
      <c r="E75" s="39"/>
      <c r="F75" s="37">
        <v>291.29071320100002</v>
      </c>
      <c r="G75" s="38">
        <v>8.82025E-3</v>
      </c>
      <c r="H75" s="28">
        <v>6.4</v>
      </c>
    </row>
    <row r="76" spans="1:8" x14ac:dyDescent="0.2">
      <c r="A76" s="26"/>
      <c r="B76" s="26"/>
      <c r="C76" s="27" t="s">
        <v>11</v>
      </c>
      <c r="D76" s="26"/>
      <c r="E76" s="26" t="s">
        <v>12</v>
      </c>
      <c r="F76" s="33">
        <v>291.29071320100002</v>
      </c>
      <c r="G76" s="30">
        <v>8.82025E-3</v>
      </c>
      <c r="H76" s="28" t="s">
        <v>12</v>
      </c>
    </row>
    <row r="77" spans="1:8" x14ac:dyDescent="0.2">
      <c r="A77" s="26"/>
      <c r="B77" s="26"/>
      <c r="C77" s="31"/>
      <c r="D77" s="26"/>
      <c r="E77" s="26"/>
      <c r="F77" s="32"/>
      <c r="G77" s="32"/>
      <c r="H77" s="28" t="s">
        <v>12</v>
      </c>
    </row>
    <row r="78" spans="1:8" x14ac:dyDescent="0.2">
      <c r="A78" s="26"/>
      <c r="B78" s="26"/>
      <c r="C78" s="27" t="s">
        <v>90</v>
      </c>
      <c r="D78" s="26"/>
      <c r="E78" s="26"/>
      <c r="F78" s="33">
        <v>291.29071320100002</v>
      </c>
      <c r="G78" s="30">
        <v>8.82025E-3</v>
      </c>
      <c r="H78" s="28" t="s">
        <v>12</v>
      </c>
    </row>
    <row r="79" spans="1:8" x14ac:dyDescent="0.2">
      <c r="A79" s="26"/>
      <c r="B79" s="26"/>
      <c r="C79" s="32"/>
      <c r="D79" s="26"/>
      <c r="E79" s="26"/>
      <c r="F79" s="26"/>
      <c r="G79" s="26"/>
      <c r="H79" s="28" t="s">
        <v>12</v>
      </c>
    </row>
    <row r="80" spans="1:8" x14ac:dyDescent="0.2">
      <c r="A80" s="26"/>
      <c r="B80" s="26"/>
      <c r="C80" s="27" t="s">
        <v>91</v>
      </c>
      <c r="D80" s="26"/>
      <c r="E80" s="26"/>
      <c r="F80" s="26"/>
      <c r="G80" s="26"/>
      <c r="H80" s="28" t="s">
        <v>12</v>
      </c>
    </row>
    <row r="81" spans="1:18" x14ac:dyDescent="0.2">
      <c r="A81" s="26"/>
      <c r="B81" s="26"/>
      <c r="C81" s="27" t="s">
        <v>92</v>
      </c>
      <c r="D81" s="26"/>
      <c r="E81" s="26"/>
      <c r="F81" s="26"/>
      <c r="G81" s="26"/>
      <c r="H81" s="28" t="s">
        <v>12</v>
      </c>
    </row>
    <row r="82" spans="1:18" x14ac:dyDescent="0.2">
      <c r="A82" s="26"/>
      <c r="B82" s="26"/>
      <c r="C82" s="27" t="s">
        <v>11</v>
      </c>
      <c r="D82" s="26"/>
      <c r="E82" s="26" t="s">
        <v>12</v>
      </c>
      <c r="F82" s="29" t="s">
        <v>13</v>
      </c>
      <c r="G82" s="30">
        <v>0</v>
      </c>
      <c r="H82" s="28" t="s">
        <v>12</v>
      </c>
    </row>
    <row r="83" spans="1:18" x14ac:dyDescent="0.2">
      <c r="A83" s="26"/>
      <c r="B83" s="26"/>
      <c r="C83" s="31"/>
      <c r="D83" s="26"/>
      <c r="E83" s="26"/>
      <c r="F83" s="32"/>
      <c r="G83" s="32"/>
      <c r="H83" s="28" t="s">
        <v>12</v>
      </c>
    </row>
    <row r="84" spans="1:18" x14ac:dyDescent="0.2">
      <c r="A84" s="40"/>
      <c r="B84" s="40"/>
      <c r="C84" s="41" t="s">
        <v>527</v>
      </c>
      <c r="D84" s="40"/>
      <c r="E84" s="40"/>
      <c r="F84" s="42"/>
      <c r="G84" s="42"/>
      <c r="H84" s="43"/>
      <c r="L84" s="5"/>
      <c r="M84" s="5"/>
      <c r="N84" s="5"/>
      <c r="O84" s="5"/>
      <c r="P84" s="6"/>
      <c r="Q84" s="6"/>
      <c r="R84" s="6"/>
    </row>
    <row r="85" spans="1:18" ht="25.5" x14ac:dyDescent="0.2">
      <c r="A85" s="34">
        <v>1</v>
      </c>
      <c r="B85" s="35" t="s">
        <v>93</v>
      </c>
      <c r="C85" s="35" t="s">
        <v>94</v>
      </c>
      <c r="D85" s="35"/>
      <c r="E85" s="44">
        <v>1138.2429999999999</v>
      </c>
      <c r="F85" s="37">
        <v>118.221753859</v>
      </c>
      <c r="G85" s="38">
        <v>3.5797400000000001E-3</v>
      </c>
      <c r="H85" s="28"/>
    </row>
    <row r="86" spans="1:18" x14ac:dyDescent="0.2">
      <c r="A86" s="26"/>
      <c r="B86" s="26"/>
      <c r="C86" s="27" t="s">
        <v>11</v>
      </c>
      <c r="D86" s="26"/>
      <c r="E86" s="26" t="s">
        <v>12</v>
      </c>
      <c r="F86" s="33">
        <v>118.221753859</v>
      </c>
      <c r="G86" s="30">
        <v>3.5797400000000001E-3</v>
      </c>
      <c r="H86" s="28" t="s">
        <v>12</v>
      </c>
    </row>
    <row r="87" spans="1:18" x14ac:dyDescent="0.2">
      <c r="A87" s="26"/>
      <c r="B87" s="26"/>
      <c r="C87" s="31"/>
      <c r="D87" s="26"/>
      <c r="E87" s="26"/>
      <c r="F87" s="32"/>
      <c r="G87" s="32"/>
      <c r="H87" s="28" t="s">
        <v>12</v>
      </c>
    </row>
    <row r="88" spans="1:18" x14ac:dyDescent="0.2">
      <c r="A88" s="26"/>
      <c r="B88" s="26"/>
      <c r="C88" s="27" t="s">
        <v>95</v>
      </c>
      <c r="D88" s="26"/>
      <c r="E88" s="26"/>
      <c r="F88" s="26"/>
      <c r="G88" s="26"/>
      <c r="H88" s="28" t="s">
        <v>12</v>
      </c>
    </row>
    <row r="89" spans="1:18" x14ac:dyDescent="0.2">
      <c r="A89" s="26"/>
      <c r="B89" s="26"/>
      <c r="C89" s="27" t="s">
        <v>96</v>
      </c>
      <c r="D89" s="26"/>
      <c r="E89" s="26"/>
      <c r="F89" s="26"/>
      <c r="G89" s="26"/>
      <c r="H89" s="28" t="s">
        <v>12</v>
      </c>
    </row>
    <row r="90" spans="1:18" x14ac:dyDescent="0.2">
      <c r="A90" s="26"/>
      <c r="B90" s="26"/>
      <c r="C90" s="27" t="s">
        <v>11</v>
      </c>
      <c r="D90" s="26"/>
      <c r="E90" s="26" t="s">
        <v>12</v>
      </c>
      <c r="F90" s="29" t="s">
        <v>13</v>
      </c>
      <c r="G90" s="30">
        <v>0</v>
      </c>
      <c r="H90" s="28" t="s">
        <v>12</v>
      </c>
    </row>
    <row r="91" spans="1:18" x14ac:dyDescent="0.2">
      <c r="A91" s="26"/>
      <c r="B91" s="26"/>
      <c r="C91" s="31"/>
      <c r="D91" s="26"/>
      <c r="E91" s="26"/>
      <c r="F91" s="32"/>
      <c r="G91" s="32"/>
      <c r="H91" s="28" t="s">
        <v>12</v>
      </c>
    </row>
    <row r="92" spans="1:18" x14ac:dyDescent="0.2">
      <c r="A92" s="26"/>
      <c r="B92" s="26"/>
      <c r="C92" s="27" t="s">
        <v>97</v>
      </c>
      <c r="D92" s="26"/>
      <c r="E92" s="26"/>
      <c r="F92" s="32"/>
      <c r="G92" s="32"/>
      <c r="H92" s="28" t="s">
        <v>12</v>
      </c>
    </row>
    <row r="93" spans="1:18" x14ac:dyDescent="0.2">
      <c r="A93" s="26"/>
      <c r="B93" s="26"/>
      <c r="C93" s="27" t="s">
        <v>11</v>
      </c>
      <c r="D93" s="26"/>
      <c r="E93" s="26" t="s">
        <v>12</v>
      </c>
      <c r="F93" s="29" t="s">
        <v>13</v>
      </c>
      <c r="G93" s="30">
        <v>0</v>
      </c>
      <c r="H93" s="28" t="s">
        <v>12</v>
      </c>
    </row>
    <row r="94" spans="1:18" x14ac:dyDescent="0.2">
      <c r="A94" s="26"/>
      <c r="B94" s="35"/>
      <c r="C94" s="35"/>
      <c r="D94" s="27"/>
      <c r="E94" s="26"/>
      <c r="F94" s="35"/>
      <c r="G94" s="39"/>
      <c r="H94" s="28" t="s">
        <v>12</v>
      </c>
    </row>
    <row r="95" spans="1:18" x14ac:dyDescent="0.2">
      <c r="A95" s="39"/>
      <c r="B95" s="35"/>
      <c r="C95" s="35" t="s">
        <v>98</v>
      </c>
      <c r="D95" s="35"/>
      <c r="E95" s="39"/>
      <c r="F95" s="37">
        <f>1153.29077793-0.000268009996414185</f>
        <v>1153.2905099200036</v>
      </c>
      <c r="G95" s="38">
        <v>3.4921500000000001E-2</v>
      </c>
      <c r="H95" s="28" t="s">
        <v>12</v>
      </c>
    </row>
    <row r="96" spans="1:18" x14ac:dyDescent="0.2">
      <c r="A96" s="31"/>
      <c r="B96" s="31"/>
      <c r="C96" s="27" t="s">
        <v>99</v>
      </c>
      <c r="D96" s="32"/>
      <c r="E96" s="32"/>
      <c r="F96" s="33">
        <f>33025.23304499-0.000268009996414185</f>
        <v>33025.232776980003</v>
      </c>
      <c r="G96" s="45">
        <v>1.0000000200000001</v>
      </c>
      <c r="H96" s="28" t="s">
        <v>12</v>
      </c>
    </row>
    <row r="97" spans="1:8" x14ac:dyDescent="0.2">
      <c r="A97" s="46"/>
      <c r="B97" s="46"/>
      <c r="C97" s="46"/>
      <c r="D97" s="47"/>
      <c r="E97" s="47"/>
      <c r="F97" s="47"/>
      <c r="G97" s="47"/>
    </row>
    <row r="98" spans="1:8" x14ac:dyDescent="0.2">
      <c r="A98" s="48"/>
      <c r="B98" s="116" t="s">
        <v>537</v>
      </c>
      <c r="C98" s="116"/>
      <c r="D98" s="116"/>
      <c r="E98" s="116"/>
      <c r="F98" s="116"/>
      <c r="G98" s="116"/>
      <c r="H98" s="116"/>
    </row>
    <row r="99" spans="1:8" x14ac:dyDescent="0.2">
      <c r="A99" s="48"/>
      <c r="B99" s="116" t="s">
        <v>538</v>
      </c>
      <c r="C99" s="116"/>
      <c r="D99" s="116"/>
      <c r="E99" s="116"/>
      <c r="F99" s="116"/>
      <c r="G99" s="116"/>
      <c r="H99" s="116"/>
    </row>
    <row r="100" spans="1:8" x14ac:dyDescent="0.2">
      <c r="A100" s="48"/>
      <c r="B100" s="116" t="s">
        <v>539</v>
      </c>
      <c r="C100" s="116"/>
      <c r="D100" s="116"/>
      <c r="E100" s="116"/>
      <c r="F100" s="116"/>
      <c r="G100" s="116"/>
      <c r="H100" s="116"/>
    </row>
    <row r="101" spans="1:8" x14ac:dyDescent="0.2">
      <c r="A101" s="50"/>
      <c r="B101" s="50"/>
      <c r="C101" s="50"/>
      <c r="D101" s="51"/>
      <c r="E101" s="51"/>
      <c r="F101" s="51"/>
      <c r="G101" s="51"/>
    </row>
    <row r="102" spans="1:8" x14ac:dyDescent="0.2">
      <c r="A102" s="50"/>
      <c r="B102" s="109" t="s">
        <v>100</v>
      </c>
      <c r="C102" s="110"/>
      <c r="D102" s="111"/>
      <c r="E102" s="52"/>
      <c r="F102" s="51"/>
      <c r="G102" s="51"/>
    </row>
    <row r="103" spans="1:8" x14ac:dyDescent="0.2">
      <c r="A103" s="50"/>
      <c r="B103" s="112" t="s">
        <v>101</v>
      </c>
      <c r="C103" s="113"/>
      <c r="D103" s="27" t="s">
        <v>102</v>
      </c>
      <c r="E103" s="52"/>
      <c r="F103" s="51"/>
      <c r="G103" s="51"/>
    </row>
    <row r="104" spans="1:8" x14ac:dyDescent="0.2">
      <c r="A104" s="50"/>
      <c r="B104" s="112" t="s">
        <v>103</v>
      </c>
      <c r="C104" s="113"/>
      <c r="D104" s="27" t="s">
        <v>102</v>
      </c>
      <c r="E104" s="52"/>
      <c r="F104" s="51"/>
      <c r="G104" s="51"/>
    </row>
    <row r="105" spans="1:8" x14ac:dyDescent="0.2">
      <c r="A105" s="50"/>
      <c r="B105" s="112" t="s">
        <v>104</v>
      </c>
      <c r="C105" s="113"/>
      <c r="D105" s="32" t="s">
        <v>12</v>
      </c>
      <c r="E105" s="52"/>
      <c r="F105" s="51"/>
      <c r="G105" s="51"/>
    </row>
    <row r="106" spans="1:8" x14ac:dyDescent="0.2">
      <c r="A106" s="53"/>
      <c r="B106" s="54" t="s">
        <v>12</v>
      </c>
      <c r="C106" s="54" t="s">
        <v>528</v>
      </c>
      <c r="D106" s="54" t="s">
        <v>105</v>
      </c>
      <c r="E106" s="53"/>
      <c r="F106" s="53"/>
      <c r="G106" s="53"/>
      <c r="H106" s="55"/>
    </row>
    <row r="107" spans="1:8" x14ac:dyDescent="0.2">
      <c r="A107" s="56"/>
      <c r="B107" s="57" t="s">
        <v>106</v>
      </c>
      <c r="C107" s="58">
        <v>45535</v>
      </c>
      <c r="D107" s="58">
        <v>45550</v>
      </c>
      <c r="E107" s="56"/>
      <c r="F107" s="56"/>
      <c r="G107" s="56"/>
    </row>
    <row r="108" spans="1:8" x14ac:dyDescent="0.2">
      <c r="A108" s="56"/>
      <c r="B108" s="35" t="s">
        <v>107</v>
      </c>
      <c r="C108" s="59">
        <v>40.7119</v>
      </c>
      <c r="D108" s="59">
        <v>40.891300000000001</v>
      </c>
      <c r="E108" s="56"/>
      <c r="F108" s="60"/>
      <c r="G108" s="61"/>
    </row>
    <row r="109" spans="1:8" x14ac:dyDescent="0.2">
      <c r="A109" s="56"/>
      <c r="B109" s="35" t="s">
        <v>139</v>
      </c>
      <c r="C109" s="59">
        <v>20.366900000000001</v>
      </c>
      <c r="D109" s="59">
        <v>20.456600000000002</v>
      </c>
      <c r="E109" s="56"/>
      <c r="F109" s="60"/>
      <c r="G109" s="61"/>
    </row>
    <row r="110" spans="1:8" ht="25.5" x14ac:dyDescent="0.2">
      <c r="A110" s="56"/>
      <c r="B110" s="35" t="s">
        <v>581</v>
      </c>
      <c r="C110" s="59">
        <v>11.5496</v>
      </c>
      <c r="D110" s="59">
        <v>11.6005</v>
      </c>
      <c r="E110" s="56"/>
      <c r="F110" s="60"/>
      <c r="G110" s="61"/>
    </row>
    <row r="111" spans="1:8" x14ac:dyDescent="0.2">
      <c r="A111" s="56"/>
      <c r="B111" s="35" t="s">
        <v>108</v>
      </c>
      <c r="C111" s="59">
        <v>40.188699999999997</v>
      </c>
      <c r="D111" s="59">
        <v>40.363599999999998</v>
      </c>
      <c r="E111" s="56"/>
      <c r="F111" s="60"/>
      <c r="G111" s="61"/>
    </row>
    <row r="112" spans="1:8" x14ac:dyDescent="0.2">
      <c r="A112" s="56"/>
      <c r="B112" s="35" t="s">
        <v>140</v>
      </c>
      <c r="C112" s="59">
        <v>20.265999999999998</v>
      </c>
      <c r="D112" s="59">
        <v>20.354199999999999</v>
      </c>
      <c r="E112" s="56"/>
      <c r="F112" s="60"/>
      <c r="G112" s="61"/>
    </row>
    <row r="113" spans="1:15" ht="25.5" x14ac:dyDescent="0.2">
      <c r="A113" s="56"/>
      <c r="B113" s="35" t="s">
        <v>585</v>
      </c>
      <c r="C113" s="59">
        <v>11.602</v>
      </c>
      <c r="D113" s="59">
        <v>11.6525</v>
      </c>
      <c r="E113" s="56"/>
      <c r="F113" s="60"/>
      <c r="G113" s="61"/>
    </row>
    <row r="114" spans="1:15" x14ac:dyDescent="0.2">
      <c r="A114" s="56"/>
      <c r="B114" s="56"/>
      <c r="C114" s="56"/>
      <c r="D114" s="56"/>
      <c r="E114" s="56"/>
      <c r="F114" s="56"/>
      <c r="G114" s="56"/>
    </row>
    <row r="115" spans="1:15" x14ac:dyDescent="0.2">
      <c r="A115" s="56"/>
      <c r="B115" s="112" t="s">
        <v>588</v>
      </c>
      <c r="C115" s="113"/>
      <c r="D115" s="41" t="s">
        <v>102</v>
      </c>
      <c r="E115" s="56"/>
      <c r="F115" s="56"/>
      <c r="G115" s="56"/>
    </row>
    <row r="116" spans="1:15" x14ac:dyDescent="0.2">
      <c r="A116" s="56"/>
      <c r="B116" s="68"/>
      <c r="C116" s="68"/>
      <c r="D116" s="68"/>
      <c r="E116" s="56"/>
      <c r="F116" s="56"/>
      <c r="G116" s="56"/>
    </row>
    <row r="117" spans="1:15" s="9" customFormat="1" x14ac:dyDescent="0.2">
      <c r="A117" s="74"/>
      <c r="B117" s="114" t="s">
        <v>549</v>
      </c>
      <c r="C117" s="115"/>
      <c r="D117" s="41" t="s">
        <v>102</v>
      </c>
      <c r="E117" s="74"/>
      <c r="F117" s="49"/>
      <c r="G117" s="74"/>
      <c r="I117"/>
      <c r="J117" s="2"/>
      <c r="K117" s="5"/>
      <c r="L117" s="5"/>
      <c r="M117" s="5"/>
      <c r="N117" s="5"/>
      <c r="O117" s="10"/>
    </row>
    <row r="118" spans="1:15" x14ac:dyDescent="0.2">
      <c r="A118" s="53"/>
      <c r="B118" s="114" t="s">
        <v>550</v>
      </c>
      <c r="C118" s="115"/>
      <c r="D118" s="41" t="s">
        <v>102</v>
      </c>
      <c r="E118" s="67"/>
      <c r="F118" s="53"/>
      <c r="G118" s="53"/>
      <c r="J118" s="8"/>
    </row>
    <row r="119" spans="1:15" x14ac:dyDescent="0.2">
      <c r="A119" s="53"/>
      <c r="B119" s="114" t="s">
        <v>551</v>
      </c>
      <c r="C119" s="115"/>
      <c r="D119" s="41" t="s">
        <v>102</v>
      </c>
      <c r="E119" s="67"/>
      <c r="F119" s="53"/>
      <c r="G119" s="53"/>
      <c r="J119" s="8"/>
    </row>
    <row r="120" spans="1:15" x14ac:dyDescent="0.2">
      <c r="A120" s="53"/>
      <c r="B120" s="114" t="s">
        <v>552</v>
      </c>
      <c r="C120" s="115"/>
      <c r="D120" s="41" t="s">
        <v>102</v>
      </c>
      <c r="E120" s="67"/>
      <c r="F120" s="53"/>
      <c r="G120" s="53"/>
      <c r="J120" s="8"/>
    </row>
    <row r="121" spans="1:15" x14ac:dyDescent="0.2">
      <c r="A121" s="68"/>
      <c r="B121" s="68"/>
      <c r="C121" s="68"/>
      <c r="D121" s="68"/>
      <c r="E121" s="68"/>
      <c r="F121" s="68"/>
      <c r="G121" s="68"/>
      <c r="J121" s="8"/>
    </row>
    <row r="122" spans="1:15" s="9" customFormat="1" x14ac:dyDescent="0.2">
      <c r="B122" s="117" t="s">
        <v>541</v>
      </c>
      <c r="C122" s="118"/>
      <c r="D122" s="119"/>
      <c r="I122"/>
      <c r="J122" s="8"/>
      <c r="K122" s="5"/>
      <c r="L122" s="5"/>
      <c r="M122" s="5"/>
      <c r="N122" s="5"/>
      <c r="O122" s="10"/>
    </row>
    <row r="123" spans="1:15" s="9" customFormat="1" ht="38.25" x14ac:dyDescent="0.2">
      <c r="B123" s="107" t="s">
        <v>542</v>
      </c>
      <c r="C123" s="107"/>
      <c r="D123" s="69" t="s">
        <v>114</v>
      </c>
      <c r="I123"/>
      <c r="J123" s="8"/>
      <c r="K123" s="5"/>
      <c r="L123" s="5"/>
      <c r="M123" s="5"/>
      <c r="N123" s="5"/>
      <c r="O123" s="10"/>
    </row>
    <row r="124" spans="1:15" s="9" customFormat="1" x14ac:dyDescent="0.2">
      <c r="B124" s="120" t="s">
        <v>543</v>
      </c>
      <c r="C124" s="120"/>
      <c r="D124" s="70"/>
      <c r="I124"/>
      <c r="J124" s="8"/>
      <c r="K124" s="5"/>
      <c r="L124" s="5"/>
      <c r="M124" s="5"/>
      <c r="N124" s="5"/>
      <c r="O124" s="10"/>
    </row>
    <row r="125" spans="1:15" s="9" customFormat="1" x14ac:dyDescent="0.2">
      <c r="B125" s="120"/>
      <c r="C125" s="120"/>
      <c r="D125" s="71"/>
      <c r="I125"/>
      <c r="J125" s="2"/>
      <c r="K125" s="5"/>
      <c r="L125" s="5"/>
      <c r="M125" s="5"/>
      <c r="N125" s="5"/>
      <c r="O125" s="10"/>
    </row>
    <row r="126" spans="1:15" s="9" customFormat="1" x14ac:dyDescent="0.2">
      <c r="B126" s="120" t="s">
        <v>544</v>
      </c>
      <c r="C126" s="120"/>
      <c r="D126" s="72">
        <v>7.371281716843133</v>
      </c>
      <c r="I126"/>
      <c r="J126" s="2"/>
      <c r="K126" s="5"/>
      <c r="L126" s="5"/>
      <c r="M126" s="5"/>
      <c r="N126" s="5"/>
      <c r="O126" s="10"/>
    </row>
    <row r="127" spans="1:15" s="9" customFormat="1" x14ac:dyDescent="0.2">
      <c r="B127" s="120"/>
      <c r="C127" s="120"/>
      <c r="D127" s="71"/>
      <c r="I127"/>
      <c r="J127" s="2"/>
      <c r="K127" s="5"/>
      <c r="L127" s="5"/>
      <c r="M127" s="5"/>
      <c r="N127" s="5"/>
      <c r="O127" s="10"/>
    </row>
    <row r="128" spans="1:15" s="9" customFormat="1" x14ac:dyDescent="0.2">
      <c r="B128" s="120" t="s">
        <v>545</v>
      </c>
      <c r="C128" s="120"/>
      <c r="D128" s="72">
        <v>3.8928322185151072</v>
      </c>
      <c r="I128"/>
      <c r="J128" s="8"/>
      <c r="K128" s="5"/>
      <c r="L128" s="5"/>
      <c r="M128" s="5"/>
      <c r="N128" s="5"/>
      <c r="O128" s="10"/>
    </row>
    <row r="129" spans="2:18" s="9" customFormat="1" x14ac:dyDescent="0.2">
      <c r="B129" s="120" t="s">
        <v>546</v>
      </c>
      <c r="C129" s="120"/>
      <c r="D129" s="72">
        <v>5.0998229479597992</v>
      </c>
      <c r="I129"/>
      <c r="J129" s="8"/>
      <c r="K129" s="5"/>
      <c r="L129" s="5"/>
      <c r="M129" s="5"/>
      <c r="N129" s="5"/>
      <c r="O129" s="10"/>
    </row>
    <row r="130" spans="2:18" s="9" customFormat="1" x14ac:dyDescent="0.2">
      <c r="B130" s="120"/>
      <c r="C130" s="120"/>
      <c r="D130" s="71"/>
      <c r="I130"/>
      <c r="J130" s="2"/>
      <c r="K130" s="5"/>
      <c r="L130" s="5"/>
      <c r="M130" s="5"/>
      <c r="N130" s="5"/>
      <c r="O130" s="10"/>
      <c r="R130"/>
    </row>
    <row r="131" spans="2:18" s="9" customFormat="1" ht="25.5" x14ac:dyDescent="0.2">
      <c r="B131" s="120" t="s">
        <v>547</v>
      </c>
      <c r="C131" s="120"/>
      <c r="D131" s="73" t="s">
        <v>577</v>
      </c>
      <c r="I131"/>
      <c r="J131" s="2"/>
      <c r="K131" s="5"/>
      <c r="L131" s="5"/>
      <c r="M131" s="5"/>
      <c r="N131" s="5"/>
      <c r="O131" s="10"/>
      <c r="R131"/>
    </row>
    <row r="132" spans="2:18" s="9" customFormat="1" x14ac:dyDescent="0.2">
      <c r="B132" s="121" t="s">
        <v>548</v>
      </c>
      <c r="C132" s="123"/>
      <c r="D132" s="122"/>
      <c r="I132"/>
      <c r="J132" s="2"/>
      <c r="K132" s="5"/>
      <c r="L132" s="5"/>
      <c r="M132" s="5"/>
      <c r="N132" s="5"/>
      <c r="O132" s="10"/>
      <c r="R132"/>
    </row>
  </sheetData>
  <mergeCells count="26">
    <mergeCell ref="B120:C120"/>
    <mergeCell ref="B123:C123"/>
    <mergeCell ref="B124:C124"/>
    <mergeCell ref="B122:D122"/>
    <mergeCell ref="B130:C130"/>
    <mergeCell ref="B131:C131"/>
    <mergeCell ref="B132:D132"/>
    <mergeCell ref="B125:C125"/>
    <mergeCell ref="B126:C126"/>
    <mergeCell ref="B127:C127"/>
    <mergeCell ref="B128:C128"/>
    <mergeCell ref="B129:C129"/>
    <mergeCell ref="B104:C104"/>
    <mergeCell ref="B105:C105"/>
    <mergeCell ref="B115:C115"/>
    <mergeCell ref="B119:C119"/>
    <mergeCell ref="A1:H1"/>
    <mergeCell ref="A2:H2"/>
    <mergeCell ref="A3:H3"/>
    <mergeCell ref="B102:D102"/>
    <mergeCell ref="B103:C103"/>
    <mergeCell ref="B98:H98"/>
    <mergeCell ref="B99:H99"/>
    <mergeCell ref="B100:H100"/>
    <mergeCell ref="B117:C117"/>
    <mergeCell ref="B118:C118"/>
  </mergeCells>
  <hyperlinks>
    <hyperlink ref="I1" location="Index!B3" display="Index" xr:uid="{69FD0375-CC22-4EDE-9C6F-887646F40B5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AD87-EF05-43D0-A028-BB87B4B5B094}">
  <sheetPr>
    <outlinePr summaryBelow="0" summaryRight="0"/>
  </sheetPr>
  <dimension ref="A1:R133"/>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141</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526</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row>
    <row r="15" spans="1:11" ht="25.5" x14ac:dyDescent="0.2">
      <c r="A15" s="26"/>
      <c r="B15" s="26"/>
      <c r="C15" s="27" t="s">
        <v>16</v>
      </c>
      <c r="D15" s="26"/>
      <c r="E15" s="26"/>
      <c r="F15" s="26"/>
      <c r="G15" s="26"/>
      <c r="H15" s="28" t="s">
        <v>12</v>
      </c>
      <c r="J15" s="7" t="s">
        <v>602</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x14ac:dyDescent="0.2">
      <c r="A27" s="26"/>
      <c r="B27" s="26"/>
      <c r="C27" s="27" t="s">
        <v>10</v>
      </c>
      <c r="D27" s="26"/>
      <c r="E27" s="26"/>
      <c r="F27" s="32"/>
      <c r="G27" s="32"/>
      <c r="H27" s="28" t="s">
        <v>12</v>
      </c>
      <c r="J27" s="7"/>
    </row>
    <row r="28" spans="1:10" ht="25.5" x14ac:dyDescent="0.2">
      <c r="A28" s="26"/>
      <c r="B28" s="26"/>
      <c r="C28" s="27" t="s">
        <v>11</v>
      </c>
      <c r="D28" s="26"/>
      <c r="E28" s="26" t="s">
        <v>12</v>
      </c>
      <c r="F28" s="29" t="s">
        <v>13</v>
      </c>
      <c r="G28" s="30">
        <v>0</v>
      </c>
      <c r="H28" s="28" t="s">
        <v>12</v>
      </c>
      <c r="J28" s="7" t="s">
        <v>603</v>
      </c>
    </row>
    <row r="29" spans="1:10" x14ac:dyDescent="0.2">
      <c r="A29" s="26"/>
      <c r="B29" s="26"/>
      <c r="C29" s="31"/>
      <c r="D29" s="26"/>
      <c r="E29" s="26"/>
      <c r="F29" s="32"/>
      <c r="G29" s="32"/>
      <c r="H29" s="28" t="s">
        <v>12</v>
      </c>
      <c r="J29" s="7"/>
    </row>
    <row r="30" spans="1:10" x14ac:dyDescent="0.2">
      <c r="A30" s="26"/>
      <c r="B30" s="26"/>
      <c r="C30" s="27" t="s">
        <v>67</v>
      </c>
      <c r="D30" s="26"/>
      <c r="E30" s="26"/>
      <c r="F30" s="26"/>
      <c r="G30" s="26"/>
      <c r="H30" s="28" t="s">
        <v>12</v>
      </c>
    </row>
    <row r="31" spans="1:10" x14ac:dyDescent="0.2">
      <c r="A31" s="26"/>
      <c r="B31" s="26"/>
      <c r="C31" s="27" t="s">
        <v>11</v>
      </c>
      <c r="D31" s="26"/>
      <c r="E31" s="26" t="s">
        <v>12</v>
      </c>
      <c r="F31" s="29" t="s">
        <v>13</v>
      </c>
      <c r="G31" s="30">
        <v>0</v>
      </c>
      <c r="H31" s="28" t="s">
        <v>12</v>
      </c>
    </row>
    <row r="32" spans="1:10" x14ac:dyDescent="0.2">
      <c r="A32" s="26"/>
      <c r="B32" s="26"/>
      <c r="C32" s="31"/>
      <c r="D32" s="26"/>
      <c r="E32" s="26"/>
      <c r="F32" s="32"/>
      <c r="G32" s="32"/>
      <c r="H32" s="28" t="s">
        <v>12</v>
      </c>
    </row>
    <row r="33" spans="1:8" x14ac:dyDescent="0.2">
      <c r="A33" s="26"/>
      <c r="B33" s="26"/>
      <c r="C33" s="27" t="s">
        <v>68</v>
      </c>
      <c r="D33" s="26"/>
      <c r="E33" s="26"/>
      <c r="F33" s="26"/>
      <c r="G33" s="26"/>
      <c r="H33" s="28" t="s">
        <v>12</v>
      </c>
    </row>
    <row r="34" spans="1:8" x14ac:dyDescent="0.2">
      <c r="A34" s="26"/>
      <c r="B34" s="26"/>
      <c r="C34" s="27" t="s">
        <v>11</v>
      </c>
      <c r="D34" s="26"/>
      <c r="E34" s="26" t="s">
        <v>12</v>
      </c>
      <c r="F34" s="29" t="s">
        <v>13</v>
      </c>
      <c r="G34" s="30">
        <v>0</v>
      </c>
      <c r="H34" s="28" t="s">
        <v>12</v>
      </c>
    </row>
    <row r="35" spans="1:8" x14ac:dyDescent="0.2">
      <c r="A35" s="26"/>
      <c r="B35" s="26"/>
      <c r="C35" s="31"/>
      <c r="D35" s="26"/>
      <c r="E35" s="26"/>
      <c r="F35" s="32"/>
      <c r="G35" s="32"/>
      <c r="H35" s="28" t="s">
        <v>12</v>
      </c>
    </row>
    <row r="36" spans="1:8" x14ac:dyDescent="0.2">
      <c r="A36" s="26"/>
      <c r="B36" s="26"/>
      <c r="C36" s="27" t="s">
        <v>82</v>
      </c>
      <c r="D36" s="26"/>
      <c r="E36" s="26"/>
      <c r="F36" s="32"/>
      <c r="G36" s="32"/>
      <c r="H36" s="28" t="s">
        <v>12</v>
      </c>
    </row>
    <row r="37" spans="1:8" x14ac:dyDescent="0.2">
      <c r="A37" s="26"/>
      <c r="B37" s="26"/>
      <c r="C37" s="27" t="s">
        <v>11</v>
      </c>
      <c r="D37" s="26"/>
      <c r="E37" s="26" t="s">
        <v>12</v>
      </c>
      <c r="F37" s="29" t="s">
        <v>13</v>
      </c>
      <c r="G37" s="30">
        <v>0</v>
      </c>
      <c r="H37" s="28" t="s">
        <v>12</v>
      </c>
    </row>
    <row r="38" spans="1:8" x14ac:dyDescent="0.2">
      <c r="A38" s="26"/>
      <c r="B38" s="26"/>
      <c r="C38" s="31"/>
      <c r="D38" s="26"/>
      <c r="E38" s="26"/>
      <c r="F38" s="32"/>
      <c r="G38" s="32"/>
      <c r="H38" s="28" t="s">
        <v>12</v>
      </c>
    </row>
    <row r="39" spans="1:8" x14ac:dyDescent="0.2">
      <c r="A39" s="26"/>
      <c r="B39" s="26"/>
      <c r="C39" s="27" t="s">
        <v>83</v>
      </c>
      <c r="D39" s="26"/>
      <c r="E39" s="26"/>
      <c r="F39" s="33">
        <v>0</v>
      </c>
      <c r="G39" s="30">
        <v>0</v>
      </c>
      <c r="H39" s="28" t="s">
        <v>12</v>
      </c>
    </row>
    <row r="40" spans="1:8" x14ac:dyDescent="0.2">
      <c r="A40" s="26"/>
      <c r="B40" s="26"/>
      <c r="C40" s="31"/>
      <c r="D40" s="26"/>
      <c r="E40" s="26"/>
      <c r="F40" s="32"/>
      <c r="G40" s="32"/>
      <c r="H40" s="28" t="s">
        <v>12</v>
      </c>
    </row>
    <row r="41" spans="1:8" x14ac:dyDescent="0.2">
      <c r="A41" s="26"/>
      <c r="B41" s="26"/>
      <c r="C41" s="27" t="s">
        <v>84</v>
      </c>
      <c r="D41" s="26"/>
      <c r="E41" s="26"/>
      <c r="F41" s="32"/>
      <c r="G41" s="32"/>
      <c r="H41" s="28" t="s">
        <v>12</v>
      </c>
    </row>
    <row r="42" spans="1:8" x14ac:dyDescent="0.2">
      <c r="A42" s="26"/>
      <c r="B42" s="26"/>
      <c r="C42" s="27" t="s">
        <v>85</v>
      </c>
      <c r="D42" s="26"/>
      <c r="E42" s="26"/>
      <c r="F42" s="32"/>
      <c r="G42" s="32"/>
      <c r="H42" s="28" t="s">
        <v>12</v>
      </c>
    </row>
    <row r="43" spans="1:8" x14ac:dyDescent="0.2">
      <c r="A43" s="34">
        <v>1</v>
      </c>
      <c r="B43" s="35" t="s">
        <v>142</v>
      </c>
      <c r="C43" s="35" t="s">
        <v>143</v>
      </c>
      <c r="D43" s="35" t="s">
        <v>144</v>
      </c>
      <c r="E43" s="36">
        <v>400</v>
      </c>
      <c r="F43" s="37">
        <v>1935.652</v>
      </c>
      <c r="G43" s="38">
        <v>8.2666290000000003E-2</v>
      </c>
      <c r="H43" s="28">
        <v>7.49</v>
      </c>
    </row>
    <row r="44" spans="1:8" x14ac:dyDescent="0.2">
      <c r="A44" s="34">
        <v>2</v>
      </c>
      <c r="B44" s="35" t="s">
        <v>145</v>
      </c>
      <c r="C44" s="35" t="s">
        <v>146</v>
      </c>
      <c r="D44" s="35" t="s">
        <v>147</v>
      </c>
      <c r="E44" s="36">
        <v>300</v>
      </c>
      <c r="F44" s="37">
        <v>1453.2435</v>
      </c>
      <c r="G44" s="38">
        <v>6.2063970000000003E-2</v>
      </c>
      <c r="H44" s="28">
        <v>7.48</v>
      </c>
    </row>
    <row r="45" spans="1:8" x14ac:dyDescent="0.2">
      <c r="A45" s="34">
        <v>3</v>
      </c>
      <c r="B45" s="35" t="s">
        <v>148</v>
      </c>
      <c r="C45" s="35" t="s">
        <v>149</v>
      </c>
      <c r="D45" s="35" t="s">
        <v>144</v>
      </c>
      <c r="E45" s="36">
        <v>300</v>
      </c>
      <c r="F45" s="37">
        <v>1445.2439999999999</v>
      </c>
      <c r="G45" s="38">
        <v>6.1722340000000001E-2</v>
      </c>
      <c r="H45" s="28">
        <v>7.4751000000000003</v>
      </c>
    </row>
    <row r="46" spans="1:8" x14ac:dyDescent="0.2">
      <c r="A46" s="34">
        <v>4</v>
      </c>
      <c r="B46" s="35" t="s">
        <v>150</v>
      </c>
      <c r="C46" s="35" t="s">
        <v>151</v>
      </c>
      <c r="D46" s="35" t="s">
        <v>144</v>
      </c>
      <c r="E46" s="36">
        <v>300</v>
      </c>
      <c r="F46" s="37">
        <v>1426.0184999999999</v>
      </c>
      <c r="G46" s="38">
        <v>6.090127E-2</v>
      </c>
      <c r="H46" s="28">
        <v>7.6050000000000004</v>
      </c>
    </row>
    <row r="47" spans="1:8" x14ac:dyDescent="0.2">
      <c r="A47" s="34">
        <v>5</v>
      </c>
      <c r="B47" s="35" t="s">
        <v>152</v>
      </c>
      <c r="C47" s="35" t="s">
        <v>153</v>
      </c>
      <c r="D47" s="35" t="s">
        <v>144</v>
      </c>
      <c r="E47" s="36">
        <v>200</v>
      </c>
      <c r="F47" s="37">
        <v>982.76300000000003</v>
      </c>
      <c r="G47" s="38">
        <v>4.1971059999999998E-2</v>
      </c>
      <c r="H47" s="28">
        <v>7.2751000000000001</v>
      </c>
    </row>
    <row r="48" spans="1:8" ht="25.5" x14ac:dyDescent="0.2">
      <c r="A48" s="34">
        <v>6</v>
      </c>
      <c r="B48" s="35" t="s">
        <v>154</v>
      </c>
      <c r="C48" s="35" t="s">
        <v>155</v>
      </c>
      <c r="D48" s="35" t="s">
        <v>144</v>
      </c>
      <c r="E48" s="36">
        <v>200</v>
      </c>
      <c r="F48" s="37">
        <v>970.21699999999998</v>
      </c>
      <c r="G48" s="38">
        <v>4.1435260000000002E-2</v>
      </c>
      <c r="H48" s="28">
        <v>7.52</v>
      </c>
    </row>
    <row r="49" spans="1:8" x14ac:dyDescent="0.2">
      <c r="A49" s="34">
        <v>7</v>
      </c>
      <c r="B49" s="35" t="s">
        <v>156</v>
      </c>
      <c r="C49" s="35" t="s">
        <v>157</v>
      </c>
      <c r="D49" s="35" t="s">
        <v>144</v>
      </c>
      <c r="E49" s="36">
        <v>200</v>
      </c>
      <c r="F49" s="37">
        <v>968.72799999999995</v>
      </c>
      <c r="G49" s="38">
        <v>4.1371669999999999E-2</v>
      </c>
      <c r="H49" s="28">
        <v>7.5049999999999999</v>
      </c>
    </row>
    <row r="50" spans="1:8" x14ac:dyDescent="0.2">
      <c r="A50" s="34">
        <v>8</v>
      </c>
      <c r="B50" s="35" t="s">
        <v>158</v>
      </c>
      <c r="C50" s="35" t="s">
        <v>159</v>
      </c>
      <c r="D50" s="35" t="s">
        <v>144</v>
      </c>
      <c r="E50" s="36">
        <v>200</v>
      </c>
      <c r="F50" s="37">
        <v>965.53399999999999</v>
      </c>
      <c r="G50" s="38">
        <v>4.1235260000000003E-2</v>
      </c>
      <c r="H50" s="28">
        <v>7.5750000000000002</v>
      </c>
    </row>
    <row r="51" spans="1:8" x14ac:dyDescent="0.2">
      <c r="A51" s="34">
        <v>9</v>
      </c>
      <c r="B51" s="35" t="s">
        <v>160</v>
      </c>
      <c r="C51" s="35" t="s">
        <v>161</v>
      </c>
      <c r="D51" s="35" t="s">
        <v>162</v>
      </c>
      <c r="E51" s="36">
        <v>160</v>
      </c>
      <c r="F51" s="37">
        <v>751.07839999999999</v>
      </c>
      <c r="G51" s="38">
        <v>3.2076460000000001E-2</v>
      </c>
      <c r="H51" s="28">
        <v>7.62</v>
      </c>
    </row>
    <row r="52" spans="1:8" x14ac:dyDescent="0.2">
      <c r="A52" s="34">
        <v>10</v>
      </c>
      <c r="B52" s="35" t="s">
        <v>163</v>
      </c>
      <c r="C52" s="35" t="s">
        <v>164</v>
      </c>
      <c r="D52" s="35" t="s">
        <v>144</v>
      </c>
      <c r="E52" s="36">
        <v>140</v>
      </c>
      <c r="F52" s="37">
        <v>677.80439999999999</v>
      </c>
      <c r="G52" s="38">
        <v>2.8947130000000001E-2</v>
      </c>
      <c r="H52" s="28">
        <v>7.5650000000000004</v>
      </c>
    </row>
    <row r="53" spans="1:8" x14ac:dyDescent="0.2">
      <c r="A53" s="34">
        <v>11</v>
      </c>
      <c r="B53" s="35" t="s">
        <v>165</v>
      </c>
      <c r="C53" s="35" t="s">
        <v>166</v>
      </c>
      <c r="D53" s="35" t="s">
        <v>144</v>
      </c>
      <c r="E53" s="36">
        <v>140</v>
      </c>
      <c r="F53" s="37">
        <v>677.38160000000005</v>
      </c>
      <c r="G53" s="38">
        <v>2.8929079999999999E-2</v>
      </c>
      <c r="H53" s="28">
        <v>7.57</v>
      </c>
    </row>
    <row r="54" spans="1:8" x14ac:dyDescent="0.2">
      <c r="A54" s="34">
        <v>12</v>
      </c>
      <c r="B54" s="35" t="s">
        <v>167</v>
      </c>
      <c r="C54" s="35" t="s">
        <v>168</v>
      </c>
      <c r="D54" s="35" t="s">
        <v>162</v>
      </c>
      <c r="E54" s="36">
        <v>100</v>
      </c>
      <c r="F54" s="37">
        <v>486.38099999999997</v>
      </c>
      <c r="G54" s="38">
        <v>2.0771979999999999E-2</v>
      </c>
      <c r="H54" s="28">
        <v>7.46</v>
      </c>
    </row>
    <row r="55" spans="1:8" x14ac:dyDescent="0.2">
      <c r="A55" s="34">
        <v>13</v>
      </c>
      <c r="B55" s="35" t="s">
        <v>169</v>
      </c>
      <c r="C55" s="35" t="s">
        <v>170</v>
      </c>
      <c r="D55" s="35" t="s">
        <v>144</v>
      </c>
      <c r="E55" s="36">
        <v>100</v>
      </c>
      <c r="F55" s="37">
        <v>485.79399999999998</v>
      </c>
      <c r="G55" s="38">
        <v>2.074691E-2</v>
      </c>
      <c r="H55" s="28">
        <v>7.5701000000000001</v>
      </c>
    </row>
    <row r="56" spans="1:8" x14ac:dyDescent="0.2">
      <c r="A56" s="34">
        <v>14</v>
      </c>
      <c r="B56" s="35" t="s">
        <v>171</v>
      </c>
      <c r="C56" s="35" t="s">
        <v>172</v>
      </c>
      <c r="D56" s="35" t="s">
        <v>162</v>
      </c>
      <c r="E56" s="36">
        <v>100</v>
      </c>
      <c r="F56" s="37">
        <v>483.64749999999998</v>
      </c>
      <c r="G56" s="38">
        <v>2.0655239999999998E-2</v>
      </c>
      <c r="H56" s="28">
        <v>7.5250000000000004</v>
      </c>
    </row>
    <row r="57" spans="1:8" x14ac:dyDescent="0.2">
      <c r="A57" s="34">
        <v>15</v>
      </c>
      <c r="B57" s="35" t="s">
        <v>173</v>
      </c>
      <c r="C57" s="35" t="s">
        <v>174</v>
      </c>
      <c r="D57" s="35" t="s">
        <v>144</v>
      </c>
      <c r="E57" s="36">
        <v>100</v>
      </c>
      <c r="F57" s="37">
        <v>472.29349999999999</v>
      </c>
      <c r="G57" s="38">
        <v>2.0170339999999998E-2</v>
      </c>
      <c r="H57" s="28">
        <v>7.6200999999999999</v>
      </c>
    </row>
    <row r="58" spans="1:8" x14ac:dyDescent="0.2">
      <c r="A58" s="26"/>
      <c r="B58" s="26"/>
      <c r="C58" s="27" t="s">
        <v>11</v>
      </c>
      <c r="D58" s="26"/>
      <c r="E58" s="26" t="s">
        <v>12</v>
      </c>
      <c r="F58" s="33">
        <v>14181.7804</v>
      </c>
      <c r="G58" s="30">
        <v>0.60566425999999995</v>
      </c>
      <c r="H58" s="28" t="s">
        <v>12</v>
      </c>
    </row>
    <row r="59" spans="1:8" x14ac:dyDescent="0.2">
      <c r="A59" s="26"/>
      <c r="B59" s="26"/>
      <c r="C59" s="31"/>
      <c r="D59" s="26"/>
      <c r="E59" s="26"/>
      <c r="F59" s="32"/>
      <c r="G59" s="32"/>
      <c r="H59" s="28" t="s">
        <v>12</v>
      </c>
    </row>
    <row r="60" spans="1:8" x14ac:dyDescent="0.2">
      <c r="A60" s="26"/>
      <c r="B60" s="26"/>
      <c r="C60" s="27" t="s">
        <v>86</v>
      </c>
      <c r="D60" s="26"/>
      <c r="E60" s="26"/>
      <c r="F60" s="32"/>
      <c r="G60" s="32"/>
      <c r="H60" s="28" t="s">
        <v>12</v>
      </c>
    </row>
    <row r="61" spans="1:8" ht="25.5" x14ac:dyDescent="0.2">
      <c r="A61" s="34">
        <v>1</v>
      </c>
      <c r="B61" s="35" t="s">
        <v>175</v>
      </c>
      <c r="C61" s="35" t="s">
        <v>176</v>
      </c>
      <c r="D61" s="35" t="s">
        <v>144</v>
      </c>
      <c r="E61" s="36">
        <v>200</v>
      </c>
      <c r="F61" s="37">
        <v>987.63400000000001</v>
      </c>
      <c r="G61" s="38">
        <v>4.2179090000000002E-2</v>
      </c>
      <c r="H61" s="28">
        <v>7.88</v>
      </c>
    </row>
    <row r="62" spans="1:8" ht="25.5" x14ac:dyDescent="0.2">
      <c r="A62" s="34">
        <v>2</v>
      </c>
      <c r="B62" s="35" t="s">
        <v>177</v>
      </c>
      <c r="C62" s="35" t="s">
        <v>178</v>
      </c>
      <c r="D62" s="35" t="s">
        <v>144</v>
      </c>
      <c r="E62" s="36">
        <v>200</v>
      </c>
      <c r="F62" s="37">
        <v>982.14400000000001</v>
      </c>
      <c r="G62" s="38">
        <v>4.1944629999999997E-2</v>
      </c>
      <c r="H62" s="28">
        <v>7.9</v>
      </c>
    </row>
    <row r="63" spans="1:8" x14ac:dyDescent="0.2">
      <c r="A63" s="34">
        <v>3</v>
      </c>
      <c r="B63" s="35" t="s">
        <v>179</v>
      </c>
      <c r="C63" s="35" t="s">
        <v>180</v>
      </c>
      <c r="D63" s="35" t="s">
        <v>144</v>
      </c>
      <c r="E63" s="36">
        <v>200</v>
      </c>
      <c r="F63" s="37">
        <v>966.96400000000006</v>
      </c>
      <c r="G63" s="38">
        <v>4.1296329999999999E-2</v>
      </c>
      <c r="H63" s="28">
        <v>7.8925000000000001</v>
      </c>
    </row>
    <row r="64" spans="1:8" x14ac:dyDescent="0.2">
      <c r="A64" s="34">
        <v>4</v>
      </c>
      <c r="B64" s="35" t="s">
        <v>181</v>
      </c>
      <c r="C64" s="35" t="s">
        <v>182</v>
      </c>
      <c r="D64" s="35" t="s">
        <v>144</v>
      </c>
      <c r="E64" s="36">
        <v>200</v>
      </c>
      <c r="F64" s="37">
        <v>962.95100000000002</v>
      </c>
      <c r="G64" s="38">
        <v>4.112495E-2</v>
      </c>
      <c r="H64" s="28">
        <v>7.55</v>
      </c>
    </row>
    <row r="65" spans="1:8" ht="25.5" x14ac:dyDescent="0.2">
      <c r="A65" s="34">
        <v>5</v>
      </c>
      <c r="B65" s="35" t="s">
        <v>183</v>
      </c>
      <c r="C65" s="35" t="s">
        <v>184</v>
      </c>
      <c r="D65" s="35" t="s">
        <v>144</v>
      </c>
      <c r="E65" s="36">
        <v>200</v>
      </c>
      <c r="F65" s="37">
        <v>949.12599999999998</v>
      </c>
      <c r="G65" s="38">
        <v>4.0534519999999997E-2</v>
      </c>
      <c r="H65" s="28">
        <v>7.7024999999999997</v>
      </c>
    </row>
    <row r="66" spans="1:8" x14ac:dyDescent="0.2">
      <c r="A66" s="26"/>
      <c r="B66" s="26"/>
      <c r="C66" s="27" t="s">
        <v>11</v>
      </c>
      <c r="D66" s="26"/>
      <c r="E66" s="26" t="s">
        <v>12</v>
      </c>
      <c r="F66" s="33">
        <v>4848.8190000000004</v>
      </c>
      <c r="G66" s="30">
        <v>0.20707951999999999</v>
      </c>
      <c r="H66" s="28" t="s">
        <v>12</v>
      </c>
    </row>
    <row r="67" spans="1:8" x14ac:dyDescent="0.2">
      <c r="A67" s="26"/>
      <c r="B67" s="26"/>
      <c r="C67" s="31"/>
      <c r="D67" s="26"/>
      <c r="E67" s="26"/>
      <c r="F67" s="32"/>
      <c r="G67" s="32"/>
      <c r="H67" s="28" t="s">
        <v>12</v>
      </c>
    </row>
    <row r="68" spans="1:8" x14ac:dyDescent="0.2">
      <c r="A68" s="26"/>
      <c r="B68" s="26"/>
      <c r="C68" s="27" t="s">
        <v>87</v>
      </c>
      <c r="D68" s="26"/>
      <c r="E68" s="26"/>
      <c r="F68" s="32"/>
      <c r="G68" s="32"/>
      <c r="H68" s="28" t="s">
        <v>12</v>
      </c>
    </row>
    <row r="69" spans="1:8" x14ac:dyDescent="0.2">
      <c r="A69" s="34">
        <v>1</v>
      </c>
      <c r="B69" s="35" t="s">
        <v>185</v>
      </c>
      <c r="C69" s="35" t="s">
        <v>186</v>
      </c>
      <c r="D69" s="35" t="s">
        <v>71</v>
      </c>
      <c r="E69" s="36">
        <v>1500000</v>
      </c>
      <c r="F69" s="37">
        <v>1454.7525000000001</v>
      </c>
      <c r="G69" s="38">
        <v>6.2128419999999997E-2</v>
      </c>
      <c r="H69" s="28">
        <v>6.6391</v>
      </c>
    </row>
    <row r="70" spans="1:8" x14ac:dyDescent="0.2">
      <c r="A70" s="34">
        <v>2</v>
      </c>
      <c r="B70" s="35" t="s">
        <v>187</v>
      </c>
      <c r="C70" s="35" t="s">
        <v>188</v>
      </c>
      <c r="D70" s="35" t="s">
        <v>71</v>
      </c>
      <c r="E70" s="36">
        <v>1000000</v>
      </c>
      <c r="F70" s="37">
        <v>957.90499999999997</v>
      </c>
      <c r="G70" s="38">
        <v>4.090945E-2</v>
      </c>
      <c r="H70" s="28">
        <v>6.6555999999999997</v>
      </c>
    </row>
    <row r="71" spans="1:8" x14ac:dyDescent="0.2">
      <c r="A71" s="26"/>
      <c r="B71" s="26"/>
      <c r="C71" s="27" t="s">
        <v>11</v>
      </c>
      <c r="D71" s="26"/>
      <c r="E71" s="26" t="s">
        <v>12</v>
      </c>
      <c r="F71" s="33">
        <v>2412.6574999999998</v>
      </c>
      <c r="G71" s="30">
        <v>0.10303787</v>
      </c>
      <c r="H71" s="28" t="s">
        <v>12</v>
      </c>
    </row>
    <row r="72" spans="1:8" x14ac:dyDescent="0.2">
      <c r="A72" s="26"/>
      <c r="B72" s="26"/>
      <c r="C72" s="31"/>
      <c r="D72" s="26"/>
      <c r="E72" s="26"/>
      <c r="F72" s="32"/>
      <c r="G72" s="32"/>
      <c r="H72" s="28" t="s">
        <v>12</v>
      </c>
    </row>
    <row r="73" spans="1:8" x14ac:dyDescent="0.2">
      <c r="A73" s="26"/>
      <c r="B73" s="26"/>
      <c r="C73" s="27" t="s">
        <v>88</v>
      </c>
      <c r="D73" s="26"/>
      <c r="E73" s="26"/>
      <c r="F73" s="32"/>
      <c r="G73" s="32"/>
      <c r="H73" s="28" t="s">
        <v>12</v>
      </c>
    </row>
    <row r="74" spans="1:8" x14ac:dyDescent="0.2">
      <c r="A74" s="34">
        <v>1</v>
      </c>
      <c r="B74" s="35"/>
      <c r="C74" s="35" t="s">
        <v>89</v>
      </c>
      <c r="D74" s="35"/>
      <c r="E74" s="39"/>
      <c r="F74" s="37">
        <v>1880.7299280069999</v>
      </c>
      <c r="G74" s="38">
        <v>8.0320730000000007E-2</v>
      </c>
      <c r="H74" s="28">
        <v>6.4</v>
      </c>
    </row>
    <row r="75" spans="1:8" x14ac:dyDescent="0.2">
      <c r="A75" s="26"/>
      <c r="B75" s="26"/>
      <c r="C75" s="27" t="s">
        <v>11</v>
      </c>
      <c r="D75" s="26"/>
      <c r="E75" s="26" t="s">
        <v>12</v>
      </c>
      <c r="F75" s="33">
        <v>1880.7299280069999</v>
      </c>
      <c r="G75" s="30">
        <v>8.0320730000000007E-2</v>
      </c>
      <c r="H75" s="28" t="s">
        <v>12</v>
      </c>
    </row>
    <row r="76" spans="1:8" x14ac:dyDescent="0.2">
      <c r="A76" s="26"/>
      <c r="B76" s="26"/>
      <c r="C76" s="31"/>
      <c r="D76" s="26"/>
      <c r="E76" s="26"/>
      <c r="F76" s="32"/>
      <c r="G76" s="32"/>
      <c r="H76" s="28" t="s">
        <v>12</v>
      </c>
    </row>
    <row r="77" spans="1:8" x14ac:dyDescent="0.2">
      <c r="A77" s="26"/>
      <c r="B77" s="26"/>
      <c r="C77" s="27" t="s">
        <v>90</v>
      </c>
      <c r="D77" s="26"/>
      <c r="E77" s="26"/>
      <c r="F77" s="33">
        <v>23323.986828007</v>
      </c>
      <c r="G77" s="30">
        <v>0.99610237999999995</v>
      </c>
      <c r="H77" s="28" t="s">
        <v>12</v>
      </c>
    </row>
    <row r="78" spans="1:8" x14ac:dyDescent="0.2">
      <c r="A78" s="26"/>
      <c r="B78" s="26"/>
      <c r="C78" s="32"/>
      <c r="D78" s="26"/>
      <c r="E78" s="26"/>
      <c r="F78" s="26"/>
      <c r="G78" s="26"/>
      <c r="H78" s="28" t="s">
        <v>12</v>
      </c>
    </row>
    <row r="79" spans="1:8" x14ac:dyDescent="0.2">
      <c r="A79" s="26"/>
      <c r="B79" s="26"/>
      <c r="C79" s="27" t="s">
        <v>91</v>
      </c>
      <c r="D79" s="26"/>
      <c r="E79" s="26"/>
      <c r="F79" s="26"/>
      <c r="G79" s="26"/>
      <c r="H79" s="28" t="s">
        <v>12</v>
      </c>
    </row>
    <row r="80" spans="1:8" x14ac:dyDescent="0.2">
      <c r="A80" s="26"/>
      <c r="B80" s="26"/>
      <c r="C80" s="27" t="s">
        <v>92</v>
      </c>
      <c r="D80" s="26"/>
      <c r="E80" s="26"/>
      <c r="F80" s="26"/>
      <c r="G80" s="26"/>
      <c r="H80" s="28" t="s">
        <v>12</v>
      </c>
    </row>
    <row r="81" spans="1:18" x14ac:dyDescent="0.2">
      <c r="A81" s="26"/>
      <c r="B81" s="26"/>
      <c r="C81" s="27" t="s">
        <v>11</v>
      </c>
      <c r="D81" s="26"/>
      <c r="E81" s="26" t="s">
        <v>12</v>
      </c>
      <c r="F81" s="29" t="s">
        <v>13</v>
      </c>
      <c r="G81" s="30">
        <v>0</v>
      </c>
      <c r="H81" s="28" t="s">
        <v>12</v>
      </c>
    </row>
    <row r="82" spans="1:18" x14ac:dyDescent="0.2">
      <c r="A82" s="26"/>
      <c r="B82" s="26"/>
      <c r="C82" s="31"/>
      <c r="D82" s="26"/>
      <c r="E82" s="26"/>
      <c r="F82" s="32"/>
      <c r="G82" s="32"/>
      <c r="H82" s="28" t="s">
        <v>12</v>
      </c>
    </row>
    <row r="83" spans="1:18" x14ac:dyDescent="0.2">
      <c r="A83" s="40"/>
      <c r="B83" s="40"/>
      <c r="C83" s="41" t="s">
        <v>527</v>
      </c>
      <c r="D83" s="40"/>
      <c r="E83" s="40"/>
      <c r="F83" s="42"/>
      <c r="G83" s="42"/>
      <c r="H83" s="43"/>
      <c r="L83" s="5"/>
      <c r="M83" s="5"/>
      <c r="N83" s="5"/>
      <c r="O83" s="5"/>
      <c r="P83" s="6"/>
      <c r="Q83" s="6"/>
      <c r="R83" s="6"/>
    </row>
    <row r="84" spans="1:18" ht="25.5" x14ac:dyDescent="0.2">
      <c r="A84" s="34">
        <v>1</v>
      </c>
      <c r="B84" s="35" t="s">
        <v>93</v>
      </c>
      <c r="C84" s="35" t="s">
        <v>94</v>
      </c>
      <c r="D84" s="35"/>
      <c r="E84" s="44">
        <v>649.726</v>
      </c>
      <c r="F84" s="37">
        <v>67.482731936999997</v>
      </c>
      <c r="G84" s="38">
        <v>2.882E-3</v>
      </c>
      <c r="H84" s="28"/>
    </row>
    <row r="85" spans="1:18" x14ac:dyDescent="0.2">
      <c r="A85" s="26"/>
      <c r="B85" s="26"/>
      <c r="C85" s="27" t="s">
        <v>11</v>
      </c>
      <c r="D85" s="26"/>
      <c r="E85" s="26" t="s">
        <v>12</v>
      </c>
      <c r="F85" s="33">
        <v>67.482731936999997</v>
      </c>
      <c r="G85" s="30">
        <v>2.882E-3</v>
      </c>
      <c r="H85" s="28" t="s">
        <v>12</v>
      </c>
    </row>
    <row r="86" spans="1:18" x14ac:dyDescent="0.2">
      <c r="A86" s="26"/>
      <c r="B86" s="26"/>
      <c r="C86" s="31"/>
      <c r="D86" s="26"/>
      <c r="E86" s="26"/>
      <c r="F86" s="32"/>
      <c r="G86" s="32"/>
      <c r="H86" s="28" t="s">
        <v>12</v>
      </c>
    </row>
    <row r="87" spans="1:18" x14ac:dyDescent="0.2">
      <c r="A87" s="26"/>
      <c r="B87" s="26"/>
      <c r="C87" s="27" t="s">
        <v>95</v>
      </c>
      <c r="D87" s="26"/>
      <c r="E87" s="26"/>
      <c r="F87" s="26"/>
      <c r="G87" s="26"/>
      <c r="H87" s="28" t="s">
        <v>12</v>
      </c>
    </row>
    <row r="88" spans="1:18" x14ac:dyDescent="0.2">
      <c r="A88" s="26"/>
      <c r="B88" s="26"/>
      <c r="C88" s="27" t="s">
        <v>96</v>
      </c>
      <c r="D88" s="26"/>
      <c r="E88" s="26"/>
      <c r="F88" s="26"/>
      <c r="G88" s="26"/>
      <c r="H88" s="28" t="s">
        <v>12</v>
      </c>
    </row>
    <row r="89" spans="1:18" x14ac:dyDescent="0.2">
      <c r="A89" s="26"/>
      <c r="B89" s="26"/>
      <c r="C89" s="27" t="s">
        <v>11</v>
      </c>
      <c r="D89" s="26"/>
      <c r="E89" s="26" t="s">
        <v>12</v>
      </c>
      <c r="F89" s="29" t="s">
        <v>13</v>
      </c>
      <c r="G89" s="30">
        <v>0</v>
      </c>
      <c r="H89" s="28" t="s">
        <v>12</v>
      </c>
    </row>
    <row r="90" spans="1:18" x14ac:dyDescent="0.2">
      <c r="A90" s="26"/>
      <c r="B90" s="26"/>
      <c r="C90" s="31"/>
      <c r="D90" s="26"/>
      <c r="E90" s="26"/>
      <c r="F90" s="32"/>
      <c r="G90" s="32"/>
      <c r="H90" s="28" t="s">
        <v>12</v>
      </c>
    </row>
    <row r="91" spans="1:18" x14ac:dyDescent="0.2">
      <c r="A91" s="26"/>
      <c r="B91" s="26"/>
      <c r="C91" s="27" t="s">
        <v>97</v>
      </c>
      <c r="D91" s="26"/>
      <c r="E91" s="26"/>
      <c r="F91" s="32"/>
      <c r="G91" s="32"/>
      <c r="H91" s="28" t="s">
        <v>12</v>
      </c>
    </row>
    <row r="92" spans="1:18" x14ac:dyDescent="0.2">
      <c r="A92" s="26"/>
      <c r="B92" s="26"/>
      <c r="C92" s="27" t="s">
        <v>11</v>
      </c>
      <c r="D92" s="26"/>
      <c r="E92" s="26" t="s">
        <v>12</v>
      </c>
      <c r="F92" s="29" t="s">
        <v>13</v>
      </c>
      <c r="G92" s="30">
        <v>0</v>
      </c>
      <c r="H92" s="28" t="s">
        <v>12</v>
      </c>
    </row>
    <row r="93" spans="1:18" x14ac:dyDescent="0.2">
      <c r="A93" s="26"/>
      <c r="B93" s="35"/>
      <c r="C93" s="35"/>
      <c r="D93" s="27"/>
      <c r="E93" s="26"/>
      <c r="F93" s="35"/>
      <c r="G93" s="39"/>
      <c r="H93" s="28" t="s">
        <v>12</v>
      </c>
    </row>
    <row r="94" spans="1:18" x14ac:dyDescent="0.2">
      <c r="A94" s="39"/>
      <c r="B94" s="35"/>
      <c r="C94" s="35" t="s">
        <v>98</v>
      </c>
      <c r="D94" s="35"/>
      <c r="E94" s="39"/>
      <c r="F94" s="37">
        <v>23.781350450000001</v>
      </c>
      <c r="G94" s="38">
        <v>1.0156399999999999E-3</v>
      </c>
      <c r="H94" s="28" t="s">
        <v>12</v>
      </c>
    </row>
    <row r="95" spans="1:18" x14ac:dyDescent="0.2">
      <c r="A95" s="31"/>
      <c r="B95" s="31"/>
      <c r="C95" s="27" t="s">
        <v>99</v>
      </c>
      <c r="D95" s="32"/>
      <c r="E95" s="32"/>
      <c r="F95" s="33">
        <v>23415.250910393999</v>
      </c>
      <c r="G95" s="45">
        <v>1.0000000200000001</v>
      </c>
      <c r="H95" s="28" t="s">
        <v>12</v>
      </c>
    </row>
    <row r="96" spans="1:18" x14ac:dyDescent="0.2">
      <c r="A96" s="46"/>
      <c r="B96" s="46"/>
      <c r="C96" s="46"/>
      <c r="D96" s="47"/>
      <c r="E96" s="47"/>
      <c r="F96" s="47"/>
      <c r="G96" s="47"/>
    </row>
    <row r="97" spans="1:8" x14ac:dyDescent="0.2">
      <c r="A97" s="48"/>
      <c r="B97" s="116" t="s">
        <v>537</v>
      </c>
      <c r="C97" s="116"/>
      <c r="D97" s="116"/>
      <c r="E97" s="116"/>
      <c r="F97" s="116"/>
      <c r="G97" s="116"/>
      <c r="H97" s="116"/>
    </row>
    <row r="98" spans="1:8" x14ac:dyDescent="0.2">
      <c r="A98" s="48"/>
      <c r="B98" s="116" t="s">
        <v>538</v>
      </c>
      <c r="C98" s="116"/>
      <c r="D98" s="116"/>
      <c r="E98" s="116"/>
      <c r="F98" s="116"/>
      <c r="G98" s="116"/>
      <c r="H98" s="116"/>
    </row>
    <row r="99" spans="1:8" x14ac:dyDescent="0.2">
      <c r="A99" s="48"/>
      <c r="B99" s="116" t="s">
        <v>539</v>
      </c>
      <c r="C99" s="116"/>
      <c r="D99" s="116"/>
      <c r="E99" s="116"/>
      <c r="F99" s="116"/>
      <c r="G99" s="116"/>
      <c r="H99" s="116"/>
    </row>
    <row r="100" spans="1:8" x14ac:dyDescent="0.2">
      <c r="A100" s="50"/>
      <c r="B100" s="50"/>
      <c r="C100" s="50"/>
      <c r="D100" s="51"/>
      <c r="E100" s="51"/>
      <c r="F100" s="51"/>
      <c r="G100" s="51"/>
    </row>
    <row r="101" spans="1:8" x14ac:dyDescent="0.2">
      <c r="A101" s="50"/>
      <c r="B101" s="109" t="s">
        <v>100</v>
      </c>
      <c r="C101" s="110"/>
      <c r="D101" s="111"/>
      <c r="E101" s="52"/>
      <c r="F101" s="51"/>
      <c r="G101" s="51"/>
    </row>
    <row r="102" spans="1:8" x14ac:dyDescent="0.2">
      <c r="A102" s="50"/>
      <c r="B102" s="112" t="s">
        <v>101</v>
      </c>
      <c r="C102" s="113"/>
      <c r="D102" s="27" t="s">
        <v>102</v>
      </c>
      <c r="E102" s="52"/>
      <c r="F102" s="51"/>
      <c r="G102" s="51"/>
    </row>
    <row r="103" spans="1:8" x14ac:dyDescent="0.2">
      <c r="A103" s="50"/>
      <c r="B103" s="112" t="s">
        <v>103</v>
      </c>
      <c r="C103" s="113"/>
      <c r="D103" s="27" t="s">
        <v>102</v>
      </c>
      <c r="E103" s="52"/>
      <c r="F103" s="51"/>
      <c r="G103" s="51"/>
    </row>
    <row r="104" spans="1:8" x14ac:dyDescent="0.2">
      <c r="A104" s="50"/>
      <c r="B104" s="112" t="s">
        <v>104</v>
      </c>
      <c r="C104" s="113"/>
      <c r="D104" s="32" t="s">
        <v>12</v>
      </c>
      <c r="E104" s="52"/>
      <c r="F104" s="51"/>
      <c r="G104" s="51"/>
    </row>
    <row r="105" spans="1:8" x14ac:dyDescent="0.2">
      <c r="A105" s="53"/>
      <c r="B105" s="54" t="s">
        <v>12</v>
      </c>
      <c r="C105" s="54" t="s">
        <v>528</v>
      </c>
      <c r="D105" s="54" t="s">
        <v>105</v>
      </c>
      <c r="E105" s="53"/>
      <c r="F105" s="53"/>
      <c r="G105" s="53"/>
      <c r="H105" s="55"/>
    </row>
    <row r="106" spans="1:8" x14ac:dyDescent="0.2">
      <c r="A106" s="56"/>
      <c r="B106" s="57" t="s">
        <v>106</v>
      </c>
      <c r="C106" s="58">
        <v>45535</v>
      </c>
      <c r="D106" s="58">
        <v>45550</v>
      </c>
      <c r="E106" s="56"/>
      <c r="F106" s="56"/>
      <c r="G106" s="56"/>
    </row>
    <row r="107" spans="1:8" x14ac:dyDescent="0.2">
      <c r="A107" s="56"/>
      <c r="B107" s="35" t="s">
        <v>107</v>
      </c>
      <c r="C107" s="59">
        <v>14.1579</v>
      </c>
      <c r="D107" s="59">
        <v>14.1982</v>
      </c>
      <c r="E107" s="56"/>
      <c r="F107" s="60"/>
      <c r="G107" s="61"/>
    </row>
    <row r="108" spans="1:8" ht="25.5" x14ac:dyDescent="0.2">
      <c r="A108" s="56"/>
      <c r="B108" s="35" t="s">
        <v>581</v>
      </c>
      <c r="C108" s="59">
        <v>11.1843</v>
      </c>
      <c r="D108" s="59">
        <v>11.216100000000001</v>
      </c>
      <c r="E108" s="56"/>
      <c r="F108" s="60"/>
      <c r="G108" s="61"/>
    </row>
    <row r="109" spans="1:8" ht="25.5" x14ac:dyDescent="0.2">
      <c r="A109" s="56"/>
      <c r="B109" s="35" t="s">
        <v>582</v>
      </c>
      <c r="C109" s="59">
        <v>12.3322</v>
      </c>
      <c r="D109" s="59">
        <v>12.292</v>
      </c>
      <c r="E109" s="56"/>
      <c r="F109" s="60"/>
      <c r="G109" s="61"/>
    </row>
    <row r="110" spans="1:8" x14ac:dyDescent="0.2">
      <c r="A110" s="56"/>
      <c r="B110" s="35" t="s">
        <v>108</v>
      </c>
      <c r="C110" s="59">
        <v>14.081899999999999</v>
      </c>
      <c r="D110" s="59">
        <v>14.1213</v>
      </c>
      <c r="E110" s="56"/>
      <c r="F110" s="60"/>
      <c r="G110" s="61"/>
    </row>
    <row r="111" spans="1:8" ht="25.5" x14ac:dyDescent="0.2">
      <c r="A111" s="56"/>
      <c r="B111" s="35" t="s">
        <v>585</v>
      </c>
      <c r="C111" s="59">
        <v>11.1632</v>
      </c>
      <c r="D111" s="59">
        <v>11.1945</v>
      </c>
      <c r="E111" s="56"/>
      <c r="F111" s="60"/>
      <c r="G111" s="61"/>
    </row>
    <row r="112" spans="1:8" ht="25.5" x14ac:dyDescent="0.2">
      <c r="A112" s="56"/>
      <c r="B112" s="35" t="s">
        <v>532</v>
      </c>
      <c r="C112" s="59">
        <v>12.2645</v>
      </c>
      <c r="D112" s="59">
        <v>12.223699999999999</v>
      </c>
      <c r="E112" s="56"/>
      <c r="F112" s="60"/>
      <c r="G112" s="61"/>
    </row>
    <row r="113" spans="1:15" x14ac:dyDescent="0.2">
      <c r="A113" s="56"/>
      <c r="B113" s="56"/>
      <c r="C113" s="56"/>
      <c r="D113" s="56"/>
      <c r="E113" s="56"/>
      <c r="F113" s="56"/>
      <c r="G113" s="56"/>
    </row>
    <row r="114" spans="1:15" x14ac:dyDescent="0.2">
      <c r="A114" s="56"/>
      <c r="B114" s="112" t="s">
        <v>588</v>
      </c>
      <c r="C114" s="113"/>
      <c r="D114" s="27" t="s">
        <v>12</v>
      </c>
      <c r="E114" s="56"/>
      <c r="F114" s="56"/>
      <c r="G114" s="56"/>
    </row>
    <row r="115" spans="1:15" x14ac:dyDescent="0.2">
      <c r="A115" s="56"/>
      <c r="B115" s="62" t="s">
        <v>106</v>
      </c>
      <c r="C115" s="63" t="s">
        <v>109</v>
      </c>
      <c r="D115" s="63" t="s">
        <v>110</v>
      </c>
      <c r="E115" s="56"/>
      <c r="F115" s="56"/>
      <c r="G115" s="56"/>
    </row>
    <row r="116" spans="1:15" ht="25.5" x14ac:dyDescent="0.2">
      <c r="A116" s="56"/>
      <c r="B116" s="35" t="s">
        <v>582</v>
      </c>
      <c r="C116" s="64">
        <v>7.4999999999999997E-2</v>
      </c>
      <c r="D116" s="39" t="s">
        <v>111</v>
      </c>
      <c r="E116" s="56"/>
      <c r="F116" s="60"/>
      <c r="G116" s="61"/>
    </row>
    <row r="117" spans="1:15" ht="25.5" x14ac:dyDescent="0.2">
      <c r="A117" s="56"/>
      <c r="B117" s="35" t="s">
        <v>532</v>
      </c>
      <c r="C117" s="64">
        <v>7.4999999999999997E-2</v>
      </c>
      <c r="D117" s="39" t="s">
        <v>111</v>
      </c>
      <c r="E117" s="56"/>
      <c r="F117" s="60"/>
      <c r="G117" s="61"/>
    </row>
    <row r="118" spans="1:15" x14ac:dyDescent="0.2">
      <c r="A118" s="56"/>
      <c r="B118" s="65"/>
      <c r="C118" s="65"/>
      <c r="D118" s="66"/>
      <c r="E118" s="56"/>
      <c r="F118" s="60"/>
      <c r="G118" s="61"/>
      <c r="J118" s="8"/>
    </row>
    <row r="119" spans="1:15" x14ac:dyDescent="0.2">
      <c r="A119" s="53"/>
      <c r="B119" s="114" t="s">
        <v>112</v>
      </c>
      <c r="C119" s="115"/>
      <c r="D119" s="41" t="s">
        <v>102</v>
      </c>
      <c r="E119" s="67"/>
      <c r="F119" s="53"/>
      <c r="G119" s="53"/>
      <c r="J119" s="8"/>
    </row>
    <row r="120" spans="1:15" x14ac:dyDescent="0.2">
      <c r="A120" s="53"/>
      <c r="B120" s="114" t="s">
        <v>113</v>
      </c>
      <c r="C120" s="115"/>
      <c r="D120" s="41" t="s">
        <v>102</v>
      </c>
      <c r="E120" s="67"/>
      <c r="F120" s="53"/>
      <c r="G120" s="53"/>
      <c r="J120" s="8"/>
    </row>
    <row r="121" spans="1:15" x14ac:dyDescent="0.2">
      <c r="A121" s="53"/>
      <c r="B121" s="114" t="s">
        <v>540</v>
      </c>
      <c r="C121" s="115"/>
      <c r="D121" s="41" t="s">
        <v>102</v>
      </c>
      <c r="E121" s="67"/>
      <c r="F121" s="53"/>
      <c r="G121" s="53"/>
      <c r="J121" s="8"/>
    </row>
    <row r="122" spans="1:15" x14ac:dyDescent="0.2">
      <c r="A122" s="68"/>
      <c r="B122" s="68"/>
      <c r="C122" s="68"/>
      <c r="D122" s="68"/>
      <c r="E122" s="68"/>
      <c r="F122" s="68"/>
      <c r="G122" s="68"/>
      <c r="J122" s="8"/>
    </row>
    <row r="123" spans="1:15" s="9" customFormat="1" x14ac:dyDescent="0.2">
      <c r="B123" s="117" t="s">
        <v>541</v>
      </c>
      <c r="C123" s="118"/>
      <c r="D123" s="119"/>
      <c r="I123"/>
      <c r="J123" s="8"/>
      <c r="K123" s="5"/>
      <c r="L123" s="5"/>
      <c r="M123" s="5"/>
      <c r="N123" s="5"/>
      <c r="O123" s="10"/>
    </row>
    <row r="124" spans="1:15" s="9" customFormat="1" ht="51" x14ac:dyDescent="0.2">
      <c r="B124" s="107" t="s">
        <v>542</v>
      </c>
      <c r="C124" s="107"/>
      <c r="D124" s="69" t="s">
        <v>141</v>
      </c>
      <c r="I124"/>
      <c r="J124" s="8"/>
      <c r="K124" s="5"/>
      <c r="L124" s="5"/>
      <c r="M124" s="5"/>
      <c r="N124" s="5"/>
      <c r="O124" s="10"/>
    </row>
    <row r="125" spans="1:15" s="9" customFormat="1" x14ac:dyDescent="0.2">
      <c r="B125" s="120" t="s">
        <v>543</v>
      </c>
      <c r="C125" s="120"/>
      <c r="D125" s="70"/>
      <c r="I125"/>
      <c r="J125" s="2"/>
      <c r="K125" s="5"/>
      <c r="L125" s="5"/>
      <c r="M125" s="5"/>
      <c r="N125" s="5"/>
      <c r="O125" s="10"/>
    </row>
    <row r="126" spans="1:15" s="9" customFormat="1" x14ac:dyDescent="0.2">
      <c r="B126" s="120"/>
      <c r="C126" s="120"/>
      <c r="D126" s="71"/>
      <c r="I126"/>
      <c r="J126" s="2"/>
      <c r="K126" s="5"/>
      <c r="L126" s="5"/>
      <c r="M126" s="5"/>
      <c r="N126" s="5"/>
      <c r="O126" s="10"/>
    </row>
    <row r="127" spans="1:15" s="9" customFormat="1" x14ac:dyDescent="0.2">
      <c r="B127" s="120" t="s">
        <v>544</v>
      </c>
      <c r="C127" s="120"/>
      <c r="D127" s="72">
        <v>7.3927433101806717</v>
      </c>
      <c r="I127"/>
      <c r="J127" s="2"/>
      <c r="K127" s="5"/>
      <c r="L127" s="5"/>
      <c r="M127" s="5"/>
      <c r="N127" s="5"/>
      <c r="O127" s="10"/>
    </row>
    <row r="128" spans="1:15" s="9" customFormat="1" x14ac:dyDescent="0.2">
      <c r="B128" s="120"/>
      <c r="C128" s="120"/>
      <c r="D128" s="71"/>
      <c r="I128"/>
      <c r="J128" s="8"/>
      <c r="K128" s="5"/>
      <c r="L128" s="5"/>
      <c r="M128" s="5"/>
      <c r="N128" s="5"/>
      <c r="O128" s="10"/>
    </row>
    <row r="129" spans="2:17" s="9" customFormat="1" x14ac:dyDescent="0.2">
      <c r="B129" s="120" t="s">
        <v>545</v>
      </c>
      <c r="C129" s="120"/>
      <c r="D129" s="72">
        <v>0.43624448967157625</v>
      </c>
      <c r="I129"/>
      <c r="J129" s="8"/>
      <c r="K129" s="5"/>
      <c r="L129" s="5"/>
      <c r="M129" s="5"/>
      <c r="N129" s="5"/>
      <c r="O129" s="10"/>
    </row>
    <row r="130" spans="2:17" s="9" customFormat="1" x14ac:dyDescent="0.2">
      <c r="B130" s="120" t="s">
        <v>546</v>
      </c>
      <c r="C130" s="120"/>
      <c r="D130" s="72">
        <v>0.43624448967157625</v>
      </c>
      <c r="I130"/>
      <c r="J130" s="2"/>
      <c r="K130" s="5"/>
      <c r="L130" s="5"/>
      <c r="M130" s="5"/>
      <c r="N130" s="5"/>
      <c r="O130" s="10"/>
    </row>
    <row r="131" spans="2:17" s="9" customFormat="1" x14ac:dyDescent="0.2">
      <c r="B131" s="120"/>
      <c r="C131" s="120"/>
      <c r="D131" s="71"/>
      <c r="I131"/>
      <c r="J131" s="2"/>
      <c r="K131" s="5"/>
      <c r="L131" s="5"/>
      <c r="M131" s="5"/>
      <c r="N131" s="5"/>
      <c r="O131" s="10"/>
    </row>
    <row r="132" spans="2:17" s="9" customFormat="1" ht="25.5" x14ac:dyDescent="0.2">
      <c r="B132" s="120" t="s">
        <v>547</v>
      </c>
      <c r="C132" s="120"/>
      <c r="D132" s="73" t="s">
        <v>577</v>
      </c>
      <c r="I132"/>
      <c r="J132" s="2"/>
      <c r="K132" s="5"/>
      <c r="L132" s="5"/>
      <c r="M132" s="5"/>
      <c r="N132" s="5"/>
      <c r="O132" s="10"/>
    </row>
    <row r="133" spans="2:17" s="9" customFormat="1" x14ac:dyDescent="0.2">
      <c r="B133" s="121" t="s">
        <v>548</v>
      </c>
      <c r="C133" s="123"/>
      <c r="D133" s="122"/>
      <c r="I133"/>
      <c r="J133" s="2"/>
      <c r="K133" s="5"/>
      <c r="L133" s="5"/>
      <c r="M133" s="5"/>
      <c r="N133" s="5"/>
      <c r="O133" s="10"/>
      <c r="P133"/>
      <c r="Q133"/>
    </row>
  </sheetData>
  <mergeCells count="25">
    <mergeCell ref="B130:C130"/>
    <mergeCell ref="B131:C131"/>
    <mergeCell ref="B132:C132"/>
    <mergeCell ref="B133:D133"/>
    <mergeCell ref="B125:C125"/>
    <mergeCell ref="B126:C126"/>
    <mergeCell ref="B127:C127"/>
    <mergeCell ref="B128:C128"/>
    <mergeCell ref="B129:C129"/>
    <mergeCell ref="B124:C124"/>
    <mergeCell ref="A1:H1"/>
    <mergeCell ref="A2:H2"/>
    <mergeCell ref="A3:H3"/>
    <mergeCell ref="B101:D101"/>
    <mergeCell ref="B102:C102"/>
    <mergeCell ref="B103:C103"/>
    <mergeCell ref="B104:C104"/>
    <mergeCell ref="B114:C114"/>
    <mergeCell ref="B120:C120"/>
    <mergeCell ref="B97:H97"/>
    <mergeCell ref="B98:H98"/>
    <mergeCell ref="B99:H99"/>
    <mergeCell ref="B119:C119"/>
    <mergeCell ref="B123:D123"/>
    <mergeCell ref="B121:C121"/>
  </mergeCells>
  <hyperlinks>
    <hyperlink ref="I1" location="Index!B4" display="Index" xr:uid="{BD046173-DAB1-4212-9146-1DF7C7E3AE8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783C-ECAE-4854-82C0-33AAFE86893C}">
  <sheetPr>
    <outlinePr summaryBelow="0" summaryRight="0"/>
  </sheetPr>
  <dimension ref="A1:T164"/>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189</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ht="25.5" x14ac:dyDescent="0.2">
      <c r="A14" s="26"/>
      <c r="B14" s="26"/>
      <c r="C14" s="31"/>
      <c r="D14" s="26"/>
      <c r="E14" s="26"/>
      <c r="F14" s="32"/>
      <c r="G14" s="32"/>
      <c r="H14" s="28" t="s">
        <v>12</v>
      </c>
      <c r="J14" s="7" t="s">
        <v>604</v>
      </c>
    </row>
    <row r="15" spans="1:11" x14ac:dyDescent="0.2">
      <c r="A15" s="26"/>
      <c r="B15" s="26"/>
      <c r="C15" s="27" t="s">
        <v>16</v>
      </c>
      <c r="D15" s="26"/>
      <c r="E15" s="26"/>
      <c r="F15" s="26"/>
      <c r="G15" s="26"/>
      <c r="H15" s="28" t="s">
        <v>12</v>
      </c>
      <c r="J15" s="7"/>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ht="25.5" x14ac:dyDescent="0.2">
      <c r="A27" s="26"/>
      <c r="B27" s="26"/>
      <c r="C27" s="27" t="s">
        <v>10</v>
      </c>
      <c r="D27" s="26"/>
      <c r="E27" s="26"/>
      <c r="F27" s="32"/>
      <c r="G27" s="32"/>
      <c r="H27" s="28" t="s">
        <v>12</v>
      </c>
      <c r="J27" s="7" t="s">
        <v>605</v>
      </c>
    </row>
    <row r="28" spans="1:10" ht="25.5" x14ac:dyDescent="0.2">
      <c r="A28" s="34">
        <v>1</v>
      </c>
      <c r="B28" s="35" t="s">
        <v>190</v>
      </c>
      <c r="C28" s="35" t="s">
        <v>191</v>
      </c>
      <c r="D28" s="35" t="s">
        <v>23</v>
      </c>
      <c r="E28" s="36">
        <v>250</v>
      </c>
      <c r="F28" s="37">
        <v>2488.2600000000002</v>
      </c>
      <c r="G28" s="38">
        <v>7.0313319999999999E-2</v>
      </c>
      <c r="H28" s="28">
        <v>7.72</v>
      </c>
      <c r="J28" s="7"/>
    </row>
    <row r="29" spans="1:10" x14ac:dyDescent="0.2">
      <c r="A29" s="34">
        <v>2</v>
      </c>
      <c r="B29" s="35" t="s">
        <v>192</v>
      </c>
      <c r="C29" s="35" t="s">
        <v>193</v>
      </c>
      <c r="D29" s="35" t="s">
        <v>194</v>
      </c>
      <c r="E29" s="36">
        <v>2000</v>
      </c>
      <c r="F29" s="37">
        <v>2000.702</v>
      </c>
      <c r="G29" s="38">
        <v>5.65359E-2</v>
      </c>
      <c r="H29" s="28">
        <v>7.5650000000000004</v>
      </c>
      <c r="J29" s="7"/>
    </row>
    <row r="30" spans="1:10" x14ac:dyDescent="0.2">
      <c r="A30" s="34">
        <v>3</v>
      </c>
      <c r="B30" s="35" t="s">
        <v>195</v>
      </c>
      <c r="C30" s="35" t="s">
        <v>196</v>
      </c>
      <c r="D30" s="35" t="s">
        <v>197</v>
      </c>
      <c r="E30" s="36">
        <v>1700</v>
      </c>
      <c r="F30" s="37">
        <v>1706.3121000000001</v>
      </c>
      <c r="G30" s="38">
        <v>4.8217019999999999E-2</v>
      </c>
      <c r="H30" s="28">
        <v>8.51</v>
      </c>
    </row>
    <row r="31" spans="1:10" x14ac:dyDescent="0.2">
      <c r="A31" s="34">
        <v>4</v>
      </c>
      <c r="B31" s="35" t="s">
        <v>198</v>
      </c>
      <c r="C31" s="35" t="s">
        <v>199</v>
      </c>
      <c r="D31" s="35" t="s">
        <v>200</v>
      </c>
      <c r="E31" s="36">
        <v>1500</v>
      </c>
      <c r="F31" s="37">
        <v>1506.8969999999999</v>
      </c>
      <c r="G31" s="38">
        <v>4.2581939999999999E-2</v>
      </c>
      <c r="H31" s="28">
        <v>8.1294000000000004</v>
      </c>
    </row>
    <row r="32" spans="1:10" ht="25.5" x14ac:dyDescent="0.2">
      <c r="A32" s="34">
        <v>5</v>
      </c>
      <c r="B32" s="35" t="s">
        <v>201</v>
      </c>
      <c r="C32" s="35" t="s">
        <v>202</v>
      </c>
      <c r="D32" s="35" t="s">
        <v>23</v>
      </c>
      <c r="E32" s="36">
        <v>140</v>
      </c>
      <c r="F32" s="37">
        <v>1373.6548</v>
      </c>
      <c r="G32" s="38">
        <v>3.8816780000000002E-2</v>
      </c>
      <c r="H32" s="28">
        <v>7.8250000000000002</v>
      </c>
    </row>
    <row r="33" spans="1:8" x14ac:dyDescent="0.2">
      <c r="A33" s="34">
        <v>6</v>
      </c>
      <c r="B33" s="35" t="s">
        <v>203</v>
      </c>
      <c r="C33" s="35" t="s">
        <v>204</v>
      </c>
      <c r="D33" s="35" t="s">
        <v>197</v>
      </c>
      <c r="E33" s="36">
        <v>1000</v>
      </c>
      <c r="F33" s="37">
        <v>1001.213</v>
      </c>
      <c r="G33" s="38">
        <v>2.8292310000000001E-2</v>
      </c>
      <c r="H33" s="28">
        <v>9.0611999999999995</v>
      </c>
    </row>
    <row r="34" spans="1:8" x14ac:dyDescent="0.2">
      <c r="A34" s="34">
        <v>7</v>
      </c>
      <c r="B34" s="35" t="s">
        <v>205</v>
      </c>
      <c r="C34" s="35" t="s">
        <v>206</v>
      </c>
      <c r="D34" s="35" t="s">
        <v>23</v>
      </c>
      <c r="E34" s="36">
        <v>1000</v>
      </c>
      <c r="F34" s="37">
        <v>999.13599999999997</v>
      </c>
      <c r="G34" s="38">
        <v>2.8233609999999999E-2</v>
      </c>
      <c r="H34" s="28">
        <v>7.585</v>
      </c>
    </row>
    <row r="35" spans="1:8" ht="25.5" x14ac:dyDescent="0.2">
      <c r="A35" s="34">
        <v>8</v>
      </c>
      <c r="B35" s="35" t="s">
        <v>207</v>
      </c>
      <c r="C35" s="35" t="s">
        <v>208</v>
      </c>
      <c r="D35" s="35" t="s">
        <v>209</v>
      </c>
      <c r="E35" s="36">
        <v>1000</v>
      </c>
      <c r="F35" s="37">
        <v>998.01800000000003</v>
      </c>
      <c r="G35" s="38">
        <v>2.8202020000000001E-2</v>
      </c>
      <c r="H35" s="28">
        <v>9.3450000000000006</v>
      </c>
    </row>
    <row r="36" spans="1:8" ht="25.5" x14ac:dyDescent="0.2">
      <c r="A36" s="34">
        <v>9</v>
      </c>
      <c r="B36" s="35" t="s">
        <v>210</v>
      </c>
      <c r="C36" s="35" t="s">
        <v>211</v>
      </c>
      <c r="D36" s="35" t="s">
        <v>23</v>
      </c>
      <c r="E36" s="36">
        <v>100</v>
      </c>
      <c r="F36" s="37">
        <v>996.29</v>
      </c>
      <c r="G36" s="38">
        <v>2.8153190000000002E-2</v>
      </c>
      <c r="H36" s="28">
        <v>7.7149999999999999</v>
      </c>
    </row>
    <row r="37" spans="1:8" ht="25.5" x14ac:dyDescent="0.2">
      <c r="A37" s="34">
        <v>10</v>
      </c>
      <c r="B37" s="35" t="s">
        <v>43</v>
      </c>
      <c r="C37" s="35" t="s">
        <v>44</v>
      </c>
      <c r="D37" s="35" t="s">
        <v>23</v>
      </c>
      <c r="E37" s="36">
        <v>1000</v>
      </c>
      <c r="F37" s="37">
        <v>994.899</v>
      </c>
      <c r="G37" s="38">
        <v>2.8113889999999999E-2</v>
      </c>
      <c r="H37" s="28">
        <v>7.5</v>
      </c>
    </row>
    <row r="38" spans="1:8" x14ac:dyDescent="0.2">
      <c r="A38" s="34">
        <v>11</v>
      </c>
      <c r="B38" s="35" t="s">
        <v>212</v>
      </c>
      <c r="C38" s="35" t="s">
        <v>213</v>
      </c>
      <c r="D38" s="35" t="s">
        <v>197</v>
      </c>
      <c r="E38" s="36">
        <v>100</v>
      </c>
      <c r="F38" s="37">
        <v>992.76800000000003</v>
      </c>
      <c r="G38" s="38">
        <v>2.8053669999999999E-2</v>
      </c>
      <c r="H38" s="28">
        <v>8.8470999999999993</v>
      </c>
    </row>
    <row r="39" spans="1:8" x14ac:dyDescent="0.2">
      <c r="A39" s="34">
        <v>12</v>
      </c>
      <c r="B39" s="35" t="s">
        <v>214</v>
      </c>
      <c r="C39" s="35" t="s">
        <v>215</v>
      </c>
      <c r="D39" s="35" t="s">
        <v>209</v>
      </c>
      <c r="E39" s="36">
        <v>900</v>
      </c>
      <c r="F39" s="37">
        <v>901.11779999999999</v>
      </c>
      <c r="G39" s="38">
        <v>2.546381E-2</v>
      </c>
      <c r="H39" s="28">
        <v>8.2799999999999994</v>
      </c>
    </row>
    <row r="40" spans="1:8" x14ac:dyDescent="0.2">
      <c r="A40" s="34">
        <v>13</v>
      </c>
      <c r="B40" s="35" t="s">
        <v>55</v>
      </c>
      <c r="C40" s="35" t="s">
        <v>56</v>
      </c>
      <c r="D40" s="35" t="s">
        <v>23</v>
      </c>
      <c r="E40" s="36">
        <v>500</v>
      </c>
      <c r="F40" s="37">
        <v>501.64749999999998</v>
      </c>
      <c r="G40" s="38">
        <v>1.417557E-2</v>
      </c>
      <c r="H40" s="28">
        <v>7.585</v>
      </c>
    </row>
    <row r="41" spans="1:8" x14ac:dyDescent="0.2">
      <c r="A41" s="34">
        <v>14</v>
      </c>
      <c r="B41" s="35" t="s">
        <v>216</v>
      </c>
      <c r="C41" s="35" t="s">
        <v>217</v>
      </c>
      <c r="D41" s="35" t="s">
        <v>32</v>
      </c>
      <c r="E41" s="36">
        <v>500</v>
      </c>
      <c r="F41" s="37">
        <v>501.1635</v>
      </c>
      <c r="G41" s="38">
        <v>1.416189E-2</v>
      </c>
      <c r="H41" s="28">
        <v>7.4649999999999999</v>
      </c>
    </row>
    <row r="42" spans="1:8" x14ac:dyDescent="0.2">
      <c r="A42" s="34">
        <v>15</v>
      </c>
      <c r="B42" s="35" t="s">
        <v>218</v>
      </c>
      <c r="C42" s="35" t="s">
        <v>219</v>
      </c>
      <c r="D42" s="35" t="s">
        <v>197</v>
      </c>
      <c r="E42" s="36">
        <v>500</v>
      </c>
      <c r="F42" s="37">
        <v>500.63350000000003</v>
      </c>
      <c r="G42" s="38">
        <v>1.414692E-2</v>
      </c>
      <c r="H42" s="28">
        <v>9.0711999999999993</v>
      </c>
    </row>
    <row r="43" spans="1:8" ht="25.5" x14ac:dyDescent="0.2">
      <c r="A43" s="34">
        <v>16</v>
      </c>
      <c r="B43" s="35" t="s">
        <v>220</v>
      </c>
      <c r="C43" s="35" t="s">
        <v>221</v>
      </c>
      <c r="D43" s="35" t="s">
        <v>222</v>
      </c>
      <c r="E43" s="36">
        <v>50</v>
      </c>
      <c r="F43" s="37">
        <v>499.71749999999997</v>
      </c>
      <c r="G43" s="38">
        <v>1.412103E-2</v>
      </c>
      <c r="H43" s="28">
        <v>8.4550000000000001</v>
      </c>
    </row>
    <row r="44" spans="1:8" ht="25.5" x14ac:dyDescent="0.2">
      <c r="A44" s="34">
        <v>17</v>
      </c>
      <c r="B44" s="35" t="s">
        <v>61</v>
      </c>
      <c r="C44" s="35" t="s">
        <v>62</v>
      </c>
      <c r="D44" s="35" t="s">
        <v>23</v>
      </c>
      <c r="E44" s="36">
        <v>500</v>
      </c>
      <c r="F44" s="37">
        <v>499.40100000000001</v>
      </c>
      <c r="G44" s="38">
        <v>1.4112090000000001E-2</v>
      </c>
      <c r="H44" s="28">
        <v>8.2200000000000006</v>
      </c>
    </row>
    <row r="45" spans="1:8" x14ac:dyDescent="0.2">
      <c r="A45" s="26"/>
      <c r="B45" s="26"/>
      <c r="C45" s="27" t="s">
        <v>11</v>
      </c>
      <c r="D45" s="26"/>
      <c r="E45" s="26" t="s">
        <v>12</v>
      </c>
      <c r="F45" s="33">
        <v>18461.830699999999</v>
      </c>
      <c r="G45" s="30">
        <v>0.52169496000000004</v>
      </c>
      <c r="H45" s="28" t="s">
        <v>12</v>
      </c>
    </row>
    <row r="46" spans="1:8" x14ac:dyDescent="0.2">
      <c r="A46" s="26"/>
      <c r="B46" s="26"/>
      <c r="C46" s="31"/>
      <c r="D46" s="26"/>
      <c r="E46" s="26"/>
      <c r="F46" s="32"/>
      <c r="G46" s="32"/>
      <c r="H46" s="28" t="s">
        <v>12</v>
      </c>
    </row>
    <row r="47" spans="1:8" x14ac:dyDescent="0.2">
      <c r="A47" s="26"/>
      <c r="B47" s="26"/>
      <c r="C47" s="27" t="s">
        <v>67</v>
      </c>
      <c r="D47" s="26"/>
      <c r="E47" s="26"/>
      <c r="F47" s="26"/>
      <c r="G47" s="26"/>
      <c r="H47" s="28" t="s">
        <v>12</v>
      </c>
    </row>
    <row r="48" spans="1:8" x14ac:dyDescent="0.2">
      <c r="A48" s="26"/>
      <c r="B48" s="26"/>
      <c r="C48" s="27" t="s">
        <v>11</v>
      </c>
      <c r="D48" s="26"/>
      <c r="E48" s="26" t="s">
        <v>12</v>
      </c>
      <c r="F48" s="29" t="s">
        <v>13</v>
      </c>
      <c r="G48" s="30">
        <v>0</v>
      </c>
      <c r="H48" s="28" t="s">
        <v>12</v>
      </c>
    </row>
    <row r="49" spans="1:8" x14ac:dyDescent="0.2">
      <c r="A49" s="26"/>
      <c r="B49" s="26"/>
      <c r="C49" s="31"/>
      <c r="D49" s="26"/>
      <c r="E49" s="26"/>
      <c r="F49" s="32"/>
      <c r="G49" s="32"/>
      <c r="H49" s="28" t="s">
        <v>12</v>
      </c>
    </row>
    <row r="50" spans="1:8" x14ac:dyDescent="0.2">
      <c r="A50" s="26"/>
      <c r="B50" s="26"/>
      <c r="C50" s="27" t="s">
        <v>68</v>
      </c>
      <c r="D50" s="26"/>
      <c r="E50" s="26"/>
      <c r="F50" s="26"/>
      <c r="G50" s="26"/>
      <c r="H50" s="28" t="s">
        <v>12</v>
      </c>
    </row>
    <row r="51" spans="1:8" x14ac:dyDescent="0.2">
      <c r="A51" s="34">
        <v>1</v>
      </c>
      <c r="B51" s="35" t="s">
        <v>78</v>
      </c>
      <c r="C51" s="35" t="s">
        <v>79</v>
      </c>
      <c r="D51" s="35" t="s">
        <v>71</v>
      </c>
      <c r="E51" s="36">
        <v>1000000</v>
      </c>
      <c r="F51" s="37">
        <v>1023.197</v>
      </c>
      <c r="G51" s="38">
        <v>2.891353E-2</v>
      </c>
      <c r="H51" s="28">
        <v>6.8235999999999999</v>
      </c>
    </row>
    <row r="52" spans="1:8" ht="25.5" x14ac:dyDescent="0.2">
      <c r="A52" s="34">
        <v>2</v>
      </c>
      <c r="B52" s="35" t="s">
        <v>223</v>
      </c>
      <c r="C52" s="35" t="s">
        <v>224</v>
      </c>
      <c r="D52" s="35" t="s">
        <v>71</v>
      </c>
      <c r="E52" s="36">
        <v>1000000</v>
      </c>
      <c r="F52" s="37">
        <v>1016.673</v>
      </c>
      <c r="G52" s="38">
        <v>2.872918E-2</v>
      </c>
      <c r="H52" s="28">
        <v>6.8147000000000002</v>
      </c>
    </row>
    <row r="53" spans="1:8" x14ac:dyDescent="0.2">
      <c r="A53" s="26"/>
      <c r="B53" s="26"/>
      <c r="C53" s="27" t="s">
        <v>11</v>
      </c>
      <c r="D53" s="26"/>
      <c r="E53" s="26" t="s">
        <v>12</v>
      </c>
      <c r="F53" s="33">
        <v>2039.87</v>
      </c>
      <c r="G53" s="30">
        <v>5.764271E-2</v>
      </c>
      <c r="H53" s="28" t="s">
        <v>12</v>
      </c>
    </row>
    <row r="54" spans="1:8" x14ac:dyDescent="0.2">
      <c r="A54" s="26"/>
      <c r="B54" s="26"/>
      <c r="C54" s="31"/>
      <c r="D54" s="26"/>
      <c r="E54" s="26"/>
      <c r="F54" s="32"/>
      <c r="G54" s="32"/>
      <c r="H54" s="28" t="s">
        <v>12</v>
      </c>
    </row>
    <row r="55" spans="1:8" x14ac:dyDescent="0.2">
      <c r="A55" s="26"/>
      <c r="B55" s="26"/>
      <c r="C55" s="27" t="s">
        <v>82</v>
      </c>
      <c r="D55" s="26"/>
      <c r="E55" s="26"/>
      <c r="F55" s="32"/>
      <c r="G55" s="32"/>
      <c r="H55" s="28" t="s">
        <v>12</v>
      </c>
    </row>
    <row r="56" spans="1:8" x14ac:dyDescent="0.2">
      <c r="A56" s="26"/>
      <c r="B56" s="26"/>
      <c r="C56" s="27" t="s">
        <v>11</v>
      </c>
      <c r="D56" s="26"/>
      <c r="E56" s="26" t="s">
        <v>12</v>
      </c>
      <c r="F56" s="29" t="s">
        <v>13</v>
      </c>
      <c r="G56" s="30">
        <v>0</v>
      </c>
      <c r="H56" s="28" t="s">
        <v>12</v>
      </c>
    </row>
    <row r="57" spans="1:8" x14ac:dyDescent="0.2">
      <c r="A57" s="26"/>
      <c r="B57" s="26"/>
      <c r="C57" s="31"/>
      <c r="D57" s="26"/>
      <c r="E57" s="26"/>
      <c r="F57" s="32"/>
      <c r="G57" s="32"/>
      <c r="H57" s="28" t="s">
        <v>12</v>
      </c>
    </row>
    <row r="58" spans="1:8" x14ac:dyDescent="0.2">
      <c r="A58" s="26"/>
      <c r="B58" s="26"/>
      <c r="C58" s="27" t="s">
        <v>83</v>
      </c>
      <c r="D58" s="26"/>
      <c r="E58" s="26"/>
      <c r="F58" s="33">
        <v>20501.700700000001</v>
      </c>
      <c r="G58" s="30">
        <v>0.57933767000000003</v>
      </c>
      <c r="H58" s="28" t="s">
        <v>12</v>
      </c>
    </row>
    <row r="59" spans="1:8" x14ac:dyDescent="0.2">
      <c r="A59" s="26"/>
      <c r="B59" s="26"/>
      <c r="C59" s="31"/>
      <c r="D59" s="26"/>
      <c r="E59" s="26"/>
      <c r="F59" s="32"/>
      <c r="G59" s="32"/>
      <c r="H59" s="28" t="s">
        <v>12</v>
      </c>
    </row>
    <row r="60" spans="1:8" x14ac:dyDescent="0.2">
      <c r="A60" s="26"/>
      <c r="B60" s="26"/>
      <c r="C60" s="27" t="s">
        <v>84</v>
      </c>
      <c r="D60" s="26"/>
      <c r="E60" s="26"/>
      <c r="F60" s="32"/>
      <c r="G60" s="32"/>
      <c r="H60" s="28" t="s">
        <v>12</v>
      </c>
    </row>
    <row r="61" spans="1:8" x14ac:dyDescent="0.2">
      <c r="A61" s="26"/>
      <c r="B61" s="26"/>
      <c r="C61" s="27" t="s">
        <v>85</v>
      </c>
      <c r="D61" s="26"/>
      <c r="E61" s="26"/>
      <c r="F61" s="32"/>
      <c r="G61" s="32"/>
      <c r="H61" s="28" t="s">
        <v>12</v>
      </c>
    </row>
    <row r="62" spans="1:8" ht="25.5" x14ac:dyDescent="0.2">
      <c r="A62" s="34">
        <v>1</v>
      </c>
      <c r="B62" s="35" t="s">
        <v>225</v>
      </c>
      <c r="C62" s="35" t="s">
        <v>226</v>
      </c>
      <c r="D62" s="35" t="s">
        <v>144</v>
      </c>
      <c r="E62" s="36">
        <v>300</v>
      </c>
      <c r="F62" s="37">
        <v>1474.6034999999999</v>
      </c>
      <c r="G62" s="38">
        <v>4.1669390000000001E-2</v>
      </c>
      <c r="H62" s="28">
        <v>7.3098000000000001</v>
      </c>
    </row>
    <row r="63" spans="1:8" x14ac:dyDescent="0.2">
      <c r="A63" s="34">
        <v>2</v>
      </c>
      <c r="B63" s="35" t="s">
        <v>227</v>
      </c>
      <c r="C63" s="35" t="s">
        <v>228</v>
      </c>
      <c r="D63" s="35" t="s">
        <v>144</v>
      </c>
      <c r="E63" s="36">
        <v>200</v>
      </c>
      <c r="F63" s="37">
        <v>984.21</v>
      </c>
      <c r="G63" s="38">
        <v>2.7811840000000001E-2</v>
      </c>
      <c r="H63" s="28">
        <v>7.32</v>
      </c>
    </row>
    <row r="64" spans="1:8" x14ac:dyDescent="0.2">
      <c r="A64" s="34">
        <v>3</v>
      </c>
      <c r="B64" s="35" t="s">
        <v>167</v>
      </c>
      <c r="C64" s="35" t="s">
        <v>168</v>
      </c>
      <c r="D64" s="35" t="s">
        <v>162</v>
      </c>
      <c r="E64" s="36">
        <v>200</v>
      </c>
      <c r="F64" s="37">
        <v>972.76199999999994</v>
      </c>
      <c r="G64" s="38">
        <v>2.748834E-2</v>
      </c>
      <c r="H64" s="28">
        <v>7.46</v>
      </c>
    </row>
    <row r="65" spans="1:8" ht="25.5" x14ac:dyDescent="0.2">
      <c r="A65" s="34">
        <v>4</v>
      </c>
      <c r="B65" s="35" t="s">
        <v>229</v>
      </c>
      <c r="C65" s="35" t="s">
        <v>230</v>
      </c>
      <c r="D65" s="35" t="s">
        <v>144</v>
      </c>
      <c r="E65" s="36">
        <v>200</v>
      </c>
      <c r="F65" s="37">
        <v>971.18700000000001</v>
      </c>
      <c r="G65" s="38">
        <v>2.7443829999999999E-2</v>
      </c>
      <c r="H65" s="28">
        <v>7.52</v>
      </c>
    </row>
    <row r="66" spans="1:8" x14ac:dyDescent="0.2">
      <c r="A66" s="34">
        <v>5</v>
      </c>
      <c r="B66" s="35" t="s">
        <v>163</v>
      </c>
      <c r="C66" s="35" t="s">
        <v>164</v>
      </c>
      <c r="D66" s="35" t="s">
        <v>144</v>
      </c>
      <c r="E66" s="36">
        <v>200</v>
      </c>
      <c r="F66" s="37">
        <v>968.29200000000003</v>
      </c>
      <c r="G66" s="38">
        <v>2.7362020000000001E-2</v>
      </c>
      <c r="H66" s="28">
        <v>7.5650000000000004</v>
      </c>
    </row>
    <row r="67" spans="1:8" x14ac:dyDescent="0.2">
      <c r="A67" s="34">
        <v>6</v>
      </c>
      <c r="B67" s="35" t="s">
        <v>165</v>
      </c>
      <c r="C67" s="35" t="s">
        <v>166</v>
      </c>
      <c r="D67" s="35" t="s">
        <v>144</v>
      </c>
      <c r="E67" s="36">
        <v>200</v>
      </c>
      <c r="F67" s="37">
        <v>967.68799999999999</v>
      </c>
      <c r="G67" s="38">
        <v>2.7344960000000001E-2</v>
      </c>
      <c r="H67" s="28">
        <v>7.57</v>
      </c>
    </row>
    <row r="68" spans="1:8" ht="25.5" x14ac:dyDescent="0.2">
      <c r="A68" s="34">
        <v>7</v>
      </c>
      <c r="B68" s="35" t="s">
        <v>231</v>
      </c>
      <c r="C68" s="35" t="s">
        <v>232</v>
      </c>
      <c r="D68" s="35" t="s">
        <v>144</v>
      </c>
      <c r="E68" s="36">
        <v>200</v>
      </c>
      <c r="F68" s="37">
        <v>967.50900000000001</v>
      </c>
      <c r="G68" s="38">
        <v>2.73399E-2</v>
      </c>
      <c r="H68" s="28">
        <v>7.52</v>
      </c>
    </row>
    <row r="69" spans="1:8" x14ac:dyDescent="0.2">
      <c r="A69" s="34">
        <v>8</v>
      </c>
      <c r="B69" s="35" t="s">
        <v>148</v>
      </c>
      <c r="C69" s="35" t="s">
        <v>149</v>
      </c>
      <c r="D69" s="35" t="s">
        <v>144</v>
      </c>
      <c r="E69" s="36">
        <v>200</v>
      </c>
      <c r="F69" s="37">
        <v>963.49599999999998</v>
      </c>
      <c r="G69" s="38">
        <v>2.7226500000000001E-2</v>
      </c>
      <c r="H69" s="28">
        <v>7.4751000000000003</v>
      </c>
    </row>
    <row r="70" spans="1:8" x14ac:dyDescent="0.2">
      <c r="A70" s="34">
        <v>9</v>
      </c>
      <c r="B70" s="35" t="s">
        <v>150</v>
      </c>
      <c r="C70" s="35" t="s">
        <v>151</v>
      </c>
      <c r="D70" s="35" t="s">
        <v>144</v>
      </c>
      <c r="E70" s="36">
        <v>200</v>
      </c>
      <c r="F70" s="37">
        <v>950.67899999999997</v>
      </c>
      <c r="G70" s="38">
        <v>2.6864320000000001E-2</v>
      </c>
      <c r="H70" s="28">
        <v>7.6050000000000004</v>
      </c>
    </row>
    <row r="71" spans="1:8" x14ac:dyDescent="0.2">
      <c r="A71" s="34">
        <v>10</v>
      </c>
      <c r="B71" s="35" t="s">
        <v>233</v>
      </c>
      <c r="C71" s="35" t="s">
        <v>234</v>
      </c>
      <c r="D71" s="35" t="s">
        <v>144</v>
      </c>
      <c r="E71" s="36">
        <v>100</v>
      </c>
      <c r="F71" s="37">
        <v>492.69799999999998</v>
      </c>
      <c r="G71" s="38">
        <v>1.392267E-2</v>
      </c>
      <c r="H71" s="28">
        <v>7.31</v>
      </c>
    </row>
    <row r="72" spans="1:8" ht="25.5" x14ac:dyDescent="0.2">
      <c r="A72" s="34">
        <v>11</v>
      </c>
      <c r="B72" s="35" t="s">
        <v>235</v>
      </c>
      <c r="C72" s="35" t="s">
        <v>236</v>
      </c>
      <c r="D72" s="35" t="s">
        <v>144</v>
      </c>
      <c r="E72" s="36">
        <v>100</v>
      </c>
      <c r="F72" s="37">
        <v>488.322</v>
      </c>
      <c r="G72" s="38">
        <v>1.379902E-2</v>
      </c>
      <c r="H72" s="28">
        <v>7.5250000000000004</v>
      </c>
    </row>
    <row r="73" spans="1:8" x14ac:dyDescent="0.2">
      <c r="A73" s="26"/>
      <c r="B73" s="26"/>
      <c r="C73" s="27" t="s">
        <v>11</v>
      </c>
      <c r="D73" s="26"/>
      <c r="E73" s="26" t="s">
        <v>12</v>
      </c>
      <c r="F73" s="33">
        <v>10201.4465</v>
      </c>
      <c r="G73" s="30">
        <v>0.28827279</v>
      </c>
      <c r="H73" s="28" t="s">
        <v>12</v>
      </c>
    </row>
    <row r="74" spans="1:8" x14ac:dyDescent="0.2">
      <c r="A74" s="26"/>
      <c r="B74" s="26"/>
      <c r="C74" s="31"/>
      <c r="D74" s="26"/>
      <c r="E74" s="26"/>
      <c r="F74" s="32"/>
      <c r="G74" s="32"/>
      <c r="H74" s="28" t="s">
        <v>12</v>
      </c>
    </row>
    <row r="75" spans="1:8" x14ac:dyDescent="0.2">
      <c r="A75" s="26"/>
      <c r="B75" s="26"/>
      <c r="C75" s="27" t="s">
        <v>86</v>
      </c>
      <c r="D75" s="26"/>
      <c r="E75" s="26"/>
      <c r="F75" s="32"/>
      <c r="G75" s="32"/>
      <c r="H75" s="28" t="s">
        <v>12</v>
      </c>
    </row>
    <row r="76" spans="1:8" ht="25.5" x14ac:dyDescent="0.2">
      <c r="A76" s="34">
        <v>1</v>
      </c>
      <c r="B76" s="35" t="s">
        <v>237</v>
      </c>
      <c r="C76" s="35" t="s">
        <v>238</v>
      </c>
      <c r="D76" s="35" t="s">
        <v>144</v>
      </c>
      <c r="E76" s="36">
        <v>300</v>
      </c>
      <c r="F76" s="37">
        <v>1438.587</v>
      </c>
      <c r="G76" s="38">
        <v>4.0651630000000001E-2</v>
      </c>
      <c r="H76" s="28">
        <v>8.7050000000000001</v>
      </c>
    </row>
    <row r="77" spans="1:8" x14ac:dyDescent="0.2">
      <c r="A77" s="26"/>
      <c r="B77" s="26"/>
      <c r="C77" s="27" t="s">
        <v>11</v>
      </c>
      <c r="D77" s="26"/>
      <c r="E77" s="26" t="s">
        <v>12</v>
      </c>
      <c r="F77" s="33">
        <v>1438.587</v>
      </c>
      <c r="G77" s="30">
        <v>4.0651630000000001E-2</v>
      </c>
      <c r="H77" s="28" t="s">
        <v>12</v>
      </c>
    </row>
    <row r="78" spans="1:8" x14ac:dyDescent="0.2">
      <c r="A78" s="26"/>
      <c r="B78" s="26"/>
      <c r="C78" s="31"/>
      <c r="D78" s="26"/>
      <c r="E78" s="26"/>
      <c r="F78" s="32"/>
      <c r="G78" s="32"/>
      <c r="H78" s="28" t="s">
        <v>12</v>
      </c>
    </row>
    <row r="79" spans="1:8" x14ac:dyDescent="0.2">
      <c r="A79" s="26"/>
      <c r="B79" s="26"/>
      <c r="C79" s="27" t="s">
        <v>87</v>
      </c>
      <c r="D79" s="26"/>
      <c r="E79" s="26"/>
      <c r="F79" s="32"/>
      <c r="G79" s="32"/>
      <c r="H79" s="28" t="s">
        <v>12</v>
      </c>
    </row>
    <row r="80" spans="1:8" x14ac:dyDescent="0.2">
      <c r="A80" s="26"/>
      <c r="B80" s="26"/>
      <c r="C80" s="27" t="s">
        <v>11</v>
      </c>
      <c r="D80" s="26"/>
      <c r="E80" s="26" t="s">
        <v>12</v>
      </c>
      <c r="F80" s="29" t="s">
        <v>13</v>
      </c>
      <c r="G80" s="30">
        <v>0</v>
      </c>
      <c r="H80" s="28" t="s">
        <v>12</v>
      </c>
    </row>
    <row r="81" spans="1:18" x14ac:dyDescent="0.2">
      <c r="A81" s="26"/>
      <c r="B81" s="26"/>
      <c r="C81" s="31"/>
      <c r="D81" s="26"/>
      <c r="E81" s="26"/>
      <c r="F81" s="32"/>
      <c r="G81" s="32"/>
      <c r="H81" s="28" t="s">
        <v>12</v>
      </c>
    </row>
    <row r="82" spans="1:18" x14ac:dyDescent="0.2">
      <c r="A82" s="26"/>
      <c r="B82" s="26"/>
      <c r="C82" s="27" t="s">
        <v>88</v>
      </c>
      <c r="D82" s="26"/>
      <c r="E82" s="26"/>
      <c r="F82" s="32"/>
      <c r="G82" s="32"/>
      <c r="H82" s="28" t="s">
        <v>12</v>
      </c>
    </row>
    <row r="83" spans="1:18" x14ac:dyDescent="0.2">
      <c r="A83" s="34">
        <v>1</v>
      </c>
      <c r="B83" s="35"/>
      <c r="C83" s="35" t="s">
        <v>239</v>
      </c>
      <c r="D83" s="35"/>
      <c r="E83" s="39"/>
      <c r="F83" s="37">
        <v>1510.3125</v>
      </c>
      <c r="G83" s="38">
        <v>4.267845E-2</v>
      </c>
      <c r="H83" s="28">
        <v>6.5</v>
      </c>
    </row>
    <row r="84" spans="1:18" x14ac:dyDescent="0.2">
      <c r="A84" s="34">
        <v>2</v>
      </c>
      <c r="B84" s="35"/>
      <c r="C84" s="35" t="s">
        <v>89</v>
      </c>
      <c r="D84" s="35"/>
      <c r="E84" s="39"/>
      <c r="F84" s="37">
        <v>999.5608221</v>
      </c>
      <c r="G84" s="38">
        <v>2.8245619999999999E-2</v>
      </c>
      <c r="H84" s="28">
        <v>6.4</v>
      </c>
    </row>
    <row r="85" spans="1:18" x14ac:dyDescent="0.2">
      <c r="A85" s="26"/>
      <c r="B85" s="26"/>
      <c r="C85" s="27" t="s">
        <v>11</v>
      </c>
      <c r="D85" s="26"/>
      <c r="E85" s="26" t="s">
        <v>12</v>
      </c>
      <c r="F85" s="33">
        <v>2509.8733221000002</v>
      </c>
      <c r="G85" s="30">
        <v>7.0924070000000006E-2</v>
      </c>
      <c r="H85" s="28" t="s">
        <v>12</v>
      </c>
    </row>
    <row r="86" spans="1:18" x14ac:dyDescent="0.2">
      <c r="A86" s="26"/>
      <c r="B86" s="26"/>
      <c r="C86" s="31"/>
      <c r="D86" s="26"/>
      <c r="E86" s="26"/>
      <c r="F86" s="32"/>
      <c r="G86" s="32"/>
      <c r="H86" s="28" t="s">
        <v>12</v>
      </c>
    </row>
    <row r="87" spans="1:18" x14ac:dyDescent="0.2">
      <c r="A87" s="26"/>
      <c r="B87" s="26"/>
      <c r="C87" s="27" t="s">
        <v>90</v>
      </c>
      <c r="D87" s="26"/>
      <c r="E87" s="26"/>
      <c r="F87" s="33">
        <v>14149.9068221</v>
      </c>
      <c r="G87" s="30">
        <v>0.39984849</v>
      </c>
      <c r="H87" s="28" t="s">
        <v>12</v>
      </c>
    </row>
    <row r="88" spans="1:18" x14ac:dyDescent="0.2">
      <c r="A88" s="26"/>
      <c r="B88" s="26"/>
      <c r="C88" s="32"/>
      <c r="D88" s="26"/>
      <c r="E88" s="26"/>
      <c r="F88" s="26"/>
      <c r="G88" s="26"/>
      <c r="H88" s="28" t="s">
        <v>12</v>
      </c>
    </row>
    <row r="89" spans="1:18" x14ac:dyDescent="0.2">
      <c r="A89" s="26"/>
      <c r="B89" s="26"/>
      <c r="C89" s="27" t="s">
        <v>91</v>
      </c>
      <c r="D89" s="26"/>
      <c r="E89" s="26"/>
      <c r="F89" s="26"/>
      <c r="G89" s="26"/>
      <c r="H89" s="28" t="s">
        <v>12</v>
      </c>
    </row>
    <row r="90" spans="1:18" x14ac:dyDescent="0.2">
      <c r="A90" s="26"/>
      <c r="B90" s="26"/>
      <c r="C90" s="27" t="s">
        <v>92</v>
      </c>
      <c r="D90" s="26"/>
      <c r="E90" s="26"/>
      <c r="F90" s="26"/>
      <c r="G90" s="26"/>
      <c r="H90" s="28" t="s">
        <v>12</v>
      </c>
    </row>
    <row r="91" spans="1:18" x14ac:dyDescent="0.2">
      <c r="A91" s="26"/>
      <c r="B91" s="26"/>
      <c r="C91" s="27" t="s">
        <v>11</v>
      </c>
      <c r="D91" s="26"/>
      <c r="E91" s="26" t="s">
        <v>12</v>
      </c>
      <c r="F91" s="29" t="s">
        <v>13</v>
      </c>
      <c r="G91" s="30">
        <v>0</v>
      </c>
      <c r="H91" s="28" t="s">
        <v>12</v>
      </c>
    </row>
    <row r="92" spans="1:18" x14ac:dyDescent="0.2">
      <c r="A92" s="26"/>
      <c r="B92" s="26"/>
      <c r="C92" s="31"/>
      <c r="D92" s="26"/>
      <c r="E92" s="26"/>
      <c r="F92" s="32"/>
      <c r="G92" s="32"/>
      <c r="H92" s="28" t="s">
        <v>12</v>
      </c>
    </row>
    <row r="93" spans="1:18" x14ac:dyDescent="0.2">
      <c r="A93" s="40"/>
      <c r="B93" s="40"/>
      <c r="C93" s="41" t="s">
        <v>527</v>
      </c>
      <c r="D93" s="40"/>
      <c r="E93" s="40"/>
      <c r="F93" s="42"/>
      <c r="G93" s="42"/>
      <c r="H93" s="43"/>
      <c r="L93" s="5"/>
      <c r="M93" s="5"/>
      <c r="N93" s="5"/>
      <c r="O93" s="5"/>
      <c r="P93" s="6"/>
      <c r="Q93" s="6"/>
      <c r="R93" s="6"/>
    </row>
    <row r="94" spans="1:18" ht="25.5" x14ac:dyDescent="0.2">
      <c r="A94" s="34">
        <v>1</v>
      </c>
      <c r="B94" s="35" t="s">
        <v>93</v>
      </c>
      <c r="C94" s="35" t="s">
        <v>94</v>
      </c>
      <c r="D94" s="35"/>
      <c r="E94" s="44">
        <v>1043.4449999999999</v>
      </c>
      <c r="F94" s="37">
        <v>108.37571411</v>
      </c>
      <c r="G94" s="38">
        <v>3.0624799999999998E-3</v>
      </c>
      <c r="H94" s="28"/>
    </row>
    <row r="95" spans="1:18" x14ac:dyDescent="0.2">
      <c r="A95" s="26"/>
      <c r="B95" s="26"/>
      <c r="C95" s="27" t="s">
        <v>11</v>
      </c>
      <c r="D95" s="26"/>
      <c r="E95" s="26" t="s">
        <v>12</v>
      </c>
      <c r="F95" s="33">
        <v>108.37571411</v>
      </c>
      <c r="G95" s="30">
        <v>3.0624799999999998E-3</v>
      </c>
      <c r="H95" s="28" t="s">
        <v>12</v>
      </c>
    </row>
    <row r="96" spans="1:18" x14ac:dyDescent="0.2">
      <c r="A96" s="26"/>
      <c r="B96" s="26"/>
      <c r="C96" s="31"/>
      <c r="D96" s="26"/>
      <c r="E96" s="26"/>
      <c r="F96" s="32"/>
      <c r="G96" s="32"/>
      <c r="H96" s="28" t="s">
        <v>12</v>
      </c>
    </row>
    <row r="97" spans="1:8" x14ac:dyDescent="0.2">
      <c r="A97" s="26"/>
      <c r="B97" s="26"/>
      <c r="C97" s="27" t="s">
        <v>95</v>
      </c>
      <c r="D97" s="26"/>
      <c r="E97" s="26"/>
      <c r="F97" s="26"/>
      <c r="G97" s="26"/>
      <c r="H97" s="28" t="s">
        <v>12</v>
      </c>
    </row>
    <row r="98" spans="1:8" x14ac:dyDescent="0.2">
      <c r="A98" s="26"/>
      <c r="B98" s="26"/>
      <c r="C98" s="27" t="s">
        <v>96</v>
      </c>
      <c r="D98" s="26"/>
      <c r="E98" s="26"/>
      <c r="F98" s="26"/>
      <c r="G98" s="26"/>
      <c r="H98" s="28" t="s">
        <v>12</v>
      </c>
    </row>
    <row r="99" spans="1:8" x14ac:dyDescent="0.2">
      <c r="A99" s="26"/>
      <c r="B99" s="26"/>
      <c r="C99" s="27" t="s">
        <v>11</v>
      </c>
      <c r="D99" s="26"/>
      <c r="E99" s="26" t="s">
        <v>12</v>
      </c>
      <c r="F99" s="29" t="s">
        <v>13</v>
      </c>
      <c r="G99" s="30">
        <v>0</v>
      </c>
      <c r="H99" s="28" t="s">
        <v>12</v>
      </c>
    </row>
    <row r="100" spans="1:8" x14ac:dyDescent="0.2">
      <c r="A100" s="26"/>
      <c r="B100" s="26"/>
      <c r="C100" s="31"/>
      <c r="D100" s="26"/>
      <c r="E100" s="26"/>
      <c r="F100" s="32"/>
      <c r="G100" s="32"/>
      <c r="H100" s="28" t="s">
        <v>12</v>
      </c>
    </row>
    <row r="101" spans="1:8" x14ac:dyDescent="0.2">
      <c r="A101" s="26"/>
      <c r="B101" s="26"/>
      <c r="C101" s="27" t="s">
        <v>97</v>
      </c>
      <c r="D101" s="26"/>
      <c r="E101" s="26"/>
      <c r="F101" s="32"/>
      <c r="G101" s="32"/>
      <c r="H101" s="28" t="s">
        <v>12</v>
      </c>
    </row>
    <row r="102" spans="1:8" x14ac:dyDescent="0.2">
      <c r="A102" s="26"/>
      <c r="B102" s="26"/>
      <c r="C102" s="27" t="s">
        <v>11</v>
      </c>
      <c r="D102" s="26"/>
      <c r="E102" s="26" t="s">
        <v>12</v>
      </c>
      <c r="F102" s="29" t="s">
        <v>13</v>
      </c>
      <c r="G102" s="30">
        <v>0</v>
      </c>
      <c r="H102" s="28" t="s">
        <v>12</v>
      </c>
    </row>
    <row r="103" spans="1:8" x14ac:dyDescent="0.2">
      <c r="A103" s="26"/>
      <c r="B103" s="35"/>
      <c r="C103" s="35"/>
      <c r="D103" s="27"/>
      <c r="E103" s="26"/>
      <c r="F103" s="35"/>
      <c r="G103" s="39"/>
      <c r="H103" s="28" t="s">
        <v>12</v>
      </c>
    </row>
    <row r="104" spans="1:8" x14ac:dyDescent="0.2">
      <c r="A104" s="39"/>
      <c r="B104" s="35"/>
      <c r="C104" s="35" t="s">
        <v>98</v>
      </c>
      <c r="D104" s="35"/>
      <c r="E104" s="39"/>
      <c r="F104" s="37">
        <f>628.18916018+0.0000246300029754639</f>
        <v>628.18918481000298</v>
      </c>
      <c r="G104" s="38">
        <v>1.7751389999999999E-2</v>
      </c>
      <c r="H104" s="28" t="s">
        <v>12</v>
      </c>
    </row>
    <row r="105" spans="1:8" x14ac:dyDescent="0.2">
      <c r="A105" s="31"/>
      <c r="B105" s="31"/>
      <c r="C105" s="27" t="s">
        <v>99</v>
      </c>
      <c r="D105" s="32"/>
      <c r="E105" s="32"/>
      <c r="F105" s="33">
        <f>35388.17239639+0.0000246300029754639</f>
        <v>35388.172421020005</v>
      </c>
      <c r="G105" s="45">
        <v>1.00000003</v>
      </c>
      <c r="H105" s="28" t="s">
        <v>12</v>
      </c>
    </row>
    <row r="106" spans="1:8" x14ac:dyDescent="0.2">
      <c r="A106" s="46"/>
      <c r="B106" s="46"/>
      <c r="C106" s="46"/>
      <c r="D106" s="47"/>
      <c r="E106" s="47"/>
      <c r="F106" s="47"/>
      <c r="G106" s="47"/>
    </row>
    <row r="107" spans="1:8" x14ac:dyDescent="0.2">
      <c r="A107" s="48"/>
      <c r="B107" s="116" t="s">
        <v>537</v>
      </c>
      <c r="C107" s="116"/>
      <c r="D107" s="116"/>
      <c r="E107" s="116"/>
      <c r="F107" s="116"/>
      <c r="G107" s="116"/>
      <c r="H107" s="116"/>
    </row>
    <row r="108" spans="1:8" x14ac:dyDescent="0.2">
      <c r="A108" s="48"/>
      <c r="B108" s="116" t="s">
        <v>538</v>
      </c>
      <c r="C108" s="116"/>
      <c r="D108" s="116"/>
      <c r="E108" s="116"/>
      <c r="F108" s="116"/>
      <c r="G108" s="116"/>
      <c r="H108" s="116"/>
    </row>
    <row r="109" spans="1:8" x14ac:dyDescent="0.2">
      <c r="A109" s="48"/>
      <c r="B109" s="116" t="s">
        <v>539</v>
      </c>
      <c r="C109" s="116"/>
      <c r="D109" s="116"/>
      <c r="E109" s="116"/>
      <c r="F109" s="116"/>
      <c r="G109" s="116"/>
      <c r="H109" s="116"/>
    </row>
    <row r="110" spans="1:8" x14ac:dyDescent="0.2">
      <c r="A110" s="50"/>
      <c r="B110" s="50"/>
      <c r="C110" s="50"/>
      <c r="D110" s="51"/>
      <c r="E110" s="51"/>
      <c r="F110" s="51"/>
      <c r="G110" s="51"/>
    </row>
    <row r="111" spans="1:8" x14ac:dyDescent="0.2">
      <c r="A111" s="50"/>
      <c r="B111" s="109" t="s">
        <v>100</v>
      </c>
      <c r="C111" s="110"/>
      <c r="D111" s="111"/>
      <c r="E111" s="52"/>
      <c r="F111" s="51"/>
      <c r="G111" s="51"/>
    </row>
    <row r="112" spans="1:8" ht="25.5" x14ac:dyDescent="0.2">
      <c r="A112" s="50"/>
      <c r="B112" s="112" t="s">
        <v>101</v>
      </c>
      <c r="C112" s="113"/>
      <c r="D112" s="41" t="s">
        <v>529</v>
      </c>
      <c r="E112" s="52"/>
      <c r="F112" s="51"/>
      <c r="G112" s="51"/>
    </row>
    <row r="113" spans="1:10" x14ac:dyDescent="0.2">
      <c r="A113" s="50"/>
      <c r="B113" s="112" t="s">
        <v>103</v>
      </c>
      <c r="C113" s="113"/>
      <c r="D113" s="27" t="s">
        <v>102</v>
      </c>
      <c r="E113" s="52"/>
      <c r="F113" s="51"/>
      <c r="G113" s="51"/>
    </row>
    <row r="114" spans="1:10" x14ac:dyDescent="0.2">
      <c r="A114" s="50"/>
      <c r="B114" s="112" t="s">
        <v>104</v>
      </c>
      <c r="C114" s="113"/>
      <c r="D114" s="32" t="s">
        <v>12</v>
      </c>
      <c r="E114" s="52"/>
      <c r="F114" s="51"/>
      <c r="G114" s="51"/>
    </row>
    <row r="115" spans="1:10" x14ac:dyDescent="0.2">
      <c r="A115" s="53"/>
      <c r="B115" s="54" t="s">
        <v>12</v>
      </c>
      <c r="C115" s="54" t="s">
        <v>528</v>
      </c>
      <c r="D115" s="54" t="s">
        <v>105</v>
      </c>
      <c r="E115" s="53"/>
      <c r="F115" s="53"/>
      <c r="G115" s="53"/>
      <c r="H115" s="55"/>
    </row>
    <row r="116" spans="1:10" x14ac:dyDescent="0.2">
      <c r="A116" s="56"/>
      <c r="B116" s="57" t="s">
        <v>106</v>
      </c>
      <c r="C116" s="58">
        <v>45535</v>
      </c>
      <c r="D116" s="58">
        <v>45550</v>
      </c>
      <c r="E116" s="56"/>
      <c r="F116" s="56"/>
      <c r="G116" s="56"/>
    </row>
    <row r="117" spans="1:10" x14ac:dyDescent="0.2">
      <c r="A117" s="56"/>
      <c r="B117" s="35" t="s">
        <v>107</v>
      </c>
      <c r="C117" s="59">
        <v>3466.3681000000001</v>
      </c>
      <c r="D117" s="59">
        <v>3485.3353000000002</v>
      </c>
      <c r="E117" s="56"/>
      <c r="F117" s="60"/>
      <c r="G117" s="61"/>
    </row>
    <row r="118" spans="1:10" ht="25.5" x14ac:dyDescent="0.2">
      <c r="A118" s="56"/>
      <c r="B118" s="35" t="s">
        <v>581</v>
      </c>
      <c r="C118" s="59">
        <v>1098.1411000000001</v>
      </c>
      <c r="D118" s="59">
        <v>1104.1498999999999</v>
      </c>
      <c r="E118" s="56"/>
      <c r="F118" s="60"/>
      <c r="G118" s="61"/>
      <c r="J118" s="8"/>
    </row>
    <row r="119" spans="1:10" ht="25.5" x14ac:dyDescent="0.2">
      <c r="A119" s="56"/>
      <c r="B119" s="35" t="s">
        <v>582</v>
      </c>
      <c r="C119" s="59">
        <v>1213.7309</v>
      </c>
      <c r="D119" s="59">
        <v>1212.8406</v>
      </c>
      <c r="E119" s="56"/>
      <c r="F119" s="60"/>
      <c r="G119" s="61"/>
      <c r="J119" s="8"/>
    </row>
    <row r="120" spans="1:10" x14ac:dyDescent="0.2">
      <c r="A120" s="56"/>
      <c r="B120" s="35" t="s">
        <v>108</v>
      </c>
      <c r="C120" s="59">
        <v>3253.4836</v>
      </c>
      <c r="D120" s="59">
        <v>3270.2910000000002</v>
      </c>
      <c r="E120" s="56"/>
      <c r="F120" s="60"/>
      <c r="G120" s="61"/>
      <c r="J120" s="8"/>
    </row>
    <row r="121" spans="1:10" x14ac:dyDescent="0.2">
      <c r="A121" s="56"/>
      <c r="B121" s="35" t="s">
        <v>140</v>
      </c>
      <c r="C121" s="59">
        <v>1259.9851000000001</v>
      </c>
      <c r="D121" s="59">
        <v>1266.4943000000001</v>
      </c>
      <c r="E121" s="56"/>
      <c r="F121" s="60"/>
      <c r="G121" s="61"/>
      <c r="J121" s="8"/>
    </row>
    <row r="122" spans="1:10" ht="25.5" x14ac:dyDescent="0.2">
      <c r="A122" s="56"/>
      <c r="B122" s="35" t="s">
        <v>585</v>
      </c>
      <c r="C122" s="59">
        <v>1088.0823</v>
      </c>
      <c r="D122" s="59">
        <v>1093.7034000000001</v>
      </c>
      <c r="E122" s="56"/>
      <c r="F122" s="60"/>
      <c r="G122" s="61"/>
      <c r="J122" s="8"/>
    </row>
    <row r="123" spans="1:10" ht="25.5" x14ac:dyDescent="0.2">
      <c r="A123" s="56"/>
      <c r="B123" s="35" t="s">
        <v>532</v>
      </c>
      <c r="C123" s="59">
        <v>1178.3397</v>
      </c>
      <c r="D123" s="59">
        <v>1176.8969</v>
      </c>
      <c r="E123" s="56"/>
      <c r="F123" s="60"/>
      <c r="G123" s="61"/>
      <c r="J123" s="8"/>
    </row>
    <row r="124" spans="1:10" x14ac:dyDescent="0.2">
      <c r="A124" s="56"/>
      <c r="B124" s="56"/>
      <c r="C124" s="56"/>
      <c r="D124" s="56"/>
      <c r="E124" s="56"/>
      <c r="F124" s="56"/>
      <c r="G124" s="56"/>
      <c r="J124" s="8"/>
    </row>
    <row r="125" spans="1:10" x14ac:dyDescent="0.2">
      <c r="A125" s="56"/>
      <c r="B125" s="112" t="s">
        <v>588</v>
      </c>
      <c r="C125" s="113"/>
      <c r="D125" s="27" t="s">
        <v>12</v>
      </c>
      <c r="E125" s="56"/>
      <c r="F125" s="56"/>
      <c r="G125" s="56"/>
    </row>
    <row r="126" spans="1:10" x14ac:dyDescent="0.2">
      <c r="A126" s="56"/>
      <c r="B126" s="62" t="s">
        <v>106</v>
      </c>
      <c r="C126" s="63" t="s">
        <v>109</v>
      </c>
      <c r="D126" s="63" t="s">
        <v>110</v>
      </c>
      <c r="E126" s="56"/>
      <c r="F126" s="56"/>
      <c r="G126" s="56"/>
    </row>
    <row r="127" spans="1:10" ht="25.5" x14ac:dyDescent="0.2">
      <c r="A127" s="56"/>
      <c r="B127" s="35" t="s">
        <v>582</v>
      </c>
      <c r="C127" s="64">
        <v>7.5</v>
      </c>
      <c r="D127" s="64">
        <v>7.5</v>
      </c>
      <c r="E127" s="56"/>
      <c r="F127" s="60"/>
      <c r="G127" s="61"/>
    </row>
    <row r="128" spans="1:10" ht="25.5" x14ac:dyDescent="0.2">
      <c r="A128" s="56"/>
      <c r="B128" s="35" t="s">
        <v>532</v>
      </c>
      <c r="C128" s="64">
        <v>7.5</v>
      </c>
      <c r="D128" s="64">
        <v>7.5</v>
      </c>
      <c r="E128" s="56"/>
      <c r="F128" s="60"/>
      <c r="G128" s="61"/>
      <c r="J128" s="8"/>
    </row>
    <row r="129" spans="1:15" x14ac:dyDescent="0.2">
      <c r="A129" s="56"/>
      <c r="B129" s="65"/>
      <c r="C129" s="65"/>
      <c r="D129" s="66"/>
      <c r="E129" s="56"/>
      <c r="F129" s="60"/>
      <c r="G129" s="61"/>
      <c r="J129" s="8"/>
    </row>
    <row r="130" spans="1:15" s="9" customFormat="1" x14ac:dyDescent="0.2">
      <c r="A130" s="74"/>
      <c r="B130" s="114" t="s">
        <v>549</v>
      </c>
      <c r="C130" s="115"/>
      <c r="D130" s="41" t="s">
        <v>102</v>
      </c>
      <c r="G130" s="74"/>
      <c r="I130"/>
      <c r="J130" s="2"/>
      <c r="K130" s="5"/>
      <c r="L130" s="5"/>
      <c r="M130" s="5"/>
      <c r="N130" s="5"/>
      <c r="O130" s="10"/>
    </row>
    <row r="131" spans="1:15" x14ac:dyDescent="0.2">
      <c r="A131" s="53"/>
      <c r="B131" s="114" t="s">
        <v>550</v>
      </c>
      <c r="C131" s="115"/>
      <c r="D131" s="41" t="s">
        <v>102</v>
      </c>
      <c r="E131" s="67"/>
      <c r="F131" s="53"/>
      <c r="G131" s="53"/>
    </row>
    <row r="132" spans="1:15" x14ac:dyDescent="0.2">
      <c r="A132" s="53"/>
      <c r="B132" s="114" t="s">
        <v>551</v>
      </c>
      <c r="C132" s="115"/>
      <c r="D132" s="41" t="s">
        <v>102</v>
      </c>
      <c r="E132" s="67"/>
      <c r="F132" s="53"/>
      <c r="G132" s="53"/>
    </row>
    <row r="133" spans="1:15" x14ac:dyDescent="0.2">
      <c r="A133" s="53"/>
      <c r="B133" s="114" t="s">
        <v>552</v>
      </c>
      <c r="C133" s="115"/>
      <c r="D133" s="41" t="s">
        <v>102</v>
      </c>
      <c r="E133" s="67"/>
      <c r="F133" s="53"/>
      <c r="G133" s="53"/>
    </row>
    <row r="134" spans="1:15" x14ac:dyDescent="0.2">
      <c r="A134" s="68"/>
      <c r="B134" s="68"/>
      <c r="C134" s="68"/>
      <c r="D134" s="68"/>
      <c r="E134" s="68"/>
      <c r="F134" s="68"/>
      <c r="G134" s="68"/>
    </row>
    <row r="135" spans="1:15" s="9" customFormat="1" x14ac:dyDescent="0.2">
      <c r="B135" s="75" t="s">
        <v>578</v>
      </c>
      <c r="C135" s="75"/>
      <c r="D135" s="75"/>
      <c r="E135" s="75"/>
      <c r="F135" s="75"/>
      <c r="G135" s="75"/>
      <c r="H135" s="75"/>
      <c r="I135"/>
      <c r="J135" s="2"/>
      <c r="K135" s="5"/>
      <c r="L135" s="5"/>
      <c r="M135" s="5"/>
      <c r="N135" s="5"/>
      <c r="O135" s="10"/>
    </row>
    <row r="136" spans="1:15" s="9" customFormat="1" x14ac:dyDescent="0.2">
      <c r="B136" s="76"/>
      <c r="C136" s="76"/>
      <c r="D136" s="76"/>
      <c r="E136" s="76"/>
      <c r="F136" s="76"/>
      <c r="G136" s="76"/>
      <c r="H136" s="76"/>
      <c r="I136"/>
      <c r="J136" s="2"/>
      <c r="K136" s="5"/>
      <c r="L136" s="5"/>
      <c r="M136" s="5"/>
      <c r="N136" s="5"/>
      <c r="O136" s="10"/>
    </row>
    <row r="137" spans="1:15" s="9" customFormat="1" ht="102" x14ac:dyDescent="0.2">
      <c r="A137" s="77"/>
      <c r="B137" s="78" t="s">
        <v>553</v>
      </c>
      <c r="C137" s="78" t="s">
        <v>554</v>
      </c>
      <c r="D137" s="78" t="s">
        <v>555</v>
      </c>
      <c r="E137" s="78" t="s">
        <v>556</v>
      </c>
      <c r="F137" s="78" t="s">
        <v>557</v>
      </c>
      <c r="G137" s="76"/>
      <c r="H137" s="76"/>
      <c r="I137"/>
      <c r="J137" s="2"/>
      <c r="K137" s="5"/>
      <c r="L137" s="5"/>
      <c r="M137" s="5"/>
      <c r="N137" s="5"/>
      <c r="O137" s="10"/>
    </row>
    <row r="138" spans="1:15" s="9" customFormat="1" x14ac:dyDescent="0.2">
      <c r="A138" s="79"/>
      <c r="B138" s="80" t="s">
        <v>558</v>
      </c>
      <c r="C138" s="80" t="s">
        <v>559</v>
      </c>
      <c r="D138" s="11">
        <v>0</v>
      </c>
      <c r="E138" s="12">
        <v>0</v>
      </c>
      <c r="F138" s="81">
        <v>300</v>
      </c>
      <c r="G138" s="76"/>
      <c r="H138" s="76"/>
      <c r="I138"/>
      <c r="J138" s="2"/>
      <c r="K138" s="5"/>
      <c r="L138" s="5"/>
      <c r="M138" s="5"/>
      <c r="N138" s="5"/>
      <c r="O138" s="10"/>
    </row>
    <row r="139" spans="1:15" s="9" customFormat="1" x14ac:dyDescent="0.2">
      <c r="A139" s="82"/>
      <c r="B139" s="82"/>
      <c r="C139" s="82"/>
      <c r="D139" s="82"/>
      <c r="E139" s="82"/>
      <c r="F139" s="82"/>
      <c r="G139" s="82"/>
      <c r="I139"/>
      <c r="J139" s="2"/>
      <c r="K139" s="5"/>
      <c r="L139" s="5"/>
      <c r="M139" s="5"/>
      <c r="N139" s="5"/>
      <c r="O139" s="10"/>
    </row>
    <row r="140" spans="1:15" s="9" customFormat="1" x14ac:dyDescent="0.2">
      <c r="B140" s="117" t="s">
        <v>541</v>
      </c>
      <c r="C140" s="118"/>
      <c r="D140" s="119"/>
      <c r="I140"/>
      <c r="J140" s="2"/>
      <c r="K140" s="5"/>
      <c r="L140" s="5"/>
      <c r="M140" s="5"/>
      <c r="N140" s="5"/>
      <c r="O140" s="10"/>
    </row>
    <row r="141" spans="1:15" s="9" customFormat="1" ht="51" x14ac:dyDescent="0.2">
      <c r="B141" s="107" t="s">
        <v>542</v>
      </c>
      <c r="C141" s="107"/>
      <c r="D141" s="69" t="s">
        <v>189</v>
      </c>
      <c r="I141"/>
      <c r="J141" s="2"/>
      <c r="K141" s="5"/>
      <c r="L141" s="5"/>
      <c r="M141" s="5"/>
      <c r="N141" s="5"/>
      <c r="O141" s="10"/>
    </row>
    <row r="142" spans="1:15" s="9" customFormat="1" x14ac:dyDescent="0.2">
      <c r="B142" s="120" t="s">
        <v>543</v>
      </c>
      <c r="C142" s="120"/>
      <c r="D142" s="70"/>
      <c r="I142"/>
      <c r="J142" s="2"/>
      <c r="K142" s="5"/>
      <c r="L142" s="5"/>
      <c r="M142" s="5"/>
      <c r="N142" s="5"/>
      <c r="O142" s="10"/>
    </row>
    <row r="143" spans="1:15" s="9" customFormat="1" x14ac:dyDescent="0.2">
      <c r="B143" s="120"/>
      <c r="C143" s="120"/>
      <c r="D143" s="71"/>
      <c r="I143"/>
      <c r="J143" s="2"/>
      <c r="K143" s="5"/>
      <c r="L143" s="5"/>
      <c r="M143" s="5"/>
      <c r="N143" s="5"/>
      <c r="O143" s="10"/>
    </row>
    <row r="144" spans="1:15" s="9" customFormat="1" x14ac:dyDescent="0.2">
      <c r="B144" s="120" t="s">
        <v>544</v>
      </c>
      <c r="C144" s="120"/>
      <c r="D144" s="72">
        <v>7.7530192087344458</v>
      </c>
      <c r="I144"/>
      <c r="J144" s="2"/>
      <c r="K144" s="5"/>
      <c r="L144" s="5"/>
      <c r="M144" s="5"/>
      <c r="N144" s="5"/>
      <c r="O144" s="10"/>
    </row>
    <row r="145" spans="2:20" s="9" customFormat="1" x14ac:dyDescent="0.2">
      <c r="B145" s="120"/>
      <c r="C145" s="120"/>
      <c r="D145" s="71"/>
      <c r="I145"/>
      <c r="J145" s="2"/>
      <c r="K145" s="5"/>
      <c r="L145" s="5"/>
      <c r="M145" s="5"/>
      <c r="N145" s="5"/>
      <c r="O145" s="10"/>
      <c r="P145"/>
      <c r="Q145"/>
    </row>
    <row r="146" spans="2:20" s="9" customFormat="1" x14ac:dyDescent="0.2">
      <c r="B146" s="120" t="s">
        <v>545</v>
      </c>
      <c r="C146" s="120"/>
      <c r="D146" s="72">
        <v>0.97883742262707873</v>
      </c>
      <c r="I146"/>
      <c r="J146" s="2"/>
      <c r="K146" s="5"/>
      <c r="L146" s="5"/>
      <c r="M146" s="5"/>
      <c r="N146" s="5"/>
      <c r="O146" s="10"/>
      <c r="P146"/>
      <c r="Q146"/>
    </row>
    <row r="147" spans="2:20" s="9" customFormat="1" x14ac:dyDescent="0.2">
      <c r="B147" s="120" t="s">
        <v>546</v>
      </c>
      <c r="C147" s="120"/>
      <c r="D147" s="72">
        <v>1.173576850812474</v>
      </c>
      <c r="I147"/>
      <c r="J147" s="2"/>
      <c r="K147" s="5"/>
      <c r="L147" s="5"/>
      <c r="M147" s="5"/>
      <c r="N147" s="5"/>
      <c r="O147"/>
      <c r="P147"/>
      <c r="Q147"/>
    </row>
    <row r="148" spans="2:20" s="9" customFormat="1" x14ac:dyDescent="0.2">
      <c r="B148" s="120"/>
      <c r="C148" s="120"/>
      <c r="D148" s="71"/>
      <c r="I148"/>
      <c r="J148" s="2"/>
      <c r="K148" s="5"/>
      <c r="L148" s="5"/>
      <c r="M148" s="5"/>
      <c r="N148" s="5"/>
      <c r="O148"/>
      <c r="P148"/>
      <c r="Q148"/>
    </row>
    <row r="149" spans="2:20" s="9" customFormat="1" ht="25.5" x14ac:dyDescent="0.2">
      <c r="B149" s="120" t="s">
        <v>547</v>
      </c>
      <c r="C149" s="120"/>
      <c r="D149" s="73" t="s">
        <v>577</v>
      </c>
      <c r="I149"/>
      <c r="J149" s="2"/>
      <c r="K149" s="5"/>
      <c r="L149" s="5"/>
      <c r="M149" s="5"/>
      <c r="N149" s="5"/>
      <c r="O149"/>
      <c r="P149"/>
      <c r="Q149"/>
    </row>
    <row r="150" spans="2:20" s="9" customFormat="1" x14ac:dyDescent="0.2">
      <c r="B150" s="121" t="s">
        <v>548</v>
      </c>
      <c r="C150" s="123"/>
      <c r="D150" s="122"/>
      <c r="I150"/>
      <c r="J150" s="2"/>
      <c r="K150" s="5"/>
      <c r="L150" s="5"/>
      <c r="M150" s="5"/>
      <c r="N150" s="5"/>
      <c r="O150"/>
      <c r="P150"/>
      <c r="Q150"/>
      <c r="R150"/>
      <c r="S150"/>
      <c r="T150"/>
    </row>
    <row r="151" spans="2:20" x14ac:dyDescent="0.2">
      <c r="I151" s="5"/>
    </row>
    <row r="153" spans="2:20" x14ac:dyDescent="0.2">
      <c r="I153" s="5"/>
    </row>
    <row r="157" spans="2:20" ht="15" x14ac:dyDescent="0.25">
      <c r="I157" s="83"/>
    </row>
    <row r="160" spans="2:20" x14ac:dyDescent="0.2">
      <c r="I160" s="5"/>
    </row>
    <row r="161" spans="9:9" x14ac:dyDescent="0.2">
      <c r="I161" s="5"/>
    </row>
    <row r="162" spans="9:9" x14ac:dyDescent="0.2">
      <c r="I162" s="5"/>
    </row>
    <row r="163" spans="9:9" x14ac:dyDescent="0.2">
      <c r="I163" s="5"/>
    </row>
    <row r="164" spans="9:9" x14ac:dyDescent="0.2">
      <c r="I164" s="5"/>
    </row>
  </sheetData>
  <mergeCells count="26">
    <mergeCell ref="B146:C146"/>
    <mergeCell ref="B147:C147"/>
    <mergeCell ref="B148:C148"/>
    <mergeCell ref="B149:C149"/>
    <mergeCell ref="B150:D150"/>
    <mergeCell ref="B141:C141"/>
    <mergeCell ref="B142:C142"/>
    <mergeCell ref="B143:C143"/>
    <mergeCell ref="B144:C144"/>
    <mergeCell ref="B145:C145"/>
    <mergeCell ref="B130:C130"/>
    <mergeCell ref="B140:D140"/>
    <mergeCell ref="B132:C132"/>
    <mergeCell ref="B133:C133"/>
    <mergeCell ref="B113:C113"/>
    <mergeCell ref="B114:C114"/>
    <mergeCell ref="B125:C125"/>
    <mergeCell ref="B131:C131"/>
    <mergeCell ref="A1:H1"/>
    <mergeCell ref="A2:H2"/>
    <mergeCell ref="A3:H3"/>
    <mergeCell ref="B111:D111"/>
    <mergeCell ref="B112:C112"/>
    <mergeCell ref="B107:H107"/>
    <mergeCell ref="B108:H108"/>
    <mergeCell ref="B109:H109"/>
  </mergeCells>
  <hyperlinks>
    <hyperlink ref="I1" location="Index!B5" display="Index" xr:uid="{BAB24F73-3F2E-4AE8-8026-5338268B2A0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4102-D7E7-4000-B174-5222F4648314}">
  <sheetPr>
    <outlinePr summaryBelow="0" summaryRight="0"/>
  </sheetPr>
  <dimension ref="A1:R200"/>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5.42578125" bestFit="1" customWidth="1"/>
    <col min="9" max="9" width="8.42578125"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240</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526</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row>
    <row r="15" spans="1:11" x14ac:dyDescent="0.2">
      <c r="A15" s="26"/>
      <c r="B15" s="26"/>
      <c r="C15" s="27" t="s">
        <v>16</v>
      </c>
      <c r="D15" s="26"/>
      <c r="E15" s="26"/>
      <c r="F15" s="26"/>
      <c r="G15" s="26"/>
      <c r="H15" s="28" t="s">
        <v>12</v>
      </c>
      <c r="J15" s="2" t="s">
        <v>606</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x14ac:dyDescent="0.2">
      <c r="A27" s="26"/>
      <c r="B27" s="26"/>
      <c r="C27" s="27" t="s">
        <v>10</v>
      </c>
      <c r="D27" s="26"/>
      <c r="E27" s="26"/>
      <c r="F27" s="32"/>
      <c r="G27" s="32"/>
      <c r="H27" s="28" t="s">
        <v>12</v>
      </c>
    </row>
    <row r="28" spans="1:10" x14ac:dyDescent="0.2">
      <c r="A28" s="26"/>
      <c r="B28" s="26"/>
      <c r="C28" s="27" t="s">
        <v>11</v>
      </c>
      <c r="D28" s="26"/>
      <c r="E28" s="26" t="s">
        <v>12</v>
      </c>
      <c r="F28" s="29" t="s">
        <v>13</v>
      </c>
      <c r="G28" s="30">
        <v>0</v>
      </c>
      <c r="H28" s="28" t="s">
        <v>12</v>
      </c>
      <c r="J28" s="7" t="s">
        <v>607</v>
      </c>
    </row>
    <row r="29" spans="1:10" x14ac:dyDescent="0.2">
      <c r="A29" s="26"/>
      <c r="B29" s="26"/>
      <c r="C29" s="31"/>
      <c r="D29" s="26"/>
      <c r="E29" s="26"/>
      <c r="F29" s="32"/>
      <c r="G29" s="32"/>
      <c r="H29" s="28" t="s">
        <v>12</v>
      </c>
    </row>
    <row r="30" spans="1:10" x14ac:dyDescent="0.2">
      <c r="A30" s="26"/>
      <c r="B30" s="26"/>
      <c r="C30" s="27" t="s">
        <v>67</v>
      </c>
      <c r="D30" s="26"/>
      <c r="E30" s="26"/>
      <c r="F30" s="26"/>
      <c r="G30" s="26"/>
      <c r="H30" s="28" t="s">
        <v>12</v>
      </c>
    </row>
    <row r="31" spans="1:10" x14ac:dyDescent="0.2">
      <c r="A31" s="26"/>
      <c r="B31" s="26"/>
      <c r="C31" s="27" t="s">
        <v>11</v>
      </c>
      <c r="D31" s="26"/>
      <c r="E31" s="26" t="s">
        <v>12</v>
      </c>
      <c r="F31" s="29" t="s">
        <v>13</v>
      </c>
      <c r="G31" s="30">
        <v>0</v>
      </c>
      <c r="H31" s="28" t="s">
        <v>12</v>
      </c>
    </row>
    <row r="32" spans="1:10" x14ac:dyDescent="0.2">
      <c r="A32" s="26"/>
      <c r="B32" s="26"/>
      <c r="C32" s="31"/>
      <c r="D32" s="26"/>
      <c r="E32" s="26"/>
      <c r="F32" s="32"/>
      <c r="G32" s="32"/>
      <c r="H32" s="28" t="s">
        <v>12</v>
      </c>
    </row>
    <row r="33" spans="1:8" x14ac:dyDescent="0.2">
      <c r="A33" s="26"/>
      <c r="B33" s="26"/>
      <c r="C33" s="27" t="s">
        <v>68</v>
      </c>
      <c r="D33" s="26"/>
      <c r="E33" s="26"/>
      <c r="F33" s="26"/>
      <c r="G33" s="26"/>
      <c r="H33" s="28" t="s">
        <v>12</v>
      </c>
    </row>
    <row r="34" spans="1:8" x14ac:dyDescent="0.2">
      <c r="A34" s="26"/>
      <c r="B34" s="26"/>
      <c r="C34" s="27" t="s">
        <v>11</v>
      </c>
      <c r="D34" s="26"/>
      <c r="E34" s="26" t="s">
        <v>12</v>
      </c>
      <c r="F34" s="29" t="s">
        <v>13</v>
      </c>
      <c r="G34" s="30">
        <v>0</v>
      </c>
      <c r="H34" s="28" t="s">
        <v>12</v>
      </c>
    </row>
    <row r="35" spans="1:8" x14ac:dyDescent="0.2">
      <c r="A35" s="26"/>
      <c r="B35" s="26"/>
      <c r="C35" s="31"/>
      <c r="D35" s="26"/>
      <c r="E35" s="26"/>
      <c r="F35" s="32"/>
      <c r="G35" s="32"/>
      <c r="H35" s="28" t="s">
        <v>12</v>
      </c>
    </row>
    <row r="36" spans="1:8" x14ac:dyDescent="0.2">
      <c r="A36" s="26"/>
      <c r="B36" s="26"/>
      <c r="C36" s="27" t="s">
        <v>82</v>
      </c>
      <c r="D36" s="26"/>
      <c r="E36" s="26"/>
      <c r="F36" s="32"/>
      <c r="G36" s="32"/>
      <c r="H36" s="28" t="s">
        <v>12</v>
      </c>
    </row>
    <row r="37" spans="1:8" x14ac:dyDescent="0.2">
      <c r="A37" s="26"/>
      <c r="B37" s="26"/>
      <c r="C37" s="27" t="s">
        <v>11</v>
      </c>
      <c r="D37" s="26"/>
      <c r="E37" s="26" t="s">
        <v>12</v>
      </c>
      <c r="F37" s="29" t="s">
        <v>13</v>
      </c>
      <c r="G37" s="30">
        <v>0</v>
      </c>
      <c r="H37" s="28" t="s">
        <v>12</v>
      </c>
    </row>
    <row r="38" spans="1:8" x14ac:dyDescent="0.2">
      <c r="A38" s="26"/>
      <c r="B38" s="26"/>
      <c r="C38" s="31"/>
      <c r="D38" s="26"/>
      <c r="E38" s="26"/>
      <c r="F38" s="32"/>
      <c r="G38" s="32"/>
      <c r="H38" s="28" t="s">
        <v>12</v>
      </c>
    </row>
    <row r="39" spans="1:8" x14ac:dyDescent="0.2">
      <c r="A39" s="26"/>
      <c r="B39" s="26"/>
      <c r="C39" s="27" t="s">
        <v>83</v>
      </c>
      <c r="D39" s="26"/>
      <c r="E39" s="26"/>
      <c r="F39" s="33">
        <v>0</v>
      </c>
      <c r="G39" s="30">
        <v>0</v>
      </c>
      <c r="H39" s="28" t="s">
        <v>12</v>
      </c>
    </row>
    <row r="40" spans="1:8" x14ac:dyDescent="0.2">
      <c r="A40" s="26"/>
      <c r="B40" s="26"/>
      <c r="C40" s="31"/>
      <c r="D40" s="26"/>
      <c r="E40" s="26"/>
      <c r="F40" s="32"/>
      <c r="G40" s="32"/>
      <c r="H40" s="28" t="s">
        <v>12</v>
      </c>
    </row>
    <row r="41" spans="1:8" x14ac:dyDescent="0.2">
      <c r="A41" s="26"/>
      <c r="B41" s="26"/>
      <c r="C41" s="27" t="s">
        <v>84</v>
      </c>
      <c r="D41" s="26"/>
      <c r="E41" s="26"/>
      <c r="F41" s="32"/>
      <c r="G41" s="32"/>
      <c r="H41" s="28" t="s">
        <v>12</v>
      </c>
    </row>
    <row r="42" spans="1:8" x14ac:dyDescent="0.2">
      <c r="A42" s="26"/>
      <c r="B42" s="26"/>
      <c r="C42" s="27" t="s">
        <v>85</v>
      </c>
      <c r="D42" s="26"/>
      <c r="E42" s="26"/>
      <c r="F42" s="32"/>
      <c r="G42" s="32"/>
      <c r="H42" s="28" t="s">
        <v>12</v>
      </c>
    </row>
    <row r="43" spans="1:8" x14ac:dyDescent="0.2">
      <c r="A43" s="34">
        <v>1</v>
      </c>
      <c r="B43" s="35" t="s">
        <v>241</v>
      </c>
      <c r="C43" s="35" t="s">
        <v>242</v>
      </c>
      <c r="D43" s="35" t="s">
        <v>144</v>
      </c>
      <c r="E43" s="36">
        <v>3000</v>
      </c>
      <c r="F43" s="37">
        <v>14743.47</v>
      </c>
      <c r="G43" s="38">
        <v>2.67044E-2</v>
      </c>
      <c r="H43" s="28">
        <v>7.3</v>
      </c>
    </row>
    <row r="44" spans="1:8" x14ac:dyDescent="0.2">
      <c r="A44" s="34">
        <v>2</v>
      </c>
      <c r="B44" s="35" t="s">
        <v>243</v>
      </c>
      <c r="C44" s="35" t="s">
        <v>244</v>
      </c>
      <c r="D44" s="35" t="s">
        <v>144</v>
      </c>
      <c r="E44" s="36">
        <v>2500</v>
      </c>
      <c r="F44" s="37">
        <v>12356.6625</v>
      </c>
      <c r="G44" s="38">
        <v>2.2381249999999998E-2</v>
      </c>
      <c r="H44" s="28">
        <v>7.3</v>
      </c>
    </row>
    <row r="45" spans="1:8" x14ac:dyDescent="0.2">
      <c r="A45" s="34">
        <v>3</v>
      </c>
      <c r="B45" s="35" t="s">
        <v>245</v>
      </c>
      <c r="C45" s="35" t="s">
        <v>246</v>
      </c>
      <c r="D45" s="35" t="s">
        <v>144</v>
      </c>
      <c r="E45" s="36">
        <v>2000</v>
      </c>
      <c r="F45" s="37">
        <v>9994.32</v>
      </c>
      <c r="G45" s="38">
        <v>1.8102409999999999E-2</v>
      </c>
      <c r="H45" s="28">
        <v>6.9141000000000004</v>
      </c>
    </row>
    <row r="46" spans="1:8" x14ac:dyDescent="0.2">
      <c r="A46" s="34">
        <v>4</v>
      </c>
      <c r="B46" s="35" t="s">
        <v>247</v>
      </c>
      <c r="C46" s="35" t="s">
        <v>248</v>
      </c>
      <c r="D46" s="35" t="s">
        <v>144</v>
      </c>
      <c r="E46" s="36">
        <v>2000</v>
      </c>
      <c r="F46" s="37">
        <v>9922.19</v>
      </c>
      <c r="G46" s="38">
        <v>1.797176E-2</v>
      </c>
      <c r="H46" s="28">
        <v>7.3396999999999997</v>
      </c>
    </row>
    <row r="47" spans="1:8" x14ac:dyDescent="0.2">
      <c r="A47" s="34">
        <v>5</v>
      </c>
      <c r="B47" s="35" t="s">
        <v>249</v>
      </c>
      <c r="C47" s="35" t="s">
        <v>250</v>
      </c>
      <c r="D47" s="35" t="s">
        <v>144</v>
      </c>
      <c r="E47" s="36">
        <v>2000</v>
      </c>
      <c r="F47" s="37">
        <v>9869.7199999999993</v>
      </c>
      <c r="G47" s="38">
        <v>1.7876719999999999E-2</v>
      </c>
      <c r="H47" s="28">
        <v>7.3</v>
      </c>
    </row>
    <row r="48" spans="1:8" x14ac:dyDescent="0.2">
      <c r="A48" s="34">
        <v>6</v>
      </c>
      <c r="B48" s="35" t="s">
        <v>251</v>
      </c>
      <c r="C48" s="35" t="s">
        <v>252</v>
      </c>
      <c r="D48" s="35" t="s">
        <v>144</v>
      </c>
      <c r="E48" s="36">
        <v>2000</v>
      </c>
      <c r="F48" s="37">
        <v>9869.3700000000008</v>
      </c>
      <c r="G48" s="38">
        <v>1.7876090000000001E-2</v>
      </c>
      <c r="H48" s="28">
        <v>7.32</v>
      </c>
    </row>
    <row r="49" spans="1:8" x14ac:dyDescent="0.2">
      <c r="A49" s="34">
        <v>7</v>
      </c>
      <c r="B49" s="35" t="s">
        <v>253</v>
      </c>
      <c r="C49" s="35" t="s">
        <v>254</v>
      </c>
      <c r="D49" s="35" t="s">
        <v>147</v>
      </c>
      <c r="E49" s="36">
        <v>2000</v>
      </c>
      <c r="F49" s="37">
        <v>9839.51</v>
      </c>
      <c r="G49" s="38">
        <v>1.7822000000000001E-2</v>
      </c>
      <c r="H49" s="28">
        <v>7.35</v>
      </c>
    </row>
    <row r="50" spans="1:8" x14ac:dyDescent="0.2">
      <c r="A50" s="34">
        <v>8</v>
      </c>
      <c r="B50" s="35" t="s">
        <v>255</v>
      </c>
      <c r="C50" s="35" t="s">
        <v>256</v>
      </c>
      <c r="D50" s="35" t="s">
        <v>144</v>
      </c>
      <c r="E50" s="36">
        <v>2000</v>
      </c>
      <c r="F50" s="37">
        <v>9834.81</v>
      </c>
      <c r="G50" s="38">
        <v>1.7813490000000001E-2</v>
      </c>
      <c r="H50" s="28">
        <v>7.2986000000000004</v>
      </c>
    </row>
    <row r="51" spans="1:8" x14ac:dyDescent="0.2">
      <c r="A51" s="34">
        <v>9</v>
      </c>
      <c r="B51" s="35" t="s">
        <v>257</v>
      </c>
      <c r="C51" s="35" t="s">
        <v>258</v>
      </c>
      <c r="D51" s="35" t="s">
        <v>162</v>
      </c>
      <c r="E51" s="36">
        <v>2000</v>
      </c>
      <c r="F51" s="37">
        <v>9831.0300000000007</v>
      </c>
      <c r="G51" s="38">
        <v>1.780665E-2</v>
      </c>
      <c r="H51" s="28">
        <v>7.2949999999999999</v>
      </c>
    </row>
    <row r="52" spans="1:8" ht="25.5" x14ac:dyDescent="0.2">
      <c r="A52" s="34">
        <v>10</v>
      </c>
      <c r="B52" s="35" t="s">
        <v>225</v>
      </c>
      <c r="C52" s="35" t="s">
        <v>226</v>
      </c>
      <c r="D52" s="35" t="s">
        <v>144</v>
      </c>
      <c r="E52" s="36">
        <v>2000</v>
      </c>
      <c r="F52" s="37">
        <v>9830.69</v>
      </c>
      <c r="G52" s="38">
        <v>1.780603E-2</v>
      </c>
      <c r="H52" s="28">
        <v>7.3098000000000001</v>
      </c>
    </row>
    <row r="53" spans="1:8" x14ac:dyDescent="0.2">
      <c r="A53" s="34">
        <v>11</v>
      </c>
      <c r="B53" s="35" t="s">
        <v>259</v>
      </c>
      <c r="C53" s="35" t="s">
        <v>260</v>
      </c>
      <c r="D53" s="35" t="s">
        <v>162</v>
      </c>
      <c r="E53" s="36">
        <v>1500</v>
      </c>
      <c r="F53" s="37">
        <v>7487.2049999999999</v>
      </c>
      <c r="G53" s="38">
        <v>1.356135E-2</v>
      </c>
      <c r="H53" s="28">
        <v>6.93</v>
      </c>
    </row>
    <row r="54" spans="1:8" x14ac:dyDescent="0.2">
      <c r="A54" s="34">
        <v>12</v>
      </c>
      <c r="B54" s="35" t="s">
        <v>261</v>
      </c>
      <c r="C54" s="35" t="s">
        <v>262</v>
      </c>
      <c r="D54" s="35" t="s">
        <v>144</v>
      </c>
      <c r="E54" s="36">
        <v>1500</v>
      </c>
      <c r="F54" s="37">
        <v>7443.93</v>
      </c>
      <c r="G54" s="38">
        <v>1.348296E-2</v>
      </c>
      <c r="H54" s="28">
        <v>7.2348999999999997</v>
      </c>
    </row>
    <row r="55" spans="1:8" x14ac:dyDescent="0.2">
      <c r="A55" s="34">
        <v>13</v>
      </c>
      <c r="B55" s="35" t="s">
        <v>263</v>
      </c>
      <c r="C55" s="35" t="s">
        <v>264</v>
      </c>
      <c r="D55" s="35" t="s">
        <v>144</v>
      </c>
      <c r="E55" s="36">
        <v>1500</v>
      </c>
      <c r="F55" s="37">
        <v>7442.3474999999999</v>
      </c>
      <c r="G55" s="38">
        <v>1.34801E-2</v>
      </c>
      <c r="H55" s="28">
        <v>7.2504</v>
      </c>
    </row>
    <row r="56" spans="1:8" x14ac:dyDescent="0.2">
      <c r="A56" s="34">
        <v>14</v>
      </c>
      <c r="B56" s="35" t="s">
        <v>265</v>
      </c>
      <c r="C56" s="35" t="s">
        <v>266</v>
      </c>
      <c r="D56" s="35" t="s">
        <v>147</v>
      </c>
      <c r="E56" s="36">
        <v>1500</v>
      </c>
      <c r="F56" s="37">
        <v>7413.8325000000004</v>
      </c>
      <c r="G56" s="38">
        <v>1.342845E-2</v>
      </c>
      <c r="H56" s="28">
        <v>7.3144</v>
      </c>
    </row>
    <row r="57" spans="1:8" x14ac:dyDescent="0.2">
      <c r="A57" s="34">
        <v>15</v>
      </c>
      <c r="B57" s="35" t="s">
        <v>267</v>
      </c>
      <c r="C57" s="35" t="s">
        <v>268</v>
      </c>
      <c r="D57" s="35" t="s">
        <v>144</v>
      </c>
      <c r="E57" s="36">
        <v>1500</v>
      </c>
      <c r="F57" s="37">
        <v>7374.9975000000004</v>
      </c>
      <c r="G57" s="38">
        <v>1.3358109999999999E-2</v>
      </c>
      <c r="H57" s="28">
        <v>7.3650000000000002</v>
      </c>
    </row>
    <row r="58" spans="1:8" x14ac:dyDescent="0.2">
      <c r="A58" s="34">
        <v>16</v>
      </c>
      <c r="B58" s="35" t="s">
        <v>269</v>
      </c>
      <c r="C58" s="35" t="s">
        <v>270</v>
      </c>
      <c r="D58" s="35" t="s">
        <v>147</v>
      </c>
      <c r="E58" s="36">
        <v>1500</v>
      </c>
      <c r="F58" s="37">
        <v>7372.3275000000003</v>
      </c>
      <c r="G58" s="38">
        <v>1.335327E-2</v>
      </c>
      <c r="H58" s="28">
        <v>7.35</v>
      </c>
    </row>
    <row r="59" spans="1:8" x14ac:dyDescent="0.2">
      <c r="A59" s="34">
        <v>17</v>
      </c>
      <c r="B59" s="35" t="s">
        <v>271</v>
      </c>
      <c r="C59" s="35" t="s">
        <v>272</v>
      </c>
      <c r="D59" s="35" t="s">
        <v>144</v>
      </c>
      <c r="E59" s="36">
        <v>1500</v>
      </c>
      <c r="F59" s="37">
        <v>7371.7574999999997</v>
      </c>
      <c r="G59" s="38">
        <v>1.335224E-2</v>
      </c>
      <c r="H59" s="28">
        <v>7.2986000000000004</v>
      </c>
    </row>
    <row r="60" spans="1:8" x14ac:dyDescent="0.2">
      <c r="A60" s="34">
        <v>18</v>
      </c>
      <c r="B60" s="35" t="s">
        <v>273</v>
      </c>
      <c r="C60" s="35" t="s">
        <v>274</v>
      </c>
      <c r="D60" s="35" t="s">
        <v>147</v>
      </c>
      <c r="E60" s="36">
        <v>1000</v>
      </c>
      <c r="F60" s="37">
        <v>4993.4449999999997</v>
      </c>
      <c r="G60" s="38">
        <v>9.0444800000000006E-3</v>
      </c>
      <c r="H60" s="28">
        <v>6.8449999999999998</v>
      </c>
    </row>
    <row r="61" spans="1:8" x14ac:dyDescent="0.2">
      <c r="A61" s="34">
        <v>19</v>
      </c>
      <c r="B61" s="35" t="s">
        <v>275</v>
      </c>
      <c r="C61" s="35" t="s">
        <v>276</v>
      </c>
      <c r="D61" s="35" t="s">
        <v>144</v>
      </c>
      <c r="E61" s="36">
        <v>1000</v>
      </c>
      <c r="F61" s="37">
        <v>4990.58</v>
      </c>
      <c r="G61" s="38">
        <v>9.0392900000000002E-3</v>
      </c>
      <c r="H61" s="28">
        <v>6.89</v>
      </c>
    </row>
    <row r="62" spans="1:8" x14ac:dyDescent="0.2">
      <c r="A62" s="34">
        <v>20</v>
      </c>
      <c r="B62" s="35" t="s">
        <v>277</v>
      </c>
      <c r="C62" s="35" t="s">
        <v>278</v>
      </c>
      <c r="D62" s="35" t="s">
        <v>144</v>
      </c>
      <c r="E62" s="36">
        <v>1000</v>
      </c>
      <c r="F62" s="37">
        <v>4989.63</v>
      </c>
      <c r="G62" s="38">
        <v>9.03757E-3</v>
      </c>
      <c r="H62" s="28">
        <v>6.8949999999999996</v>
      </c>
    </row>
    <row r="63" spans="1:8" x14ac:dyDescent="0.2">
      <c r="A63" s="34">
        <v>21</v>
      </c>
      <c r="B63" s="35" t="s">
        <v>279</v>
      </c>
      <c r="C63" s="35" t="s">
        <v>280</v>
      </c>
      <c r="D63" s="35" t="s">
        <v>147</v>
      </c>
      <c r="E63" s="36">
        <v>1000</v>
      </c>
      <c r="F63" s="37">
        <v>4965.3649999999998</v>
      </c>
      <c r="G63" s="38">
        <v>8.9936100000000008E-3</v>
      </c>
      <c r="H63" s="28">
        <v>7.2744</v>
      </c>
    </row>
    <row r="64" spans="1:8" x14ac:dyDescent="0.2">
      <c r="A64" s="34">
        <v>22</v>
      </c>
      <c r="B64" s="35" t="s">
        <v>281</v>
      </c>
      <c r="C64" s="35" t="s">
        <v>282</v>
      </c>
      <c r="D64" s="35" t="s">
        <v>144</v>
      </c>
      <c r="E64" s="36">
        <v>1000</v>
      </c>
      <c r="F64" s="37">
        <v>4951.51</v>
      </c>
      <c r="G64" s="38">
        <v>8.9685200000000007E-3</v>
      </c>
      <c r="H64" s="28">
        <v>7.2949999999999999</v>
      </c>
    </row>
    <row r="65" spans="1:8" x14ac:dyDescent="0.2">
      <c r="A65" s="34">
        <v>23</v>
      </c>
      <c r="B65" s="35" t="s">
        <v>283</v>
      </c>
      <c r="C65" s="35" t="s">
        <v>284</v>
      </c>
      <c r="D65" s="35" t="s">
        <v>144</v>
      </c>
      <c r="E65" s="36">
        <v>1000</v>
      </c>
      <c r="F65" s="37">
        <v>4930.5</v>
      </c>
      <c r="G65" s="38">
        <v>8.9304599999999994E-3</v>
      </c>
      <c r="H65" s="28">
        <v>7.35</v>
      </c>
    </row>
    <row r="66" spans="1:8" x14ac:dyDescent="0.2">
      <c r="A66" s="34">
        <v>24</v>
      </c>
      <c r="B66" s="35" t="s">
        <v>285</v>
      </c>
      <c r="C66" s="35" t="s">
        <v>286</v>
      </c>
      <c r="D66" s="35" t="s">
        <v>147</v>
      </c>
      <c r="E66" s="36">
        <v>1000</v>
      </c>
      <c r="F66" s="37">
        <v>4929.5200000000004</v>
      </c>
      <c r="G66" s="38">
        <v>8.9286899999999995E-3</v>
      </c>
      <c r="H66" s="28">
        <v>7.35</v>
      </c>
    </row>
    <row r="67" spans="1:8" x14ac:dyDescent="0.2">
      <c r="A67" s="34">
        <v>25</v>
      </c>
      <c r="B67" s="35" t="s">
        <v>287</v>
      </c>
      <c r="C67" s="35" t="s">
        <v>288</v>
      </c>
      <c r="D67" s="35" t="s">
        <v>144</v>
      </c>
      <c r="E67" s="36">
        <v>1000</v>
      </c>
      <c r="F67" s="37">
        <v>4920.9949999999999</v>
      </c>
      <c r="G67" s="38">
        <v>8.9132499999999993E-3</v>
      </c>
      <c r="H67" s="28">
        <v>7.3250000000000002</v>
      </c>
    </row>
    <row r="68" spans="1:8" x14ac:dyDescent="0.2">
      <c r="A68" s="34">
        <v>26</v>
      </c>
      <c r="B68" s="35" t="s">
        <v>289</v>
      </c>
      <c r="C68" s="35" t="s">
        <v>290</v>
      </c>
      <c r="D68" s="35" t="s">
        <v>144</v>
      </c>
      <c r="E68" s="36">
        <v>1000</v>
      </c>
      <c r="F68" s="37">
        <v>4914.085</v>
      </c>
      <c r="G68" s="38">
        <v>8.9007300000000008E-3</v>
      </c>
      <c r="H68" s="28">
        <v>7.335</v>
      </c>
    </row>
    <row r="69" spans="1:8" x14ac:dyDescent="0.2">
      <c r="A69" s="34">
        <v>27</v>
      </c>
      <c r="B69" s="35" t="s">
        <v>291</v>
      </c>
      <c r="C69" s="35" t="s">
        <v>292</v>
      </c>
      <c r="D69" s="35" t="s">
        <v>162</v>
      </c>
      <c r="E69" s="36">
        <v>500</v>
      </c>
      <c r="F69" s="37">
        <v>2500</v>
      </c>
      <c r="G69" s="38">
        <v>4.5281699999999998E-3</v>
      </c>
      <c r="H69" s="28">
        <v>6.6383000000000001</v>
      </c>
    </row>
    <row r="70" spans="1:8" x14ac:dyDescent="0.2">
      <c r="A70" s="26"/>
      <c r="B70" s="26"/>
      <c r="C70" s="27" t="s">
        <v>11</v>
      </c>
      <c r="D70" s="26"/>
      <c r="E70" s="26" t="s">
        <v>12</v>
      </c>
      <c r="F70" s="33">
        <v>205083.8</v>
      </c>
      <c r="G70" s="30">
        <v>0.37146204999999999</v>
      </c>
      <c r="H70" s="28" t="s">
        <v>12</v>
      </c>
    </row>
    <row r="71" spans="1:8" x14ac:dyDescent="0.2">
      <c r="A71" s="26"/>
      <c r="B71" s="26"/>
      <c r="C71" s="31"/>
      <c r="D71" s="26"/>
      <c r="E71" s="26"/>
      <c r="F71" s="32"/>
      <c r="G71" s="32"/>
      <c r="H71" s="28" t="s">
        <v>12</v>
      </c>
    </row>
    <row r="72" spans="1:8" x14ac:dyDescent="0.2">
      <c r="A72" s="26"/>
      <c r="B72" s="26"/>
      <c r="C72" s="27" t="s">
        <v>86</v>
      </c>
      <c r="D72" s="26"/>
      <c r="E72" s="26"/>
      <c r="F72" s="32"/>
      <c r="G72" s="32"/>
      <c r="H72" s="28" t="s">
        <v>12</v>
      </c>
    </row>
    <row r="73" spans="1:8" x14ac:dyDescent="0.2">
      <c r="A73" s="34">
        <v>1</v>
      </c>
      <c r="B73" s="35" t="s">
        <v>293</v>
      </c>
      <c r="C73" s="35" t="s">
        <v>294</v>
      </c>
      <c r="D73" s="35" t="s">
        <v>144</v>
      </c>
      <c r="E73" s="36">
        <v>3000</v>
      </c>
      <c r="F73" s="37">
        <v>14842.035</v>
      </c>
      <c r="G73" s="38">
        <v>2.6882929999999999E-2</v>
      </c>
      <c r="H73" s="28">
        <v>7.33</v>
      </c>
    </row>
    <row r="74" spans="1:8" ht="25.5" x14ac:dyDescent="0.2">
      <c r="A74" s="34">
        <v>2</v>
      </c>
      <c r="B74" s="35" t="s">
        <v>295</v>
      </c>
      <c r="C74" s="35" t="s">
        <v>296</v>
      </c>
      <c r="D74" s="35" t="s">
        <v>144</v>
      </c>
      <c r="E74" s="36">
        <v>2500</v>
      </c>
      <c r="F74" s="37">
        <v>12283.375</v>
      </c>
      <c r="G74" s="38">
        <v>2.2248500000000001E-2</v>
      </c>
      <c r="H74" s="28">
        <v>7.3151000000000002</v>
      </c>
    </row>
    <row r="75" spans="1:8" x14ac:dyDescent="0.2">
      <c r="A75" s="34">
        <v>3</v>
      </c>
      <c r="B75" s="35" t="s">
        <v>297</v>
      </c>
      <c r="C75" s="35" t="s">
        <v>298</v>
      </c>
      <c r="D75" s="35" t="s">
        <v>144</v>
      </c>
      <c r="E75" s="36">
        <v>2000</v>
      </c>
      <c r="F75" s="37">
        <v>9995.81</v>
      </c>
      <c r="G75" s="38">
        <v>1.8105110000000001E-2</v>
      </c>
      <c r="H75" s="28">
        <v>7.65</v>
      </c>
    </row>
    <row r="76" spans="1:8" x14ac:dyDescent="0.2">
      <c r="A76" s="34">
        <v>4</v>
      </c>
      <c r="B76" s="35" t="s">
        <v>299</v>
      </c>
      <c r="C76" s="35" t="s">
        <v>300</v>
      </c>
      <c r="D76" s="35" t="s">
        <v>144</v>
      </c>
      <c r="E76" s="36">
        <v>2000</v>
      </c>
      <c r="F76" s="37">
        <v>9921.86</v>
      </c>
      <c r="G76" s="38">
        <v>1.797116E-2</v>
      </c>
      <c r="H76" s="28">
        <v>7.5650000000000004</v>
      </c>
    </row>
    <row r="77" spans="1:8" x14ac:dyDescent="0.2">
      <c r="A77" s="34">
        <v>5</v>
      </c>
      <c r="B77" s="35" t="s">
        <v>301</v>
      </c>
      <c r="C77" s="35" t="s">
        <v>302</v>
      </c>
      <c r="D77" s="35" t="s">
        <v>144</v>
      </c>
      <c r="E77" s="36">
        <v>2000</v>
      </c>
      <c r="F77" s="37">
        <v>9865.6299999999992</v>
      </c>
      <c r="G77" s="38">
        <v>1.7869320000000001E-2</v>
      </c>
      <c r="H77" s="28">
        <v>7.42</v>
      </c>
    </row>
    <row r="78" spans="1:8" x14ac:dyDescent="0.2">
      <c r="A78" s="34">
        <v>6</v>
      </c>
      <c r="B78" s="35" t="s">
        <v>303</v>
      </c>
      <c r="C78" s="35" t="s">
        <v>304</v>
      </c>
      <c r="D78" s="35" t="s">
        <v>162</v>
      </c>
      <c r="E78" s="36">
        <v>2000</v>
      </c>
      <c r="F78" s="37">
        <v>9832.44</v>
      </c>
      <c r="G78" s="38">
        <v>1.7809200000000001E-2</v>
      </c>
      <c r="H78" s="28">
        <v>7.4050000000000002</v>
      </c>
    </row>
    <row r="79" spans="1:8" ht="25.5" x14ac:dyDescent="0.2">
      <c r="A79" s="34">
        <v>7</v>
      </c>
      <c r="B79" s="35" t="s">
        <v>305</v>
      </c>
      <c r="C79" s="35" t="s">
        <v>306</v>
      </c>
      <c r="D79" s="35" t="s">
        <v>144</v>
      </c>
      <c r="E79" s="36">
        <v>2000</v>
      </c>
      <c r="F79" s="37">
        <v>9826.56</v>
      </c>
      <c r="G79" s="38">
        <v>1.779855E-2</v>
      </c>
      <c r="H79" s="28">
        <v>7.4050000000000002</v>
      </c>
    </row>
    <row r="80" spans="1:8" x14ac:dyDescent="0.2">
      <c r="A80" s="34">
        <v>8</v>
      </c>
      <c r="B80" s="35" t="s">
        <v>307</v>
      </c>
      <c r="C80" s="35" t="s">
        <v>308</v>
      </c>
      <c r="D80" s="35" t="s">
        <v>147</v>
      </c>
      <c r="E80" s="36">
        <v>2000</v>
      </c>
      <c r="F80" s="37">
        <v>9816.33</v>
      </c>
      <c r="G80" s="38">
        <v>1.7780020000000001E-2</v>
      </c>
      <c r="H80" s="28">
        <v>7.85</v>
      </c>
    </row>
    <row r="81" spans="1:10" x14ac:dyDescent="0.2">
      <c r="A81" s="34">
        <v>9</v>
      </c>
      <c r="B81" s="35" t="s">
        <v>309</v>
      </c>
      <c r="C81" s="35" t="s">
        <v>310</v>
      </c>
      <c r="D81" s="35" t="s">
        <v>144</v>
      </c>
      <c r="E81" s="36">
        <v>2000</v>
      </c>
      <c r="F81" s="37">
        <v>9816.33</v>
      </c>
      <c r="G81" s="38">
        <v>1.7780020000000001E-2</v>
      </c>
      <c r="H81" s="28">
        <v>7.85</v>
      </c>
    </row>
    <row r="82" spans="1:10" ht="25.5" x14ac:dyDescent="0.2">
      <c r="A82" s="34">
        <v>10</v>
      </c>
      <c r="B82" s="35" t="s">
        <v>311</v>
      </c>
      <c r="C82" s="35" t="s">
        <v>312</v>
      </c>
      <c r="D82" s="35" t="s">
        <v>144</v>
      </c>
      <c r="E82" s="36">
        <v>2000</v>
      </c>
      <c r="F82" s="37">
        <v>9814.43</v>
      </c>
      <c r="G82" s="38">
        <v>1.777658E-2</v>
      </c>
      <c r="H82" s="28">
        <v>8.0250000000000004</v>
      </c>
    </row>
    <row r="83" spans="1:10" ht="25.5" x14ac:dyDescent="0.2">
      <c r="A83" s="34">
        <v>11</v>
      </c>
      <c r="B83" s="35" t="s">
        <v>313</v>
      </c>
      <c r="C83" s="35" t="s">
        <v>314</v>
      </c>
      <c r="D83" s="35" t="s">
        <v>144</v>
      </c>
      <c r="E83" s="36">
        <v>1500</v>
      </c>
      <c r="F83" s="37">
        <v>7494.3</v>
      </c>
      <c r="G83" s="38">
        <v>1.35742E-2</v>
      </c>
      <c r="H83" s="28">
        <v>6.9451000000000001</v>
      </c>
    </row>
    <row r="84" spans="1:10" ht="25.5" x14ac:dyDescent="0.2">
      <c r="A84" s="34">
        <v>12</v>
      </c>
      <c r="B84" s="35" t="s">
        <v>315</v>
      </c>
      <c r="C84" s="35" t="s">
        <v>316</v>
      </c>
      <c r="D84" s="35" t="s">
        <v>144</v>
      </c>
      <c r="E84" s="36">
        <v>1500</v>
      </c>
      <c r="F84" s="37">
        <v>7485.3975</v>
      </c>
      <c r="G84" s="38">
        <v>1.355807E-2</v>
      </c>
      <c r="H84" s="28">
        <v>7.1186999999999996</v>
      </c>
      <c r="J84" s="8"/>
    </row>
    <row r="85" spans="1:10" ht="25.5" x14ac:dyDescent="0.2">
      <c r="A85" s="34">
        <v>13</v>
      </c>
      <c r="B85" s="35" t="s">
        <v>317</v>
      </c>
      <c r="C85" s="35" t="s">
        <v>318</v>
      </c>
      <c r="D85" s="35" t="s">
        <v>144</v>
      </c>
      <c r="E85" s="36">
        <v>1500</v>
      </c>
      <c r="F85" s="37">
        <v>7478.0550000000003</v>
      </c>
      <c r="G85" s="38">
        <v>1.3544769999999999E-2</v>
      </c>
      <c r="H85" s="28">
        <v>7.65</v>
      </c>
      <c r="J85" s="8"/>
    </row>
    <row r="86" spans="1:10" ht="25.5" x14ac:dyDescent="0.2">
      <c r="A86" s="34">
        <v>14</v>
      </c>
      <c r="B86" s="35" t="s">
        <v>319</v>
      </c>
      <c r="C86" s="35" t="s">
        <v>320</v>
      </c>
      <c r="D86" s="35" t="s">
        <v>144</v>
      </c>
      <c r="E86" s="36">
        <v>1500</v>
      </c>
      <c r="F86" s="37">
        <v>7449.6075000000001</v>
      </c>
      <c r="G86" s="38">
        <v>1.349325E-2</v>
      </c>
      <c r="H86" s="28">
        <v>7.9649999999999999</v>
      </c>
      <c r="J86" s="8"/>
    </row>
    <row r="87" spans="1:10" x14ac:dyDescent="0.2">
      <c r="A87" s="34">
        <v>15</v>
      </c>
      <c r="B87" s="35" t="s">
        <v>321</v>
      </c>
      <c r="C87" s="35" t="s">
        <v>322</v>
      </c>
      <c r="D87" s="35" t="s">
        <v>144</v>
      </c>
      <c r="E87" s="36">
        <v>1500</v>
      </c>
      <c r="F87" s="37">
        <v>7412.2950000000001</v>
      </c>
      <c r="G87" s="38">
        <v>1.3425660000000001E-2</v>
      </c>
      <c r="H87" s="28">
        <v>7.32</v>
      </c>
      <c r="J87" s="8"/>
    </row>
    <row r="88" spans="1:10" ht="25.5" x14ac:dyDescent="0.2">
      <c r="A88" s="34">
        <v>16</v>
      </c>
      <c r="B88" s="35" t="s">
        <v>323</v>
      </c>
      <c r="C88" s="35" t="s">
        <v>324</v>
      </c>
      <c r="D88" s="35" t="s">
        <v>162</v>
      </c>
      <c r="E88" s="36">
        <v>1500</v>
      </c>
      <c r="F88" s="37">
        <v>7404.96</v>
      </c>
      <c r="G88" s="38">
        <v>1.341238E-2</v>
      </c>
      <c r="H88" s="28">
        <v>7.3201000000000001</v>
      </c>
      <c r="J88" s="8"/>
    </row>
    <row r="89" spans="1:10" x14ac:dyDescent="0.2">
      <c r="A89" s="34">
        <v>17</v>
      </c>
      <c r="B89" s="35" t="s">
        <v>325</v>
      </c>
      <c r="C89" s="35" t="s">
        <v>326</v>
      </c>
      <c r="D89" s="35" t="s">
        <v>144</v>
      </c>
      <c r="E89" s="36">
        <v>1500</v>
      </c>
      <c r="F89" s="37">
        <v>7391.64</v>
      </c>
      <c r="G89" s="38">
        <v>1.3388250000000001E-2</v>
      </c>
      <c r="H89" s="28">
        <v>7.33</v>
      </c>
      <c r="J89" s="8"/>
    </row>
    <row r="90" spans="1:10" ht="25.5" x14ac:dyDescent="0.2">
      <c r="A90" s="34">
        <v>18</v>
      </c>
      <c r="B90" s="35" t="s">
        <v>327</v>
      </c>
      <c r="C90" s="35" t="s">
        <v>328</v>
      </c>
      <c r="D90" s="35" t="s">
        <v>144</v>
      </c>
      <c r="E90" s="36">
        <v>1500</v>
      </c>
      <c r="F90" s="37">
        <v>7384.02</v>
      </c>
      <c r="G90" s="38">
        <v>1.337445E-2</v>
      </c>
      <c r="H90" s="28">
        <v>7.9625000000000004</v>
      </c>
      <c r="J90" s="8"/>
    </row>
    <row r="91" spans="1:10" x14ac:dyDescent="0.2">
      <c r="A91" s="34">
        <v>19</v>
      </c>
      <c r="B91" s="35" t="s">
        <v>329</v>
      </c>
      <c r="C91" s="35" t="s">
        <v>330</v>
      </c>
      <c r="D91" s="35" t="s">
        <v>144</v>
      </c>
      <c r="E91" s="36">
        <v>1500</v>
      </c>
      <c r="F91" s="37">
        <v>7377.5775000000003</v>
      </c>
      <c r="G91" s="38">
        <v>1.3362779999999999E-2</v>
      </c>
      <c r="H91" s="28">
        <v>7.7649999999999997</v>
      </c>
      <c r="J91" s="8"/>
    </row>
    <row r="92" spans="1:10" x14ac:dyDescent="0.2">
      <c r="A92" s="34">
        <v>20</v>
      </c>
      <c r="B92" s="35" t="s">
        <v>331</v>
      </c>
      <c r="C92" s="35" t="s">
        <v>332</v>
      </c>
      <c r="D92" s="35" t="s">
        <v>144</v>
      </c>
      <c r="E92" s="36">
        <v>1500</v>
      </c>
      <c r="F92" s="37">
        <v>7368.45</v>
      </c>
      <c r="G92" s="38">
        <v>1.334625E-2</v>
      </c>
      <c r="H92" s="28">
        <v>7.4050000000000002</v>
      </c>
      <c r="J92" s="8"/>
    </row>
    <row r="93" spans="1:10" x14ac:dyDescent="0.2">
      <c r="A93" s="34">
        <v>21</v>
      </c>
      <c r="B93" s="35" t="s">
        <v>333</v>
      </c>
      <c r="C93" s="35" t="s">
        <v>334</v>
      </c>
      <c r="D93" s="35" t="s">
        <v>144</v>
      </c>
      <c r="E93" s="36">
        <v>1000</v>
      </c>
      <c r="F93" s="37">
        <v>4996.22</v>
      </c>
      <c r="G93" s="38">
        <v>9.0495000000000003E-3</v>
      </c>
      <c r="H93" s="28">
        <v>6.9024000000000001</v>
      </c>
      <c r="J93" s="8"/>
    </row>
    <row r="94" spans="1:10" x14ac:dyDescent="0.2">
      <c r="A94" s="34">
        <v>22</v>
      </c>
      <c r="B94" s="35" t="s">
        <v>335</v>
      </c>
      <c r="C94" s="35" t="s">
        <v>336</v>
      </c>
      <c r="D94" s="35" t="s">
        <v>144</v>
      </c>
      <c r="E94" s="36">
        <v>1000</v>
      </c>
      <c r="F94" s="37">
        <v>4990.43</v>
      </c>
      <c r="G94" s="38">
        <v>9.0390100000000001E-3</v>
      </c>
      <c r="H94" s="28">
        <v>7.0004</v>
      </c>
      <c r="J94" s="8"/>
    </row>
    <row r="95" spans="1:10" ht="25.5" x14ac:dyDescent="0.2">
      <c r="A95" s="34">
        <v>23</v>
      </c>
      <c r="B95" s="35" t="s">
        <v>337</v>
      </c>
      <c r="C95" s="35" t="s">
        <v>338</v>
      </c>
      <c r="D95" s="35" t="s">
        <v>162</v>
      </c>
      <c r="E95" s="36">
        <v>1000</v>
      </c>
      <c r="F95" s="37">
        <v>4956.2700000000004</v>
      </c>
      <c r="G95" s="38">
        <v>8.9771399999999998E-3</v>
      </c>
      <c r="H95" s="28">
        <v>7.32</v>
      </c>
      <c r="J95" s="8"/>
    </row>
    <row r="96" spans="1:10" x14ac:dyDescent="0.2">
      <c r="A96" s="34">
        <v>24</v>
      </c>
      <c r="B96" s="35" t="s">
        <v>339</v>
      </c>
      <c r="C96" s="35" t="s">
        <v>340</v>
      </c>
      <c r="D96" s="35" t="s">
        <v>144</v>
      </c>
      <c r="E96" s="36">
        <v>1000</v>
      </c>
      <c r="F96" s="37">
        <v>4939.9799999999996</v>
      </c>
      <c r="G96" s="38">
        <v>8.9476399999999998E-3</v>
      </c>
      <c r="H96" s="28">
        <v>7.78</v>
      </c>
      <c r="J96" s="8"/>
    </row>
    <row r="97" spans="1:10" ht="25.5" x14ac:dyDescent="0.2">
      <c r="A97" s="34">
        <v>25</v>
      </c>
      <c r="B97" s="35" t="s">
        <v>175</v>
      </c>
      <c r="C97" s="35" t="s">
        <v>176</v>
      </c>
      <c r="D97" s="35" t="s">
        <v>144</v>
      </c>
      <c r="E97" s="36">
        <v>1000</v>
      </c>
      <c r="F97" s="37">
        <v>4938.17</v>
      </c>
      <c r="G97" s="38">
        <v>8.9443600000000002E-3</v>
      </c>
      <c r="H97" s="28">
        <v>7.88</v>
      </c>
      <c r="J97" s="8"/>
    </row>
    <row r="98" spans="1:10" x14ac:dyDescent="0.2">
      <c r="A98" s="34">
        <v>26</v>
      </c>
      <c r="B98" s="35" t="s">
        <v>341</v>
      </c>
      <c r="C98" s="35" t="s">
        <v>342</v>
      </c>
      <c r="D98" s="35" t="s">
        <v>144</v>
      </c>
      <c r="E98" s="36">
        <v>1000</v>
      </c>
      <c r="F98" s="37">
        <v>4929.24</v>
      </c>
      <c r="G98" s="38">
        <v>8.9281800000000008E-3</v>
      </c>
      <c r="H98" s="28">
        <v>7.38</v>
      </c>
    </row>
    <row r="99" spans="1:10" x14ac:dyDescent="0.2">
      <c r="A99" s="34">
        <v>27</v>
      </c>
      <c r="B99" s="35" t="s">
        <v>343</v>
      </c>
      <c r="C99" s="35" t="s">
        <v>344</v>
      </c>
      <c r="D99" s="35" t="s">
        <v>144</v>
      </c>
      <c r="E99" s="36">
        <v>1000</v>
      </c>
      <c r="F99" s="37">
        <v>4928.9750000000004</v>
      </c>
      <c r="G99" s="38">
        <v>8.9277000000000002E-3</v>
      </c>
      <c r="H99" s="28">
        <v>7.3051000000000004</v>
      </c>
    </row>
    <row r="100" spans="1:10" x14ac:dyDescent="0.2">
      <c r="A100" s="34">
        <v>28</v>
      </c>
      <c r="B100" s="35" t="s">
        <v>345</v>
      </c>
      <c r="C100" s="35" t="s">
        <v>346</v>
      </c>
      <c r="D100" s="35" t="s">
        <v>144</v>
      </c>
      <c r="E100" s="36">
        <v>1000</v>
      </c>
      <c r="F100" s="37">
        <v>4928.0200000000004</v>
      </c>
      <c r="G100" s="38">
        <v>8.9259700000000001E-3</v>
      </c>
      <c r="H100" s="28">
        <v>7.4050000000000002</v>
      </c>
    </row>
    <row r="101" spans="1:10" x14ac:dyDescent="0.2">
      <c r="A101" s="34">
        <v>29</v>
      </c>
      <c r="B101" s="35" t="s">
        <v>347</v>
      </c>
      <c r="C101" s="35" t="s">
        <v>348</v>
      </c>
      <c r="D101" s="35" t="s">
        <v>144</v>
      </c>
      <c r="E101" s="36">
        <v>1000</v>
      </c>
      <c r="F101" s="37">
        <v>4921.18</v>
      </c>
      <c r="G101" s="38">
        <v>8.9135800000000008E-3</v>
      </c>
      <c r="H101" s="28">
        <v>7.9</v>
      </c>
      <c r="J101" s="8"/>
    </row>
    <row r="102" spans="1:10" x14ac:dyDescent="0.2">
      <c r="A102" s="34">
        <v>30</v>
      </c>
      <c r="B102" s="35" t="s">
        <v>349</v>
      </c>
      <c r="C102" s="35" t="s">
        <v>350</v>
      </c>
      <c r="D102" s="35" t="s">
        <v>144</v>
      </c>
      <c r="E102" s="36">
        <v>1000</v>
      </c>
      <c r="F102" s="37">
        <v>4919.2700000000004</v>
      </c>
      <c r="G102" s="38">
        <v>8.9101200000000005E-3</v>
      </c>
      <c r="H102" s="28">
        <v>7.3949999999999996</v>
      </c>
      <c r="J102" s="8"/>
    </row>
    <row r="103" spans="1:10" x14ac:dyDescent="0.2">
      <c r="A103" s="34">
        <v>31</v>
      </c>
      <c r="B103" s="35" t="s">
        <v>351</v>
      </c>
      <c r="C103" s="35" t="s">
        <v>352</v>
      </c>
      <c r="D103" s="35" t="s">
        <v>144</v>
      </c>
      <c r="E103" s="36">
        <v>1000</v>
      </c>
      <c r="F103" s="37">
        <v>4917.0200000000004</v>
      </c>
      <c r="G103" s="38">
        <v>8.9060500000000004E-3</v>
      </c>
      <c r="H103" s="28">
        <v>8</v>
      </c>
      <c r="J103" s="8"/>
    </row>
    <row r="104" spans="1:10" x14ac:dyDescent="0.2">
      <c r="A104" s="34">
        <v>32</v>
      </c>
      <c r="B104" s="35" t="s">
        <v>353</v>
      </c>
      <c r="C104" s="35" t="s">
        <v>354</v>
      </c>
      <c r="D104" s="35" t="s">
        <v>144</v>
      </c>
      <c r="E104" s="36">
        <v>1000</v>
      </c>
      <c r="F104" s="37">
        <v>4912.8900000000003</v>
      </c>
      <c r="G104" s="38">
        <v>8.8985699999999997E-3</v>
      </c>
      <c r="H104" s="28">
        <v>7.99</v>
      </c>
      <c r="J104" s="8"/>
    </row>
    <row r="105" spans="1:10" x14ac:dyDescent="0.2">
      <c r="A105" s="34">
        <v>33</v>
      </c>
      <c r="B105" s="35" t="s">
        <v>355</v>
      </c>
      <c r="C105" s="35" t="s">
        <v>356</v>
      </c>
      <c r="D105" s="35" t="s">
        <v>144</v>
      </c>
      <c r="E105" s="36">
        <v>900</v>
      </c>
      <c r="F105" s="37">
        <v>4445.1495000000004</v>
      </c>
      <c r="G105" s="38">
        <v>8.0513600000000005E-3</v>
      </c>
      <c r="H105" s="28">
        <v>7.7649999999999997</v>
      </c>
      <c r="J105" s="8"/>
    </row>
    <row r="106" spans="1:10" ht="25.5" x14ac:dyDescent="0.2">
      <c r="A106" s="34">
        <v>34</v>
      </c>
      <c r="B106" s="35" t="s">
        <v>357</v>
      </c>
      <c r="C106" s="35" t="s">
        <v>358</v>
      </c>
      <c r="D106" s="35" t="s">
        <v>144</v>
      </c>
      <c r="E106" s="36">
        <v>800</v>
      </c>
      <c r="F106" s="37">
        <v>3942.3760000000002</v>
      </c>
      <c r="G106" s="38">
        <v>7.1407099999999998E-3</v>
      </c>
      <c r="H106" s="28">
        <v>7.9625000000000004</v>
      </c>
      <c r="J106" s="8"/>
    </row>
    <row r="107" spans="1:10" x14ac:dyDescent="0.2">
      <c r="A107" s="34">
        <v>35</v>
      </c>
      <c r="B107" s="35" t="s">
        <v>359</v>
      </c>
      <c r="C107" s="35" t="s">
        <v>360</v>
      </c>
      <c r="D107" s="35" t="s">
        <v>144</v>
      </c>
      <c r="E107" s="36">
        <v>500</v>
      </c>
      <c r="F107" s="37">
        <v>2498.4425000000001</v>
      </c>
      <c r="G107" s="38">
        <v>4.52535E-3</v>
      </c>
      <c r="H107" s="28">
        <v>7.58</v>
      </c>
      <c r="J107" s="8"/>
    </row>
    <row r="108" spans="1:10" x14ac:dyDescent="0.2">
      <c r="A108" s="26"/>
      <c r="B108" s="26"/>
      <c r="C108" s="27" t="s">
        <v>11</v>
      </c>
      <c r="D108" s="26"/>
      <c r="E108" s="26" t="s">
        <v>12</v>
      </c>
      <c r="F108" s="33">
        <v>250424.73550000001</v>
      </c>
      <c r="G108" s="30">
        <v>0.45358669000000001</v>
      </c>
      <c r="H108" s="28" t="s">
        <v>12</v>
      </c>
      <c r="J108" s="8"/>
    </row>
    <row r="109" spans="1:10" x14ac:dyDescent="0.2">
      <c r="A109" s="26"/>
      <c r="B109" s="26"/>
      <c r="C109" s="31"/>
      <c r="D109" s="26"/>
      <c r="E109" s="26"/>
      <c r="F109" s="32"/>
      <c r="G109" s="32"/>
      <c r="H109" s="28" t="s">
        <v>12</v>
      </c>
    </row>
    <row r="110" spans="1:10" x14ac:dyDescent="0.2">
      <c r="A110" s="26"/>
      <c r="B110" s="26"/>
      <c r="C110" s="27" t="s">
        <v>87</v>
      </c>
      <c r="D110" s="26"/>
      <c r="E110" s="26"/>
      <c r="F110" s="32"/>
      <c r="G110" s="32"/>
      <c r="H110" s="28" t="s">
        <v>12</v>
      </c>
    </row>
    <row r="111" spans="1:10" x14ac:dyDescent="0.2">
      <c r="A111" s="34">
        <v>1</v>
      </c>
      <c r="B111" s="35" t="s">
        <v>361</v>
      </c>
      <c r="C111" s="35" t="s">
        <v>362</v>
      </c>
      <c r="D111" s="35" t="s">
        <v>71</v>
      </c>
      <c r="E111" s="36">
        <v>27500000</v>
      </c>
      <c r="F111" s="37">
        <v>27450.747500000001</v>
      </c>
      <c r="G111" s="38">
        <v>4.97207E-2</v>
      </c>
      <c r="H111" s="28">
        <v>6.55</v>
      </c>
    </row>
    <row r="112" spans="1:10" x14ac:dyDescent="0.2">
      <c r="A112" s="34">
        <v>2</v>
      </c>
      <c r="B112" s="35" t="s">
        <v>363</v>
      </c>
      <c r="C112" s="35" t="s">
        <v>364</v>
      </c>
      <c r="D112" s="35" t="s">
        <v>71</v>
      </c>
      <c r="E112" s="36">
        <v>10000000</v>
      </c>
      <c r="F112" s="37">
        <v>9942.4699999999993</v>
      </c>
      <c r="G112" s="38">
        <v>1.8008489999999999E-2</v>
      </c>
      <c r="H112" s="28">
        <v>6.6</v>
      </c>
    </row>
    <row r="113" spans="1:8" x14ac:dyDescent="0.2">
      <c r="A113" s="34">
        <v>3</v>
      </c>
      <c r="B113" s="35" t="s">
        <v>365</v>
      </c>
      <c r="C113" s="35" t="s">
        <v>366</v>
      </c>
      <c r="D113" s="35" t="s">
        <v>71</v>
      </c>
      <c r="E113" s="36">
        <v>10000000</v>
      </c>
      <c r="F113" s="37">
        <v>9917.8700000000008</v>
      </c>
      <c r="G113" s="38">
        <v>1.7963940000000001E-2</v>
      </c>
      <c r="H113" s="28">
        <v>6.5709999999999997</v>
      </c>
    </row>
    <row r="114" spans="1:8" x14ac:dyDescent="0.2">
      <c r="A114" s="34">
        <v>4</v>
      </c>
      <c r="B114" s="35" t="s">
        <v>367</v>
      </c>
      <c r="C114" s="35" t="s">
        <v>368</v>
      </c>
      <c r="D114" s="35" t="s">
        <v>71</v>
      </c>
      <c r="E114" s="36">
        <v>10000000</v>
      </c>
      <c r="F114" s="37">
        <v>9906.85</v>
      </c>
      <c r="G114" s="38">
        <v>1.7943980000000002E-2</v>
      </c>
      <c r="H114" s="28">
        <v>6.6</v>
      </c>
    </row>
    <row r="115" spans="1:8" x14ac:dyDescent="0.2">
      <c r="A115" s="34">
        <v>5</v>
      </c>
      <c r="B115" s="35" t="s">
        <v>369</v>
      </c>
      <c r="C115" s="35" t="s">
        <v>370</v>
      </c>
      <c r="D115" s="35" t="s">
        <v>71</v>
      </c>
      <c r="E115" s="36">
        <v>10000000</v>
      </c>
      <c r="F115" s="37">
        <v>9893.39</v>
      </c>
      <c r="G115" s="38">
        <v>1.7919600000000001E-2</v>
      </c>
      <c r="H115" s="28">
        <v>6.5553999999999997</v>
      </c>
    </row>
    <row r="116" spans="1:8" x14ac:dyDescent="0.2">
      <c r="A116" s="34">
        <v>6</v>
      </c>
      <c r="B116" s="35" t="s">
        <v>371</v>
      </c>
      <c r="C116" s="35" t="s">
        <v>372</v>
      </c>
      <c r="D116" s="35" t="s">
        <v>71</v>
      </c>
      <c r="E116" s="36">
        <v>10000000</v>
      </c>
      <c r="F116" s="37">
        <v>9882.2800000000007</v>
      </c>
      <c r="G116" s="38">
        <v>1.7899470000000001E-2</v>
      </c>
      <c r="H116" s="28">
        <v>6.5876000000000001</v>
      </c>
    </row>
    <row r="117" spans="1:8" x14ac:dyDescent="0.2">
      <c r="A117" s="34">
        <v>7</v>
      </c>
      <c r="B117" s="35" t="s">
        <v>373</v>
      </c>
      <c r="C117" s="35" t="s">
        <v>374</v>
      </c>
      <c r="D117" s="35" t="s">
        <v>71</v>
      </c>
      <c r="E117" s="36">
        <v>10000000</v>
      </c>
      <c r="F117" s="37">
        <v>9858.0499999999993</v>
      </c>
      <c r="G117" s="38">
        <v>1.7855590000000001E-2</v>
      </c>
      <c r="H117" s="28">
        <v>6.57</v>
      </c>
    </row>
    <row r="118" spans="1:8" x14ac:dyDescent="0.2">
      <c r="A118" s="34">
        <v>8</v>
      </c>
      <c r="B118" s="35" t="s">
        <v>375</v>
      </c>
      <c r="C118" s="35" t="s">
        <v>376</v>
      </c>
      <c r="D118" s="35" t="s">
        <v>71</v>
      </c>
      <c r="E118" s="36">
        <v>10000000</v>
      </c>
      <c r="F118" s="37">
        <v>9845.7000000000007</v>
      </c>
      <c r="G118" s="38">
        <v>1.783322E-2</v>
      </c>
      <c r="H118" s="28">
        <v>6.5750000000000002</v>
      </c>
    </row>
    <row r="119" spans="1:8" x14ac:dyDescent="0.2">
      <c r="A119" s="26"/>
      <c r="B119" s="26"/>
      <c r="C119" s="27" t="s">
        <v>11</v>
      </c>
      <c r="D119" s="26"/>
      <c r="E119" s="26" t="s">
        <v>12</v>
      </c>
      <c r="F119" s="33">
        <v>96697.357499999998</v>
      </c>
      <c r="G119" s="30">
        <v>0.17514499</v>
      </c>
      <c r="H119" s="28" t="s">
        <v>12</v>
      </c>
    </row>
    <row r="120" spans="1:8" x14ac:dyDescent="0.2">
      <c r="A120" s="26"/>
      <c r="B120" s="26"/>
      <c r="C120" s="31"/>
      <c r="D120" s="26"/>
      <c r="E120" s="26"/>
      <c r="F120" s="32"/>
      <c r="G120" s="32"/>
      <c r="H120" s="28" t="s">
        <v>12</v>
      </c>
    </row>
    <row r="121" spans="1:8" x14ac:dyDescent="0.2">
      <c r="A121" s="26"/>
      <c r="B121" s="26"/>
      <c r="C121" s="27" t="s">
        <v>88</v>
      </c>
      <c r="D121" s="26"/>
      <c r="E121" s="26"/>
      <c r="F121" s="32"/>
      <c r="G121" s="32"/>
      <c r="H121" s="28" t="s">
        <v>12</v>
      </c>
    </row>
    <row r="122" spans="1:8" x14ac:dyDescent="0.2">
      <c r="A122" s="34">
        <v>1</v>
      </c>
      <c r="B122" s="35"/>
      <c r="C122" s="35" t="s">
        <v>89</v>
      </c>
      <c r="D122" s="35"/>
      <c r="E122" s="39"/>
      <c r="F122" s="37">
        <v>946.74608560399997</v>
      </c>
      <c r="G122" s="38">
        <v>1.71481E-3</v>
      </c>
      <c r="H122" s="28">
        <v>6.4</v>
      </c>
    </row>
    <row r="123" spans="1:8" x14ac:dyDescent="0.2">
      <c r="A123" s="26"/>
      <c r="B123" s="26"/>
      <c r="C123" s="27" t="s">
        <v>11</v>
      </c>
      <c r="D123" s="26"/>
      <c r="E123" s="26" t="s">
        <v>12</v>
      </c>
      <c r="F123" s="33">
        <v>946.74608560399997</v>
      </c>
      <c r="G123" s="30">
        <v>1.71481E-3</v>
      </c>
      <c r="H123" s="28" t="s">
        <v>12</v>
      </c>
    </row>
    <row r="124" spans="1:8" x14ac:dyDescent="0.2">
      <c r="A124" s="26"/>
      <c r="B124" s="26"/>
      <c r="C124" s="31"/>
      <c r="D124" s="26"/>
      <c r="E124" s="26"/>
      <c r="F124" s="32"/>
      <c r="G124" s="32"/>
      <c r="H124" s="28" t="s">
        <v>12</v>
      </c>
    </row>
    <row r="125" spans="1:8" x14ac:dyDescent="0.2">
      <c r="A125" s="26"/>
      <c r="B125" s="26"/>
      <c r="C125" s="27" t="s">
        <v>90</v>
      </c>
      <c r="D125" s="26"/>
      <c r="E125" s="26"/>
      <c r="F125" s="33">
        <v>553152.63908560399</v>
      </c>
      <c r="G125" s="30">
        <v>1.0019085400000001</v>
      </c>
      <c r="H125" s="28" t="s">
        <v>12</v>
      </c>
    </row>
    <row r="126" spans="1:8" x14ac:dyDescent="0.2">
      <c r="A126" s="26"/>
      <c r="B126" s="26"/>
      <c r="C126" s="32"/>
      <c r="D126" s="26"/>
      <c r="E126" s="26"/>
      <c r="F126" s="26"/>
      <c r="G126" s="26"/>
      <c r="H126" s="28" t="s">
        <v>12</v>
      </c>
    </row>
    <row r="127" spans="1:8" x14ac:dyDescent="0.2">
      <c r="A127" s="26"/>
      <c r="B127" s="26"/>
      <c r="C127" s="27" t="s">
        <v>91</v>
      </c>
      <c r="D127" s="26"/>
      <c r="E127" s="26"/>
      <c r="F127" s="26"/>
      <c r="G127" s="26"/>
      <c r="H127" s="28" t="s">
        <v>12</v>
      </c>
    </row>
    <row r="128" spans="1:8" x14ac:dyDescent="0.2">
      <c r="A128" s="26"/>
      <c r="B128" s="26"/>
      <c r="C128" s="27" t="s">
        <v>92</v>
      </c>
      <c r="D128" s="26"/>
      <c r="E128" s="26"/>
      <c r="F128" s="26"/>
      <c r="G128" s="26"/>
      <c r="H128" s="28" t="s">
        <v>12</v>
      </c>
    </row>
    <row r="129" spans="1:18" x14ac:dyDescent="0.2">
      <c r="A129" s="26"/>
      <c r="B129" s="26"/>
      <c r="C129" s="27" t="s">
        <v>11</v>
      </c>
      <c r="D129" s="26"/>
      <c r="E129" s="26" t="s">
        <v>12</v>
      </c>
      <c r="F129" s="29" t="s">
        <v>13</v>
      </c>
      <c r="G129" s="30">
        <v>0</v>
      </c>
      <c r="H129" s="28" t="s">
        <v>12</v>
      </c>
    </row>
    <row r="130" spans="1:18" x14ac:dyDescent="0.2">
      <c r="A130" s="26"/>
      <c r="B130" s="26"/>
      <c r="C130" s="31"/>
      <c r="D130" s="26"/>
      <c r="E130" s="26"/>
      <c r="F130" s="32"/>
      <c r="G130" s="32"/>
      <c r="H130" s="28" t="s">
        <v>12</v>
      </c>
    </row>
    <row r="131" spans="1:18" x14ac:dyDescent="0.2">
      <c r="A131" s="40"/>
      <c r="B131" s="40"/>
      <c r="C131" s="41" t="s">
        <v>527</v>
      </c>
      <c r="D131" s="40"/>
      <c r="E131" s="40"/>
      <c r="F131" s="42"/>
      <c r="G131" s="42"/>
      <c r="H131" s="43"/>
      <c r="L131" s="5"/>
      <c r="M131" s="5"/>
      <c r="N131" s="5"/>
      <c r="O131" s="5"/>
      <c r="P131" s="6"/>
      <c r="Q131" s="6"/>
      <c r="R131" s="6"/>
    </row>
    <row r="132" spans="1:18" ht="25.5" x14ac:dyDescent="0.2">
      <c r="A132" s="34">
        <v>1</v>
      </c>
      <c r="B132" s="35" t="s">
        <v>93</v>
      </c>
      <c r="C132" s="35" t="s">
        <v>94</v>
      </c>
      <c r="D132" s="35"/>
      <c r="E132" s="44">
        <v>13479.374400000001</v>
      </c>
      <c r="F132" s="37">
        <v>1400.0132506760001</v>
      </c>
      <c r="G132" s="38">
        <v>2.5357999999999999E-3</v>
      </c>
      <c r="H132" s="28"/>
    </row>
    <row r="133" spans="1:18" x14ac:dyDescent="0.2">
      <c r="A133" s="26"/>
      <c r="B133" s="26"/>
      <c r="C133" s="27" t="s">
        <v>11</v>
      </c>
      <c r="D133" s="26"/>
      <c r="E133" s="26" t="s">
        <v>12</v>
      </c>
      <c r="F133" s="33">
        <v>1400.0132506760001</v>
      </c>
      <c r="G133" s="30">
        <v>2.5357999999999999E-3</v>
      </c>
      <c r="H133" s="28" t="s">
        <v>12</v>
      </c>
    </row>
    <row r="134" spans="1:18" x14ac:dyDescent="0.2">
      <c r="A134" s="26"/>
      <c r="B134" s="26"/>
      <c r="C134" s="31"/>
      <c r="D134" s="26"/>
      <c r="E134" s="26"/>
      <c r="F134" s="32"/>
      <c r="G134" s="32"/>
      <c r="H134" s="28" t="s">
        <v>12</v>
      </c>
    </row>
    <row r="135" spans="1:18" x14ac:dyDescent="0.2">
      <c r="A135" s="26"/>
      <c r="B135" s="26"/>
      <c r="C135" s="27" t="s">
        <v>95</v>
      </c>
      <c r="D135" s="26"/>
      <c r="E135" s="26"/>
      <c r="F135" s="26"/>
      <c r="G135" s="26"/>
      <c r="H135" s="28" t="s">
        <v>12</v>
      </c>
    </row>
    <row r="136" spans="1:18" x14ac:dyDescent="0.2">
      <c r="A136" s="26"/>
      <c r="B136" s="26"/>
      <c r="C136" s="27" t="s">
        <v>96</v>
      </c>
      <c r="D136" s="26"/>
      <c r="E136" s="26"/>
      <c r="F136" s="26"/>
      <c r="G136" s="26"/>
      <c r="H136" s="28" t="s">
        <v>12</v>
      </c>
    </row>
    <row r="137" spans="1:18" x14ac:dyDescent="0.2">
      <c r="A137" s="26"/>
      <c r="B137" s="26"/>
      <c r="C137" s="27" t="s">
        <v>11</v>
      </c>
      <c r="D137" s="26"/>
      <c r="E137" s="26" t="s">
        <v>12</v>
      </c>
      <c r="F137" s="29" t="s">
        <v>13</v>
      </c>
      <c r="G137" s="30">
        <v>0</v>
      </c>
      <c r="H137" s="28" t="s">
        <v>12</v>
      </c>
    </row>
    <row r="138" spans="1:18" x14ac:dyDescent="0.2">
      <c r="A138" s="26"/>
      <c r="B138" s="26"/>
      <c r="C138" s="31"/>
      <c r="D138" s="26"/>
      <c r="E138" s="26"/>
      <c r="F138" s="32"/>
      <c r="G138" s="32"/>
      <c r="H138" s="28" t="s">
        <v>12</v>
      </c>
    </row>
    <row r="139" spans="1:18" x14ac:dyDescent="0.2">
      <c r="A139" s="26"/>
      <c r="B139" s="26"/>
      <c r="C139" s="27" t="s">
        <v>97</v>
      </c>
      <c r="D139" s="26"/>
      <c r="E139" s="26"/>
      <c r="F139" s="32"/>
      <c r="G139" s="32"/>
      <c r="H139" s="28" t="s">
        <v>12</v>
      </c>
    </row>
    <row r="140" spans="1:18" x14ac:dyDescent="0.2">
      <c r="A140" s="26"/>
      <c r="B140" s="26"/>
      <c r="C140" s="27" t="s">
        <v>11</v>
      </c>
      <c r="D140" s="26"/>
      <c r="E140" s="26" t="s">
        <v>12</v>
      </c>
      <c r="F140" s="29" t="s">
        <v>13</v>
      </c>
      <c r="G140" s="30">
        <v>0</v>
      </c>
      <c r="H140" s="28" t="s">
        <v>12</v>
      </c>
    </row>
    <row r="141" spans="1:18" x14ac:dyDescent="0.2">
      <c r="A141" s="26"/>
      <c r="B141" s="26"/>
      <c r="C141" s="31"/>
      <c r="D141" s="26"/>
      <c r="E141" s="26"/>
      <c r="F141" s="32"/>
      <c r="G141" s="32"/>
      <c r="H141" s="28" t="s">
        <v>12</v>
      </c>
    </row>
    <row r="142" spans="1:18" x14ac:dyDescent="0.2">
      <c r="A142" s="39"/>
      <c r="B142" s="35"/>
      <c r="C142" s="35" t="s">
        <v>98</v>
      </c>
      <c r="D142" s="35"/>
      <c r="E142" s="39"/>
      <c r="F142" s="37">
        <f>-2453.70066598-0.00079077995300293</f>
        <v>-2453.7014567599531</v>
      </c>
      <c r="G142" s="38">
        <v>-4.4443099999999999E-3</v>
      </c>
      <c r="H142" s="28" t="s">
        <v>12</v>
      </c>
    </row>
    <row r="143" spans="1:18" x14ac:dyDescent="0.2">
      <c r="A143" s="31"/>
      <c r="B143" s="31"/>
      <c r="C143" s="27" t="s">
        <v>99</v>
      </c>
      <c r="D143" s="32"/>
      <c r="E143" s="32"/>
      <c r="F143" s="33">
        <f>552098.9516703-0.00079077995300293</f>
        <v>552098.95087952004</v>
      </c>
      <c r="G143" s="45">
        <v>1.00000003</v>
      </c>
      <c r="H143" s="28" t="s">
        <v>12</v>
      </c>
    </row>
    <row r="144" spans="1:18" x14ac:dyDescent="0.2">
      <c r="A144" s="46"/>
      <c r="B144" s="46"/>
      <c r="C144" s="46"/>
      <c r="D144" s="47"/>
      <c r="E144" s="47"/>
      <c r="F144" s="47"/>
      <c r="G144" s="47"/>
    </row>
    <row r="145" spans="1:8" x14ac:dyDescent="0.2">
      <c r="A145" s="48"/>
      <c r="B145" s="116" t="s">
        <v>537</v>
      </c>
      <c r="C145" s="116"/>
      <c r="D145" s="116"/>
      <c r="E145" s="116"/>
      <c r="F145" s="116"/>
      <c r="G145" s="116"/>
      <c r="H145" s="116"/>
    </row>
    <row r="146" spans="1:8" x14ac:dyDescent="0.2">
      <c r="A146" s="48"/>
      <c r="B146" s="116" t="s">
        <v>538</v>
      </c>
      <c r="C146" s="116"/>
      <c r="D146" s="116"/>
      <c r="E146" s="116"/>
      <c r="F146" s="116"/>
      <c r="G146" s="116"/>
      <c r="H146" s="116"/>
    </row>
    <row r="147" spans="1:8" x14ac:dyDescent="0.2">
      <c r="A147" s="48"/>
      <c r="B147" s="116" t="s">
        <v>539</v>
      </c>
      <c r="C147" s="116"/>
      <c r="D147" s="116"/>
      <c r="E147" s="116"/>
      <c r="F147" s="116"/>
      <c r="G147" s="116"/>
      <c r="H147" s="116"/>
    </row>
    <row r="148" spans="1:8" x14ac:dyDescent="0.2">
      <c r="A148" s="48"/>
      <c r="B148" s="124" t="s">
        <v>618</v>
      </c>
      <c r="C148" s="116"/>
      <c r="D148" s="116"/>
      <c r="E148" s="116"/>
      <c r="F148" s="116"/>
      <c r="G148" s="116"/>
      <c r="H148" s="116"/>
    </row>
    <row r="149" spans="1:8" x14ac:dyDescent="0.2">
      <c r="A149" s="50"/>
      <c r="B149" s="50"/>
      <c r="C149" s="50"/>
      <c r="D149" s="51"/>
      <c r="E149" s="51"/>
      <c r="F149" s="51"/>
      <c r="G149" s="51"/>
    </row>
    <row r="150" spans="1:8" x14ac:dyDescent="0.2">
      <c r="A150" s="50"/>
      <c r="B150" s="109" t="s">
        <v>100</v>
      </c>
      <c r="C150" s="110"/>
      <c r="D150" s="111"/>
      <c r="E150" s="52"/>
      <c r="F150" s="51"/>
      <c r="G150" s="51"/>
    </row>
    <row r="151" spans="1:8" ht="25.5" x14ac:dyDescent="0.2">
      <c r="A151" s="50"/>
      <c r="B151" s="112" t="s">
        <v>101</v>
      </c>
      <c r="C151" s="113"/>
      <c r="D151" s="41" t="s">
        <v>529</v>
      </c>
      <c r="E151" s="52"/>
      <c r="F151" s="51"/>
      <c r="G151" s="51"/>
    </row>
    <row r="152" spans="1:8" x14ac:dyDescent="0.2">
      <c r="A152" s="50"/>
      <c r="B152" s="112" t="s">
        <v>103</v>
      </c>
      <c r="C152" s="113"/>
      <c r="D152" s="27" t="s">
        <v>102</v>
      </c>
      <c r="E152" s="52"/>
      <c r="F152" s="51"/>
      <c r="G152" s="51"/>
    </row>
    <row r="153" spans="1:8" x14ac:dyDescent="0.2">
      <c r="A153" s="50"/>
      <c r="B153" s="112" t="s">
        <v>104</v>
      </c>
      <c r="C153" s="113"/>
      <c r="D153" s="32" t="s">
        <v>12</v>
      </c>
      <c r="E153" s="52"/>
      <c r="F153" s="51"/>
      <c r="G153" s="51"/>
    </row>
    <row r="154" spans="1:8" x14ac:dyDescent="0.2">
      <c r="A154" s="53"/>
      <c r="B154" s="54" t="s">
        <v>12</v>
      </c>
      <c r="C154" s="54" t="s">
        <v>528</v>
      </c>
      <c r="D154" s="54" t="s">
        <v>105</v>
      </c>
      <c r="E154" s="53"/>
      <c r="F154" s="53"/>
      <c r="G154" s="53"/>
      <c r="H154" s="55"/>
    </row>
    <row r="155" spans="1:8" x14ac:dyDescent="0.2">
      <c r="A155" s="56"/>
      <c r="B155" s="57" t="s">
        <v>106</v>
      </c>
      <c r="C155" s="58">
        <v>45535</v>
      </c>
      <c r="D155" s="58">
        <v>45550</v>
      </c>
      <c r="E155" s="56"/>
      <c r="F155" s="56"/>
      <c r="G155" s="56"/>
    </row>
    <row r="156" spans="1:8" x14ac:dyDescent="0.2">
      <c r="A156" s="56"/>
      <c r="B156" s="35" t="s">
        <v>107</v>
      </c>
      <c r="C156" s="59">
        <v>2197.4576999999999</v>
      </c>
      <c r="D156" s="59">
        <v>2203.6406999999999</v>
      </c>
      <c r="E156" s="56"/>
      <c r="F156" s="60"/>
      <c r="G156" s="61"/>
    </row>
    <row r="157" spans="1:8" x14ac:dyDescent="0.2">
      <c r="A157" s="56"/>
      <c r="B157" s="35" t="s">
        <v>139</v>
      </c>
      <c r="C157" s="59">
        <v>1208.4002</v>
      </c>
      <c r="D157" s="59">
        <v>1211.7995000000001</v>
      </c>
      <c r="E157" s="56"/>
      <c r="F157" s="60"/>
      <c r="G157" s="61"/>
    </row>
    <row r="158" spans="1:8" ht="25.5" x14ac:dyDescent="0.2">
      <c r="A158" s="56"/>
      <c r="B158" s="35" t="s">
        <v>589</v>
      </c>
      <c r="C158" s="59">
        <v>1000.827</v>
      </c>
      <c r="D158" s="39"/>
      <c r="E158" s="56"/>
      <c r="F158" s="60"/>
      <c r="G158" s="61"/>
    </row>
    <row r="159" spans="1:8" ht="25.5" x14ac:dyDescent="0.2">
      <c r="A159" s="56"/>
      <c r="B159" s="35" t="s">
        <v>590</v>
      </c>
      <c r="C159" s="59">
        <v>1007.2203</v>
      </c>
      <c r="D159" s="39"/>
      <c r="E159" s="56"/>
      <c r="F159" s="60"/>
      <c r="G159" s="61"/>
    </row>
    <row r="160" spans="1:8" ht="25.5" x14ac:dyDescent="0.2">
      <c r="A160" s="56"/>
      <c r="B160" s="35" t="s">
        <v>591</v>
      </c>
      <c r="C160" s="59">
        <v>1025.7035000000001</v>
      </c>
      <c r="D160" s="39"/>
      <c r="E160" s="56"/>
      <c r="F160" s="60"/>
      <c r="G160" s="61"/>
    </row>
    <row r="161" spans="1:7" ht="25.5" x14ac:dyDescent="0.2">
      <c r="A161" s="56"/>
      <c r="B161" s="35" t="s">
        <v>581</v>
      </c>
      <c r="C161" s="59">
        <v>1027.0649000000001</v>
      </c>
      <c r="D161" s="59">
        <v>1029.9546</v>
      </c>
      <c r="E161" s="56"/>
      <c r="F161" s="60"/>
      <c r="G161" s="61"/>
    </row>
    <row r="162" spans="1:7" ht="25.5" x14ac:dyDescent="0.2">
      <c r="A162" s="56"/>
      <c r="B162" s="35" t="s">
        <v>582</v>
      </c>
      <c r="C162" s="59">
        <v>1126.1541</v>
      </c>
      <c r="D162" s="59">
        <v>1121.8083999999999</v>
      </c>
      <c r="E162" s="56"/>
      <c r="F162" s="60"/>
      <c r="G162" s="61"/>
    </row>
    <row r="163" spans="1:7" x14ac:dyDescent="0.2">
      <c r="A163" s="56"/>
      <c r="B163" s="35" t="s">
        <v>108</v>
      </c>
      <c r="C163" s="59">
        <v>2175.7543000000001</v>
      </c>
      <c r="D163" s="59">
        <v>2181.7238000000002</v>
      </c>
      <c r="E163" s="56"/>
      <c r="F163" s="60"/>
      <c r="G163" s="61"/>
    </row>
    <row r="164" spans="1:7" x14ac:dyDescent="0.2">
      <c r="A164" s="56"/>
      <c r="B164" s="35" t="s">
        <v>140</v>
      </c>
      <c r="C164" s="59">
        <v>1204.3459</v>
      </c>
      <c r="D164" s="59">
        <v>1207.6502</v>
      </c>
      <c r="E164" s="56"/>
      <c r="F164" s="60"/>
      <c r="G164" s="61"/>
    </row>
    <row r="165" spans="1:7" ht="25.5" x14ac:dyDescent="0.2">
      <c r="A165" s="56"/>
      <c r="B165" s="35" t="s">
        <v>592</v>
      </c>
      <c r="C165" s="59">
        <v>1001.075</v>
      </c>
      <c r="D165" s="39"/>
      <c r="E165" s="56"/>
      <c r="F165" s="60"/>
      <c r="G165" s="61"/>
    </row>
    <row r="166" spans="1:7" ht="25.5" x14ac:dyDescent="0.2">
      <c r="A166" s="56"/>
      <c r="B166" s="35" t="s">
        <v>593</v>
      </c>
      <c r="C166" s="59">
        <v>1006.7612</v>
      </c>
      <c r="D166" s="39"/>
      <c r="E166" s="56"/>
      <c r="F166" s="60"/>
      <c r="G166" s="61"/>
    </row>
    <row r="167" spans="1:7" ht="25.5" x14ac:dyDescent="0.2">
      <c r="A167" s="56"/>
      <c r="B167" s="35" t="s">
        <v>594</v>
      </c>
      <c r="C167" s="59">
        <v>1025.6066000000001</v>
      </c>
      <c r="D167" s="39"/>
      <c r="E167" s="56"/>
      <c r="F167" s="60"/>
      <c r="G167" s="61"/>
    </row>
    <row r="168" spans="1:7" ht="25.5" x14ac:dyDescent="0.2">
      <c r="A168" s="56"/>
      <c r="B168" s="35" t="s">
        <v>585</v>
      </c>
      <c r="C168" s="59">
        <v>1026.9380000000001</v>
      </c>
      <c r="D168" s="59">
        <v>1029.7556999999999</v>
      </c>
      <c r="E168" s="56"/>
      <c r="F168" s="60"/>
      <c r="G168" s="61"/>
    </row>
    <row r="169" spans="1:7" ht="25.5" x14ac:dyDescent="0.2">
      <c r="A169" s="56"/>
      <c r="B169" s="35" t="s">
        <v>532</v>
      </c>
      <c r="C169" s="59">
        <v>1122.624</v>
      </c>
      <c r="D169" s="59">
        <v>1118.1925000000001</v>
      </c>
      <c r="E169" s="56"/>
      <c r="F169" s="60"/>
      <c r="G169" s="61"/>
    </row>
    <row r="170" spans="1:7" x14ac:dyDescent="0.2">
      <c r="A170" s="56"/>
      <c r="B170" s="56"/>
      <c r="C170" s="56"/>
      <c r="D170" s="56"/>
      <c r="E170" s="56"/>
      <c r="F170" s="56"/>
      <c r="G170" s="56"/>
    </row>
    <row r="171" spans="1:7" x14ac:dyDescent="0.2">
      <c r="A171" s="56"/>
      <c r="B171" s="112" t="s">
        <v>588</v>
      </c>
      <c r="C171" s="113"/>
      <c r="D171" s="27" t="s">
        <v>12</v>
      </c>
      <c r="E171" s="56"/>
      <c r="F171" s="56"/>
      <c r="G171" s="56"/>
    </row>
    <row r="172" spans="1:7" x14ac:dyDescent="0.2">
      <c r="A172" s="56"/>
      <c r="B172" s="62" t="s">
        <v>106</v>
      </c>
      <c r="C172" s="63" t="s">
        <v>109</v>
      </c>
      <c r="D172" s="63" t="s">
        <v>110</v>
      </c>
      <c r="E172" s="56"/>
      <c r="F172" s="56"/>
      <c r="G172" s="56"/>
    </row>
    <row r="173" spans="1:7" ht="25.5" x14ac:dyDescent="0.2">
      <c r="A173" s="56"/>
      <c r="B173" s="35" t="s">
        <v>589</v>
      </c>
      <c r="C173" s="64">
        <v>2.6146590000000001</v>
      </c>
      <c r="D173" s="64">
        <v>2.6146590000000001</v>
      </c>
      <c r="E173" s="56"/>
      <c r="F173" s="60"/>
      <c r="G173" s="61"/>
    </row>
    <row r="174" spans="1:7" ht="25.5" x14ac:dyDescent="0.2">
      <c r="A174" s="56"/>
      <c r="B174" s="35" t="s">
        <v>590</v>
      </c>
      <c r="C174" s="64">
        <v>1.3220000000000001</v>
      </c>
      <c r="D174" s="39" t="s">
        <v>111</v>
      </c>
      <c r="E174" s="56"/>
      <c r="F174" s="60"/>
      <c r="G174" s="61"/>
    </row>
    <row r="175" spans="1:7" ht="25.5" x14ac:dyDescent="0.2">
      <c r="A175" s="56"/>
      <c r="B175" s="35" t="s">
        <v>582</v>
      </c>
      <c r="C175" s="64">
        <v>7.5</v>
      </c>
      <c r="D175" s="39" t="s">
        <v>111</v>
      </c>
      <c r="E175" s="56"/>
      <c r="F175" s="60"/>
      <c r="G175" s="61"/>
    </row>
    <row r="176" spans="1:7" ht="25.5" x14ac:dyDescent="0.2">
      <c r="A176" s="56"/>
      <c r="B176" s="35" t="s">
        <v>592</v>
      </c>
      <c r="C176" s="64">
        <v>2.5502579999999999</v>
      </c>
      <c r="D176" s="64">
        <v>2.5502579999999999</v>
      </c>
      <c r="E176" s="56"/>
      <c r="F176" s="60"/>
      <c r="G176" s="61"/>
    </row>
    <row r="177" spans="1:18" ht="25.5" x14ac:dyDescent="0.2">
      <c r="A177" s="56"/>
      <c r="B177" s="35" t="s">
        <v>593</v>
      </c>
      <c r="C177" s="64">
        <v>1.2932999999999999</v>
      </c>
      <c r="D177" s="64">
        <v>1.2932999999999999</v>
      </c>
      <c r="E177" s="56"/>
      <c r="F177" s="60"/>
      <c r="G177" s="61"/>
    </row>
    <row r="178" spans="1:18" ht="25.5" x14ac:dyDescent="0.2">
      <c r="A178" s="56"/>
      <c r="B178" s="35" t="s">
        <v>532</v>
      </c>
      <c r="C178" s="64">
        <v>7.5</v>
      </c>
      <c r="D178" s="39" t="s">
        <v>111</v>
      </c>
      <c r="E178" s="56"/>
      <c r="F178" s="60"/>
      <c r="G178" s="61"/>
    </row>
    <row r="179" spans="1:18" x14ac:dyDescent="0.2">
      <c r="A179" s="56"/>
      <c r="B179" s="65"/>
      <c r="C179" s="65"/>
      <c r="D179" s="66"/>
      <c r="E179" s="56"/>
      <c r="F179" s="60"/>
      <c r="G179" s="61"/>
    </row>
    <row r="180" spans="1:18" s="9" customFormat="1" x14ac:dyDescent="0.2">
      <c r="A180" s="74"/>
      <c r="B180" s="114" t="s">
        <v>549</v>
      </c>
      <c r="C180" s="115"/>
      <c r="D180" s="41" t="s">
        <v>102</v>
      </c>
      <c r="E180" s="74"/>
      <c r="F180" s="74"/>
      <c r="G180" s="74"/>
      <c r="I180"/>
      <c r="J180" s="2"/>
      <c r="K180" s="5"/>
      <c r="L180" s="5"/>
      <c r="M180" s="5"/>
      <c r="N180" s="5"/>
      <c r="O180" s="10"/>
      <c r="P180"/>
      <c r="Q180"/>
    </row>
    <row r="181" spans="1:18" x14ac:dyDescent="0.2">
      <c r="A181" s="53"/>
      <c r="B181" s="114" t="s">
        <v>550</v>
      </c>
      <c r="C181" s="115"/>
      <c r="D181" s="41" t="s">
        <v>102</v>
      </c>
      <c r="E181" s="67"/>
      <c r="F181" s="53"/>
      <c r="G181" s="53"/>
    </row>
    <row r="182" spans="1:18" x14ac:dyDescent="0.2">
      <c r="A182" s="53"/>
      <c r="B182" s="114" t="s">
        <v>551</v>
      </c>
      <c r="C182" s="115"/>
      <c r="D182" s="41" t="s">
        <v>102</v>
      </c>
      <c r="E182" s="67"/>
      <c r="F182" s="53"/>
      <c r="G182" s="53"/>
    </row>
    <row r="183" spans="1:18" x14ac:dyDescent="0.2">
      <c r="A183" s="53"/>
      <c r="B183" s="114" t="s">
        <v>552</v>
      </c>
      <c r="C183" s="115"/>
      <c r="D183" s="41" t="s">
        <v>102</v>
      </c>
      <c r="E183" s="67"/>
      <c r="F183" s="53"/>
      <c r="G183" s="53"/>
    </row>
    <row r="184" spans="1:18" x14ac:dyDescent="0.2">
      <c r="A184" s="68"/>
      <c r="B184" s="68"/>
      <c r="C184" s="68"/>
      <c r="D184" s="68"/>
      <c r="E184" s="68"/>
      <c r="F184" s="68"/>
      <c r="G184" s="68"/>
    </row>
    <row r="185" spans="1:18" s="9" customFormat="1" x14ac:dyDescent="0.2">
      <c r="B185" s="75" t="s">
        <v>578</v>
      </c>
      <c r="C185" s="75"/>
      <c r="D185" s="75"/>
      <c r="E185" s="75"/>
      <c r="F185" s="75"/>
      <c r="G185" s="75"/>
      <c r="I185"/>
      <c r="J185" s="2"/>
      <c r="K185" s="5"/>
      <c r="L185" s="5"/>
      <c r="M185" s="5"/>
      <c r="N185" s="5"/>
      <c r="O185"/>
    </row>
    <row r="186" spans="1:18" s="9" customFormat="1" x14ac:dyDescent="0.2">
      <c r="B186" s="75"/>
      <c r="C186" s="75"/>
      <c r="D186" s="75"/>
      <c r="E186" s="75"/>
      <c r="F186" s="75"/>
      <c r="G186" s="75"/>
      <c r="I186"/>
      <c r="J186" s="2"/>
      <c r="K186" s="5"/>
      <c r="L186" s="5"/>
      <c r="M186" s="5"/>
      <c r="N186" s="5"/>
      <c r="O186"/>
    </row>
    <row r="187" spans="1:18" s="9" customFormat="1" ht="63.75" x14ac:dyDescent="0.2">
      <c r="B187" s="78" t="s">
        <v>554</v>
      </c>
      <c r="C187" s="78" t="s">
        <v>553</v>
      </c>
      <c r="D187" s="78" t="s">
        <v>560</v>
      </c>
      <c r="E187" s="78" t="s">
        <v>561</v>
      </c>
      <c r="F187" s="78" t="s">
        <v>557</v>
      </c>
      <c r="I187"/>
      <c r="J187" s="2"/>
      <c r="K187" s="5"/>
      <c r="L187" s="5"/>
      <c r="M187" s="5"/>
      <c r="N187" s="5"/>
      <c r="O187"/>
    </row>
    <row r="188" spans="1:18" s="9" customFormat="1" ht="25.5" x14ac:dyDescent="0.2">
      <c r="B188" s="70" t="s">
        <v>559</v>
      </c>
      <c r="C188" s="80" t="s">
        <v>558</v>
      </c>
      <c r="D188" s="84">
        <v>0</v>
      </c>
      <c r="E188" s="13">
        <v>0</v>
      </c>
      <c r="F188" s="81">
        <v>5650</v>
      </c>
      <c r="I188"/>
      <c r="J188" s="2"/>
      <c r="K188" s="5"/>
      <c r="L188" s="5"/>
      <c r="M188" s="5"/>
      <c r="N188" s="5"/>
      <c r="O188"/>
      <c r="R188"/>
    </row>
    <row r="189" spans="1:18" s="9" customFormat="1" x14ac:dyDescent="0.2">
      <c r="I189"/>
      <c r="J189" s="2"/>
      <c r="K189" s="5"/>
      <c r="L189" s="5"/>
      <c r="M189" s="5"/>
      <c r="N189" s="5"/>
      <c r="O189"/>
      <c r="R189"/>
    </row>
    <row r="190" spans="1:18" s="9" customFormat="1" x14ac:dyDescent="0.2">
      <c r="B190" s="117" t="s">
        <v>541</v>
      </c>
      <c r="C190" s="118"/>
      <c r="D190" s="119"/>
      <c r="I190"/>
      <c r="J190" s="2"/>
      <c r="K190" s="5"/>
      <c r="L190" s="5"/>
      <c r="M190" s="5"/>
      <c r="N190" s="5"/>
      <c r="O190"/>
      <c r="R190"/>
    </row>
    <row r="191" spans="1:18" s="9" customFormat="1" ht="25.5" x14ac:dyDescent="0.2">
      <c r="B191" s="107" t="s">
        <v>542</v>
      </c>
      <c r="C191" s="107"/>
      <c r="D191" s="69" t="s">
        <v>240</v>
      </c>
      <c r="I191"/>
      <c r="J191" s="2"/>
      <c r="K191" s="5"/>
      <c r="L191" s="5"/>
      <c r="M191" s="5"/>
      <c r="N191" s="5"/>
      <c r="O191"/>
      <c r="R191"/>
    </row>
    <row r="192" spans="1:18" s="9" customFormat="1" x14ac:dyDescent="0.2">
      <c r="B192" s="120" t="s">
        <v>543</v>
      </c>
      <c r="C192" s="120"/>
      <c r="D192" s="70"/>
      <c r="I192"/>
      <c r="J192" s="2"/>
      <c r="K192" s="5"/>
      <c r="L192" s="5"/>
      <c r="M192" s="5"/>
      <c r="N192" s="5"/>
      <c r="O192"/>
      <c r="R192"/>
    </row>
    <row r="193" spans="2:18" s="9" customFormat="1" x14ac:dyDescent="0.2">
      <c r="B193" s="120"/>
      <c r="C193" s="120"/>
      <c r="D193" s="71"/>
      <c r="I193"/>
      <c r="J193" s="2"/>
      <c r="K193" s="5"/>
      <c r="L193" s="5"/>
      <c r="M193" s="5"/>
      <c r="N193" s="5"/>
      <c r="O193"/>
      <c r="R193"/>
    </row>
    <row r="194" spans="2:18" s="9" customFormat="1" x14ac:dyDescent="0.2">
      <c r="B194" s="120" t="s">
        <v>544</v>
      </c>
      <c r="C194" s="120"/>
      <c r="D194" s="72">
        <v>7.2593124991826663</v>
      </c>
      <c r="I194"/>
      <c r="J194" s="2"/>
      <c r="K194" s="5"/>
      <c r="L194" s="5"/>
      <c r="M194" s="5"/>
      <c r="N194" s="5"/>
      <c r="O194"/>
      <c r="R194"/>
    </row>
    <row r="195" spans="2:18" s="9" customFormat="1" x14ac:dyDescent="0.2">
      <c r="B195" s="120"/>
      <c r="C195" s="120"/>
      <c r="D195" s="71"/>
      <c r="I195"/>
      <c r="J195" s="2"/>
      <c r="K195" s="5"/>
      <c r="L195" s="5"/>
      <c r="M195" s="5"/>
      <c r="N195" s="5"/>
      <c r="O195"/>
      <c r="R195"/>
    </row>
    <row r="196" spans="2:18" s="9" customFormat="1" x14ac:dyDescent="0.2">
      <c r="B196" s="120" t="s">
        <v>545</v>
      </c>
      <c r="C196" s="120"/>
      <c r="D196" s="72">
        <v>0.1580842373871944</v>
      </c>
      <c r="I196"/>
      <c r="J196" s="2"/>
      <c r="K196" s="5"/>
      <c r="L196" s="5"/>
      <c r="M196" s="5"/>
      <c r="N196" s="5"/>
      <c r="O196"/>
      <c r="R196"/>
    </row>
    <row r="197" spans="2:18" s="9" customFormat="1" x14ac:dyDescent="0.2">
      <c r="B197" s="120" t="s">
        <v>546</v>
      </c>
      <c r="C197" s="120"/>
      <c r="D197" s="72">
        <v>0.1580842373871944</v>
      </c>
      <c r="I197"/>
      <c r="J197" s="2"/>
      <c r="K197" s="5"/>
      <c r="L197" s="5"/>
      <c r="M197" s="5"/>
      <c r="N197" s="5"/>
      <c r="O197"/>
      <c r="R197"/>
    </row>
    <row r="198" spans="2:18" s="9" customFormat="1" x14ac:dyDescent="0.2">
      <c r="B198" s="120"/>
      <c r="C198" s="120"/>
      <c r="D198" s="71"/>
      <c r="I198"/>
      <c r="J198" s="2"/>
      <c r="K198" s="5"/>
      <c r="L198" s="5"/>
      <c r="M198" s="5"/>
      <c r="N198" s="5"/>
      <c r="O198"/>
      <c r="P198"/>
      <c r="Q198"/>
      <c r="R198"/>
    </row>
    <row r="199" spans="2:18" s="9" customFormat="1" ht="25.5" x14ac:dyDescent="0.2">
      <c r="B199" s="120" t="s">
        <v>547</v>
      </c>
      <c r="C199" s="120"/>
      <c r="D199" s="73" t="s">
        <v>577</v>
      </c>
      <c r="I199"/>
      <c r="J199" s="2"/>
      <c r="K199" s="5"/>
      <c r="L199" s="5"/>
      <c r="M199" s="5"/>
      <c r="N199" s="5"/>
      <c r="O199"/>
      <c r="R199"/>
    </row>
    <row r="200" spans="2:18" s="9" customFormat="1" x14ac:dyDescent="0.2">
      <c r="B200" s="121" t="s">
        <v>548</v>
      </c>
      <c r="C200" s="123"/>
      <c r="D200" s="122"/>
      <c r="I200"/>
      <c r="J200" s="2"/>
      <c r="K200" s="5"/>
      <c r="L200" s="5"/>
      <c r="M200" s="5"/>
      <c r="N200" s="5"/>
      <c r="O200"/>
      <c r="P200"/>
      <c r="Q200"/>
      <c r="R200"/>
    </row>
  </sheetData>
  <mergeCells count="27">
    <mergeCell ref="B196:C196"/>
    <mergeCell ref="B197:C197"/>
    <mergeCell ref="B198:C198"/>
    <mergeCell ref="B199:C199"/>
    <mergeCell ref="B200:D200"/>
    <mergeCell ref="B191:C191"/>
    <mergeCell ref="B192:C192"/>
    <mergeCell ref="B193:C193"/>
    <mergeCell ref="B194:C194"/>
    <mergeCell ref="B195:C195"/>
    <mergeCell ref="B180:C180"/>
    <mergeCell ref="B190:D190"/>
    <mergeCell ref="B182:C182"/>
    <mergeCell ref="B183:C183"/>
    <mergeCell ref="B152:C152"/>
    <mergeCell ref="B153:C153"/>
    <mergeCell ref="B171:C171"/>
    <mergeCell ref="B181:C181"/>
    <mergeCell ref="A1:H1"/>
    <mergeCell ref="A2:H2"/>
    <mergeCell ref="A3:H3"/>
    <mergeCell ref="B150:D150"/>
    <mergeCell ref="B151:C151"/>
    <mergeCell ref="B145:H145"/>
    <mergeCell ref="B146:H146"/>
    <mergeCell ref="B147:H147"/>
    <mergeCell ref="B148:H148"/>
  </mergeCells>
  <hyperlinks>
    <hyperlink ref="I1" location="Index!B6" display="Index" xr:uid="{C220B685-A213-4033-849D-6518ED4B93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89C0-3DA3-41EB-A44A-F4471CD0905F}">
  <sheetPr>
    <outlinePr summaryBelow="0" summaryRight="0"/>
  </sheetPr>
  <dimension ref="A1:S160"/>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2" customWidth="1"/>
    <col min="11" max="11" width="6" bestFit="1" customWidth="1"/>
  </cols>
  <sheetData>
    <row r="1" spans="1:11" ht="15" x14ac:dyDescent="0.2">
      <c r="A1" s="108" t="s">
        <v>0</v>
      </c>
      <c r="B1" s="108"/>
      <c r="C1" s="108"/>
      <c r="D1" s="108"/>
      <c r="E1" s="108"/>
      <c r="F1" s="108"/>
      <c r="G1" s="108"/>
      <c r="H1" s="108"/>
      <c r="I1" s="1" t="s">
        <v>597</v>
      </c>
      <c r="K1" s="1"/>
    </row>
    <row r="2" spans="1:11" ht="15" x14ac:dyDescent="0.2">
      <c r="A2" s="108" t="s">
        <v>377</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ht="25.5" x14ac:dyDescent="0.2">
      <c r="A14" s="26"/>
      <c r="B14" s="26"/>
      <c r="C14" s="31"/>
      <c r="D14" s="26"/>
      <c r="E14" s="26"/>
      <c r="F14" s="32"/>
      <c r="G14" s="32"/>
      <c r="H14" s="28" t="s">
        <v>12</v>
      </c>
      <c r="J14" s="7" t="s">
        <v>608</v>
      </c>
    </row>
    <row r="15" spans="1:11" x14ac:dyDescent="0.2">
      <c r="A15" s="26"/>
      <c r="B15" s="26"/>
      <c r="C15" s="27" t="s">
        <v>16</v>
      </c>
      <c r="D15" s="26"/>
      <c r="E15" s="26"/>
      <c r="F15" s="26"/>
      <c r="G15" s="26"/>
      <c r="H15" s="28" t="s">
        <v>12</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ht="25.5" x14ac:dyDescent="0.2">
      <c r="A27" s="26"/>
      <c r="B27" s="26"/>
      <c r="C27" s="27" t="s">
        <v>10</v>
      </c>
      <c r="D27" s="26"/>
      <c r="E27" s="26"/>
      <c r="F27" s="32"/>
      <c r="G27" s="32"/>
      <c r="H27" s="28" t="s">
        <v>12</v>
      </c>
      <c r="J27" s="2" t="s">
        <v>609</v>
      </c>
    </row>
    <row r="28" spans="1:10" ht="25.5" x14ac:dyDescent="0.2">
      <c r="A28" s="34">
        <v>1</v>
      </c>
      <c r="B28" s="35" t="s">
        <v>378</v>
      </c>
      <c r="C28" s="35" t="s">
        <v>379</v>
      </c>
      <c r="D28" s="35" t="s">
        <v>23</v>
      </c>
      <c r="E28" s="36">
        <v>1000</v>
      </c>
      <c r="F28" s="37">
        <v>1009.129</v>
      </c>
      <c r="G28" s="38">
        <v>5.4319729999999997E-2</v>
      </c>
      <c r="H28" s="28">
        <v>7.45</v>
      </c>
      <c r="J28" s="7"/>
    </row>
    <row r="29" spans="1:10" ht="25.5" x14ac:dyDescent="0.2">
      <c r="A29" s="34">
        <v>2</v>
      </c>
      <c r="B29" s="35" t="s">
        <v>33</v>
      </c>
      <c r="C29" s="35" t="s">
        <v>34</v>
      </c>
      <c r="D29" s="35" t="s">
        <v>23</v>
      </c>
      <c r="E29" s="36">
        <v>1000</v>
      </c>
      <c r="F29" s="37">
        <v>1005.866</v>
      </c>
      <c r="G29" s="38">
        <v>5.4144089999999999E-2</v>
      </c>
      <c r="H29" s="28">
        <v>7.4497</v>
      </c>
    </row>
    <row r="30" spans="1:10" ht="25.5" x14ac:dyDescent="0.2">
      <c r="A30" s="34">
        <v>3</v>
      </c>
      <c r="B30" s="35" t="s">
        <v>135</v>
      </c>
      <c r="C30" s="35" t="s">
        <v>136</v>
      </c>
      <c r="D30" s="35" t="s">
        <v>32</v>
      </c>
      <c r="E30" s="36">
        <v>100</v>
      </c>
      <c r="F30" s="37">
        <v>996.05899999999997</v>
      </c>
      <c r="G30" s="38">
        <v>5.3616200000000003E-2</v>
      </c>
      <c r="H30" s="28">
        <v>7.8</v>
      </c>
    </row>
    <row r="31" spans="1:10" x14ac:dyDescent="0.2">
      <c r="A31" s="34">
        <v>4</v>
      </c>
      <c r="B31" s="35" t="s">
        <v>195</v>
      </c>
      <c r="C31" s="35" t="s">
        <v>196</v>
      </c>
      <c r="D31" s="35" t="s">
        <v>197</v>
      </c>
      <c r="E31" s="36">
        <v>700</v>
      </c>
      <c r="F31" s="37">
        <v>702.59910000000002</v>
      </c>
      <c r="G31" s="38">
        <v>3.7819739999999998E-2</v>
      </c>
      <c r="H31" s="28">
        <v>8.51</v>
      </c>
    </row>
    <row r="32" spans="1:10" x14ac:dyDescent="0.2">
      <c r="A32" s="34">
        <v>5</v>
      </c>
      <c r="B32" s="35" t="s">
        <v>119</v>
      </c>
      <c r="C32" s="35" t="s">
        <v>120</v>
      </c>
      <c r="D32" s="35" t="s">
        <v>23</v>
      </c>
      <c r="E32" s="36">
        <v>500</v>
      </c>
      <c r="F32" s="37">
        <v>502.67750000000001</v>
      </c>
      <c r="G32" s="38">
        <v>2.7058289999999999E-2</v>
      </c>
      <c r="H32" s="28">
        <v>7.36</v>
      </c>
    </row>
    <row r="33" spans="1:8" x14ac:dyDescent="0.2">
      <c r="A33" s="34">
        <v>6</v>
      </c>
      <c r="B33" s="35" t="s">
        <v>59</v>
      </c>
      <c r="C33" s="35" t="s">
        <v>60</v>
      </c>
      <c r="D33" s="35" t="s">
        <v>23</v>
      </c>
      <c r="E33" s="36">
        <v>50</v>
      </c>
      <c r="F33" s="37">
        <v>502.55399999999997</v>
      </c>
      <c r="G33" s="38">
        <v>2.705165E-2</v>
      </c>
      <c r="H33" s="28">
        <v>7.7477999999999998</v>
      </c>
    </row>
    <row r="34" spans="1:8" x14ac:dyDescent="0.2">
      <c r="A34" s="34">
        <v>7</v>
      </c>
      <c r="B34" s="35" t="s">
        <v>192</v>
      </c>
      <c r="C34" s="35" t="s">
        <v>193</v>
      </c>
      <c r="D34" s="35" t="s">
        <v>194</v>
      </c>
      <c r="E34" s="36">
        <v>500</v>
      </c>
      <c r="F34" s="37">
        <v>500.1755</v>
      </c>
      <c r="G34" s="38">
        <v>2.6923610000000001E-2</v>
      </c>
      <c r="H34" s="28">
        <v>7.5650000000000004</v>
      </c>
    </row>
    <row r="35" spans="1:8" ht="25.5" x14ac:dyDescent="0.2">
      <c r="A35" s="34">
        <v>8</v>
      </c>
      <c r="B35" s="35" t="s">
        <v>61</v>
      </c>
      <c r="C35" s="35" t="s">
        <v>62</v>
      </c>
      <c r="D35" s="35" t="s">
        <v>23</v>
      </c>
      <c r="E35" s="36">
        <v>500</v>
      </c>
      <c r="F35" s="37">
        <v>499.40100000000001</v>
      </c>
      <c r="G35" s="38">
        <v>2.688192E-2</v>
      </c>
      <c r="H35" s="28">
        <v>8.2200000000000006</v>
      </c>
    </row>
    <row r="36" spans="1:8" x14ac:dyDescent="0.2">
      <c r="A36" s="34">
        <v>9</v>
      </c>
      <c r="B36" s="35" t="s">
        <v>380</v>
      </c>
      <c r="C36" s="35" t="s">
        <v>381</v>
      </c>
      <c r="D36" s="35" t="s">
        <v>23</v>
      </c>
      <c r="E36" s="36">
        <v>500</v>
      </c>
      <c r="F36" s="37">
        <v>499.21550000000002</v>
      </c>
      <c r="G36" s="38">
        <v>2.687194E-2</v>
      </c>
      <c r="H36" s="28">
        <v>7.585</v>
      </c>
    </row>
    <row r="37" spans="1:8" ht="25.5" x14ac:dyDescent="0.2">
      <c r="A37" s="34">
        <v>10</v>
      </c>
      <c r="B37" s="35" t="s">
        <v>382</v>
      </c>
      <c r="C37" s="35" t="s">
        <v>383</v>
      </c>
      <c r="D37" s="35" t="s">
        <v>23</v>
      </c>
      <c r="E37" s="36">
        <v>50</v>
      </c>
      <c r="F37" s="37">
        <v>496.16250000000002</v>
      </c>
      <c r="G37" s="38">
        <v>2.6707600000000001E-2</v>
      </c>
      <c r="H37" s="28">
        <v>7.6</v>
      </c>
    </row>
    <row r="38" spans="1:8" x14ac:dyDescent="0.2">
      <c r="A38" s="34">
        <v>11</v>
      </c>
      <c r="B38" s="35" t="s">
        <v>384</v>
      </c>
      <c r="C38" s="35" t="s">
        <v>385</v>
      </c>
      <c r="D38" s="35" t="s">
        <v>23</v>
      </c>
      <c r="E38" s="36">
        <v>50</v>
      </c>
      <c r="F38" s="37">
        <v>485.62799999999999</v>
      </c>
      <c r="G38" s="38">
        <v>2.6140549999999999E-2</v>
      </c>
      <c r="H38" s="28">
        <v>7.8</v>
      </c>
    </row>
    <row r="39" spans="1:8" x14ac:dyDescent="0.2">
      <c r="A39" s="34">
        <v>12</v>
      </c>
      <c r="B39" s="35" t="s">
        <v>198</v>
      </c>
      <c r="C39" s="35" t="s">
        <v>199</v>
      </c>
      <c r="D39" s="35" t="s">
        <v>200</v>
      </c>
      <c r="E39" s="36">
        <v>300</v>
      </c>
      <c r="F39" s="37">
        <v>301.37939999999998</v>
      </c>
      <c r="G39" s="38">
        <v>1.6222750000000001E-2</v>
      </c>
      <c r="H39" s="28">
        <v>8.1294000000000004</v>
      </c>
    </row>
    <row r="40" spans="1:8" x14ac:dyDescent="0.2">
      <c r="A40" s="26"/>
      <c r="B40" s="26"/>
      <c r="C40" s="27" t="s">
        <v>11</v>
      </c>
      <c r="D40" s="26"/>
      <c r="E40" s="26" t="s">
        <v>12</v>
      </c>
      <c r="F40" s="33">
        <v>7500.8464999999997</v>
      </c>
      <c r="G40" s="30">
        <v>0.40375807000000002</v>
      </c>
      <c r="H40" s="28" t="s">
        <v>12</v>
      </c>
    </row>
    <row r="41" spans="1:8" x14ac:dyDescent="0.2">
      <c r="A41" s="26"/>
      <c r="B41" s="26"/>
      <c r="C41" s="31"/>
      <c r="D41" s="26"/>
      <c r="E41" s="26"/>
      <c r="F41" s="32"/>
      <c r="G41" s="32"/>
      <c r="H41" s="28" t="s">
        <v>12</v>
      </c>
    </row>
    <row r="42" spans="1:8" x14ac:dyDescent="0.2">
      <c r="A42" s="26"/>
      <c r="B42" s="26"/>
      <c r="C42" s="27" t="s">
        <v>67</v>
      </c>
      <c r="D42" s="26"/>
      <c r="E42" s="26"/>
      <c r="F42" s="26"/>
      <c r="G42" s="26"/>
      <c r="H42" s="28" t="s">
        <v>12</v>
      </c>
    </row>
    <row r="43" spans="1:8" x14ac:dyDescent="0.2">
      <c r="A43" s="26"/>
      <c r="B43" s="26"/>
      <c r="C43" s="27" t="s">
        <v>11</v>
      </c>
      <c r="D43" s="26"/>
      <c r="E43" s="26" t="s">
        <v>12</v>
      </c>
      <c r="F43" s="29" t="s">
        <v>13</v>
      </c>
      <c r="G43" s="30">
        <v>0</v>
      </c>
      <c r="H43" s="28" t="s">
        <v>12</v>
      </c>
    </row>
    <row r="44" spans="1:8" x14ac:dyDescent="0.2">
      <c r="A44" s="26"/>
      <c r="B44" s="26"/>
      <c r="C44" s="31"/>
      <c r="D44" s="26"/>
      <c r="E44" s="26"/>
      <c r="F44" s="32"/>
      <c r="G44" s="32"/>
      <c r="H44" s="28" t="s">
        <v>12</v>
      </c>
    </row>
    <row r="45" spans="1:8" x14ac:dyDescent="0.2">
      <c r="A45" s="26"/>
      <c r="B45" s="26"/>
      <c r="C45" s="27" t="s">
        <v>68</v>
      </c>
      <c r="D45" s="26"/>
      <c r="E45" s="26"/>
      <c r="F45" s="26"/>
      <c r="G45" s="26"/>
      <c r="H45" s="28" t="s">
        <v>12</v>
      </c>
    </row>
    <row r="46" spans="1:8" x14ac:dyDescent="0.2">
      <c r="A46" s="34">
        <v>1</v>
      </c>
      <c r="B46" s="35" t="s">
        <v>69</v>
      </c>
      <c r="C46" s="35" t="s">
        <v>70</v>
      </c>
      <c r="D46" s="35" t="s">
        <v>71</v>
      </c>
      <c r="E46" s="36">
        <v>1900000</v>
      </c>
      <c r="F46" s="37">
        <v>1945.5639000000001</v>
      </c>
      <c r="G46" s="38">
        <v>0.10472645999999999</v>
      </c>
      <c r="H46" s="28">
        <v>6.9313000000000002</v>
      </c>
    </row>
    <row r="47" spans="1:8" ht="25.5" x14ac:dyDescent="0.2">
      <c r="A47" s="34">
        <v>2</v>
      </c>
      <c r="B47" s="35" t="s">
        <v>72</v>
      </c>
      <c r="C47" s="35" t="s">
        <v>73</v>
      </c>
      <c r="D47" s="35" t="s">
        <v>71</v>
      </c>
      <c r="E47" s="36">
        <v>1700000</v>
      </c>
      <c r="F47" s="37">
        <v>1736.2286999999999</v>
      </c>
      <c r="G47" s="38">
        <v>9.3458299999999994E-2</v>
      </c>
      <c r="H47" s="28">
        <v>6.9077000000000002</v>
      </c>
    </row>
    <row r="48" spans="1:8" x14ac:dyDescent="0.2">
      <c r="A48" s="34">
        <v>3</v>
      </c>
      <c r="B48" s="35" t="s">
        <v>78</v>
      </c>
      <c r="C48" s="35" t="s">
        <v>79</v>
      </c>
      <c r="D48" s="35" t="s">
        <v>71</v>
      </c>
      <c r="E48" s="36">
        <v>1500000</v>
      </c>
      <c r="F48" s="37">
        <v>1534.7954999999999</v>
      </c>
      <c r="G48" s="38">
        <v>8.261549E-2</v>
      </c>
      <c r="H48" s="28">
        <v>6.8235999999999999</v>
      </c>
    </row>
    <row r="49" spans="1:8" ht="25.5" x14ac:dyDescent="0.2">
      <c r="A49" s="34">
        <v>4</v>
      </c>
      <c r="B49" s="35" t="s">
        <v>223</v>
      </c>
      <c r="C49" s="35" t="s">
        <v>224</v>
      </c>
      <c r="D49" s="35" t="s">
        <v>71</v>
      </c>
      <c r="E49" s="36">
        <v>1000000</v>
      </c>
      <c r="F49" s="37">
        <v>1016.673</v>
      </c>
      <c r="G49" s="38">
        <v>5.472581E-2</v>
      </c>
      <c r="H49" s="28">
        <v>6.8147000000000002</v>
      </c>
    </row>
    <row r="50" spans="1:8" ht="25.5" x14ac:dyDescent="0.2">
      <c r="A50" s="34">
        <v>5</v>
      </c>
      <c r="B50" s="35" t="s">
        <v>386</v>
      </c>
      <c r="C50" s="35" t="s">
        <v>387</v>
      </c>
      <c r="D50" s="35" t="s">
        <v>71</v>
      </c>
      <c r="E50" s="36">
        <v>500000</v>
      </c>
      <c r="F50" s="37">
        <v>509.55250000000001</v>
      </c>
      <c r="G50" s="38">
        <v>2.7428359999999999E-2</v>
      </c>
      <c r="H50" s="28">
        <v>7.2876000000000003</v>
      </c>
    </row>
    <row r="51" spans="1:8" ht="25.5" x14ac:dyDescent="0.2">
      <c r="A51" s="34">
        <v>6</v>
      </c>
      <c r="B51" s="35" t="s">
        <v>388</v>
      </c>
      <c r="C51" s="35" t="s">
        <v>530</v>
      </c>
      <c r="D51" s="35" t="s">
        <v>71</v>
      </c>
      <c r="E51" s="36">
        <v>500000</v>
      </c>
      <c r="F51" s="37">
        <v>502.75650000000002</v>
      </c>
      <c r="G51" s="38">
        <v>2.7062550000000001E-2</v>
      </c>
      <c r="H51" s="28">
        <v>7.4212715560541511</v>
      </c>
    </row>
    <row r="52" spans="1:8" x14ac:dyDescent="0.2">
      <c r="A52" s="26"/>
      <c r="B52" s="26"/>
      <c r="C52" s="27" t="s">
        <v>11</v>
      </c>
      <c r="D52" s="26"/>
      <c r="E52" s="26" t="s">
        <v>12</v>
      </c>
      <c r="F52" s="33">
        <v>7245.5700999999999</v>
      </c>
      <c r="G52" s="30">
        <v>0.39001697000000002</v>
      </c>
      <c r="H52" s="28" t="s">
        <v>12</v>
      </c>
    </row>
    <row r="53" spans="1:8" x14ac:dyDescent="0.2">
      <c r="A53" s="26"/>
      <c r="B53" s="26"/>
      <c r="C53" s="31"/>
      <c r="D53" s="26"/>
      <c r="E53" s="26"/>
      <c r="F53" s="32"/>
      <c r="G53" s="32"/>
      <c r="H53" s="28" t="s">
        <v>12</v>
      </c>
    </row>
    <row r="54" spans="1:8" x14ac:dyDescent="0.2">
      <c r="A54" s="26"/>
      <c r="B54" s="26"/>
      <c r="C54" s="27" t="s">
        <v>82</v>
      </c>
      <c r="D54" s="26"/>
      <c r="E54" s="26"/>
      <c r="F54" s="32"/>
      <c r="G54" s="32"/>
      <c r="H54" s="28" t="s">
        <v>12</v>
      </c>
    </row>
    <row r="55" spans="1:8" x14ac:dyDescent="0.2">
      <c r="A55" s="26"/>
      <c r="B55" s="26"/>
      <c r="C55" s="27" t="s">
        <v>11</v>
      </c>
      <c r="D55" s="26"/>
      <c r="E55" s="26" t="s">
        <v>12</v>
      </c>
      <c r="F55" s="29" t="s">
        <v>13</v>
      </c>
      <c r="G55" s="30">
        <v>0</v>
      </c>
      <c r="H55" s="28" t="s">
        <v>12</v>
      </c>
    </row>
    <row r="56" spans="1:8" x14ac:dyDescent="0.2">
      <c r="A56" s="26"/>
      <c r="B56" s="26"/>
      <c r="C56" s="31"/>
      <c r="D56" s="26"/>
      <c r="E56" s="26"/>
      <c r="F56" s="32"/>
      <c r="G56" s="32"/>
      <c r="H56" s="28" t="s">
        <v>12</v>
      </c>
    </row>
    <row r="57" spans="1:8" x14ac:dyDescent="0.2">
      <c r="A57" s="26"/>
      <c r="B57" s="26"/>
      <c r="C57" s="27" t="s">
        <v>83</v>
      </c>
      <c r="D57" s="26"/>
      <c r="E57" s="26"/>
      <c r="F57" s="33">
        <v>14746.4166</v>
      </c>
      <c r="G57" s="30">
        <v>0.79377503999999999</v>
      </c>
      <c r="H57" s="28" t="s">
        <v>12</v>
      </c>
    </row>
    <row r="58" spans="1:8" x14ac:dyDescent="0.2">
      <c r="A58" s="26"/>
      <c r="B58" s="26"/>
      <c r="C58" s="31"/>
      <c r="D58" s="26"/>
      <c r="E58" s="26"/>
      <c r="F58" s="32"/>
      <c r="G58" s="32"/>
      <c r="H58" s="28" t="s">
        <v>12</v>
      </c>
    </row>
    <row r="59" spans="1:8" x14ac:dyDescent="0.2">
      <c r="A59" s="26"/>
      <c r="B59" s="26"/>
      <c r="C59" s="27" t="s">
        <v>84</v>
      </c>
      <c r="D59" s="26"/>
      <c r="E59" s="26"/>
      <c r="F59" s="32"/>
      <c r="G59" s="32"/>
      <c r="H59" s="28" t="s">
        <v>12</v>
      </c>
    </row>
    <row r="60" spans="1:8" x14ac:dyDescent="0.2">
      <c r="A60" s="26"/>
      <c r="B60" s="26"/>
      <c r="C60" s="27" t="s">
        <v>85</v>
      </c>
      <c r="D60" s="26"/>
      <c r="E60" s="26"/>
      <c r="F60" s="32"/>
      <c r="G60" s="32"/>
      <c r="H60" s="28" t="s">
        <v>12</v>
      </c>
    </row>
    <row r="61" spans="1:8" x14ac:dyDescent="0.2">
      <c r="A61" s="34">
        <v>1</v>
      </c>
      <c r="B61" s="35" t="s">
        <v>389</v>
      </c>
      <c r="C61" s="35" t="s">
        <v>390</v>
      </c>
      <c r="D61" s="35" t="s">
        <v>144</v>
      </c>
      <c r="E61" s="36">
        <v>100</v>
      </c>
      <c r="F61" s="37">
        <v>492.029</v>
      </c>
      <c r="G61" s="38">
        <v>2.6485100000000001E-2</v>
      </c>
      <c r="H61" s="28">
        <v>7.2999000000000001</v>
      </c>
    </row>
    <row r="62" spans="1:8" ht="25.5" x14ac:dyDescent="0.2">
      <c r="A62" s="34">
        <v>2</v>
      </c>
      <c r="B62" s="35" t="s">
        <v>235</v>
      </c>
      <c r="C62" s="35" t="s">
        <v>236</v>
      </c>
      <c r="D62" s="35" t="s">
        <v>144</v>
      </c>
      <c r="E62" s="36">
        <v>100</v>
      </c>
      <c r="F62" s="37">
        <v>488.322</v>
      </c>
      <c r="G62" s="38">
        <v>2.6285559999999999E-2</v>
      </c>
      <c r="H62" s="28">
        <v>7.5250000000000004</v>
      </c>
    </row>
    <row r="63" spans="1:8" x14ac:dyDescent="0.2">
      <c r="A63" s="34">
        <v>3</v>
      </c>
      <c r="B63" s="35" t="s">
        <v>167</v>
      </c>
      <c r="C63" s="35" t="s">
        <v>168</v>
      </c>
      <c r="D63" s="35" t="s">
        <v>162</v>
      </c>
      <c r="E63" s="36">
        <v>100</v>
      </c>
      <c r="F63" s="37">
        <v>486.38099999999997</v>
      </c>
      <c r="G63" s="38">
        <v>2.6181079999999999E-2</v>
      </c>
      <c r="H63" s="28">
        <v>7.46</v>
      </c>
    </row>
    <row r="64" spans="1:8" x14ac:dyDescent="0.2">
      <c r="A64" s="34">
        <v>4</v>
      </c>
      <c r="B64" s="35" t="s">
        <v>171</v>
      </c>
      <c r="C64" s="35" t="s">
        <v>172</v>
      </c>
      <c r="D64" s="35" t="s">
        <v>162</v>
      </c>
      <c r="E64" s="36">
        <v>100</v>
      </c>
      <c r="F64" s="37">
        <v>483.64749999999998</v>
      </c>
      <c r="G64" s="38">
        <v>2.6033939999999998E-2</v>
      </c>
      <c r="H64" s="28">
        <v>7.5250000000000004</v>
      </c>
    </row>
    <row r="65" spans="1:8" x14ac:dyDescent="0.2">
      <c r="A65" s="26"/>
      <c r="B65" s="26"/>
      <c r="C65" s="27" t="s">
        <v>11</v>
      </c>
      <c r="D65" s="26"/>
      <c r="E65" s="26" t="s">
        <v>12</v>
      </c>
      <c r="F65" s="33">
        <v>1950.3795</v>
      </c>
      <c r="G65" s="30">
        <v>0.10498568</v>
      </c>
      <c r="H65" s="28" t="s">
        <v>12</v>
      </c>
    </row>
    <row r="66" spans="1:8" x14ac:dyDescent="0.2">
      <c r="A66" s="26"/>
      <c r="B66" s="26"/>
      <c r="C66" s="31"/>
      <c r="D66" s="26"/>
      <c r="E66" s="26"/>
      <c r="F66" s="32"/>
      <c r="G66" s="32"/>
      <c r="H66" s="28" t="s">
        <v>12</v>
      </c>
    </row>
    <row r="67" spans="1:8" x14ac:dyDescent="0.2">
      <c r="A67" s="26"/>
      <c r="B67" s="26"/>
      <c r="C67" s="27" t="s">
        <v>86</v>
      </c>
      <c r="D67" s="26"/>
      <c r="E67" s="26"/>
      <c r="F67" s="32"/>
      <c r="G67" s="32"/>
      <c r="H67" s="28" t="s">
        <v>12</v>
      </c>
    </row>
    <row r="68" spans="1:8" x14ac:dyDescent="0.2">
      <c r="A68" s="26"/>
      <c r="B68" s="26"/>
      <c r="C68" s="27" t="s">
        <v>11</v>
      </c>
      <c r="D68" s="26"/>
      <c r="E68" s="26" t="s">
        <v>12</v>
      </c>
      <c r="F68" s="29" t="s">
        <v>13</v>
      </c>
      <c r="G68" s="30">
        <v>0</v>
      </c>
      <c r="H68" s="28" t="s">
        <v>12</v>
      </c>
    </row>
    <row r="69" spans="1:8" x14ac:dyDescent="0.2">
      <c r="A69" s="26"/>
      <c r="B69" s="26"/>
      <c r="C69" s="31"/>
      <c r="D69" s="26"/>
      <c r="E69" s="26"/>
      <c r="F69" s="32"/>
      <c r="G69" s="32"/>
      <c r="H69" s="28" t="s">
        <v>12</v>
      </c>
    </row>
    <row r="70" spans="1:8" x14ac:dyDescent="0.2">
      <c r="A70" s="26"/>
      <c r="B70" s="26"/>
      <c r="C70" s="27" t="s">
        <v>87</v>
      </c>
      <c r="D70" s="26"/>
      <c r="E70" s="26"/>
      <c r="F70" s="32"/>
      <c r="G70" s="32"/>
      <c r="H70" s="28" t="s">
        <v>12</v>
      </c>
    </row>
    <row r="71" spans="1:8" x14ac:dyDescent="0.2">
      <c r="A71" s="26"/>
      <c r="B71" s="26"/>
      <c r="C71" s="27" t="s">
        <v>11</v>
      </c>
      <c r="D71" s="26"/>
      <c r="E71" s="26" t="s">
        <v>12</v>
      </c>
      <c r="F71" s="29" t="s">
        <v>13</v>
      </c>
      <c r="G71" s="30">
        <v>0</v>
      </c>
      <c r="H71" s="28" t="s">
        <v>12</v>
      </c>
    </row>
    <row r="72" spans="1:8" x14ac:dyDescent="0.2">
      <c r="A72" s="26"/>
      <c r="B72" s="26"/>
      <c r="C72" s="31"/>
      <c r="D72" s="26"/>
      <c r="E72" s="26"/>
      <c r="F72" s="32"/>
      <c r="G72" s="32"/>
      <c r="H72" s="28" t="s">
        <v>12</v>
      </c>
    </row>
    <row r="73" spans="1:8" x14ac:dyDescent="0.2">
      <c r="A73" s="26"/>
      <c r="B73" s="26"/>
      <c r="C73" s="27" t="s">
        <v>88</v>
      </c>
      <c r="D73" s="26"/>
      <c r="E73" s="26"/>
      <c r="F73" s="32"/>
      <c r="G73" s="32"/>
      <c r="H73" s="28" t="s">
        <v>12</v>
      </c>
    </row>
    <row r="74" spans="1:8" x14ac:dyDescent="0.2">
      <c r="A74" s="34">
        <v>1</v>
      </c>
      <c r="B74" s="35"/>
      <c r="C74" s="35" t="s">
        <v>89</v>
      </c>
      <c r="D74" s="35"/>
      <c r="E74" s="39"/>
      <c r="F74" s="37">
        <v>1355.386276404</v>
      </c>
      <c r="G74" s="38">
        <v>7.2958190000000006E-2</v>
      </c>
      <c r="H74" s="28">
        <v>6.4</v>
      </c>
    </row>
    <row r="75" spans="1:8" x14ac:dyDescent="0.2">
      <c r="A75" s="26"/>
      <c r="B75" s="26"/>
      <c r="C75" s="27" t="s">
        <v>11</v>
      </c>
      <c r="D75" s="26"/>
      <c r="E75" s="26" t="s">
        <v>12</v>
      </c>
      <c r="F75" s="33">
        <v>1355.386276404</v>
      </c>
      <c r="G75" s="30">
        <v>7.2958190000000006E-2</v>
      </c>
      <c r="H75" s="28" t="s">
        <v>12</v>
      </c>
    </row>
    <row r="76" spans="1:8" x14ac:dyDescent="0.2">
      <c r="A76" s="26"/>
      <c r="B76" s="26"/>
      <c r="C76" s="31"/>
      <c r="D76" s="26"/>
      <c r="E76" s="26"/>
      <c r="F76" s="32"/>
      <c r="G76" s="32"/>
      <c r="H76" s="28" t="s">
        <v>12</v>
      </c>
    </row>
    <row r="77" spans="1:8" x14ac:dyDescent="0.2">
      <c r="A77" s="26"/>
      <c r="B77" s="26"/>
      <c r="C77" s="27" t="s">
        <v>90</v>
      </c>
      <c r="D77" s="26"/>
      <c r="E77" s="26"/>
      <c r="F77" s="33">
        <v>3305.765776404</v>
      </c>
      <c r="G77" s="30">
        <v>0.17794387</v>
      </c>
      <c r="H77" s="28" t="s">
        <v>12</v>
      </c>
    </row>
    <row r="78" spans="1:8" x14ac:dyDescent="0.2">
      <c r="A78" s="26"/>
      <c r="B78" s="26"/>
      <c r="C78" s="32"/>
      <c r="D78" s="26"/>
      <c r="E78" s="26"/>
      <c r="F78" s="26"/>
      <c r="G78" s="26"/>
      <c r="H78" s="28" t="s">
        <v>12</v>
      </c>
    </row>
    <row r="79" spans="1:8" x14ac:dyDescent="0.2">
      <c r="A79" s="26"/>
      <c r="B79" s="26"/>
      <c r="C79" s="27" t="s">
        <v>91</v>
      </c>
      <c r="D79" s="26"/>
      <c r="E79" s="26"/>
      <c r="F79" s="26"/>
      <c r="G79" s="26"/>
      <c r="H79" s="28" t="s">
        <v>12</v>
      </c>
    </row>
    <row r="80" spans="1:8" x14ac:dyDescent="0.2">
      <c r="A80" s="26"/>
      <c r="B80" s="26"/>
      <c r="C80" s="27" t="s">
        <v>92</v>
      </c>
      <c r="D80" s="26"/>
      <c r="E80" s="26"/>
      <c r="F80" s="26"/>
      <c r="G80" s="26"/>
      <c r="H80" s="28" t="s">
        <v>12</v>
      </c>
    </row>
    <row r="81" spans="1:18" x14ac:dyDescent="0.2">
      <c r="A81" s="26"/>
      <c r="B81" s="26"/>
      <c r="C81" s="27" t="s">
        <v>11</v>
      </c>
      <c r="D81" s="26"/>
      <c r="E81" s="26" t="s">
        <v>12</v>
      </c>
      <c r="F81" s="29" t="s">
        <v>13</v>
      </c>
      <c r="G81" s="30">
        <v>0</v>
      </c>
      <c r="H81" s="28" t="s">
        <v>12</v>
      </c>
    </row>
    <row r="82" spans="1:18" x14ac:dyDescent="0.2">
      <c r="A82" s="26"/>
      <c r="B82" s="26"/>
      <c r="C82" s="31"/>
      <c r="D82" s="26"/>
      <c r="E82" s="26"/>
      <c r="F82" s="32"/>
      <c r="G82" s="32"/>
      <c r="H82" s="28" t="s">
        <v>12</v>
      </c>
    </row>
    <row r="83" spans="1:18" x14ac:dyDescent="0.2">
      <c r="A83" s="40"/>
      <c r="B83" s="40"/>
      <c r="C83" s="41" t="s">
        <v>527</v>
      </c>
      <c r="D83" s="40"/>
      <c r="E83" s="40"/>
      <c r="F83" s="42"/>
      <c r="G83" s="42"/>
      <c r="H83" s="43"/>
      <c r="L83" s="5"/>
      <c r="M83" s="5"/>
      <c r="N83" s="5"/>
      <c r="O83" s="5"/>
      <c r="P83" s="6"/>
      <c r="Q83" s="6"/>
      <c r="R83" s="6"/>
    </row>
    <row r="84" spans="1:18" ht="25.5" x14ac:dyDescent="0.2">
      <c r="A84" s="34">
        <v>1</v>
      </c>
      <c r="B84" s="35" t="s">
        <v>93</v>
      </c>
      <c r="C84" s="35" t="s">
        <v>94</v>
      </c>
      <c r="D84" s="35"/>
      <c r="E84" s="44">
        <v>511.47399999999999</v>
      </c>
      <c r="F84" s="37">
        <v>53.123413307</v>
      </c>
      <c r="G84" s="38">
        <v>2.8595500000000002E-3</v>
      </c>
      <c r="H84" s="28">
        <v>9.9999999999999995E-7</v>
      </c>
      <c r="J84" s="8"/>
    </row>
    <row r="85" spans="1:18" x14ac:dyDescent="0.2">
      <c r="A85" s="26"/>
      <c r="B85" s="26"/>
      <c r="C85" s="27" t="s">
        <v>11</v>
      </c>
      <c r="D85" s="26"/>
      <c r="E85" s="26" t="s">
        <v>12</v>
      </c>
      <c r="F85" s="33">
        <v>53.123413307</v>
      </c>
      <c r="G85" s="30">
        <v>2.8595500000000002E-3</v>
      </c>
      <c r="H85" s="28" t="s">
        <v>12</v>
      </c>
      <c r="J85" s="8"/>
    </row>
    <row r="86" spans="1:18" x14ac:dyDescent="0.2">
      <c r="A86" s="26"/>
      <c r="B86" s="26"/>
      <c r="C86" s="31"/>
      <c r="D86" s="26"/>
      <c r="E86" s="26"/>
      <c r="F86" s="32"/>
      <c r="G86" s="32"/>
      <c r="H86" s="28" t="s">
        <v>12</v>
      </c>
      <c r="J86" s="8"/>
    </row>
    <row r="87" spans="1:18" x14ac:dyDescent="0.2">
      <c r="A87" s="26"/>
      <c r="B87" s="26"/>
      <c r="C87" s="27" t="s">
        <v>95</v>
      </c>
      <c r="D87" s="26"/>
      <c r="E87" s="26"/>
      <c r="F87" s="26"/>
      <c r="G87" s="26"/>
      <c r="H87" s="28" t="s">
        <v>12</v>
      </c>
      <c r="J87" s="8"/>
    </row>
    <row r="88" spans="1:18" x14ac:dyDescent="0.2">
      <c r="A88" s="26"/>
      <c r="B88" s="26"/>
      <c r="C88" s="27" t="s">
        <v>96</v>
      </c>
      <c r="D88" s="26"/>
      <c r="E88" s="26"/>
      <c r="F88" s="26"/>
      <c r="G88" s="26"/>
      <c r="H88" s="28" t="s">
        <v>12</v>
      </c>
      <c r="J88" s="8"/>
    </row>
    <row r="89" spans="1:18" x14ac:dyDescent="0.2">
      <c r="A89" s="26"/>
      <c r="B89" s="26"/>
      <c r="C89" s="27" t="s">
        <v>11</v>
      </c>
      <c r="D89" s="26"/>
      <c r="E89" s="26" t="s">
        <v>12</v>
      </c>
      <c r="F89" s="29" t="s">
        <v>13</v>
      </c>
      <c r="G89" s="30">
        <v>0</v>
      </c>
      <c r="H89" s="28" t="s">
        <v>12</v>
      </c>
      <c r="J89" s="8"/>
    </row>
    <row r="90" spans="1:18" x14ac:dyDescent="0.2">
      <c r="A90" s="26"/>
      <c r="B90" s="26"/>
      <c r="C90" s="31"/>
      <c r="D90" s="26"/>
      <c r="E90" s="26"/>
      <c r="F90" s="32"/>
      <c r="G90" s="32"/>
      <c r="H90" s="28" t="s">
        <v>12</v>
      </c>
      <c r="J90" s="8"/>
    </row>
    <row r="91" spans="1:18" x14ac:dyDescent="0.2">
      <c r="A91" s="26"/>
      <c r="B91" s="26"/>
      <c r="C91" s="27" t="s">
        <v>97</v>
      </c>
      <c r="D91" s="26"/>
      <c r="E91" s="26"/>
      <c r="F91" s="32"/>
      <c r="G91" s="32"/>
      <c r="H91" s="28" t="s">
        <v>12</v>
      </c>
      <c r="J91" s="8"/>
    </row>
    <row r="92" spans="1:18" x14ac:dyDescent="0.2">
      <c r="A92" s="26"/>
      <c r="B92" s="26"/>
      <c r="C92" s="27" t="s">
        <v>11</v>
      </c>
      <c r="D92" s="26"/>
      <c r="E92" s="26" t="s">
        <v>12</v>
      </c>
      <c r="F92" s="29" t="s">
        <v>13</v>
      </c>
      <c r="G92" s="30">
        <v>0</v>
      </c>
      <c r="H92" s="28" t="s">
        <v>12</v>
      </c>
      <c r="J92" s="8"/>
    </row>
    <row r="93" spans="1:18" x14ac:dyDescent="0.2">
      <c r="A93" s="26"/>
      <c r="B93" s="26"/>
      <c r="C93" s="31"/>
      <c r="D93" s="26"/>
      <c r="E93" s="26"/>
      <c r="F93" s="32"/>
      <c r="G93" s="32"/>
      <c r="H93" s="28" t="s">
        <v>12</v>
      </c>
      <c r="J93" s="8"/>
    </row>
    <row r="94" spans="1:18" x14ac:dyDescent="0.2">
      <c r="A94" s="39"/>
      <c r="B94" s="35"/>
      <c r="C94" s="35" t="s">
        <v>98</v>
      </c>
      <c r="D94" s="35"/>
      <c r="E94" s="39"/>
      <c r="F94" s="37">
        <f>472.27069502+0.0000489490008354187</f>
        <v>472.27074396900082</v>
      </c>
      <c r="G94" s="38">
        <v>2.5421550000000001E-2</v>
      </c>
      <c r="H94" s="28" t="s">
        <v>12</v>
      </c>
      <c r="J94" s="8"/>
    </row>
    <row r="95" spans="1:18" x14ac:dyDescent="0.2">
      <c r="A95" s="31"/>
      <c r="B95" s="31"/>
      <c r="C95" s="27" t="s">
        <v>99</v>
      </c>
      <c r="D95" s="32"/>
      <c r="E95" s="32"/>
      <c r="F95" s="33">
        <f>18577.576484731+0.0000489490008354187</f>
        <v>18577.57653368</v>
      </c>
      <c r="G95" s="45">
        <v>1.0000000099999999</v>
      </c>
      <c r="H95" s="28" t="s">
        <v>12</v>
      </c>
      <c r="J95" s="8"/>
    </row>
    <row r="96" spans="1:18" x14ac:dyDescent="0.2">
      <c r="A96" s="46"/>
      <c r="B96" s="46"/>
      <c r="C96" s="46"/>
      <c r="D96" s="47"/>
      <c r="E96" s="47"/>
      <c r="F96" s="47"/>
      <c r="G96" s="47"/>
      <c r="J96" s="8"/>
    </row>
    <row r="97" spans="1:10" x14ac:dyDescent="0.2">
      <c r="A97" s="48"/>
      <c r="B97" s="116" t="s">
        <v>537</v>
      </c>
      <c r="C97" s="116"/>
      <c r="D97" s="116"/>
      <c r="E97" s="116"/>
      <c r="F97" s="116"/>
      <c r="G97" s="116"/>
      <c r="H97" s="116"/>
      <c r="J97" s="8"/>
    </row>
    <row r="98" spans="1:10" x14ac:dyDescent="0.2">
      <c r="A98" s="48"/>
      <c r="B98" s="116" t="s">
        <v>538</v>
      </c>
      <c r="C98" s="116"/>
      <c r="D98" s="116"/>
      <c r="E98" s="116"/>
      <c r="F98" s="116"/>
      <c r="G98" s="116"/>
      <c r="H98" s="116"/>
    </row>
    <row r="99" spans="1:10" x14ac:dyDescent="0.2">
      <c r="A99" s="48"/>
      <c r="B99" s="116" t="s">
        <v>539</v>
      </c>
      <c r="C99" s="116"/>
      <c r="D99" s="116"/>
      <c r="E99" s="116"/>
      <c r="F99" s="116"/>
      <c r="G99" s="116"/>
      <c r="H99" s="116"/>
    </row>
    <row r="100" spans="1:10" s="17" customFormat="1" ht="67.5" customHeight="1" x14ac:dyDescent="0.2">
      <c r="A100" s="85"/>
      <c r="B100" s="125" t="s">
        <v>619</v>
      </c>
      <c r="C100" s="125"/>
      <c r="D100" s="125"/>
      <c r="E100" s="125"/>
      <c r="F100" s="125"/>
      <c r="G100" s="125"/>
      <c r="H100" s="125"/>
      <c r="I100"/>
      <c r="J100" s="2"/>
    </row>
    <row r="101" spans="1:10" x14ac:dyDescent="0.2">
      <c r="A101" s="50"/>
      <c r="B101" s="50"/>
      <c r="C101" s="50"/>
      <c r="D101" s="51"/>
      <c r="E101" s="51"/>
      <c r="F101" s="51"/>
      <c r="G101" s="51"/>
    </row>
    <row r="102" spans="1:10" x14ac:dyDescent="0.2">
      <c r="A102" s="50"/>
      <c r="B102" s="109" t="s">
        <v>100</v>
      </c>
      <c r="C102" s="110"/>
      <c r="D102" s="111"/>
      <c r="E102" s="52"/>
      <c r="F102" s="51"/>
      <c r="G102" s="51"/>
      <c r="J102" s="8"/>
    </row>
    <row r="103" spans="1:10" x14ac:dyDescent="0.2">
      <c r="A103" s="50"/>
      <c r="B103" s="112" t="s">
        <v>101</v>
      </c>
      <c r="C103" s="113"/>
      <c r="D103" s="27" t="s">
        <v>102</v>
      </c>
      <c r="E103" s="52"/>
      <c r="F103" s="51"/>
      <c r="G103" s="51"/>
      <c r="J103" s="8"/>
    </row>
    <row r="104" spans="1:10" x14ac:dyDescent="0.2">
      <c r="A104" s="50"/>
      <c r="B104" s="112" t="s">
        <v>103</v>
      </c>
      <c r="C104" s="113"/>
      <c r="D104" s="27" t="s">
        <v>102</v>
      </c>
      <c r="E104" s="52"/>
      <c r="F104" s="51"/>
      <c r="G104" s="51"/>
      <c r="J104" s="8"/>
    </row>
    <row r="105" spans="1:10" x14ac:dyDescent="0.2">
      <c r="A105" s="50"/>
      <c r="B105" s="112" t="s">
        <v>104</v>
      </c>
      <c r="C105" s="113"/>
      <c r="D105" s="32" t="s">
        <v>12</v>
      </c>
      <c r="E105" s="52"/>
      <c r="F105" s="51"/>
      <c r="G105" s="51"/>
      <c r="J105" s="8"/>
    </row>
    <row r="106" spans="1:10" x14ac:dyDescent="0.2">
      <c r="A106" s="53"/>
      <c r="B106" s="54" t="s">
        <v>12</v>
      </c>
      <c r="C106" s="54" t="s">
        <v>528</v>
      </c>
      <c r="D106" s="54" t="s">
        <v>105</v>
      </c>
      <c r="E106" s="53"/>
      <c r="F106" s="53"/>
      <c r="G106" s="53"/>
      <c r="H106" s="55"/>
      <c r="J106" s="8"/>
    </row>
    <row r="107" spans="1:10" x14ac:dyDescent="0.2">
      <c r="A107" s="56"/>
      <c r="B107" s="57" t="s">
        <v>106</v>
      </c>
      <c r="C107" s="58">
        <v>45535</v>
      </c>
      <c r="D107" s="58">
        <v>45550</v>
      </c>
      <c r="E107" s="56"/>
      <c r="F107" s="56"/>
      <c r="G107" s="56"/>
      <c r="J107" s="8"/>
    </row>
    <row r="108" spans="1:10" x14ac:dyDescent="0.2">
      <c r="A108" s="56"/>
      <c r="B108" s="35" t="s">
        <v>107</v>
      </c>
      <c r="C108" s="59">
        <v>44.507399999999997</v>
      </c>
      <c r="D108" s="59">
        <v>44.853200000000001</v>
      </c>
      <c r="E108" s="56"/>
      <c r="F108" s="60"/>
      <c r="G108" s="61"/>
      <c r="J108" s="8"/>
    </row>
    <row r="109" spans="1:10" ht="25.5" x14ac:dyDescent="0.2">
      <c r="A109" s="56"/>
      <c r="B109" s="35" t="s">
        <v>581</v>
      </c>
      <c r="C109" s="59">
        <v>12.923500000000001</v>
      </c>
      <c r="D109" s="59">
        <v>13.023899999999999</v>
      </c>
      <c r="E109" s="56"/>
      <c r="F109" s="60"/>
      <c r="G109" s="61"/>
      <c r="J109" s="8"/>
    </row>
    <row r="110" spans="1:10" ht="25.5" x14ac:dyDescent="0.2">
      <c r="A110" s="56"/>
      <c r="B110" s="35" t="s">
        <v>582</v>
      </c>
      <c r="C110" s="59">
        <v>14.4618</v>
      </c>
      <c r="D110" s="59">
        <v>14.498699999999999</v>
      </c>
      <c r="E110" s="56"/>
      <c r="F110" s="60"/>
      <c r="G110" s="61"/>
    </row>
    <row r="111" spans="1:10" ht="25.5" x14ac:dyDescent="0.2">
      <c r="A111" s="56"/>
      <c r="B111" s="35" t="s">
        <v>583</v>
      </c>
      <c r="C111" s="59">
        <v>14.368399999999999</v>
      </c>
      <c r="D111" s="59">
        <v>14.48</v>
      </c>
      <c r="E111" s="56"/>
      <c r="F111" s="60"/>
      <c r="G111" s="61"/>
    </row>
    <row r="112" spans="1:10" ht="25.5" x14ac:dyDescent="0.2">
      <c r="A112" s="56"/>
      <c r="B112" s="35" t="s">
        <v>584</v>
      </c>
      <c r="C112" s="59">
        <v>14.517300000000001</v>
      </c>
      <c r="D112" s="59">
        <v>14.6303</v>
      </c>
      <c r="E112" s="56"/>
      <c r="F112" s="60"/>
      <c r="G112" s="61"/>
    </row>
    <row r="113" spans="1:17" x14ac:dyDescent="0.2">
      <c r="A113" s="56"/>
      <c r="B113" s="35" t="s">
        <v>108</v>
      </c>
      <c r="C113" s="59">
        <v>41.335500000000003</v>
      </c>
      <c r="D113" s="59">
        <v>41.647199999999998</v>
      </c>
      <c r="E113" s="56"/>
      <c r="F113" s="60"/>
      <c r="G113" s="61"/>
    </row>
    <row r="114" spans="1:17" x14ac:dyDescent="0.2">
      <c r="A114" s="56"/>
      <c r="B114" s="35" t="s">
        <v>140</v>
      </c>
      <c r="C114" s="59">
        <v>14.9314</v>
      </c>
      <c r="D114" s="59">
        <v>15.044</v>
      </c>
      <c r="E114" s="56"/>
      <c r="F114" s="60"/>
      <c r="G114" s="61"/>
    </row>
    <row r="115" spans="1:17" ht="25.5" x14ac:dyDescent="0.2">
      <c r="A115" s="56"/>
      <c r="B115" s="35" t="s">
        <v>585</v>
      </c>
      <c r="C115" s="59">
        <v>12.8857</v>
      </c>
      <c r="D115" s="59">
        <v>12.982900000000001</v>
      </c>
      <c r="E115" s="56"/>
      <c r="F115" s="60"/>
      <c r="G115" s="61"/>
    </row>
    <row r="116" spans="1:17" ht="25.5" x14ac:dyDescent="0.2">
      <c r="A116" s="56"/>
      <c r="B116" s="35" t="s">
        <v>532</v>
      </c>
      <c r="C116" s="59">
        <v>14.198</v>
      </c>
      <c r="D116" s="59">
        <v>14.229699999999999</v>
      </c>
      <c r="E116" s="56"/>
      <c r="F116" s="60"/>
      <c r="G116" s="61"/>
    </row>
    <row r="117" spans="1:17" ht="25.5" x14ac:dyDescent="0.2">
      <c r="A117" s="56"/>
      <c r="B117" s="35" t="s">
        <v>586</v>
      </c>
      <c r="C117" s="59">
        <v>14.104900000000001</v>
      </c>
      <c r="D117" s="59">
        <v>14.2113</v>
      </c>
      <c r="E117" s="56"/>
      <c r="F117" s="60"/>
      <c r="G117" s="61"/>
    </row>
    <row r="118" spans="1:17" ht="25.5" x14ac:dyDescent="0.2">
      <c r="A118" s="56"/>
      <c r="B118" s="35" t="s">
        <v>587</v>
      </c>
      <c r="C118" s="59">
        <v>14.2523</v>
      </c>
      <c r="D118" s="59">
        <v>14.3598</v>
      </c>
      <c r="E118" s="56"/>
      <c r="F118" s="60"/>
      <c r="G118" s="61"/>
    </row>
    <row r="119" spans="1:17" x14ac:dyDescent="0.2">
      <c r="A119" s="56"/>
      <c r="B119" s="56"/>
      <c r="C119" s="56"/>
      <c r="D119" s="56"/>
      <c r="E119" s="56"/>
      <c r="F119" s="56"/>
      <c r="G119" s="56"/>
    </row>
    <row r="120" spans="1:17" x14ac:dyDescent="0.2">
      <c r="A120" s="56"/>
      <c r="B120" s="112" t="s">
        <v>588</v>
      </c>
      <c r="C120" s="113"/>
      <c r="D120" s="27" t="s">
        <v>12</v>
      </c>
      <c r="E120" s="56"/>
      <c r="F120" s="56"/>
      <c r="G120" s="56"/>
    </row>
    <row r="121" spans="1:17" x14ac:dyDescent="0.2">
      <c r="A121" s="56"/>
      <c r="B121" s="62" t="s">
        <v>106</v>
      </c>
      <c r="C121" s="63" t="s">
        <v>109</v>
      </c>
      <c r="D121" s="63" t="s">
        <v>110</v>
      </c>
      <c r="E121" s="56"/>
      <c r="F121" s="56"/>
      <c r="G121" s="56"/>
    </row>
    <row r="122" spans="1:17" ht="25.5" x14ac:dyDescent="0.2">
      <c r="A122" s="56"/>
      <c r="B122" s="35" t="s">
        <v>582</v>
      </c>
      <c r="C122" s="64">
        <v>7.4999999999999997E-2</v>
      </c>
      <c r="D122" s="39" t="s">
        <v>111</v>
      </c>
      <c r="E122" s="56"/>
      <c r="F122" s="60"/>
      <c r="G122" s="61"/>
    </row>
    <row r="123" spans="1:17" ht="25.5" x14ac:dyDescent="0.2">
      <c r="A123" s="56"/>
      <c r="B123" s="35" t="s">
        <v>532</v>
      </c>
      <c r="C123" s="64">
        <v>7.4999999999999997E-2</v>
      </c>
      <c r="D123" s="39" t="s">
        <v>111</v>
      </c>
      <c r="E123" s="56"/>
      <c r="F123" s="60"/>
      <c r="G123" s="61"/>
    </row>
    <row r="124" spans="1:17" x14ac:dyDescent="0.2">
      <c r="A124" s="56"/>
      <c r="B124" s="65"/>
      <c r="C124" s="65"/>
      <c r="D124" s="66"/>
      <c r="E124" s="56"/>
      <c r="F124" s="60"/>
      <c r="G124" s="61"/>
    </row>
    <row r="125" spans="1:17" s="9" customFormat="1" x14ac:dyDescent="0.2">
      <c r="A125" s="74"/>
      <c r="B125" s="114" t="s">
        <v>549</v>
      </c>
      <c r="C125" s="115"/>
      <c r="D125" s="41" t="s">
        <v>102</v>
      </c>
      <c r="E125" s="74"/>
      <c r="F125" s="74"/>
      <c r="G125" s="74"/>
      <c r="I125"/>
      <c r="J125" s="2"/>
      <c r="K125"/>
      <c r="L125" s="5"/>
      <c r="M125" s="5"/>
      <c r="N125" s="5"/>
      <c r="O125" s="10"/>
      <c r="P125"/>
      <c r="Q125"/>
    </row>
    <row r="126" spans="1:17" x14ac:dyDescent="0.2">
      <c r="A126" s="53"/>
      <c r="B126" s="114" t="s">
        <v>550</v>
      </c>
      <c r="C126" s="115"/>
      <c r="D126" s="41" t="s">
        <v>102</v>
      </c>
      <c r="E126" s="67"/>
      <c r="F126" s="53"/>
      <c r="G126" s="53"/>
    </row>
    <row r="127" spans="1:17" x14ac:dyDescent="0.2">
      <c r="A127" s="53"/>
      <c r="B127" s="114" t="s">
        <v>551</v>
      </c>
      <c r="C127" s="115"/>
      <c r="D127" s="41" t="s">
        <v>102</v>
      </c>
      <c r="E127" s="67"/>
      <c r="F127" s="53"/>
      <c r="G127" s="53"/>
    </row>
    <row r="128" spans="1:17" x14ac:dyDescent="0.2">
      <c r="A128" s="53"/>
      <c r="B128" s="114" t="s">
        <v>552</v>
      </c>
      <c r="C128" s="115"/>
      <c r="D128" s="41" t="s">
        <v>102</v>
      </c>
      <c r="E128" s="67"/>
      <c r="F128" s="53"/>
      <c r="G128" s="53"/>
    </row>
    <row r="129" spans="1:19" x14ac:dyDescent="0.2">
      <c r="A129" s="68"/>
      <c r="B129" s="68"/>
      <c r="C129" s="68"/>
      <c r="D129" s="68"/>
      <c r="E129" s="68"/>
      <c r="F129" s="68"/>
      <c r="G129" s="68"/>
    </row>
    <row r="130" spans="1:19" s="9" customFormat="1" x14ac:dyDescent="0.2">
      <c r="B130" s="117" t="s">
        <v>541</v>
      </c>
      <c r="C130" s="118"/>
      <c r="D130" s="119"/>
      <c r="I130"/>
      <c r="J130" s="2"/>
      <c r="K130"/>
      <c r="L130" s="5"/>
      <c r="M130" s="5"/>
      <c r="N130" s="5"/>
      <c r="O130" s="10"/>
      <c r="R130"/>
      <c r="S130"/>
    </row>
    <row r="131" spans="1:19" s="9" customFormat="1" ht="51" x14ac:dyDescent="0.2">
      <c r="B131" s="107" t="s">
        <v>542</v>
      </c>
      <c r="C131" s="107"/>
      <c r="D131" s="69" t="s">
        <v>377</v>
      </c>
      <c r="I131"/>
      <c r="J131" s="2"/>
      <c r="K131"/>
      <c r="L131" s="5"/>
      <c r="M131" s="5"/>
      <c r="N131" s="5"/>
      <c r="O131" s="10"/>
      <c r="R131"/>
      <c r="S131"/>
    </row>
    <row r="132" spans="1:19" s="9" customFormat="1" x14ac:dyDescent="0.2">
      <c r="B132" s="120" t="s">
        <v>543</v>
      </c>
      <c r="C132" s="120"/>
      <c r="D132" s="70"/>
      <c r="I132"/>
      <c r="J132" s="2"/>
      <c r="K132"/>
      <c r="L132" s="5"/>
      <c r="M132" s="5"/>
      <c r="N132" s="5"/>
      <c r="O132" s="10"/>
      <c r="R132"/>
      <c r="S132"/>
    </row>
    <row r="133" spans="1:19" s="9" customFormat="1" x14ac:dyDescent="0.2">
      <c r="B133" s="120"/>
      <c r="C133" s="120"/>
      <c r="D133" s="71"/>
      <c r="I133"/>
      <c r="J133" s="2"/>
      <c r="K133"/>
      <c r="L133" s="5"/>
      <c r="M133" s="5"/>
      <c r="N133" s="5"/>
      <c r="O133" s="10"/>
      <c r="R133"/>
      <c r="S133"/>
    </row>
    <row r="134" spans="1:19" s="9" customFormat="1" x14ac:dyDescent="0.2">
      <c r="B134" s="120" t="s">
        <v>544</v>
      </c>
      <c r="C134" s="120"/>
      <c r="D134" s="72">
        <v>7.2923665900092507</v>
      </c>
      <c r="I134"/>
      <c r="J134" s="2"/>
      <c r="K134"/>
      <c r="L134" s="5"/>
      <c r="M134" s="5"/>
      <c r="N134" s="5"/>
      <c r="O134" s="10"/>
    </row>
    <row r="135" spans="1:19" s="9" customFormat="1" x14ac:dyDescent="0.2">
      <c r="B135" s="120"/>
      <c r="C135" s="120"/>
      <c r="D135" s="71"/>
      <c r="I135"/>
      <c r="J135" s="2"/>
      <c r="K135"/>
      <c r="L135" s="5"/>
      <c r="M135" s="5"/>
      <c r="N135" s="5"/>
      <c r="O135" s="10"/>
    </row>
    <row r="136" spans="1:19" s="9" customFormat="1" x14ac:dyDescent="0.2">
      <c r="B136" s="120" t="s">
        <v>545</v>
      </c>
      <c r="C136" s="120"/>
      <c r="D136" s="72">
        <v>2.9188907303147622</v>
      </c>
      <c r="I136"/>
      <c r="J136" s="2"/>
      <c r="K136"/>
      <c r="L136" s="5"/>
      <c r="M136" s="5"/>
      <c r="N136" s="5"/>
      <c r="O136" s="10"/>
    </row>
    <row r="137" spans="1:19" s="9" customFormat="1" x14ac:dyDescent="0.2">
      <c r="B137" s="120" t="s">
        <v>546</v>
      </c>
      <c r="C137" s="120"/>
      <c r="D137" s="72">
        <v>3.8193639464538256</v>
      </c>
      <c r="I137"/>
      <c r="J137" s="2"/>
      <c r="K137"/>
      <c r="L137" s="5"/>
      <c r="M137" s="5"/>
      <c r="N137" s="5"/>
      <c r="O137" s="10"/>
    </row>
    <row r="138" spans="1:19" s="9" customFormat="1" x14ac:dyDescent="0.2">
      <c r="B138" s="120"/>
      <c r="C138" s="120"/>
      <c r="D138" s="71"/>
      <c r="I138"/>
      <c r="J138" s="2"/>
      <c r="K138"/>
      <c r="L138" s="5"/>
      <c r="M138" s="5"/>
      <c r="N138" s="5"/>
      <c r="O138" s="10"/>
    </row>
    <row r="139" spans="1:19" s="9" customFormat="1" ht="25.5" x14ac:dyDescent="0.2">
      <c r="B139" s="120" t="s">
        <v>547</v>
      </c>
      <c r="C139" s="120"/>
      <c r="D139" s="73" t="s">
        <v>577</v>
      </c>
      <c r="I139"/>
      <c r="J139" s="2"/>
      <c r="K139"/>
      <c r="L139" s="5"/>
      <c r="M139" s="5"/>
      <c r="N139" s="5"/>
      <c r="O139" s="10"/>
    </row>
    <row r="140" spans="1:19" s="9" customFormat="1" x14ac:dyDescent="0.2">
      <c r="B140" s="121" t="s">
        <v>548</v>
      </c>
      <c r="C140" s="123"/>
      <c r="D140" s="122"/>
      <c r="I140"/>
      <c r="J140" s="2"/>
      <c r="K140"/>
      <c r="L140" s="5"/>
      <c r="M140" s="5"/>
      <c r="N140" s="5"/>
      <c r="O140" s="10"/>
    </row>
    <row r="150" spans="9:9" x14ac:dyDescent="0.2">
      <c r="I150" s="5"/>
    </row>
    <row r="157" spans="9:9" x14ac:dyDescent="0.2">
      <c r="I157" s="5"/>
    </row>
    <row r="158" spans="9:9" x14ac:dyDescent="0.2">
      <c r="I158" s="5"/>
    </row>
    <row r="159" spans="9:9" x14ac:dyDescent="0.2">
      <c r="I159" s="5"/>
    </row>
    <row r="160" spans="9:9" x14ac:dyDescent="0.2">
      <c r="I160" s="5"/>
    </row>
  </sheetData>
  <mergeCells count="27">
    <mergeCell ref="B136:C136"/>
    <mergeCell ref="B137:C137"/>
    <mergeCell ref="B138:C138"/>
    <mergeCell ref="B139:C139"/>
    <mergeCell ref="B140:D140"/>
    <mergeCell ref="B131:C131"/>
    <mergeCell ref="B132:C132"/>
    <mergeCell ref="B133:C133"/>
    <mergeCell ref="B134:C134"/>
    <mergeCell ref="B135:C135"/>
    <mergeCell ref="B125:C125"/>
    <mergeCell ref="B130:D130"/>
    <mergeCell ref="B127:C127"/>
    <mergeCell ref="B128:C128"/>
    <mergeCell ref="B104:C104"/>
    <mergeCell ref="B105:C105"/>
    <mergeCell ref="B120:C120"/>
    <mergeCell ref="B126:C126"/>
    <mergeCell ref="A1:H1"/>
    <mergeCell ref="A2:H2"/>
    <mergeCell ref="A3:H3"/>
    <mergeCell ref="B102:D102"/>
    <mergeCell ref="B103:C103"/>
    <mergeCell ref="B97:H97"/>
    <mergeCell ref="B98:H98"/>
    <mergeCell ref="B99:H99"/>
    <mergeCell ref="B100:H100"/>
  </mergeCells>
  <hyperlinks>
    <hyperlink ref="I1" location="Index!B7" display="Index" xr:uid="{2FCAB5F8-004B-46DA-9BD1-1D71844CAE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D399-D719-4744-B0BF-CDE4867D0070}">
  <sheetPr>
    <outlinePr summaryBelow="0" summaryRight="0"/>
  </sheetPr>
  <dimension ref="A1:R176"/>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391</v>
      </c>
      <c r="B2" s="108"/>
      <c r="C2" s="108"/>
      <c r="D2" s="108"/>
      <c r="E2" s="108"/>
      <c r="F2" s="108"/>
      <c r="G2" s="108"/>
      <c r="H2" s="108"/>
      <c r="J2" s="3" t="s">
        <v>610</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526</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row>
    <row r="15" spans="1:11" ht="25.5" x14ac:dyDescent="0.2">
      <c r="A15" s="26"/>
      <c r="B15" s="26"/>
      <c r="C15" s="27" t="s">
        <v>16</v>
      </c>
      <c r="D15" s="26"/>
      <c r="E15" s="26"/>
      <c r="F15" s="26"/>
      <c r="G15" s="26"/>
      <c r="H15" s="28" t="s">
        <v>12</v>
      </c>
      <c r="J15" s="2" t="s">
        <v>611</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ht="25.5" x14ac:dyDescent="0.2">
      <c r="A27" s="26"/>
      <c r="B27" s="26"/>
      <c r="C27" s="27" t="s">
        <v>10</v>
      </c>
      <c r="D27" s="26"/>
      <c r="E27" s="26"/>
      <c r="F27" s="32"/>
      <c r="G27" s="32"/>
      <c r="H27" s="28" t="s">
        <v>12</v>
      </c>
      <c r="J27" s="2" t="s">
        <v>612</v>
      </c>
    </row>
    <row r="28" spans="1:10" x14ac:dyDescent="0.2">
      <c r="A28" s="34">
        <v>1</v>
      </c>
      <c r="B28" s="35" t="s">
        <v>195</v>
      </c>
      <c r="C28" s="35" t="s">
        <v>196</v>
      </c>
      <c r="D28" s="35" t="s">
        <v>197</v>
      </c>
      <c r="E28" s="36">
        <v>5000</v>
      </c>
      <c r="F28" s="37">
        <v>5018.5649999999996</v>
      </c>
      <c r="G28" s="38">
        <v>2.567585E-2</v>
      </c>
      <c r="H28" s="28">
        <v>8.51</v>
      </c>
      <c r="J28" s="7"/>
    </row>
    <row r="29" spans="1:10" ht="25.5" x14ac:dyDescent="0.2">
      <c r="A29" s="34">
        <v>2</v>
      </c>
      <c r="B29" s="35" t="s">
        <v>392</v>
      </c>
      <c r="C29" s="35" t="s">
        <v>393</v>
      </c>
      <c r="D29" s="35" t="s">
        <v>23</v>
      </c>
      <c r="E29" s="36">
        <v>300</v>
      </c>
      <c r="F29" s="37">
        <v>2973.2460000000001</v>
      </c>
      <c r="G29" s="38">
        <v>1.521164E-2</v>
      </c>
      <c r="H29" s="28">
        <v>7.665</v>
      </c>
    </row>
    <row r="30" spans="1:10" ht="25.5" x14ac:dyDescent="0.2">
      <c r="A30" s="34">
        <v>3</v>
      </c>
      <c r="B30" s="35" t="s">
        <v>394</v>
      </c>
      <c r="C30" s="35" t="s">
        <v>395</v>
      </c>
      <c r="D30" s="35" t="s">
        <v>222</v>
      </c>
      <c r="E30" s="36">
        <v>250000</v>
      </c>
      <c r="F30" s="37">
        <v>2497.1374999999998</v>
      </c>
      <c r="G30" s="38">
        <v>1.277579E-2</v>
      </c>
      <c r="H30" s="28">
        <v>8.2550000000000008</v>
      </c>
    </row>
    <row r="31" spans="1:10" ht="25.5" x14ac:dyDescent="0.2">
      <c r="A31" s="34">
        <v>4</v>
      </c>
      <c r="B31" s="35" t="s">
        <v>57</v>
      </c>
      <c r="C31" s="35" t="s">
        <v>58</v>
      </c>
      <c r="D31" s="35" t="s">
        <v>23</v>
      </c>
      <c r="E31" s="36">
        <v>2500</v>
      </c>
      <c r="F31" s="37">
        <v>2493.96</v>
      </c>
      <c r="G31" s="38">
        <v>1.275953E-2</v>
      </c>
      <c r="H31" s="28">
        <v>7.7050000000000001</v>
      </c>
    </row>
    <row r="32" spans="1:10" ht="25.5" x14ac:dyDescent="0.2">
      <c r="A32" s="34">
        <v>5</v>
      </c>
      <c r="B32" s="35" t="s">
        <v>396</v>
      </c>
      <c r="C32" s="35" t="s">
        <v>397</v>
      </c>
      <c r="D32" s="35" t="s">
        <v>23</v>
      </c>
      <c r="E32" s="36">
        <v>250</v>
      </c>
      <c r="F32" s="37">
        <v>2486.4924999999998</v>
      </c>
      <c r="G32" s="38">
        <v>1.2721329999999999E-2</v>
      </c>
      <c r="H32" s="28">
        <v>8.0675000000000008</v>
      </c>
    </row>
    <row r="33" spans="1:8" ht="25.5" x14ac:dyDescent="0.2">
      <c r="A33" s="34">
        <v>6</v>
      </c>
      <c r="B33" s="35" t="s">
        <v>398</v>
      </c>
      <c r="C33" s="35" t="s">
        <v>399</v>
      </c>
      <c r="D33" s="35" t="s">
        <v>23</v>
      </c>
      <c r="E33" s="36">
        <v>250</v>
      </c>
      <c r="F33" s="37">
        <v>2485.2849999999999</v>
      </c>
      <c r="G33" s="38">
        <v>1.271515E-2</v>
      </c>
      <c r="H33" s="28">
        <v>7.5350000000000001</v>
      </c>
    </row>
    <row r="34" spans="1:8" ht="25.5" x14ac:dyDescent="0.2">
      <c r="A34" s="34">
        <v>7</v>
      </c>
      <c r="B34" s="35" t="s">
        <v>400</v>
      </c>
      <c r="C34" s="35" t="s">
        <v>401</v>
      </c>
      <c r="D34" s="35" t="s">
        <v>23</v>
      </c>
      <c r="E34" s="36">
        <v>250</v>
      </c>
      <c r="F34" s="37">
        <v>2457.7224999999999</v>
      </c>
      <c r="G34" s="38">
        <v>1.2574129999999999E-2</v>
      </c>
      <c r="H34" s="28">
        <v>7.7149999999999999</v>
      </c>
    </row>
    <row r="35" spans="1:8" x14ac:dyDescent="0.2">
      <c r="A35" s="34">
        <v>8</v>
      </c>
      <c r="B35" s="35" t="s">
        <v>203</v>
      </c>
      <c r="C35" s="35" t="s">
        <v>204</v>
      </c>
      <c r="D35" s="35" t="s">
        <v>197</v>
      </c>
      <c r="E35" s="36">
        <v>2000</v>
      </c>
      <c r="F35" s="37">
        <v>2002.4259999999999</v>
      </c>
      <c r="G35" s="38">
        <v>1.024476E-2</v>
      </c>
      <c r="H35" s="28">
        <v>9.0611999999999995</v>
      </c>
    </row>
    <row r="36" spans="1:8" ht="25.5" x14ac:dyDescent="0.2">
      <c r="A36" s="34">
        <v>9</v>
      </c>
      <c r="B36" s="35" t="s">
        <v>220</v>
      </c>
      <c r="C36" s="35" t="s">
        <v>221</v>
      </c>
      <c r="D36" s="35" t="s">
        <v>222</v>
      </c>
      <c r="E36" s="36">
        <v>200</v>
      </c>
      <c r="F36" s="37">
        <v>1998.87</v>
      </c>
      <c r="G36" s="38">
        <v>1.0226570000000001E-2</v>
      </c>
      <c r="H36" s="28">
        <v>8.4550000000000001</v>
      </c>
    </row>
    <row r="37" spans="1:8" x14ac:dyDescent="0.2">
      <c r="A37" s="34">
        <v>10</v>
      </c>
      <c r="B37" s="35" t="s">
        <v>198</v>
      </c>
      <c r="C37" s="35" t="s">
        <v>199</v>
      </c>
      <c r="D37" s="35" t="s">
        <v>200</v>
      </c>
      <c r="E37" s="36">
        <v>1600</v>
      </c>
      <c r="F37" s="37">
        <v>1607.3568</v>
      </c>
      <c r="G37" s="38">
        <v>8.2235199999999998E-3</v>
      </c>
      <c r="H37" s="28">
        <v>8.1294000000000004</v>
      </c>
    </row>
    <row r="38" spans="1:8" x14ac:dyDescent="0.2">
      <c r="A38" s="34">
        <v>11</v>
      </c>
      <c r="B38" s="35" t="s">
        <v>205</v>
      </c>
      <c r="C38" s="35" t="s">
        <v>206</v>
      </c>
      <c r="D38" s="35" t="s">
        <v>23</v>
      </c>
      <c r="E38" s="36">
        <v>1500</v>
      </c>
      <c r="F38" s="37">
        <v>1498.704</v>
      </c>
      <c r="G38" s="38">
        <v>7.6676299999999999E-3</v>
      </c>
      <c r="H38" s="28">
        <v>7.585</v>
      </c>
    </row>
    <row r="39" spans="1:8" ht="25.5" x14ac:dyDescent="0.2">
      <c r="A39" s="34">
        <v>12</v>
      </c>
      <c r="B39" s="35" t="s">
        <v>61</v>
      </c>
      <c r="C39" s="35" t="s">
        <v>62</v>
      </c>
      <c r="D39" s="35" t="s">
        <v>23</v>
      </c>
      <c r="E39" s="36">
        <v>1500</v>
      </c>
      <c r="F39" s="37">
        <v>1498.203</v>
      </c>
      <c r="G39" s="38">
        <v>7.6650700000000004E-3</v>
      </c>
      <c r="H39" s="28">
        <v>8.2200000000000006</v>
      </c>
    </row>
    <row r="40" spans="1:8" x14ac:dyDescent="0.2">
      <c r="A40" s="34">
        <v>13</v>
      </c>
      <c r="B40" s="35" t="s">
        <v>218</v>
      </c>
      <c r="C40" s="35" t="s">
        <v>219</v>
      </c>
      <c r="D40" s="35" t="s">
        <v>197</v>
      </c>
      <c r="E40" s="36">
        <v>1000</v>
      </c>
      <c r="F40" s="37">
        <v>1001.2670000000001</v>
      </c>
      <c r="G40" s="38">
        <v>5.1226600000000002E-3</v>
      </c>
      <c r="H40" s="28">
        <v>9.0711999999999993</v>
      </c>
    </row>
    <row r="41" spans="1:8" x14ac:dyDescent="0.2">
      <c r="A41" s="26"/>
      <c r="B41" s="26"/>
      <c r="C41" s="27" t="s">
        <v>11</v>
      </c>
      <c r="D41" s="26"/>
      <c r="E41" s="26" t="s">
        <v>12</v>
      </c>
      <c r="F41" s="33">
        <v>30019.2353</v>
      </c>
      <c r="G41" s="30">
        <v>0.15358363</v>
      </c>
      <c r="H41" s="28" t="s">
        <v>12</v>
      </c>
    </row>
    <row r="42" spans="1:8" x14ac:dyDescent="0.2">
      <c r="A42" s="26"/>
      <c r="B42" s="26"/>
      <c r="C42" s="31"/>
      <c r="D42" s="26"/>
      <c r="E42" s="26"/>
      <c r="F42" s="32"/>
      <c r="G42" s="32"/>
      <c r="H42" s="28" t="s">
        <v>12</v>
      </c>
    </row>
    <row r="43" spans="1:8" x14ac:dyDescent="0.2">
      <c r="A43" s="26"/>
      <c r="B43" s="26"/>
      <c r="C43" s="27" t="s">
        <v>67</v>
      </c>
      <c r="D43" s="26"/>
      <c r="E43" s="26"/>
      <c r="F43" s="26"/>
      <c r="G43" s="26"/>
      <c r="H43" s="28" t="s">
        <v>12</v>
      </c>
    </row>
    <row r="44" spans="1:8" x14ac:dyDescent="0.2">
      <c r="A44" s="26"/>
      <c r="B44" s="26"/>
      <c r="C44" s="27" t="s">
        <v>11</v>
      </c>
      <c r="D44" s="26"/>
      <c r="E44" s="26" t="s">
        <v>12</v>
      </c>
      <c r="F44" s="29" t="s">
        <v>13</v>
      </c>
      <c r="G44" s="30">
        <v>0</v>
      </c>
      <c r="H44" s="28" t="s">
        <v>12</v>
      </c>
    </row>
    <row r="45" spans="1:8" x14ac:dyDescent="0.2">
      <c r="A45" s="26"/>
      <c r="B45" s="26"/>
      <c r="C45" s="31"/>
      <c r="D45" s="26"/>
      <c r="E45" s="26"/>
      <c r="F45" s="32"/>
      <c r="G45" s="32"/>
      <c r="H45" s="28" t="s">
        <v>12</v>
      </c>
    </row>
    <row r="46" spans="1:8" x14ac:dyDescent="0.2">
      <c r="A46" s="26"/>
      <c r="B46" s="26"/>
      <c r="C46" s="27" t="s">
        <v>68</v>
      </c>
      <c r="D46" s="26"/>
      <c r="E46" s="26"/>
      <c r="F46" s="26"/>
      <c r="G46" s="26"/>
      <c r="H46" s="28" t="s">
        <v>12</v>
      </c>
    </row>
    <row r="47" spans="1:8" x14ac:dyDescent="0.2">
      <c r="A47" s="26"/>
      <c r="B47" s="26"/>
      <c r="C47" s="27" t="s">
        <v>11</v>
      </c>
      <c r="D47" s="26"/>
      <c r="E47" s="26" t="s">
        <v>12</v>
      </c>
      <c r="F47" s="29" t="s">
        <v>13</v>
      </c>
      <c r="G47" s="30">
        <v>0</v>
      </c>
      <c r="H47" s="28" t="s">
        <v>12</v>
      </c>
    </row>
    <row r="48" spans="1:8" x14ac:dyDescent="0.2">
      <c r="A48" s="26"/>
      <c r="B48" s="26"/>
      <c r="C48" s="31"/>
      <c r="D48" s="26"/>
      <c r="E48" s="26"/>
      <c r="F48" s="32"/>
      <c r="G48" s="32"/>
      <c r="H48" s="28" t="s">
        <v>12</v>
      </c>
    </row>
    <row r="49" spans="1:8" x14ac:dyDescent="0.2">
      <c r="A49" s="26"/>
      <c r="B49" s="26"/>
      <c r="C49" s="27" t="s">
        <v>82</v>
      </c>
      <c r="D49" s="26"/>
      <c r="E49" s="26"/>
      <c r="F49" s="32"/>
      <c r="G49" s="32"/>
      <c r="H49" s="28" t="s">
        <v>12</v>
      </c>
    </row>
    <row r="50" spans="1:8" x14ac:dyDescent="0.2">
      <c r="A50" s="26"/>
      <c r="B50" s="26"/>
      <c r="C50" s="27" t="s">
        <v>11</v>
      </c>
      <c r="D50" s="26"/>
      <c r="E50" s="26" t="s">
        <v>12</v>
      </c>
      <c r="F50" s="29" t="s">
        <v>13</v>
      </c>
      <c r="G50" s="30">
        <v>0</v>
      </c>
      <c r="H50" s="28" t="s">
        <v>12</v>
      </c>
    </row>
    <row r="51" spans="1:8" x14ac:dyDescent="0.2">
      <c r="A51" s="26"/>
      <c r="B51" s="26"/>
      <c r="C51" s="31"/>
      <c r="D51" s="26"/>
      <c r="E51" s="26"/>
      <c r="F51" s="32"/>
      <c r="G51" s="32"/>
      <c r="H51" s="28" t="s">
        <v>12</v>
      </c>
    </row>
    <row r="52" spans="1:8" x14ac:dyDescent="0.2">
      <c r="A52" s="26"/>
      <c r="B52" s="26"/>
      <c r="C52" s="27" t="s">
        <v>83</v>
      </c>
      <c r="D52" s="26"/>
      <c r="E52" s="26"/>
      <c r="F52" s="33">
        <v>30019.2353</v>
      </c>
      <c r="G52" s="30">
        <v>0.15358363</v>
      </c>
      <c r="H52" s="28" t="s">
        <v>12</v>
      </c>
    </row>
    <row r="53" spans="1:8" x14ac:dyDescent="0.2">
      <c r="A53" s="26"/>
      <c r="B53" s="26"/>
      <c r="C53" s="31"/>
      <c r="D53" s="26"/>
      <c r="E53" s="26"/>
      <c r="F53" s="32"/>
      <c r="G53" s="32"/>
      <c r="H53" s="28" t="s">
        <v>12</v>
      </c>
    </row>
    <row r="54" spans="1:8" x14ac:dyDescent="0.2">
      <c r="A54" s="26"/>
      <c r="B54" s="26"/>
      <c r="C54" s="27" t="s">
        <v>84</v>
      </c>
      <c r="D54" s="26"/>
      <c r="E54" s="26"/>
      <c r="F54" s="32"/>
      <c r="G54" s="32"/>
      <c r="H54" s="28" t="s">
        <v>12</v>
      </c>
    </row>
    <row r="55" spans="1:8" x14ac:dyDescent="0.2">
      <c r="A55" s="26"/>
      <c r="B55" s="26"/>
      <c r="C55" s="27" t="s">
        <v>85</v>
      </c>
      <c r="D55" s="26"/>
      <c r="E55" s="26"/>
      <c r="F55" s="32"/>
      <c r="G55" s="32"/>
      <c r="H55" s="28" t="s">
        <v>12</v>
      </c>
    </row>
    <row r="56" spans="1:8" x14ac:dyDescent="0.2">
      <c r="A56" s="34">
        <v>1</v>
      </c>
      <c r="B56" s="35" t="s">
        <v>389</v>
      </c>
      <c r="C56" s="35" t="s">
        <v>390</v>
      </c>
      <c r="D56" s="35" t="s">
        <v>144</v>
      </c>
      <c r="E56" s="36">
        <v>1700</v>
      </c>
      <c r="F56" s="37">
        <v>8364.4930000000004</v>
      </c>
      <c r="G56" s="38">
        <v>4.2794199999999998E-2</v>
      </c>
      <c r="H56" s="28">
        <v>7.2999000000000001</v>
      </c>
    </row>
    <row r="57" spans="1:8" x14ac:dyDescent="0.2">
      <c r="A57" s="34">
        <v>2</v>
      </c>
      <c r="B57" s="35" t="s">
        <v>227</v>
      </c>
      <c r="C57" s="35" t="s">
        <v>228</v>
      </c>
      <c r="D57" s="35" t="s">
        <v>144</v>
      </c>
      <c r="E57" s="36">
        <v>1300</v>
      </c>
      <c r="F57" s="37">
        <v>6397.3649999999998</v>
      </c>
      <c r="G57" s="38">
        <v>3.273003E-2</v>
      </c>
      <c r="H57" s="28">
        <v>7.32</v>
      </c>
    </row>
    <row r="58" spans="1:8" x14ac:dyDescent="0.2">
      <c r="A58" s="34">
        <v>3</v>
      </c>
      <c r="B58" s="35" t="s">
        <v>152</v>
      </c>
      <c r="C58" s="35" t="s">
        <v>153</v>
      </c>
      <c r="D58" s="35" t="s">
        <v>144</v>
      </c>
      <c r="E58" s="36">
        <v>1300</v>
      </c>
      <c r="F58" s="37">
        <v>6387.9594999999999</v>
      </c>
      <c r="G58" s="38">
        <v>3.2681910000000002E-2</v>
      </c>
      <c r="H58" s="28">
        <v>7.2751000000000001</v>
      </c>
    </row>
    <row r="59" spans="1:8" x14ac:dyDescent="0.2">
      <c r="A59" s="34">
        <v>4</v>
      </c>
      <c r="B59" s="35" t="s">
        <v>402</v>
      </c>
      <c r="C59" s="35" t="s">
        <v>403</v>
      </c>
      <c r="D59" s="35" t="s">
        <v>147</v>
      </c>
      <c r="E59" s="36">
        <v>1000</v>
      </c>
      <c r="F59" s="37">
        <v>4930.6000000000004</v>
      </c>
      <c r="G59" s="38">
        <v>2.52258E-2</v>
      </c>
      <c r="H59" s="28">
        <v>7.3394000000000004</v>
      </c>
    </row>
    <row r="60" spans="1:8" x14ac:dyDescent="0.2">
      <c r="A60" s="34">
        <v>5</v>
      </c>
      <c r="B60" s="35" t="s">
        <v>404</v>
      </c>
      <c r="C60" s="35" t="s">
        <v>405</v>
      </c>
      <c r="D60" s="35" t="s">
        <v>162</v>
      </c>
      <c r="E60" s="36">
        <v>1000</v>
      </c>
      <c r="F60" s="37">
        <v>4920.83</v>
      </c>
      <c r="G60" s="38">
        <v>2.5175820000000002E-2</v>
      </c>
      <c r="H60" s="28">
        <v>7.25</v>
      </c>
    </row>
    <row r="61" spans="1:8" x14ac:dyDescent="0.2">
      <c r="A61" s="34">
        <v>6</v>
      </c>
      <c r="B61" s="35" t="s">
        <v>406</v>
      </c>
      <c r="C61" s="35" t="s">
        <v>407</v>
      </c>
      <c r="D61" s="35" t="s">
        <v>144</v>
      </c>
      <c r="E61" s="36">
        <v>1000</v>
      </c>
      <c r="F61" s="37">
        <v>4910.3850000000002</v>
      </c>
      <c r="G61" s="38">
        <v>2.512238E-2</v>
      </c>
      <c r="H61" s="28">
        <v>7.32</v>
      </c>
    </row>
    <row r="62" spans="1:8" x14ac:dyDescent="0.2">
      <c r="A62" s="34">
        <v>7</v>
      </c>
      <c r="B62" s="35" t="s">
        <v>408</v>
      </c>
      <c r="C62" s="35" t="s">
        <v>409</v>
      </c>
      <c r="D62" s="35" t="s">
        <v>144</v>
      </c>
      <c r="E62" s="36">
        <v>1000</v>
      </c>
      <c r="F62" s="37">
        <v>4863.28</v>
      </c>
      <c r="G62" s="38">
        <v>2.4881380000000002E-2</v>
      </c>
      <c r="H62" s="28">
        <v>7.49</v>
      </c>
    </row>
    <row r="63" spans="1:8" x14ac:dyDescent="0.2">
      <c r="A63" s="34">
        <v>8</v>
      </c>
      <c r="B63" s="35" t="s">
        <v>160</v>
      </c>
      <c r="C63" s="35" t="s">
        <v>161</v>
      </c>
      <c r="D63" s="35" t="s">
        <v>162</v>
      </c>
      <c r="E63" s="36">
        <v>840</v>
      </c>
      <c r="F63" s="37">
        <v>3943.1615999999999</v>
      </c>
      <c r="G63" s="38">
        <v>2.0173900000000002E-2</v>
      </c>
      <c r="H63" s="28">
        <v>7.62</v>
      </c>
    </row>
    <row r="64" spans="1:8" ht="25.5" x14ac:dyDescent="0.2">
      <c r="A64" s="34">
        <v>9</v>
      </c>
      <c r="B64" s="35" t="s">
        <v>235</v>
      </c>
      <c r="C64" s="35" t="s">
        <v>236</v>
      </c>
      <c r="D64" s="35" t="s">
        <v>144</v>
      </c>
      <c r="E64" s="36">
        <v>800</v>
      </c>
      <c r="F64" s="37">
        <v>3906.576</v>
      </c>
      <c r="G64" s="38">
        <v>1.9986719999999999E-2</v>
      </c>
      <c r="H64" s="28">
        <v>7.5250000000000004</v>
      </c>
    </row>
    <row r="65" spans="1:8" ht="25.5" x14ac:dyDescent="0.2">
      <c r="A65" s="34">
        <v>10</v>
      </c>
      <c r="B65" s="35" t="s">
        <v>229</v>
      </c>
      <c r="C65" s="35" t="s">
        <v>230</v>
      </c>
      <c r="D65" s="35" t="s">
        <v>144</v>
      </c>
      <c r="E65" s="36">
        <v>800</v>
      </c>
      <c r="F65" s="37">
        <v>3884.748</v>
      </c>
      <c r="G65" s="38">
        <v>1.987504E-2</v>
      </c>
      <c r="H65" s="28">
        <v>7.52</v>
      </c>
    </row>
    <row r="66" spans="1:8" x14ac:dyDescent="0.2">
      <c r="A66" s="34">
        <v>11</v>
      </c>
      <c r="B66" s="35" t="s">
        <v>171</v>
      </c>
      <c r="C66" s="35" t="s">
        <v>172</v>
      </c>
      <c r="D66" s="35" t="s">
        <v>162</v>
      </c>
      <c r="E66" s="36">
        <v>800</v>
      </c>
      <c r="F66" s="37">
        <v>3869.18</v>
      </c>
      <c r="G66" s="38">
        <v>1.9795400000000001E-2</v>
      </c>
      <c r="H66" s="28">
        <v>7.5250000000000004</v>
      </c>
    </row>
    <row r="67" spans="1:8" ht="25.5" x14ac:dyDescent="0.2">
      <c r="A67" s="34">
        <v>12</v>
      </c>
      <c r="B67" s="35" t="s">
        <v>225</v>
      </c>
      <c r="C67" s="35" t="s">
        <v>226</v>
      </c>
      <c r="D67" s="35" t="s">
        <v>144</v>
      </c>
      <c r="E67" s="36">
        <v>700</v>
      </c>
      <c r="F67" s="37">
        <v>3440.7415000000001</v>
      </c>
      <c r="G67" s="38">
        <v>1.760343E-2</v>
      </c>
      <c r="H67" s="28">
        <v>7.3098000000000001</v>
      </c>
    </row>
    <row r="68" spans="1:8" x14ac:dyDescent="0.2">
      <c r="A68" s="34">
        <v>13</v>
      </c>
      <c r="B68" s="35" t="s">
        <v>163</v>
      </c>
      <c r="C68" s="35" t="s">
        <v>164</v>
      </c>
      <c r="D68" s="35" t="s">
        <v>144</v>
      </c>
      <c r="E68" s="36">
        <v>660</v>
      </c>
      <c r="F68" s="37">
        <v>3195.3636000000001</v>
      </c>
      <c r="G68" s="38">
        <v>1.634803E-2</v>
      </c>
      <c r="H68" s="28">
        <v>7.5650000000000004</v>
      </c>
    </row>
    <row r="69" spans="1:8" x14ac:dyDescent="0.2">
      <c r="A69" s="34">
        <v>14</v>
      </c>
      <c r="B69" s="35" t="s">
        <v>165</v>
      </c>
      <c r="C69" s="35" t="s">
        <v>166</v>
      </c>
      <c r="D69" s="35" t="s">
        <v>144</v>
      </c>
      <c r="E69" s="36">
        <v>660</v>
      </c>
      <c r="F69" s="37">
        <v>3193.3703999999998</v>
      </c>
      <c r="G69" s="38">
        <v>1.6337839999999999E-2</v>
      </c>
      <c r="H69" s="28">
        <v>7.57</v>
      </c>
    </row>
    <row r="70" spans="1:8" x14ac:dyDescent="0.2">
      <c r="A70" s="34">
        <v>15</v>
      </c>
      <c r="B70" s="35" t="s">
        <v>167</v>
      </c>
      <c r="C70" s="35" t="s">
        <v>168</v>
      </c>
      <c r="D70" s="35" t="s">
        <v>162</v>
      </c>
      <c r="E70" s="36">
        <v>600</v>
      </c>
      <c r="F70" s="37">
        <v>2918.2860000000001</v>
      </c>
      <c r="G70" s="38">
        <v>1.493046E-2</v>
      </c>
      <c r="H70" s="28">
        <v>7.46</v>
      </c>
    </row>
    <row r="71" spans="1:8" x14ac:dyDescent="0.2">
      <c r="A71" s="34">
        <v>16</v>
      </c>
      <c r="B71" s="35" t="s">
        <v>410</v>
      </c>
      <c r="C71" s="35" t="s">
        <v>411</v>
      </c>
      <c r="D71" s="35" t="s">
        <v>144</v>
      </c>
      <c r="E71" s="36">
        <v>500</v>
      </c>
      <c r="F71" s="37">
        <v>2463.2925</v>
      </c>
      <c r="G71" s="38">
        <v>1.260263E-2</v>
      </c>
      <c r="H71" s="28">
        <v>7.35</v>
      </c>
    </row>
    <row r="72" spans="1:8" ht="25.5" x14ac:dyDescent="0.2">
      <c r="A72" s="34">
        <v>17</v>
      </c>
      <c r="B72" s="35" t="s">
        <v>412</v>
      </c>
      <c r="C72" s="35" t="s">
        <v>413</v>
      </c>
      <c r="D72" s="35" t="s">
        <v>144</v>
      </c>
      <c r="E72" s="36">
        <v>500</v>
      </c>
      <c r="F72" s="37">
        <v>2453.9825000000001</v>
      </c>
      <c r="G72" s="38">
        <v>1.2555E-2</v>
      </c>
      <c r="H72" s="28">
        <v>7.3598999999999997</v>
      </c>
    </row>
    <row r="73" spans="1:8" x14ac:dyDescent="0.2">
      <c r="A73" s="34">
        <v>18</v>
      </c>
      <c r="B73" s="35" t="s">
        <v>414</v>
      </c>
      <c r="C73" s="35" t="s">
        <v>415</v>
      </c>
      <c r="D73" s="35" t="s">
        <v>144</v>
      </c>
      <c r="E73" s="36">
        <v>500</v>
      </c>
      <c r="F73" s="37">
        <v>2442.25</v>
      </c>
      <c r="G73" s="38">
        <v>1.2494969999999999E-2</v>
      </c>
      <c r="H73" s="28">
        <v>7.5049999999999999</v>
      </c>
    </row>
    <row r="74" spans="1:8" ht="25.5" x14ac:dyDescent="0.2">
      <c r="A74" s="34">
        <v>19</v>
      </c>
      <c r="B74" s="35" t="s">
        <v>416</v>
      </c>
      <c r="C74" s="35" t="s">
        <v>417</v>
      </c>
      <c r="D74" s="35" t="s">
        <v>144</v>
      </c>
      <c r="E74" s="36">
        <v>500</v>
      </c>
      <c r="F74" s="37">
        <v>2435.2775000000001</v>
      </c>
      <c r="G74" s="38">
        <v>1.24593E-2</v>
      </c>
      <c r="H74" s="28">
        <v>7.52</v>
      </c>
    </row>
    <row r="75" spans="1:8" x14ac:dyDescent="0.2">
      <c r="A75" s="34">
        <v>20</v>
      </c>
      <c r="B75" s="35" t="s">
        <v>418</v>
      </c>
      <c r="C75" s="35" t="s">
        <v>419</v>
      </c>
      <c r="D75" s="35" t="s">
        <v>144</v>
      </c>
      <c r="E75" s="36">
        <v>500</v>
      </c>
      <c r="F75" s="37">
        <v>2429.5825</v>
      </c>
      <c r="G75" s="38">
        <v>1.2430170000000001E-2</v>
      </c>
      <c r="H75" s="28">
        <v>7.45</v>
      </c>
    </row>
    <row r="76" spans="1:8" x14ac:dyDescent="0.2">
      <c r="A76" s="34">
        <v>21</v>
      </c>
      <c r="B76" s="35" t="s">
        <v>420</v>
      </c>
      <c r="C76" s="35" t="s">
        <v>421</v>
      </c>
      <c r="D76" s="35" t="s">
        <v>144</v>
      </c>
      <c r="E76" s="36">
        <v>500</v>
      </c>
      <c r="F76" s="37">
        <v>2428.2474999999999</v>
      </c>
      <c r="G76" s="38">
        <v>1.242334E-2</v>
      </c>
      <c r="H76" s="28">
        <v>7.49</v>
      </c>
    </row>
    <row r="77" spans="1:8" x14ac:dyDescent="0.2">
      <c r="A77" s="34">
        <v>22</v>
      </c>
      <c r="B77" s="35" t="s">
        <v>422</v>
      </c>
      <c r="C77" s="35" t="s">
        <v>423</v>
      </c>
      <c r="D77" s="35" t="s">
        <v>147</v>
      </c>
      <c r="E77" s="36">
        <v>500</v>
      </c>
      <c r="F77" s="37">
        <v>2413.3924999999999</v>
      </c>
      <c r="G77" s="38">
        <v>1.234733E-2</v>
      </c>
      <c r="H77" s="28">
        <v>7.4850000000000003</v>
      </c>
    </row>
    <row r="78" spans="1:8" x14ac:dyDescent="0.2">
      <c r="A78" s="34">
        <v>23</v>
      </c>
      <c r="B78" s="35" t="s">
        <v>424</v>
      </c>
      <c r="C78" s="35" t="s">
        <v>425</v>
      </c>
      <c r="D78" s="35" t="s">
        <v>144</v>
      </c>
      <c r="E78" s="36">
        <v>500</v>
      </c>
      <c r="F78" s="37">
        <v>2413.0250000000001</v>
      </c>
      <c r="G78" s="38">
        <v>1.2345449999999999E-2</v>
      </c>
      <c r="H78" s="28">
        <v>7.4751000000000003</v>
      </c>
    </row>
    <row r="79" spans="1:8" x14ac:dyDescent="0.2">
      <c r="A79" s="34">
        <v>24</v>
      </c>
      <c r="B79" s="35" t="s">
        <v>150</v>
      </c>
      <c r="C79" s="35" t="s">
        <v>151</v>
      </c>
      <c r="D79" s="35" t="s">
        <v>144</v>
      </c>
      <c r="E79" s="36">
        <v>500</v>
      </c>
      <c r="F79" s="37">
        <v>2376.6975000000002</v>
      </c>
      <c r="G79" s="38">
        <v>1.21596E-2</v>
      </c>
      <c r="H79" s="28">
        <v>7.6050000000000004</v>
      </c>
    </row>
    <row r="80" spans="1:8" x14ac:dyDescent="0.2">
      <c r="A80" s="34">
        <v>25</v>
      </c>
      <c r="B80" s="35" t="s">
        <v>426</v>
      </c>
      <c r="C80" s="35" t="s">
        <v>427</v>
      </c>
      <c r="D80" s="35" t="s">
        <v>144</v>
      </c>
      <c r="E80" s="36">
        <v>500</v>
      </c>
      <c r="F80" s="37">
        <v>2332.8874999999998</v>
      </c>
      <c r="G80" s="38">
        <v>1.193546E-2</v>
      </c>
      <c r="H80" s="28">
        <v>7.69</v>
      </c>
    </row>
    <row r="81" spans="1:10" x14ac:dyDescent="0.2">
      <c r="A81" s="34">
        <v>26</v>
      </c>
      <c r="B81" s="35" t="s">
        <v>428</v>
      </c>
      <c r="C81" s="35" t="s">
        <v>429</v>
      </c>
      <c r="D81" s="35" t="s">
        <v>144</v>
      </c>
      <c r="E81" s="36">
        <v>500</v>
      </c>
      <c r="F81" s="37">
        <v>2332.0549999999998</v>
      </c>
      <c r="G81" s="38">
        <v>1.1931199999999999E-2</v>
      </c>
      <c r="H81" s="28">
        <v>7.8</v>
      </c>
    </row>
    <row r="82" spans="1:10" x14ac:dyDescent="0.2">
      <c r="A82" s="34">
        <v>27</v>
      </c>
      <c r="B82" s="35" t="s">
        <v>169</v>
      </c>
      <c r="C82" s="35" t="s">
        <v>170</v>
      </c>
      <c r="D82" s="35" t="s">
        <v>144</v>
      </c>
      <c r="E82" s="36">
        <v>400</v>
      </c>
      <c r="F82" s="37">
        <v>1943.1759999999999</v>
      </c>
      <c r="G82" s="38">
        <v>9.9416299999999999E-3</v>
      </c>
      <c r="H82" s="28">
        <v>7.5701000000000001</v>
      </c>
    </row>
    <row r="83" spans="1:10" ht="25.5" x14ac:dyDescent="0.2">
      <c r="A83" s="34">
        <v>28</v>
      </c>
      <c r="B83" s="35" t="s">
        <v>154</v>
      </c>
      <c r="C83" s="35" t="s">
        <v>155</v>
      </c>
      <c r="D83" s="35" t="s">
        <v>144</v>
      </c>
      <c r="E83" s="36">
        <v>300</v>
      </c>
      <c r="F83" s="37">
        <v>1455.3254999999999</v>
      </c>
      <c r="G83" s="38">
        <v>7.4457000000000004E-3</v>
      </c>
      <c r="H83" s="28">
        <v>7.52</v>
      </c>
    </row>
    <row r="84" spans="1:10" x14ac:dyDescent="0.2">
      <c r="A84" s="34">
        <v>29</v>
      </c>
      <c r="B84" s="35" t="s">
        <v>156</v>
      </c>
      <c r="C84" s="35" t="s">
        <v>157</v>
      </c>
      <c r="D84" s="35" t="s">
        <v>144</v>
      </c>
      <c r="E84" s="36">
        <v>300</v>
      </c>
      <c r="F84" s="37">
        <v>1453.0920000000001</v>
      </c>
      <c r="G84" s="38">
        <v>7.4342699999999998E-3</v>
      </c>
      <c r="H84" s="28">
        <v>7.5049999999999999</v>
      </c>
      <c r="J84" s="8"/>
    </row>
    <row r="85" spans="1:10" ht="25.5" x14ac:dyDescent="0.2">
      <c r="A85" s="34">
        <v>30</v>
      </c>
      <c r="B85" s="35" t="s">
        <v>231</v>
      </c>
      <c r="C85" s="35" t="s">
        <v>232</v>
      </c>
      <c r="D85" s="35" t="s">
        <v>144</v>
      </c>
      <c r="E85" s="36">
        <v>300</v>
      </c>
      <c r="F85" s="37">
        <v>1451.2635</v>
      </c>
      <c r="G85" s="38">
        <v>7.4249199999999998E-3</v>
      </c>
      <c r="H85" s="28">
        <v>7.52</v>
      </c>
      <c r="J85" s="8"/>
    </row>
    <row r="86" spans="1:10" x14ac:dyDescent="0.2">
      <c r="A86" s="34">
        <v>31</v>
      </c>
      <c r="B86" s="35" t="s">
        <v>158</v>
      </c>
      <c r="C86" s="35" t="s">
        <v>159</v>
      </c>
      <c r="D86" s="35" t="s">
        <v>144</v>
      </c>
      <c r="E86" s="36">
        <v>300</v>
      </c>
      <c r="F86" s="37">
        <v>1448.3009999999999</v>
      </c>
      <c r="G86" s="38">
        <v>7.4097599999999996E-3</v>
      </c>
      <c r="H86" s="28">
        <v>7.5750000000000002</v>
      </c>
      <c r="J86" s="8"/>
    </row>
    <row r="87" spans="1:10" x14ac:dyDescent="0.2">
      <c r="A87" s="34">
        <v>32</v>
      </c>
      <c r="B87" s="35" t="s">
        <v>145</v>
      </c>
      <c r="C87" s="35" t="s">
        <v>146</v>
      </c>
      <c r="D87" s="35" t="s">
        <v>147</v>
      </c>
      <c r="E87" s="36">
        <v>200</v>
      </c>
      <c r="F87" s="37">
        <v>968.82899999999995</v>
      </c>
      <c r="G87" s="38">
        <v>4.9566999999999996E-3</v>
      </c>
      <c r="H87" s="28">
        <v>7.48</v>
      </c>
      <c r="J87" s="8"/>
    </row>
    <row r="88" spans="1:10" x14ac:dyDescent="0.2">
      <c r="A88" s="34">
        <v>33</v>
      </c>
      <c r="B88" s="35" t="s">
        <v>142</v>
      </c>
      <c r="C88" s="35" t="s">
        <v>143</v>
      </c>
      <c r="D88" s="35" t="s">
        <v>144</v>
      </c>
      <c r="E88" s="36">
        <v>100</v>
      </c>
      <c r="F88" s="37">
        <v>483.91300000000001</v>
      </c>
      <c r="G88" s="38">
        <v>2.4757799999999999E-3</v>
      </c>
      <c r="H88" s="28">
        <v>7.49</v>
      </c>
      <c r="J88" s="8"/>
    </row>
    <row r="89" spans="1:10" x14ac:dyDescent="0.2">
      <c r="A89" s="26"/>
      <c r="B89" s="26"/>
      <c r="C89" s="27" t="s">
        <v>11</v>
      </c>
      <c r="D89" s="26"/>
      <c r="E89" s="26" t="s">
        <v>12</v>
      </c>
      <c r="F89" s="33">
        <v>104850.9296</v>
      </c>
      <c r="G89" s="30">
        <v>0.53643554999999998</v>
      </c>
      <c r="H89" s="28" t="s">
        <v>12</v>
      </c>
      <c r="J89" s="8"/>
    </row>
    <row r="90" spans="1:10" x14ac:dyDescent="0.2">
      <c r="A90" s="26"/>
      <c r="B90" s="26"/>
      <c r="C90" s="31"/>
      <c r="D90" s="26"/>
      <c r="E90" s="26"/>
      <c r="F90" s="32"/>
      <c r="G90" s="32"/>
      <c r="H90" s="28" t="s">
        <v>12</v>
      </c>
      <c r="J90" s="8"/>
    </row>
    <row r="91" spans="1:10" x14ac:dyDescent="0.2">
      <c r="A91" s="26"/>
      <c r="B91" s="26"/>
      <c r="C91" s="27" t="s">
        <v>86</v>
      </c>
      <c r="D91" s="26"/>
      <c r="E91" s="26"/>
      <c r="F91" s="32"/>
      <c r="G91" s="32"/>
      <c r="H91" s="28" t="s">
        <v>12</v>
      </c>
      <c r="J91" s="8"/>
    </row>
    <row r="92" spans="1:10" x14ac:dyDescent="0.2">
      <c r="A92" s="34">
        <v>1</v>
      </c>
      <c r="B92" s="35" t="s">
        <v>430</v>
      </c>
      <c r="C92" s="35" t="s">
        <v>431</v>
      </c>
      <c r="D92" s="35" t="s">
        <v>144</v>
      </c>
      <c r="E92" s="36">
        <v>1000</v>
      </c>
      <c r="F92" s="37">
        <v>4908.2049999999999</v>
      </c>
      <c r="G92" s="38">
        <v>2.5111229999999998E-2</v>
      </c>
      <c r="H92" s="28">
        <v>7.42</v>
      </c>
      <c r="J92" s="8"/>
    </row>
    <row r="93" spans="1:10" ht="25.5" x14ac:dyDescent="0.2">
      <c r="A93" s="34">
        <v>2</v>
      </c>
      <c r="B93" s="35" t="s">
        <v>432</v>
      </c>
      <c r="C93" s="35" t="s">
        <v>433</v>
      </c>
      <c r="D93" s="35" t="s">
        <v>144</v>
      </c>
      <c r="E93" s="36">
        <v>1000</v>
      </c>
      <c r="F93" s="37">
        <v>4895.37</v>
      </c>
      <c r="G93" s="38">
        <v>2.5045560000000001E-2</v>
      </c>
      <c r="H93" s="28">
        <v>7.88</v>
      </c>
      <c r="J93" s="8"/>
    </row>
    <row r="94" spans="1:10" ht="25.5" x14ac:dyDescent="0.2">
      <c r="A94" s="34">
        <v>3</v>
      </c>
      <c r="B94" s="35" t="s">
        <v>434</v>
      </c>
      <c r="C94" s="35" t="s">
        <v>435</v>
      </c>
      <c r="D94" s="35" t="s">
        <v>144</v>
      </c>
      <c r="E94" s="36">
        <v>1000</v>
      </c>
      <c r="F94" s="37">
        <v>4834.9849999999997</v>
      </c>
      <c r="G94" s="38">
        <v>2.4736620000000001E-2</v>
      </c>
      <c r="H94" s="28">
        <v>7.5500999999999996</v>
      </c>
      <c r="J94" s="8"/>
    </row>
    <row r="95" spans="1:10" x14ac:dyDescent="0.2">
      <c r="A95" s="34">
        <v>4</v>
      </c>
      <c r="B95" s="35" t="s">
        <v>436</v>
      </c>
      <c r="C95" s="35" t="s">
        <v>437</v>
      </c>
      <c r="D95" s="35" t="s">
        <v>144</v>
      </c>
      <c r="E95" s="36">
        <v>1000</v>
      </c>
      <c r="F95" s="37">
        <v>4827.1049999999996</v>
      </c>
      <c r="G95" s="38">
        <v>2.4696309999999999E-2</v>
      </c>
      <c r="H95" s="28">
        <v>8.0701000000000001</v>
      </c>
      <c r="J95" s="8"/>
    </row>
    <row r="96" spans="1:10" x14ac:dyDescent="0.2">
      <c r="A96" s="34">
        <v>5</v>
      </c>
      <c r="B96" s="35" t="s">
        <v>438</v>
      </c>
      <c r="C96" s="35" t="s">
        <v>439</v>
      </c>
      <c r="D96" s="35" t="s">
        <v>144</v>
      </c>
      <c r="E96" s="36">
        <v>1000</v>
      </c>
      <c r="F96" s="37">
        <v>4815.46</v>
      </c>
      <c r="G96" s="38">
        <v>2.4636729999999999E-2</v>
      </c>
      <c r="H96" s="28">
        <v>7.9474999999999998</v>
      </c>
      <c r="J96" s="8"/>
    </row>
    <row r="97" spans="1:10" ht="25.5" x14ac:dyDescent="0.2">
      <c r="A97" s="34">
        <v>6</v>
      </c>
      <c r="B97" s="35" t="s">
        <v>177</v>
      </c>
      <c r="C97" s="35" t="s">
        <v>178</v>
      </c>
      <c r="D97" s="35" t="s">
        <v>144</v>
      </c>
      <c r="E97" s="36">
        <v>800</v>
      </c>
      <c r="F97" s="37">
        <v>3928.576</v>
      </c>
      <c r="G97" s="38">
        <v>2.0099280000000001E-2</v>
      </c>
      <c r="H97" s="28">
        <v>7.9</v>
      </c>
      <c r="J97" s="8"/>
    </row>
    <row r="98" spans="1:10" x14ac:dyDescent="0.2">
      <c r="A98" s="34">
        <v>7</v>
      </c>
      <c r="B98" s="35" t="s">
        <v>440</v>
      </c>
      <c r="C98" s="35" t="s">
        <v>441</v>
      </c>
      <c r="D98" s="35" t="s">
        <v>144</v>
      </c>
      <c r="E98" s="36">
        <v>500</v>
      </c>
      <c r="F98" s="37">
        <v>2415.5574999999999</v>
      </c>
      <c r="G98" s="38">
        <v>1.235841E-2</v>
      </c>
      <c r="H98" s="28">
        <v>7.55</v>
      </c>
    </row>
    <row r="99" spans="1:10" ht="25.5" x14ac:dyDescent="0.2">
      <c r="A99" s="34">
        <v>8</v>
      </c>
      <c r="B99" s="35" t="s">
        <v>442</v>
      </c>
      <c r="C99" s="35" t="s">
        <v>443</v>
      </c>
      <c r="D99" s="35" t="s">
        <v>144</v>
      </c>
      <c r="E99" s="36">
        <v>500</v>
      </c>
      <c r="F99" s="37">
        <v>2399.6075000000001</v>
      </c>
      <c r="G99" s="38">
        <v>1.2276810000000001E-2</v>
      </c>
      <c r="H99" s="28">
        <v>8.2100000000000009</v>
      </c>
    </row>
    <row r="100" spans="1:10" x14ac:dyDescent="0.2">
      <c r="A100" s="34">
        <v>9</v>
      </c>
      <c r="B100" s="35" t="s">
        <v>179</v>
      </c>
      <c r="C100" s="35" t="s">
        <v>180</v>
      </c>
      <c r="D100" s="35" t="s">
        <v>144</v>
      </c>
      <c r="E100" s="36">
        <v>300</v>
      </c>
      <c r="F100" s="37">
        <v>1450.4459999999999</v>
      </c>
      <c r="G100" s="38">
        <v>7.4207300000000004E-3</v>
      </c>
      <c r="H100" s="28">
        <v>7.8925000000000001</v>
      </c>
    </row>
    <row r="101" spans="1:10" ht="25.5" x14ac:dyDescent="0.2">
      <c r="A101" s="34">
        <v>10</v>
      </c>
      <c r="B101" s="35" t="s">
        <v>183</v>
      </c>
      <c r="C101" s="35" t="s">
        <v>184</v>
      </c>
      <c r="D101" s="35" t="s">
        <v>144</v>
      </c>
      <c r="E101" s="36">
        <v>300</v>
      </c>
      <c r="F101" s="37">
        <v>1423.6890000000001</v>
      </c>
      <c r="G101" s="38">
        <v>7.2838399999999998E-3</v>
      </c>
      <c r="H101" s="28">
        <v>7.7024999999999997</v>
      </c>
      <c r="J101" s="8"/>
    </row>
    <row r="102" spans="1:10" x14ac:dyDescent="0.2">
      <c r="A102" s="26"/>
      <c r="B102" s="26"/>
      <c r="C102" s="27" t="s">
        <v>11</v>
      </c>
      <c r="D102" s="26"/>
      <c r="E102" s="26" t="s">
        <v>12</v>
      </c>
      <c r="F102" s="33">
        <v>35899.000999999997</v>
      </c>
      <c r="G102" s="30">
        <v>0.18366552</v>
      </c>
      <c r="H102" s="28" t="s">
        <v>12</v>
      </c>
      <c r="J102" s="8"/>
    </row>
    <row r="103" spans="1:10" x14ac:dyDescent="0.2">
      <c r="A103" s="26"/>
      <c r="B103" s="26"/>
      <c r="C103" s="31"/>
      <c r="D103" s="26"/>
      <c r="E103" s="26"/>
      <c r="F103" s="32"/>
      <c r="G103" s="32"/>
      <c r="H103" s="28" t="s">
        <v>12</v>
      </c>
      <c r="J103" s="8"/>
    </row>
    <row r="104" spans="1:10" x14ac:dyDescent="0.2">
      <c r="A104" s="26"/>
      <c r="B104" s="26"/>
      <c r="C104" s="27" t="s">
        <v>87</v>
      </c>
      <c r="D104" s="26"/>
      <c r="E104" s="26"/>
      <c r="F104" s="32"/>
      <c r="G104" s="32"/>
      <c r="H104" s="28" t="s">
        <v>12</v>
      </c>
      <c r="J104" s="8"/>
    </row>
    <row r="105" spans="1:10" x14ac:dyDescent="0.2">
      <c r="A105" s="34">
        <v>1</v>
      </c>
      <c r="B105" s="35" t="s">
        <v>444</v>
      </c>
      <c r="C105" s="35" t="s">
        <v>445</v>
      </c>
      <c r="D105" s="35" t="s">
        <v>71</v>
      </c>
      <c r="E105" s="36">
        <v>5000000</v>
      </c>
      <c r="F105" s="37">
        <v>4843.4399999999996</v>
      </c>
      <c r="G105" s="38">
        <v>2.4779880000000001E-2</v>
      </c>
      <c r="H105" s="28">
        <v>6.6281999999999996</v>
      </c>
      <c r="J105" s="8"/>
    </row>
    <row r="106" spans="1:10" x14ac:dyDescent="0.2">
      <c r="A106" s="34">
        <v>2</v>
      </c>
      <c r="B106" s="35" t="s">
        <v>185</v>
      </c>
      <c r="C106" s="35" t="s">
        <v>186</v>
      </c>
      <c r="D106" s="35" t="s">
        <v>71</v>
      </c>
      <c r="E106" s="36">
        <v>3500000</v>
      </c>
      <c r="F106" s="37">
        <v>3394.4225000000001</v>
      </c>
      <c r="G106" s="38">
        <v>1.7366449999999999E-2</v>
      </c>
      <c r="H106" s="28">
        <v>6.6391</v>
      </c>
      <c r="J106" s="8"/>
    </row>
    <row r="107" spans="1:10" x14ac:dyDescent="0.2">
      <c r="A107" s="34">
        <v>3</v>
      </c>
      <c r="B107" s="35" t="s">
        <v>446</v>
      </c>
      <c r="C107" s="35" t="s">
        <v>447</v>
      </c>
      <c r="D107" s="35" t="s">
        <v>71</v>
      </c>
      <c r="E107" s="36">
        <v>500000</v>
      </c>
      <c r="F107" s="37">
        <v>498.4735</v>
      </c>
      <c r="G107" s="38">
        <v>2.5502799999999998E-3</v>
      </c>
      <c r="H107" s="28">
        <v>6.5759999999999996</v>
      </c>
      <c r="J107" s="8"/>
    </row>
    <row r="108" spans="1:10" x14ac:dyDescent="0.2">
      <c r="A108" s="26"/>
      <c r="B108" s="26"/>
      <c r="C108" s="27" t="s">
        <v>11</v>
      </c>
      <c r="D108" s="26"/>
      <c r="E108" s="26" t="s">
        <v>12</v>
      </c>
      <c r="F108" s="33">
        <v>8736.3359999999993</v>
      </c>
      <c r="G108" s="30">
        <v>4.4696609999999998E-2</v>
      </c>
      <c r="H108" s="28" t="s">
        <v>12</v>
      </c>
      <c r="J108" s="8"/>
    </row>
    <row r="109" spans="1:10" x14ac:dyDescent="0.2">
      <c r="A109" s="26"/>
      <c r="B109" s="26"/>
      <c r="C109" s="31"/>
      <c r="D109" s="26"/>
      <c r="E109" s="26"/>
      <c r="F109" s="32"/>
      <c r="G109" s="32"/>
      <c r="H109" s="28" t="s">
        <v>12</v>
      </c>
    </row>
    <row r="110" spans="1:10" x14ac:dyDescent="0.2">
      <c r="A110" s="26"/>
      <c r="B110" s="26"/>
      <c r="C110" s="27" t="s">
        <v>88</v>
      </c>
      <c r="D110" s="26"/>
      <c r="E110" s="26"/>
      <c r="F110" s="32"/>
      <c r="G110" s="32"/>
      <c r="H110" s="28" t="s">
        <v>12</v>
      </c>
    </row>
    <row r="111" spans="1:10" x14ac:dyDescent="0.2">
      <c r="A111" s="34">
        <v>1</v>
      </c>
      <c r="B111" s="35"/>
      <c r="C111" s="35" t="s">
        <v>239</v>
      </c>
      <c r="D111" s="35"/>
      <c r="E111" s="39"/>
      <c r="F111" s="37">
        <v>12585.9375</v>
      </c>
      <c r="G111" s="38">
        <v>6.4391840000000006E-2</v>
      </c>
      <c r="H111" s="28">
        <v>6.5</v>
      </c>
    </row>
    <row r="112" spans="1:10" x14ac:dyDescent="0.2">
      <c r="A112" s="34">
        <v>2</v>
      </c>
      <c r="B112" s="35"/>
      <c r="C112" s="35" t="s">
        <v>89</v>
      </c>
      <c r="D112" s="35"/>
      <c r="E112" s="39"/>
      <c r="F112" s="37">
        <v>1635.224608796</v>
      </c>
      <c r="G112" s="38">
        <v>8.3660899999999996E-3</v>
      </c>
      <c r="H112" s="28">
        <v>6.4</v>
      </c>
    </row>
    <row r="113" spans="1:18" x14ac:dyDescent="0.2">
      <c r="A113" s="26"/>
      <c r="B113" s="26"/>
      <c r="C113" s="27" t="s">
        <v>11</v>
      </c>
      <c r="D113" s="26"/>
      <c r="E113" s="26" t="s">
        <v>12</v>
      </c>
      <c r="F113" s="33">
        <v>14221.162108795999</v>
      </c>
      <c r="G113" s="30">
        <v>7.2757929999999998E-2</v>
      </c>
      <c r="H113" s="28" t="s">
        <v>12</v>
      </c>
    </row>
    <row r="114" spans="1:18" x14ac:dyDescent="0.2">
      <c r="A114" s="26"/>
      <c r="B114" s="26"/>
      <c r="C114" s="31"/>
      <c r="D114" s="26"/>
      <c r="E114" s="26"/>
      <c r="F114" s="32"/>
      <c r="G114" s="32"/>
      <c r="H114" s="28" t="s">
        <v>12</v>
      </c>
    </row>
    <row r="115" spans="1:18" x14ac:dyDescent="0.2">
      <c r="A115" s="26"/>
      <c r="B115" s="26"/>
      <c r="C115" s="27" t="s">
        <v>90</v>
      </c>
      <c r="D115" s="26"/>
      <c r="E115" s="26"/>
      <c r="F115" s="33">
        <v>163707.42870879601</v>
      </c>
      <c r="G115" s="30">
        <v>0.83755561000000001</v>
      </c>
      <c r="H115" s="28" t="s">
        <v>12</v>
      </c>
    </row>
    <row r="116" spans="1:18" x14ac:dyDescent="0.2">
      <c r="A116" s="26"/>
      <c r="B116" s="26"/>
      <c r="C116" s="32"/>
      <c r="D116" s="26"/>
      <c r="E116" s="26"/>
      <c r="F116" s="26"/>
      <c r="G116" s="26"/>
      <c r="H116" s="28" t="s">
        <v>12</v>
      </c>
    </row>
    <row r="117" spans="1:18" x14ac:dyDescent="0.2">
      <c r="A117" s="26"/>
      <c r="B117" s="26"/>
      <c r="C117" s="27" t="s">
        <v>91</v>
      </c>
      <c r="D117" s="26"/>
      <c r="E117" s="26"/>
      <c r="F117" s="26"/>
      <c r="G117" s="26"/>
      <c r="H117" s="28" t="s">
        <v>12</v>
      </c>
    </row>
    <row r="118" spans="1:18" x14ac:dyDescent="0.2">
      <c r="A118" s="26"/>
      <c r="B118" s="26"/>
      <c r="C118" s="27" t="s">
        <v>92</v>
      </c>
      <c r="D118" s="26"/>
      <c r="E118" s="26"/>
      <c r="F118" s="26"/>
      <c r="G118" s="26"/>
      <c r="H118" s="28" t="s">
        <v>12</v>
      </c>
    </row>
    <row r="119" spans="1:18" x14ac:dyDescent="0.2">
      <c r="A119" s="26"/>
      <c r="B119" s="26"/>
      <c r="C119" s="27" t="s">
        <v>11</v>
      </c>
      <c r="D119" s="26"/>
      <c r="E119" s="26" t="s">
        <v>12</v>
      </c>
      <c r="F119" s="29" t="s">
        <v>13</v>
      </c>
      <c r="G119" s="30">
        <v>0</v>
      </c>
      <c r="H119" s="28" t="s">
        <v>12</v>
      </c>
    </row>
    <row r="120" spans="1:18" x14ac:dyDescent="0.2">
      <c r="A120" s="26"/>
      <c r="B120" s="26"/>
      <c r="C120" s="31"/>
      <c r="D120" s="26"/>
      <c r="E120" s="26"/>
      <c r="F120" s="32"/>
      <c r="G120" s="32"/>
      <c r="H120" s="28" t="s">
        <v>12</v>
      </c>
    </row>
    <row r="121" spans="1:18" x14ac:dyDescent="0.2">
      <c r="A121" s="40"/>
      <c r="B121" s="40"/>
      <c r="C121" s="41" t="s">
        <v>527</v>
      </c>
      <c r="D121" s="40"/>
      <c r="E121" s="40"/>
      <c r="F121" s="42"/>
      <c r="G121" s="42"/>
      <c r="H121" s="43"/>
      <c r="L121" s="5"/>
      <c r="M121" s="5"/>
      <c r="N121" s="5"/>
      <c r="O121" s="5"/>
      <c r="P121" s="6"/>
      <c r="Q121" s="6"/>
      <c r="R121" s="6"/>
    </row>
    <row r="122" spans="1:18" ht="25.5" x14ac:dyDescent="0.2">
      <c r="A122" s="34">
        <v>1</v>
      </c>
      <c r="B122" s="35" t="s">
        <v>93</v>
      </c>
      <c r="C122" s="35" t="s">
        <v>94</v>
      </c>
      <c r="D122" s="35"/>
      <c r="E122" s="44">
        <v>4528.5039999999999</v>
      </c>
      <c r="F122" s="37">
        <v>470.34568649800002</v>
      </c>
      <c r="G122" s="38">
        <v>2.4063700000000001E-3</v>
      </c>
      <c r="H122" s="28"/>
    </row>
    <row r="123" spans="1:18" x14ac:dyDescent="0.2">
      <c r="A123" s="26"/>
      <c r="B123" s="26"/>
      <c r="C123" s="27" t="s">
        <v>11</v>
      </c>
      <c r="D123" s="26"/>
      <c r="E123" s="26" t="s">
        <v>12</v>
      </c>
      <c r="F123" s="33">
        <v>470.34568649800002</v>
      </c>
      <c r="G123" s="30">
        <v>2.4063700000000001E-3</v>
      </c>
      <c r="H123" s="28" t="s">
        <v>12</v>
      </c>
    </row>
    <row r="124" spans="1:18" x14ac:dyDescent="0.2">
      <c r="A124" s="26"/>
      <c r="B124" s="26"/>
      <c r="C124" s="31"/>
      <c r="D124" s="26"/>
      <c r="E124" s="26"/>
      <c r="F124" s="32"/>
      <c r="G124" s="32"/>
      <c r="H124" s="28" t="s">
        <v>12</v>
      </c>
    </row>
    <row r="125" spans="1:18" x14ac:dyDescent="0.2">
      <c r="A125" s="26"/>
      <c r="B125" s="26"/>
      <c r="C125" s="27" t="s">
        <v>95</v>
      </c>
      <c r="D125" s="26"/>
      <c r="E125" s="26"/>
      <c r="F125" s="26"/>
      <c r="G125" s="26"/>
      <c r="H125" s="28" t="s">
        <v>12</v>
      </c>
    </row>
    <row r="126" spans="1:18" x14ac:dyDescent="0.2">
      <c r="A126" s="26"/>
      <c r="B126" s="26"/>
      <c r="C126" s="27" t="s">
        <v>96</v>
      </c>
      <c r="D126" s="26"/>
      <c r="E126" s="26"/>
      <c r="F126" s="26"/>
      <c r="G126" s="26"/>
      <c r="H126" s="28" t="s">
        <v>12</v>
      </c>
    </row>
    <row r="127" spans="1:18" x14ac:dyDescent="0.2">
      <c r="A127" s="26"/>
      <c r="B127" s="26"/>
      <c r="C127" s="27" t="s">
        <v>11</v>
      </c>
      <c r="D127" s="26"/>
      <c r="E127" s="26" t="s">
        <v>12</v>
      </c>
      <c r="F127" s="29" t="s">
        <v>13</v>
      </c>
      <c r="G127" s="30">
        <v>0</v>
      </c>
      <c r="H127" s="28" t="s">
        <v>12</v>
      </c>
    </row>
    <row r="128" spans="1:18" x14ac:dyDescent="0.2">
      <c r="A128" s="26"/>
      <c r="B128" s="26"/>
      <c r="C128" s="31"/>
      <c r="D128" s="26"/>
      <c r="E128" s="26"/>
      <c r="F128" s="32"/>
      <c r="G128" s="32"/>
      <c r="H128" s="28" t="s">
        <v>12</v>
      </c>
    </row>
    <row r="129" spans="1:8" x14ac:dyDescent="0.2">
      <c r="A129" s="26"/>
      <c r="B129" s="26"/>
      <c r="C129" s="27" t="s">
        <v>97</v>
      </c>
      <c r="D129" s="26"/>
      <c r="E129" s="26"/>
      <c r="F129" s="32"/>
      <c r="G129" s="32"/>
      <c r="H129" s="28" t="s">
        <v>12</v>
      </c>
    </row>
    <row r="130" spans="1:8" x14ac:dyDescent="0.2">
      <c r="A130" s="26"/>
      <c r="B130" s="26"/>
      <c r="C130" s="27" t="s">
        <v>11</v>
      </c>
      <c r="D130" s="26"/>
      <c r="E130" s="26" t="s">
        <v>12</v>
      </c>
      <c r="F130" s="29" t="s">
        <v>13</v>
      </c>
      <c r="G130" s="30">
        <v>0</v>
      </c>
      <c r="H130" s="28" t="s">
        <v>12</v>
      </c>
    </row>
    <row r="131" spans="1:8" x14ac:dyDescent="0.2">
      <c r="A131" s="26"/>
      <c r="B131" s="35"/>
      <c r="C131" s="35"/>
      <c r="D131" s="27"/>
      <c r="E131" s="26"/>
      <c r="F131" s="35"/>
      <c r="G131" s="39"/>
      <c r="H131" s="28" t="s">
        <v>12</v>
      </c>
    </row>
    <row r="132" spans="1:8" x14ac:dyDescent="0.2">
      <c r="A132" s="39"/>
      <c r="B132" s="35"/>
      <c r="C132" s="35" t="s">
        <v>98</v>
      </c>
      <c r="D132" s="35"/>
      <c r="E132" s="39"/>
      <c r="F132" s="37">
        <f>1261.58104211+0.0000159259796142578</f>
        <v>1261.5810580359796</v>
      </c>
      <c r="G132" s="38">
        <v>6.4544700000000003E-3</v>
      </c>
      <c r="H132" s="28" t="s">
        <v>12</v>
      </c>
    </row>
    <row r="133" spans="1:8" x14ac:dyDescent="0.2">
      <c r="A133" s="31"/>
      <c r="B133" s="31"/>
      <c r="C133" s="27" t="s">
        <v>99</v>
      </c>
      <c r="D133" s="32"/>
      <c r="E133" s="32"/>
      <c r="F133" s="33">
        <f>195458.590737404+0.0000159259796142578</f>
        <v>195458.59075332998</v>
      </c>
      <c r="G133" s="45">
        <v>1.00000008</v>
      </c>
      <c r="H133" s="28" t="s">
        <v>12</v>
      </c>
    </row>
    <row r="134" spans="1:8" x14ac:dyDescent="0.2">
      <c r="A134" s="46"/>
      <c r="B134" s="46"/>
      <c r="C134" s="46"/>
      <c r="D134" s="47"/>
      <c r="E134" s="47"/>
      <c r="F134" s="47"/>
      <c r="G134" s="47"/>
    </row>
    <row r="135" spans="1:8" x14ac:dyDescent="0.2">
      <c r="A135" s="48"/>
      <c r="B135" s="116" t="s">
        <v>537</v>
      </c>
      <c r="C135" s="116"/>
      <c r="D135" s="116"/>
      <c r="E135" s="116"/>
      <c r="F135" s="116"/>
      <c r="G135" s="116"/>
      <c r="H135" s="116"/>
    </row>
    <row r="136" spans="1:8" x14ac:dyDescent="0.2">
      <c r="A136" s="48"/>
      <c r="B136" s="116" t="s">
        <v>538</v>
      </c>
      <c r="C136" s="116"/>
      <c r="D136" s="116"/>
      <c r="E136" s="116"/>
      <c r="F136" s="116"/>
      <c r="G136" s="116"/>
      <c r="H136" s="116"/>
    </row>
    <row r="137" spans="1:8" x14ac:dyDescent="0.2">
      <c r="A137" s="48"/>
      <c r="B137" s="116" t="s">
        <v>539</v>
      </c>
      <c r="C137" s="116"/>
      <c r="D137" s="116"/>
      <c r="E137" s="116"/>
      <c r="F137" s="116"/>
      <c r="G137" s="116"/>
      <c r="H137" s="116"/>
    </row>
    <row r="138" spans="1:8" x14ac:dyDescent="0.2">
      <c r="A138" s="50"/>
      <c r="B138" s="50"/>
      <c r="C138" s="50"/>
      <c r="D138" s="51"/>
      <c r="E138" s="51"/>
      <c r="F138" s="51"/>
      <c r="G138" s="51"/>
    </row>
    <row r="139" spans="1:8" x14ac:dyDescent="0.2">
      <c r="A139" s="50"/>
      <c r="B139" s="109" t="s">
        <v>100</v>
      </c>
      <c r="C139" s="110"/>
      <c r="D139" s="111"/>
      <c r="E139" s="52"/>
      <c r="F139" s="51"/>
      <c r="G139" s="51"/>
    </row>
    <row r="140" spans="1:8" ht="25.5" x14ac:dyDescent="0.2">
      <c r="A140" s="50"/>
      <c r="B140" s="112" t="s">
        <v>101</v>
      </c>
      <c r="C140" s="113"/>
      <c r="D140" s="41" t="s">
        <v>531</v>
      </c>
      <c r="E140" s="52"/>
      <c r="F140" s="51"/>
      <c r="G140" s="51"/>
    </row>
    <row r="141" spans="1:8" x14ac:dyDescent="0.2">
      <c r="A141" s="50"/>
      <c r="B141" s="112" t="s">
        <v>103</v>
      </c>
      <c r="C141" s="113"/>
      <c r="D141" s="27" t="s">
        <v>102</v>
      </c>
      <c r="E141" s="52"/>
      <c r="F141" s="51"/>
      <c r="G141" s="51"/>
    </row>
    <row r="142" spans="1:8" x14ac:dyDescent="0.2">
      <c r="A142" s="50"/>
      <c r="B142" s="112" t="s">
        <v>104</v>
      </c>
      <c r="C142" s="113"/>
      <c r="D142" s="32" t="s">
        <v>12</v>
      </c>
      <c r="E142" s="52"/>
      <c r="F142" s="51"/>
      <c r="G142" s="51"/>
    </row>
    <row r="143" spans="1:8" x14ac:dyDescent="0.2">
      <c r="A143" s="53"/>
      <c r="B143" s="54" t="s">
        <v>12</v>
      </c>
      <c r="C143" s="54" t="s">
        <v>528</v>
      </c>
      <c r="D143" s="54" t="s">
        <v>105</v>
      </c>
      <c r="E143" s="53"/>
      <c r="F143" s="53"/>
      <c r="G143" s="53"/>
      <c r="H143" s="55"/>
    </row>
    <row r="144" spans="1:8" x14ac:dyDescent="0.2">
      <c r="A144" s="56"/>
      <c r="B144" s="57" t="s">
        <v>106</v>
      </c>
      <c r="C144" s="58">
        <v>45535</v>
      </c>
      <c r="D144" s="58">
        <v>45550</v>
      </c>
      <c r="E144" s="56"/>
      <c r="F144" s="56"/>
      <c r="G144" s="56"/>
    </row>
    <row r="145" spans="1:7" x14ac:dyDescent="0.2">
      <c r="A145" s="56"/>
      <c r="B145" s="35" t="s">
        <v>107</v>
      </c>
      <c r="C145" s="59">
        <v>2749.4688000000001</v>
      </c>
      <c r="D145" s="59">
        <v>2757.6385</v>
      </c>
      <c r="E145" s="56"/>
      <c r="F145" s="60"/>
      <c r="G145" s="61"/>
    </row>
    <row r="146" spans="1:7" ht="25.5" x14ac:dyDescent="0.2">
      <c r="A146" s="56"/>
      <c r="B146" s="35" t="s">
        <v>581</v>
      </c>
      <c r="C146" s="59">
        <v>1063.4879000000001</v>
      </c>
      <c r="D146" s="59">
        <v>1066.6504</v>
      </c>
      <c r="E146" s="56"/>
      <c r="F146" s="60"/>
      <c r="G146" s="61"/>
    </row>
    <row r="147" spans="1:7" ht="25.5" x14ac:dyDescent="0.2">
      <c r="A147" s="56"/>
      <c r="B147" s="35" t="s">
        <v>582</v>
      </c>
      <c r="C147" s="59">
        <v>1173.7237</v>
      </c>
      <c r="D147" s="59">
        <v>1169.6783</v>
      </c>
      <c r="E147" s="56"/>
      <c r="F147" s="60"/>
      <c r="G147" s="61"/>
    </row>
    <row r="148" spans="1:7" x14ac:dyDescent="0.2">
      <c r="A148" s="56"/>
      <c r="B148" s="35" t="s">
        <v>108</v>
      </c>
      <c r="C148" s="59">
        <v>2547.1228999999998</v>
      </c>
      <c r="D148" s="59">
        <v>2553.3899000000001</v>
      </c>
      <c r="E148" s="56"/>
      <c r="F148" s="60"/>
      <c r="G148" s="61"/>
    </row>
    <row r="149" spans="1:7" ht="25.5" x14ac:dyDescent="0.2">
      <c r="A149" s="56"/>
      <c r="B149" s="35" t="s">
        <v>585</v>
      </c>
      <c r="C149" s="59">
        <v>1062.5482</v>
      </c>
      <c r="D149" s="59">
        <v>1065.1624999999999</v>
      </c>
      <c r="E149" s="56"/>
      <c r="F149" s="60"/>
      <c r="G149" s="61"/>
    </row>
    <row r="150" spans="1:7" ht="25.5" x14ac:dyDescent="0.2">
      <c r="A150" s="56"/>
      <c r="B150" s="35" t="s">
        <v>532</v>
      </c>
      <c r="C150" s="59">
        <v>1134.5051000000001</v>
      </c>
      <c r="D150" s="59">
        <v>1129.7850000000001</v>
      </c>
      <c r="E150" s="56"/>
      <c r="F150" s="60"/>
      <c r="G150" s="61"/>
    </row>
    <row r="151" spans="1:7" x14ac:dyDescent="0.2">
      <c r="A151" s="56"/>
      <c r="B151" s="56"/>
      <c r="C151" s="56"/>
      <c r="D151" s="56"/>
      <c r="E151" s="56"/>
      <c r="F151" s="56"/>
      <c r="G151" s="56"/>
    </row>
    <row r="152" spans="1:7" x14ac:dyDescent="0.2">
      <c r="A152" s="56"/>
      <c r="B152" s="112" t="s">
        <v>588</v>
      </c>
      <c r="C152" s="113"/>
      <c r="D152" s="27" t="s">
        <v>12</v>
      </c>
      <c r="E152" s="56"/>
      <c r="F152" s="56"/>
      <c r="G152" s="56"/>
    </row>
    <row r="153" spans="1:7" x14ac:dyDescent="0.2">
      <c r="A153" s="56"/>
      <c r="B153" s="62" t="s">
        <v>106</v>
      </c>
      <c r="C153" s="63" t="s">
        <v>109</v>
      </c>
      <c r="D153" s="63" t="s">
        <v>110</v>
      </c>
      <c r="E153" s="56"/>
      <c r="F153" s="56"/>
      <c r="G153" s="56"/>
    </row>
    <row r="154" spans="1:7" ht="25.5" x14ac:dyDescent="0.2">
      <c r="A154" s="56"/>
      <c r="B154" s="35" t="s">
        <v>582</v>
      </c>
      <c r="C154" s="64">
        <v>7.5</v>
      </c>
      <c r="D154" s="39" t="s">
        <v>111</v>
      </c>
      <c r="E154" s="56"/>
      <c r="F154" s="60"/>
      <c r="G154" s="61"/>
    </row>
    <row r="155" spans="1:7" ht="25.5" x14ac:dyDescent="0.2">
      <c r="A155" s="56"/>
      <c r="B155" s="35" t="s">
        <v>532</v>
      </c>
      <c r="C155" s="64">
        <v>7.5</v>
      </c>
      <c r="D155" s="39" t="s">
        <v>111</v>
      </c>
      <c r="E155" s="56"/>
      <c r="F155" s="60"/>
      <c r="G155" s="61"/>
    </row>
    <row r="156" spans="1:7" x14ac:dyDescent="0.2">
      <c r="A156" s="56"/>
      <c r="B156" s="65"/>
      <c r="C156" s="65"/>
      <c r="D156" s="66"/>
      <c r="E156" s="56"/>
      <c r="F156" s="60"/>
      <c r="G156" s="61"/>
    </row>
    <row r="157" spans="1:7" x14ac:dyDescent="0.2">
      <c r="A157" s="53"/>
      <c r="B157" s="114" t="s">
        <v>112</v>
      </c>
      <c r="C157" s="115"/>
      <c r="D157" s="41" t="s">
        <v>102</v>
      </c>
      <c r="E157" s="67"/>
      <c r="F157" s="53"/>
      <c r="G157" s="53"/>
    </row>
    <row r="158" spans="1:7" x14ac:dyDescent="0.2">
      <c r="A158" s="53"/>
      <c r="B158" s="114" t="s">
        <v>113</v>
      </c>
      <c r="C158" s="115"/>
      <c r="D158" s="41" t="s">
        <v>102</v>
      </c>
      <c r="E158" s="67"/>
      <c r="F158" s="53"/>
      <c r="G158" s="53"/>
    </row>
    <row r="159" spans="1:7" x14ac:dyDescent="0.2">
      <c r="A159" s="53"/>
      <c r="B159" s="114" t="s">
        <v>540</v>
      </c>
      <c r="C159" s="115"/>
      <c r="D159" s="41" t="s">
        <v>102</v>
      </c>
      <c r="E159" s="67"/>
      <c r="F159" s="53"/>
      <c r="G159" s="53"/>
    </row>
    <row r="160" spans="1:7" x14ac:dyDescent="0.2">
      <c r="A160" s="68"/>
      <c r="B160" s="68"/>
      <c r="C160" s="68"/>
      <c r="D160" s="68"/>
      <c r="E160" s="68"/>
      <c r="F160" s="68"/>
      <c r="G160" s="68"/>
    </row>
    <row r="161" spans="2:17" s="9" customFormat="1" x14ac:dyDescent="0.2">
      <c r="B161" s="75" t="s">
        <v>579</v>
      </c>
      <c r="C161" s="75"/>
      <c r="D161" s="75"/>
      <c r="E161" s="75"/>
      <c r="F161" s="75"/>
      <c r="G161" s="75"/>
      <c r="I161"/>
      <c r="J161" s="2"/>
      <c r="K161" s="5"/>
      <c r="L161" s="5"/>
      <c r="M161" s="5"/>
      <c r="N161" s="5"/>
      <c r="O161" s="10"/>
    </row>
    <row r="162" spans="2:17" s="9" customFormat="1" x14ac:dyDescent="0.2">
      <c r="B162" s="76"/>
      <c r="C162" s="76"/>
      <c r="D162" s="76"/>
      <c r="E162" s="76"/>
      <c r="F162" s="76"/>
      <c r="G162" s="76"/>
      <c r="I162"/>
      <c r="J162" s="2"/>
      <c r="K162" s="5"/>
      <c r="L162" s="5"/>
      <c r="M162" s="5"/>
      <c r="N162" s="5"/>
      <c r="O162" s="10"/>
    </row>
    <row r="163" spans="2:17" s="9" customFormat="1" ht="102" x14ac:dyDescent="0.2">
      <c r="B163" s="86" t="s">
        <v>553</v>
      </c>
      <c r="C163" s="86" t="s">
        <v>554</v>
      </c>
      <c r="D163" s="78" t="s">
        <v>555</v>
      </c>
      <c r="E163" s="86" t="s">
        <v>556</v>
      </c>
      <c r="F163" s="78" t="s">
        <v>562</v>
      </c>
      <c r="G163" s="76"/>
      <c r="I163"/>
      <c r="J163" s="2"/>
      <c r="K163" s="5"/>
      <c r="L163" s="5"/>
      <c r="M163" s="5"/>
      <c r="N163" s="5"/>
      <c r="O163" s="10"/>
    </row>
    <row r="164" spans="2:17" s="9" customFormat="1" x14ac:dyDescent="0.2">
      <c r="B164" s="80" t="s">
        <v>558</v>
      </c>
      <c r="C164" s="80" t="s">
        <v>559</v>
      </c>
      <c r="D164" s="11">
        <v>0</v>
      </c>
      <c r="E164" s="12">
        <v>0</v>
      </c>
      <c r="F164" s="81">
        <v>500</v>
      </c>
      <c r="G164" s="76"/>
      <c r="I164"/>
      <c r="J164" s="2"/>
      <c r="K164" s="5"/>
      <c r="L164" s="5"/>
      <c r="M164" s="5"/>
      <c r="N164" s="5"/>
      <c r="O164" s="10"/>
    </row>
    <row r="165" spans="2:17" s="9" customFormat="1" x14ac:dyDescent="0.2">
      <c r="I165"/>
      <c r="J165" s="2"/>
      <c r="K165" s="5"/>
      <c r="L165" s="5"/>
      <c r="M165" s="5"/>
      <c r="N165" s="5"/>
      <c r="O165" s="10"/>
    </row>
    <row r="166" spans="2:17" s="9" customFormat="1" x14ac:dyDescent="0.2">
      <c r="B166" s="117" t="s">
        <v>541</v>
      </c>
      <c r="C166" s="118"/>
      <c r="D166" s="119"/>
      <c r="I166"/>
      <c r="J166" s="2"/>
      <c r="K166" s="5"/>
      <c r="L166" s="5"/>
      <c r="M166" s="5"/>
      <c r="N166" s="5"/>
      <c r="O166" s="10"/>
    </row>
    <row r="167" spans="2:17" s="9" customFormat="1" ht="51" x14ac:dyDescent="0.2">
      <c r="B167" s="107" t="s">
        <v>542</v>
      </c>
      <c r="C167" s="107"/>
      <c r="D167" s="69" t="s">
        <v>391</v>
      </c>
      <c r="I167"/>
      <c r="J167" s="2"/>
      <c r="K167" s="5"/>
      <c r="L167" s="5"/>
      <c r="M167" s="5"/>
      <c r="N167" s="5"/>
      <c r="O167" s="10"/>
    </row>
    <row r="168" spans="2:17" s="9" customFormat="1" x14ac:dyDescent="0.2">
      <c r="B168" s="120" t="s">
        <v>543</v>
      </c>
      <c r="C168" s="120"/>
      <c r="D168" s="70"/>
      <c r="I168"/>
      <c r="J168" s="2"/>
      <c r="K168" s="5"/>
      <c r="L168" s="5"/>
      <c r="M168" s="5"/>
      <c r="N168" s="5"/>
      <c r="O168" s="10"/>
    </row>
    <row r="169" spans="2:17" s="9" customFormat="1" x14ac:dyDescent="0.2">
      <c r="B169" s="120"/>
      <c r="C169" s="120"/>
      <c r="D169" s="71"/>
      <c r="I169"/>
      <c r="J169" s="2"/>
      <c r="K169" s="5"/>
      <c r="L169" s="5"/>
      <c r="M169" s="5"/>
      <c r="N169" s="5"/>
      <c r="O169" s="10"/>
    </row>
    <row r="170" spans="2:17" s="9" customFormat="1" x14ac:dyDescent="0.2">
      <c r="B170" s="120" t="s">
        <v>544</v>
      </c>
      <c r="C170" s="120"/>
      <c r="D170" s="72">
        <v>7.5089489020022508</v>
      </c>
      <c r="I170"/>
      <c r="J170" s="2"/>
      <c r="K170" s="5"/>
      <c r="L170" s="5"/>
      <c r="M170" s="5"/>
      <c r="N170" s="5"/>
      <c r="O170" s="10"/>
    </row>
    <row r="171" spans="2:17" s="9" customFormat="1" x14ac:dyDescent="0.2">
      <c r="B171" s="120"/>
      <c r="C171" s="120"/>
      <c r="D171" s="71"/>
      <c r="I171"/>
      <c r="J171" s="2"/>
      <c r="K171" s="5"/>
      <c r="L171" s="5"/>
      <c r="M171" s="5"/>
      <c r="N171" s="5"/>
      <c r="O171" s="10"/>
    </row>
    <row r="172" spans="2:17" s="9" customFormat="1" x14ac:dyDescent="0.2">
      <c r="B172" s="120" t="s">
        <v>545</v>
      </c>
      <c r="C172" s="120"/>
      <c r="D172" s="72">
        <v>0.45802839821288793</v>
      </c>
      <c r="I172"/>
      <c r="J172" s="2"/>
      <c r="K172" s="5"/>
      <c r="L172" s="5"/>
      <c r="M172" s="5"/>
      <c r="N172" s="5"/>
      <c r="O172" s="10"/>
    </row>
    <row r="173" spans="2:17" s="9" customFormat="1" x14ac:dyDescent="0.2">
      <c r="B173" s="120" t="s">
        <v>546</v>
      </c>
      <c r="C173" s="120"/>
      <c r="D173" s="72">
        <v>0.46743266702245401</v>
      </c>
      <c r="I173"/>
      <c r="J173" s="2"/>
      <c r="K173" s="5"/>
      <c r="L173" s="5"/>
      <c r="M173" s="5"/>
      <c r="N173" s="5"/>
      <c r="O173" s="10"/>
    </row>
    <row r="174" spans="2:17" s="9" customFormat="1" x14ac:dyDescent="0.2">
      <c r="B174" s="120"/>
      <c r="C174" s="120"/>
      <c r="D174" s="71"/>
      <c r="I174"/>
      <c r="J174" s="2"/>
      <c r="K174" s="5"/>
      <c r="L174" s="5"/>
      <c r="M174" s="5"/>
      <c r="N174" s="5"/>
      <c r="O174" s="10"/>
    </row>
    <row r="175" spans="2:17" s="9" customFormat="1" ht="25.5" x14ac:dyDescent="0.2">
      <c r="B175" s="120" t="s">
        <v>547</v>
      </c>
      <c r="C175" s="120"/>
      <c r="D175" s="73" t="s">
        <v>577</v>
      </c>
      <c r="I175"/>
      <c r="J175" s="2"/>
      <c r="K175" s="5"/>
      <c r="L175" s="5"/>
      <c r="M175" s="5"/>
      <c r="N175" s="5"/>
      <c r="O175" s="10"/>
    </row>
    <row r="176" spans="2:17" s="9" customFormat="1" x14ac:dyDescent="0.2">
      <c r="B176" s="121" t="s">
        <v>548</v>
      </c>
      <c r="C176" s="123"/>
      <c r="D176" s="122"/>
      <c r="I176"/>
      <c r="J176" s="2"/>
      <c r="K176" s="5"/>
      <c r="L176" s="5"/>
      <c r="M176" s="5"/>
      <c r="N176" s="5"/>
      <c r="O176" s="10"/>
      <c r="P176"/>
      <c r="Q176"/>
    </row>
  </sheetData>
  <mergeCells count="25">
    <mergeCell ref="B172:C172"/>
    <mergeCell ref="B173:C173"/>
    <mergeCell ref="B174:C174"/>
    <mergeCell ref="B175:C175"/>
    <mergeCell ref="B176:D176"/>
    <mergeCell ref="B167:C167"/>
    <mergeCell ref="B168:C168"/>
    <mergeCell ref="B169:C169"/>
    <mergeCell ref="B170:C170"/>
    <mergeCell ref="B171:C171"/>
    <mergeCell ref="B157:C157"/>
    <mergeCell ref="B166:D166"/>
    <mergeCell ref="B159:C159"/>
    <mergeCell ref="B141:C141"/>
    <mergeCell ref="B142:C142"/>
    <mergeCell ref="B152:C152"/>
    <mergeCell ref="B158:C158"/>
    <mergeCell ref="A1:H1"/>
    <mergeCell ref="A2:H2"/>
    <mergeCell ref="A3:H3"/>
    <mergeCell ref="B139:D139"/>
    <mergeCell ref="B140:C140"/>
    <mergeCell ref="B135:H135"/>
    <mergeCell ref="B136:H136"/>
    <mergeCell ref="B137:H137"/>
  </mergeCells>
  <hyperlinks>
    <hyperlink ref="I1" location="Index!B8" display="Index" xr:uid="{5A3F2FEC-E3ED-4B1D-B705-9B5DCA6A4D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84A3B-2CB0-4ABF-BF7C-97D90E2E51B0}">
  <sheetPr>
    <outlinePr summaryBelow="0" summaryRight="0"/>
  </sheetPr>
  <dimension ref="A1:R13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448</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I4"/>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ht="25.5" x14ac:dyDescent="0.2">
      <c r="A14" s="26"/>
      <c r="B14" s="26"/>
      <c r="C14" s="31"/>
      <c r="D14" s="26"/>
      <c r="E14" s="26"/>
      <c r="F14" s="32"/>
      <c r="G14" s="32"/>
      <c r="H14" s="28" t="s">
        <v>12</v>
      </c>
      <c r="J14" s="7" t="s">
        <v>613</v>
      </c>
    </row>
    <row r="15" spans="1:11" x14ac:dyDescent="0.2">
      <c r="A15" s="26"/>
      <c r="B15" s="26"/>
      <c r="C15" s="27" t="s">
        <v>16</v>
      </c>
      <c r="D15" s="26"/>
      <c r="E15" s="26"/>
      <c r="F15" s="26"/>
      <c r="G15" s="26"/>
      <c r="H15" s="28" t="s">
        <v>12</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ht="25.5" x14ac:dyDescent="0.2">
      <c r="A27" s="26"/>
      <c r="B27" s="26"/>
      <c r="C27" s="27" t="s">
        <v>10</v>
      </c>
      <c r="D27" s="26"/>
      <c r="E27" s="26"/>
      <c r="F27" s="32"/>
      <c r="G27" s="32"/>
      <c r="H27" s="28" t="s">
        <v>12</v>
      </c>
      <c r="J27" s="2" t="s">
        <v>614</v>
      </c>
    </row>
    <row r="28" spans="1:10" x14ac:dyDescent="0.2">
      <c r="A28" s="34">
        <v>1</v>
      </c>
      <c r="B28" s="35" t="s">
        <v>198</v>
      </c>
      <c r="C28" s="35" t="s">
        <v>199</v>
      </c>
      <c r="D28" s="35" t="s">
        <v>200</v>
      </c>
      <c r="E28" s="36">
        <v>100</v>
      </c>
      <c r="F28" s="37">
        <v>100.4598</v>
      </c>
      <c r="G28" s="38">
        <v>2.3323469999999999E-2</v>
      </c>
      <c r="H28" s="28">
        <v>8.1294000000000004</v>
      </c>
      <c r="J28" s="7"/>
    </row>
    <row r="29" spans="1:10" x14ac:dyDescent="0.2">
      <c r="A29" s="34">
        <v>2</v>
      </c>
      <c r="B29" s="35" t="s">
        <v>195</v>
      </c>
      <c r="C29" s="35" t="s">
        <v>196</v>
      </c>
      <c r="D29" s="35" t="s">
        <v>197</v>
      </c>
      <c r="E29" s="36">
        <v>100</v>
      </c>
      <c r="F29" s="37">
        <v>100.37130000000001</v>
      </c>
      <c r="G29" s="38">
        <v>2.3302920000000001E-2</v>
      </c>
      <c r="H29" s="28">
        <v>8.51</v>
      </c>
    </row>
    <row r="30" spans="1:10" x14ac:dyDescent="0.2">
      <c r="A30" s="34">
        <v>3</v>
      </c>
      <c r="B30" s="35" t="s">
        <v>214</v>
      </c>
      <c r="C30" s="35" t="s">
        <v>215</v>
      </c>
      <c r="D30" s="35" t="s">
        <v>209</v>
      </c>
      <c r="E30" s="36">
        <v>100</v>
      </c>
      <c r="F30" s="37">
        <v>100.1242</v>
      </c>
      <c r="G30" s="38">
        <v>2.324555E-2</v>
      </c>
      <c r="H30" s="28">
        <v>8.2799999999999994</v>
      </c>
    </row>
    <row r="31" spans="1:10" ht="25.5" x14ac:dyDescent="0.2">
      <c r="A31" s="34">
        <v>4</v>
      </c>
      <c r="B31" s="35" t="s">
        <v>201</v>
      </c>
      <c r="C31" s="35" t="s">
        <v>202</v>
      </c>
      <c r="D31" s="35" t="s">
        <v>23</v>
      </c>
      <c r="E31" s="36">
        <v>10</v>
      </c>
      <c r="F31" s="37">
        <v>98.118200000000002</v>
      </c>
      <c r="G31" s="38">
        <v>2.2779819999999999E-2</v>
      </c>
      <c r="H31" s="28">
        <v>7.8250000000000002</v>
      </c>
    </row>
    <row r="32" spans="1:10" x14ac:dyDescent="0.2">
      <c r="A32" s="26"/>
      <c r="B32" s="26"/>
      <c r="C32" s="27" t="s">
        <v>11</v>
      </c>
      <c r="D32" s="26"/>
      <c r="E32" s="26" t="s">
        <v>12</v>
      </c>
      <c r="F32" s="33">
        <v>399.07350000000002</v>
      </c>
      <c r="G32" s="30">
        <v>9.265176E-2</v>
      </c>
      <c r="H32" s="28" t="s">
        <v>12</v>
      </c>
    </row>
    <row r="33" spans="1:8" x14ac:dyDescent="0.2">
      <c r="A33" s="26"/>
      <c r="B33" s="26"/>
      <c r="C33" s="31"/>
      <c r="D33" s="26"/>
      <c r="E33" s="26"/>
      <c r="F33" s="32"/>
      <c r="G33" s="32"/>
      <c r="H33" s="28" t="s">
        <v>12</v>
      </c>
    </row>
    <row r="34" spans="1:8" x14ac:dyDescent="0.2">
      <c r="A34" s="26"/>
      <c r="B34" s="26"/>
      <c r="C34" s="27" t="s">
        <v>67</v>
      </c>
      <c r="D34" s="26"/>
      <c r="E34" s="26"/>
      <c r="F34" s="26"/>
      <c r="G34" s="26"/>
      <c r="H34" s="28" t="s">
        <v>12</v>
      </c>
    </row>
    <row r="35" spans="1:8" x14ac:dyDescent="0.2">
      <c r="A35" s="26"/>
      <c r="B35" s="26"/>
      <c r="C35" s="27" t="s">
        <v>11</v>
      </c>
      <c r="D35" s="26"/>
      <c r="E35" s="26" t="s">
        <v>12</v>
      </c>
      <c r="F35" s="29" t="s">
        <v>13</v>
      </c>
      <c r="G35" s="30">
        <v>0</v>
      </c>
      <c r="H35" s="28" t="s">
        <v>12</v>
      </c>
    </row>
    <row r="36" spans="1:8" x14ac:dyDescent="0.2">
      <c r="A36" s="26"/>
      <c r="B36" s="26"/>
      <c r="C36" s="31"/>
      <c r="D36" s="26"/>
      <c r="E36" s="26"/>
      <c r="F36" s="32"/>
      <c r="G36" s="32"/>
      <c r="H36" s="28" t="s">
        <v>12</v>
      </c>
    </row>
    <row r="37" spans="1:8" x14ac:dyDescent="0.2">
      <c r="A37" s="26"/>
      <c r="B37" s="26"/>
      <c r="C37" s="27" t="s">
        <v>68</v>
      </c>
      <c r="D37" s="26"/>
      <c r="E37" s="26"/>
      <c r="F37" s="26"/>
      <c r="G37" s="26"/>
      <c r="H37" s="28" t="s">
        <v>12</v>
      </c>
    </row>
    <row r="38" spans="1:8" ht="25.5" x14ac:dyDescent="0.2">
      <c r="A38" s="34">
        <v>1</v>
      </c>
      <c r="B38" s="35" t="s">
        <v>72</v>
      </c>
      <c r="C38" s="35" t="s">
        <v>73</v>
      </c>
      <c r="D38" s="35" t="s">
        <v>71</v>
      </c>
      <c r="E38" s="36">
        <v>1000000</v>
      </c>
      <c r="F38" s="37">
        <v>1021.311</v>
      </c>
      <c r="G38" s="38">
        <v>0.23711488</v>
      </c>
      <c r="H38" s="28">
        <v>6.9077000000000002</v>
      </c>
    </row>
    <row r="39" spans="1:8" ht="25.5" x14ac:dyDescent="0.2">
      <c r="A39" s="34">
        <v>2</v>
      </c>
      <c r="B39" s="35" t="s">
        <v>449</v>
      </c>
      <c r="C39" s="35" t="s">
        <v>450</v>
      </c>
      <c r="D39" s="35" t="s">
        <v>71</v>
      </c>
      <c r="E39" s="36">
        <v>1000000</v>
      </c>
      <c r="F39" s="37">
        <v>980.976</v>
      </c>
      <c r="G39" s="38">
        <v>0.22775042000000001</v>
      </c>
      <c r="H39" s="28">
        <v>6.8056999999999999</v>
      </c>
    </row>
    <row r="40" spans="1:8" x14ac:dyDescent="0.2">
      <c r="A40" s="34">
        <v>3</v>
      </c>
      <c r="B40" s="35" t="s">
        <v>69</v>
      </c>
      <c r="C40" s="35" t="s">
        <v>70</v>
      </c>
      <c r="D40" s="35" t="s">
        <v>71</v>
      </c>
      <c r="E40" s="36">
        <v>500000</v>
      </c>
      <c r="F40" s="37">
        <v>511.9905</v>
      </c>
      <c r="G40" s="38">
        <v>0.11886737999999999</v>
      </c>
      <c r="H40" s="28">
        <v>6.9313000000000002</v>
      </c>
    </row>
    <row r="41" spans="1:8" x14ac:dyDescent="0.2">
      <c r="A41" s="34">
        <v>4</v>
      </c>
      <c r="B41" s="35" t="s">
        <v>78</v>
      </c>
      <c r="C41" s="35" t="s">
        <v>79</v>
      </c>
      <c r="D41" s="35" t="s">
        <v>71</v>
      </c>
      <c r="E41" s="36">
        <v>500000</v>
      </c>
      <c r="F41" s="37">
        <v>511.5985</v>
      </c>
      <c r="G41" s="38">
        <v>0.11877637000000001</v>
      </c>
      <c r="H41" s="28">
        <v>6.8235999999999999</v>
      </c>
    </row>
    <row r="42" spans="1:8" ht="25.5" x14ac:dyDescent="0.2">
      <c r="A42" s="34">
        <v>5</v>
      </c>
      <c r="B42" s="35" t="s">
        <v>386</v>
      </c>
      <c r="C42" s="35" t="s">
        <v>387</v>
      </c>
      <c r="D42" s="35" t="s">
        <v>71</v>
      </c>
      <c r="E42" s="36">
        <v>230000</v>
      </c>
      <c r="F42" s="37">
        <v>234.39415</v>
      </c>
      <c r="G42" s="38">
        <v>5.4418630000000003E-2</v>
      </c>
      <c r="H42" s="28">
        <v>7.2876000000000003</v>
      </c>
    </row>
    <row r="43" spans="1:8" x14ac:dyDescent="0.2">
      <c r="A43" s="26"/>
      <c r="B43" s="26"/>
      <c r="C43" s="27" t="s">
        <v>11</v>
      </c>
      <c r="D43" s="26"/>
      <c r="E43" s="26" t="s">
        <v>12</v>
      </c>
      <c r="F43" s="33">
        <v>3260.2701499999998</v>
      </c>
      <c r="G43" s="30">
        <v>0.75692767999999999</v>
      </c>
      <c r="H43" s="28" t="s">
        <v>12</v>
      </c>
    </row>
    <row r="44" spans="1:8" x14ac:dyDescent="0.2">
      <c r="A44" s="26"/>
      <c r="B44" s="26"/>
      <c r="C44" s="31"/>
      <c r="D44" s="26"/>
      <c r="E44" s="26"/>
      <c r="F44" s="32"/>
      <c r="G44" s="32"/>
      <c r="H44" s="28" t="s">
        <v>12</v>
      </c>
    </row>
    <row r="45" spans="1:8" x14ac:dyDescent="0.2">
      <c r="A45" s="26"/>
      <c r="B45" s="26"/>
      <c r="C45" s="27" t="s">
        <v>82</v>
      </c>
      <c r="D45" s="26"/>
      <c r="E45" s="26"/>
      <c r="F45" s="32"/>
      <c r="G45" s="32"/>
      <c r="H45" s="28" t="s">
        <v>12</v>
      </c>
    </row>
    <row r="46" spans="1:8" x14ac:dyDescent="0.2">
      <c r="A46" s="26"/>
      <c r="B46" s="26"/>
      <c r="C46" s="27" t="s">
        <v>11</v>
      </c>
      <c r="D46" s="26"/>
      <c r="E46" s="26" t="s">
        <v>12</v>
      </c>
      <c r="F46" s="29" t="s">
        <v>13</v>
      </c>
      <c r="G46" s="30">
        <v>0</v>
      </c>
      <c r="H46" s="28" t="s">
        <v>12</v>
      </c>
    </row>
    <row r="47" spans="1:8" x14ac:dyDescent="0.2">
      <c r="A47" s="26"/>
      <c r="B47" s="26"/>
      <c r="C47" s="31"/>
      <c r="D47" s="26"/>
      <c r="E47" s="26"/>
      <c r="F47" s="32"/>
      <c r="G47" s="32"/>
      <c r="H47" s="28" t="s">
        <v>12</v>
      </c>
    </row>
    <row r="48" spans="1:8" x14ac:dyDescent="0.2">
      <c r="A48" s="26"/>
      <c r="B48" s="26"/>
      <c r="C48" s="27" t="s">
        <v>83</v>
      </c>
      <c r="D48" s="26"/>
      <c r="E48" s="26"/>
      <c r="F48" s="33">
        <v>3659.3436499999998</v>
      </c>
      <c r="G48" s="30">
        <v>0.84957943999999996</v>
      </c>
      <c r="H48" s="28" t="s">
        <v>12</v>
      </c>
    </row>
    <row r="49" spans="1:8" x14ac:dyDescent="0.2">
      <c r="A49" s="26"/>
      <c r="B49" s="26"/>
      <c r="C49" s="31"/>
      <c r="D49" s="26"/>
      <c r="E49" s="26"/>
      <c r="F49" s="32"/>
      <c r="G49" s="32"/>
      <c r="H49" s="28" t="s">
        <v>12</v>
      </c>
    </row>
    <row r="50" spans="1:8" x14ac:dyDescent="0.2">
      <c r="A50" s="26"/>
      <c r="B50" s="26"/>
      <c r="C50" s="27" t="s">
        <v>84</v>
      </c>
      <c r="D50" s="26"/>
      <c r="E50" s="26"/>
      <c r="F50" s="32"/>
      <c r="G50" s="32"/>
      <c r="H50" s="28" t="s">
        <v>12</v>
      </c>
    </row>
    <row r="51" spans="1:8" x14ac:dyDescent="0.2">
      <c r="A51" s="26"/>
      <c r="B51" s="26"/>
      <c r="C51" s="27" t="s">
        <v>85</v>
      </c>
      <c r="D51" s="26"/>
      <c r="E51" s="26"/>
      <c r="F51" s="32"/>
      <c r="G51" s="32"/>
      <c r="H51" s="28" t="s">
        <v>12</v>
      </c>
    </row>
    <row r="52" spans="1:8" x14ac:dyDescent="0.2">
      <c r="A52" s="26"/>
      <c r="B52" s="26"/>
      <c r="C52" s="27" t="s">
        <v>11</v>
      </c>
      <c r="D52" s="26"/>
      <c r="E52" s="26" t="s">
        <v>12</v>
      </c>
      <c r="F52" s="29" t="s">
        <v>13</v>
      </c>
      <c r="G52" s="30">
        <v>0</v>
      </c>
      <c r="H52" s="28" t="s">
        <v>12</v>
      </c>
    </row>
    <row r="53" spans="1:8" x14ac:dyDescent="0.2">
      <c r="A53" s="26"/>
      <c r="B53" s="26"/>
      <c r="C53" s="31"/>
      <c r="D53" s="26"/>
      <c r="E53" s="26"/>
      <c r="F53" s="32"/>
      <c r="G53" s="32"/>
      <c r="H53" s="28" t="s">
        <v>12</v>
      </c>
    </row>
    <row r="54" spans="1:8" x14ac:dyDescent="0.2">
      <c r="A54" s="26"/>
      <c r="B54" s="26"/>
      <c r="C54" s="27" t="s">
        <v>86</v>
      </c>
      <c r="D54" s="26"/>
      <c r="E54" s="26"/>
      <c r="F54" s="32"/>
      <c r="G54" s="32"/>
      <c r="H54" s="28" t="s">
        <v>12</v>
      </c>
    </row>
    <row r="55" spans="1:8" x14ac:dyDescent="0.2">
      <c r="A55" s="26"/>
      <c r="B55" s="26"/>
      <c r="C55" s="27" t="s">
        <v>11</v>
      </c>
      <c r="D55" s="26"/>
      <c r="E55" s="26" t="s">
        <v>12</v>
      </c>
      <c r="F55" s="29" t="s">
        <v>13</v>
      </c>
      <c r="G55" s="30">
        <v>0</v>
      </c>
      <c r="H55" s="28" t="s">
        <v>12</v>
      </c>
    </row>
    <row r="56" spans="1:8" x14ac:dyDescent="0.2">
      <c r="A56" s="26"/>
      <c r="B56" s="26"/>
      <c r="C56" s="31"/>
      <c r="D56" s="26"/>
      <c r="E56" s="26"/>
      <c r="F56" s="32"/>
      <c r="G56" s="32"/>
      <c r="H56" s="28" t="s">
        <v>12</v>
      </c>
    </row>
    <row r="57" spans="1:8" x14ac:dyDescent="0.2">
      <c r="A57" s="26"/>
      <c r="B57" s="26"/>
      <c r="C57" s="27" t="s">
        <v>87</v>
      </c>
      <c r="D57" s="26"/>
      <c r="E57" s="26"/>
      <c r="F57" s="32"/>
      <c r="G57" s="32"/>
      <c r="H57" s="28" t="s">
        <v>12</v>
      </c>
    </row>
    <row r="58" spans="1:8" x14ac:dyDescent="0.2">
      <c r="A58" s="26"/>
      <c r="B58" s="26"/>
      <c r="C58" s="27" t="s">
        <v>11</v>
      </c>
      <c r="D58" s="26"/>
      <c r="E58" s="26" t="s">
        <v>12</v>
      </c>
      <c r="F58" s="29" t="s">
        <v>13</v>
      </c>
      <c r="G58" s="30">
        <v>0</v>
      </c>
      <c r="H58" s="28" t="s">
        <v>12</v>
      </c>
    </row>
    <row r="59" spans="1:8" x14ac:dyDescent="0.2">
      <c r="A59" s="26"/>
      <c r="B59" s="26"/>
      <c r="C59" s="31"/>
      <c r="D59" s="26"/>
      <c r="E59" s="26"/>
      <c r="F59" s="32"/>
      <c r="G59" s="32"/>
      <c r="H59" s="28" t="s">
        <v>12</v>
      </c>
    </row>
    <row r="60" spans="1:8" x14ac:dyDescent="0.2">
      <c r="A60" s="26"/>
      <c r="B60" s="26"/>
      <c r="C60" s="27" t="s">
        <v>88</v>
      </c>
      <c r="D60" s="26"/>
      <c r="E60" s="26"/>
      <c r="F60" s="32"/>
      <c r="G60" s="32"/>
      <c r="H60" s="28" t="s">
        <v>12</v>
      </c>
    </row>
    <row r="61" spans="1:8" x14ac:dyDescent="0.2">
      <c r="A61" s="34">
        <v>1</v>
      </c>
      <c r="B61" s="35"/>
      <c r="C61" s="35" t="s">
        <v>89</v>
      </c>
      <c r="D61" s="35"/>
      <c r="E61" s="39"/>
      <c r="F61" s="37">
        <v>567.30301979900003</v>
      </c>
      <c r="G61" s="38">
        <v>0.13170913000000001</v>
      </c>
      <c r="H61" s="28">
        <v>6.4</v>
      </c>
    </row>
    <row r="62" spans="1:8" x14ac:dyDescent="0.2">
      <c r="A62" s="26"/>
      <c r="B62" s="26"/>
      <c r="C62" s="27" t="s">
        <v>11</v>
      </c>
      <c r="D62" s="26"/>
      <c r="E62" s="26" t="s">
        <v>12</v>
      </c>
      <c r="F62" s="33">
        <v>567.30301979900003</v>
      </c>
      <c r="G62" s="30">
        <v>0.13170913000000001</v>
      </c>
      <c r="H62" s="28" t="s">
        <v>12</v>
      </c>
    </row>
    <row r="63" spans="1:8" x14ac:dyDescent="0.2">
      <c r="A63" s="26"/>
      <c r="B63" s="26"/>
      <c r="C63" s="31"/>
      <c r="D63" s="26"/>
      <c r="E63" s="26"/>
      <c r="F63" s="32"/>
      <c r="G63" s="32"/>
      <c r="H63" s="28" t="s">
        <v>12</v>
      </c>
    </row>
    <row r="64" spans="1:8" x14ac:dyDescent="0.2">
      <c r="A64" s="26"/>
      <c r="B64" s="26"/>
      <c r="C64" s="27" t="s">
        <v>90</v>
      </c>
      <c r="D64" s="26"/>
      <c r="E64" s="26"/>
      <c r="F64" s="33">
        <v>567.30301979900003</v>
      </c>
      <c r="G64" s="30">
        <v>0.13170913000000001</v>
      </c>
      <c r="H64" s="28" t="s">
        <v>12</v>
      </c>
    </row>
    <row r="65" spans="1:18" x14ac:dyDescent="0.2">
      <c r="A65" s="26"/>
      <c r="B65" s="26"/>
      <c r="C65" s="32"/>
      <c r="D65" s="26"/>
      <c r="E65" s="26"/>
      <c r="F65" s="26"/>
      <c r="G65" s="26"/>
      <c r="H65" s="28" t="s">
        <v>12</v>
      </c>
    </row>
    <row r="66" spans="1:18" x14ac:dyDescent="0.2">
      <c r="A66" s="26"/>
      <c r="B66" s="26"/>
      <c r="C66" s="27" t="s">
        <v>91</v>
      </c>
      <c r="D66" s="26"/>
      <c r="E66" s="26"/>
      <c r="F66" s="26"/>
      <c r="G66" s="26"/>
      <c r="H66" s="28" t="s">
        <v>12</v>
      </c>
    </row>
    <row r="67" spans="1:18" x14ac:dyDescent="0.2">
      <c r="A67" s="26"/>
      <c r="B67" s="26"/>
      <c r="C67" s="27" t="s">
        <v>92</v>
      </c>
      <c r="D67" s="26"/>
      <c r="E67" s="26"/>
      <c r="F67" s="26"/>
      <c r="G67" s="26"/>
      <c r="H67" s="28" t="s">
        <v>12</v>
      </c>
    </row>
    <row r="68" spans="1:18" x14ac:dyDescent="0.2">
      <c r="A68" s="26"/>
      <c r="B68" s="26"/>
      <c r="C68" s="27" t="s">
        <v>11</v>
      </c>
      <c r="D68" s="26"/>
      <c r="E68" s="26" t="s">
        <v>12</v>
      </c>
      <c r="F68" s="29" t="s">
        <v>13</v>
      </c>
      <c r="G68" s="30">
        <v>0</v>
      </c>
      <c r="H68" s="28" t="s">
        <v>12</v>
      </c>
    </row>
    <row r="69" spans="1:18" x14ac:dyDescent="0.2">
      <c r="A69" s="26"/>
      <c r="B69" s="26"/>
      <c r="C69" s="31"/>
      <c r="D69" s="26"/>
      <c r="E69" s="26"/>
      <c r="F69" s="32"/>
      <c r="G69" s="32"/>
      <c r="H69" s="28" t="s">
        <v>12</v>
      </c>
    </row>
    <row r="70" spans="1:18" x14ac:dyDescent="0.2">
      <c r="A70" s="40"/>
      <c r="B70" s="40"/>
      <c r="C70" s="41" t="s">
        <v>527</v>
      </c>
      <c r="D70" s="40"/>
      <c r="E70" s="40"/>
      <c r="F70" s="42"/>
      <c r="G70" s="42"/>
      <c r="H70" s="43"/>
      <c r="L70" s="5"/>
      <c r="M70" s="5"/>
      <c r="N70" s="5"/>
      <c r="O70" s="5"/>
      <c r="P70" s="6"/>
      <c r="Q70" s="6"/>
      <c r="R70" s="6"/>
    </row>
    <row r="71" spans="1:18" ht="25.5" x14ac:dyDescent="0.2">
      <c r="A71" s="34">
        <v>1</v>
      </c>
      <c r="B71" s="35" t="s">
        <v>93</v>
      </c>
      <c r="C71" s="35" t="s">
        <v>94</v>
      </c>
      <c r="D71" s="35"/>
      <c r="E71" s="44">
        <v>112.994</v>
      </c>
      <c r="F71" s="37">
        <v>11.73593763</v>
      </c>
      <c r="G71" s="38">
        <v>2.7247E-3</v>
      </c>
      <c r="H71" s="28"/>
    </row>
    <row r="72" spans="1:18" x14ac:dyDescent="0.2">
      <c r="A72" s="26"/>
      <c r="B72" s="26"/>
      <c r="C72" s="27" t="s">
        <v>11</v>
      </c>
      <c r="D72" s="26"/>
      <c r="E72" s="26" t="s">
        <v>12</v>
      </c>
      <c r="F72" s="33">
        <v>11.73593763</v>
      </c>
      <c r="G72" s="30">
        <v>2.7247E-3</v>
      </c>
      <c r="H72" s="28" t="s">
        <v>12</v>
      </c>
    </row>
    <row r="73" spans="1:18" x14ac:dyDescent="0.2">
      <c r="A73" s="26"/>
      <c r="B73" s="26"/>
      <c r="C73" s="31"/>
      <c r="D73" s="26"/>
      <c r="E73" s="26"/>
      <c r="F73" s="32"/>
      <c r="G73" s="32"/>
      <c r="H73" s="28" t="s">
        <v>12</v>
      </c>
    </row>
    <row r="74" spans="1:18" x14ac:dyDescent="0.2">
      <c r="A74" s="26"/>
      <c r="B74" s="26"/>
      <c r="C74" s="27" t="s">
        <v>95</v>
      </c>
      <c r="D74" s="26"/>
      <c r="E74" s="26"/>
      <c r="F74" s="26"/>
      <c r="G74" s="26"/>
      <c r="H74" s="28" t="s">
        <v>12</v>
      </c>
    </row>
    <row r="75" spans="1:18" x14ac:dyDescent="0.2">
      <c r="A75" s="26"/>
      <c r="B75" s="26"/>
      <c r="C75" s="27" t="s">
        <v>96</v>
      </c>
      <c r="D75" s="26"/>
      <c r="E75" s="26"/>
      <c r="F75" s="26"/>
      <c r="G75" s="26"/>
      <c r="H75" s="28" t="s">
        <v>12</v>
      </c>
    </row>
    <row r="76" spans="1:18" x14ac:dyDescent="0.2">
      <c r="A76" s="26"/>
      <c r="B76" s="26"/>
      <c r="C76" s="27" t="s">
        <v>11</v>
      </c>
      <c r="D76" s="26"/>
      <c r="E76" s="26" t="s">
        <v>12</v>
      </c>
      <c r="F76" s="29" t="s">
        <v>13</v>
      </c>
      <c r="G76" s="30">
        <v>0</v>
      </c>
      <c r="H76" s="28" t="s">
        <v>12</v>
      </c>
    </row>
    <row r="77" spans="1:18" x14ac:dyDescent="0.2">
      <c r="A77" s="26"/>
      <c r="B77" s="26"/>
      <c r="C77" s="31"/>
      <c r="D77" s="26"/>
      <c r="E77" s="26"/>
      <c r="F77" s="32"/>
      <c r="G77" s="32"/>
      <c r="H77" s="28" t="s">
        <v>12</v>
      </c>
    </row>
    <row r="78" spans="1:18" x14ac:dyDescent="0.2">
      <c r="A78" s="26"/>
      <c r="B78" s="26"/>
      <c r="C78" s="27" t="s">
        <v>97</v>
      </c>
      <c r="D78" s="26"/>
      <c r="E78" s="26"/>
      <c r="F78" s="32"/>
      <c r="G78" s="32"/>
      <c r="H78" s="28" t="s">
        <v>12</v>
      </c>
    </row>
    <row r="79" spans="1:18" x14ac:dyDescent="0.2">
      <c r="A79" s="26"/>
      <c r="B79" s="26"/>
      <c r="C79" s="27" t="s">
        <v>11</v>
      </c>
      <c r="D79" s="26"/>
      <c r="E79" s="26" t="s">
        <v>12</v>
      </c>
      <c r="F79" s="29" t="s">
        <v>13</v>
      </c>
      <c r="G79" s="30">
        <v>0</v>
      </c>
      <c r="H79" s="28" t="s">
        <v>12</v>
      </c>
    </row>
    <row r="80" spans="1:18" x14ac:dyDescent="0.2">
      <c r="A80" s="26"/>
      <c r="B80" s="35"/>
      <c r="C80" s="35"/>
      <c r="D80" s="27"/>
      <c r="E80" s="26"/>
      <c r="F80" s="35"/>
      <c r="G80" s="39"/>
      <c r="H80" s="28" t="s">
        <v>12</v>
      </c>
    </row>
    <row r="81" spans="1:10" x14ac:dyDescent="0.2">
      <c r="A81" s="39"/>
      <c r="B81" s="35"/>
      <c r="C81" s="35" t="s">
        <v>98</v>
      </c>
      <c r="D81" s="35"/>
      <c r="E81" s="39"/>
      <c r="F81" s="37">
        <f>68.85867969+0.000536960999369621</f>
        <v>68.859216650999372</v>
      </c>
      <c r="G81" s="38">
        <v>1.5986719999999999E-2</v>
      </c>
      <c r="H81" s="28" t="s">
        <v>12</v>
      </c>
    </row>
    <row r="82" spans="1:10" x14ac:dyDescent="0.2">
      <c r="A82" s="31"/>
      <c r="B82" s="31"/>
      <c r="C82" s="27" t="s">
        <v>99</v>
      </c>
      <c r="D82" s="32"/>
      <c r="E82" s="32"/>
      <c r="F82" s="33">
        <f>4307.241287119+0.000536960999369621</f>
        <v>4307.2418240799989</v>
      </c>
      <c r="G82" s="45">
        <v>0.99999998999999995</v>
      </c>
      <c r="H82" s="28" t="s">
        <v>12</v>
      </c>
    </row>
    <row r="83" spans="1:10" x14ac:dyDescent="0.2">
      <c r="A83" s="46"/>
      <c r="B83" s="46"/>
      <c r="C83" s="46"/>
      <c r="D83" s="47"/>
      <c r="E83" s="47"/>
      <c r="F83" s="47"/>
      <c r="G83" s="47"/>
    </row>
    <row r="84" spans="1:10" x14ac:dyDescent="0.2">
      <c r="A84" s="48"/>
      <c r="B84" s="116" t="s">
        <v>537</v>
      </c>
      <c r="C84" s="116"/>
      <c r="D84" s="116"/>
      <c r="E84" s="116"/>
      <c r="F84" s="116"/>
      <c r="G84" s="116"/>
      <c r="H84" s="116"/>
      <c r="J84" s="8"/>
    </row>
    <row r="85" spans="1:10" x14ac:dyDescent="0.2">
      <c r="A85" s="48"/>
      <c r="B85" s="116" t="s">
        <v>538</v>
      </c>
      <c r="C85" s="116"/>
      <c r="D85" s="116"/>
      <c r="E85" s="116"/>
      <c r="F85" s="116"/>
      <c r="G85" s="116"/>
      <c r="H85" s="116"/>
      <c r="J85" s="8"/>
    </row>
    <row r="86" spans="1:10" x14ac:dyDescent="0.2">
      <c r="A86" s="48"/>
      <c r="B86" s="116" t="s">
        <v>539</v>
      </c>
      <c r="C86" s="116"/>
      <c r="D86" s="116"/>
      <c r="E86" s="116"/>
      <c r="F86" s="116"/>
      <c r="G86" s="116"/>
      <c r="H86" s="116"/>
      <c r="J86" s="8"/>
    </row>
    <row r="87" spans="1:10" x14ac:dyDescent="0.2">
      <c r="A87" s="50"/>
      <c r="B87" s="50"/>
      <c r="C87" s="50"/>
      <c r="D87" s="51"/>
      <c r="E87" s="51"/>
      <c r="F87" s="51"/>
      <c r="G87" s="51"/>
      <c r="J87" s="8"/>
    </row>
    <row r="88" spans="1:10" x14ac:dyDescent="0.2">
      <c r="A88" s="50"/>
      <c r="B88" s="109" t="s">
        <v>100</v>
      </c>
      <c r="C88" s="110"/>
      <c r="D88" s="111"/>
      <c r="E88" s="52"/>
      <c r="F88" s="51"/>
      <c r="G88" s="51"/>
      <c r="J88" s="8"/>
    </row>
    <row r="89" spans="1:10" ht="25.5" x14ac:dyDescent="0.2">
      <c r="A89" s="50"/>
      <c r="B89" s="112" t="s">
        <v>101</v>
      </c>
      <c r="C89" s="113"/>
      <c r="D89" s="41" t="s">
        <v>529</v>
      </c>
      <c r="E89" s="52"/>
      <c r="F89" s="51"/>
      <c r="G89" s="51"/>
      <c r="J89" s="8"/>
    </row>
    <row r="90" spans="1:10" x14ac:dyDescent="0.2">
      <c r="A90" s="50"/>
      <c r="B90" s="112" t="s">
        <v>103</v>
      </c>
      <c r="C90" s="113"/>
      <c r="D90" s="27" t="s">
        <v>102</v>
      </c>
      <c r="E90" s="52"/>
      <c r="F90" s="51"/>
      <c r="G90" s="51"/>
      <c r="J90" s="8"/>
    </row>
    <row r="91" spans="1:10" x14ac:dyDescent="0.2">
      <c r="A91" s="50"/>
      <c r="B91" s="112" t="s">
        <v>104</v>
      </c>
      <c r="C91" s="113"/>
      <c r="D91" s="32" t="s">
        <v>12</v>
      </c>
      <c r="E91" s="52"/>
      <c r="F91" s="51"/>
      <c r="G91" s="51"/>
      <c r="J91" s="8"/>
    </row>
    <row r="92" spans="1:10" x14ac:dyDescent="0.2">
      <c r="A92" s="53"/>
      <c r="B92" s="54" t="s">
        <v>12</v>
      </c>
      <c r="C92" s="54" t="s">
        <v>528</v>
      </c>
      <c r="D92" s="54" t="s">
        <v>105</v>
      </c>
      <c r="E92" s="53"/>
      <c r="F92" s="53"/>
      <c r="G92" s="53"/>
      <c r="H92" s="55"/>
      <c r="J92" s="8"/>
    </row>
    <row r="93" spans="1:10" x14ac:dyDescent="0.2">
      <c r="A93" s="56"/>
      <c r="B93" s="57" t="s">
        <v>106</v>
      </c>
      <c r="C93" s="58">
        <v>45535</v>
      </c>
      <c r="D93" s="58">
        <v>45550</v>
      </c>
      <c r="E93" s="56"/>
      <c r="F93" s="56"/>
      <c r="G93" s="56"/>
      <c r="J93" s="8"/>
    </row>
    <row r="94" spans="1:10" x14ac:dyDescent="0.2">
      <c r="A94" s="56"/>
      <c r="B94" s="35" t="s">
        <v>107</v>
      </c>
      <c r="C94" s="59">
        <v>72.370800000000003</v>
      </c>
      <c r="D94" s="59">
        <v>72.733900000000006</v>
      </c>
      <c r="E94" s="56"/>
      <c r="F94" s="60"/>
      <c r="G94" s="61"/>
      <c r="J94" s="8"/>
    </row>
    <row r="95" spans="1:10" ht="25.5" x14ac:dyDescent="0.2">
      <c r="A95" s="56"/>
      <c r="B95" s="35" t="s">
        <v>582</v>
      </c>
      <c r="C95" s="59">
        <v>26.052800000000001</v>
      </c>
      <c r="D95" s="59">
        <v>26.1082</v>
      </c>
      <c r="E95" s="56"/>
      <c r="F95" s="60"/>
      <c r="G95" s="61"/>
      <c r="J95" s="8"/>
    </row>
    <row r="96" spans="1:10" ht="25.5" x14ac:dyDescent="0.2">
      <c r="A96" s="56"/>
      <c r="B96" s="35" t="s">
        <v>584</v>
      </c>
      <c r="C96" s="59">
        <v>14.919600000000001</v>
      </c>
      <c r="D96" s="59">
        <v>14.994400000000001</v>
      </c>
      <c r="E96" s="56"/>
      <c r="F96" s="60"/>
      <c r="G96" s="61"/>
      <c r="J96" s="8"/>
    </row>
    <row r="97" spans="1:15" ht="25.5" x14ac:dyDescent="0.2">
      <c r="A97" s="56"/>
      <c r="B97" s="35" t="s">
        <v>451</v>
      </c>
      <c r="C97" s="59">
        <v>73.762100000000004</v>
      </c>
      <c r="D97" s="59">
        <v>74.104299999999995</v>
      </c>
      <c r="E97" s="56"/>
      <c r="F97" s="60"/>
      <c r="G97" s="61"/>
      <c r="J97" s="8"/>
    </row>
    <row r="98" spans="1:15" x14ac:dyDescent="0.2">
      <c r="A98" s="56"/>
      <c r="B98" s="35" t="s">
        <v>108</v>
      </c>
      <c r="C98" s="59">
        <v>65.275499999999994</v>
      </c>
      <c r="D98" s="59">
        <v>65.578400000000002</v>
      </c>
      <c r="E98" s="56"/>
      <c r="F98" s="60"/>
      <c r="G98" s="61"/>
    </row>
    <row r="99" spans="1:15" x14ac:dyDescent="0.2">
      <c r="A99" s="56"/>
      <c r="B99" s="35" t="s">
        <v>140</v>
      </c>
      <c r="C99" s="59">
        <v>22.295200000000001</v>
      </c>
      <c r="D99" s="59">
        <v>22.398700000000002</v>
      </c>
      <c r="E99" s="56"/>
      <c r="F99" s="60"/>
      <c r="G99" s="61"/>
    </row>
    <row r="100" spans="1:15" ht="25.5" x14ac:dyDescent="0.2">
      <c r="A100" s="56"/>
      <c r="B100" s="35" t="s">
        <v>532</v>
      </c>
      <c r="C100" s="59">
        <v>13.0116</v>
      </c>
      <c r="D100" s="59">
        <v>12.996700000000001</v>
      </c>
      <c r="E100" s="56"/>
      <c r="F100" s="60"/>
      <c r="G100" s="61"/>
    </row>
    <row r="101" spans="1:15" ht="25.5" x14ac:dyDescent="0.2">
      <c r="A101" s="56"/>
      <c r="B101" s="35" t="s">
        <v>586</v>
      </c>
      <c r="C101" s="59">
        <v>13.371</v>
      </c>
      <c r="D101" s="59">
        <v>13.4331</v>
      </c>
      <c r="E101" s="56"/>
      <c r="F101" s="60"/>
      <c r="G101" s="61"/>
      <c r="J101" s="8"/>
    </row>
    <row r="102" spans="1:15" ht="25.5" x14ac:dyDescent="0.25">
      <c r="A102" s="56"/>
      <c r="B102" s="35" t="s">
        <v>587</v>
      </c>
      <c r="C102" s="59">
        <v>13.2669</v>
      </c>
      <c r="D102" s="59">
        <v>13.3284</v>
      </c>
      <c r="E102" s="56"/>
      <c r="F102" s="60"/>
      <c r="G102" s="61"/>
      <c r="I102" s="14"/>
      <c r="J102" s="8"/>
    </row>
    <row r="103" spans="1:15" x14ac:dyDescent="0.2">
      <c r="A103" s="56"/>
      <c r="B103" s="56"/>
      <c r="C103" s="56"/>
      <c r="D103" s="56"/>
      <c r="E103" s="56"/>
      <c r="F103" s="56"/>
      <c r="G103" s="56"/>
      <c r="J103" s="8"/>
    </row>
    <row r="104" spans="1:15" x14ac:dyDescent="0.2">
      <c r="A104" s="56"/>
      <c r="B104" s="112" t="s">
        <v>588</v>
      </c>
      <c r="C104" s="113"/>
      <c r="D104" s="27" t="s">
        <v>12</v>
      </c>
      <c r="E104" s="56"/>
      <c r="F104" s="56"/>
      <c r="G104" s="56"/>
      <c r="J104" s="8"/>
    </row>
    <row r="105" spans="1:15" ht="15" x14ac:dyDescent="0.25">
      <c r="A105" s="56"/>
      <c r="B105" s="62" t="s">
        <v>106</v>
      </c>
      <c r="C105" s="63" t="s">
        <v>109</v>
      </c>
      <c r="D105" s="63" t="s">
        <v>110</v>
      </c>
      <c r="E105" s="56"/>
      <c r="F105" s="56"/>
      <c r="G105" s="56"/>
      <c r="I105" s="14"/>
      <c r="J105" s="8"/>
    </row>
    <row r="106" spans="1:15" ht="25.5" x14ac:dyDescent="0.2">
      <c r="A106" s="56"/>
      <c r="B106" s="35" t="s">
        <v>582</v>
      </c>
      <c r="C106" s="64">
        <v>7.4999999999999997E-2</v>
      </c>
      <c r="D106" s="39" t="s">
        <v>111</v>
      </c>
      <c r="E106" s="56"/>
      <c r="F106" s="60"/>
      <c r="G106" s="61"/>
      <c r="J106" s="8"/>
    </row>
    <row r="107" spans="1:15" ht="25.5" x14ac:dyDescent="0.2">
      <c r="A107" s="56"/>
      <c r="B107" s="35" t="s">
        <v>532</v>
      </c>
      <c r="C107" s="64">
        <v>7.4999999999999997E-2</v>
      </c>
      <c r="D107" s="64">
        <v>7.4999999999999997E-2</v>
      </c>
      <c r="E107" s="56"/>
      <c r="F107" s="60"/>
      <c r="G107" s="61"/>
      <c r="J107" s="8"/>
    </row>
    <row r="108" spans="1:15" ht="15" x14ac:dyDescent="0.25">
      <c r="A108" s="56"/>
      <c r="B108" s="65"/>
      <c r="C108" s="65"/>
      <c r="D108" s="66"/>
      <c r="E108" s="56"/>
      <c r="F108" s="60"/>
      <c r="G108" s="61"/>
      <c r="I108" s="14"/>
      <c r="J108" s="8"/>
    </row>
    <row r="109" spans="1:15" s="9" customFormat="1" ht="15" x14ac:dyDescent="0.25">
      <c r="A109" s="74"/>
      <c r="B109" s="114" t="s">
        <v>549</v>
      </c>
      <c r="C109" s="115"/>
      <c r="D109" s="41" t="s">
        <v>102</v>
      </c>
      <c r="E109" s="74"/>
      <c r="F109" s="49"/>
      <c r="G109" s="74"/>
      <c r="I109" s="87"/>
      <c r="J109" s="2"/>
      <c r="K109" s="14"/>
      <c r="L109" s="14"/>
      <c r="M109" s="14"/>
      <c r="N109" s="14"/>
      <c r="O109"/>
    </row>
    <row r="110" spans="1:15" ht="27" customHeight="1" x14ac:dyDescent="0.25">
      <c r="A110" s="53"/>
      <c r="B110" s="114" t="s">
        <v>550</v>
      </c>
      <c r="C110" s="115"/>
      <c r="D110" s="41" t="s">
        <v>102</v>
      </c>
      <c r="E110" s="67"/>
      <c r="F110" s="53"/>
      <c r="G110" s="53"/>
      <c r="I110" s="88"/>
    </row>
    <row r="111" spans="1:15" ht="30.75" customHeight="1" x14ac:dyDescent="0.25">
      <c r="A111" s="53"/>
      <c r="B111" s="114" t="s">
        <v>551</v>
      </c>
      <c r="C111" s="115"/>
      <c r="D111" s="41" t="s">
        <v>102</v>
      </c>
      <c r="E111" s="67"/>
      <c r="F111" s="53"/>
      <c r="G111" s="53"/>
      <c r="I111" s="15"/>
    </row>
    <row r="112" spans="1:15" x14ac:dyDescent="0.2">
      <c r="A112" s="53"/>
      <c r="B112" s="114" t="s">
        <v>552</v>
      </c>
      <c r="C112" s="115"/>
      <c r="D112" s="41" t="s">
        <v>102</v>
      </c>
      <c r="E112" s="67"/>
      <c r="F112" s="53"/>
      <c r="G112" s="53"/>
    </row>
    <row r="113" spans="1:15" x14ac:dyDescent="0.2">
      <c r="A113" s="68"/>
      <c r="B113" s="68"/>
      <c r="C113" s="68"/>
      <c r="D113" s="68"/>
      <c r="E113" s="68"/>
      <c r="F113" s="68"/>
      <c r="G113" s="68"/>
    </row>
    <row r="114" spans="1:15" s="9" customFormat="1" ht="15" x14ac:dyDescent="0.25">
      <c r="B114" s="126" t="s">
        <v>578</v>
      </c>
      <c r="C114" s="127"/>
      <c r="D114" s="127"/>
      <c r="E114" s="127"/>
      <c r="F114" s="127"/>
      <c r="G114" s="128"/>
      <c r="I114"/>
      <c r="J114" s="2"/>
      <c r="K114" s="14"/>
      <c r="L114" s="14"/>
      <c r="M114" s="14"/>
      <c r="N114" s="14"/>
      <c r="O114"/>
    </row>
    <row r="115" spans="1:15" s="9" customFormat="1" ht="42" customHeight="1" x14ac:dyDescent="0.25">
      <c r="B115" s="89" t="s">
        <v>563</v>
      </c>
      <c r="C115" s="89" t="s">
        <v>564</v>
      </c>
      <c r="D115" s="129" t="s">
        <v>555</v>
      </c>
      <c r="E115" s="130"/>
      <c r="F115" s="131" t="s">
        <v>556</v>
      </c>
      <c r="G115" s="131"/>
      <c r="H115" s="90"/>
      <c r="I115"/>
      <c r="J115" s="2"/>
      <c r="K115" s="14"/>
      <c r="L115" s="14"/>
      <c r="M115" s="14"/>
      <c r="N115" s="14"/>
      <c r="O115"/>
    </row>
    <row r="116" spans="1:15" s="9" customFormat="1" ht="25.5" x14ac:dyDescent="0.25">
      <c r="B116" s="91" t="s">
        <v>565</v>
      </c>
      <c r="C116" s="92" t="s">
        <v>566</v>
      </c>
      <c r="D116" s="132">
        <v>0</v>
      </c>
      <c r="E116" s="133"/>
      <c r="F116" s="132">
        <v>0</v>
      </c>
      <c r="G116" s="133"/>
      <c r="H116" s="93"/>
      <c r="I116"/>
      <c r="J116" s="2"/>
      <c r="K116" s="14"/>
      <c r="L116" s="14"/>
      <c r="M116" s="14"/>
      <c r="N116" s="14"/>
      <c r="O116"/>
    </row>
    <row r="117" spans="1:15" s="9" customFormat="1" ht="15" x14ac:dyDescent="0.25">
      <c r="B117" s="134" t="s">
        <v>567</v>
      </c>
      <c r="C117" s="135"/>
      <c r="D117" s="135"/>
      <c r="E117" s="135"/>
      <c r="F117" s="135"/>
      <c r="G117" s="136"/>
      <c r="H117" s="93"/>
      <c r="I117"/>
      <c r="J117" s="2"/>
      <c r="K117" s="15"/>
      <c r="L117" s="15"/>
      <c r="M117" s="15"/>
      <c r="N117" s="14"/>
      <c r="O117"/>
    </row>
    <row r="118" spans="1:15" s="9" customFormat="1" ht="15" x14ac:dyDescent="0.25">
      <c r="B118" s="131" t="s">
        <v>563</v>
      </c>
      <c r="C118" s="131" t="s">
        <v>564</v>
      </c>
      <c r="D118" s="134" t="s">
        <v>568</v>
      </c>
      <c r="E118" s="135"/>
      <c r="F118" s="136"/>
      <c r="G118" s="91"/>
      <c r="H118" s="93"/>
      <c r="I118"/>
      <c r="J118" s="2"/>
      <c r="K118" s="15"/>
      <c r="L118" s="15"/>
      <c r="M118" s="15"/>
      <c r="N118" s="14"/>
      <c r="O118"/>
    </row>
    <row r="119" spans="1:15" s="9" customFormat="1" ht="76.5" x14ac:dyDescent="0.25">
      <c r="B119" s="131"/>
      <c r="C119" s="131"/>
      <c r="D119" s="94" t="s">
        <v>569</v>
      </c>
      <c r="E119" s="94" t="s">
        <v>570</v>
      </c>
      <c r="F119" s="94" t="s">
        <v>571</v>
      </c>
      <c r="G119" s="94" t="s">
        <v>580</v>
      </c>
      <c r="H119" s="95"/>
      <c r="I119"/>
      <c r="J119" s="2"/>
      <c r="K119" s="15"/>
      <c r="L119" s="15"/>
      <c r="M119" s="15"/>
      <c r="N119" s="14"/>
      <c r="O119"/>
    </row>
    <row r="120" spans="1:15" s="9" customFormat="1" ht="25.5" x14ac:dyDescent="0.2">
      <c r="B120" s="96" t="s">
        <v>565</v>
      </c>
      <c r="C120" s="92" t="s">
        <v>566</v>
      </c>
      <c r="D120" s="97">
        <v>200</v>
      </c>
      <c r="E120" s="97">
        <v>6.8852450999999997</v>
      </c>
      <c r="F120" s="97">
        <v>206.88524509999999</v>
      </c>
      <c r="G120" s="98">
        <f>F120/F82</f>
        <v>4.8031954914486245E-2</v>
      </c>
      <c r="H120" s="99"/>
      <c r="I120"/>
      <c r="J120" s="2"/>
      <c r="K120"/>
      <c r="L120"/>
      <c r="M120"/>
      <c r="N120"/>
      <c r="O120"/>
    </row>
    <row r="121" spans="1:15" s="9" customFormat="1" ht="36.75" customHeight="1" x14ac:dyDescent="0.2">
      <c r="B121" s="137" t="s">
        <v>572</v>
      </c>
      <c r="C121" s="138"/>
      <c r="D121" s="138"/>
      <c r="E121" s="138"/>
      <c r="F121" s="138"/>
      <c r="G121" s="139"/>
      <c r="H121" s="100"/>
      <c r="I121"/>
      <c r="J121" s="2"/>
      <c r="K121"/>
      <c r="L121"/>
      <c r="M121"/>
      <c r="N121"/>
      <c r="O121"/>
    </row>
    <row r="122" spans="1:15" s="9" customFormat="1" x14ac:dyDescent="0.2">
      <c r="H122" s="100"/>
      <c r="I122"/>
      <c r="J122" s="2"/>
      <c r="K122"/>
      <c r="L122"/>
      <c r="M122"/>
      <c r="N122"/>
      <c r="O122"/>
    </row>
    <row r="123" spans="1:15" s="9" customFormat="1" x14ac:dyDescent="0.2">
      <c r="B123" s="117" t="s">
        <v>541</v>
      </c>
      <c r="C123" s="118"/>
      <c r="D123" s="119"/>
      <c r="I123"/>
      <c r="J123" s="2"/>
      <c r="K123"/>
      <c r="L123"/>
      <c r="M123"/>
      <c r="N123"/>
      <c r="O123"/>
    </row>
    <row r="124" spans="1:15" s="9" customFormat="1" ht="51" x14ac:dyDescent="0.2">
      <c r="B124" s="107" t="s">
        <v>542</v>
      </c>
      <c r="C124" s="107"/>
      <c r="D124" s="69" t="s">
        <v>448</v>
      </c>
      <c r="I124"/>
      <c r="J124" s="2"/>
      <c r="K124"/>
      <c r="L124"/>
      <c r="M124"/>
      <c r="N124"/>
      <c r="O124"/>
    </row>
    <row r="125" spans="1:15" s="9" customFormat="1" x14ac:dyDescent="0.2">
      <c r="B125" s="120" t="s">
        <v>543</v>
      </c>
      <c r="C125" s="120"/>
      <c r="D125" s="70"/>
      <c r="I125"/>
      <c r="J125" s="2"/>
      <c r="K125"/>
      <c r="L125"/>
      <c r="M125"/>
      <c r="N125"/>
      <c r="O125"/>
    </row>
    <row r="126" spans="1:15" s="9" customFormat="1" x14ac:dyDescent="0.2">
      <c r="B126" s="120"/>
      <c r="C126" s="120"/>
      <c r="D126" s="71"/>
      <c r="I126"/>
      <c r="J126" s="2"/>
      <c r="K126"/>
      <c r="L126"/>
      <c r="M126"/>
      <c r="N126"/>
      <c r="O126"/>
    </row>
    <row r="127" spans="1:15" s="9" customFormat="1" x14ac:dyDescent="0.2">
      <c r="B127" s="120" t="s">
        <v>544</v>
      </c>
      <c r="C127" s="120"/>
      <c r="D127" s="72">
        <v>6.9031944688641333</v>
      </c>
      <c r="I127"/>
      <c r="J127" s="2"/>
      <c r="K127"/>
      <c r="L127"/>
      <c r="M127"/>
      <c r="N127"/>
      <c r="O127"/>
    </row>
    <row r="128" spans="1:15" s="9" customFormat="1" x14ac:dyDescent="0.2">
      <c r="B128" s="120"/>
      <c r="C128" s="120"/>
      <c r="D128" s="71"/>
      <c r="I128"/>
      <c r="J128" s="2"/>
      <c r="K128"/>
      <c r="L128"/>
      <c r="M128"/>
      <c r="N128"/>
      <c r="O128"/>
    </row>
    <row r="129" spans="2:17" s="9" customFormat="1" x14ac:dyDescent="0.2">
      <c r="B129" s="120" t="s">
        <v>545</v>
      </c>
      <c r="C129" s="120"/>
      <c r="D129" s="72">
        <v>3.0310554402246357</v>
      </c>
      <c r="I129"/>
      <c r="J129" s="2"/>
      <c r="K129"/>
      <c r="L129"/>
      <c r="M129"/>
      <c r="N129"/>
      <c r="O129"/>
    </row>
    <row r="130" spans="2:17" s="9" customFormat="1" x14ac:dyDescent="0.2">
      <c r="B130" s="120" t="s">
        <v>546</v>
      </c>
      <c r="C130" s="120"/>
      <c r="D130" s="72">
        <v>3.8260247240085525</v>
      </c>
      <c r="I130"/>
      <c r="J130" s="2"/>
      <c r="K130"/>
      <c r="L130"/>
      <c r="M130"/>
      <c r="N130"/>
      <c r="O130"/>
    </row>
    <row r="131" spans="2:17" s="9" customFormat="1" x14ac:dyDescent="0.2">
      <c r="B131" s="120"/>
      <c r="C131" s="120"/>
      <c r="D131" s="71"/>
      <c r="I131"/>
      <c r="J131" s="2"/>
      <c r="K131"/>
      <c r="L131"/>
      <c r="M131"/>
      <c r="N131"/>
      <c r="O131"/>
    </row>
    <row r="132" spans="2:17" s="9" customFormat="1" ht="25.5" x14ac:dyDescent="0.2">
      <c r="B132" s="120" t="s">
        <v>547</v>
      </c>
      <c r="C132" s="120"/>
      <c r="D132" s="73" t="s">
        <v>577</v>
      </c>
      <c r="I132"/>
      <c r="J132" s="2"/>
      <c r="K132"/>
      <c r="L132"/>
      <c r="M132"/>
      <c r="N132"/>
      <c r="O132"/>
    </row>
    <row r="133" spans="2:17" s="9" customFormat="1" x14ac:dyDescent="0.2">
      <c r="B133" s="121" t="s">
        <v>548</v>
      </c>
      <c r="C133" s="123"/>
      <c r="D133" s="122"/>
      <c r="I133"/>
      <c r="J133" s="2"/>
      <c r="K133"/>
      <c r="L133"/>
      <c r="M133"/>
      <c r="N133"/>
      <c r="O133"/>
      <c r="P133"/>
      <c r="Q133"/>
    </row>
  </sheetData>
  <mergeCells count="36">
    <mergeCell ref="B132:C132"/>
    <mergeCell ref="B133:D133"/>
    <mergeCell ref="B127:C127"/>
    <mergeCell ref="B128:C128"/>
    <mergeCell ref="B129:C129"/>
    <mergeCell ref="B130:C130"/>
    <mergeCell ref="B131:C131"/>
    <mergeCell ref="B121:G121"/>
    <mergeCell ref="B123:D123"/>
    <mergeCell ref="B124:C124"/>
    <mergeCell ref="B125:C125"/>
    <mergeCell ref="B126:C126"/>
    <mergeCell ref="D116:E116"/>
    <mergeCell ref="F116:G116"/>
    <mergeCell ref="B117:G117"/>
    <mergeCell ref="B118:B119"/>
    <mergeCell ref="C118:C119"/>
    <mergeCell ref="D118:F118"/>
    <mergeCell ref="B90:C90"/>
    <mergeCell ref="B91:C91"/>
    <mergeCell ref="B104:C104"/>
    <mergeCell ref="B110:C110"/>
    <mergeCell ref="B84:H84"/>
    <mergeCell ref="B85:H85"/>
    <mergeCell ref="B86:H86"/>
    <mergeCell ref="B109:C109"/>
    <mergeCell ref="A1:H1"/>
    <mergeCell ref="A2:H2"/>
    <mergeCell ref="A3:H3"/>
    <mergeCell ref="B88:D88"/>
    <mergeCell ref="B89:C89"/>
    <mergeCell ref="B111:C111"/>
    <mergeCell ref="B112:C112"/>
    <mergeCell ref="B114:G114"/>
    <mergeCell ref="D115:E115"/>
    <mergeCell ref="F115:G115"/>
  </mergeCells>
  <hyperlinks>
    <hyperlink ref="I1" location="Index!B9" display="Index" xr:uid="{2751D98D-DA1D-4118-817A-721C117F82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FB55-16ED-465D-BF2E-04255AF92A3E}">
  <sheetPr>
    <outlinePr summaryBelow="0" summaryRight="0"/>
  </sheetPr>
  <dimension ref="A1:R14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452</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524</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34">
        <v>1</v>
      </c>
      <c r="B7" s="35" t="s">
        <v>453</v>
      </c>
      <c r="C7" s="35" t="s">
        <v>454</v>
      </c>
      <c r="D7" s="35" t="s">
        <v>455</v>
      </c>
      <c r="E7" s="36">
        <v>4250</v>
      </c>
      <c r="F7" s="37">
        <v>70.802875</v>
      </c>
      <c r="G7" s="38">
        <v>2.5628020000000001E-2</v>
      </c>
      <c r="H7" s="28" t="s">
        <v>12</v>
      </c>
    </row>
    <row r="8" spans="1:11" x14ac:dyDescent="0.2">
      <c r="A8" s="34">
        <v>2</v>
      </c>
      <c r="B8" s="35" t="s">
        <v>456</v>
      </c>
      <c r="C8" s="35" t="s">
        <v>457</v>
      </c>
      <c r="D8" s="35" t="s">
        <v>455</v>
      </c>
      <c r="E8" s="36">
        <v>4200</v>
      </c>
      <c r="F8" s="37">
        <v>52.514699999999998</v>
      </c>
      <c r="G8" s="38">
        <v>1.9008379999999998E-2</v>
      </c>
      <c r="H8" s="28" t="s">
        <v>12</v>
      </c>
    </row>
    <row r="9" spans="1:11" x14ac:dyDescent="0.2">
      <c r="A9" s="34">
        <v>3</v>
      </c>
      <c r="B9" s="35" t="s">
        <v>458</v>
      </c>
      <c r="C9" s="35" t="s">
        <v>459</v>
      </c>
      <c r="D9" s="35" t="s">
        <v>460</v>
      </c>
      <c r="E9" s="36">
        <v>1625</v>
      </c>
      <c r="F9" s="37">
        <v>47.860312499999999</v>
      </c>
      <c r="G9" s="38">
        <v>1.7323660000000001E-2</v>
      </c>
      <c r="H9" s="28" t="s">
        <v>12</v>
      </c>
    </row>
    <row r="10" spans="1:11" x14ac:dyDescent="0.2">
      <c r="A10" s="34">
        <v>4</v>
      </c>
      <c r="B10" s="35" t="s">
        <v>461</v>
      </c>
      <c r="C10" s="35" t="s">
        <v>462</v>
      </c>
      <c r="D10" s="35" t="s">
        <v>463</v>
      </c>
      <c r="E10" s="36">
        <v>2800</v>
      </c>
      <c r="F10" s="37">
        <v>45.764600000000002</v>
      </c>
      <c r="G10" s="38">
        <v>1.6565090000000001E-2</v>
      </c>
      <c r="H10" s="28" t="s">
        <v>12</v>
      </c>
    </row>
    <row r="11" spans="1:11" x14ac:dyDescent="0.2">
      <c r="A11" s="34">
        <v>5</v>
      </c>
      <c r="B11" s="35" t="s">
        <v>464</v>
      </c>
      <c r="C11" s="35" t="s">
        <v>465</v>
      </c>
      <c r="D11" s="35" t="s">
        <v>466</v>
      </c>
      <c r="E11" s="36">
        <v>1750</v>
      </c>
      <c r="F11" s="37">
        <v>34.021749999999997</v>
      </c>
      <c r="G11" s="38">
        <v>1.231461E-2</v>
      </c>
      <c r="H11" s="28" t="s">
        <v>12</v>
      </c>
    </row>
    <row r="12" spans="1:11" ht="15" x14ac:dyDescent="0.2">
      <c r="A12" s="34">
        <v>6</v>
      </c>
      <c r="B12" s="35" t="s">
        <v>467</v>
      </c>
      <c r="C12" s="35" t="s">
        <v>468</v>
      </c>
      <c r="D12" s="35" t="s">
        <v>466</v>
      </c>
      <c r="E12" s="36">
        <v>1848</v>
      </c>
      <c r="F12" s="37">
        <v>33.500543999999998</v>
      </c>
      <c r="G12" s="38">
        <v>1.212596E-2</v>
      </c>
      <c r="H12" s="28" t="s">
        <v>12</v>
      </c>
      <c r="J12" s="16"/>
    </row>
    <row r="13" spans="1:11" x14ac:dyDescent="0.2">
      <c r="A13" s="34">
        <v>7</v>
      </c>
      <c r="B13" s="35" t="s">
        <v>469</v>
      </c>
      <c r="C13" s="35" t="s">
        <v>470</v>
      </c>
      <c r="D13" s="35" t="s">
        <v>471</v>
      </c>
      <c r="E13" s="36">
        <v>900</v>
      </c>
      <c r="F13" s="37">
        <v>32.517000000000003</v>
      </c>
      <c r="G13" s="38">
        <v>1.176995E-2</v>
      </c>
      <c r="H13" s="28" t="s">
        <v>12</v>
      </c>
      <c r="J13" s="7"/>
    </row>
    <row r="14" spans="1:11" ht="25.5" x14ac:dyDescent="0.2">
      <c r="A14" s="101">
        <v>8</v>
      </c>
      <c r="B14" s="102" t="s">
        <v>534</v>
      </c>
      <c r="C14" s="102" t="s">
        <v>535</v>
      </c>
      <c r="D14" s="102" t="s">
        <v>536</v>
      </c>
      <c r="E14" s="103">
        <v>30000</v>
      </c>
      <c r="F14" s="43">
        <v>27.27</v>
      </c>
      <c r="G14" s="104">
        <v>9.9000000000000008E-3</v>
      </c>
      <c r="H14" s="28"/>
      <c r="J14" s="7"/>
    </row>
    <row r="15" spans="1:11" x14ac:dyDescent="0.2">
      <c r="A15" s="34">
        <v>9</v>
      </c>
      <c r="B15" s="35" t="s">
        <v>472</v>
      </c>
      <c r="C15" s="35" t="s">
        <v>473</v>
      </c>
      <c r="D15" s="35" t="s">
        <v>455</v>
      </c>
      <c r="E15" s="36">
        <v>2600</v>
      </c>
      <c r="F15" s="37">
        <v>20.562100000000001</v>
      </c>
      <c r="G15" s="38">
        <v>7.4427199999999999E-3</v>
      </c>
      <c r="H15" s="28" t="s">
        <v>12</v>
      </c>
    </row>
    <row r="16" spans="1:11" ht="25.5" x14ac:dyDescent="0.2">
      <c r="A16" s="34">
        <v>10</v>
      </c>
      <c r="B16" s="35" t="s">
        <v>474</v>
      </c>
      <c r="C16" s="35" t="s">
        <v>475</v>
      </c>
      <c r="D16" s="35" t="s">
        <v>476</v>
      </c>
      <c r="E16" s="36">
        <v>4000</v>
      </c>
      <c r="F16" s="37">
        <v>20.553999999999998</v>
      </c>
      <c r="G16" s="38">
        <v>7.4397899999999999E-3</v>
      </c>
      <c r="H16" s="28" t="s">
        <v>12</v>
      </c>
      <c r="J16" s="2" t="s">
        <v>615</v>
      </c>
    </row>
    <row r="17" spans="1:10" x14ac:dyDescent="0.2">
      <c r="A17" s="34">
        <v>11</v>
      </c>
      <c r="B17" s="35" t="s">
        <v>477</v>
      </c>
      <c r="C17" s="35" t="s">
        <v>478</v>
      </c>
      <c r="D17" s="35" t="s">
        <v>455</v>
      </c>
      <c r="E17" s="36">
        <v>1600</v>
      </c>
      <c r="F17" s="37">
        <v>19.479199999999999</v>
      </c>
      <c r="G17" s="38">
        <v>7.0507499999999997E-3</v>
      </c>
      <c r="H17" s="28" t="s">
        <v>12</v>
      </c>
    </row>
    <row r="18" spans="1:10" x14ac:dyDescent="0.2">
      <c r="A18" s="34">
        <v>12</v>
      </c>
      <c r="B18" s="35" t="s">
        <v>479</v>
      </c>
      <c r="C18" s="35" t="s">
        <v>480</v>
      </c>
      <c r="D18" s="35" t="s">
        <v>481</v>
      </c>
      <c r="E18" s="36">
        <v>160</v>
      </c>
      <c r="F18" s="37">
        <v>18.779440000000001</v>
      </c>
      <c r="G18" s="38">
        <v>6.79746E-3</v>
      </c>
      <c r="H18" s="28" t="s">
        <v>12</v>
      </c>
    </row>
    <row r="19" spans="1:10" ht="25.5" x14ac:dyDescent="0.2">
      <c r="A19" s="34">
        <v>13</v>
      </c>
      <c r="B19" s="35" t="s">
        <v>482</v>
      </c>
      <c r="C19" s="35" t="s">
        <v>483</v>
      </c>
      <c r="D19" s="35" t="s">
        <v>484</v>
      </c>
      <c r="E19" s="36">
        <v>1000</v>
      </c>
      <c r="F19" s="37">
        <v>18.537500000000001</v>
      </c>
      <c r="G19" s="38">
        <v>6.7098899999999996E-3</v>
      </c>
      <c r="H19" s="28" t="s">
        <v>12</v>
      </c>
    </row>
    <row r="20" spans="1:10" x14ac:dyDescent="0.2">
      <c r="A20" s="34">
        <v>14</v>
      </c>
      <c r="B20" s="35" t="s">
        <v>485</v>
      </c>
      <c r="C20" s="35" t="s">
        <v>486</v>
      </c>
      <c r="D20" s="35" t="s">
        <v>487</v>
      </c>
      <c r="E20" s="36">
        <v>2500</v>
      </c>
      <c r="F20" s="37">
        <v>16.166250000000002</v>
      </c>
      <c r="G20" s="38">
        <v>5.8515800000000003E-3</v>
      </c>
      <c r="H20" s="28" t="s">
        <v>12</v>
      </c>
    </row>
    <row r="21" spans="1:10" ht="25.5" x14ac:dyDescent="0.2">
      <c r="A21" s="34">
        <v>15</v>
      </c>
      <c r="B21" s="35" t="s">
        <v>488</v>
      </c>
      <c r="C21" s="35" t="s">
        <v>489</v>
      </c>
      <c r="D21" s="35" t="s">
        <v>484</v>
      </c>
      <c r="E21" s="36">
        <v>250</v>
      </c>
      <c r="F21" s="37">
        <v>15.915625</v>
      </c>
      <c r="G21" s="38">
        <v>5.7608700000000004E-3</v>
      </c>
      <c r="H21" s="28" t="s">
        <v>12</v>
      </c>
    </row>
    <row r="22" spans="1:10" ht="15" x14ac:dyDescent="0.2">
      <c r="A22" s="34">
        <v>16</v>
      </c>
      <c r="B22" s="35" t="s">
        <v>490</v>
      </c>
      <c r="C22" s="35" t="s">
        <v>491</v>
      </c>
      <c r="D22" s="35" t="s">
        <v>492</v>
      </c>
      <c r="E22" s="36">
        <v>2000</v>
      </c>
      <c r="F22" s="37">
        <v>15.105</v>
      </c>
      <c r="G22" s="38">
        <v>5.4674499999999996E-3</v>
      </c>
      <c r="H22" s="28" t="s">
        <v>12</v>
      </c>
      <c r="J22" s="16"/>
    </row>
    <row r="23" spans="1:10" ht="25.5" x14ac:dyDescent="0.2">
      <c r="A23" s="34">
        <v>17</v>
      </c>
      <c r="B23" s="35" t="s">
        <v>493</v>
      </c>
      <c r="C23" s="35" t="s">
        <v>494</v>
      </c>
      <c r="D23" s="35" t="s">
        <v>495</v>
      </c>
      <c r="E23" s="36">
        <v>320</v>
      </c>
      <c r="F23" s="37">
        <v>14.912800000000001</v>
      </c>
      <c r="G23" s="38">
        <v>5.3978799999999999E-3</v>
      </c>
      <c r="H23" s="28" t="s">
        <v>12</v>
      </c>
      <c r="J23" s="7"/>
    </row>
    <row r="24" spans="1:10" ht="25.5" x14ac:dyDescent="0.2">
      <c r="A24" s="34">
        <v>18</v>
      </c>
      <c r="B24" s="35" t="s">
        <v>496</v>
      </c>
      <c r="C24" s="35" t="s">
        <v>497</v>
      </c>
      <c r="D24" s="35" t="s">
        <v>498</v>
      </c>
      <c r="E24" s="36">
        <v>125</v>
      </c>
      <c r="F24" s="37">
        <v>14.647437500000001</v>
      </c>
      <c r="G24" s="38">
        <v>5.3018300000000004E-3</v>
      </c>
      <c r="H24" s="28" t="s">
        <v>12</v>
      </c>
    </row>
    <row r="25" spans="1:10" x14ac:dyDescent="0.2">
      <c r="A25" s="34">
        <v>19</v>
      </c>
      <c r="B25" s="35" t="s">
        <v>499</v>
      </c>
      <c r="C25" s="35" t="s">
        <v>500</v>
      </c>
      <c r="D25" s="35" t="s">
        <v>460</v>
      </c>
      <c r="E25" s="36">
        <v>4250</v>
      </c>
      <c r="F25" s="37">
        <v>14.547750000000001</v>
      </c>
      <c r="G25" s="38">
        <v>5.2657499999999996E-3</v>
      </c>
      <c r="H25" s="28" t="s">
        <v>12</v>
      </c>
    </row>
    <row r="26" spans="1:10" x14ac:dyDescent="0.2">
      <c r="A26" s="34">
        <v>20</v>
      </c>
      <c r="B26" s="35" t="s">
        <v>501</v>
      </c>
      <c r="C26" s="35" t="s">
        <v>502</v>
      </c>
      <c r="D26" s="35" t="s">
        <v>487</v>
      </c>
      <c r="E26" s="36">
        <v>900</v>
      </c>
      <c r="F26" s="37">
        <v>13.710150000000001</v>
      </c>
      <c r="G26" s="38">
        <v>4.9625700000000003E-3</v>
      </c>
      <c r="H26" s="28" t="s">
        <v>12</v>
      </c>
    </row>
    <row r="27" spans="1:10" x14ac:dyDescent="0.2">
      <c r="A27" s="34">
        <v>21</v>
      </c>
      <c r="B27" s="35" t="s">
        <v>503</v>
      </c>
      <c r="C27" s="35" t="s">
        <v>504</v>
      </c>
      <c r="D27" s="35" t="s">
        <v>505</v>
      </c>
      <c r="E27" s="36">
        <v>2000</v>
      </c>
      <c r="F27" s="37">
        <v>13.581</v>
      </c>
      <c r="G27" s="38">
        <v>4.9158200000000004E-3</v>
      </c>
      <c r="H27" s="28" t="s">
        <v>12</v>
      </c>
    </row>
    <row r="28" spans="1:10" ht="25.5" x14ac:dyDescent="0.2">
      <c r="A28" s="34">
        <v>22</v>
      </c>
      <c r="B28" s="35" t="s">
        <v>506</v>
      </c>
      <c r="C28" s="35" t="s">
        <v>507</v>
      </c>
      <c r="D28" s="35" t="s">
        <v>498</v>
      </c>
      <c r="E28" s="36">
        <v>450</v>
      </c>
      <c r="F28" s="37">
        <v>12.529574999999999</v>
      </c>
      <c r="G28" s="38">
        <v>4.5352400000000003E-3</v>
      </c>
      <c r="H28" s="28" t="s">
        <v>12</v>
      </c>
      <c r="J28" s="7"/>
    </row>
    <row r="29" spans="1:10" x14ac:dyDescent="0.2">
      <c r="A29" s="34">
        <v>23</v>
      </c>
      <c r="B29" s="35" t="s">
        <v>508</v>
      </c>
      <c r="C29" s="35" t="s">
        <v>509</v>
      </c>
      <c r="D29" s="35" t="s">
        <v>481</v>
      </c>
      <c r="E29" s="36">
        <v>100</v>
      </c>
      <c r="F29" s="37">
        <v>12.316050000000001</v>
      </c>
      <c r="G29" s="38">
        <v>4.4579499999999996E-3</v>
      </c>
      <c r="H29" s="28" t="s">
        <v>12</v>
      </c>
    </row>
    <row r="30" spans="1:10" x14ac:dyDescent="0.2">
      <c r="A30" s="34">
        <v>24</v>
      </c>
      <c r="B30" s="35" t="s">
        <v>510</v>
      </c>
      <c r="C30" s="35" t="s">
        <v>511</v>
      </c>
      <c r="D30" s="35" t="s">
        <v>512</v>
      </c>
      <c r="E30" s="36">
        <v>2000</v>
      </c>
      <c r="F30" s="37">
        <v>10.534000000000001</v>
      </c>
      <c r="G30" s="38">
        <v>3.81292E-3</v>
      </c>
      <c r="H30" s="28" t="s">
        <v>12</v>
      </c>
    </row>
    <row r="31" spans="1:10" ht="25.5" x14ac:dyDescent="0.2">
      <c r="A31" s="34">
        <v>25</v>
      </c>
      <c r="B31" s="35" t="s">
        <v>513</v>
      </c>
      <c r="C31" s="35" t="s">
        <v>514</v>
      </c>
      <c r="D31" s="35" t="s">
        <v>515</v>
      </c>
      <c r="E31" s="36">
        <v>1500</v>
      </c>
      <c r="F31" s="37">
        <v>10.22925</v>
      </c>
      <c r="G31" s="38">
        <v>3.7026099999999998E-3</v>
      </c>
      <c r="H31" s="28" t="s">
        <v>12</v>
      </c>
    </row>
    <row r="32" spans="1:10" x14ac:dyDescent="0.2">
      <c r="A32" s="34">
        <v>26</v>
      </c>
      <c r="B32" s="35" t="s">
        <v>516</v>
      </c>
      <c r="C32" s="35" t="s">
        <v>533</v>
      </c>
      <c r="D32" s="35" t="s">
        <v>463</v>
      </c>
      <c r="E32" s="36">
        <v>218</v>
      </c>
      <c r="F32" s="37">
        <v>2.675405</v>
      </c>
      <c r="G32" s="38">
        <v>9.6840000000000001E-4</v>
      </c>
      <c r="H32" s="28" t="s">
        <v>12</v>
      </c>
    </row>
    <row r="33" spans="1:8" x14ac:dyDescent="0.2">
      <c r="A33" s="26"/>
      <c r="B33" s="26"/>
      <c r="C33" s="27" t="s">
        <v>11</v>
      </c>
      <c r="D33" s="26"/>
      <c r="E33" s="26" t="s">
        <v>12</v>
      </c>
      <c r="F33" s="33">
        <f>SUM(F7:F32)</f>
        <v>609.03431399999988</v>
      </c>
      <c r="G33" s="30">
        <f>SUM(G7:G32)</f>
        <v>0.22047715000000001</v>
      </c>
      <c r="H33" s="28" t="s">
        <v>12</v>
      </c>
    </row>
    <row r="34" spans="1:8" x14ac:dyDescent="0.2">
      <c r="A34" s="26"/>
      <c r="B34" s="26"/>
      <c r="C34" s="31"/>
      <c r="D34" s="26"/>
      <c r="E34" s="26"/>
      <c r="F34" s="32"/>
      <c r="G34" s="32"/>
      <c r="H34" s="28" t="s">
        <v>12</v>
      </c>
    </row>
    <row r="35" spans="1:8" x14ac:dyDescent="0.2">
      <c r="A35" s="26"/>
      <c r="B35" s="26"/>
      <c r="C35" s="27" t="s">
        <v>14</v>
      </c>
      <c r="D35" s="26"/>
      <c r="E35" s="26"/>
      <c r="F35" s="26"/>
      <c r="G35" s="26"/>
      <c r="H35" s="28" t="s">
        <v>12</v>
      </c>
    </row>
    <row r="36" spans="1:8" x14ac:dyDescent="0.2">
      <c r="A36" s="26"/>
      <c r="B36" s="26"/>
      <c r="C36" s="27" t="s">
        <v>11</v>
      </c>
      <c r="D36" s="26"/>
      <c r="E36" s="26" t="s">
        <v>12</v>
      </c>
      <c r="F36" s="29" t="s">
        <v>13</v>
      </c>
      <c r="G36" s="30">
        <v>0</v>
      </c>
      <c r="H36" s="28" t="s">
        <v>12</v>
      </c>
    </row>
    <row r="37" spans="1:8" x14ac:dyDescent="0.2">
      <c r="A37" s="26"/>
      <c r="B37" s="26"/>
      <c r="C37" s="31"/>
      <c r="D37" s="26"/>
      <c r="E37" s="26"/>
      <c r="F37" s="32"/>
      <c r="G37" s="32"/>
      <c r="H37" s="28" t="s">
        <v>12</v>
      </c>
    </row>
    <row r="38" spans="1:8" x14ac:dyDescent="0.2">
      <c r="A38" s="26"/>
      <c r="B38" s="26"/>
      <c r="C38" s="27" t="s">
        <v>15</v>
      </c>
      <c r="D38" s="26"/>
      <c r="E38" s="26"/>
      <c r="F38" s="26"/>
      <c r="G38" s="26"/>
      <c r="H38" s="28" t="s">
        <v>12</v>
      </c>
    </row>
    <row r="39" spans="1:8" x14ac:dyDescent="0.2">
      <c r="A39" s="26"/>
      <c r="B39" s="26"/>
      <c r="C39" s="27" t="s">
        <v>11</v>
      </c>
      <c r="D39" s="26"/>
      <c r="E39" s="26" t="s">
        <v>12</v>
      </c>
      <c r="F39" s="29" t="s">
        <v>13</v>
      </c>
      <c r="G39" s="30">
        <v>0</v>
      </c>
      <c r="H39" s="28" t="s">
        <v>12</v>
      </c>
    </row>
    <row r="40" spans="1:8" x14ac:dyDescent="0.2">
      <c r="A40" s="26"/>
      <c r="B40" s="26"/>
      <c r="C40" s="31"/>
      <c r="D40" s="26"/>
      <c r="E40" s="26"/>
      <c r="F40" s="32"/>
      <c r="G40" s="32"/>
      <c r="H40" s="28" t="s">
        <v>12</v>
      </c>
    </row>
    <row r="41" spans="1:8" x14ac:dyDescent="0.2">
      <c r="A41" s="26"/>
      <c r="B41" s="26"/>
      <c r="C41" s="27" t="s">
        <v>16</v>
      </c>
      <c r="D41" s="26"/>
      <c r="E41" s="26"/>
      <c r="F41" s="26"/>
      <c r="G41" s="26"/>
      <c r="H41" s="28" t="s">
        <v>12</v>
      </c>
    </row>
    <row r="42" spans="1:8" x14ac:dyDescent="0.2">
      <c r="A42" s="26"/>
      <c r="B42" s="26"/>
      <c r="C42" s="27" t="s">
        <v>11</v>
      </c>
      <c r="D42" s="26"/>
      <c r="E42" s="26" t="s">
        <v>12</v>
      </c>
      <c r="F42" s="29" t="s">
        <v>13</v>
      </c>
      <c r="G42" s="30">
        <v>0</v>
      </c>
      <c r="H42" s="28" t="s">
        <v>12</v>
      </c>
    </row>
    <row r="43" spans="1:8" x14ac:dyDescent="0.2">
      <c r="A43" s="26"/>
      <c r="B43" s="26"/>
      <c r="C43" s="31"/>
      <c r="D43" s="26"/>
      <c r="E43" s="26"/>
      <c r="F43" s="32"/>
      <c r="G43" s="32"/>
      <c r="H43" s="28" t="s">
        <v>12</v>
      </c>
    </row>
    <row r="44" spans="1:8" x14ac:dyDescent="0.2">
      <c r="A44" s="26"/>
      <c r="B44" s="26"/>
      <c r="C44" s="27" t="s">
        <v>17</v>
      </c>
      <c r="D44" s="26"/>
      <c r="E44" s="26"/>
      <c r="F44" s="32"/>
      <c r="G44" s="32"/>
      <c r="H44" s="28" t="s">
        <v>12</v>
      </c>
    </row>
    <row r="45" spans="1:8" x14ac:dyDescent="0.2">
      <c r="A45" s="26"/>
      <c r="B45" s="26"/>
      <c r="C45" s="27" t="s">
        <v>11</v>
      </c>
      <c r="D45" s="26"/>
      <c r="E45" s="26" t="s">
        <v>12</v>
      </c>
      <c r="F45" s="29" t="s">
        <v>13</v>
      </c>
      <c r="G45" s="30">
        <v>0</v>
      </c>
      <c r="H45" s="28" t="s">
        <v>12</v>
      </c>
    </row>
    <row r="46" spans="1:8" x14ac:dyDescent="0.2">
      <c r="A46" s="26"/>
      <c r="B46" s="26"/>
      <c r="C46" s="31"/>
      <c r="D46" s="26"/>
      <c r="E46" s="26"/>
      <c r="F46" s="32"/>
      <c r="G46" s="32"/>
      <c r="H46" s="28" t="s">
        <v>12</v>
      </c>
    </row>
    <row r="47" spans="1:8" x14ac:dyDescent="0.2">
      <c r="A47" s="26"/>
      <c r="B47" s="26"/>
      <c r="C47" s="27" t="s">
        <v>18</v>
      </c>
      <c r="D47" s="26"/>
      <c r="E47" s="26"/>
      <c r="F47" s="32"/>
      <c r="G47" s="32"/>
      <c r="H47" s="28" t="s">
        <v>12</v>
      </c>
    </row>
    <row r="48" spans="1:8" x14ac:dyDescent="0.2">
      <c r="A48" s="26"/>
      <c r="B48" s="26"/>
      <c r="C48" s="27" t="s">
        <v>11</v>
      </c>
      <c r="D48" s="26"/>
      <c r="E48" s="26" t="s">
        <v>12</v>
      </c>
      <c r="F48" s="29" t="s">
        <v>13</v>
      </c>
      <c r="G48" s="30">
        <v>0</v>
      </c>
      <c r="H48" s="28" t="s">
        <v>12</v>
      </c>
    </row>
    <row r="49" spans="1:8" x14ac:dyDescent="0.2">
      <c r="A49" s="26"/>
      <c r="B49" s="26"/>
      <c r="C49" s="31"/>
      <c r="D49" s="26"/>
      <c r="E49" s="26"/>
      <c r="F49" s="32"/>
      <c r="G49" s="32"/>
      <c r="H49" s="28" t="s">
        <v>12</v>
      </c>
    </row>
    <row r="50" spans="1:8" x14ac:dyDescent="0.2">
      <c r="A50" s="26"/>
      <c r="B50" s="26"/>
      <c r="C50" s="27" t="s">
        <v>19</v>
      </c>
      <c r="D50" s="26"/>
      <c r="E50" s="26"/>
      <c r="F50" s="33">
        <f>F33</f>
        <v>609.03431399999988</v>
      </c>
      <c r="G50" s="30">
        <f>G33</f>
        <v>0.22047715000000001</v>
      </c>
      <c r="H50" s="28" t="s">
        <v>12</v>
      </c>
    </row>
    <row r="51" spans="1:8" x14ac:dyDescent="0.2">
      <c r="A51" s="26"/>
      <c r="B51" s="26"/>
      <c r="C51" s="31"/>
      <c r="D51" s="26"/>
      <c r="E51" s="26"/>
      <c r="F51" s="32"/>
      <c r="G51" s="32"/>
      <c r="H51" s="28" t="s">
        <v>12</v>
      </c>
    </row>
    <row r="52" spans="1:8" x14ac:dyDescent="0.2">
      <c r="A52" s="26"/>
      <c r="B52" s="26"/>
      <c r="C52" s="27" t="s">
        <v>20</v>
      </c>
      <c r="D52" s="26"/>
      <c r="E52" s="26"/>
      <c r="F52" s="32"/>
      <c r="G52" s="32"/>
      <c r="H52" s="28" t="s">
        <v>12</v>
      </c>
    </row>
    <row r="53" spans="1:8" x14ac:dyDescent="0.2">
      <c r="A53" s="26"/>
      <c r="B53" s="26"/>
      <c r="C53" s="27" t="s">
        <v>10</v>
      </c>
      <c r="D53" s="26"/>
      <c r="E53" s="26"/>
      <c r="F53" s="32"/>
      <c r="G53" s="32"/>
      <c r="H53" s="28" t="s">
        <v>12</v>
      </c>
    </row>
    <row r="54" spans="1:8" x14ac:dyDescent="0.2">
      <c r="A54" s="26"/>
      <c r="B54" s="26"/>
      <c r="C54" s="27" t="s">
        <v>11</v>
      </c>
      <c r="D54" s="26"/>
      <c r="E54" s="26" t="s">
        <v>12</v>
      </c>
      <c r="F54" s="29" t="s">
        <v>13</v>
      </c>
      <c r="G54" s="30">
        <v>0</v>
      </c>
      <c r="H54" s="28" t="s">
        <v>12</v>
      </c>
    </row>
    <row r="55" spans="1:8" x14ac:dyDescent="0.2">
      <c r="A55" s="26"/>
      <c r="B55" s="26"/>
      <c r="C55" s="31"/>
      <c r="D55" s="26"/>
      <c r="E55" s="26"/>
      <c r="F55" s="32"/>
      <c r="G55" s="32"/>
      <c r="H55" s="28" t="s">
        <v>12</v>
      </c>
    </row>
    <row r="56" spans="1:8" x14ac:dyDescent="0.2">
      <c r="A56" s="26"/>
      <c r="B56" s="26"/>
      <c r="C56" s="27" t="s">
        <v>67</v>
      </c>
      <c r="D56" s="26"/>
      <c r="E56" s="26"/>
      <c r="F56" s="26"/>
      <c r="G56" s="26"/>
      <c r="H56" s="28" t="s">
        <v>12</v>
      </c>
    </row>
    <row r="57" spans="1:8" x14ac:dyDescent="0.2">
      <c r="A57" s="26"/>
      <c r="B57" s="26"/>
      <c r="C57" s="27" t="s">
        <v>11</v>
      </c>
      <c r="D57" s="26"/>
      <c r="E57" s="26" t="s">
        <v>12</v>
      </c>
      <c r="F57" s="29" t="s">
        <v>13</v>
      </c>
      <c r="G57" s="30">
        <v>0</v>
      </c>
      <c r="H57" s="28" t="s">
        <v>12</v>
      </c>
    </row>
    <row r="58" spans="1:8" x14ac:dyDescent="0.2">
      <c r="A58" s="26"/>
      <c r="B58" s="26"/>
      <c r="C58" s="31"/>
      <c r="D58" s="26"/>
      <c r="E58" s="26"/>
      <c r="F58" s="32"/>
      <c r="G58" s="32"/>
      <c r="H58" s="28" t="s">
        <v>12</v>
      </c>
    </row>
    <row r="59" spans="1:8" x14ac:dyDescent="0.2">
      <c r="A59" s="26"/>
      <c r="B59" s="26"/>
      <c r="C59" s="27" t="s">
        <v>68</v>
      </c>
      <c r="D59" s="26"/>
      <c r="E59" s="26"/>
      <c r="F59" s="26"/>
      <c r="G59" s="26"/>
      <c r="H59" s="28" t="s">
        <v>12</v>
      </c>
    </row>
    <row r="60" spans="1:8" x14ac:dyDescent="0.2">
      <c r="A60" s="34">
        <v>1</v>
      </c>
      <c r="B60" s="35" t="s">
        <v>69</v>
      </c>
      <c r="C60" s="35" t="s">
        <v>70</v>
      </c>
      <c r="D60" s="35" t="s">
        <v>71</v>
      </c>
      <c r="E60" s="36">
        <v>1100000</v>
      </c>
      <c r="F60" s="37">
        <v>1126.3791000000001</v>
      </c>
      <c r="G60" s="38">
        <v>0.40770754999999997</v>
      </c>
      <c r="H60" s="28">
        <v>6.9313000000000002</v>
      </c>
    </row>
    <row r="61" spans="1:8" x14ac:dyDescent="0.2">
      <c r="A61" s="34">
        <v>2</v>
      </c>
      <c r="B61" s="35" t="s">
        <v>76</v>
      </c>
      <c r="C61" s="35" t="s">
        <v>77</v>
      </c>
      <c r="D61" s="35" t="s">
        <v>71</v>
      </c>
      <c r="E61" s="36">
        <v>500000</v>
      </c>
      <c r="F61" s="37">
        <v>522.46950000000004</v>
      </c>
      <c r="G61" s="38">
        <v>0.18911462000000001</v>
      </c>
      <c r="H61" s="28">
        <v>7.0563000000000002</v>
      </c>
    </row>
    <row r="62" spans="1:8" x14ac:dyDescent="0.2">
      <c r="A62" s="26"/>
      <c r="B62" s="26"/>
      <c r="C62" s="27" t="s">
        <v>11</v>
      </c>
      <c r="D62" s="26"/>
      <c r="E62" s="26" t="s">
        <v>12</v>
      </c>
      <c r="F62" s="33">
        <v>1648.8486</v>
      </c>
      <c r="G62" s="30">
        <v>0.59682217000000004</v>
      </c>
      <c r="H62" s="28" t="s">
        <v>12</v>
      </c>
    </row>
    <row r="63" spans="1:8" x14ac:dyDescent="0.2">
      <c r="A63" s="26"/>
      <c r="B63" s="26"/>
      <c r="C63" s="31"/>
      <c r="D63" s="26"/>
      <c r="E63" s="26"/>
      <c r="F63" s="32"/>
      <c r="G63" s="32"/>
      <c r="H63" s="28" t="s">
        <v>12</v>
      </c>
    </row>
    <row r="64" spans="1:8" x14ac:dyDescent="0.2">
      <c r="A64" s="26"/>
      <c r="B64" s="26"/>
      <c r="C64" s="27" t="s">
        <v>82</v>
      </c>
      <c r="D64" s="26"/>
      <c r="E64" s="26"/>
      <c r="F64" s="32"/>
      <c r="G64" s="32"/>
      <c r="H64" s="28" t="s">
        <v>12</v>
      </c>
    </row>
    <row r="65" spans="1:8" x14ac:dyDescent="0.2">
      <c r="A65" s="26"/>
      <c r="B65" s="26"/>
      <c r="C65" s="27" t="s">
        <v>11</v>
      </c>
      <c r="D65" s="26"/>
      <c r="E65" s="26" t="s">
        <v>12</v>
      </c>
      <c r="F65" s="29" t="s">
        <v>13</v>
      </c>
      <c r="G65" s="30">
        <v>0</v>
      </c>
      <c r="H65" s="28" t="s">
        <v>12</v>
      </c>
    </row>
    <row r="66" spans="1:8" x14ac:dyDescent="0.2">
      <c r="A66" s="26"/>
      <c r="B66" s="26"/>
      <c r="C66" s="31"/>
      <c r="D66" s="26"/>
      <c r="E66" s="26"/>
      <c r="F66" s="32"/>
      <c r="G66" s="32"/>
      <c r="H66" s="28" t="s">
        <v>12</v>
      </c>
    </row>
    <row r="67" spans="1:8" x14ac:dyDescent="0.2">
      <c r="A67" s="26"/>
      <c r="B67" s="26"/>
      <c r="C67" s="27" t="s">
        <v>83</v>
      </c>
      <c r="D67" s="26"/>
      <c r="E67" s="26"/>
      <c r="F67" s="33">
        <v>1648.8486</v>
      </c>
      <c r="G67" s="30">
        <v>0.59682217000000004</v>
      </c>
      <c r="H67" s="28" t="s">
        <v>12</v>
      </c>
    </row>
    <row r="68" spans="1:8" x14ac:dyDescent="0.2">
      <c r="A68" s="26"/>
      <c r="B68" s="26"/>
      <c r="C68" s="31"/>
      <c r="D68" s="26"/>
      <c r="E68" s="26"/>
      <c r="F68" s="32"/>
      <c r="G68" s="32"/>
      <c r="H68" s="28" t="s">
        <v>12</v>
      </c>
    </row>
    <row r="69" spans="1:8" x14ac:dyDescent="0.2">
      <c r="A69" s="26"/>
      <c r="B69" s="26"/>
      <c r="C69" s="27" t="s">
        <v>84</v>
      </c>
      <c r="D69" s="26"/>
      <c r="E69" s="26"/>
      <c r="F69" s="32"/>
      <c r="G69" s="32"/>
      <c r="H69" s="28" t="s">
        <v>12</v>
      </c>
    </row>
    <row r="70" spans="1:8" x14ac:dyDescent="0.2">
      <c r="A70" s="26"/>
      <c r="B70" s="26"/>
      <c r="C70" s="27" t="s">
        <v>85</v>
      </c>
      <c r="D70" s="26"/>
      <c r="E70" s="26"/>
      <c r="F70" s="32"/>
      <c r="G70" s="32"/>
      <c r="H70" s="28" t="s">
        <v>12</v>
      </c>
    </row>
    <row r="71" spans="1:8" x14ac:dyDescent="0.2">
      <c r="A71" s="26"/>
      <c r="B71" s="26"/>
      <c r="C71" s="27" t="s">
        <v>11</v>
      </c>
      <c r="D71" s="26"/>
      <c r="E71" s="26" t="s">
        <v>12</v>
      </c>
      <c r="F71" s="29" t="s">
        <v>13</v>
      </c>
      <c r="G71" s="30">
        <v>0</v>
      </c>
      <c r="H71" s="28" t="s">
        <v>12</v>
      </c>
    </row>
    <row r="72" spans="1:8" x14ac:dyDescent="0.2">
      <c r="A72" s="26"/>
      <c r="B72" s="26"/>
      <c r="C72" s="31"/>
      <c r="D72" s="26"/>
      <c r="E72" s="26"/>
      <c r="F72" s="32"/>
      <c r="G72" s="32"/>
      <c r="H72" s="28" t="s">
        <v>12</v>
      </c>
    </row>
    <row r="73" spans="1:8" x14ac:dyDescent="0.2">
      <c r="A73" s="26"/>
      <c r="B73" s="26"/>
      <c r="C73" s="27" t="s">
        <v>86</v>
      </c>
      <c r="D73" s="26"/>
      <c r="E73" s="26"/>
      <c r="F73" s="32"/>
      <c r="G73" s="32"/>
      <c r="H73" s="28" t="s">
        <v>12</v>
      </c>
    </row>
    <row r="74" spans="1:8" x14ac:dyDescent="0.2">
      <c r="A74" s="26"/>
      <c r="B74" s="26"/>
      <c r="C74" s="27" t="s">
        <v>11</v>
      </c>
      <c r="D74" s="26"/>
      <c r="E74" s="26" t="s">
        <v>12</v>
      </c>
      <c r="F74" s="29" t="s">
        <v>13</v>
      </c>
      <c r="G74" s="30">
        <v>0</v>
      </c>
      <c r="H74" s="28" t="s">
        <v>12</v>
      </c>
    </row>
    <row r="75" spans="1:8" x14ac:dyDescent="0.2">
      <c r="A75" s="26"/>
      <c r="B75" s="26"/>
      <c r="C75" s="31"/>
      <c r="D75" s="26"/>
      <c r="E75" s="26"/>
      <c r="F75" s="32"/>
      <c r="G75" s="32"/>
      <c r="H75" s="28" t="s">
        <v>12</v>
      </c>
    </row>
    <row r="76" spans="1:8" x14ac:dyDescent="0.2">
      <c r="A76" s="26"/>
      <c r="B76" s="26"/>
      <c r="C76" s="27" t="s">
        <v>87</v>
      </c>
      <c r="D76" s="26"/>
      <c r="E76" s="26"/>
      <c r="F76" s="32"/>
      <c r="G76" s="32"/>
      <c r="H76" s="28" t="s">
        <v>12</v>
      </c>
    </row>
    <row r="77" spans="1:8" x14ac:dyDescent="0.2">
      <c r="A77" s="26"/>
      <c r="B77" s="26"/>
      <c r="C77" s="27" t="s">
        <v>11</v>
      </c>
      <c r="D77" s="26"/>
      <c r="E77" s="26" t="s">
        <v>12</v>
      </c>
      <c r="F77" s="29" t="s">
        <v>13</v>
      </c>
      <c r="G77" s="30">
        <v>0</v>
      </c>
      <c r="H77" s="28" t="s">
        <v>12</v>
      </c>
    </row>
    <row r="78" spans="1:8" x14ac:dyDescent="0.2">
      <c r="A78" s="26"/>
      <c r="B78" s="26"/>
      <c r="C78" s="31"/>
      <c r="D78" s="26"/>
      <c r="E78" s="26"/>
      <c r="F78" s="32"/>
      <c r="G78" s="32"/>
      <c r="H78" s="28" t="s">
        <v>12</v>
      </c>
    </row>
    <row r="79" spans="1:8" x14ac:dyDescent="0.2">
      <c r="A79" s="26"/>
      <c r="B79" s="26"/>
      <c r="C79" s="27" t="s">
        <v>88</v>
      </c>
      <c r="D79" s="26"/>
      <c r="E79" s="26"/>
      <c r="F79" s="32"/>
      <c r="G79" s="32"/>
      <c r="H79" s="28" t="s">
        <v>12</v>
      </c>
    </row>
    <row r="80" spans="1:8" x14ac:dyDescent="0.2">
      <c r="A80" s="34">
        <v>1</v>
      </c>
      <c r="B80" s="35"/>
      <c r="C80" s="35" t="s">
        <v>89</v>
      </c>
      <c r="D80" s="35"/>
      <c r="E80" s="39"/>
      <c r="F80" s="37">
        <v>459.29001849999997</v>
      </c>
      <c r="G80" s="38">
        <v>0.16624599000000001</v>
      </c>
      <c r="H80" s="28">
        <v>6.4</v>
      </c>
    </row>
    <row r="81" spans="1:18" x14ac:dyDescent="0.2">
      <c r="A81" s="26"/>
      <c r="B81" s="26"/>
      <c r="C81" s="27" t="s">
        <v>11</v>
      </c>
      <c r="D81" s="26"/>
      <c r="E81" s="26" t="s">
        <v>12</v>
      </c>
      <c r="F81" s="33">
        <v>459.29001849999997</v>
      </c>
      <c r="G81" s="30">
        <v>0.16624599000000001</v>
      </c>
      <c r="H81" s="28" t="s">
        <v>12</v>
      </c>
    </row>
    <row r="82" spans="1:18" x14ac:dyDescent="0.2">
      <c r="A82" s="26"/>
      <c r="B82" s="26"/>
      <c r="C82" s="31"/>
      <c r="D82" s="26"/>
      <c r="E82" s="26"/>
      <c r="F82" s="32"/>
      <c r="G82" s="32"/>
      <c r="H82" s="28" t="s">
        <v>12</v>
      </c>
    </row>
    <row r="83" spans="1:18" x14ac:dyDescent="0.2">
      <c r="A83" s="26"/>
      <c r="B83" s="26"/>
      <c r="C83" s="27" t="s">
        <v>90</v>
      </c>
      <c r="D83" s="26"/>
      <c r="E83" s="26"/>
      <c r="F83" s="33">
        <v>459.29001849999997</v>
      </c>
      <c r="G83" s="30">
        <v>0.16624599000000001</v>
      </c>
      <c r="H83" s="28" t="s">
        <v>12</v>
      </c>
    </row>
    <row r="84" spans="1:18" x14ac:dyDescent="0.2">
      <c r="A84" s="26"/>
      <c r="B84" s="26"/>
      <c r="C84" s="32"/>
      <c r="D84" s="26"/>
      <c r="E84" s="26"/>
      <c r="F84" s="26"/>
      <c r="G84" s="26"/>
      <c r="H84" s="28" t="s">
        <v>12</v>
      </c>
      <c r="J84" s="8"/>
    </row>
    <row r="85" spans="1:18" x14ac:dyDescent="0.2">
      <c r="A85" s="26"/>
      <c r="B85" s="26"/>
      <c r="C85" s="27" t="s">
        <v>91</v>
      </c>
      <c r="D85" s="26"/>
      <c r="E85" s="26"/>
      <c r="F85" s="26"/>
      <c r="G85" s="26"/>
      <c r="H85" s="28" t="s">
        <v>12</v>
      </c>
      <c r="J85" s="8"/>
    </row>
    <row r="86" spans="1:18" x14ac:dyDescent="0.2">
      <c r="A86" s="26"/>
      <c r="B86" s="26"/>
      <c r="C86" s="27" t="s">
        <v>92</v>
      </c>
      <c r="D86" s="26"/>
      <c r="E86" s="26"/>
      <c r="F86" s="26"/>
      <c r="G86" s="26"/>
      <c r="H86" s="28" t="s">
        <v>12</v>
      </c>
      <c r="J86" s="8"/>
    </row>
    <row r="87" spans="1:18" x14ac:dyDescent="0.2">
      <c r="A87" s="26"/>
      <c r="B87" s="26"/>
      <c r="C87" s="27" t="s">
        <v>11</v>
      </c>
      <c r="D87" s="26"/>
      <c r="E87" s="26" t="s">
        <v>12</v>
      </c>
      <c r="F87" s="29" t="s">
        <v>13</v>
      </c>
      <c r="G87" s="30">
        <v>0</v>
      </c>
      <c r="H87" s="28" t="s">
        <v>12</v>
      </c>
      <c r="J87" s="8"/>
    </row>
    <row r="88" spans="1:18" x14ac:dyDescent="0.2">
      <c r="A88" s="26"/>
      <c r="B88" s="26"/>
      <c r="C88" s="31"/>
      <c r="D88" s="26"/>
      <c r="E88" s="26"/>
      <c r="F88" s="32"/>
      <c r="G88" s="32"/>
      <c r="H88" s="28" t="s">
        <v>12</v>
      </c>
      <c r="J88" s="8"/>
    </row>
    <row r="89" spans="1:18" x14ac:dyDescent="0.2">
      <c r="A89" s="40"/>
      <c r="B89" s="40"/>
      <c r="C89" s="41" t="s">
        <v>527</v>
      </c>
      <c r="D89" s="40"/>
      <c r="E89" s="40"/>
      <c r="F89" s="42"/>
      <c r="G89" s="42"/>
      <c r="H89" s="43"/>
      <c r="J89" s="8"/>
      <c r="L89" s="5"/>
      <c r="M89" s="5"/>
      <c r="N89" s="5"/>
      <c r="O89" s="5"/>
      <c r="P89" s="6"/>
      <c r="Q89" s="6"/>
      <c r="R89" s="6"/>
    </row>
    <row r="90" spans="1:18" ht="25.5" x14ac:dyDescent="0.2">
      <c r="A90" s="34">
        <v>1</v>
      </c>
      <c r="B90" s="35" t="s">
        <v>93</v>
      </c>
      <c r="C90" s="35" t="s">
        <v>94</v>
      </c>
      <c r="D90" s="35"/>
      <c r="E90" s="44">
        <v>76.796000000000006</v>
      </c>
      <c r="F90" s="37">
        <v>7.9762913629999996</v>
      </c>
      <c r="G90" s="38">
        <v>2.88712E-3</v>
      </c>
      <c r="H90" s="28"/>
      <c r="J90" s="8"/>
    </row>
    <row r="91" spans="1:18" x14ac:dyDescent="0.2">
      <c r="A91" s="26"/>
      <c r="B91" s="26"/>
      <c r="C91" s="27" t="s">
        <v>11</v>
      </c>
      <c r="D91" s="26"/>
      <c r="E91" s="26" t="s">
        <v>12</v>
      </c>
      <c r="F91" s="33">
        <v>7.9762913629999996</v>
      </c>
      <c r="G91" s="30">
        <v>2.88712E-3</v>
      </c>
      <c r="H91" s="28" t="s">
        <v>12</v>
      </c>
      <c r="J91" s="8"/>
    </row>
    <row r="92" spans="1:18" x14ac:dyDescent="0.2">
      <c r="A92" s="26"/>
      <c r="B92" s="26"/>
      <c r="C92" s="31"/>
      <c r="D92" s="26"/>
      <c r="E92" s="26"/>
      <c r="F92" s="32"/>
      <c r="G92" s="32"/>
      <c r="H92" s="28" t="s">
        <v>12</v>
      </c>
      <c r="J92" s="8"/>
    </row>
    <row r="93" spans="1:18" x14ac:dyDescent="0.2">
      <c r="A93" s="26"/>
      <c r="B93" s="26"/>
      <c r="C93" s="27" t="s">
        <v>95</v>
      </c>
      <c r="D93" s="26"/>
      <c r="E93" s="26"/>
      <c r="F93" s="26"/>
      <c r="G93" s="26"/>
      <c r="H93" s="28" t="s">
        <v>12</v>
      </c>
      <c r="J93" s="8"/>
    </row>
    <row r="94" spans="1:18" x14ac:dyDescent="0.2">
      <c r="A94" s="26"/>
      <c r="B94" s="26"/>
      <c r="C94" s="27" t="s">
        <v>96</v>
      </c>
      <c r="D94" s="26"/>
      <c r="E94" s="26"/>
      <c r="F94" s="26"/>
      <c r="G94" s="26"/>
      <c r="H94" s="28" t="s">
        <v>12</v>
      </c>
      <c r="J94" s="8"/>
    </row>
    <row r="95" spans="1:18" x14ac:dyDescent="0.2">
      <c r="A95" s="26"/>
      <c r="B95" s="26"/>
      <c r="C95" s="27" t="s">
        <v>11</v>
      </c>
      <c r="D95" s="26"/>
      <c r="E95" s="26" t="s">
        <v>12</v>
      </c>
      <c r="F95" s="29" t="s">
        <v>13</v>
      </c>
      <c r="G95" s="30">
        <v>0</v>
      </c>
      <c r="H95" s="28" t="s">
        <v>12</v>
      </c>
      <c r="J95" s="8"/>
    </row>
    <row r="96" spans="1:18" x14ac:dyDescent="0.2">
      <c r="A96" s="26"/>
      <c r="B96" s="26"/>
      <c r="C96" s="31"/>
      <c r="D96" s="26"/>
      <c r="E96" s="26"/>
      <c r="F96" s="32"/>
      <c r="G96" s="32"/>
      <c r="H96" s="28" t="s">
        <v>12</v>
      </c>
      <c r="J96" s="8"/>
    </row>
    <row r="97" spans="1:10" x14ac:dyDescent="0.2">
      <c r="A97" s="26"/>
      <c r="B97" s="26"/>
      <c r="C97" s="27" t="s">
        <v>97</v>
      </c>
      <c r="D97" s="26"/>
      <c r="E97" s="26"/>
      <c r="F97" s="32"/>
      <c r="G97" s="32"/>
      <c r="H97" s="28" t="s">
        <v>12</v>
      </c>
      <c r="J97" s="8"/>
    </row>
    <row r="98" spans="1:10" x14ac:dyDescent="0.2">
      <c r="A98" s="26"/>
      <c r="B98" s="26"/>
      <c r="C98" s="27" t="s">
        <v>11</v>
      </c>
      <c r="D98" s="26"/>
      <c r="E98" s="26" t="s">
        <v>12</v>
      </c>
      <c r="F98" s="29" t="s">
        <v>13</v>
      </c>
      <c r="G98" s="30">
        <v>0</v>
      </c>
      <c r="H98" s="28" t="s">
        <v>12</v>
      </c>
    </row>
    <row r="99" spans="1:10" x14ac:dyDescent="0.2">
      <c r="A99" s="26"/>
      <c r="B99" s="35"/>
      <c r="C99" s="35"/>
      <c r="D99" s="27"/>
      <c r="E99" s="26"/>
      <c r="F99" s="35"/>
      <c r="G99" s="39"/>
      <c r="H99" s="28" t="s">
        <v>12</v>
      </c>
    </row>
    <row r="100" spans="1:10" x14ac:dyDescent="0.2">
      <c r="A100" s="39"/>
      <c r="B100" s="35"/>
      <c r="C100" s="35" t="s">
        <v>98</v>
      </c>
      <c r="D100" s="35"/>
      <c r="E100" s="39"/>
      <c r="F100" s="37">
        <f>37.56715083-0.00299996300041676</f>
        <v>37.564150866999583</v>
      </c>
      <c r="G100" s="38">
        <v>1.3597919999999999E-2</v>
      </c>
      <c r="H100" s="28" t="s">
        <v>12</v>
      </c>
    </row>
    <row r="101" spans="1:10" x14ac:dyDescent="0.2">
      <c r="A101" s="31"/>
      <c r="B101" s="31"/>
      <c r="C101" s="27" t="s">
        <v>99</v>
      </c>
      <c r="D101" s="32"/>
      <c r="E101" s="32"/>
      <c r="F101" s="33">
        <f>F100+F91+F83+F67+F50</f>
        <v>2762.7133747299995</v>
      </c>
      <c r="G101" s="45">
        <f>G100+G91+G83+G67+G50</f>
        <v>1.0000303500000001</v>
      </c>
      <c r="H101" s="28" t="s">
        <v>12</v>
      </c>
      <c r="J101" s="8"/>
    </row>
    <row r="102" spans="1:10" x14ac:dyDescent="0.2">
      <c r="A102" s="46"/>
      <c r="B102" s="46"/>
      <c r="C102" s="46"/>
      <c r="D102" s="47"/>
      <c r="E102" s="47"/>
      <c r="F102" s="47"/>
      <c r="G102" s="47"/>
      <c r="J102" s="8"/>
    </row>
    <row r="103" spans="1:10" x14ac:dyDescent="0.2">
      <c r="A103" s="48"/>
      <c r="B103" s="116" t="s">
        <v>537</v>
      </c>
      <c r="C103" s="116"/>
      <c r="D103" s="116"/>
      <c r="E103" s="116"/>
      <c r="F103" s="116"/>
      <c r="G103" s="116"/>
      <c r="H103" s="116"/>
      <c r="J103" s="8"/>
    </row>
    <row r="104" spans="1:10" x14ac:dyDescent="0.2">
      <c r="A104" s="48"/>
      <c r="B104" s="116" t="s">
        <v>538</v>
      </c>
      <c r="C104" s="116"/>
      <c r="D104" s="116"/>
      <c r="E104" s="116"/>
      <c r="F104" s="116"/>
      <c r="G104" s="116"/>
      <c r="H104" s="116"/>
      <c r="J104" s="8"/>
    </row>
    <row r="105" spans="1:10" x14ac:dyDescent="0.2">
      <c r="A105" s="48"/>
      <c r="B105" s="116" t="s">
        <v>539</v>
      </c>
      <c r="C105" s="116"/>
      <c r="D105" s="116"/>
      <c r="E105" s="116"/>
      <c r="F105" s="116"/>
      <c r="G105" s="116"/>
      <c r="H105" s="116"/>
      <c r="J105" s="8"/>
    </row>
    <row r="106" spans="1:10" x14ac:dyDescent="0.2">
      <c r="A106" s="50"/>
      <c r="B106" s="50"/>
      <c r="C106" s="50"/>
      <c r="D106" s="51"/>
      <c r="E106" s="51"/>
      <c r="F106" s="51"/>
      <c r="G106" s="51"/>
      <c r="J106" s="8"/>
    </row>
    <row r="107" spans="1:10" x14ac:dyDescent="0.2">
      <c r="A107" s="50"/>
      <c r="B107" s="109" t="s">
        <v>100</v>
      </c>
      <c r="C107" s="110"/>
      <c r="D107" s="111"/>
      <c r="E107" s="52"/>
      <c r="F107" s="51"/>
      <c r="G107" s="51"/>
      <c r="J107" s="8"/>
    </row>
    <row r="108" spans="1:10" x14ac:dyDescent="0.2">
      <c r="A108" s="50"/>
      <c r="B108" s="112" t="s">
        <v>101</v>
      </c>
      <c r="C108" s="113"/>
      <c r="D108" s="27" t="s">
        <v>102</v>
      </c>
      <c r="E108" s="52"/>
      <c r="F108" s="51"/>
      <c r="G108" s="51"/>
      <c r="J108" s="8"/>
    </row>
    <row r="109" spans="1:10" x14ac:dyDescent="0.2">
      <c r="A109" s="50"/>
      <c r="B109" s="112" t="s">
        <v>103</v>
      </c>
      <c r="C109" s="113"/>
      <c r="D109" s="27" t="s">
        <v>102</v>
      </c>
      <c r="E109" s="52"/>
      <c r="F109" s="51"/>
      <c r="G109" s="51"/>
    </row>
    <row r="110" spans="1:10" x14ac:dyDescent="0.2">
      <c r="A110" s="50"/>
      <c r="B110" s="112" t="s">
        <v>104</v>
      </c>
      <c r="C110" s="113"/>
      <c r="D110" s="32" t="s">
        <v>12</v>
      </c>
      <c r="E110" s="52"/>
      <c r="F110" s="51"/>
      <c r="G110" s="51"/>
    </row>
    <row r="111" spans="1:10" x14ac:dyDescent="0.2">
      <c r="A111" s="53"/>
      <c r="B111" s="54" t="s">
        <v>12</v>
      </c>
      <c r="C111" s="54" t="s">
        <v>528</v>
      </c>
      <c r="D111" s="54" t="s">
        <v>105</v>
      </c>
      <c r="E111" s="53"/>
      <c r="F111" s="53"/>
      <c r="G111" s="53"/>
      <c r="H111" s="55"/>
    </row>
    <row r="112" spans="1:10" x14ac:dyDescent="0.2">
      <c r="A112" s="56"/>
      <c r="B112" s="57" t="s">
        <v>106</v>
      </c>
      <c r="C112" s="58">
        <v>45535</v>
      </c>
      <c r="D112" s="58">
        <v>45550</v>
      </c>
      <c r="E112" s="56"/>
      <c r="F112" s="56"/>
      <c r="G112" s="56"/>
    </row>
    <row r="113" spans="1:7" x14ac:dyDescent="0.2">
      <c r="A113" s="56"/>
      <c r="B113" s="35" t="s">
        <v>107</v>
      </c>
      <c r="C113" s="59">
        <v>31.220600000000001</v>
      </c>
      <c r="D113" s="59">
        <v>31.523599999999998</v>
      </c>
      <c r="E113" s="56"/>
      <c r="F113" s="60"/>
      <c r="G113" s="61"/>
    </row>
    <row r="114" spans="1:7" ht="25.5" x14ac:dyDescent="0.2">
      <c r="A114" s="56"/>
      <c r="B114" s="35" t="s">
        <v>581</v>
      </c>
      <c r="C114" s="59">
        <v>13.6252</v>
      </c>
      <c r="D114" s="59">
        <v>13.757400000000001</v>
      </c>
      <c r="E114" s="56"/>
      <c r="F114" s="60"/>
      <c r="G114" s="61"/>
    </row>
    <row r="115" spans="1:7" ht="25.5" x14ac:dyDescent="0.2">
      <c r="A115" s="56"/>
      <c r="B115" s="35" t="s">
        <v>582</v>
      </c>
      <c r="C115" s="59">
        <v>20.626200000000001</v>
      </c>
      <c r="D115" s="59">
        <v>20.750599999999999</v>
      </c>
      <c r="E115" s="56"/>
      <c r="F115" s="60"/>
      <c r="G115" s="61"/>
    </row>
    <row r="116" spans="1:7" ht="25.5" x14ac:dyDescent="0.2">
      <c r="A116" s="56"/>
      <c r="B116" s="35" t="s">
        <v>583</v>
      </c>
      <c r="C116" s="59">
        <v>20.607299999999999</v>
      </c>
      <c r="D116" s="59">
        <v>20.807300000000001</v>
      </c>
      <c r="E116" s="56"/>
      <c r="F116" s="60"/>
      <c r="G116" s="61"/>
    </row>
    <row r="117" spans="1:7" x14ac:dyDescent="0.2">
      <c r="A117" s="56"/>
      <c r="B117" s="35" t="s">
        <v>108</v>
      </c>
      <c r="C117" s="59">
        <v>28.544699999999999</v>
      </c>
      <c r="D117" s="59">
        <v>28.8095</v>
      </c>
      <c r="E117" s="56"/>
      <c r="F117" s="60"/>
      <c r="G117" s="61"/>
    </row>
    <row r="118" spans="1:7" ht="25.5" x14ac:dyDescent="0.2">
      <c r="A118" s="56"/>
      <c r="B118" s="35" t="s">
        <v>585</v>
      </c>
      <c r="C118" s="59">
        <v>13.5175</v>
      </c>
      <c r="D118" s="59">
        <v>13.642899999999999</v>
      </c>
      <c r="E118" s="56"/>
      <c r="F118" s="60"/>
      <c r="G118" s="61"/>
    </row>
    <row r="119" spans="1:7" ht="25.5" x14ac:dyDescent="0.2">
      <c r="A119" s="56"/>
      <c r="B119" s="35" t="s">
        <v>532</v>
      </c>
      <c r="C119" s="59">
        <v>18.754899999999999</v>
      </c>
      <c r="D119" s="59">
        <v>18.853000000000002</v>
      </c>
      <c r="E119" s="56"/>
      <c r="F119" s="60"/>
      <c r="G119" s="61"/>
    </row>
    <row r="120" spans="1:7" ht="25.5" x14ac:dyDescent="0.2">
      <c r="A120" s="56"/>
      <c r="B120" s="35" t="s">
        <v>586</v>
      </c>
      <c r="C120" s="59">
        <v>18.665500000000002</v>
      </c>
      <c r="D120" s="59">
        <v>18.8386</v>
      </c>
      <c r="E120" s="56"/>
      <c r="F120" s="60"/>
      <c r="G120" s="61"/>
    </row>
    <row r="121" spans="1:7" x14ac:dyDescent="0.2">
      <c r="A121" s="56"/>
      <c r="B121" s="56"/>
      <c r="C121" s="56"/>
      <c r="D121" s="56"/>
      <c r="E121" s="56"/>
      <c r="F121" s="56"/>
      <c r="G121" s="56"/>
    </row>
    <row r="122" spans="1:7" x14ac:dyDescent="0.2">
      <c r="A122" s="56"/>
      <c r="B122" s="112" t="s">
        <v>588</v>
      </c>
      <c r="C122" s="113"/>
      <c r="D122" s="27" t="s">
        <v>12</v>
      </c>
      <c r="E122" s="56"/>
      <c r="F122" s="56"/>
      <c r="G122" s="56"/>
    </row>
    <row r="123" spans="1:7" x14ac:dyDescent="0.2">
      <c r="A123" s="56"/>
      <c r="B123" s="62" t="s">
        <v>106</v>
      </c>
      <c r="C123" s="63" t="s">
        <v>109</v>
      </c>
      <c r="D123" s="63" t="s">
        <v>110</v>
      </c>
      <c r="E123" s="56"/>
      <c r="F123" s="56"/>
      <c r="G123" s="56"/>
    </row>
    <row r="124" spans="1:7" ht="25.5" x14ac:dyDescent="0.2">
      <c r="A124" s="56"/>
      <c r="B124" s="35" t="s">
        <v>582</v>
      </c>
      <c r="C124" s="64">
        <v>7.4999999999999997E-2</v>
      </c>
      <c r="D124" s="39" t="s">
        <v>111</v>
      </c>
      <c r="E124" s="56"/>
      <c r="F124" s="60"/>
      <c r="G124" s="61"/>
    </row>
    <row r="125" spans="1:7" ht="25.5" x14ac:dyDescent="0.2">
      <c r="A125" s="56"/>
      <c r="B125" s="35" t="s">
        <v>532</v>
      </c>
      <c r="C125" s="64">
        <v>7.4999999999999997E-2</v>
      </c>
      <c r="D125" s="39" t="s">
        <v>111</v>
      </c>
      <c r="E125" s="56"/>
      <c r="F125" s="60"/>
      <c r="G125" s="61"/>
    </row>
    <row r="126" spans="1:7" x14ac:dyDescent="0.2">
      <c r="A126" s="56"/>
      <c r="B126" s="65"/>
      <c r="C126" s="65"/>
      <c r="D126" s="66"/>
      <c r="E126" s="56"/>
      <c r="F126" s="60"/>
      <c r="G126" s="61"/>
    </row>
    <row r="127" spans="1:7" x14ac:dyDescent="0.2">
      <c r="A127" s="53"/>
      <c r="B127" s="114" t="s">
        <v>112</v>
      </c>
      <c r="C127" s="115"/>
      <c r="D127" s="41" t="s">
        <v>102</v>
      </c>
      <c r="E127" s="67"/>
      <c r="F127" s="53"/>
      <c r="G127" s="53"/>
    </row>
    <row r="128" spans="1:7" x14ac:dyDescent="0.2">
      <c r="A128" s="53"/>
      <c r="B128" s="114" t="s">
        <v>113</v>
      </c>
      <c r="C128" s="115"/>
      <c r="D128" s="41" t="s">
        <v>102</v>
      </c>
      <c r="E128" s="67"/>
      <c r="F128" s="53"/>
      <c r="G128" s="53"/>
    </row>
    <row r="129" spans="1:18" x14ac:dyDescent="0.2">
      <c r="A129" s="53"/>
      <c r="B129" s="114" t="s">
        <v>540</v>
      </c>
      <c r="C129" s="115"/>
      <c r="D129" s="41" t="s">
        <v>102</v>
      </c>
      <c r="E129" s="67"/>
      <c r="F129" s="53"/>
      <c r="G129" s="53"/>
    </row>
    <row r="130" spans="1:18" x14ac:dyDescent="0.2">
      <c r="A130" s="68"/>
      <c r="B130" s="68"/>
      <c r="C130" s="68"/>
      <c r="D130" s="68"/>
      <c r="E130" s="68"/>
      <c r="F130" s="68"/>
      <c r="G130" s="68"/>
    </row>
    <row r="131" spans="1:18" s="9" customFormat="1" x14ac:dyDescent="0.2">
      <c r="B131" s="117" t="s">
        <v>541</v>
      </c>
      <c r="C131" s="118"/>
      <c r="D131" s="119"/>
      <c r="I131"/>
      <c r="J131" s="2"/>
      <c r="K131" s="5"/>
      <c r="L131" s="5"/>
      <c r="M131" s="5"/>
      <c r="N131" s="5"/>
      <c r="O131"/>
      <c r="R131"/>
    </row>
    <row r="132" spans="1:18" s="9" customFormat="1" ht="38.25" x14ac:dyDescent="0.2">
      <c r="B132" s="107" t="s">
        <v>542</v>
      </c>
      <c r="C132" s="107"/>
      <c r="D132" s="69" t="s">
        <v>452</v>
      </c>
      <c r="I132"/>
      <c r="J132" s="2"/>
      <c r="K132" s="5"/>
      <c r="L132" s="5"/>
      <c r="M132" s="5"/>
      <c r="N132" s="5"/>
      <c r="O132"/>
      <c r="R132"/>
    </row>
    <row r="133" spans="1:18" s="9" customFormat="1" x14ac:dyDescent="0.2">
      <c r="B133" s="120" t="s">
        <v>543</v>
      </c>
      <c r="C133" s="120"/>
      <c r="D133" s="70"/>
      <c r="I133"/>
      <c r="J133" s="2"/>
      <c r="K133" s="5"/>
      <c r="L133" s="5"/>
      <c r="M133" s="5"/>
      <c r="N133" s="5"/>
      <c r="O133"/>
      <c r="R133"/>
    </row>
    <row r="134" spans="1:18" s="9" customFormat="1" x14ac:dyDescent="0.2">
      <c r="B134" s="120"/>
      <c r="C134" s="120"/>
      <c r="D134" s="71"/>
      <c r="I134"/>
      <c r="J134" s="2"/>
      <c r="K134" s="5"/>
      <c r="L134" s="5"/>
      <c r="M134" s="5"/>
      <c r="N134" s="5"/>
      <c r="O134"/>
    </row>
    <row r="135" spans="1:18" s="9" customFormat="1" x14ac:dyDescent="0.2">
      <c r="B135" s="120" t="s">
        <v>544</v>
      </c>
      <c r="C135" s="120"/>
      <c r="D135" s="72">
        <v>6.8496385791906347</v>
      </c>
      <c r="I135"/>
      <c r="J135" s="2"/>
      <c r="K135" s="5"/>
      <c r="L135" s="5"/>
      <c r="M135" s="5"/>
      <c r="N135" s="5"/>
      <c r="O135"/>
    </row>
    <row r="136" spans="1:18" s="9" customFormat="1" x14ac:dyDescent="0.2">
      <c r="B136" s="120"/>
      <c r="C136" s="120"/>
      <c r="D136" s="71"/>
      <c r="I136"/>
      <c r="J136" s="2"/>
      <c r="K136" s="5"/>
      <c r="L136" s="5"/>
      <c r="M136" s="5"/>
      <c r="N136" s="5"/>
      <c r="O136"/>
    </row>
    <row r="137" spans="1:18" s="9" customFormat="1" x14ac:dyDescent="0.2">
      <c r="B137" s="120" t="s">
        <v>573</v>
      </c>
      <c r="C137" s="120"/>
      <c r="D137" s="72">
        <v>6.6455102173795968</v>
      </c>
      <c r="I137"/>
      <c r="J137" s="2"/>
      <c r="K137" s="5"/>
      <c r="L137" s="5"/>
      <c r="M137" s="5"/>
      <c r="N137" s="5"/>
      <c r="O137"/>
    </row>
    <row r="138" spans="1:18" s="9" customFormat="1" x14ac:dyDescent="0.2">
      <c r="B138" s="120" t="s">
        <v>574</v>
      </c>
      <c r="C138" s="120"/>
      <c r="D138" s="72">
        <v>11.837811172362402</v>
      </c>
      <c r="I138"/>
      <c r="J138" s="2"/>
      <c r="K138" s="5"/>
      <c r="L138" s="5"/>
      <c r="M138" s="5"/>
      <c r="N138" s="5"/>
      <c r="O138"/>
    </row>
    <row r="139" spans="1:18" s="9" customFormat="1" x14ac:dyDescent="0.2">
      <c r="B139" s="120"/>
      <c r="C139" s="120"/>
      <c r="D139" s="71"/>
      <c r="I139"/>
      <c r="J139" s="2"/>
      <c r="K139" s="5"/>
      <c r="L139" s="5"/>
      <c r="M139" s="5"/>
      <c r="N139" s="5"/>
      <c r="O139"/>
    </row>
    <row r="140" spans="1:18" s="9" customFormat="1" x14ac:dyDescent="0.2">
      <c r="B140" s="120" t="s">
        <v>547</v>
      </c>
      <c r="C140" s="120"/>
      <c r="D140" s="73" t="s">
        <v>577</v>
      </c>
      <c r="I140"/>
      <c r="J140" s="2"/>
      <c r="K140" s="5"/>
      <c r="L140" s="5"/>
      <c r="M140" s="5"/>
      <c r="N140" s="5"/>
      <c r="O140"/>
    </row>
    <row r="141" spans="1:18" s="9" customFormat="1" x14ac:dyDescent="0.2">
      <c r="B141" s="121" t="s">
        <v>548</v>
      </c>
      <c r="C141" s="123"/>
      <c r="D141" s="122"/>
      <c r="I141"/>
      <c r="J141" s="2"/>
      <c r="K141" s="5"/>
      <c r="L141" s="5"/>
      <c r="M141" s="5"/>
      <c r="N141" s="5"/>
      <c r="O141"/>
    </row>
  </sheetData>
  <mergeCells count="25">
    <mergeCell ref="B138:C138"/>
    <mergeCell ref="B139:C139"/>
    <mergeCell ref="B140:C140"/>
    <mergeCell ref="B141:D141"/>
    <mergeCell ref="B133:C133"/>
    <mergeCell ref="B134:C134"/>
    <mergeCell ref="B135:C135"/>
    <mergeCell ref="B136:C136"/>
    <mergeCell ref="B137:C137"/>
    <mergeCell ref="B132:C132"/>
    <mergeCell ref="A1:H1"/>
    <mergeCell ref="A2:H2"/>
    <mergeCell ref="A3:H3"/>
    <mergeCell ref="B107:D107"/>
    <mergeCell ref="B108:C108"/>
    <mergeCell ref="B109:C109"/>
    <mergeCell ref="B110:C110"/>
    <mergeCell ref="B122:C122"/>
    <mergeCell ref="B128:C128"/>
    <mergeCell ref="B103:H103"/>
    <mergeCell ref="B104:H104"/>
    <mergeCell ref="B105:H105"/>
    <mergeCell ref="B127:C127"/>
    <mergeCell ref="B131:D131"/>
    <mergeCell ref="B129:C129"/>
  </mergeCells>
  <hyperlinks>
    <hyperlink ref="I1" location="Index!B10" display="Index" xr:uid="{242C0FAD-2CC3-42FB-B24C-A3B3A1855F5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85C7-1CC7-430C-93B8-3717B13AEBA5}">
  <sheetPr>
    <outlinePr summaryBelow="0" summaryRight="0"/>
  </sheetPr>
  <dimension ref="A1:V122"/>
  <sheetViews>
    <sheetView showGridLines="0" workbookViewId="0">
      <selection sqref="A1:H1"/>
    </sheetView>
  </sheetViews>
  <sheetFormatPr defaultRowHeight="12.75" x14ac:dyDescent="0.2"/>
  <cols>
    <col min="1" max="1" width="5.85546875" bestFit="1" customWidth="1"/>
    <col min="2" max="2" width="20.5703125" customWidth="1"/>
    <col min="3" max="3" width="39.140625" bestFit="1" customWidth="1"/>
    <col min="4" max="4" width="12.5703125" customWidth="1"/>
    <col min="5" max="5" width="8.7109375" bestFit="1" customWidth="1"/>
    <col min="6" max="6" width="10.140625" bestFit="1" customWidth="1"/>
    <col min="7" max="7" width="14" bestFit="1" customWidth="1"/>
    <col min="8" max="8" width="5.42578125" bestFit="1" customWidth="1"/>
    <col min="9" max="9" width="7.28515625" customWidth="1"/>
    <col min="10" max="10" width="50.7109375" style="2" customWidth="1"/>
  </cols>
  <sheetData>
    <row r="1" spans="1:11" ht="15" x14ac:dyDescent="0.2">
      <c r="A1" s="108" t="s">
        <v>0</v>
      </c>
      <c r="B1" s="108"/>
      <c r="C1" s="108"/>
      <c r="D1" s="108"/>
      <c r="E1" s="108"/>
      <c r="F1" s="108"/>
      <c r="G1" s="108"/>
      <c r="H1" s="108"/>
      <c r="I1" s="1" t="s">
        <v>597</v>
      </c>
      <c r="K1" s="1"/>
    </row>
    <row r="2" spans="1:11" ht="15" x14ac:dyDescent="0.2">
      <c r="A2" s="108" t="s">
        <v>517</v>
      </c>
      <c r="B2" s="108"/>
      <c r="C2" s="108"/>
      <c r="D2" s="108"/>
      <c r="E2" s="108"/>
      <c r="F2" s="108"/>
      <c r="G2" s="108"/>
      <c r="H2" s="108"/>
      <c r="J2" s="3" t="s">
        <v>598</v>
      </c>
    </row>
    <row r="3" spans="1:11" ht="15" x14ac:dyDescent="0.2">
      <c r="A3" s="108" t="s">
        <v>525</v>
      </c>
      <c r="B3" s="108"/>
      <c r="C3" s="108"/>
      <c r="D3" s="108"/>
      <c r="E3" s="108"/>
      <c r="F3" s="108"/>
      <c r="G3" s="108"/>
      <c r="H3" s="108"/>
    </row>
    <row r="4" spans="1:11" s="4" customFormat="1" ht="30" x14ac:dyDescent="0.2">
      <c r="A4" s="24" t="s">
        <v>2</v>
      </c>
      <c r="B4" s="24" t="s">
        <v>3</v>
      </c>
      <c r="C4" s="24" t="s">
        <v>4</v>
      </c>
      <c r="D4" s="24" t="s">
        <v>5</v>
      </c>
      <c r="E4" s="24" t="s">
        <v>6</v>
      </c>
      <c r="F4" s="24" t="s">
        <v>7</v>
      </c>
      <c r="G4" s="24" t="s">
        <v>8</v>
      </c>
      <c r="H4" s="25" t="s">
        <v>526</v>
      </c>
      <c r="J4" s="2"/>
    </row>
    <row r="5" spans="1:11" x14ac:dyDescent="0.2">
      <c r="A5" s="26"/>
      <c r="B5" s="26"/>
      <c r="C5" s="27" t="s">
        <v>9</v>
      </c>
      <c r="D5" s="26"/>
      <c r="E5" s="26"/>
      <c r="F5" s="26"/>
      <c r="G5" s="26"/>
      <c r="H5" s="28" t="s">
        <v>12</v>
      </c>
    </row>
    <row r="6" spans="1:11" x14ac:dyDescent="0.2">
      <c r="A6" s="26"/>
      <c r="B6" s="26"/>
      <c r="C6" s="27" t="s">
        <v>10</v>
      </c>
      <c r="D6" s="26"/>
      <c r="E6" s="26"/>
      <c r="F6" s="26"/>
      <c r="G6" s="26"/>
      <c r="H6" s="28" t="s">
        <v>12</v>
      </c>
    </row>
    <row r="7" spans="1:11" x14ac:dyDescent="0.2">
      <c r="A7" s="26"/>
      <c r="B7" s="26"/>
      <c r="C7" s="27" t="s">
        <v>11</v>
      </c>
      <c r="D7" s="26"/>
      <c r="E7" s="26" t="s">
        <v>12</v>
      </c>
      <c r="F7" s="29" t="s">
        <v>13</v>
      </c>
      <c r="G7" s="30">
        <v>0</v>
      </c>
      <c r="H7" s="28" t="s">
        <v>12</v>
      </c>
    </row>
    <row r="8" spans="1:11" x14ac:dyDescent="0.2">
      <c r="A8" s="26"/>
      <c r="B8" s="26"/>
      <c r="C8" s="31"/>
      <c r="D8" s="26"/>
      <c r="E8" s="26"/>
      <c r="F8" s="32"/>
      <c r="G8" s="32"/>
      <c r="H8" s="28" t="s">
        <v>12</v>
      </c>
    </row>
    <row r="9" spans="1:11" x14ac:dyDescent="0.2">
      <c r="A9" s="26"/>
      <c r="B9" s="26"/>
      <c r="C9" s="27" t="s">
        <v>14</v>
      </c>
      <c r="D9" s="26"/>
      <c r="E9" s="26"/>
      <c r="F9" s="26"/>
      <c r="G9" s="26"/>
      <c r="H9" s="28" t="s">
        <v>12</v>
      </c>
    </row>
    <row r="10" spans="1:11" x14ac:dyDescent="0.2">
      <c r="A10" s="26"/>
      <c r="B10" s="26"/>
      <c r="C10" s="27" t="s">
        <v>11</v>
      </c>
      <c r="D10" s="26"/>
      <c r="E10" s="26" t="s">
        <v>12</v>
      </c>
      <c r="F10" s="29" t="s">
        <v>13</v>
      </c>
      <c r="G10" s="30">
        <v>0</v>
      </c>
      <c r="H10" s="28" t="s">
        <v>12</v>
      </c>
    </row>
    <row r="11" spans="1:11" x14ac:dyDescent="0.2">
      <c r="A11" s="26"/>
      <c r="B11" s="26"/>
      <c r="C11" s="31"/>
      <c r="D11" s="26"/>
      <c r="E11" s="26"/>
      <c r="F11" s="32"/>
      <c r="G11" s="32"/>
      <c r="H11" s="28" t="s">
        <v>12</v>
      </c>
    </row>
    <row r="12" spans="1:11" ht="15" x14ac:dyDescent="0.2">
      <c r="A12" s="26"/>
      <c r="B12" s="26"/>
      <c r="C12" s="27" t="s">
        <v>15</v>
      </c>
      <c r="D12" s="26"/>
      <c r="E12" s="26"/>
      <c r="F12" s="26"/>
      <c r="G12" s="26"/>
      <c r="H12" s="28" t="s">
        <v>12</v>
      </c>
      <c r="J12" s="16"/>
    </row>
    <row r="13" spans="1:11" x14ac:dyDescent="0.2">
      <c r="A13" s="26"/>
      <c r="B13" s="26"/>
      <c r="C13" s="27" t="s">
        <v>11</v>
      </c>
      <c r="D13" s="26"/>
      <c r="E13" s="26" t="s">
        <v>12</v>
      </c>
      <c r="F13" s="29" t="s">
        <v>13</v>
      </c>
      <c r="G13" s="30">
        <v>0</v>
      </c>
      <c r="H13" s="28" t="s">
        <v>12</v>
      </c>
      <c r="J13" s="7"/>
    </row>
    <row r="14" spans="1:11" x14ac:dyDescent="0.2">
      <c r="A14" s="26"/>
      <c r="B14" s="26"/>
      <c r="C14" s="31"/>
      <c r="D14" s="26"/>
      <c r="E14" s="26"/>
      <c r="F14" s="32"/>
      <c r="G14" s="32"/>
      <c r="H14" s="28" t="s">
        <v>12</v>
      </c>
      <c r="J14" s="7" t="s">
        <v>616</v>
      </c>
    </row>
    <row r="15" spans="1:11" x14ac:dyDescent="0.2">
      <c r="A15" s="26"/>
      <c r="B15" s="26"/>
      <c r="C15" s="27" t="s">
        <v>16</v>
      </c>
      <c r="D15" s="26"/>
      <c r="E15" s="26"/>
      <c r="F15" s="26"/>
      <c r="G15" s="26"/>
      <c r="H15" s="28" t="s">
        <v>12</v>
      </c>
    </row>
    <row r="16" spans="1:11" x14ac:dyDescent="0.2">
      <c r="A16" s="26"/>
      <c r="B16" s="26"/>
      <c r="C16" s="27" t="s">
        <v>11</v>
      </c>
      <c r="D16" s="26"/>
      <c r="E16" s="26" t="s">
        <v>12</v>
      </c>
      <c r="F16" s="29" t="s">
        <v>13</v>
      </c>
      <c r="G16" s="30">
        <v>0</v>
      </c>
      <c r="H16" s="28" t="s">
        <v>12</v>
      </c>
    </row>
    <row r="17" spans="1:10" x14ac:dyDescent="0.2">
      <c r="A17" s="26"/>
      <c r="B17" s="26"/>
      <c r="C17" s="31"/>
      <c r="D17" s="26"/>
      <c r="E17" s="26"/>
      <c r="F17" s="32"/>
      <c r="G17" s="32"/>
      <c r="H17" s="28" t="s">
        <v>12</v>
      </c>
    </row>
    <row r="18" spans="1:10" x14ac:dyDescent="0.2">
      <c r="A18" s="26"/>
      <c r="B18" s="26"/>
      <c r="C18" s="27" t="s">
        <v>17</v>
      </c>
      <c r="D18" s="26"/>
      <c r="E18" s="26"/>
      <c r="F18" s="32"/>
      <c r="G18" s="32"/>
      <c r="H18" s="28" t="s">
        <v>12</v>
      </c>
    </row>
    <row r="19" spans="1:10" x14ac:dyDescent="0.2">
      <c r="A19" s="26"/>
      <c r="B19" s="26"/>
      <c r="C19" s="27" t="s">
        <v>11</v>
      </c>
      <c r="D19" s="26"/>
      <c r="E19" s="26" t="s">
        <v>12</v>
      </c>
      <c r="F19" s="29" t="s">
        <v>13</v>
      </c>
      <c r="G19" s="30">
        <v>0</v>
      </c>
      <c r="H19" s="28" t="s">
        <v>12</v>
      </c>
    </row>
    <row r="20" spans="1:10" x14ac:dyDescent="0.2">
      <c r="A20" s="26"/>
      <c r="B20" s="26"/>
      <c r="C20" s="31"/>
      <c r="D20" s="26"/>
      <c r="E20" s="26"/>
      <c r="F20" s="32"/>
      <c r="G20" s="32"/>
      <c r="H20" s="28" t="s">
        <v>12</v>
      </c>
    </row>
    <row r="21" spans="1:10" x14ac:dyDescent="0.2">
      <c r="A21" s="26"/>
      <c r="B21" s="26"/>
      <c r="C21" s="27" t="s">
        <v>18</v>
      </c>
      <c r="D21" s="26"/>
      <c r="E21" s="26"/>
      <c r="F21" s="32"/>
      <c r="G21" s="32"/>
      <c r="H21" s="28" t="s">
        <v>12</v>
      </c>
    </row>
    <row r="22" spans="1:10" ht="15" x14ac:dyDescent="0.2">
      <c r="A22" s="26"/>
      <c r="B22" s="26"/>
      <c r="C22" s="27" t="s">
        <v>11</v>
      </c>
      <c r="D22" s="26"/>
      <c r="E22" s="26" t="s">
        <v>12</v>
      </c>
      <c r="F22" s="29" t="s">
        <v>13</v>
      </c>
      <c r="G22" s="30">
        <v>0</v>
      </c>
      <c r="H22" s="28" t="s">
        <v>12</v>
      </c>
      <c r="J22" s="16"/>
    </row>
    <row r="23" spans="1:10" x14ac:dyDescent="0.2">
      <c r="A23" s="26"/>
      <c r="B23" s="26"/>
      <c r="C23" s="31"/>
      <c r="D23" s="26"/>
      <c r="E23" s="26"/>
      <c r="F23" s="32"/>
      <c r="G23" s="32"/>
      <c r="H23" s="28" t="s">
        <v>12</v>
      </c>
      <c r="J23" s="7"/>
    </row>
    <row r="24" spans="1:10" x14ac:dyDescent="0.2">
      <c r="A24" s="26"/>
      <c r="B24" s="26"/>
      <c r="C24" s="27" t="s">
        <v>19</v>
      </c>
      <c r="D24" s="26"/>
      <c r="E24" s="26"/>
      <c r="F24" s="33">
        <v>0</v>
      </c>
      <c r="G24" s="30">
        <v>0</v>
      </c>
      <c r="H24" s="28" t="s">
        <v>12</v>
      </c>
    </row>
    <row r="25" spans="1:10" x14ac:dyDescent="0.2">
      <c r="A25" s="26"/>
      <c r="B25" s="26"/>
      <c r="C25" s="31"/>
      <c r="D25" s="26"/>
      <c r="E25" s="26"/>
      <c r="F25" s="32"/>
      <c r="G25" s="32"/>
      <c r="H25" s="28" t="s">
        <v>12</v>
      </c>
    </row>
    <row r="26" spans="1:10" x14ac:dyDescent="0.2">
      <c r="A26" s="26"/>
      <c r="B26" s="26"/>
      <c r="C26" s="27" t="s">
        <v>20</v>
      </c>
      <c r="D26" s="26"/>
      <c r="E26" s="26"/>
      <c r="F26" s="32"/>
      <c r="G26" s="32"/>
      <c r="H26" s="28" t="s">
        <v>12</v>
      </c>
    </row>
    <row r="27" spans="1:10" x14ac:dyDescent="0.2">
      <c r="A27" s="26"/>
      <c r="B27" s="26"/>
      <c r="C27" s="27" t="s">
        <v>10</v>
      </c>
      <c r="D27" s="26"/>
      <c r="E27" s="26"/>
      <c r="F27" s="32"/>
      <c r="G27" s="32"/>
      <c r="H27" s="28" t="s">
        <v>12</v>
      </c>
    </row>
    <row r="28" spans="1:10" x14ac:dyDescent="0.2">
      <c r="A28" s="26"/>
      <c r="B28" s="26"/>
      <c r="C28" s="27" t="s">
        <v>11</v>
      </c>
      <c r="D28" s="26"/>
      <c r="E28" s="26" t="s">
        <v>12</v>
      </c>
      <c r="F28" s="29" t="s">
        <v>13</v>
      </c>
      <c r="G28" s="30">
        <v>0</v>
      </c>
      <c r="H28" s="28" t="s">
        <v>12</v>
      </c>
      <c r="J28" s="7" t="s">
        <v>617</v>
      </c>
    </row>
    <row r="29" spans="1:10" x14ac:dyDescent="0.2">
      <c r="A29" s="26"/>
      <c r="B29" s="26"/>
      <c r="C29" s="31"/>
      <c r="D29" s="26"/>
      <c r="E29" s="26"/>
      <c r="F29" s="32"/>
      <c r="G29" s="32"/>
      <c r="H29" s="28" t="s">
        <v>12</v>
      </c>
    </row>
    <row r="30" spans="1:10" x14ac:dyDescent="0.2">
      <c r="A30" s="26"/>
      <c r="B30" s="26"/>
      <c r="C30" s="27" t="s">
        <v>67</v>
      </c>
      <c r="D30" s="26"/>
      <c r="E30" s="26"/>
      <c r="F30" s="26"/>
      <c r="G30" s="26"/>
      <c r="H30" s="28" t="s">
        <v>12</v>
      </c>
    </row>
    <row r="31" spans="1:10" x14ac:dyDescent="0.2">
      <c r="A31" s="26"/>
      <c r="B31" s="26"/>
      <c r="C31" s="27" t="s">
        <v>11</v>
      </c>
      <c r="D31" s="26"/>
      <c r="E31" s="26" t="s">
        <v>12</v>
      </c>
      <c r="F31" s="29" t="s">
        <v>13</v>
      </c>
      <c r="G31" s="30">
        <v>0</v>
      </c>
      <c r="H31" s="28" t="s">
        <v>12</v>
      </c>
    </row>
    <row r="32" spans="1:10" x14ac:dyDescent="0.2">
      <c r="A32" s="26"/>
      <c r="B32" s="26"/>
      <c r="C32" s="31"/>
      <c r="D32" s="26"/>
      <c r="E32" s="26"/>
      <c r="F32" s="32"/>
      <c r="G32" s="32"/>
      <c r="H32" s="28" t="s">
        <v>12</v>
      </c>
    </row>
    <row r="33" spans="1:8" x14ac:dyDescent="0.2">
      <c r="A33" s="26"/>
      <c r="B33" s="26"/>
      <c r="C33" s="27" t="s">
        <v>68</v>
      </c>
      <c r="D33" s="26"/>
      <c r="E33" s="26"/>
      <c r="F33" s="26"/>
      <c r="G33" s="26"/>
      <c r="H33" s="28" t="s">
        <v>12</v>
      </c>
    </row>
    <row r="34" spans="1:8" x14ac:dyDescent="0.2">
      <c r="A34" s="26"/>
      <c r="B34" s="26"/>
      <c r="C34" s="27" t="s">
        <v>11</v>
      </c>
      <c r="D34" s="26"/>
      <c r="E34" s="26" t="s">
        <v>12</v>
      </c>
      <c r="F34" s="29" t="s">
        <v>13</v>
      </c>
      <c r="G34" s="30">
        <v>0</v>
      </c>
      <c r="H34" s="28" t="s">
        <v>12</v>
      </c>
    </row>
    <row r="35" spans="1:8" x14ac:dyDescent="0.2">
      <c r="A35" s="26"/>
      <c r="B35" s="26"/>
      <c r="C35" s="31"/>
      <c r="D35" s="26"/>
      <c r="E35" s="26"/>
      <c r="F35" s="32"/>
      <c r="G35" s="32"/>
      <c r="H35" s="28" t="s">
        <v>12</v>
      </c>
    </row>
    <row r="36" spans="1:8" x14ac:dyDescent="0.2">
      <c r="A36" s="26"/>
      <c r="B36" s="26"/>
      <c r="C36" s="27" t="s">
        <v>82</v>
      </c>
      <c r="D36" s="26"/>
      <c r="E36" s="26"/>
      <c r="F36" s="32"/>
      <c r="G36" s="32"/>
      <c r="H36" s="28" t="s">
        <v>12</v>
      </c>
    </row>
    <row r="37" spans="1:8" x14ac:dyDescent="0.2">
      <c r="A37" s="26"/>
      <c r="B37" s="26"/>
      <c r="C37" s="27" t="s">
        <v>11</v>
      </c>
      <c r="D37" s="26"/>
      <c r="E37" s="26" t="s">
        <v>12</v>
      </c>
      <c r="F37" s="29" t="s">
        <v>13</v>
      </c>
      <c r="G37" s="30">
        <v>0</v>
      </c>
      <c r="H37" s="28" t="s">
        <v>12</v>
      </c>
    </row>
    <row r="38" spans="1:8" x14ac:dyDescent="0.2">
      <c r="A38" s="26"/>
      <c r="B38" s="26"/>
      <c r="C38" s="31"/>
      <c r="D38" s="26"/>
      <c r="E38" s="26"/>
      <c r="F38" s="32"/>
      <c r="G38" s="32"/>
      <c r="H38" s="28" t="s">
        <v>12</v>
      </c>
    </row>
    <row r="39" spans="1:8" x14ac:dyDescent="0.2">
      <c r="A39" s="26"/>
      <c r="B39" s="26"/>
      <c r="C39" s="27" t="s">
        <v>83</v>
      </c>
      <c r="D39" s="26"/>
      <c r="E39" s="26"/>
      <c r="F39" s="33">
        <v>0</v>
      </c>
      <c r="G39" s="30">
        <v>0</v>
      </c>
      <c r="H39" s="28" t="s">
        <v>12</v>
      </c>
    </row>
    <row r="40" spans="1:8" x14ac:dyDescent="0.2">
      <c r="A40" s="26"/>
      <c r="B40" s="26"/>
      <c r="C40" s="31"/>
      <c r="D40" s="26"/>
      <c r="E40" s="26"/>
      <c r="F40" s="32"/>
      <c r="G40" s="32"/>
      <c r="H40" s="28" t="s">
        <v>12</v>
      </c>
    </row>
    <row r="41" spans="1:8" x14ac:dyDescent="0.2">
      <c r="A41" s="26"/>
      <c r="B41" s="26"/>
      <c r="C41" s="27" t="s">
        <v>84</v>
      </c>
      <c r="D41" s="26"/>
      <c r="E41" s="26"/>
      <c r="F41" s="32"/>
      <c r="G41" s="32"/>
      <c r="H41" s="28" t="s">
        <v>12</v>
      </c>
    </row>
    <row r="42" spans="1:8" x14ac:dyDescent="0.2">
      <c r="A42" s="26"/>
      <c r="B42" s="26"/>
      <c r="C42" s="27" t="s">
        <v>85</v>
      </c>
      <c r="D42" s="26"/>
      <c r="E42" s="26"/>
      <c r="F42" s="32"/>
      <c r="G42" s="32"/>
      <c r="H42" s="28" t="s">
        <v>12</v>
      </c>
    </row>
    <row r="43" spans="1:8" x14ac:dyDescent="0.2">
      <c r="A43" s="26"/>
      <c r="B43" s="26"/>
      <c r="C43" s="27" t="s">
        <v>11</v>
      </c>
      <c r="D43" s="26"/>
      <c r="E43" s="26" t="s">
        <v>12</v>
      </c>
      <c r="F43" s="29" t="s">
        <v>13</v>
      </c>
      <c r="G43" s="30">
        <v>0</v>
      </c>
      <c r="H43" s="28" t="s">
        <v>12</v>
      </c>
    </row>
    <row r="44" spans="1:8" x14ac:dyDescent="0.2">
      <c r="A44" s="26"/>
      <c r="B44" s="26"/>
      <c r="C44" s="31"/>
      <c r="D44" s="26"/>
      <c r="E44" s="26"/>
      <c r="F44" s="32"/>
      <c r="G44" s="32"/>
      <c r="H44" s="28" t="s">
        <v>12</v>
      </c>
    </row>
    <row r="45" spans="1:8" x14ac:dyDescent="0.2">
      <c r="A45" s="26"/>
      <c r="B45" s="26"/>
      <c r="C45" s="27" t="s">
        <v>86</v>
      </c>
      <c r="D45" s="26"/>
      <c r="E45" s="26"/>
      <c r="F45" s="32"/>
      <c r="G45" s="32"/>
      <c r="H45" s="28" t="s">
        <v>12</v>
      </c>
    </row>
    <row r="46" spans="1:8" x14ac:dyDescent="0.2">
      <c r="A46" s="26"/>
      <c r="B46" s="26"/>
      <c r="C46" s="27" t="s">
        <v>11</v>
      </c>
      <c r="D46" s="26"/>
      <c r="E46" s="26" t="s">
        <v>12</v>
      </c>
      <c r="F46" s="29" t="s">
        <v>13</v>
      </c>
      <c r="G46" s="30">
        <v>0</v>
      </c>
      <c r="H46" s="28" t="s">
        <v>12</v>
      </c>
    </row>
    <row r="47" spans="1:8" x14ac:dyDescent="0.2">
      <c r="A47" s="26"/>
      <c r="B47" s="26"/>
      <c r="C47" s="31"/>
      <c r="D47" s="26"/>
      <c r="E47" s="26"/>
      <c r="F47" s="32"/>
      <c r="G47" s="32"/>
      <c r="H47" s="28" t="s">
        <v>12</v>
      </c>
    </row>
    <row r="48" spans="1:8" x14ac:dyDescent="0.2">
      <c r="A48" s="26"/>
      <c r="B48" s="26"/>
      <c r="C48" s="27" t="s">
        <v>87</v>
      </c>
      <c r="D48" s="26"/>
      <c r="E48" s="26"/>
      <c r="F48" s="32"/>
      <c r="G48" s="32"/>
      <c r="H48" s="28" t="s">
        <v>12</v>
      </c>
    </row>
    <row r="49" spans="1:8" x14ac:dyDescent="0.2">
      <c r="A49" s="34">
        <v>1</v>
      </c>
      <c r="B49" s="35" t="s">
        <v>361</v>
      </c>
      <c r="C49" s="35" t="s">
        <v>362</v>
      </c>
      <c r="D49" s="35" t="s">
        <v>71</v>
      </c>
      <c r="E49" s="36">
        <v>1000000</v>
      </c>
      <c r="F49" s="37">
        <v>998.20899999999995</v>
      </c>
      <c r="G49" s="38">
        <v>1.27317E-2</v>
      </c>
      <c r="H49" s="28">
        <v>6.55</v>
      </c>
    </row>
    <row r="50" spans="1:8" x14ac:dyDescent="0.2">
      <c r="A50" s="34">
        <v>2</v>
      </c>
      <c r="B50" s="35" t="s">
        <v>518</v>
      </c>
      <c r="C50" s="35" t="s">
        <v>519</v>
      </c>
      <c r="D50" s="35" t="s">
        <v>71</v>
      </c>
      <c r="E50" s="36">
        <v>1000000</v>
      </c>
      <c r="F50" s="37">
        <v>996.947</v>
      </c>
      <c r="G50" s="38">
        <v>1.271561E-2</v>
      </c>
      <c r="H50" s="28">
        <v>6.5759999999999996</v>
      </c>
    </row>
    <row r="51" spans="1:8" x14ac:dyDescent="0.2">
      <c r="A51" s="34">
        <v>3</v>
      </c>
      <c r="B51" s="35" t="s">
        <v>520</v>
      </c>
      <c r="C51" s="35" t="s">
        <v>521</v>
      </c>
      <c r="D51" s="35" t="s">
        <v>71</v>
      </c>
      <c r="E51" s="36">
        <v>1000000</v>
      </c>
      <c r="F51" s="37">
        <v>995.71199999999999</v>
      </c>
      <c r="G51" s="38">
        <v>1.269986E-2</v>
      </c>
      <c r="H51" s="28">
        <v>6.55</v>
      </c>
    </row>
    <row r="52" spans="1:8" x14ac:dyDescent="0.2">
      <c r="A52" s="26"/>
      <c r="B52" s="26"/>
      <c r="C52" s="27" t="s">
        <v>11</v>
      </c>
      <c r="D52" s="26"/>
      <c r="E52" s="26" t="s">
        <v>12</v>
      </c>
      <c r="F52" s="33">
        <v>2990.8679999999999</v>
      </c>
      <c r="G52" s="30">
        <v>3.8147170000000001E-2</v>
      </c>
      <c r="H52" s="28" t="s">
        <v>12</v>
      </c>
    </row>
    <row r="53" spans="1:8" x14ac:dyDescent="0.2">
      <c r="A53" s="26"/>
      <c r="B53" s="26"/>
      <c r="C53" s="31"/>
      <c r="D53" s="26"/>
      <c r="E53" s="26"/>
      <c r="F53" s="32"/>
      <c r="G53" s="32"/>
      <c r="H53" s="28" t="s">
        <v>12</v>
      </c>
    </row>
    <row r="54" spans="1:8" x14ac:dyDescent="0.2">
      <c r="A54" s="26"/>
      <c r="B54" s="26"/>
      <c r="C54" s="27" t="s">
        <v>88</v>
      </c>
      <c r="D54" s="26"/>
      <c r="E54" s="26"/>
      <c r="F54" s="32"/>
      <c r="G54" s="32"/>
      <c r="H54" s="28" t="s">
        <v>12</v>
      </c>
    </row>
    <row r="55" spans="1:8" x14ac:dyDescent="0.2">
      <c r="A55" s="34">
        <v>1</v>
      </c>
      <c r="B55" s="35"/>
      <c r="C55" s="35" t="s">
        <v>239</v>
      </c>
      <c r="D55" s="35"/>
      <c r="E55" s="39"/>
      <c r="F55" s="37">
        <v>74164.871319400001</v>
      </c>
      <c r="G55" s="38">
        <v>0.94593928000000005</v>
      </c>
      <c r="H55" s="28">
        <v>6.53</v>
      </c>
    </row>
    <row r="56" spans="1:8" x14ac:dyDescent="0.2">
      <c r="A56" s="34">
        <v>2</v>
      </c>
      <c r="B56" s="35"/>
      <c r="C56" s="35" t="s">
        <v>89</v>
      </c>
      <c r="D56" s="35"/>
      <c r="E56" s="39"/>
      <c r="F56" s="37">
        <v>907.48135940400005</v>
      </c>
      <c r="G56" s="38">
        <v>1.157451E-2</v>
      </c>
      <c r="H56" s="28">
        <v>6.4</v>
      </c>
    </row>
    <row r="57" spans="1:8" x14ac:dyDescent="0.2">
      <c r="A57" s="26"/>
      <c r="B57" s="26"/>
      <c r="C57" s="27" t="s">
        <v>11</v>
      </c>
      <c r="D57" s="26"/>
      <c r="E57" s="26" t="s">
        <v>12</v>
      </c>
      <c r="F57" s="33">
        <v>75072.352678804004</v>
      </c>
      <c r="G57" s="30">
        <v>0.95751379000000003</v>
      </c>
      <c r="H57" s="28" t="s">
        <v>12</v>
      </c>
    </row>
    <row r="58" spans="1:8" x14ac:dyDescent="0.2">
      <c r="A58" s="26"/>
      <c r="B58" s="26"/>
      <c r="C58" s="31"/>
      <c r="D58" s="26"/>
      <c r="E58" s="26"/>
      <c r="F58" s="32"/>
      <c r="G58" s="32"/>
      <c r="H58" s="28" t="s">
        <v>12</v>
      </c>
    </row>
    <row r="59" spans="1:8" x14ac:dyDescent="0.2">
      <c r="A59" s="26"/>
      <c r="B59" s="26"/>
      <c r="C59" s="27" t="s">
        <v>90</v>
      </c>
      <c r="D59" s="26"/>
      <c r="E59" s="26"/>
      <c r="F59" s="33">
        <v>78063.220678804006</v>
      </c>
      <c r="G59" s="30">
        <v>0.99566096000000004</v>
      </c>
      <c r="H59" s="28" t="s">
        <v>12</v>
      </c>
    </row>
    <row r="60" spans="1:8" x14ac:dyDescent="0.2">
      <c r="A60" s="26"/>
      <c r="B60" s="26"/>
      <c r="C60" s="32"/>
      <c r="D60" s="26"/>
      <c r="E60" s="26"/>
      <c r="F60" s="26"/>
      <c r="G60" s="26"/>
      <c r="H60" s="28" t="s">
        <v>12</v>
      </c>
    </row>
    <row r="61" spans="1:8" x14ac:dyDescent="0.2">
      <c r="A61" s="26"/>
      <c r="B61" s="26"/>
      <c r="C61" s="27" t="s">
        <v>91</v>
      </c>
      <c r="D61" s="26"/>
      <c r="E61" s="26"/>
      <c r="F61" s="26"/>
      <c r="G61" s="26"/>
      <c r="H61" s="28" t="s">
        <v>12</v>
      </c>
    </row>
    <row r="62" spans="1:8" x14ac:dyDescent="0.2">
      <c r="A62" s="26"/>
      <c r="B62" s="26"/>
      <c r="C62" s="27" t="s">
        <v>92</v>
      </c>
      <c r="D62" s="26"/>
      <c r="E62" s="26"/>
      <c r="F62" s="26"/>
      <c r="G62" s="26"/>
      <c r="H62" s="28" t="s">
        <v>12</v>
      </c>
    </row>
    <row r="63" spans="1:8" x14ac:dyDescent="0.2">
      <c r="A63" s="26"/>
      <c r="B63" s="26"/>
      <c r="C63" s="27" t="s">
        <v>11</v>
      </c>
      <c r="D63" s="26"/>
      <c r="E63" s="26" t="s">
        <v>12</v>
      </c>
      <c r="F63" s="29" t="s">
        <v>13</v>
      </c>
      <c r="G63" s="30">
        <v>0</v>
      </c>
      <c r="H63" s="28" t="s">
        <v>12</v>
      </c>
    </row>
    <row r="64" spans="1:8" x14ac:dyDescent="0.2">
      <c r="A64" s="26"/>
      <c r="B64" s="26"/>
      <c r="C64" s="31"/>
      <c r="D64" s="26"/>
      <c r="E64" s="26"/>
      <c r="F64" s="32"/>
      <c r="G64" s="32"/>
      <c r="H64" s="28" t="s">
        <v>12</v>
      </c>
    </row>
    <row r="65" spans="1:8" x14ac:dyDescent="0.2">
      <c r="A65" s="26"/>
      <c r="B65" s="26"/>
      <c r="C65" s="27" t="s">
        <v>95</v>
      </c>
      <c r="D65" s="26"/>
      <c r="E65" s="26"/>
      <c r="F65" s="26"/>
      <c r="G65" s="26"/>
      <c r="H65" s="28" t="s">
        <v>12</v>
      </c>
    </row>
    <row r="66" spans="1:8" x14ac:dyDescent="0.2">
      <c r="A66" s="26"/>
      <c r="B66" s="26"/>
      <c r="C66" s="27" t="s">
        <v>96</v>
      </c>
      <c r="D66" s="26"/>
      <c r="E66" s="26"/>
      <c r="F66" s="26"/>
      <c r="G66" s="26"/>
      <c r="H66" s="28" t="s">
        <v>12</v>
      </c>
    </row>
    <row r="67" spans="1:8" x14ac:dyDescent="0.2">
      <c r="A67" s="26"/>
      <c r="B67" s="26"/>
      <c r="C67" s="27" t="s">
        <v>11</v>
      </c>
      <c r="D67" s="26"/>
      <c r="E67" s="26" t="s">
        <v>12</v>
      </c>
      <c r="F67" s="29" t="s">
        <v>13</v>
      </c>
      <c r="G67" s="30">
        <v>0</v>
      </c>
      <c r="H67" s="28" t="s">
        <v>12</v>
      </c>
    </row>
    <row r="68" spans="1:8" x14ac:dyDescent="0.2">
      <c r="A68" s="26"/>
      <c r="B68" s="26"/>
      <c r="C68" s="31"/>
      <c r="D68" s="26"/>
      <c r="E68" s="26"/>
      <c r="F68" s="32"/>
      <c r="G68" s="32"/>
      <c r="H68" s="28" t="s">
        <v>12</v>
      </c>
    </row>
    <row r="69" spans="1:8" x14ac:dyDescent="0.2">
      <c r="A69" s="26"/>
      <c r="B69" s="26"/>
      <c r="C69" s="27" t="s">
        <v>97</v>
      </c>
      <c r="D69" s="26"/>
      <c r="E69" s="26"/>
      <c r="F69" s="32"/>
      <c r="G69" s="32"/>
      <c r="H69" s="28" t="s">
        <v>12</v>
      </c>
    </row>
    <row r="70" spans="1:8" x14ac:dyDescent="0.2">
      <c r="A70" s="26"/>
      <c r="B70" s="26"/>
      <c r="C70" s="27" t="s">
        <v>11</v>
      </c>
      <c r="D70" s="26"/>
      <c r="E70" s="26" t="s">
        <v>12</v>
      </c>
      <c r="F70" s="29" t="s">
        <v>13</v>
      </c>
      <c r="G70" s="30">
        <v>0</v>
      </c>
      <c r="H70" s="28" t="s">
        <v>12</v>
      </c>
    </row>
    <row r="71" spans="1:8" x14ac:dyDescent="0.2">
      <c r="A71" s="26"/>
      <c r="B71" s="35"/>
      <c r="C71" s="35"/>
      <c r="D71" s="27"/>
      <c r="E71" s="26"/>
      <c r="F71" s="35"/>
      <c r="G71" s="39"/>
      <c r="H71" s="28" t="s">
        <v>12</v>
      </c>
    </row>
    <row r="72" spans="1:8" x14ac:dyDescent="0.2">
      <c r="A72" s="39"/>
      <c r="B72" s="35"/>
      <c r="C72" s="35" t="s">
        <v>98</v>
      </c>
      <c r="D72" s="35"/>
      <c r="E72" s="39"/>
      <c r="F72" s="37">
        <f>340.19590316+0.0000113659858703613</f>
        <v>340.19591452598587</v>
      </c>
      <c r="G72" s="38">
        <v>4.3390399999999997E-3</v>
      </c>
      <c r="H72" s="28" t="s">
        <v>12</v>
      </c>
    </row>
    <row r="73" spans="1:8" x14ac:dyDescent="0.2">
      <c r="A73" s="31"/>
      <c r="B73" s="31"/>
      <c r="C73" s="27" t="s">
        <v>99</v>
      </c>
      <c r="D73" s="32"/>
      <c r="E73" s="32"/>
      <c r="F73" s="33">
        <f>78403.416581964+0.0000113659858703613</f>
        <v>78403.416593329996</v>
      </c>
      <c r="G73" s="45">
        <v>1</v>
      </c>
      <c r="H73" s="28" t="s">
        <v>12</v>
      </c>
    </row>
    <row r="74" spans="1:8" x14ac:dyDescent="0.2">
      <c r="A74" s="46"/>
      <c r="B74" s="46"/>
      <c r="C74" s="46"/>
      <c r="D74" s="47"/>
      <c r="E74" s="47"/>
      <c r="F74" s="47"/>
      <c r="G74" s="47"/>
    </row>
    <row r="75" spans="1:8" x14ac:dyDescent="0.2">
      <c r="A75" s="48"/>
      <c r="B75" s="116" t="s">
        <v>537</v>
      </c>
      <c r="C75" s="116"/>
      <c r="D75" s="116"/>
      <c r="E75" s="116"/>
      <c r="F75" s="116"/>
      <c r="G75" s="116"/>
      <c r="H75" s="116"/>
    </row>
    <row r="76" spans="1:8" x14ac:dyDescent="0.2">
      <c r="A76" s="48"/>
      <c r="B76" s="116" t="s">
        <v>538</v>
      </c>
      <c r="C76" s="116"/>
      <c r="D76" s="116"/>
      <c r="E76" s="116"/>
      <c r="F76" s="116"/>
      <c r="G76" s="116"/>
      <c r="H76" s="116"/>
    </row>
    <row r="77" spans="1:8" x14ac:dyDescent="0.2">
      <c r="A77" s="48"/>
      <c r="B77" s="116" t="s">
        <v>539</v>
      </c>
      <c r="C77" s="116"/>
      <c r="D77" s="116"/>
      <c r="E77" s="116"/>
      <c r="F77" s="116"/>
      <c r="G77" s="116"/>
      <c r="H77" s="116"/>
    </row>
    <row r="78" spans="1:8" x14ac:dyDescent="0.2">
      <c r="A78" s="50"/>
      <c r="B78" s="50"/>
      <c r="C78" s="50"/>
      <c r="D78" s="51"/>
      <c r="E78" s="51"/>
      <c r="F78" s="51"/>
      <c r="G78" s="51"/>
    </row>
    <row r="79" spans="1:8" x14ac:dyDescent="0.2">
      <c r="A79" s="50"/>
      <c r="B79" s="109" t="s">
        <v>100</v>
      </c>
      <c r="C79" s="110"/>
      <c r="D79" s="111"/>
      <c r="E79" s="52"/>
      <c r="F79" s="51"/>
      <c r="G79" s="51"/>
    </row>
    <row r="80" spans="1:8" x14ac:dyDescent="0.2">
      <c r="A80" s="50"/>
      <c r="B80" s="112" t="s">
        <v>101</v>
      </c>
      <c r="C80" s="113"/>
      <c r="D80" s="27" t="s">
        <v>102</v>
      </c>
      <c r="E80" s="52"/>
      <c r="F80" s="51"/>
      <c r="G80" s="51"/>
    </row>
    <row r="81" spans="1:10" x14ac:dyDescent="0.2">
      <c r="A81" s="50"/>
      <c r="B81" s="112" t="s">
        <v>103</v>
      </c>
      <c r="C81" s="113"/>
      <c r="D81" s="27" t="s">
        <v>102</v>
      </c>
      <c r="E81" s="52"/>
      <c r="F81" s="51"/>
      <c r="G81" s="51"/>
    </row>
    <row r="82" spans="1:10" x14ac:dyDescent="0.2">
      <c r="A82" s="50"/>
      <c r="B82" s="112" t="s">
        <v>104</v>
      </c>
      <c r="C82" s="113"/>
      <c r="D82" s="32" t="s">
        <v>12</v>
      </c>
      <c r="E82" s="52"/>
      <c r="F82" s="51"/>
      <c r="G82" s="51"/>
    </row>
    <row r="83" spans="1:10" x14ac:dyDescent="0.2">
      <c r="A83" s="53"/>
      <c r="B83" s="54" t="s">
        <v>12</v>
      </c>
      <c r="C83" s="54" t="s">
        <v>528</v>
      </c>
      <c r="D83" s="54" t="s">
        <v>105</v>
      </c>
      <c r="E83" s="53"/>
      <c r="F83" s="53"/>
      <c r="G83" s="53"/>
      <c r="H83" s="55"/>
    </row>
    <row r="84" spans="1:10" x14ac:dyDescent="0.2">
      <c r="A84" s="56"/>
      <c r="B84" s="57" t="s">
        <v>106</v>
      </c>
      <c r="C84" s="58">
        <v>45535</v>
      </c>
      <c r="D84" s="58">
        <v>45550</v>
      </c>
      <c r="E84" s="56"/>
      <c r="F84" s="56"/>
      <c r="G84" s="56"/>
      <c r="J84" s="8"/>
    </row>
    <row r="85" spans="1:10" x14ac:dyDescent="0.2">
      <c r="A85" s="56"/>
      <c r="B85" s="35" t="s">
        <v>107</v>
      </c>
      <c r="C85" s="59">
        <v>1307.1602</v>
      </c>
      <c r="D85" s="59">
        <v>1310.5730000000001</v>
      </c>
      <c r="E85" s="56"/>
      <c r="F85" s="60"/>
      <c r="G85" s="61"/>
      <c r="J85" s="8"/>
    </row>
    <row r="86" spans="1:10" x14ac:dyDescent="0.2">
      <c r="A86" s="56"/>
      <c r="B86" s="35" t="s">
        <v>589</v>
      </c>
      <c r="C86" s="59">
        <v>1000.2077</v>
      </c>
      <c r="D86" s="39"/>
      <c r="E86" s="56"/>
      <c r="F86" s="60"/>
      <c r="G86" s="61"/>
      <c r="J86" s="8"/>
    </row>
    <row r="87" spans="1:10" ht="25.5" x14ac:dyDescent="0.2">
      <c r="A87" s="56"/>
      <c r="B87" s="35" t="s">
        <v>590</v>
      </c>
      <c r="C87" s="59">
        <v>1048.4822999999999</v>
      </c>
      <c r="D87" s="39"/>
      <c r="E87" s="56"/>
      <c r="F87" s="60"/>
      <c r="G87" s="61"/>
      <c r="J87" s="8"/>
    </row>
    <row r="88" spans="1:10" ht="25.5" x14ac:dyDescent="0.2">
      <c r="A88" s="56"/>
      <c r="B88" s="35" t="s">
        <v>591</v>
      </c>
      <c r="C88" s="59">
        <v>1065.0427999999999</v>
      </c>
      <c r="D88" s="39"/>
      <c r="E88" s="56"/>
      <c r="F88" s="60"/>
      <c r="G88" s="61"/>
      <c r="J88" s="8"/>
    </row>
    <row r="89" spans="1:10" ht="25.5" x14ac:dyDescent="0.2">
      <c r="A89" s="56"/>
      <c r="B89" s="35" t="s">
        <v>581</v>
      </c>
      <c r="C89" s="59">
        <v>1045.0532000000001</v>
      </c>
      <c r="D89" s="59">
        <v>1047.7840000000001</v>
      </c>
      <c r="E89" s="56"/>
      <c r="F89" s="60"/>
      <c r="G89" s="61"/>
      <c r="J89" s="8"/>
    </row>
    <row r="90" spans="1:10" x14ac:dyDescent="0.2">
      <c r="A90" s="56"/>
      <c r="B90" s="35" t="s">
        <v>108</v>
      </c>
      <c r="C90" s="59">
        <v>1300.0909999999999</v>
      </c>
      <c r="D90" s="59">
        <v>1303.4264000000001</v>
      </c>
      <c r="E90" s="56"/>
      <c r="F90" s="60"/>
      <c r="G90" s="61"/>
      <c r="J90" s="8"/>
    </row>
    <row r="91" spans="1:10" ht="25.5" x14ac:dyDescent="0.2">
      <c r="A91" s="56"/>
      <c r="B91" s="35" t="s">
        <v>592</v>
      </c>
      <c r="C91" s="59">
        <v>1000.2057</v>
      </c>
      <c r="D91" s="39"/>
      <c r="E91" s="56"/>
      <c r="F91" s="60"/>
      <c r="G91" s="61"/>
      <c r="J91" s="8"/>
    </row>
    <row r="92" spans="1:10" ht="25.5" x14ac:dyDescent="0.2">
      <c r="A92" s="56"/>
      <c r="B92" s="35" t="s">
        <v>593</v>
      </c>
      <c r="C92" s="59">
        <v>1047.3635999999999</v>
      </c>
      <c r="D92" s="39"/>
      <c r="E92" s="56"/>
      <c r="F92" s="60"/>
      <c r="G92" s="61"/>
      <c r="J92" s="8"/>
    </row>
    <row r="93" spans="1:10" ht="25.5" x14ac:dyDescent="0.2">
      <c r="A93" s="56"/>
      <c r="B93" s="35" t="s">
        <v>594</v>
      </c>
      <c r="C93" s="59">
        <v>1066.4739999999999</v>
      </c>
      <c r="D93" s="39"/>
      <c r="E93" s="56"/>
      <c r="F93" s="60"/>
      <c r="G93" s="61"/>
      <c r="J93" s="8"/>
    </row>
    <row r="94" spans="1:10" ht="25.5" x14ac:dyDescent="0.2">
      <c r="A94" s="56"/>
      <c r="B94" s="35" t="s">
        <v>585</v>
      </c>
      <c r="C94" s="59">
        <v>1041.3009</v>
      </c>
      <c r="D94" s="59">
        <v>1043.9709</v>
      </c>
      <c r="E94" s="56"/>
      <c r="F94" s="60"/>
      <c r="G94" s="61"/>
      <c r="J94" s="8"/>
    </row>
    <row r="95" spans="1:10" ht="25.5" x14ac:dyDescent="0.2">
      <c r="A95" s="56"/>
      <c r="B95" s="35" t="s">
        <v>595</v>
      </c>
      <c r="C95" s="59">
        <v>1000</v>
      </c>
      <c r="D95" s="59">
        <v>1000</v>
      </c>
      <c r="E95" s="56"/>
      <c r="F95" s="60"/>
      <c r="G95" s="61"/>
      <c r="J95" s="8"/>
    </row>
    <row r="96" spans="1:10" ht="25.5" x14ac:dyDescent="0.2">
      <c r="A96" s="56"/>
      <c r="B96" s="35" t="s">
        <v>596</v>
      </c>
      <c r="C96" s="59">
        <v>1164.2916</v>
      </c>
      <c r="D96" s="59">
        <v>1167.3314</v>
      </c>
      <c r="E96" s="56"/>
      <c r="F96" s="60"/>
      <c r="G96" s="61"/>
      <c r="J96" s="8"/>
    </row>
    <row r="97" spans="1:22" ht="38.25" x14ac:dyDescent="0.2">
      <c r="A97" s="56"/>
      <c r="B97" s="35" t="s">
        <v>522</v>
      </c>
      <c r="C97" s="59">
        <v>1164.2768000000001</v>
      </c>
      <c r="D97" s="59">
        <v>1167.3164999999999</v>
      </c>
      <c r="E97" s="56"/>
      <c r="F97" s="60"/>
      <c r="G97" s="61"/>
      <c r="J97" s="8"/>
    </row>
    <row r="98" spans="1:22" ht="38.25" x14ac:dyDescent="0.2">
      <c r="A98" s="56"/>
      <c r="B98" s="35" t="s">
        <v>523</v>
      </c>
      <c r="C98" s="59">
        <v>1000</v>
      </c>
      <c r="D98" s="59">
        <v>1000</v>
      </c>
      <c r="E98" s="56"/>
      <c r="F98" s="60"/>
      <c r="G98" s="61"/>
    </row>
    <row r="99" spans="1:22" x14ac:dyDescent="0.2">
      <c r="A99" s="56"/>
      <c r="B99" s="56"/>
      <c r="C99" s="56"/>
      <c r="D99" s="56"/>
      <c r="E99" s="56"/>
      <c r="F99" s="56"/>
      <c r="G99" s="56"/>
    </row>
    <row r="100" spans="1:22" x14ac:dyDescent="0.2">
      <c r="A100" s="56"/>
      <c r="B100" s="112" t="s">
        <v>588</v>
      </c>
      <c r="C100" s="113"/>
      <c r="D100" s="27" t="s">
        <v>12</v>
      </c>
      <c r="E100" s="56"/>
      <c r="F100" s="56"/>
      <c r="G100" s="56"/>
    </row>
    <row r="101" spans="1:22" x14ac:dyDescent="0.2">
      <c r="A101" s="56"/>
      <c r="B101" s="62" t="s">
        <v>106</v>
      </c>
      <c r="C101" s="63" t="s">
        <v>109</v>
      </c>
      <c r="D101" s="63" t="s">
        <v>110</v>
      </c>
      <c r="E101" s="56"/>
      <c r="F101" s="56"/>
      <c r="G101" s="56"/>
      <c r="J101" s="8"/>
    </row>
    <row r="102" spans="1:22" x14ac:dyDescent="0.2">
      <c r="A102" s="56"/>
      <c r="B102" s="35" t="s">
        <v>589</v>
      </c>
      <c r="C102" s="64">
        <v>2.4218869999999999</v>
      </c>
      <c r="D102" s="39" t="s">
        <v>111</v>
      </c>
      <c r="E102" s="56"/>
      <c r="F102" s="60"/>
      <c r="G102" s="61"/>
      <c r="J102" s="8"/>
    </row>
    <row r="103" spans="1:22" ht="25.5" x14ac:dyDescent="0.2">
      <c r="A103" s="56"/>
      <c r="B103" s="35" t="s">
        <v>590</v>
      </c>
      <c r="C103" s="64">
        <v>1.2623</v>
      </c>
      <c r="D103" s="39" t="s">
        <v>111</v>
      </c>
      <c r="E103" s="56"/>
      <c r="F103" s="60"/>
      <c r="G103" s="61"/>
      <c r="J103" s="8"/>
    </row>
    <row r="104" spans="1:22" ht="25.5" x14ac:dyDescent="0.2">
      <c r="A104" s="56"/>
      <c r="B104" s="35" t="s">
        <v>592</v>
      </c>
      <c r="C104" s="64">
        <v>2.3459270000000001</v>
      </c>
      <c r="D104" s="39" t="s">
        <v>111</v>
      </c>
      <c r="E104" s="56"/>
      <c r="F104" s="60"/>
      <c r="G104" s="61"/>
      <c r="J104" s="8"/>
    </row>
    <row r="105" spans="1:22" ht="25.5" x14ac:dyDescent="0.2">
      <c r="A105" s="56"/>
      <c r="B105" s="35" t="s">
        <v>593</v>
      </c>
      <c r="C105" s="64">
        <v>1.1787000000000001</v>
      </c>
      <c r="D105" s="39" t="s">
        <v>111</v>
      </c>
      <c r="E105" s="56"/>
      <c r="F105" s="60"/>
      <c r="G105" s="61"/>
      <c r="J105" s="8"/>
    </row>
    <row r="106" spans="1:22" x14ac:dyDescent="0.2">
      <c r="A106" s="56"/>
      <c r="B106" s="65"/>
      <c r="C106" s="65"/>
      <c r="D106" s="66"/>
      <c r="E106" s="56"/>
      <c r="F106" s="60"/>
      <c r="G106" s="61"/>
      <c r="J106" s="8"/>
    </row>
    <row r="107" spans="1:22" x14ac:dyDescent="0.2">
      <c r="A107" s="53"/>
      <c r="B107" s="114" t="s">
        <v>112</v>
      </c>
      <c r="C107" s="115"/>
      <c r="D107" s="41" t="s">
        <v>102</v>
      </c>
      <c r="E107" s="67"/>
      <c r="F107" s="53"/>
      <c r="G107" s="53"/>
      <c r="J107" s="8"/>
    </row>
    <row r="108" spans="1:22" x14ac:dyDescent="0.2">
      <c r="A108" s="53"/>
      <c r="B108" s="114" t="s">
        <v>113</v>
      </c>
      <c r="C108" s="115"/>
      <c r="D108" s="41" t="s">
        <v>102</v>
      </c>
      <c r="E108" s="67"/>
      <c r="F108" s="53"/>
      <c r="G108" s="53"/>
      <c r="J108" s="8"/>
    </row>
    <row r="109" spans="1:22" x14ac:dyDescent="0.2">
      <c r="A109" s="53"/>
      <c r="B109" s="114" t="s">
        <v>540</v>
      </c>
      <c r="C109" s="115"/>
      <c r="D109" s="41" t="s">
        <v>102</v>
      </c>
      <c r="E109" s="67"/>
      <c r="F109" s="53"/>
      <c r="G109" s="53"/>
      <c r="I109" s="5"/>
    </row>
    <row r="110" spans="1:22" x14ac:dyDescent="0.2">
      <c r="A110" s="68"/>
      <c r="B110" s="68"/>
      <c r="C110" s="68"/>
      <c r="D110" s="68"/>
      <c r="E110" s="68"/>
      <c r="F110" s="68"/>
      <c r="G110" s="68"/>
      <c r="I110" s="5"/>
    </row>
    <row r="111" spans="1:22" s="9" customFormat="1" x14ac:dyDescent="0.2">
      <c r="B111" s="117" t="s">
        <v>541</v>
      </c>
      <c r="C111" s="118"/>
      <c r="D111" s="119"/>
      <c r="I111" s="5"/>
      <c r="J111" s="2"/>
      <c r="K111" s="5"/>
      <c r="L111" s="5"/>
      <c r="M111" s="5"/>
      <c r="N111" s="5"/>
      <c r="O111" s="10"/>
      <c r="R111"/>
      <c r="S111"/>
      <c r="T111"/>
      <c r="U111"/>
      <c r="V111"/>
    </row>
    <row r="112" spans="1:22" s="9" customFormat="1" ht="38.25" x14ac:dyDescent="0.2">
      <c r="B112" s="107" t="s">
        <v>542</v>
      </c>
      <c r="C112" s="107"/>
      <c r="D112" s="69" t="s">
        <v>517</v>
      </c>
      <c r="I112" s="5"/>
      <c r="J112" s="2"/>
      <c r="K112" s="5"/>
      <c r="L112" s="5"/>
      <c r="M112" s="5"/>
      <c r="N112" s="5"/>
      <c r="O112" s="10"/>
      <c r="R112"/>
      <c r="S112"/>
      <c r="T112"/>
      <c r="U112"/>
      <c r="V112"/>
    </row>
    <row r="113" spans="2:15" s="9" customFormat="1" x14ac:dyDescent="0.2">
      <c r="B113" s="120" t="s">
        <v>543</v>
      </c>
      <c r="C113" s="120"/>
      <c r="D113" s="70"/>
      <c r="I113" s="5"/>
      <c r="J113" s="2"/>
      <c r="K113" s="5"/>
      <c r="L113" s="5"/>
      <c r="M113" s="5"/>
      <c r="N113" s="5"/>
      <c r="O113" s="10"/>
    </row>
    <row r="114" spans="2:15" s="9" customFormat="1" x14ac:dyDescent="0.2">
      <c r="B114" s="120"/>
      <c r="C114" s="120"/>
      <c r="D114" s="71"/>
      <c r="I114"/>
      <c r="J114" s="2"/>
      <c r="K114" s="5"/>
      <c r="L114" s="5"/>
      <c r="M114" s="5"/>
      <c r="N114" s="5"/>
      <c r="O114" s="10"/>
    </row>
    <row r="115" spans="2:15" s="9" customFormat="1" x14ac:dyDescent="0.2">
      <c r="B115" s="120" t="s">
        <v>544</v>
      </c>
      <c r="C115" s="120"/>
      <c r="D115" s="72">
        <v>6.43490826546567</v>
      </c>
      <c r="I115"/>
      <c r="J115" s="2"/>
      <c r="K115" s="5"/>
      <c r="L115" s="5"/>
      <c r="M115" s="5"/>
      <c r="N115" s="5"/>
      <c r="O115" s="10"/>
    </row>
    <row r="116" spans="2:15" s="9" customFormat="1" x14ac:dyDescent="0.2">
      <c r="B116" s="120"/>
      <c r="C116" s="120"/>
      <c r="D116" s="71"/>
      <c r="I116"/>
      <c r="J116" s="2"/>
      <c r="K116" s="5"/>
      <c r="L116" s="5"/>
      <c r="M116" s="5"/>
      <c r="N116" s="5"/>
      <c r="O116" s="10"/>
    </row>
    <row r="117" spans="2:15" s="9" customFormat="1" x14ac:dyDescent="0.2">
      <c r="B117" s="120" t="s">
        <v>575</v>
      </c>
      <c r="C117" s="120"/>
      <c r="D117" s="105">
        <v>2</v>
      </c>
      <c r="I117"/>
      <c r="J117" s="2"/>
      <c r="K117" s="5"/>
      <c r="L117" s="5"/>
      <c r="M117" s="5"/>
      <c r="N117" s="5"/>
      <c r="O117" s="10"/>
    </row>
    <row r="118" spans="2:15" s="9" customFormat="1" x14ac:dyDescent="0.2">
      <c r="B118" s="120" t="s">
        <v>576</v>
      </c>
      <c r="C118" s="120"/>
      <c r="D118" s="105">
        <v>2</v>
      </c>
      <c r="I118"/>
      <c r="J118" s="2"/>
      <c r="K118" s="5"/>
      <c r="L118" s="5"/>
      <c r="M118" s="5"/>
      <c r="N118" s="5"/>
      <c r="O118" s="10"/>
    </row>
    <row r="119" spans="2:15" s="9" customFormat="1" x14ac:dyDescent="0.2">
      <c r="B119" s="120"/>
      <c r="C119" s="120"/>
      <c r="D119" s="71"/>
      <c r="I119"/>
      <c r="J119" s="2"/>
      <c r="K119" s="5"/>
      <c r="L119" s="5"/>
      <c r="M119" s="5"/>
      <c r="N119" s="5"/>
      <c r="O119" s="10"/>
    </row>
    <row r="120" spans="2:15" s="9" customFormat="1" x14ac:dyDescent="0.2">
      <c r="B120" s="120" t="s">
        <v>547</v>
      </c>
      <c r="C120" s="120"/>
      <c r="D120" s="73" t="s">
        <v>577</v>
      </c>
      <c r="I120"/>
      <c r="J120" s="2"/>
      <c r="K120" s="5"/>
      <c r="L120" s="5"/>
      <c r="M120" s="5"/>
      <c r="N120" s="5"/>
      <c r="O120" s="10"/>
    </row>
    <row r="121" spans="2:15" s="9" customFormat="1" x14ac:dyDescent="0.2">
      <c r="B121" s="121" t="s">
        <v>548</v>
      </c>
      <c r="C121" s="123"/>
      <c r="D121" s="122"/>
      <c r="I121"/>
      <c r="J121" s="2"/>
      <c r="K121" s="5"/>
      <c r="L121" s="5"/>
      <c r="M121" s="5"/>
      <c r="N121" s="5"/>
      <c r="O121" s="10"/>
    </row>
    <row r="122" spans="2:15" x14ac:dyDescent="0.2">
      <c r="H122" s="106"/>
    </row>
  </sheetData>
  <mergeCells count="25">
    <mergeCell ref="B118:C118"/>
    <mergeCell ref="B119:C119"/>
    <mergeCell ref="B120:C120"/>
    <mergeCell ref="B121:D121"/>
    <mergeCell ref="B113:C113"/>
    <mergeCell ref="B114:C114"/>
    <mergeCell ref="B115:C115"/>
    <mergeCell ref="B116:C116"/>
    <mergeCell ref="B117:C117"/>
    <mergeCell ref="B112:C112"/>
    <mergeCell ref="A1:H1"/>
    <mergeCell ref="A2:H2"/>
    <mergeCell ref="A3:H3"/>
    <mergeCell ref="B79:D79"/>
    <mergeCell ref="B80:C80"/>
    <mergeCell ref="B81:C81"/>
    <mergeCell ref="B82:C82"/>
    <mergeCell ref="B100:C100"/>
    <mergeCell ref="B108:C108"/>
    <mergeCell ref="B75:H75"/>
    <mergeCell ref="B76:H76"/>
    <mergeCell ref="B77:H77"/>
    <mergeCell ref="B107:C107"/>
    <mergeCell ref="B111:D111"/>
    <mergeCell ref="B109:C109"/>
  </mergeCells>
  <hyperlinks>
    <hyperlink ref="I1" location="Index!B11" display="Index" xr:uid="{AFA90E62-9A57-4ED4-BF3E-85408B0D6E4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Thiruselvan V - Sundaram Mutual</cp:lastModifiedBy>
  <dcterms:created xsi:type="dcterms:W3CDTF">2024-09-16T13:29:06Z</dcterms:created>
  <dcterms:modified xsi:type="dcterms:W3CDTF">2024-09-19T14:28:17Z</dcterms:modified>
</cp:coreProperties>
</file>