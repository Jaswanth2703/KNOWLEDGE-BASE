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T:\MCR Report\2024-2025\12. Mar 2025\Fortnightly Portfolio Statement as on 15.03.2025 &amp; 31.03.2025\31.03.2025\"/>
    </mc:Choice>
  </mc:AlternateContent>
  <xr:revisionPtr revIDLastSave="0" documentId="13_ncr:1_{B022F1F6-E54F-4A26-BAA8-A722AE9FF5E7}" xr6:coauthVersionLast="47" xr6:coauthVersionMax="47" xr10:uidLastSave="{00000000-0000-0000-0000-000000000000}"/>
  <bookViews>
    <workbookView xWindow="-120" yWindow="-120" windowWidth="29040" windowHeight="15720" tabRatio="747" xr2:uid="{B73EF095-145C-4EE2-8E7C-E7390247D76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3" i="10" l="1"/>
  <c r="F72" i="10"/>
  <c r="J149" i="9"/>
  <c r="F13" i="9"/>
  <c r="F30" i="9" s="1"/>
  <c r="F48" i="9" s="1"/>
  <c r="G120" i="8"/>
  <c r="F83" i="8"/>
  <c r="F82" i="8"/>
  <c r="H168" i="7"/>
  <c r="H166" i="7"/>
  <c r="I175" i="7"/>
  <c r="F175" i="7"/>
  <c r="F133" i="7"/>
  <c r="F131" i="7"/>
  <c r="F130" i="7"/>
  <c r="F129" i="7"/>
  <c r="I162" i="6"/>
  <c r="J162" i="6" s="1"/>
  <c r="I161" i="6"/>
  <c r="J161" i="6" s="1"/>
  <c r="I160" i="6"/>
  <c r="J160" i="6" s="1"/>
  <c r="G160" i="6"/>
  <c r="I159" i="6"/>
  <c r="J159" i="6" s="1"/>
  <c r="F98" i="6"/>
  <c r="I181" i="5"/>
  <c r="F181" i="5"/>
  <c r="F142" i="5"/>
  <c r="F143" i="5"/>
  <c r="I165" i="4"/>
  <c r="F165" i="4"/>
  <c r="I160" i="4"/>
  <c r="J160" i="4" s="1"/>
  <c r="I159" i="4"/>
  <c r="J159" i="4" s="1"/>
  <c r="I158" i="4"/>
  <c r="J158" i="4" s="1"/>
  <c r="F105" i="4"/>
  <c r="F106" i="4"/>
  <c r="F99" i="2"/>
  <c r="F98" i="2"/>
  <c r="G90" i="9" l="1"/>
  <c r="F90" i="9"/>
  <c r="F100" i="9" s="1"/>
  <c r="G13" i="9" s="1"/>
  <c r="G30" i="9" s="1"/>
  <c r="G48" i="9" s="1"/>
  <c r="G100" i="9" s="1"/>
  <c r="G73" i="8"/>
  <c r="F73" i="8"/>
  <c r="G119" i="7"/>
  <c r="F119" i="7"/>
  <c r="G89" i="6"/>
  <c r="F89" i="6"/>
  <c r="G133" i="5"/>
  <c r="F133" i="5"/>
  <c r="G96" i="4"/>
  <c r="F96" i="4"/>
  <c r="G104" i="3"/>
  <c r="F104" i="3"/>
  <c r="G89" i="2"/>
  <c r="F89" i="2"/>
  <c r="G94" i="1"/>
  <c r="F94" i="1"/>
  <c r="F134" i="7" l="1"/>
  <c r="G133" i="7" l="1"/>
  <c r="G134" i="7" s="1"/>
  <c r="H167" i="7"/>
</calcChain>
</file>

<file path=xl/sharedStrings.xml><?xml version="1.0" encoding="utf-8"?>
<sst xmlns="http://schemas.openxmlformats.org/spreadsheetml/2006/main" count="3283" uniqueCount="683">
  <si>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</si>
  <si>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</si>
  <si>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</si>
  <si>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</si>
  <si>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</si>
  <si>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</si>
  <si>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</si>
  <si>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</si>
  <si>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</si>
  <si>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</si>
  <si>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</si>
  <si>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</si>
  <si>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</si>
  <si>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</si>
  <si>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</si>
  <si>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</si>
  <si>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</si>
  <si>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</si>
  <si>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</si>
  <si>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</si>
  <si>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</si>
  <si>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</si>
  <si>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</si>
  <si>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</si>
  <si>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</si>
  <si>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</si>
  <si>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</si>
  <si>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</si>
  <si>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</si>
  <si>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</si>
  <si>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INE134E08NB7</t>
  </si>
  <si>
    <t>Power Finance Corporation Ltd - 7.32% - 15/07/2039**</t>
  </si>
  <si>
    <t>INE040A08930</t>
  </si>
  <si>
    <t>HDFC Bank Ltd (Prev HDFC Ltd) - 7.65% - 25/05/2033**</t>
  </si>
  <si>
    <t>INE261F08EJ7</t>
  </si>
  <si>
    <t>National Bank for Agriculture &amp; Rural Development - 7.64% - 06/12/2029</t>
  </si>
  <si>
    <t>ICRA AAA</t>
  </si>
  <si>
    <t>INE261F08EH1</t>
  </si>
  <si>
    <t>National Bank for Agriculture &amp; Rural Development - 7.62% - 10/05/2029**</t>
  </si>
  <si>
    <t>INE020B08EK4</t>
  </si>
  <si>
    <t>REC LTD - 7.46% - 30/06/2028**</t>
  </si>
  <si>
    <t>INE020B08EL2</t>
  </si>
  <si>
    <t>REC LTD - 7.44% - 30/04/2026**</t>
  </si>
  <si>
    <t>INE053F08304</t>
  </si>
  <si>
    <t>Indian Railway Finance Corporation Ltd - 7.23% - 15/10/2026**</t>
  </si>
  <si>
    <t>INE134E08MX3</t>
  </si>
  <si>
    <t>Power Finance Corporation Ltd - 7.6% - 13/04/2029**</t>
  </si>
  <si>
    <t>INE296A07SV1</t>
  </si>
  <si>
    <t>Bajaj Finance Ltd - 7.82% - 31/01/2034</t>
  </si>
  <si>
    <t>INE242A08544</t>
  </si>
  <si>
    <t>Indian Oil Corporation Ltd - 7.44% - 25/11/2027**</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</si>
  <si>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</si>
  <si>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</si>
  <si>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</si>
  <si>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</si>
  <si>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</si>
  <si>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</si>
  <si>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</si>
  <si>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</si>
  <si>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</si>
  <si>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</si>
  <si>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INE556F08KH1</t>
  </si>
  <si>
    <t>Small Industries Development Bank of India - 7.43% - 31/08/2026**</t>
  </si>
  <si>
    <t>INE041007100</t>
  </si>
  <si>
    <t>Embassy Office Parks REIT - 7.77% - 05/06/2025**</t>
  </si>
  <si>
    <t>INE296A07SU3</t>
  </si>
  <si>
    <t>Bajaj Finance Ltd - 7.87% - 08/02/2034**</t>
  </si>
  <si>
    <t>INE556F08KP4</t>
  </si>
  <si>
    <t>Small Industries Development Bank of India - 7.68% - 10/08/2027**</t>
  </si>
  <si>
    <t>INE134E08IO0</t>
  </si>
  <si>
    <t>Power Finance Corporation Ltd - 7.23% - 05/01/2027**</t>
  </si>
  <si>
    <t>(b) Privately Placed / Unlisted</t>
  </si>
  <si>
    <t>(c) Govt Security</t>
  </si>
  <si>
    <t>IN0020240019</t>
  </si>
  <si>
    <t>7.10% Central Government Securities 08/04/2034</t>
  </si>
  <si>
    <t>Sovereign</t>
  </si>
  <si>
    <t>IN0020230135</t>
  </si>
  <si>
    <t>7.32% Government Securities-13/11/2030</t>
  </si>
  <si>
    <t>IN0020230051</t>
  </si>
  <si>
    <t>7.30% Government Securities - 19/06/2053</t>
  </si>
  <si>
    <t>IN3120240400</t>
  </si>
  <si>
    <t>6.96% Tamil Nadu State Government Securities - 04/12/2028</t>
  </si>
  <si>
    <t>IN0020240035</t>
  </si>
  <si>
    <t>7.34% Central Government Securities 22/04/2064</t>
  </si>
  <si>
    <t>IN0020230077</t>
  </si>
  <si>
    <t>7.18%  Government Securities - 24/07/2037</t>
  </si>
  <si>
    <t>IN0020230101</t>
  </si>
  <si>
    <t>7.37% Government Securities-23/10/2028</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</si>
  <si>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</si>
  <si>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</si>
  <si>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</si>
  <si>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</si>
  <si>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</si>
  <si>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</si>
  <si>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</si>
  <si>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</si>
  <si>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</si>
  <si>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</si>
  <si>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</si>
  <si>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</si>
  <si>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</si>
  <si>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</si>
  <si>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</si>
  <si>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</si>
  <si>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</si>
  <si>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</si>
  <si>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</si>
  <si>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</si>
  <si>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</si>
  <si>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</si>
  <si>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</si>
  <si>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</si>
  <si>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</si>
  <si>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</si>
  <si>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</si>
  <si>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</si>
  <si>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</si>
  <si>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</si>
  <si>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</si>
  <si>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</si>
  <si>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</si>
  <si>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</si>
  <si>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</si>
  <si>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</si>
  <si>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</si>
  <si>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</si>
  <si>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</si>
  <si>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</si>
  <si>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</si>
  <si>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</si>
  <si>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</si>
  <si>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</si>
  <si>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</si>
  <si>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</si>
  <si>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</si>
  <si>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INE0KUG08035</t>
  </si>
  <si>
    <t>National Bank for Financing Infrastructure and Development - 7.43% - 04/07/2034</t>
  </si>
  <si>
    <t>INE053F08338</t>
  </si>
  <si>
    <t>Indian Railway Finance Corporation Ltd - 7.68% - 24/11/2026**</t>
  </si>
  <si>
    <t>IN0020240126</t>
  </si>
  <si>
    <t>6.79% Central Government Securities 07/10/2034</t>
  </si>
  <si>
    <t>IN0020240027</t>
  </si>
  <si>
    <t>7.23% Central Government Securities 15/04/2039</t>
  </si>
  <si>
    <t>INE040A16GE5</t>
  </si>
  <si>
    <t>HDFC Bank Ltd - 04/02/2026**</t>
  </si>
  <si>
    <t>CRISIL A1+</t>
  </si>
  <si>
    <t>INE514E16CK7</t>
  </si>
  <si>
    <t>Export Import Bank of India - 20/03/2026**</t>
  </si>
  <si>
    <t>Direct Plan - Bonus</t>
  </si>
  <si>
    <t>Regular Plan - Bonus</t>
  </si>
  <si>
    <t>Sundaram Money Market Fund</t>
  </si>
  <si>
    <t>IN3120150203</t>
  </si>
  <si>
    <t>8.69% Tamil Nadu State Development Loan - 24/02/2026</t>
  </si>
  <si>
    <t>INE160A16RK5</t>
  </si>
  <si>
    <t>Punjab National Bank - 18/03/2026</t>
  </si>
  <si>
    <t>INE261F16959</t>
  </si>
  <si>
    <t>National Bank for Agriculture &amp; Rural Development - 17/02/2026</t>
  </si>
  <si>
    <t>INE092T16YF6</t>
  </si>
  <si>
    <t>IDFC First Bank Ltd - 26/06/2025**</t>
  </si>
  <si>
    <t>INE562A16OG7</t>
  </si>
  <si>
    <t>Indian Bank - 06/03/2026**</t>
  </si>
  <si>
    <t>INE476A16B64</t>
  </si>
  <si>
    <t>Canara Bank - 18/03/2026**</t>
  </si>
  <si>
    <t>INE237A168Z9</t>
  </si>
  <si>
    <t>Kotak Mahindra Bank Ltd - 19/03/2026**</t>
  </si>
  <si>
    <t>INE556F16BG5</t>
  </si>
  <si>
    <t>Small Industries Development Bank of India - 26/03/2026**</t>
  </si>
  <si>
    <t>INE556F16BB6</t>
  </si>
  <si>
    <t>Small Industries Development Bank of India - 27/02/2026**</t>
  </si>
  <si>
    <t>INE261F16967</t>
  </si>
  <si>
    <t>National Bank for Agriculture &amp; Rural Development - 27/02/2026**</t>
  </si>
  <si>
    <t>INE949L16CY1</t>
  </si>
  <si>
    <t>AU Small Finance Bank Ltd - 28/10/2025**</t>
  </si>
  <si>
    <t>INE084A16CS2</t>
  </si>
  <si>
    <t>Bank of India - 28/11/2025**</t>
  </si>
  <si>
    <t>INE171A16MK3</t>
  </si>
  <si>
    <t>The Federal Bank Ltd - 25/11/2025**</t>
  </si>
  <si>
    <t>INE556F16AX2</t>
  </si>
  <si>
    <t>Small Industries Development Bank of India - 05/12/2025**</t>
  </si>
  <si>
    <t>INE095A16X85</t>
  </si>
  <si>
    <t>IndusInd Bank Ltd - 05/12/2025**</t>
  </si>
  <si>
    <t>INE476A16A24</t>
  </si>
  <si>
    <t>Canara Bank - 03/02/2026**</t>
  </si>
  <si>
    <t>INE562A16OA0</t>
  </si>
  <si>
    <t>Indian Bank - 04/02/2026**</t>
  </si>
  <si>
    <t>INE237A165Z5</t>
  </si>
  <si>
    <t>Kotak Mahindra Bank Ltd - 18/02/2026**</t>
  </si>
  <si>
    <t>INE040A16GJ4</t>
  </si>
  <si>
    <t>HDFC Bank Ltd - 25/02/2026</t>
  </si>
  <si>
    <t>INE237A166Z3</t>
  </si>
  <si>
    <t>Kotak Mahindra Bank Ltd - 27/02/2026</t>
  </si>
  <si>
    <t>INE008A16X99</t>
  </si>
  <si>
    <t>IDBI Bank Ltd - 23/02/2026**</t>
  </si>
  <si>
    <t>INE476A16B31</t>
  </si>
  <si>
    <t>Canara Bank - 13/03/2026**</t>
  </si>
  <si>
    <t>INE238AD6AM2</t>
  </si>
  <si>
    <t>Axis Bank Ltd - 04/02/2026**</t>
  </si>
  <si>
    <t>INE092T16XX1</t>
  </si>
  <si>
    <t>IDFC First Bank Ltd - 23/01/2026**</t>
  </si>
  <si>
    <t>INE476A16A65</t>
  </si>
  <si>
    <t>Canara Bank - 24/02/2026**</t>
  </si>
  <si>
    <t>INE261F16AA7</t>
  </si>
  <si>
    <t>National Bank for Agriculture &amp; Rural Development - 25/03/2026**</t>
  </si>
  <si>
    <t>INE095A16X69</t>
  </si>
  <si>
    <t>IndusInd Bank Ltd - 21/11/2025**</t>
  </si>
  <si>
    <t>INE090AD6170</t>
  </si>
  <si>
    <t>ICICI Bank Ltd - 25/07/2025**</t>
  </si>
  <si>
    <t>ICRA A1+</t>
  </si>
  <si>
    <t>INE763G14XJ8</t>
  </si>
  <si>
    <t>ICICI Securities Ltd - 03/03/2026**</t>
  </si>
  <si>
    <t>INE790I14FX5</t>
  </si>
  <si>
    <t>HSBC InvestDirect Financial Services India Limited - 25/06/2025**</t>
  </si>
  <si>
    <t>INE403D14544</t>
  </si>
  <si>
    <t>Bharti Telecom Ltd - 17/10/2025**</t>
  </si>
  <si>
    <t>INE115A14FJ1</t>
  </si>
  <si>
    <t>LIC Housing Finance Ltd - 18/02/2026**</t>
  </si>
  <si>
    <t>INE338I14JI6</t>
  </si>
  <si>
    <t>Motilal Oswal Financial Services Ltd - 25/02/2026**</t>
  </si>
  <si>
    <t>INE824H14QT9</t>
  </si>
  <si>
    <t>Julius Baer Capital (India) Private Ltd - 17/06/2025**</t>
  </si>
  <si>
    <t>INE572E14JM1</t>
  </si>
  <si>
    <t>PNB Housing Finance Ltd - 25/09/2025**</t>
  </si>
  <si>
    <t>INE144H14HM6</t>
  </si>
  <si>
    <t>Deutsche Investments India Private Ltd - 09/09/2025**</t>
  </si>
  <si>
    <t>IN002024Z461</t>
  </si>
  <si>
    <t>364 Days - T Bill - 27/02/2026</t>
  </si>
  <si>
    <t>IN002024X516</t>
  </si>
  <si>
    <t>91 Days - T Bill - 26/06/2025</t>
  </si>
  <si>
    <t>IN002024Z453</t>
  </si>
  <si>
    <t>364 Days - T Bill - 20/02/2026</t>
  </si>
  <si>
    <t>Sundaram Low Duration Fund</t>
  </si>
  <si>
    <t>INE477A07373</t>
  </si>
  <si>
    <t>Can Fin Homes Ltd - 8.45% - 27/05/2026**</t>
  </si>
  <si>
    <t>IND AA+</t>
  </si>
  <si>
    <t>INE721A07SB0</t>
  </si>
  <si>
    <t>Shriram Finance Ltd - 9.2% - 22/05/2026**</t>
  </si>
  <si>
    <t>CRISIL AA+</t>
  </si>
  <si>
    <t>INE020B08ED9</t>
  </si>
  <si>
    <t>REC LTD - 7.56% - 30/06/2026**</t>
  </si>
  <si>
    <t>INE403D08181</t>
  </si>
  <si>
    <t>Bharti Telecom Ltd - 8.9% - 04/12/2025**</t>
  </si>
  <si>
    <t>INE020B08EM0</t>
  </si>
  <si>
    <t>REC LTD - 7.64% - 30/06/2026**</t>
  </si>
  <si>
    <t>INE572E07183</t>
  </si>
  <si>
    <t>PNB Housing Finance Ltd - 8.15% - 29/07/2027**</t>
  </si>
  <si>
    <t>INE414G07HI7</t>
  </si>
  <si>
    <t>Muthoot Finance Ltd - 8.3% - 06/01/2026**</t>
  </si>
  <si>
    <t>INE523H07CB9</t>
  </si>
  <si>
    <t>JM Financial Products Ltd - 8.92% - 16/11/2026**</t>
  </si>
  <si>
    <t>CRISIL AA</t>
  </si>
  <si>
    <t>INE261F08DP6</t>
  </si>
  <si>
    <t>National Bank for Agriculture &amp; Rural Development - 7.35% - 08/07/2025**</t>
  </si>
  <si>
    <t>INE233A08121</t>
  </si>
  <si>
    <t>Godrej Industries Ltd - 8.36% - 28/08/2026**</t>
  </si>
  <si>
    <t>INE477A07415</t>
  </si>
  <si>
    <t>Can Fin Homes Ltd - 8.09% - 04/01/2027**</t>
  </si>
  <si>
    <t>INE020B08FF1</t>
  </si>
  <si>
    <t>REC LTD - 7.56% - 31/08/2027**</t>
  </si>
  <si>
    <t>INE721A07RU2</t>
  </si>
  <si>
    <t>Shriram Finance Ltd - 9.25% - 19/12/2025**</t>
  </si>
  <si>
    <t>INE121A07QT9</t>
  </si>
  <si>
    <t>Cholamandalam Investment and Finance Co Ltd - 8.45% - 21/11/2025**</t>
  </si>
  <si>
    <t>ICRA AA+</t>
  </si>
  <si>
    <t>INE414G07JL7</t>
  </si>
  <si>
    <t>Muthoot Finance Ltd - 8.65% - 31/01/2028</t>
  </si>
  <si>
    <t>IN0020240050</t>
  </si>
  <si>
    <t>7.04% Central Government Securities 03/06/2029</t>
  </si>
  <si>
    <t>IN0020220037</t>
  </si>
  <si>
    <t>7.38% Central Government Securities 20/06/2027</t>
  </si>
  <si>
    <t>INE040A16GK2</t>
  </si>
  <si>
    <t>INE008A16Y07</t>
  </si>
  <si>
    <t>IDBI Bank Ltd - 27/05/2025**</t>
  </si>
  <si>
    <t>INE949L16CX3</t>
  </si>
  <si>
    <t>AU Small Finance Bank Ltd - 01/10/2025**</t>
  </si>
  <si>
    <t>INE514E14ST9</t>
  </si>
  <si>
    <t>Export Import Bank of India - 24/10/2025**</t>
  </si>
  <si>
    <t>Sundaram Liquid Fund</t>
  </si>
  <si>
    <t>INE040A16GO4</t>
  </si>
  <si>
    <t>HDFC Bank Ltd - 11/06/2025**</t>
  </si>
  <si>
    <t>INE562A16NZ9</t>
  </si>
  <si>
    <t>Indian Bank - 06/05/2025**</t>
  </si>
  <si>
    <t>INE238AD6975</t>
  </si>
  <si>
    <t>Axis Bank Ltd - 16/05/2025**</t>
  </si>
  <si>
    <t>INE556F16AS2</t>
  </si>
  <si>
    <t>Small Industries Development Bank of India - 10/06/2025**</t>
  </si>
  <si>
    <t>INE562A16OK9</t>
  </si>
  <si>
    <t>Indian Bank - 16/06/2025**</t>
  </si>
  <si>
    <t>INE476A16A40</t>
  </si>
  <si>
    <t>Canara Bank - 08/05/2025**</t>
  </si>
  <si>
    <t>INE160A16QZ5</t>
  </si>
  <si>
    <t>Punjab National Bank - 08/05/2025**</t>
  </si>
  <si>
    <t>INE008A16X81</t>
  </si>
  <si>
    <t>IDBI Bank Ltd - 08/05/2025**</t>
  </si>
  <si>
    <t>INE562A16OD4</t>
  </si>
  <si>
    <t>Indian Bank - 19/05/2025**</t>
  </si>
  <si>
    <t>INE171A16ME6</t>
  </si>
  <si>
    <t>The Federal Bank Ltd - 23/05/2025**</t>
  </si>
  <si>
    <t>INE160A16RD0</t>
  </si>
  <si>
    <t>Punjab National Bank - 02/06/2025**</t>
  </si>
  <si>
    <t>INE562A16OF9</t>
  </si>
  <si>
    <t>Indian Bank - 05/06/2025**</t>
  </si>
  <si>
    <t>INE028A16GV4</t>
  </si>
  <si>
    <t>Bank of Baroda - 06/06/2025**</t>
  </si>
  <si>
    <t>IND A1+</t>
  </si>
  <si>
    <t>INE028A16HA6</t>
  </si>
  <si>
    <t>Bank of Baroda - 09/06/2025**</t>
  </si>
  <si>
    <t>INE028A16HX8</t>
  </si>
  <si>
    <t>Bank of Baroda - 10/06/2025**</t>
  </si>
  <si>
    <t>INE692A16JD9</t>
  </si>
  <si>
    <t>Union Bank of India - 12/06/2025**</t>
  </si>
  <si>
    <t>INE084A16DD2</t>
  </si>
  <si>
    <t>Bank of India - 12/06/2025**</t>
  </si>
  <si>
    <t>INE476A16B56</t>
  </si>
  <si>
    <t>Canara Bank - 17/06/2025**</t>
  </si>
  <si>
    <t>INE160A16RL3</t>
  </si>
  <si>
    <t>Punjab National Bank - 18/06/2025**</t>
  </si>
  <si>
    <t>INE692A16IQ3</t>
  </si>
  <si>
    <t>Union Bank of India - 06/05/2025**</t>
  </si>
  <si>
    <t>INE160A16RJ7</t>
  </si>
  <si>
    <t>Punjab National Bank - 16/06/2025**</t>
  </si>
  <si>
    <t>INE692A16IT7</t>
  </si>
  <si>
    <t>Union Bank of India - 23/05/2025**</t>
  </si>
  <si>
    <t>INE692A16IZ4</t>
  </si>
  <si>
    <t>Union Bank of India - 04/06/2025**</t>
  </si>
  <si>
    <t>INE476A16B15</t>
  </si>
  <si>
    <t>Canara Bank - 09/06/2025**</t>
  </si>
  <si>
    <t>INE040A16GG0</t>
  </si>
  <si>
    <t>HDFC Bank Ltd - 09/05/2025**</t>
  </si>
  <si>
    <t>INE238AD6843</t>
  </si>
  <si>
    <t>Axis Bank Ltd - 05/06/2025**</t>
  </si>
  <si>
    <t>INE976I14PP5</t>
  </si>
  <si>
    <t>Tata Capital Ltd - 08/05/2025**</t>
  </si>
  <si>
    <t>INE261F14MZ4</t>
  </si>
  <si>
    <t>National Bank for Agriculture &amp; Rural Development - 07/05/2025**</t>
  </si>
  <si>
    <t>INE514E14SQ5</t>
  </si>
  <si>
    <t>Export Import Bank of India - 27/05/2025**</t>
  </si>
  <si>
    <t>INE261F14NL2</t>
  </si>
  <si>
    <t>National Bank for Agriculture &amp; Rural Development - 20/06/2025**</t>
  </si>
  <si>
    <t>INE514E14SP7</t>
  </si>
  <si>
    <t>Export Import Bank of India - 07/05/2025**</t>
  </si>
  <si>
    <t>INE477S14CX5</t>
  </si>
  <si>
    <t>Tata Motors Finance Ltd - 07/05/2025**</t>
  </si>
  <si>
    <t>INE763G14WY9</t>
  </si>
  <si>
    <t>ICICI Securities Ltd - 08/05/2025**</t>
  </si>
  <si>
    <t>INE289B14JI6</t>
  </si>
  <si>
    <t>GIC Housing Finance Ltd - 16/05/2025**</t>
  </si>
  <si>
    <t>INE09OL14GQ4</t>
  </si>
  <si>
    <t>Birla Group Holdings Pvt Ltd - 23/05/2025**</t>
  </si>
  <si>
    <t>INE477A14DQ5</t>
  </si>
  <si>
    <t>Can Fin Homes Ltd - 29/05/2025**</t>
  </si>
  <si>
    <t>INE296A14ZX8</t>
  </si>
  <si>
    <t>Bajaj Finance Ltd - 12/06/2025**</t>
  </si>
  <si>
    <t>INE261F14NK4</t>
  </si>
  <si>
    <t>National Bank for Agriculture &amp; Rural Development - 16/06/2025**</t>
  </si>
  <si>
    <t>INE763G14XW1</t>
  </si>
  <si>
    <t>ICICI Securities Ltd - 19/06/2025**</t>
  </si>
  <si>
    <t>INE338I14JA3</t>
  </si>
  <si>
    <t>Motilal Oswal Financial Services Ltd - 22/04/2025**</t>
  </si>
  <si>
    <t>INE261F14MY7</t>
  </si>
  <si>
    <t>National Bank for Agriculture &amp; Rural Development - 06/05/2025**</t>
  </si>
  <si>
    <t>INE233A14Z62</t>
  </si>
  <si>
    <t>Godrej Industries Ltd - 09/05/2025**</t>
  </si>
  <si>
    <t>INE556F14KZ1</t>
  </si>
  <si>
    <t>INE261F14NH0</t>
  </si>
  <si>
    <t>National Bank for Agriculture &amp; Rural Development - 12/06/2025**</t>
  </si>
  <si>
    <t>INE929O14DG7</t>
  </si>
  <si>
    <t>Reliance Retail Ventures Ltd - 12/06/2025**</t>
  </si>
  <si>
    <t>INE414G14TR9</t>
  </si>
  <si>
    <t>Muthoot Finance Ltd - 10/06/2025**</t>
  </si>
  <si>
    <t>INE700G14NC6</t>
  </si>
  <si>
    <t>HDFC Securities Ltd - 22/04/2025**</t>
  </si>
  <si>
    <t>INE763G14WX1</t>
  </si>
  <si>
    <t>ICICI Securities Ltd - 07/05/2025**</t>
  </si>
  <si>
    <t>INE929O14DA0</t>
  </si>
  <si>
    <t>Reliance Retail Ventures Ltd - 09/05/2025**</t>
  </si>
  <si>
    <t>INE338I14JC9</t>
  </si>
  <si>
    <t>Motilal Oswal Financial Services Ltd - 07/05/2025**</t>
  </si>
  <si>
    <t>INE865C14NA0</t>
  </si>
  <si>
    <t>Aditya Birla Money Ltd - 09/05/2025**</t>
  </si>
  <si>
    <t>INE261F14NB3</t>
  </si>
  <si>
    <t>National Bank for Agriculture &amp; Rural Development - 22/05/2025**</t>
  </si>
  <si>
    <t>INE498L14DM7</t>
  </si>
  <si>
    <t>L &amp; T Finance Ltd - 23/05/2025**</t>
  </si>
  <si>
    <t>INE498L14DL9</t>
  </si>
  <si>
    <t>L &amp; T Finance Ltd - 26/05/2025**</t>
  </si>
  <si>
    <t>INE790I14FS5</t>
  </si>
  <si>
    <t>HSBC InvestDirect Financial Services India Limited - 27/05/2025**</t>
  </si>
  <si>
    <t>INE02FN14416</t>
  </si>
  <si>
    <t>IGH Holdings Private Limited - 27/05/2025**</t>
  </si>
  <si>
    <t>INE233A140H0</t>
  </si>
  <si>
    <t>Godrej Industries Ltd - 02/06/2025**</t>
  </si>
  <si>
    <t>INE763G14XT7</t>
  </si>
  <si>
    <t>ICICI Securities Ltd - 12/06/2025**</t>
  </si>
  <si>
    <t>INE212K14AU3</t>
  </si>
  <si>
    <t>SBI Cap securities Ltd - 18/06/2025**</t>
  </si>
  <si>
    <t>IN002024X441</t>
  </si>
  <si>
    <t>91 Days - T Bill - 08/05/2025</t>
  </si>
  <si>
    <t>IN002024X508</t>
  </si>
  <si>
    <t>91 Days - T Bill - 19/06/2025</t>
  </si>
  <si>
    <t>IN002024X425</t>
  </si>
  <si>
    <t>91 Days - T Bill - 24/04/2025</t>
  </si>
  <si>
    <t>IN002024Y290</t>
  </si>
  <si>
    <t>182 Days - T Bill - 01/05/2025</t>
  </si>
  <si>
    <t>IN002024X458</t>
  </si>
  <si>
    <t>91 Days - T Bill - 15/05/2025</t>
  </si>
  <si>
    <t>IN002024X482</t>
  </si>
  <si>
    <t>91 Days - T Bill - 05/06/2025</t>
  </si>
  <si>
    <t>IN002024X490</t>
  </si>
  <si>
    <t>91 Days - T Bill - 12/06/2025</t>
  </si>
  <si>
    <t>IN002024X474</t>
  </si>
  <si>
    <t>91 Days - T Bill - 30/05/2025</t>
  </si>
  <si>
    <t>IN002024Z024</t>
  </si>
  <si>
    <t>364 Days - T Bill - 11/04/2025</t>
  </si>
  <si>
    <t>Sundaram Short Duration Fund</t>
  </si>
  <si>
    <t>INE134E08MJ2</t>
  </si>
  <si>
    <t>Power Finance Corporation Ltd - 7.77% - 15/04/2028**</t>
  </si>
  <si>
    <t>INE121A07RZ4</t>
  </si>
  <si>
    <t>Cholamandalam Investment and Finance Co Ltd - 8.54% - 12/04/2029**</t>
  </si>
  <si>
    <t>INE261F08EF5</t>
  </si>
  <si>
    <t>National Bank for Agriculture &amp; Rural Development - 7.8% - 15/03/2027</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</si>
  <si>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</si>
  <si>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</si>
  <si>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</si>
  <si>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</si>
  <si>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</si>
  <si>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</si>
  <si>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</si>
  <si>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</si>
  <si>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Sundaram Ultra Short Duration Fund</t>
  </si>
  <si>
    <t>INE756I07EI4</t>
  </si>
  <si>
    <t>HDB Financial Services Ltd - 7.5% - 23/09/2025**</t>
  </si>
  <si>
    <t>INE261F08DK7</t>
  </si>
  <si>
    <t>National Bank for Agriculture &amp; Rural Development - 5.7% - 31/07/2025**</t>
  </si>
  <si>
    <t>INE756I07EN4</t>
  </si>
  <si>
    <t>HDB Financial Services Ltd - 7.84% - 14/07/2026</t>
  </si>
  <si>
    <t>INE692A16IC3</t>
  </si>
  <si>
    <t>Union Bank of India - 04/12/2025**</t>
  </si>
  <si>
    <t>INE095A16Y50</t>
  </si>
  <si>
    <t>IndusInd Bank Ltd - 04/02/2026**</t>
  </si>
  <si>
    <t>INE095A16X10</t>
  </si>
  <si>
    <t>IndusInd Bank Ltd - 19/08/2025**</t>
  </si>
  <si>
    <t>INE238AD6884</t>
  </si>
  <si>
    <t>Axis Bank Ltd - 22/08/2025**</t>
  </si>
  <si>
    <t>INE040A16FY5</t>
  </si>
  <si>
    <t>HDFC Bank Ltd - 04/12/2025**</t>
  </si>
  <si>
    <t>INE556F16AY0</t>
  </si>
  <si>
    <t>Small Industries Development Bank of India - 13/01/2026**</t>
  </si>
  <si>
    <t>INE261F16975</t>
  </si>
  <si>
    <t>National Bank for Agriculture &amp; Rural Development - 10/03/2026**</t>
  </si>
  <si>
    <t>INE556F16BD2</t>
  </si>
  <si>
    <t>Small Industries Development Bank of India - 11/03/2026**</t>
  </si>
  <si>
    <t>INE514E14SL6</t>
  </si>
  <si>
    <t>Export Import Bank of India - 03/06/2025**</t>
  </si>
  <si>
    <t>INE790I14FT3</t>
  </si>
  <si>
    <t>HSBC InvestDirect Financial Services India Limited - 03/06/2025**</t>
  </si>
  <si>
    <t>INE115A14FF9</t>
  </si>
  <si>
    <t>LIC Housing Finance Ltd - 11/09/2025**</t>
  </si>
  <si>
    <t>IN002024Y324</t>
  </si>
  <si>
    <t>182 Days - T Bill - 23/05/2025</t>
  </si>
  <si>
    <t>Sundaram Medium Duration Fund</t>
  </si>
  <si>
    <t>IN0020210186</t>
  </si>
  <si>
    <t>5.74% Central Government Securities 15/11/2026</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</si>
  <si>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</si>
  <si>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</si>
  <si>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</si>
  <si>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</si>
  <si>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</si>
  <si>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</si>
  <si>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</si>
  <si>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</si>
  <si>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</si>
  <si>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</si>
  <si>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</si>
  <si>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</si>
  <si>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INE860A01027</t>
  </si>
  <si>
    <t>HCL Technologies Ltd</t>
  </si>
  <si>
    <t>It - Software</t>
  </si>
  <si>
    <t>INE009A01021</t>
  </si>
  <si>
    <t>Infosys Ltd</t>
  </si>
  <si>
    <t>INE238A01034</t>
  </si>
  <si>
    <t>Axis Bank Ltd</t>
  </si>
  <si>
    <t>INE062A01020</t>
  </si>
  <si>
    <t>State Bank of India</t>
  </si>
  <si>
    <t>INE154A01025</t>
  </si>
  <si>
    <t>ITC Ltd</t>
  </si>
  <si>
    <t>Diversified Fmcg</t>
  </si>
  <si>
    <t>INE237A01028</t>
  </si>
  <si>
    <t>Kotak Mahindra Bank Ltd</t>
  </si>
  <si>
    <t>INE481G01011</t>
  </si>
  <si>
    <t>Ultratech Cement Ltd</t>
  </si>
  <si>
    <t>Cement &amp; Cement Products</t>
  </si>
  <si>
    <t>INE018A01030</t>
  </si>
  <si>
    <t>Larsen &amp; Toubro Ltd</t>
  </si>
  <si>
    <t>Construction</t>
  </si>
  <si>
    <t>INE029A01011</t>
  </si>
  <si>
    <t>Bharat Petroleum Corporation Ltd</t>
  </si>
  <si>
    <t>INE797F01020</t>
  </si>
  <si>
    <t>Jubilant Foodworks Ltd</t>
  </si>
  <si>
    <t>Leisure Services</t>
  </si>
  <si>
    <t>INE196A01026</t>
  </si>
  <si>
    <t>Marico Ltd</t>
  </si>
  <si>
    <t>Agricultural Food &amp; Other Products</t>
  </si>
  <si>
    <t>INE854D01024</t>
  </si>
  <si>
    <t>United Spirits Ltd</t>
  </si>
  <si>
    <t>Beverages</t>
  </si>
  <si>
    <t>INE917I01010</t>
  </si>
  <si>
    <t>Bajaj Auto Ltd</t>
  </si>
  <si>
    <t>Automobiles</t>
  </si>
  <si>
    <t>INE540L01014</t>
  </si>
  <si>
    <t>Alkem Laboratories Ltd</t>
  </si>
  <si>
    <t>Pharmaceuticals &amp; Biotechnology</t>
  </si>
  <si>
    <t>INE047A01021</t>
  </si>
  <si>
    <t>Grasim Industries Ltd</t>
  </si>
  <si>
    <t>INE585B01010</t>
  </si>
  <si>
    <t>Maruti Suzuki India Ltd</t>
  </si>
  <si>
    <t>INE726G01019</t>
  </si>
  <si>
    <t>ICICI Prudential Life Insurance Company Ltd</t>
  </si>
  <si>
    <t>Insurance</t>
  </si>
  <si>
    <t>INE603J01030</t>
  </si>
  <si>
    <t>PI Industries Ltd</t>
  </si>
  <si>
    <t>Fertilizers &amp; Agrochemicals</t>
  </si>
  <si>
    <t>IN9397D01014</t>
  </si>
  <si>
    <t>IN0020240118</t>
  </si>
  <si>
    <t>7.09% Central Government Securities 05/08/2054</t>
  </si>
  <si>
    <t>Sundaram Overnight Fund</t>
  </si>
  <si>
    <t>IN002024Y274</t>
  </si>
  <si>
    <t>182 Days - T Bill - 17/04/2025</t>
  </si>
  <si>
    <t>IN002024Y266</t>
  </si>
  <si>
    <t>182 Days - T Bill - 10/04/2025</t>
  </si>
  <si>
    <t>Reverse Repo</t>
  </si>
  <si>
    <t>YTM (%)*</t>
  </si>
  <si>
    <t>Index</t>
  </si>
  <si>
    <t>Fortnightly Portfolio Statement as on 31 March 2025</t>
  </si>
  <si>
    <t>S. No.</t>
  </si>
  <si>
    <t>ACRONYM</t>
  </si>
  <si>
    <t>SCHEME NAME</t>
  </si>
  <si>
    <t>SFRLTP</t>
  </si>
  <si>
    <t>SFRSTP</t>
  </si>
  <si>
    <t>SMMF</t>
  </si>
  <si>
    <t>SPLDF</t>
  </si>
  <si>
    <t>SPMON</t>
  </si>
  <si>
    <t>SPSDF</t>
  </si>
  <si>
    <t>SPUSDF</t>
  </si>
  <si>
    <t>SUNBDS</t>
  </si>
  <si>
    <t>SUNMIA</t>
  </si>
  <si>
    <t>SUNONF</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</si>
  <si>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</si>
  <si>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</si>
  <si>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</si>
  <si>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</si>
  <si>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</si>
  <si>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</si>
  <si>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</si>
  <si>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</si>
  <si>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</si>
  <si>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</si>
  <si>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</si>
  <si>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</si>
  <si>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</si>
  <si>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</si>
  <si>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</si>
  <si>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</si>
  <si>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 xml:space="preserve">                    NIFTY Corporate Bond Index A-II</t>
  </si>
  <si>
    <t>d) IDCW declared during the period (Rupees per unit)</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</si>
  <si>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</si>
  <si>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</si>
  <si>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</si>
  <si>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</si>
  <si>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</si>
  <si>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Aggregate Investments by Other schemes of Sundaram Mutual Fund - Rs.42,956.19 Lakhs</t>
  </si>
  <si>
    <t xml:space="preserve">                    NIFTY Money Market Index A-I</t>
  </si>
  <si>
    <t>Refer below point i)</t>
  </si>
  <si>
    <t>Average Maturity  (years)</t>
  </si>
  <si>
    <t>ISIN</t>
  </si>
  <si>
    <t>NAME OF THE SECURITY</t>
  </si>
  <si>
    <t>VALUE OF THE SECURITY CONSIDERED UNDER NET RECEIVABLES</t>
  </si>
  <si>
    <t>% TO AUM</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</si>
  <si>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</si>
  <si>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</si>
  <si>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</si>
  <si>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</si>
  <si>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</si>
  <si>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</si>
  <si>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</si>
  <si>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 (Rs. in Lacs)</t>
  </si>
  <si>
    <t>Amount Recovered 30th Sep 2021</t>
  </si>
  <si>
    <t xml:space="preserve">Further amount received on 31-Aug-2024 </t>
  </si>
  <si>
    <t xml:space="preserve">Total settlement till date  </t>
  </si>
  <si>
    <t xml:space="preserve">PRINCIPAL </t>
  </si>
  <si>
    <t>Interest Accrued till 3rd June 2019</t>
  </si>
  <si>
    <t xml:space="preserve">Interest not accrued due to category by rating agency as default till maturity </t>
  </si>
  <si>
    <t xml:space="preserve">Total </t>
  </si>
  <si>
    <t>Amount Recovered - 06th Mar 2025</t>
  </si>
  <si>
    <t>Total settlement till date</t>
  </si>
  <si>
    <t xml:space="preserve">Total Cost  </t>
  </si>
  <si>
    <t xml:space="preserve">Discounting Charges / Interest accrued till maturity </t>
  </si>
  <si>
    <t>Total CP Outstanding</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</si>
  <si>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</si>
  <si>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</si>
  <si>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</si>
  <si>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</si>
  <si>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cash to the extent of Rs. 3.17 Crs which was credited to the respective schemes based on their exposure to this security.  Further as a part of the distribution we are going to receive INVITs amounting to Rs. 2 Crs having face value is Rs. 25,00,000 per unit shortly.</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</si>
  <si>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</si>
  <si>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</si>
  <si>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</si>
  <si>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</si>
  <si>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https://www.sundarammutual.com/pdf2/2025/Rationale_for_Valuation/Update_on_ILFS_Financial_Services_Recovery_06_03_2025.pdf</t>
  </si>
  <si>
    <t xml:space="preserve">              NIFTY Low Duration Debt Index A-I</t>
  </si>
  <si>
    <t>++ Aggregate Investments by Other schemes of Sundaram Mutual Fund - Rs.52,912.05 Lakhs</t>
  </si>
  <si>
    <t xml:space="preserve">                      NIFTY Liquid Index A-I</t>
  </si>
  <si>
    <t>9.05% Dewan Housing Finance Corporation Ltd-NCD-09/09/2019</t>
  </si>
  <si>
    <t>Dewan Housing Finance Corporation Ltd-9.10%-09/09/2019</t>
  </si>
  <si>
    <t>INE202B07654</t>
  </si>
  <si>
    <t>11.55%_Prev 11.45%-Dewan Housing Finance Corp Ltd-12/09/2019  ##</t>
  </si>
  <si>
    <t>9.10%-Dewan Housing Finance Corporation Ltd-16/08/2019 ##</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</si>
  <si>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</si>
  <si>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</si>
  <si>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</si>
  <si>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</si>
  <si>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</si>
  <si>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</si>
  <si>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</si>
  <si>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</si>
  <si>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</si>
  <si>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</si>
  <si>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</si>
  <si>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Interest Rate Swaps</t>
  </si>
  <si>
    <t>Interest Rate Swaps Pay Fix Receive Floating (11/12/2025) (FV 2500 Lacs)~</t>
  </si>
  <si>
    <t>#</t>
  </si>
  <si>
    <t>Interest Rate Swaps Pay Fix Receive Floating (06/03/2026) (FV 2500 Lacs)~</t>
  </si>
  <si>
    <t>Interest Rate Swaps Pay Fix Receive Floating (20/03/2026) (FV 2500 Lacs)~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</si>
  <si>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</si>
  <si>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</si>
  <si>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</si>
  <si>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</si>
  <si>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</si>
  <si>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</si>
  <si>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</si>
  <si>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</si>
  <si>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</si>
  <si>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</si>
  <si>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</si>
  <si>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</si>
  <si>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NABARD</t>
  </si>
  <si>
    <t xml:space="preserve">          NIFTY Ultra Short Duration Debt Index A-I</t>
  </si>
  <si>
    <t>REC Ltd</t>
  </si>
  <si>
    <t>Regular Plan - Quarterly IDCW</t>
  </si>
  <si>
    <t>INE528G08394</t>
  </si>
  <si>
    <t>9%-YES BANK LTD-NCD-Call opt-18/10/2022-Perpetual Bond $</t>
  </si>
  <si>
    <t>TOTAL AMOUNT INCLUDING INTEREST DUE TO THE SCHEME</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</si>
  <si>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</si>
  <si>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</si>
  <si>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</si>
  <si>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</si>
  <si>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INE0GGX23010</t>
  </si>
  <si>
    <t>Power Grid Infrastructure Investment Trust(InvIT)</t>
  </si>
  <si>
    <t>Power</t>
  </si>
  <si>
    <t>Bharti Airtel Ltd - Partly Paid Right Shares</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</si>
  <si>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</si>
  <si>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</si>
  <si>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</si>
  <si>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</si>
  <si>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</si>
  <si>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</si>
  <si>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</si>
  <si>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 xml:space="preserve">      CRISIL Hybrid 85 Plus 15 - Conservative Index</t>
  </si>
  <si>
    <t>Macaulay Duration (Days)</t>
  </si>
  <si>
    <t>Average Maturity (Days)</t>
  </si>
  <si>
    <t xml:space="preserve">                        NIFTY 1D Rate Index</t>
  </si>
  <si>
    <t>YTM (%)</t>
  </si>
  <si>
    <t>Direct Plan - Monthly IDCW</t>
  </si>
  <si>
    <t>Direct Plan - Quarterly IDCW</t>
  </si>
  <si>
    <t>Direct Plan - Halfyearly IDCW</t>
  </si>
  <si>
    <t>Direct Plan - Annual IDCW</t>
  </si>
  <si>
    <t>Regular Plan - Monthly IDCW</t>
  </si>
  <si>
    <t>Regular Plan - Halfyearly IDCW</t>
  </si>
  <si>
    <t>Regular Plan - Annual IDCW</t>
  </si>
  <si>
    <t>31-Mar-2025</t>
  </si>
  <si>
    <t>i) Exposure to securities classified as below investment grade or default as on 31-Mar-2025:-</t>
  </si>
  <si>
    <t>h)  Hedging Positions through Swaps as on 31-Mar-2025:-</t>
  </si>
  <si>
    <t>% to AUM as on  31-Mar-2025</t>
  </si>
  <si>
    <t>h) Exposure to securities classified as below investment grade or default as on 31-Mar-2025:-</t>
  </si>
  <si>
    <t>HDFC Bank Ltd - 27/05/2025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</si>
</sst>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 numFmtId="174" formatCode="dd\-mmm\-yyyy"/>
    <numFmt numFmtId="175" formatCode="[$-1014009]#,##0;\(#,##0\)"/>
    <numFmt numFmtId="176" formatCode="dd/mmm/yyyy"/>
  </numFmts>
  <fonts count="39" x14ac:knownFonts="1">
    <font>
      <sz val="10"/>
      <name val="Arial"/>
      <charset val="1"/>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family val="2"/>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sz val="10"/>
      <name val="Arial"/>
      <charset val="1"/>
    </font>
    <font>
      <b/>
      <sz val="11"/>
      <color theme="0"/>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
      <b/>
      <i/>
      <sz val="10"/>
      <color indexed="8"/>
      <name val="Calibri"/>
      <family val="2"/>
    </font>
    <font>
      <b/>
      <sz val="10"/>
      <color indexed="8"/>
      <name val="Calibri"/>
      <family val="2"/>
    </font>
    <font>
      <sz val="10"/>
      <name val="Calibri"/>
      <family val="2"/>
    </font>
    <font>
      <b/>
      <sz val="10"/>
      <name val="Calibri"/>
      <family val="2"/>
    </font>
    <font>
      <b/>
      <sz val="10"/>
      <name val="Arial"/>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1"/>
      <name val="Aptos Narrow"/>
      <family val="2"/>
      <scheme val="minor"/>
    </font>
    <font>
      <b/>
      <sz val="10"/>
      <color theme="1"/>
      <name val="Calibri"/>
      <family val="2"/>
    </font>
    <font>
      <sz val="10"/>
      <color theme="1"/>
      <name val="Calibri"/>
      <family val="2"/>
    </font>
    <font>
      <b/>
      <sz val="11"/>
      <name val="Aptos Narrow"/>
      <family val="2"/>
      <scheme val="minor"/>
    </font>
  </fonts>
  <fills count="2">
    <fill>
      <patternFill patternType="none"/>
    </fill>
    <fill>
      <patternFill patternType="gray125"/>
    </fill>
  </fills>
  <borders count="23">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alignment wrapText="1"/>
    </xf>
    <xf numFmtId="164" fontId="6" fillId="0" borderId="0" applyFont="0" applyFill="0" applyBorder="0" applyAlignment="0" applyProtection="0"/>
    <xf numFmtId="0" fontId="8" fillId="0" borderId="0" applyNumberFormat="0" applyFill="0" applyBorder="0" applyAlignment="0" applyProtection="0">
      <alignment wrapText="1"/>
    </xf>
    <xf numFmtId="9" fontId="11" fillId="0" borderId="0" applyFont="0" applyFill="0" applyBorder="0" applyAlignment="0" applyProtection="0"/>
    <xf numFmtId="0" fontId="1" fillId="0" borderId="0"/>
    <xf numFmtId="0" fontId="1" fillId="0" borderId="0"/>
    <xf numFmtId="0" fontId="6" fillId="0" borderId="0">
      <alignment wrapText="1"/>
    </xf>
    <xf numFmtId="164" fontId="6" fillId="0" borderId="0" applyFont="0" applyFill="0" applyBorder="0" applyAlignment="0" applyProtection="0"/>
    <xf numFmtId="9" fontId="26" fillId="0" borderId="0" applyFont="0" applyFill="0" applyBorder="0" applyAlignment="0" applyProtection="0"/>
    <xf numFmtId="0" fontId="1" fillId="0" borderId="0"/>
    <xf numFmtId="0" fontId="1" fillId="0" borderId="0"/>
  </cellStyleXfs>
  <cellXfs count="231">
    <xf numFmtId="0" fontId="0" fillId="0" borderId="0" xfId="0">
      <alignment wrapText="1"/>
    </xf>
    <xf numFmtId="0" fontId="9" fillId="0" borderId="0" xfId="2" applyFont="1" applyFill="1" applyBorder="1" applyAlignment="1">
      <alignment horizontal="center" vertical="center" wrapText="1"/>
    </xf>
    <xf numFmtId="0" fontId="14" fillId="0" borderId="7" xfId="4" applyFont="1" applyBorder="1" applyAlignment="1">
      <alignment horizontal="center"/>
    </xf>
    <xf numFmtId="0" fontId="15" fillId="0" borderId="7" xfId="4" applyFont="1" applyBorder="1" applyAlignment="1">
      <alignment horizontal="center" vertical="center"/>
    </xf>
    <xf numFmtId="0" fontId="16" fillId="0" borderId="0" xfId="5" applyFont="1"/>
    <xf numFmtId="0" fontId="16" fillId="0" borderId="7" xfId="4" applyFont="1" applyBorder="1" applyAlignment="1">
      <alignment horizontal="center"/>
    </xf>
    <xf numFmtId="0" fontId="17" fillId="0" borderId="7" xfId="2" applyFont="1" applyFill="1" applyBorder="1" applyAlignment="1">
      <alignment vertical="center"/>
    </xf>
    <xf numFmtId="0" fontId="18" fillId="0" borderId="7" xfId="4" applyFont="1" applyBorder="1" applyAlignment="1">
      <alignment vertical="top"/>
    </xf>
    <xf numFmtId="4" fontId="25" fillId="0" borderId="9" xfId="8" applyNumberFormat="1" applyFont="1" applyFill="1" applyBorder="1"/>
    <xf numFmtId="4" fontId="25" fillId="0" borderId="0" xfId="8" applyNumberFormat="1" applyFont="1" applyFill="1" applyBorder="1"/>
    <xf numFmtId="164" fontId="25" fillId="0" borderId="0" xfId="7" applyFont="1" applyFill="1" applyBorder="1"/>
    <xf numFmtId="4" fontId="25" fillId="0" borderId="7" xfId="8" applyNumberFormat="1" applyFont="1" applyFill="1" applyBorder="1"/>
    <xf numFmtId="0" fontId="7" fillId="0" borderId="7" xfId="0" applyFont="1" applyBorder="1" applyAlignment="1">
      <alignment horizontal="center" vertical="center" wrapText="1" readingOrder="1"/>
    </xf>
    <xf numFmtId="164" fontId="7" fillId="0" borderId="7" xfId="1" applyFont="1" applyFill="1" applyBorder="1" applyAlignment="1">
      <alignment horizontal="center" vertical="center" wrapText="1" readingOrder="1"/>
    </xf>
    <xf numFmtId="0" fontId="0" fillId="0" borderId="0" xfId="0" applyAlignment="1">
      <alignment horizontal="center" vertical="center" wrapText="1"/>
    </xf>
    <xf numFmtId="0" fontId="2" fillId="0" borderId="4" xfId="0" applyFont="1" applyBorder="1" applyAlignment="1">
      <alignment horizontal="right" vertical="top" wrapText="1" readingOrder="1"/>
    </xf>
    <xf numFmtId="0" fontId="3" fillId="0" borderId="4" xfId="0" applyFont="1" applyBorder="1" applyAlignment="1">
      <alignment horizontal="left" vertical="center" wrapText="1" readingOrder="1"/>
    </xf>
    <xf numFmtId="166" fontId="10" fillId="0" borderId="8" xfId="0" applyNumberFormat="1" applyFont="1" applyBorder="1" applyAlignment="1">
      <alignment horizontal="right" vertical="center" wrapText="1" readingOrder="1"/>
    </xf>
    <xf numFmtId="0" fontId="3" fillId="0" borderId="4" xfId="0"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7" fontId="2" fillId="0" borderId="4" xfId="0" applyNumberFormat="1" applyFont="1" applyBorder="1" applyAlignment="1">
      <alignment horizontal="right" vertical="center" wrapText="1" readingOrder="1"/>
    </xf>
    <xf numFmtId="0" fontId="2" fillId="0" borderId="4" xfId="0" applyFont="1" applyBorder="1" applyAlignment="1">
      <alignment horizontal="left" vertical="center" wrapText="1" readingOrder="1"/>
    </xf>
    <xf numFmtId="168" fontId="2" fillId="0" borderId="4" xfId="0" applyNumberFormat="1" applyFont="1" applyBorder="1" applyAlignment="1">
      <alignment horizontal="right" vertical="center" wrapText="1" readingOrder="1"/>
    </xf>
    <xf numFmtId="166" fontId="2" fillId="0" borderId="4" xfId="0" applyNumberFormat="1" applyFont="1" applyBorder="1" applyAlignment="1">
      <alignment horizontal="right" vertical="center" wrapText="1" readingOrder="1"/>
    </xf>
    <xf numFmtId="165" fontId="2" fillId="0" borderId="4" xfId="0" applyNumberFormat="1" applyFont="1" applyBorder="1" applyAlignment="1">
      <alignment horizontal="right" vertical="center" wrapText="1" readingOrder="1"/>
    </xf>
    <xf numFmtId="0" fontId="2" fillId="0" borderId="4" xfId="0" applyFont="1" applyBorder="1" applyAlignment="1">
      <alignment horizontal="right" vertical="center" wrapText="1" readingOrder="1"/>
    </xf>
    <xf numFmtId="170" fontId="3" fillId="0" borderId="4" xfId="0" applyNumberFormat="1" applyFont="1" applyBorder="1" applyAlignment="1">
      <alignment horizontal="right" vertical="center" wrapText="1" readingOrder="1"/>
    </xf>
    <xf numFmtId="0" fontId="19" fillId="0" borderId="5" xfId="0" applyFont="1" applyBorder="1" applyAlignment="1">
      <alignment horizontal="left" vertical="center" wrapText="1" readingOrder="1"/>
    </xf>
    <xf numFmtId="0" fontId="19" fillId="0" borderId="5" xfId="0" applyFont="1" applyBorder="1" applyAlignment="1">
      <alignment horizontal="right" vertical="center" wrapText="1" readingOrder="1"/>
    </xf>
    <xf numFmtId="0" fontId="19" fillId="0" borderId="0" xfId="0" applyFont="1" applyAlignment="1">
      <alignment horizontal="left" vertical="center" wrapText="1" readingOrder="1"/>
    </xf>
    <xf numFmtId="0" fontId="10" fillId="0" borderId="0" xfId="0" applyFont="1" applyAlignment="1">
      <alignment horizontal="left" vertical="center" wrapText="1" readingOrder="1"/>
    </xf>
    <xf numFmtId="0" fontId="19" fillId="0" borderId="0" xfId="0" applyFont="1" applyAlignment="1">
      <alignment horizontal="right" vertical="center" wrapText="1" readingOrder="1"/>
    </xf>
    <xf numFmtId="0" fontId="4" fillId="0" borderId="0" xfId="0" applyFont="1" applyAlignment="1">
      <alignment horizontal="left" vertical="center" wrapText="1" readingOrder="1"/>
    </xf>
    <xf numFmtId="0" fontId="4" fillId="0" borderId="6" xfId="0" applyFont="1" applyBorder="1" applyAlignment="1">
      <alignment horizontal="right" vertical="center" wrapText="1" readingOrder="1"/>
    </xf>
    <xf numFmtId="0" fontId="4" fillId="0" borderId="0" xfId="0" applyFont="1" applyAlignment="1">
      <alignment horizontal="right" vertical="center" wrapText="1" readingOrder="1"/>
    </xf>
    <xf numFmtId="0" fontId="10" fillId="0" borderId="0" xfId="0" applyFont="1" applyAlignment="1">
      <alignment horizontal="right" vertical="top" wrapText="1" readingOrder="1"/>
    </xf>
    <xf numFmtId="0" fontId="20" fillId="0" borderId="4" xfId="0" applyFont="1" applyBorder="1" applyAlignment="1">
      <alignment horizontal="right" vertical="top" wrapText="1" readingOrder="1"/>
    </xf>
    <xf numFmtId="0" fontId="20" fillId="0" borderId="4" xfId="0" applyFont="1" applyBorder="1" applyAlignment="1">
      <alignment horizontal="left" vertical="top" wrapText="1" readingOrder="1"/>
    </xf>
    <xf numFmtId="174" fontId="20" fillId="0" borderId="4" xfId="0" applyNumberFormat="1" applyFont="1" applyBorder="1" applyAlignment="1">
      <alignment horizontal="right" vertical="top" wrapText="1" readingOrder="1"/>
    </xf>
    <xf numFmtId="0" fontId="2" fillId="0" borderId="0" xfId="0" applyFont="1" applyAlignment="1">
      <alignment horizontal="right" vertical="top" wrapText="1" readingOrder="1"/>
    </xf>
    <xf numFmtId="171" fontId="2" fillId="0" borderId="4" xfId="0" applyNumberFormat="1" applyFont="1" applyBorder="1" applyAlignment="1">
      <alignment horizontal="right" vertical="center" wrapText="1" readingOrder="1"/>
    </xf>
    <xf numFmtId="0" fontId="2" fillId="0" borderId="0" xfId="0" applyFont="1" applyAlignment="1">
      <alignment horizontal="left" vertical="center" wrapText="1" readingOrder="1"/>
    </xf>
    <xf numFmtId="0" fontId="2" fillId="0" borderId="0" xfId="0" applyFont="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172" fontId="2" fillId="0" borderId="4" xfId="0" applyNumberFormat="1" applyFont="1" applyBorder="1" applyAlignment="1">
      <alignment horizontal="right" vertical="center" wrapText="1" readingOrder="1"/>
    </xf>
    <xf numFmtId="0" fontId="2" fillId="0" borderId="5" xfId="0" applyFont="1" applyBorder="1" applyAlignment="1">
      <alignment horizontal="left" vertical="center" wrapText="1" readingOrder="1"/>
    </xf>
    <xf numFmtId="0" fontId="3" fillId="0" borderId="5" xfId="0" applyFont="1" applyBorder="1" applyAlignment="1">
      <alignment horizontal="left" vertical="center" wrapText="1" readingOrder="1"/>
    </xf>
    <xf numFmtId="0" fontId="20" fillId="0" borderId="4" xfId="0" applyFont="1" applyBorder="1" applyAlignment="1">
      <alignment horizontal="left" vertical="center" wrapText="1" readingOrder="1"/>
    </xf>
    <xf numFmtId="0" fontId="10" fillId="0" borderId="6" xfId="0" applyFont="1" applyBorder="1" applyAlignment="1">
      <alignment horizontal="right" vertical="top" wrapText="1" readingOrder="1"/>
    </xf>
    <xf numFmtId="0" fontId="6" fillId="0" borderId="0" xfId="6">
      <alignment wrapText="1"/>
    </xf>
    <xf numFmtId="0" fontId="0" fillId="0" borderId="0" xfId="0" applyAlignment="1">
      <alignment horizontal="center" vertical="top" readingOrder="1"/>
    </xf>
    <xf numFmtId="0" fontId="21" fillId="0" borderId="0" xfId="0" applyFont="1" applyAlignment="1">
      <alignment vertical="center" wrapText="1"/>
    </xf>
    <xf numFmtId="0" fontId="0" fillId="0" borderId="0" xfId="0" applyAlignment="1">
      <alignment vertical="center" wrapText="1"/>
    </xf>
    <xf numFmtId="0" fontId="22" fillId="0" borderId="9" xfId="0" applyFont="1" applyBorder="1" applyAlignment="1">
      <alignment horizontal="center" vertical="center" wrapText="1"/>
    </xf>
    <xf numFmtId="0" fontId="21" fillId="0" borderId="9" xfId="0" applyFont="1" applyBorder="1" applyAlignment="1">
      <alignment vertical="center" wrapText="1"/>
    </xf>
    <xf numFmtId="0" fontId="21" fillId="0" borderId="9" xfId="0" applyFont="1" applyBorder="1" applyAlignment="1">
      <alignment horizontal="justify" vertical="center" wrapText="1"/>
    </xf>
    <xf numFmtId="173" fontId="20" fillId="0" borderId="4" xfId="0" applyNumberFormat="1" applyFont="1" applyBorder="1" applyAlignment="1">
      <alignment horizontal="left" vertical="center" wrapText="1" readingOrder="1"/>
    </xf>
    <xf numFmtId="175" fontId="20" fillId="0" borderId="4" xfId="0" applyNumberFormat="1" applyFont="1" applyBorder="1" applyAlignment="1">
      <alignment horizontal="left" vertical="center" wrapText="1" readingOrder="1"/>
    </xf>
    <xf numFmtId="175" fontId="20" fillId="0" borderId="4" xfId="0" quotePrefix="1" applyNumberFormat="1" applyFont="1" applyBorder="1" applyAlignment="1">
      <alignment horizontal="left" vertical="center" wrapText="1" readingOrder="1"/>
    </xf>
    <xf numFmtId="164" fontId="0" fillId="0" borderId="0" xfId="7" applyFont="1" applyFill="1" applyAlignment="1">
      <alignment wrapText="1"/>
    </xf>
    <xf numFmtId="0" fontId="23" fillId="0" borderId="0" xfId="0" applyFont="1">
      <alignment wrapText="1"/>
    </xf>
    <xf numFmtId="0" fontId="23" fillId="0" borderId="0" xfId="0" applyFont="1" applyAlignment="1"/>
    <xf numFmtId="0" fontId="0" fillId="0" borderId="0" xfId="0" applyAlignment="1"/>
    <xf numFmtId="167" fontId="10" fillId="0" borderId="4" xfId="0" applyNumberFormat="1" applyFont="1" applyBorder="1" applyAlignment="1">
      <alignment horizontal="right" vertical="center" wrapText="1" readingOrder="1"/>
    </xf>
    <xf numFmtId="0" fontId="10" fillId="0" borderId="4" xfId="0" applyFont="1" applyBorder="1" applyAlignment="1">
      <alignment horizontal="left" vertical="center" wrapText="1" readingOrder="1"/>
    </xf>
    <xf numFmtId="168" fontId="10" fillId="0" borderId="4" xfId="0" applyNumberFormat="1" applyFont="1" applyBorder="1" applyAlignment="1">
      <alignment horizontal="right" vertical="center" wrapText="1" readingOrder="1"/>
    </xf>
    <xf numFmtId="166" fontId="10" fillId="0" borderId="4" xfId="0" applyNumberFormat="1" applyFont="1" applyBorder="1" applyAlignment="1">
      <alignment horizontal="right" vertical="center" wrapText="1" readingOrder="1"/>
    </xf>
    <xf numFmtId="165" fontId="10" fillId="0" borderId="4" xfId="0" applyNumberFormat="1" applyFont="1" applyBorder="1" applyAlignment="1">
      <alignment horizontal="right" vertical="center" wrapText="1" readingOrder="1"/>
    </xf>
    <xf numFmtId="166" fontId="10" fillId="0" borderId="9" xfId="0" applyNumberFormat="1" applyFont="1" applyBorder="1" applyAlignment="1">
      <alignment horizontal="right" vertical="center" wrapText="1" readingOrder="1"/>
    </xf>
    <xf numFmtId="0" fontId="23" fillId="0" borderId="0" xfId="0" applyFont="1" applyAlignment="1">
      <alignment horizontal="center" vertical="center" wrapText="1"/>
    </xf>
    <xf numFmtId="0" fontId="10" fillId="0" borderId="4" xfId="0" applyFont="1" applyBorder="1" applyAlignment="1">
      <alignment horizontal="right" vertical="top" wrapText="1" readingOrder="1"/>
    </xf>
    <xf numFmtId="0" fontId="19" fillId="0" borderId="4" xfId="0" applyFont="1" applyBorder="1" applyAlignment="1">
      <alignment horizontal="left" vertical="center" wrapText="1" readingOrder="1"/>
    </xf>
    <xf numFmtId="0" fontId="19" fillId="0" borderId="4" xfId="0" applyFont="1" applyBorder="1" applyAlignment="1">
      <alignment horizontal="right" vertical="center" wrapText="1" readingOrder="1"/>
    </xf>
    <xf numFmtId="0" fontId="21" fillId="0" borderId="0" xfId="0" applyFont="1">
      <alignment wrapText="1"/>
    </xf>
    <xf numFmtId="169" fontId="10" fillId="0" borderId="4" xfId="0" applyNumberFormat="1" applyFont="1" applyBorder="1" applyAlignment="1">
      <alignment horizontal="right" vertical="center" wrapText="1" readingOrder="1"/>
    </xf>
    <xf numFmtId="166" fontId="20" fillId="0" borderId="4" xfId="0" applyNumberFormat="1" applyFont="1" applyBorder="1" applyAlignment="1">
      <alignment horizontal="right" vertical="center" wrapText="1" readingOrder="1"/>
    </xf>
    <xf numFmtId="165" fontId="20" fillId="0" borderId="4" xfId="0" applyNumberFormat="1" applyFont="1" applyBorder="1" applyAlignment="1">
      <alignment horizontal="right" vertical="center" wrapText="1" readingOrder="1"/>
    </xf>
    <xf numFmtId="14" fontId="21" fillId="0" borderId="9" xfId="0" quotePrefix="1" applyNumberFormat="1" applyFont="1" applyBorder="1" applyAlignment="1">
      <alignment horizontal="justify" vertical="center" wrapText="1"/>
    </xf>
    <xf numFmtId="0" fontId="24" fillId="0" borderId="9" xfId="4" applyFont="1" applyBorder="1" applyAlignment="1">
      <alignment horizontal="center" vertical="center"/>
    </xf>
    <xf numFmtId="0" fontId="24" fillId="0" borderId="9" xfId="4" applyFont="1" applyBorder="1" applyAlignment="1">
      <alignment horizontal="center" vertical="center" wrapText="1"/>
    </xf>
    <xf numFmtId="0" fontId="6" fillId="0" borderId="0" xfId="6" applyAlignment="1">
      <alignment vertical="center" wrapText="1"/>
    </xf>
    <xf numFmtId="0" fontId="25" fillId="0" borderId="9" xfId="4" applyFont="1" applyBorder="1" applyAlignment="1">
      <alignment vertical="center"/>
    </xf>
    <xf numFmtId="0" fontId="25" fillId="0" borderId="9" xfId="4" applyFont="1" applyBorder="1" applyAlignment="1">
      <alignment wrapText="1"/>
    </xf>
    <xf numFmtId="0" fontId="25" fillId="0" borderId="9" xfId="4" applyFont="1" applyBorder="1"/>
    <xf numFmtId="0" fontId="24" fillId="0" borderId="9" xfId="4" applyFont="1" applyBorder="1" applyAlignment="1">
      <alignment horizontal="center"/>
    </xf>
    <xf numFmtId="4" fontId="25" fillId="0" borderId="9" xfId="4" applyNumberFormat="1" applyFont="1" applyBorder="1"/>
    <xf numFmtId="2" fontId="25" fillId="0" borderId="9" xfId="4" applyNumberFormat="1" applyFont="1" applyBorder="1"/>
    <xf numFmtId="4" fontId="6" fillId="0" borderId="9" xfId="6" applyNumberFormat="1" applyBorder="1">
      <alignment wrapText="1"/>
    </xf>
    <xf numFmtId="0" fontId="27" fillId="0" borderId="0" xfId="0" applyFont="1" applyAlignment="1"/>
    <xf numFmtId="0" fontId="8" fillId="0" borderId="0" xfId="2" applyFill="1" applyAlignment="1"/>
    <xf numFmtId="0" fontId="10" fillId="0" borderId="5" xfId="0" applyFont="1" applyBorder="1" applyAlignment="1">
      <alignment horizontal="left" vertical="center" wrapText="1" readingOrder="1"/>
    </xf>
    <xf numFmtId="0" fontId="20" fillId="0" borderId="5" xfId="0" applyFont="1" applyBorder="1" applyAlignment="1">
      <alignment horizontal="left" vertical="center" wrapText="1" readingOrder="1"/>
    </xf>
    <xf numFmtId="0" fontId="10" fillId="0" borderId="0" xfId="0" applyFont="1" applyAlignment="1">
      <alignment horizontal="right" vertical="center" wrapText="1" readingOrder="1"/>
    </xf>
    <xf numFmtId="0" fontId="12" fillId="0" borderId="0" xfId="10" applyFont="1" applyAlignment="1">
      <alignment horizontal="center" vertical="center"/>
    </xf>
    <xf numFmtId="0" fontId="1" fillId="0" borderId="0" xfId="10" applyAlignment="1">
      <alignment wrapText="1"/>
    </xf>
    <xf numFmtId="4" fontId="13" fillId="0" borderId="0" xfId="10" applyNumberFormat="1" applyFont="1"/>
    <xf numFmtId="0" fontId="35" fillId="0" borderId="0" xfId="10" applyFont="1" applyAlignment="1">
      <alignment wrapText="1"/>
    </xf>
    <xf numFmtId="0" fontId="36" fillId="0" borderId="9" xfId="10" applyFont="1" applyBorder="1" applyAlignment="1">
      <alignment horizontal="center" vertical="center"/>
    </xf>
    <xf numFmtId="0" fontId="36" fillId="0" borderId="0" xfId="10" applyFont="1" applyAlignment="1">
      <alignment horizontal="center" vertical="center"/>
    </xf>
    <xf numFmtId="0" fontId="37" fillId="0" borderId="9" xfId="10" applyFont="1" applyBorder="1" applyAlignment="1">
      <alignment vertical="center"/>
    </xf>
    <xf numFmtId="0" fontId="37" fillId="0" borderId="9" xfId="10" applyFont="1" applyBorder="1" applyAlignment="1">
      <alignment vertical="center" wrapText="1"/>
    </xf>
    <xf numFmtId="0" fontId="37" fillId="0" borderId="0" xfId="10" applyFont="1" applyAlignment="1">
      <alignment horizontal="center" vertical="center"/>
    </xf>
    <xf numFmtId="0" fontId="36" fillId="0" borderId="9" xfId="10" applyFont="1" applyBorder="1" applyAlignment="1">
      <alignment horizontal="center" vertical="center" wrapText="1"/>
    </xf>
    <xf numFmtId="0" fontId="38" fillId="0" borderId="0" xfId="10" applyFont="1" applyAlignment="1">
      <alignment horizontal="center" vertical="center"/>
    </xf>
    <xf numFmtId="0" fontId="37" fillId="0" borderId="9" xfId="10" applyFont="1" applyBorder="1" applyAlignment="1">
      <alignment horizontal="left" vertical="center"/>
    </xf>
    <xf numFmtId="4" fontId="37" fillId="0" borderId="9" xfId="10" applyNumberFormat="1" applyFont="1" applyBorder="1" applyAlignment="1">
      <alignment horizontal="right" vertical="center"/>
    </xf>
    <xf numFmtId="10" fontId="37" fillId="0" borderId="9" xfId="8" applyNumberFormat="1" applyFont="1" applyFill="1" applyBorder="1" applyAlignment="1">
      <alignment vertical="center"/>
    </xf>
    <xf numFmtId="164" fontId="35" fillId="0" borderId="0" xfId="7" applyFont="1" applyFill="1" applyAlignment="1">
      <alignment vertical="center"/>
    </xf>
    <xf numFmtId="164" fontId="37" fillId="0" borderId="0" xfId="7" applyFont="1" applyFill="1" applyAlignment="1">
      <alignment horizontal="center" vertical="center"/>
    </xf>
    <xf numFmtId="10" fontId="0" fillId="0" borderId="0" xfId="3" applyNumberFormat="1" applyFont="1" applyFill="1" applyAlignment="1">
      <alignment wrapText="1"/>
    </xf>
    <xf numFmtId="0" fontId="19" fillId="0" borderId="9" xfId="0" applyFont="1" applyBorder="1" applyAlignment="1">
      <alignment horizontal="left" vertical="center" wrapText="1" readingOrder="1"/>
    </xf>
    <xf numFmtId="0" fontId="28" fillId="0" borderId="9" xfId="0" applyFont="1" applyBorder="1">
      <alignment wrapText="1"/>
    </xf>
    <xf numFmtId="0" fontId="19" fillId="0" borderId="9" xfId="0" applyFont="1" applyBorder="1" applyAlignment="1">
      <alignment horizontal="right" vertical="center" wrapText="1" readingOrder="1"/>
    </xf>
    <xf numFmtId="0" fontId="0" fillId="0" borderId="9" xfId="0" applyBorder="1">
      <alignment wrapText="1"/>
    </xf>
    <xf numFmtId="0" fontId="29" fillId="0" borderId="9" xfId="0" applyFont="1" applyBorder="1">
      <alignment wrapText="1"/>
    </xf>
    <xf numFmtId="168" fontId="10" fillId="0" borderId="9" xfId="0" applyNumberFormat="1" applyFont="1" applyBorder="1" applyAlignment="1">
      <alignment horizontal="right" vertical="center" wrapText="1" readingOrder="1"/>
    </xf>
    <xf numFmtId="165" fontId="10" fillId="0" borderId="9" xfId="0" applyNumberFormat="1" applyFont="1" applyBorder="1" applyAlignment="1">
      <alignment horizontal="right" vertical="center" wrapText="1" readingOrder="1"/>
    </xf>
    <xf numFmtId="0" fontId="27" fillId="0" borderId="0" xfId="9" applyFont="1"/>
    <xf numFmtId="0" fontId="0" fillId="0" borderId="0" xfId="0" applyAlignment="1">
      <alignment horizontal="center" vertical="center"/>
    </xf>
    <xf numFmtId="0" fontId="30" fillId="0" borderId="7" xfId="0" applyFont="1" applyBorder="1" applyAlignment="1">
      <alignment horizontal="center" vertical="center" wrapText="1"/>
    </xf>
    <xf numFmtId="0" fontId="31" fillId="0" borderId="7" xfId="0" applyFont="1" applyBorder="1" applyAlignment="1">
      <alignment horizontal="center" vertical="center" wrapText="1"/>
    </xf>
    <xf numFmtId="10" fontId="0" fillId="0" borderId="0" xfId="3" applyNumberFormat="1" applyFont="1" applyFill="1" applyAlignment="1">
      <alignment horizontal="center" vertical="center" wrapText="1"/>
    </xf>
    <xf numFmtId="0" fontId="0" fillId="0" borderId="0" xfId="0" applyAlignment="1">
      <alignment vertical="center"/>
    </xf>
    <xf numFmtId="0" fontId="32" fillId="0" borderId="7" xfId="0" applyFont="1" applyBorder="1" applyAlignment="1">
      <alignment vertical="center"/>
    </xf>
    <xf numFmtId="0" fontId="33" fillId="0" borderId="7" xfId="0" applyFont="1" applyBorder="1" applyAlignment="1">
      <alignment vertical="center" wrapText="1"/>
    </xf>
    <xf numFmtId="0" fontId="33" fillId="0" borderId="7" xfId="0" applyFont="1" applyBorder="1" applyAlignment="1">
      <alignment vertical="center"/>
    </xf>
    <xf numFmtId="164" fontId="32" fillId="0" borderId="7" xfId="7" applyFont="1" applyFill="1" applyBorder="1" applyAlignment="1">
      <alignment vertical="center"/>
    </xf>
    <xf numFmtId="176" fontId="32" fillId="0" borderId="7" xfId="0" applyNumberFormat="1" applyFont="1" applyBorder="1" applyAlignment="1">
      <alignment vertical="center"/>
    </xf>
    <xf numFmtId="10" fontId="0" fillId="0" borderId="0" xfId="3" applyNumberFormat="1" applyFont="1" applyFill="1" applyAlignment="1">
      <alignment vertical="center" wrapText="1"/>
    </xf>
    <xf numFmtId="10" fontId="34" fillId="0" borderId="0" xfId="3" applyNumberFormat="1" applyFont="1" applyFill="1" applyAlignment="1"/>
    <xf numFmtId="0" fontId="34" fillId="0" borderId="0" xfId="0" applyFont="1" applyAlignment="1"/>
    <xf numFmtId="0" fontId="22" fillId="0" borderId="0" xfId="0" applyFont="1" applyAlignment="1">
      <alignment vertical="center" readingOrder="1"/>
    </xf>
    <xf numFmtId="0" fontId="24" fillId="0" borderId="7" xfId="4" applyFont="1" applyBorder="1" applyAlignment="1">
      <alignment horizontal="center" vertical="center" wrapText="1"/>
    </xf>
    <xf numFmtId="0" fontId="25" fillId="0" borderId="7" xfId="4" applyFont="1" applyBorder="1"/>
    <xf numFmtId="0" fontId="25" fillId="0" borderId="7" xfId="4" applyFont="1" applyBorder="1" applyAlignment="1">
      <alignment wrapText="1"/>
    </xf>
    <xf numFmtId="4" fontId="21" fillId="0" borderId="7" xfId="0" applyNumberFormat="1" applyFont="1" applyBorder="1" applyAlignment="1">
      <alignment vertical="center"/>
    </xf>
    <xf numFmtId="164" fontId="25" fillId="0" borderId="7" xfId="7" applyFont="1" applyFill="1" applyBorder="1"/>
    <xf numFmtId="43" fontId="25" fillId="0" borderId="7" xfId="4" applyNumberFormat="1" applyFont="1" applyBorder="1"/>
    <xf numFmtId="0" fontId="25" fillId="0" borderId="0" xfId="4" applyFont="1"/>
    <xf numFmtId="0" fontId="25" fillId="0" borderId="0" xfId="4" applyFont="1" applyAlignment="1">
      <alignment wrapText="1"/>
    </xf>
    <xf numFmtId="4" fontId="21" fillId="0" borderId="0" xfId="0" applyNumberFormat="1" applyFont="1" applyAlignment="1">
      <alignment vertical="center"/>
    </xf>
    <xf numFmtId="43" fontId="25" fillId="0" borderId="0" xfId="4" applyNumberFormat="1" applyFont="1"/>
    <xf numFmtId="0" fontId="22" fillId="0" borderId="7" xfId="0" applyFont="1" applyBorder="1" applyAlignment="1">
      <alignment horizontal="center" vertical="center" wrapText="1"/>
    </xf>
    <xf numFmtId="0" fontId="21" fillId="0" borderId="7" xfId="0" applyFont="1" applyBorder="1" applyAlignment="1">
      <alignment vertical="center" wrapText="1"/>
    </xf>
    <xf numFmtId="0" fontId="21" fillId="0" borderId="7" xfId="0" applyFont="1" applyBorder="1" applyAlignment="1">
      <alignment horizontal="justify" vertical="center" wrapText="1"/>
    </xf>
    <xf numFmtId="0" fontId="27" fillId="0" borderId="0" xfId="0" applyFont="1" applyAlignment="1">
      <alignment horizontal="left" vertical="top" readingOrder="1"/>
    </xf>
    <xf numFmtId="164" fontId="25" fillId="0" borderId="9" xfId="7" applyFont="1" applyFill="1" applyBorder="1"/>
    <xf numFmtId="43" fontId="25" fillId="0" borderId="9" xfId="4" applyNumberFormat="1" applyFont="1" applyBorder="1"/>
    <xf numFmtId="4" fontId="25" fillId="0" borderId="0" xfId="4" applyNumberFormat="1" applyFont="1"/>
    <xf numFmtId="4" fontId="21" fillId="0" borderId="9" xfId="0" applyNumberFormat="1" applyFont="1" applyBorder="1" applyAlignment="1">
      <alignment vertical="center"/>
    </xf>
    <xf numFmtId="0" fontId="20" fillId="0" borderId="0" xfId="0" applyFont="1" applyAlignment="1">
      <alignment horizontal="left" vertical="center" wrapText="1" readingOrder="1"/>
    </xf>
    <xf numFmtId="0" fontId="19" fillId="0" borderId="0" xfId="6" applyFont="1" applyAlignment="1">
      <alignment horizontal="left" vertical="center" wrapText="1" readingOrder="1"/>
    </xf>
    <xf numFmtId="0" fontId="20" fillId="0" borderId="9" xfId="0" applyFont="1" applyBorder="1" applyAlignment="1">
      <alignment horizontal="center" vertical="center" wrapText="1" readingOrder="1"/>
    </xf>
    <xf numFmtId="0" fontId="7" fillId="0" borderId="7" xfId="0" applyFont="1" applyBorder="1" applyAlignment="1">
      <alignment horizontal="center" vertical="center" wrapText="1" readingOrder="1"/>
    </xf>
    <xf numFmtId="0" fontId="3" fillId="0" borderId="1" xfId="0" applyFont="1" applyBorder="1" applyAlignment="1">
      <alignment horizontal="left" vertical="center" wrapText="1" readingOrder="1"/>
    </xf>
    <xf numFmtId="0" fontId="3" fillId="0" borderId="2"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2" fillId="0" borderId="3" xfId="0" applyFont="1" applyBorder="1" applyAlignment="1">
      <alignment horizontal="left" vertical="center" wrapText="1" readingOrder="1"/>
    </xf>
    <xf numFmtId="0" fontId="10" fillId="0" borderId="1" xfId="0" applyFont="1" applyBorder="1" applyAlignment="1">
      <alignment horizontal="left" vertical="center" wrapText="1" readingOrder="1"/>
    </xf>
    <xf numFmtId="0" fontId="10" fillId="0" borderId="3" xfId="0" applyFont="1" applyBorder="1" applyAlignment="1">
      <alignment horizontal="left" vertical="center" wrapText="1" readingOrder="1"/>
    </xf>
    <xf numFmtId="0" fontId="10" fillId="0" borderId="0" xfId="0" applyFont="1" applyAlignment="1">
      <alignment horizontal="left" vertical="center" wrapText="1" readingOrder="1"/>
    </xf>
    <xf numFmtId="0" fontId="22" fillId="0" borderId="10" xfId="0" applyFont="1" applyBorder="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10" fillId="0" borderId="9" xfId="0" applyFont="1" applyBorder="1" applyAlignment="1">
      <alignment horizontal="left" vertical="center" wrapText="1" readingOrder="1"/>
    </xf>
    <xf numFmtId="0" fontId="10" fillId="0" borderId="10" xfId="0" applyFont="1" applyBorder="1" applyAlignment="1">
      <alignment horizontal="left" vertical="center" wrapText="1" readingOrder="1"/>
    </xf>
    <xf numFmtId="0" fontId="10" fillId="0" borderId="12" xfId="0" applyFont="1" applyBorder="1" applyAlignment="1">
      <alignment horizontal="left" vertical="center" wrapText="1" readingOrder="1"/>
    </xf>
    <xf numFmtId="0" fontId="10" fillId="0" borderId="11" xfId="0" applyFont="1" applyBorder="1" applyAlignment="1">
      <alignment horizontal="left" vertical="center" wrapText="1" readingOrder="1"/>
    </xf>
    <xf numFmtId="0" fontId="20" fillId="0" borderId="10" xfId="0" applyFont="1" applyBorder="1" applyAlignment="1">
      <alignment horizontal="center" vertical="center" wrapText="1" readingOrder="1"/>
    </xf>
    <xf numFmtId="0" fontId="20" fillId="0" borderId="12" xfId="0" applyFont="1" applyBorder="1" applyAlignment="1">
      <alignment horizontal="center" vertical="center" wrapText="1" readingOrder="1"/>
    </xf>
    <xf numFmtId="0" fontId="10" fillId="0" borderId="0" xfId="6" quotePrefix="1" applyFont="1" applyAlignment="1">
      <alignment horizontal="left" vertical="center" wrapText="1" readingOrder="1"/>
    </xf>
    <xf numFmtId="0" fontId="10" fillId="0" borderId="0" xfId="6" applyFont="1" applyAlignment="1">
      <alignment horizontal="left" vertical="center" wrapText="1" readingOrder="1"/>
    </xf>
    <xf numFmtId="0" fontId="10" fillId="0" borderId="13" xfId="0" applyFont="1" applyBorder="1" applyAlignment="1">
      <alignment horizontal="left" vertical="center" wrapText="1" readingOrder="1"/>
    </xf>
    <xf numFmtId="0" fontId="24" fillId="0" borderId="9" xfId="4" applyFont="1" applyBorder="1" applyAlignment="1">
      <alignment horizontal="center" wrapText="1"/>
    </xf>
    <xf numFmtId="0" fontId="24" fillId="0" borderId="9" xfId="4" applyFont="1" applyBorder="1" applyAlignment="1">
      <alignment horizontal="center"/>
    </xf>
    <xf numFmtId="164" fontId="25" fillId="0" borderId="9" xfId="7" applyFont="1" applyFill="1" applyBorder="1" applyAlignment="1">
      <alignment horizontal="center"/>
    </xf>
    <xf numFmtId="0" fontId="25" fillId="0" borderId="9" xfId="4" applyFont="1" applyBorder="1" applyAlignment="1">
      <alignment horizontal="center"/>
    </xf>
    <xf numFmtId="0" fontId="25" fillId="0" borderId="0" xfId="4" applyFont="1" applyAlignment="1">
      <alignment horizontal="left" vertical="center" wrapText="1"/>
    </xf>
    <xf numFmtId="0" fontId="24" fillId="0" borderId="14" xfId="4" applyFont="1" applyBorder="1" applyAlignment="1">
      <alignment horizontal="center" vertical="center" wrapText="1"/>
    </xf>
    <xf numFmtId="0" fontId="24" fillId="0" borderId="8" xfId="4" applyFont="1" applyBorder="1" applyAlignment="1">
      <alignment horizontal="center" vertical="center" wrapText="1"/>
    </xf>
    <xf numFmtId="0" fontId="24" fillId="0" borderId="14" xfId="4" applyFont="1" applyBorder="1" applyAlignment="1">
      <alignment horizontal="center" vertical="center"/>
    </xf>
    <xf numFmtId="0" fontId="24" fillId="0" borderId="17" xfId="4" applyFont="1" applyBorder="1" applyAlignment="1">
      <alignment horizontal="center" vertical="center"/>
    </xf>
    <xf numFmtId="0" fontId="24" fillId="0" borderId="8" xfId="4" applyFont="1" applyBorder="1" applyAlignment="1">
      <alignment horizontal="center" vertical="center"/>
    </xf>
    <xf numFmtId="0" fontId="24" fillId="0" borderId="10" xfId="4" applyFont="1" applyBorder="1" applyAlignment="1">
      <alignment horizontal="center" vertical="center"/>
    </xf>
    <xf numFmtId="0" fontId="24" fillId="0" borderId="11" xfId="4" applyFont="1" applyBorder="1" applyAlignment="1">
      <alignment horizontal="center" vertical="center"/>
    </xf>
    <xf numFmtId="0" fontId="24" fillId="0" borderId="12" xfId="4" applyFont="1" applyBorder="1" applyAlignment="1">
      <alignment horizontal="center" vertical="center"/>
    </xf>
    <xf numFmtId="0" fontId="24" fillId="0" borderId="15" xfId="4" applyFont="1" applyBorder="1" applyAlignment="1">
      <alignment horizontal="center" vertical="center" wrapText="1"/>
    </xf>
    <xf numFmtId="0" fontId="24" fillId="0" borderId="16" xfId="4" applyFont="1" applyBorder="1" applyAlignment="1">
      <alignment horizontal="center" vertical="center" wrapText="1"/>
    </xf>
    <xf numFmtId="0" fontId="24" fillId="0" borderId="18" xfId="4" applyFont="1" applyBorder="1" applyAlignment="1">
      <alignment horizontal="center" vertical="center" wrapText="1"/>
    </xf>
    <xf numFmtId="0" fontId="24" fillId="0" borderId="19" xfId="4" applyFont="1" applyBorder="1" applyAlignment="1">
      <alignment horizontal="center" vertical="center" wrapText="1"/>
    </xf>
    <xf numFmtId="0" fontId="24" fillId="0" borderId="17" xfId="4" applyFont="1" applyBorder="1" applyAlignment="1">
      <alignment horizontal="center" vertical="center" wrapText="1"/>
    </xf>
    <xf numFmtId="0" fontId="24" fillId="0" borderId="9" xfId="4" applyFont="1" applyBorder="1" applyAlignment="1">
      <alignment horizontal="center" vertical="center"/>
    </xf>
    <xf numFmtId="0" fontId="24" fillId="0" borderId="9" xfId="4" applyFont="1" applyBorder="1" applyAlignment="1">
      <alignment horizontal="center" vertical="center" wrapText="1"/>
    </xf>
    <xf numFmtId="0" fontId="10" fillId="0" borderId="0" xfId="0" quotePrefix="1" applyFont="1" applyAlignment="1">
      <alignment horizontal="left" vertical="center" wrapText="1" readingOrder="1"/>
    </xf>
    <xf numFmtId="0" fontId="27" fillId="0" borderId="0" xfId="0" applyFont="1" applyAlignment="1">
      <alignment horizontal="left" vertical="top" readingOrder="1"/>
    </xf>
    <xf numFmtId="0" fontId="24" fillId="0" borderId="10" xfId="4" applyFont="1" applyBorder="1" applyAlignment="1">
      <alignment horizontal="center" wrapText="1"/>
    </xf>
    <xf numFmtId="0" fontId="24" fillId="0" borderId="11" xfId="4" applyFont="1" applyBorder="1" applyAlignment="1">
      <alignment horizontal="center" wrapText="1"/>
    </xf>
    <xf numFmtId="0" fontId="24" fillId="0" borderId="12" xfId="4" applyFont="1" applyBorder="1" applyAlignment="1">
      <alignment horizontal="center" wrapText="1"/>
    </xf>
    <xf numFmtId="0" fontId="24" fillId="0" borderId="10" xfId="4" applyFont="1" applyBorder="1" applyAlignment="1">
      <alignment horizontal="center"/>
    </xf>
    <xf numFmtId="0" fontId="24" fillId="0" borderId="12" xfId="4" applyFont="1" applyBorder="1" applyAlignment="1">
      <alignment horizontal="center"/>
    </xf>
    <xf numFmtId="164" fontId="25" fillId="0" borderId="10" xfId="7" applyFont="1" applyFill="1" applyBorder="1" applyAlignment="1">
      <alignment horizontal="center"/>
    </xf>
    <xf numFmtId="164" fontId="25" fillId="0" borderId="11" xfId="7" applyFont="1" applyFill="1" applyBorder="1" applyAlignment="1">
      <alignment horizontal="center"/>
    </xf>
    <xf numFmtId="164" fontId="25" fillId="0" borderId="12" xfId="7" applyFont="1" applyFill="1" applyBorder="1" applyAlignment="1">
      <alignment horizontal="center"/>
    </xf>
    <xf numFmtId="0" fontId="25" fillId="0" borderId="0" xfId="4" applyFont="1" applyAlignment="1">
      <alignment horizontal="center"/>
    </xf>
    <xf numFmtId="0" fontId="24" fillId="0" borderId="0" xfId="4" applyFont="1" applyAlignment="1">
      <alignment horizontal="center"/>
    </xf>
    <xf numFmtId="0" fontId="10" fillId="0" borderId="0" xfId="0" applyFont="1" applyAlignment="1">
      <alignment horizontal="justify" vertical="top" wrapText="1" readingOrder="1"/>
    </xf>
    <xf numFmtId="0" fontId="22" fillId="0" borderId="20" xfId="0" applyFont="1" applyBorder="1" applyAlignment="1">
      <alignment horizontal="center" vertical="center"/>
    </xf>
    <xf numFmtId="0" fontId="22" fillId="0" borderId="21" xfId="0" applyFont="1" applyBorder="1" applyAlignment="1">
      <alignment horizontal="center" vertical="center"/>
    </xf>
    <xf numFmtId="0" fontId="22" fillId="0" borderId="22" xfId="0" applyFont="1" applyBorder="1" applyAlignment="1">
      <alignment horizontal="center" vertical="center"/>
    </xf>
    <xf numFmtId="0" fontId="20" fillId="0" borderId="7" xfId="0" applyFont="1" applyBorder="1" applyAlignment="1">
      <alignment horizontal="center" vertical="center" wrapText="1" readingOrder="1"/>
    </xf>
    <xf numFmtId="0" fontId="10" fillId="0" borderId="7" xfId="0" applyFont="1" applyBorder="1" applyAlignment="1">
      <alignment horizontal="left" vertical="center" wrapText="1" readingOrder="1"/>
    </xf>
    <xf numFmtId="0" fontId="22" fillId="0" borderId="10" xfId="0" applyFont="1" applyBorder="1" applyAlignment="1">
      <alignment horizontal="left" vertical="center" readingOrder="1"/>
    </xf>
    <xf numFmtId="0" fontId="22" fillId="0" borderId="11" xfId="0" applyFont="1" applyBorder="1" applyAlignment="1">
      <alignment horizontal="left" vertical="center" readingOrder="1"/>
    </xf>
    <xf numFmtId="0" fontId="22" fillId="0" borderId="12" xfId="0" applyFont="1" applyBorder="1" applyAlignment="1">
      <alignment horizontal="left" vertical="center" readingOrder="1"/>
    </xf>
    <xf numFmtId="0" fontId="36" fillId="0" borderId="10" xfId="10" applyFont="1" applyBorder="1" applyAlignment="1">
      <alignment horizontal="center" vertical="center" wrapText="1"/>
    </xf>
    <xf numFmtId="0" fontId="36" fillId="0" borderId="12" xfId="10" applyFont="1" applyBorder="1" applyAlignment="1">
      <alignment horizontal="center" vertical="center" wrapText="1"/>
    </xf>
    <xf numFmtId="0" fontId="36" fillId="0" borderId="9" xfId="10" applyFont="1" applyBorder="1" applyAlignment="1">
      <alignment horizontal="center" vertical="center"/>
    </xf>
    <xf numFmtId="164" fontId="37" fillId="0" borderId="10" xfId="7" applyFont="1" applyFill="1" applyBorder="1" applyAlignment="1">
      <alignment horizontal="center" vertical="center"/>
    </xf>
    <xf numFmtId="164" fontId="37" fillId="0" borderId="12" xfId="7" applyFont="1" applyFill="1" applyBorder="1" applyAlignment="1">
      <alignment horizontal="center" vertical="center"/>
    </xf>
    <xf numFmtId="0" fontId="36" fillId="0" borderId="10" xfId="10" applyFont="1" applyBorder="1" applyAlignment="1">
      <alignment horizontal="center" vertical="center"/>
    </xf>
    <xf numFmtId="0" fontId="36" fillId="0" borderId="11" xfId="10" applyFont="1" applyBorder="1" applyAlignment="1">
      <alignment horizontal="center" vertical="center"/>
    </xf>
    <xf numFmtId="0" fontId="36" fillId="0" borderId="12" xfId="10" applyFont="1" applyBorder="1" applyAlignment="1">
      <alignment horizontal="center" vertical="center"/>
    </xf>
    <xf numFmtId="0" fontId="37" fillId="0" borderId="10" xfId="10" applyFont="1" applyBorder="1" applyAlignment="1">
      <alignment horizontal="left" vertical="center" wrapText="1"/>
    </xf>
    <xf numFmtId="0" fontId="37" fillId="0" borderId="11" xfId="10" applyFont="1" applyBorder="1" applyAlignment="1">
      <alignment horizontal="left" vertical="center" wrapText="1"/>
    </xf>
    <xf numFmtId="0" fontId="37" fillId="0" borderId="12" xfId="10" applyFont="1" applyBorder="1" applyAlignment="1">
      <alignment horizontal="left" vertical="center" wrapText="1"/>
    </xf>
    <xf numFmtId="0" fontId="27" fillId="0" borderId="9" xfId="0" applyFont="1" applyBorder="1" applyAlignment="1">
      <alignment horizontal="left" vertical="top" readingOrder="1"/>
    </xf>
  </cellXfs>
  <cellStyles count="11">
    <cellStyle name="Comma 2" xfId="7" xr:uid="{49CFAF7E-5534-4F76-B7A0-B90C38399EE0}"/>
    <cellStyle name="Comma 3" xfId="1" xr:uid="{88E3C9BE-2BC5-4AFC-B9AB-D4D5E6A44FA7}"/>
    <cellStyle name="Hyperlink 2" xfId="2" xr:uid="{1E913247-82BD-49CD-B7FD-8E68D9EC8014}"/>
    <cellStyle name="Normal" xfId="0" builtinId="0"/>
    <cellStyle name="Normal 2 2 2" xfId="4" xr:uid="{6B8D37BC-1C95-4D3D-8087-DB8774F73F42}"/>
    <cellStyle name="Normal 2 2 3" xfId="10" xr:uid="{06BE4C9A-CEB8-4E6C-9633-05DADF96F9C4}"/>
    <cellStyle name="Normal 2 3" xfId="5" xr:uid="{F798744E-72ED-486D-8FA3-7B683DA5C9EE}"/>
    <cellStyle name="Normal 3" xfId="6" xr:uid="{4DBBB8AF-3574-4172-A5AE-4037F9AE7A95}"/>
    <cellStyle name="Normal 4" xfId="9" xr:uid="{5E4B5E05-58BD-4A0F-8A7D-57F2E4B5FBF7}"/>
    <cellStyle name="Percent" xfId="3" builtinId="5"/>
    <cellStyle name="Percent 2" xfId="8" xr:uid="{C638000E-6FF3-405D-8F05-D31150F9E8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151</xdr:row>
      <xdr:rowOff>0</xdr:rowOff>
    </xdr:from>
    <xdr:to>
      <xdr:col>2</xdr:col>
      <xdr:colOff>1770823</xdr:colOff>
      <xdr:row>152</xdr:row>
      <xdr:rowOff>27375</xdr:rowOff>
    </xdr:to>
    <xdr:pic>
      <xdr:nvPicPr>
        <xdr:cNvPr id="4" name="Picture 3">
          <a:extLst>
            <a:ext uri="{FF2B5EF4-FFF2-40B4-BE49-F238E27FC236}">
              <a16:creationId xmlns:a16="http://schemas.microsoft.com/office/drawing/2014/main" id="{7147B229-F2D4-4849-B143-88CEBFD1AF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5943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57151</xdr:colOff>
      <xdr:row>156</xdr:row>
      <xdr:rowOff>180976</xdr:rowOff>
    </xdr:from>
    <xdr:to>
      <xdr:col>2</xdr:col>
      <xdr:colOff>2110290</xdr:colOff>
      <xdr:row>157</xdr:row>
      <xdr:rowOff>65476</xdr:rowOff>
    </xdr:to>
    <xdr:pic>
      <xdr:nvPicPr>
        <xdr:cNvPr id="5" name="Picture 4">
          <a:extLst>
            <a:ext uri="{FF2B5EF4-FFF2-40B4-BE49-F238E27FC236}">
              <a16:creationId xmlns:a16="http://schemas.microsoft.com/office/drawing/2014/main" id="{38D1D5DC-040A-4784-9E7F-3432109FC6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676" y="3337560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141</xdr:row>
      <xdr:rowOff>0</xdr:rowOff>
    </xdr:from>
    <xdr:to>
      <xdr:col>2</xdr:col>
      <xdr:colOff>1704148</xdr:colOff>
      <xdr:row>142</xdr:row>
      <xdr:rowOff>27375</xdr:rowOff>
    </xdr:to>
    <xdr:pic>
      <xdr:nvPicPr>
        <xdr:cNvPr id="4" name="Picture 3">
          <a:extLst>
            <a:ext uri="{FF2B5EF4-FFF2-40B4-BE49-F238E27FC236}">
              <a16:creationId xmlns:a16="http://schemas.microsoft.com/office/drawing/2014/main" id="{3C30C350-56E0-4706-9F2D-05850E36B9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18435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146</xdr:row>
      <xdr:rowOff>0</xdr:rowOff>
    </xdr:from>
    <xdr:to>
      <xdr:col>2</xdr:col>
      <xdr:colOff>1819276</xdr:colOff>
      <xdr:row>146</xdr:row>
      <xdr:rowOff>1980000</xdr:rowOff>
    </xdr:to>
    <xdr:pic>
      <xdr:nvPicPr>
        <xdr:cNvPr id="5" name="Picture 4">
          <a:extLst>
            <a:ext uri="{FF2B5EF4-FFF2-40B4-BE49-F238E27FC236}">
              <a16:creationId xmlns:a16="http://schemas.microsoft.com/office/drawing/2014/main" id="{E3DC2ADC-8291-4C04-9F8A-6DD54EB3B67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6" y="29784675"/>
          <a:ext cx="32194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160</xdr:row>
      <xdr:rowOff>133350</xdr:rowOff>
    </xdr:from>
    <xdr:to>
      <xdr:col>2</xdr:col>
      <xdr:colOff>1957889</xdr:colOff>
      <xdr:row>161</xdr:row>
      <xdr:rowOff>1951425</xdr:rowOff>
    </xdr:to>
    <xdr:pic>
      <xdr:nvPicPr>
        <xdr:cNvPr id="4" name="Picture 3">
          <a:extLst>
            <a:ext uri="{FF2B5EF4-FFF2-40B4-BE49-F238E27FC236}">
              <a16:creationId xmlns:a16="http://schemas.microsoft.com/office/drawing/2014/main" id="{04A22B6E-BF4D-481A-A62C-B15D2CC6BD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319182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155</xdr:row>
      <xdr:rowOff>152400</xdr:rowOff>
    </xdr:from>
    <xdr:to>
      <xdr:col>2</xdr:col>
      <xdr:colOff>1976939</xdr:colOff>
      <xdr:row>157</xdr:row>
      <xdr:rowOff>17850</xdr:rowOff>
    </xdr:to>
    <xdr:pic>
      <xdr:nvPicPr>
        <xdr:cNvPr id="5" name="Picture 4">
          <a:extLst>
            <a:ext uri="{FF2B5EF4-FFF2-40B4-BE49-F238E27FC236}">
              <a16:creationId xmlns:a16="http://schemas.microsoft.com/office/drawing/2014/main" id="{B09F4B95-B947-4C62-8153-9BCBEED623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 y="293370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186</xdr:row>
      <xdr:rowOff>114300</xdr:rowOff>
    </xdr:from>
    <xdr:to>
      <xdr:col>2</xdr:col>
      <xdr:colOff>1910264</xdr:colOff>
      <xdr:row>186</xdr:row>
      <xdr:rowOff>2094300</xdr:rowOff>
    </xdr:to>
    <xdr:pic>
      <xdr:nvPicPr>
        <xdr:cNvPr id="4" name="Picture 3">
          <a:extLst>
            <a:ext uri="{FF2B5EF4-FFF2-40B4-BE49-F238E27FC236}">
              <a16:creationId xmlns:a16="http://schemas.microsoft.com/office/drawing/2014/main" id="{A764E09A-0E13-4CCE-AE9E-4D0D897D36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0" y="395763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181</xdr:row>
      <xdr:rowOff>0</xdr:rowOff>
    </xdr:from>
    <xdr:to>
      <xdr:col>2</xdr:col>
      <xdr:colOff>1885950</xdr:colOff>
      <xdr:row>182</xdr:row>
      <xdr:rowOff>27375</xdr:rowOff>
    </xdr:to>
    <xdr:pic>
      <xdr:nvPicPr>
        <xdr:cNvPr id="5" name="Picture 4">
          <a:extLst>
            <a:ext uri="{FF2B5EF4-FFF2-40B4-BE49-F238E27FC236}">
              <a16:creationId xmlns:a16="http://schemas.microsoft.com/office/drawing/2014/main" id="{86D0F21C-1E3C-4882-B25F-6A56E839856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8625" y="37023675"/>
          <a:ext cx="33337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202</xdr:row>
      <xdr:rowOff>0</xdr:rowOff>
    </xdr:from>
    <xdr:to>
      <xdr:col>2</xdr:col>
      <xdr:colOff>1910264</xdr:colOff>
      <xdr:row>203</xdr:row>
      <xdr:rowOff>27375</xdr:rowOff>
    </xdr:to>
    <xdr:pic>
      <xdr:nvPicPr>
        <xdr:cNvPr id="4" name="Picture 3">
          <a:extLst>
            <a:ext uri="{FF2B5EF4-FFF2-40B4-BE49-F238E27FC236}">
              <a16:creationId xmlns:a16="http://schemas.microsoft.com/office/drawing/2014/main" id="{9E2ECF09-707B-4F14-BE0E-4A6586C9FB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76523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207</xdr:row>
      <xdr:rowOff>0</xdr:rowOff>
    </xdr:from>
    <xdr:to>
      <xdr:col>2</xdr:col>
      <xdr:colOff>1910264</xdr:colOff>
      <xdr:row>207</xdr:row>
      <xdr:rowOff>1980000</xdr:rowOff>
    </xdr:to>
    <xdr:pic>
      <xdr:nvPicPr>
        <xdr:cNvPr id="5" name="Picture 4">
          <a:extLst>
            <a:ext uri="{FF2B5EF4-FFF2-40B4-BE49-F238E27FC236}">
              <a16:creationId xmlns:a16="http://schemas.microsoft.com/office/drawing/2014/main" id="{5628C56E-7447-4370-95E6-CA2DCD5B75B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02526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2</xdr:col>
      <xdr:colOff>1770823</xdr:colOff>
      <xdr:row>176</xdr:row>
      <xdr:rowOff>27375</xdr:rowOff>
    </xdr:to>
    <xdr:pic>
      <xdr:nvPicPr>
        <xdr:cNvPr id="4" name="Picture 3">
          <a:extLst>
            <a:ext uri="{FF2B5EF4-FFF2-40B4-BE49-F238E27FC236}">
              <a16:creationId xmlns:a16="http://schemas.microsoft.com/office/drawing/2014/main" id="{598F5497-C829-4ABF-A5A7-11CB3B5B25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689985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180</xdr:row>
      <xdr:rowOff>0</xdr:rowOff>
    </xdr:from>
    <xdr:to>
      <xdr:col>2</xdr:col>
      <xdr:colOff>2053139</xdr:colOff>
      <xdr:row>180</xdr:row>
      <xdr:rowOff>1980000</xdr:rowOff>
    </xdr:to>
    <xdr:pic>
      <xdr:nvPicPr>
        <xdr:cNvPr id="5" name="Picture 4">
          <a:extLst>
            <a:ext uri="{FF2B5EF4-FFF2-40B4-BE49-F238E27FC236}">
              <a16:creationId xmlns:a16="http://schemas.microsoft.com/office/drawing/2014/main" id="{55CEF079-251C-4269-BC27-C6752CF7CB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95001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202</xdr:row>
      <xdr:rowOff>0</xdr:rowOff>
    </xdr:from>
    <xdr:to>
      <xdr:col>2</xdr:col>
      <xdr:colOff>1805489</xdr:colOff>
      <xdr:row>202</xdr:row>
      <xdr:rowOff>1980000</xdr:rowOff>
    </xdr:to>
    <xdr:pic>
      <xdr:nvPicPr>
        <xdr:cNvPr id="4" name="Picture 3">
          <a:extLst>
            <a:ext uri="{FF2B5EF4-FFF2-40B4-BE49-F238E27FC236}">
              <a16:creationId xmlns:a16="http://schemas.microsoft.com/office/drawing/2014/main" id="{5DF84228-1FE4-49BD-A431-59A54AFC5C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29101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196</xdr:row>
      <xdr:rowOff>0</xdr:rowOff>
    </xdr:from>
    <xdr:to>
      <xdr:col>2</xdr:col>
      <xdr:colOff>1523173</xdr:colOff>
      <xdr:row>197</xdr:row>
      <xdr:rowOff>27375</xdr:rowOff>
    </xdr:to>
    <xdr:pic>
      <xdr:nvPicPr>
        <xdr:cNvPr id="5" name="Picture 4">
          <a:extLst>
            <a:ext uri="{FF2B5EF4-FFF2-40B4-BE49-F238E27FC236}">
              <a16:creationId xmlns:a16="http://schemas.microsoft.com/office/drawing/2014/main" id="{E7B49C58-2E61-40F8-AD1D-EBDB4831ADD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998595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135</xdr:row>
      <xdr:rowOff>0</xdr:rowOff>
    </xdr:from>
    <xdr:to>
      <xdr:col>2</xdr:col>
      <xdr:colOff>1646998</xdr:colOff>
      <xdr:row>136</xdr:row>
      <xdr:rowOff>27375</xdr:rowOff>
    </xdr:to>
    <xdr:pic>
      <xdr:nvPicPr>
        <xdr:cNvPr id="4" name="Picture 3">
          <a:extLst>
            <a:ext uri="{FF2B5EF4-FFF2-40B4-BE49-F238E27FC236}">
              <a16:creationId xmlns:a16="http://schemas.microsoft.com/office/drawing/2014/main" id="{1857DF08-E166-4F2A-9B54-020D91C56B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67081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140</xdr:row>
      <xdr:rowOff>38101</xdr:rowOff>
    </xdr:from>
    <xdr:to>
      <xdr:col>2</xdr:col>
      <xdr:colOff>1938840</xdr:colOff>
      <xdr:row>140</xdr:row>
      <xdr:rowOff>2018101</xdr:rowOff>
    </xdr:to>
    <xdr:pic>
      <xdr:nvPicPr>
        <xdr:cNvPr id="5" name="Picture 4">
          <a:extLst>
            <a:ext uri="{FF2B5EF4-FFF2-40B4-BE49-F238E27FC236}">
              <a16:creationId xmlns:a16="http://schemas.microsoft.com/office/drawing/2014/main" id="{67449CCD-3F5A-4C2C-AC72-3E4171CE983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29346526"/>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161</xdr:row>
      <xdr:rowOff>0</xdr:rowOff>
    </xdr:from>
    <xdr:to>
      <xdr:col>2</xdr:col>
      <xdr:colOff>2114550</xdr:colOff>
      <xdr:row>162</xdr:row>
      <xdr:rowOff>28576</xdr:rowOff>
    </xdr:to>
    <xdr:pic>
      <xdr:nvPicPr>
        <xdr:cNvPr id="4" name="Picture 3">
          <a:extLst>
            <a:ext uri="{FF2B5EF4-FFF2-40B4-BE49-F238E27FC236}">
              <a16:creationId xmlns:a16="http://schemas.microsoft.com/office/drawing/2014/main" id="{2217F33B-EB27-4F47-95D6-F1239019D4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908750"/>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166</xdr:row>
      <xdr:rowOff>0</xdr:rowOff>
    </xdr:from>
    <xdr:to>
      <xdr:col>2</xdr:col>
      <xdr:colOff>2013955</xdr:colOff>
      <xdr:row>166</xdr:row>
      <xdr:rowOff>1980000</xdr:rowOff>
    </xdr:to>
    <xdr:pic>
      <xdr:nvPicPr>
        <xdr:cNvPr id="5" name="Picture 4">
          <a:extLst>
            <a:ext uri="{FF2B5EF4-FFF2-40B4-BE49-F238E27FC236}">
              <a16:creationId xmlns:a16="http://schemas.microsoft.com/office/drawing/2014/main" id="{C1C71DEF-681E-4529-BA07-C2CB15535A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45090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116</xdr:row>
      <xdr:rowOff>161924</xdr:rowOff>
    </xdr:from>
    <xdr:to>
      <xdr:col>2</xdr:col>
      <xdr:colOff>2007898</xdr:colOff>
      <xdr:row>117</xdr:row>
      <xdr:rowOff>1979999</xdr:rowOff>
    </xdr:to>
    <xdr:pic>
      <xdr:nvPicPr>
        <xdr:cNvPr id="4" name="Picture 3">
          <a:extLst>
            <a:ext uri="{FF2B5EF4-FFF2-40B4-BE49-F238E27FC236}">
              <a16:creationId xmlns:a16="http://schemas.microsoft.com/office/drawing/2014/main" id="{BB5BA4B1-79F2-49DD-A6FB-AC4535E907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945599"/>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112</xdr:row>
      <xdr:rowOff>0</xdr:rowOff>
    </xdr:from>
    <xdr:to>
      <xdr:col>2</xdr:col>
      <xdr:colOff>1930275</xdr:colOff>
      <xdr:row>113</xdr:row>
      <xdr:rowOff>25899</xdr:rowOff>
    </xdr:to>
    <xdr:pic>
      <xdr:nvPicPr>
        <xdr:cNvPr id="5" name="Picture 4">
          <a:extLst>
            <a:ext uri="{FF2B5EF4-FFF2-40B4-BE49-F238E27FC236}">
              <a16:creationId xmlns:a16="http://schemas.microsoft.com/office/drawing/2014/main" id="{1491EB1D-D713-4A68-A509-59ABCC0202C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90525" y="19345275"/>
          <a:ext cx="3387600" cy="197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1908A-DB73-4739-9EDA-22435A1FDAE9}">
  <dimension ref="A1:C11"/>
  <sheetViews>
    <sheetView tabSelected="1" workbookViewId="0"/>
  </sheetViews>
  <sheetFormatPr defaultColWidth="8.85546875" defaultRowHeight="15" x14ac:dyDescent="0.25"/>
  <cols>
    <col min="1" max="1" width="6.140625" style="4" bestFit="1" customWidth="1"/>
    <col min="2" max="2" width="10.85546875" style="4" bestFit="1" customWidth="1"/>
    <col min="3" max="3" width="35" style="4" bestFit="1" customWidth="1"/>
    <col min="4" max="16384" width="8.85546875" style="4"/>
  </cols>
  <sheetData>
    <row r="1" spans="1:3" x14ac:dyDescent="0.25">
      <c r="A1" s="2" t="s">
        <v>533</v>
      </c>
      <c r="B1" s="3" t="s">
        <v>534</v>
      </c>
      <c r="C1" s="3" t="s">
        <v>535</v>
      </c>
    </row>
    <row r="2" spans="1:3" x14ac:dyDescent="0.25">
      <c r="A2" s="5">
        <v>1</v>
      </c>
      <c r="B2" s="6" t="s">
        <v>536</v>
      </c>
      <c r="C2" s="7" t="s">
        <v>1</v>
      </c>
    </row>
    <row r="3" spans="1:3" x14ac:dyDescent="0.25">
      <c r="A3" s="5">
        <v>2</v>
      </c>
      <c r="B3" s="6" t="s">
        <v>537</v>
      </c>
      <c r="C3" s="7" t="s">
        <v>120</v>
      </c>
    </row>
    <row r="4" spans="1:3" x14ac:dyDescent="0.25">
      <c r="A4" s="5">
        <v>3</v>
      </c>
      <c r="B4" s="6" t="s">
        <v>538</v>
      </c>
      <c r="C4" s="7" t="s">
        <v>150</v>
      </c>
    </row>
    <row r="5" spans="1:3" x14ac:dyDescent="0.25">
      <c r="A5" s="5">
        <v>4</v>
      </c>
      <c r="B5" s="6" t="s">
        <v>539</v>
      </c>
      <c r="C5" s="7" t="s">
        <v>230</v>
      </c>
    </row>
    <row r="6" spans="1:3" x14ac:dyDescent="0.25">
      <c r="A6" s="5">
        <v>5</v>
      </c>
      <c r="B6" s="6" t="s">
        <v>540</v>
      </c>
      <c r="C6" s="7" t="s">
        <v>276</v>
      </c>
    </row>
    <row r="7" spans="1:3" x14ac:dyDescent="0.25">
      <c r="A7" s="5">
        <v>6</v>
      </c>
      <c r="B7" s="6" t="s">
        <v>541</v>
      </c>
      <c r="C7" s="7" t="s">
        <v>413</v>
      </c>
    </row>
    <row r="8" spans="1:3" x14ac:dyDescent="0.25">
      <c r="A8" s="5">
        <v>7</v>
      </c>
      <c r="B8" s="6" t="s">
        <v>542</v>
      </c>
      <c r="C8" s="7" t="s">
        <v>428</v>
      </c>
    </row>
    <row r="9" spans="1:3" x14ac:dyDescent="0.25">
      <c r="A9" s="5">
        <v>8</v>
      </c>
      <c r="B9" s="6" t="s">
        <v>543</v>
      </c>
      <c r="C9" s="7" t="s">
        <v>459</v>
      </c>
    </row>
    <row r="10" spans="1:3" x14ac:dyDescent="0.25">
      <c r="A10" s="5">
        <v>9</v>
      </c>
      <c r="B10" s="6" t="s">
        <v>544</v>
      </c>
      <c r="C10" s="7" t="s">
        <v>462</v>
      </c>
    </row>
    <row r="11" spans="1:3" x14ac:dyDescent="0.25">
      <c r="A11" s="5">
        <v>10</v>
      </c>
      <c r="B11" s="6" t="s">
        <v>545</v>
      </c>
      <c r="C11" s="7" t="s">
        <v>524</v>
      </c>
    </row>
  </sheetData>
  <hyperlinks>
    <hyperlink ref="B3" location="SFRSTP!A1" display="SFRSTP" xr:uid="{75BD55D9-C33E-435F-93D8-9BB8DDA414E7}"/>
    <hyperlink ref="B4" location="SMMF!A1" display="SMMF" xr:uid="{14C0B1A3-B67F-4625-AC08-90B20D4C01F0}"/>
    <hyperlink ref="B5" location="SPLDF!A1" display="SPLDF" xr:uid="{160168A2-D9D2-4E28-8373-C7034ED077EC}"/>
    <hyperlink ref="B6" location="SPMON!A1" display="SPMON" xr:uid="{5BA32A70-097D-4813-A0F6-8AD8E11E55E5}"/>
    <hyperlink ref="B7" location="SPSDF!A1" display="SPSDF" xr:uid="{424AFD72-7F2E-4D9E-BB3E-C36F44D10821}"/>
    <hyperlink ref="B8" location="SPUSDF!A1" display="SPUSDF" xr:uid="{F24E2968-4182-40E2-880C-0E6F735CB5EC}"/>
    <hyperlink ref="B9" location="SUNBDS!A1" display="SUNBDS" xr:uid="{5A95C04A-8965-4D6B-BEF4-740E85AD630F}"/>
    <hyperlink ref="B10" location="SUNMIA!A1" display="SUNMIA" xr:uid="{EAD9E748-D348-4ACB-856F-648E2E28413F}"/>
    <hyperlink ref="B11" location="SUNONF!A1" display="SUNONF" xr:uid="{8F223D74-92E6-470A-B264-1795223F6003}"/>
    <hyperlink ref="B2" location="SFRLTP!A1" display="SFRLTP" xr:uid="{56744B7E-ADEE-4490-AF7F-67DAF656243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7269-F27B-4611-96E1-DFB1A18369FC}">
  <sheetPr>
    <outlinePr summaryBelow="0" summaryRight="0"/>
  </sheetPr>
  <dimension ref="A1:Q166"/>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1.28515625" bestFit="1" customWidth="1"/>
    <col min="5" max="5" width="9.42578125" bestFit="1" customWidth="1"/>
    <col min="6" max="6" width="10.140625" bestFit="1" customWidth="1"/>
    <col min="7" max="7" width="14" bestFit="1" customWidth="1"/>
    <col min="8" max="8" width="9.42578125" customWidth="1"/>
  </cols>
  <sheetData>
    <row r="1" spans="1:9" ht="15" x14ac:dyDescent="0.2">
      <c r="A1" s="157" t="s">
        <v>0</v>
      </c>
      <c r="B1" s="157"/>
      <c r="C1" s="157"/>
      <c r="D1" s="157"/>
      <c r="E1" s="157"/>
      <c r="F1" s="157"/>
      <c r="G1" s="157"/>
      <c r="H1" s="157"/>
      <c r="I1" s="1" t="s">
        <v>531</v>
      </c>
    </row>
    <row r="2" spans="1:9" ht="15" x14ac:dyDescent="0.2">
      <c r="A2" s="157" t="s">
        <v>1</v>
      </c>
      <c r="B2" s="157"/>
      <c r="C2" s="157"/>
      <c r="D2" s="157"/>
      <c r="E2" s="157"/>
      <c r="F2" s="157"/>
      <c r="G2" s="157"/>
      <c r="H2" s="157"/>
    </row>
    <row r="3" spans="1:9" ht="15" x14ac:dyDescent="0.2">
      <c r="A3" s="157" t="s">
        <v>532</v>
      </c>
      <c r="B3" s="157"/>
      <c r="C3" s="157"/>
      <c r="D3" s="157"/>
      <c r="E3" s="157"/>
      <c r="F3" s="157"/>
      <c r="G3" s="157"/>
      <c r="H3" s="157"/>
    </row>
    <row r="4" spans="1:9" s="14" customFormat="1" ht="30" x14ac:dyDescent="0.2">
      <c r="A4" s="12" t="s">
        <v>2</v>
      </c>
      <c r="B4" s="12" t="s">
        <v>3</v>
      </c>
      <c r="C4" s="12" t="s">
        <v>4</v>
      </c>
      <c r="D4" s="12" t="s">
        <v>5</v>
      </c>
      <c r="E4" s="12" t="s">
        <v>6</v>
      </c>
      <c r="F4" s="12" t="s">
        <v>7</v>
      </c>
      <c r="G4" s="12" t="s">
        <v>8</v>
      </c>
      <c r="H4" s="13" t="s">
        <v>530</v>
      </c>
    </row>
    <row r="5" spans="1:9" x14ac:dyDescent="0.2">
      <c r="A5" s="15"/>
      <c r="B5" s="15"/>
      <c r="C5" s="16" t="s">
        <v>9</v>
      </c>
      <c r="D5" s="15"/>
      <c r="E5" s="15"/>
      <c r="F5" s="15"/>
      <c r="G5" s="15"/>
      <c r="H5" s="17" t="s">
        <v>12</v>
      </c>
    </row>
    <row r="6" spans="1:9" x14ac:dyDescent="0.2">
      <c r="A6" s="15"/>
      <c r="B6" s="15"/>
      <c r="C6" s="16" t="s">
        <v>10</v>
      </c>
      <c r="D6" s="15"/>
      <c r="E6" s="15"/>
      <c r="F6" s="15"/>
      <c r="G6" s="15"/>
      <c r="H6" s="17" t="s">
        <v>12</v>
      </c>
    </row>
    <row r="7" spans="1:9" x14ac:dyDescent="0.2">
      <c r="A7" s="15"/>
      <c r="B7" s="15"/>
      <c r="C7" s="16" t="s">
        <v>11</v>
      </c>
      <c r="D7" s="15"/>
      <c r="E7" s="15" t="s">
        <v>12</v>
      </c>
      <c r="F7" s="18" t="s">
        <v>13</v>
      </c>
      <c r="G7" s="19">
        <v>0</v>
      </c>
      <c r="H7" s="17" t="s">
        <v>12</v>
      </c>
    </row>
    <row r="8" spans="1:9" x14ac:dyDescent="0.2">
      <c r="A8" s="15"/>
      <c r="B8" s="15"/>
      <c r="C8" s="20"/>
      <c r="D8" s="15"/>
      <c r="E8" s="15"/>
      <c r="F8" s="21"/>
      <c r="G8" s="21"/>
      <c r="H8" s="17" t="s">
        <v>12</v>
      </c>
    </row>
    <row r="9" spans="1:9" x14ac:dyDescent="0.2">
      <c r="A9" s="15"/>
      <c r="B9" s="15"/>
      <c r="C9" s="16" t="s">
        <v>14</v>
      </c>
      <c r="D9" s="15"/>
      <c r="E9" s="15"/>
      <c r="F9" s="15"/>
      <c r="G9" s="15"/>
      <c r="H9" s="17" t="s">
        <v>12</v>
      </c>
    </row>
    <row r="10" spans="1:9" x14ac:dyDescent="0.2">
      <c r="A10" s="15"/>
      <c r="B10" s="15"/>
      <c r="C10" s="16" t="s">
        <v>11</v>
      </c>
      <c r="D10" s="15"/>
      <c r="E10" s="15" t="s">
        <v>12</v>
      </c>
      <c r="F10" s="18" t="s">
        <v>13</v>
      </c>
      <c r="G10" s="19">
        <v>0</v>
      </c>
      <c r="H10" s="17" t="s">
        <v>12</v>
      </c>
    </row>
    <row r="11" spans="1:9" x14ac:dyDescent="0.2">
      <c r="A11" s="15"/>
      <c r="B11" s="15"/>
      <c r="C11" s="20"/>
      <c r="D11" s="15"/>
      <c r="E11" s="15"/>
      <c r="F11" s="21"/>
      <c r="G11" s="21"/>
      <c r="H11" s="17" t="s">
        <v>12</v>
      </c>
    </row>
    <row r="12" spans="1:9" x14ac:dyDescent="0.2">
      <c r="A12" s="15"/>
      <c r="B12" s="15"/>
      <c r="C12" s="16" t="s">
        <v>15</v>
      </c>
      <c r="D12" s="15"/>
      <c r="E12" s="15"/>
      <c r="F12" s="15"/>
      <c r="G12" s="15"/>
      <c r="H12" s="17" t="s">
        <v>12</v>
      </c>
    </row>
    <row r="13" spans="1:9" x14ac:dyDescent="0.2">
      <c r="A13" s="15"/>
      <c r="B13" s="15"/>
      <c r="C13" s="16" t="s">
        <v>11</v>
      </c>
      <c r="D13" s="15"/>
      <c r="E13" s="15" t="s">
        <v>12</v>
      </c>
      <c r="F13" s="18" t="s">
        <v>13</v>
      </c>
      <c r="G13" s="19">
        <v>0</v>
      </c>
      <c r="H13" s="17" t="s">
        <v>12</v>
      </c>
    </row>
    <row r="14" spans="1:9" x14ac:dyDescent="0.2">
      <c r="A14" s="15"/>
      <c r="B14" s="15"/>
      <c r="C14" s="20"/>
      <c r="D14" s="15"/>
      <c r="E14" s="15"/>
      <c r="F14" s="21"/>
      <c r="G14" s="21"/>
      <c r="H14" s="17" t="s">
        <v>12</v>
      </c>
    </row>
    <row r="15" spans="1:9" x14ac:dyDescent="0.2">
      <c r="A15" s="15"/>
      <c r="B15" s="15"/>
      <c r="C15" s="16" t="s">
        <v>16</v>
      </c>
      <c r="D15" s="15"/>
      <c r="E15" s="15"/>
      <c r="F15" s="15"/>
      <c r="G15" s="15"/>
      <c r="H15" s="17" t="s">
        <v>12</v>
      </c>
    </row>
    <row r="16" spans="1:9" x14ac:dyDescent="0.2">
      <c r="A16" s="15"/>
      <c r="B16" s="15"/>
      <c r="C16" s="16" t="s">
        <v>11</v>
      </c>
      <c r="D16" s="15"/>
      <c r="E16" s="15" t="s">
        <v>12</v>
      </c>
      <c r="F16" s="18" t="s">
        <v>13</v>
      </c>
      <c r="G16" s="19">
        <v>0</v>
      </c>
      <c r="H16" s="17" t="s">
        <v>12</v>
      </c>
    </row>
    <row r="17" spans="1:8" x14ac:dyDescent="0.2">
      <c r="A17" s="15"/>
      <c r="B17" s="15"/>
      <c r="C17" s="20"/>
      <c r="D17" s="15"/>
      <c r="E17" s="15"/>
      <c r="F17" s="21"/>
      <c r="G17" s="21"/>
      <c r="H17" s="17" t="s">
        <v>12</v>
      </c>
    </row>
    <row r="18" spans="1:8" x14ac:dyDescent="0.2">
      <c r="A18" s="15"/>
      <c r="B18" s="15"/>
      <c r="C18" s="16" t="s">
        <v>17</v>
      </c>
      <c r="D18" s="15"/>
      <c r="E18" s="15"/>
      <c r="F18" s="21"/>
      <c r="G18" s="21"/>
      <c r="H18" s="17" t="s">
        <v>12</v>
      </c>
    </row>
    <row r="19" spans="1:8" x14ac:dyDescent="0.2">
      <c r="A19" s="15"/>
      <c r="B19" s="15"/>
      <c r="C19" s="16" t="s">
        <v>11</v>
      </c>
      <c r="D19" s="15"/>
      <c r="E19" s="15" t="s">
        <v>12</v>
      </c>
      <c r="F19" s="18" t="s">
        <v>13</v>
      </c>
      <c r="G19" s="19">
        <v>0</v>
      </c>
      <c r="H19" s="17" t="s">
        <v>12</v>
      </c>
    </row>
    <row r="20" spans="1:8" x14ac:dyDescent="0.2">
      <c r="A20" s="15"/>
      <c r="B20" s="15"/>
      <c r="C20" s="20"/>
      <c r="D20" s="15"/>
      <c r="E20" s="15"/>
      <c r="F20" s="21"/>
      <c r="G20" s="21"/>
      <c r="H20" s="17" t="s">
        <v>12</v>
      </c>
    </row>
    <row r="21" spans="1:8" x14ac:dyDescent="0.2">
      <c r="A21" s="15"/>
      <c r="B21" s="15"/>
      <c r="C21" s="16" t="s">
        <v>18</v>
      </c>
      <c r="D21" s="15"/>
      <c r="E21" s="15"/>
      <c r="F21" s="21"/>
      <c r="G21" s="21"/>
      <c r="H21" s="17" t="s">
        <v>12</v>
      </c>
    </row>
    <row r="22" spans="1:8" x14ac:dyDescent="0.2">
      <c r="A22" s="15"/>
      <c r="B22" s="15"/>
      <c r="C22" s="16" t="s">
        <v>11</v>
      </c>
      <c r="D22" s="15"/>
      <c r="E22" s="15" t="s">
        <v>12</v>
      </c>
      <c r="F22" s="18" t="s">
        <v>13</v>
      </c>
      <c r="G22" s="19">
        <v>0</v>
      </c>
      <c r="H22" s="17" t="s">
        <v>12</v>
      </c>
    </row>
    <row r="23" spans="1:8" x14ac:dyDescent="0.2">
      <c r="A23" s="15"/>
      <c r="B23" s="15"/>
      <c r="C23" s="20"/>
      <c r="D23" s="15"/>
      <c r="E23" s="15"/>
      <c r="F23" s="21"/>
      <c r="G23" s="21"/>
      <c r="H23" s="17" t="s">
        <v>12</v>
      </c>
    </row>
    <row r="24" spans="1:8" x14ac:dyDescent="0.2">
      <c r="A24" s="15"/>
      <c r="B24" s="15"/>
      <c r="C24" s="16" t="s">
        <v>19</v>
      </c>
      <c r="D24" s="15"/>
      <c r="E24" s="15"/>
      <c r="F24" s="22">
        <v>0</v>
      </c>
      <c r="G24" s="19">
        <v>0</v>
      </c>
      <c r="H24" s="17" t="s">
        <v>12</v>
      </c>
    </row>
    <row r="25" spans="1:8" x14ac:dyDescent="0.2">
      <c r="A25" s="15"/>
      <c r="B25" s="15"/>
      <c r="C25" s="20"/>
      <c r="D25" s="15"/>
      <c r="E25" s="15"/>
      <c r="F25" s="21"/>
      <c r="G25" s="21"/>
      <c r="H25" s="17" t="s">
        <v>12</v>
      </c>
    </row>
    <row r="26" spans="1:8" x14ac:dyDescent="0.2">
      <c r="A26" s="15"/>
      <c r="B26" s="15"/>
      <c r="C26" s="16" t="s">
        <v>20</v>
      </c>
      <c r="D26" s="15"/>
      <c r="E26" s="15"/>
      <c r="F26" s="21"/>
      <c r="G26" s="21"/>
      <c r="H26" s="17" t="s">
        <v>12</v>
      </c>
    </row>
    <row r="27" spans="1:8" x14ac:dyDescent="0.2">
      <c r="A27" s="15"/>
      <c r="B27" s="15"/>
      <c r="C27" s="16" t="s">
        <v>10</v>
      </c>
      <c r="D27" s="15"/>
      <c r="E27" s="15"/>
      <c r="F27" s="21"/>
      <c r="G27" s="21"/>
      <c r="H27" s="17" t="s">
        <v>12</v>
      </c>
    </row>
    <row r="28" spans="1:8" ht="25.5" x14ac:dyDescent="0.2">
      <c r="A28" s="23">
        <v>1</v>
      </c>
      <c r="B28" s="24" t="s">
        <v>21</v>
      </c>
      <c r="C28" s="24" t="s">
        <v>22</v>
      </c>
      <c r="D28" s="24" t="s">
        <v>23</v>
      </c>
      <c r="E28" s="25">
        <v>5000</v>
      </c>
      <c r="F28" s="26">
        <v>5086.665</v>
      </c>
      <c r="G28" s="27">
        <v>7.2777910000000001E-2</v>
      </c>
      <c r="H28" s="17">
        <v>7.2525000000000004</v>
      </c>
    </row>
    <row r="29" spans="1:8" ht="25.5" x14ac:dyDescent="0.2">
      <c r="A29" s="23">
        <v>2</v>
      </c>
      <c r="B29" s="24" t="s">
        <v>24</v>
      </c>
      <c r="C29" s="24" t="s">
        <v>25</v>
      </c>
      <c r="D29" s="24" t="s">
        <v>23</v>
      </c>
      <c r="E29" s="25">
        <v>4000</v>
      </c>
      <c r="F29" s="26">
        <v>4037.5880000000002</v>
      </c>
      <c r="G29" s="27">
        <v>5.7768149999999997E-2</v>
      </c>
      <c r="H29" s="17">
        <v>7.12</v>
      </c>
    </row>
    <row r="30" spans="1:8" x14ac:dyDescent="0.2">
      <c r="A30" s="23">
        <v>3</v>
      </c>
      <c r="B30" s="24" t="s">
        <v>26</v>
      </c>
      <c r="C30" s="24" t="s">
        <v>27</v>
      </c>
      <c r="D30" s="24" t="s">
        <v>23</v>
      </c>
      <c r="E30" s="25">
        <v>4000</v>
      </c>
      <c r="F30" s="26">
        <v>3998.4679999999998</v>
      </c>
      <c r="G30" s="27">
        <v>5.7208439999999999E-2</v>
      </c>
      <c r="H30" s="17">
        <v>7.25</v>
      </c>
    </row>
    <row r="31" spans="1:8" x14ac:dyDescent="0.2">
      <c r="A31" s="23">
        <v>4</v>
      </c>
      <c r="B31" s="24" t="s">
        <v>28</v>
      </c>
      <c r="C31" s="24" t="s">
        <v>29</v>
      </c>
      <c r="D31" s="24" t="s">
        <v>23</v>
      </c>
      <c r="E31" s="25">
        <v>300</v>
      </c>
      <c r="F31" s="26">
        <v>3015.2669999999998</v>
      </c>
      <c r="G31" s="27">
        <v>4.3141199999999998E-2</v>
      </c>
      <c r="H31" s="17">
        <v>7.5</v>
      </c>
    </row>
    <row r="32" spans="1:8" ht="25.5" x14ac:dyDescent="0.2">
      <c r="A32" s="23">
        <v>5</v>
      </c>
      <c r="B32" s="24" t="s">
        <v>30</v>
      </c>
      <c r="C32" s="24" t="s">
        <v>31</v>
      </c>
      <c r="D32" s="24" t="s">
        <v>23</v>
      </c>
      <c r="E32" s="25">
        <v>2500</v>
      </c>
      <c r="F32" s="26">
        <v>2551.585</v>
      </c>
      <c r="G32" s="27">
        <v>3.6507030000000003E-2</v>
      </c>
      <c r="H32" s="17">
        <v>7.08</v>
      </c>
    </row>
    <row r="33" spans="1:8" ht="25.5" x14ac:dyDescent="0.2">
      <c r="A33" s="23">
        <v>6</v>
      </c>
      <c r="B33" s="24" t="s">
        <v>32</v>
      </c>
      <c r="C33" s="24" t="s">
        <v>33</v>
      </c>
      <c r="D33" s="24" t="s">
        <v>23</v>
      </c>
      <c r="E33" s="25">
        <v>2500</v>
      </c>
      <c r="F33" s="26">
        <v>2546.5749999999998</v>
      </c>
      <c r="G33" s="27">
        <v>3.6435349999999998E-2</v>
      </c>
      <c r="H33" s="17">
        <v>7.3324999999999996</v>
      </c>
    </row>
    <row r="34" spans="1:8" ht="25.5" x14ac:dyDescent="0.2">
      <c r="A34" s="23">
        <v>7</v>
      </c>
      <c r="B34" s="24" t="s">
        <v>34</v>
      </c>
      <c r="C34" s="24" t="s">
        <v>35</v>
      </c>
      <c r="D34" s="24" t="s">
        <v>36</v>
      </c>
      <c r="E34" s="25">
        <v>2500</v>
      </c>
      <c r="F34" s="26">
        <v>2542.9724999999999</v>
      </c>
      <c r="G34" s="27">
        <v>3.6383810000000003E-2</v>
      </c>
      <c r="H34" s="17">
        <v>7.18</v>
      </c>
    </row>
    <row r="35" spans="1:8" ht="25.5" x14ac:dyDescent="0.2">
      <c r="A35" s="23">
        <v>8</v>
      </c>
      <c r="B35" s="24" t="s">
        <v>37</v>
      </c>
      <c r="C35" s="24" t="s">
        <v>38</v>
      </c>
      <c r="D35" s="24" t="s">
        <v>23</v>
      </c>
      <c r="E35" s="25">
        <v>2500</v>
      </c>
      <c r="F35" s="26">
        <v>2537.33</v>
      </c>
      <c r="G35" s="27">
        <v>3.630307E-2</v>
      </c>
      <c r="H35" s="17">
        <v>7.18</v>
      </c>
    </row>
    <row r="36" spans="1:8" x14ac:dyDescent="0.2">
      <c r="A36" s="23">
        <v>9</v>
      </c>
      <c r="B36" s="24" t="s">
        <v>39</v>
      </c>
      <c r="C36" s="24" t="s">
        <v>40</v>
      </c>
      <c r="D36" s="24" t="s">
        <v>23</v>
      </c>
      <c r="E36" s="25">
        <v>2500</v>
      </c>
      <c r="F36" s="26">
        <v>2517.0300000000002</v>
      </c>
      <c r="G36" s="27">
        <v>3.6012629999999997E-2</v>
      </c>
      <c r="H36" s="17">
        <v>7.2</v>
      </c>
    </row>
    <row r="37" spans="1:8" x14ac:dyDescent="0.2">
      <c r="A37" s="23">
        <v>10</v>
      </c>
      <c r="B37" s="24" t="s">
        <v>41</v>
      </c>
      <c r="C37" s="24" t="s">
        <v>42</v>
      </c>
      <c r="D37" s="24" t="s">
        <v>23</v>
      </c>
      <c r="E37" s="25">
        <v>2500</v>
      </c>
      <c r="F37" s="26">
        <v>2504.4450000000002</v>
      </c>
      <c r="G37" s="27">
        <v>3.5832570000000001E-2</v>
      </c>
      <c r="H37" s="17">
        <v>7.2481999999999998</v>
      </c>
    </row>
    <row r="38" spans="1:8" ht="25.5" x14ac:dyDescent="0.2">
      <c r="A38" s="23">
        <v>11</v>
      </c>
      <c r="B38" s="24" t="s">
        <v>43</v>
      </c>
      <c r="C38" s="24" t="s">
        <v>44</v>
      </c>
      <c r="D38" s="24" t="s">
        <v>23</v>
      </c>
      <c r="E38" s="25">
        <v>2500</v>
      </c>
      <c r="F38" s="26">
        <v>2501.0524999999998</v>
      </c>
      <c r="G38" s="27">
        <v>3.5784030000000001E-2</v>
      </c>
      <c r="H38" s="17">
        <v>7.2337999999999996</v>
      </c>
    </row>
    <row r="39" spans="1:8" ht="25.5" x14ac:dyDescent="0.2">
      <c r="A39" s="23">
        <v>12</v>
      </c>
      <c r="B39" s="24" t="s">
        <v>45</v>
      </c>
      <c r="C39" s="24" t="s">
        <v>46</v>
      </c>
      <c r="D39" s="24" t="s">
        <v>23</v>
      </c>
      <c r="E39" s="25">
        <v>2000</v>
      </c>
      <c r="F39" s="26">
        <v>2027.1479999999999</v>
      </c>
      <c r="G39" s="27">
        <v>2.9003600000000001E-2</v>
      </c>
      <c r="H39" s="17">
        <v>7.2</v>
      </c>
    </row>
    <row r="40" spans="1:8" x14ac:dyDescent="0.2">
      <c r="A40" s="23">
        <v>13</v>
      </c>
      <c r="B40" s="24" t="s">
        <v>47</v>
      </c>
      <c r="C40" s="24" t="s">
        <v>48</v>
      </c>
      <c r="D40" s="24" t="s">
        <v>23</v>
      </c>
      <c r="E40" s="25">
        <v>2000</v>
      </c>
      <c r="F40" s="26">
        <v>2021.818</v>
      </c>
      <c r="G40" s="27">
        <v>2.8927339999999999E-2</v>
      </c>
      <c r="H40" s="17">
        <v>7.4029999999999996</v>
      </c>
    </row>
    <row r="41" spans="1:8" ht="25.5" x14ac:dyDescent="0.2">
      <c r="A41" s="23">
        <v>14</v>
      </c>
      <c r="B41" s="24" t="s">
        <v>49</v>
      </c>
      <c r="C41" s="24" t="s">
        <v>50</v>
      </c>
      <c r="D41" s="24" t="s">
        <v>36</v>
      </c>
      <c r="E41" s="25">
        <v>200</v>
      </c>
      <c r="F41" s="26">
        <v>2015.96</v>
      </c>
      <c r="G41" s="27">
        <v>2.8843529999999999E-2</v>
      </c>
      <c r="H41" s="17">
        <v>7.0750000000000002</v>
      </c>
    </row>
    <row r="42" spans="1:8" x14ac:dyDescent="0.2">
      <c r="A42" s="23">
        <v>15</v>
      </c>
      <c r="B42" s="24" t="s">
        <v>51</v>
      </c>
      <c r="C42" s="24" t="s">
        <v>52</v>
      </c>
      <c r="D42" s="24" t="s">
        <v>23</v>
      </c>
      <c r="E42" s="25">
        <v>2000</v>
      </c>
      <c r="F42" s="26">
        <v>2002.8779999999999</v>
      </c>
      <c r="G42" s="27">
        <v>2.8656359999999999E-2</v>
      </c>
      <c r="H42" s="17">
        <v>7.25</v>
      </c>
    </row>
    <row r="43" spans="1:8" ht="25.5" x14ac:dyDescent="0.2">
      <c r="A43" s="23">
        <v>16</v>
      </c>
      <c r="B43" s="24" t="s">
        <v>53</v>
      </c>
      <c r="C43" s="24" t="s">
        <v>54</v>
      </c>
      <c r="D43" s="24" t="s">
        <v>23</v>
      </c>
      <c r="E43" s="25">
        <v>1500</v>
      </c>
      <c r="F43" s="26">
        <v>1539.5264999999999</v>
      </c>
      <c r="G43" s="27">
        <v>2.202691E-2</v>
      </c>
      <c r="H43" s="17">
        <v>7.3525</v>
      </c>
    </row>
    <row r="44" spans="1:8" x14ac:dyDescent="0.2">
      <c r="A44" s="23">
        <v>17</v>
      </c>
      <c r="B44" s="24" t="s">
        <v>55</v>
      </c>
      <c r="C44" s="24" t="s">
        <v>56</v>
      </c>
      <c r="D44" s="24" t="s">
        <v>23</v>
      </c>
      <c r="E44" s="25">
        <v>1500</v>
      </c>
      <c r="F44" s="26">
        <v>1509.4994999999999</v>
      </c>
      <c r="G44" s="27">
        <v>2.15973E-2</v>
      </c>
      <c r="H44" s="17">
        <v>7.2594000000000003</v>
      </c>
    </row>
    <row r="45" spans="1:8" ht="25.5" x14ac:dyDescent="0.2">
      <c r="A45" s="23">
        <v>18</v>
      </c>
      <c r="B45" s="24" t="s">
        <v>57</v>
      </c>
      <c r="C45" s="24" t="s">
        <v>58</v>
      </c>
      <c r="D45" s="24" t="s">
        <v>23</v>
      </c>
      <c r="E45" s="25">
        <v>1500</v>
      </c>
      <c r="F45" s="26">
        <v>1503.3330000000001</v>
      </c>
      <c r="G45" s="27">
        <v>2.1509070000000002E-2</v>
      </c>
      <c r="H45" s="17">
        <v>7.35</v>
      </c>
    </row>
    <row r="46" spans="1:8" x14ac:dyDescent="0.2">
      <c r="A46" s="23">
        <v>19</v>
      </c>
      <c r="B46" s="24" t="s">
        <v>59</v>
      </c>
      <c r="C46" s="24" t="s">
        <v>60</v>
      </c>
      <c r="D46" s="24" t="s">
        <v>23</v>
      </c>
      <c r="E46" s="25">
        <v>100</v>
      </c>
      <c r="F46" s="26">
        <v>1010.705</v>
      </c>
      <c r="G46" s="27">
        <v>1.446075E-2</v>
      </c>
      <c r="H46" s="17">
        <v>7.5</v>
      </c>
    </row>
    <row r="47" spans="1:8" ht="25.5" x14ac:dyDescent="0.2">
      <c r="A47" s="23">
        <v>20</v>
      </c>
      <c r="B47" s="24" t="s">
        <v>61</v>
      </c>
      <c r="C47" s="24" t="s">
        <v>62</v>
      </c>
      <c r="D47" s="24" t="s">
        <v>23</v>
      </c>
      <c r="E47" s="25">
        <v>1000</v>
      </c>
      <c r="F47" s="26">
        <v>1001.058</v>
      </c>
      <c r="G47" s="27">
        <v>1.4322730000000001E-2</v>
      </c>
      <c r="H47" s="17">
        <v>7.2998000000000003</v>
      </c>
    </row>
    <row r="48" spans="1:8" ht="25.5" x14ac:dyDescent="0.2">
      <c r="A48" s="23">
        <v>21</v>
      </c>
      <c r="B48" s="24" t="s">
        <v>63</v>
      </c>
      <c r="C48" s="24" t="s">
        <v>64</v>
      </c>
      <c r="D48" s="24" t="s">
        <v>23</v>
      </c>
      <c r="E48" s="25">
        <v>1000</v>
      </c>
      <c r="F48" s="26">
        <v>1000.129</v>
      </c>
      <c r="G48" s="27">
        <v>1.430943E-2</v>
      </c>
      <c r="H48" s="17">
        <v>7.6950000000000003</v>
      </c>
    </row>
    <row r="49" spans="1:8" x14ac:dyDescent="0.2">
      <c r="A49" s="23">
        <v>22</v>
      </c>
      <c r="B49" s="24" t="s">
        <v>65</v>
      </c>
      <c r="C49" s="24" t="s">
        <v>66</v>
      </c>
      <c r="D49" s="24" t="s">
        <v>23</v>
      </c>
      <c r="E49" s="25">
        <v>500</v>
      </c>
      <c r="F49" s="26">
        <v>506.94049999999999</v>
      </c>
      <c r="G49" s="27">
        <v>7.2531000000000002E-3</v>
      </c>
      <c r="H49" s="17">
        <v>7.6429999999999998</v>
      </c>
    </row>
    <row r="50" spans="1:8" ht="25.5" x14ac:dyDescent="0.2">
      <c r="A50" s="23">
        <v>23</v>
      </c>
      <c r="B50" s="24" t="s">
        <v>67</v>
      </c>
      <c r="C50" s="24" t="s">
        <v>68</v>
      </c>
      <c r="D50" s="24" t="s">
        <v>23</v>
      </c>
      <c r="E50" s="25">
        <v>500</v>
      </c>
      <c r="F50" s="26">
        <v>504.28550000000001</v>
      </c>
      <c r="G50" s="27">
        <v>7.2151100000000003E-3</v>
      </c>
      <c r="H50" s="17">
        <v>7.2949999999999999</v>
      </c>
    </row>
    <row r="51" spans="1:8" ht="25.5" x14ac:dyDescent="0.2">
      <c r="A51" s="23">
        <v>24</v>
      </c>
      <c r="B51" s="24" t="s">
        <v>69</v>
      </c>
      <c r="C51" s="24" t="s">
        <v>70</v>
      </c>
      <c r="D51" s="24" t="s">
        <v>36</v>
      </c>
      <c r="E51" s="25">
        <v>50</v>
      </c>
      <c r="F51" s="26">
        <v>500.01100000000002</v>
      </c>
      <c r="G51" s="27">
        <v>7.1539500000000001E-3</v>
      </c>
      <c r="H51" s="17">
        <v>7.21</v>
      </c>
    </row>
    <row r="52" spans="1:8" x14ac:dyDescent="0.2">
      <c r="A52" s="15"/>
      <c r="B52" s="15"/>
      <c r="C52" s="16" t="s">
        <v>11</v>
      </c>
      <c r="D52" s="15"/>
      <c r="E52" s="15" t="s">
        <v>12</v>
      </c>
      <c r="F52" s="22">
        <v>50982.27</v>
      </c>
      <c r="G52" s="19">
        <v>0.72943336999999997</v>
      </c>
      <c r="H52" s="17" t="s">
        <v>12</v>
      </c>
    </row>
    <row r="53" spans="1:8" x14ac:dyDescent="0.2">
      <c r="A53" s="15"/>
      <c r="B53" s="15"/>
      <c r="C53" s="20"/>
      <c r="D53" s="15"/>
      <c r="E53" s="15"/>
      <c r="F53" s="21"/>
      <c r="G53" s="21"/>
      <c r="H53" s="17" t="s">
        <v>12</v>
      </c>
    </row>
    <row r="54" spans="1:8" x14ac:dyDescent="0.2">
      <c r="A54" s="15"/>
      <c r="B54" s="15"/>
      <c r="C54" s="16" t="s">
        <v>71</v>
      </c>
      <c r="D54" s="15"/>
      <c r="E54" s="15"/>
      <c r="F54" s="15"/>
      <c r="G54" s="15"/>
      <c r="H54" s="17" t="s">
        <v>12</v>
      </c>
    </row>
    <row r="55" spans="1:8" x14ac:dyDescent="0.2">
      <c r="A55" s="15"/>
      <c r="B55" s="15"/>
      <c r="C55" s="16" t="s">
        <v>11</v>
      </c>
      <c r="D55" s="15"/>
      <c r="E55" s="15" t="s">
        <v>12</v>
      </c>
      <c r="F55" s="18" t="s">
        <v>13</v>
      </c>
      <c r="G55" s="19">
        <v>0</v>
      </c>
      <c r="H55" s="17" t="s">
        <v>12</v>
      </c>
    </row>
    <row r="56" spans="1:8" x14ac:dyDescent="0.2">
      <c r="A56" s="15"/>
      <c r="B56" s="15"/>
      <c r="C56" s="20"/>
      <c r="D56" s="15"/>
      <c r="E56" s="15"/>
      <c r="F56" s="21"/>
      <c r="G56" s="21"/>
      <c r="H56" s="17" t="s">
        <v>12</v>
      </c>
    </row>
    <row r="57" spans="1:8" x14ac:dyDescent="0.2">
      <c r="A57" s="15"/>
      <c r="B57" s="15"/>
      <c r="C57" s="16" t="s">
        <v>72</v>
      </c>
      <c r="D57" s="15"/>
      <c r="E57" s="15"/>
      <c r="F57" s="15"/>
      <c r="G57" s="15"/>
      <c r="H57" s="17" t="s">
        <v>12</v>
      </c>
    </row>
    <row r="58" spans="1:8" ht="25.5" x14ac:dyDescent="0.2">
      <c r="A58" s="23">
        <v>1</v>
      </c>
      <c r="B58" s="24" t="s">
        <v>73</v>
      </c>
      <c r="C58" s="24" t="s">
        <v>74</v>
      </c>
      <c r="D58" s="24" t="s">
        <v>75</v>
      </c>
      <c r="E58" s="25">
        <v>7900000</v>
      </c>
      <c r="F58" s="26">
        <v>8157.5874000000003</v>
      </c>
      <c r="G58" s="27">
        <v>0.11671541000000001</v>
      </c>
      <c r="H58" s="17">
        <v>6.7217000000000002</v>
      </c>
    </row>
    <row r="59" spans="1:8" x14ac:dyDescent="0.2">
      <c r="A59" s="23">
        <v>2</v>
      </c>
      <c r="B59" s="24" t="s">
        <v>76</v>
      </c>
      <c r="C59" s="24" t="s">
        <v>77</v>
      </c>
      <c r="D59" s="24" t="s">
        <v>75</v>
      </c>
      <c r="E59" s="25">
        <v>2000000</v>
      </c>
      <c r="F59" s="26">
        <v>2076.5659999999998</v>
      </c>
      <c r="G59" s="27">
        <v>2.9710650000000002E-2</v>
      </c>
      <c r="H59" s="17">
        <v>6.5994000000000002</v>
      </c>
    </row>
    <row r="60" spans="1:8" x14ac:dyDescent="0.2">
      <c r="A60" s="23">
        <v>3</v>
      </c>
      <c r="B60" s="24" t="s">
        <v>78</v>
      </c>
      <c r="C60" s="24" t="s">
        <v>79</v>
      </c>
      <c r="D60" s="24" t="s">
        <v>75</v>
      </c>
      <c r="E60" s="25">
        <v>1500000</v>
      </c>
      <c r="F60" s="26">
        <v>1572.1904999999999</v>
      </c>
      <c r="G60" s="27">
        <v>2.2494259999999999E-2</v>
      </c>
      <c r="H60" s="17">
        <v>7.0290999999999997</v>
      </c>
    </row>
    <row r="61" spans="1:8" ht="25.5" x14ac:dyDescent="0.2">
      <c r="A61" s="23">
        <v>4</v>
      </c>
      <c r="B61" s="24" t="s">
        <v>80</v>
      </c>
      <c r="C61" s="24" t="s">
        <v>81</v>
      </c>
      <c r="D61" s="24" t="s">
        <v>75</v>
      </c>
      <c r="E61" s="25">
        <v>1500000</v>
      </c>
      <c r="F61" s="26">
        <v>1506.366</v>
      </c>
      <c r="G61" s="27">
        <v>2.1552470000000001E-2</v>
      </c>
      <c r="H61" s="17">
        <v>6.9386999999999999</v>
      </c>
    </row>
    <row r="62" spans="1:8" ht="25.5" x14ac:dyDescent="0.2">
      <c r="A62" s="23">
        <v>5</v>
      </c>
      <c r="B62" s="24" t="s">
        <v>82</v>
      </c>
      <c r="C62" s="24" t="s">
        <v>83</v>
      </c>
      <c r="D62" s="24" t="s">
        <v>75</v>
      </c>
      <c r="E62" s="25">
        <v>1250000</v>
      </c>
      <c r="F62" s="26">
        <v>1315.66875</v>
      </c>
      <c r="G62" s="27">
        <v>1.8824049999999998E-2</v>
      </c>
      <c r="H62" s="17">
        <v>7.069</v>
      </c>
    </row>
    <row r="63" spans="1:8" x14ac:dyDescent="0.2">
      <c r="A63" s="23">
        <v>6</v>
      </c>
      <c r="B63" s="24" t="s">
        <v>84</v>
      </c>
      <c r="C63" s="24" t="s">
        <v>85</v>
      </c>
      <c r="D63" s="24" t="s">
        <v>75</v>
      </c>
      <c r="E63" s="25">
        <v>500000</v>
      </c>
      <c r="F63" s="26">
        <v>520.41949999999997</v>
      </c>
      <c r="G63" s="27">
        <v>7.4459499999999998E-3</v>
      </c>
      <c r="H63" s="17">
        <v>6.7991000000000001</v>
      </c>
    </row>
    <row r="64" spans="1:8" x14ac:dyDescent="0.2">
      <c r="A64" s="23">
        <v>7</v>
      </c>
      <c r="B64" s="24" t="s">
        <v>86</v>
      </c>
      <c r="C64" s="24" t="s">
        <v>87</v>
      </c>
      <c r="D64" s="24" t="s">
        <v>75</v>
      </c>
      <c r="E64" s="25">
        <v>500000</v>
      </c>
      <c r="F64" s="26">
        <v>514.55349999999999</v>
      </c>
      <c r="G64" s="27">
        <v>7.3620200000000004E-3</v>
      </c>
      <c r="H64" s="17">
        <v>6.5419999999999998</v>
      </c>
    </row>
    <row r="65" spans="1:8" x14ac:dyDescent="0.2">
      <c r="A65" s="15"/>
      <c r="B65" s="15"/>
      <c r="C65" s="16" t="s">
        <v>11</v>
      </c>
      <c r="D65" s="15"/>
      <c r="E65" s="15" t="s">
        <v>12</v>
      </c>
      <c r="F65" s="22">
        <v>15663.351650000001</v>
      </c>
      <c r="G65" s="19">
        <v>0.22410480999999999</v>
      </c>
      <c r="H65" s="17" t="s">
        <v>12</v>
      </c>
    </row>
    <row r="66" spans="1:8" x14ac:dyDescent="0.2">
      <c r="A66" s="15"/>
      <c r="B66" s="15"/>
      <c r="C66" s="20"/>
      <c r="D66" s="15"/>
      <c r="E66" s="15"/>
      <c r="F66" s="21"/>
      <c r="G66" s="21"/>
      <c r="H66" s="17" t="s">
        <v>12</v>
      </c>
    </row>
    <row r="67" spans="1:8" x14ac:dyDescent="0.2">
      <c r="A67" s="15"/>
      <c r="B67" s="15"/>
      <c r="C67" s="16" t="s">
        <v>88</v>
      </c>
      <c r="D67" s="15"/>
      <c r="E67" s="15"/>
      <c r="F67" s="21"/>
      <c r="G67" s="21"/>
      <c r="H67" s="17" t="s">
        <v>12</v>
      </c>
    </row>
    <row r="68" spans="1:8" x14ac:dyDescent="0.2">
      <c r="A68" s="15"/>
      <c r="B68" s="15"/>
      <c r="C68" s="16" t="s">
        <v>11</v>
      </c>
      <c r="D68" s="15"/>
      <c r="E68" s="15" t="s">
        <v>12</v>
      </c>
      <c r="F68" s="18" t="s">
        <v>13</v>
      </c>
      <c r="G68" s="19">
        <v>0</v>
      </c>
      <c r="H68" s="17" t="s">
        <v>12</v>
      </c>
    </row>
    <row r="69" spans="1:8" x14ac:dyDescent="0.2">
      <c r="A69" s="15"/>
      <c r="B69" s="15"/>
      <c r="C69" s="20"/>
      <c r="D69" s="15"/>
      <c r="E69" s="15"/>
      <c r="F69" s="21"/>
      <c r="G69" s="21"/>
      <c r="H69" s="17" t="s">
        <v>12</v>
      </c>
    </row>
    <row r="70" spans="1:8" x14ac:dyDescent="0.2">
      <c r="A70" s="15"/>
      <c r="B70" s="15"/>
      <c r="C70" s="16" t="s">
        <v>89</v>
      </c>
      <c r="D70" s="15"/>
      <c r="E70" s="15"/>
      <c r="F70" s="22">
        <v>66645.621650000001</v>
      </c>
      <c r="G70" s="19">
        <v>0.95353818000000001</v>
      </c>
      <c r="H70" s="17" t="s">
        <v>12</v>
      </c>
    </row>
    <row r="71" spans="1:8" x14ac:dyDescent="0.2">
      <c r="A71" s="15"/>
      <c r="B71" s="15"/>
      <c r="C71" s="20"/>
      <c r="D71" s="15"/>
      <c r="E71" s="15"/>
      <c r="F71" s="21"/>
      <c r="G71" s="21"/>
      <c r="H71" s="17" t="s">
        <v>12</v>
      </c>
    </row>
    <row r="72" spans="1:8" x14ac:dyDescent="0.2">
      <c r="A72" s="15"/>
      <c r="B72" s="15"/>
      <c r="C72" s="16" t="s">
        <v>90</v>
      </c>
      <c r="D72" s="15"/>
      <c r="E72" s="15"/>
      <c r="F72" s="21"/>
      <c r="G72" s="21"/>
      <c r="H72" s="17" t="s">
        <v>12</v>
      </c>
    </row>
    <row r="73" spans="1:8" x14ac:dyDescent="0.2">
      <c r="A73" s="15"/>
      <c r="B73" s="15"/>
      <c r="C73" s="16" t="s">
        <v>91</v>
      </c>
      <c r="D73" s="15"/>
      <c r="E73" s="15"/>
      <c r="F73" s="21"/>
      <c r="G73" s="21"/>
      <c r="H73" s="17" t="s">
        <v>12</v>
      </c>
    </row>
    <row r="74" spans="1:8" x14ac:dyDescent="0.2">
      <c r="A74" s="15"/>
      <c r="B74" s="15"/>
      <c r="C74" s="16" t="s">
        <v>11</v>
      </c>
      <c r="D74" s="15"/>
      <c r="E74" s="15" t="s">
        <v>12</v>
      </c>
      <c r="F74" s="18" t="s">
        <v>13</v>
      </c>
      <c r="G74" s="19">
        <v>0</v>
      </c>
      <c r="H74" s="17" t="s">
        <v>12</v>
      </c>
    </row>
    <row r="75" spans="1:8" x14ac:dyDescent="0.2">
      <c r="A75" s="15"/>
      <c r="B75" s="15"/>
      <c r="C75" s="20"/>
      <c r="D75" s="15"/>
      <c r="E75" s="15"/>
      <c r="F75" s="21"/>
      <c r="G75" s="21"/>
      <c r="H75" s="17" t="s">
        <v>12</v>
      </c>
    </row>
    <row r="76" spans="1:8" x14ac:dyDescent="0.2">
      <c r="A76" s="15"/>
      <c r="B76" s="15"/>
      <c r="C76" s="16" t="s">
        <v>92</v>
      </c>
      <c r="D76" s="15"/>
      <c r="E76" s="15"/>
      <c r="F76" s="21"/>
      <c r="G76" s="21"/>
      <c r="H76" s="17" t="s">
        <v>12</v>
      </c>
    </row>
    <row r="77" spans="1:8" x14ac:dyDescent="0.2">
      <c r="A77" s="15"/>
      <c r="B77" s="15"/>
      <c r="C77" s="16" t="s">
        <v>11</v>
      </c>
      <c r="D77" s="15"/>
      <c r="E77" s="15" t="s">
        <v>12</v>
      </c>
      <c r="F77" s="18" t="s">
        <v>13</v>
      </c>
      <c r="G77" s="19">
        <v>0</v>
      </c>
      <c r="H77" s="17" t="s">
        <v>12</v>
      </c>
    </row>
    <row r="78" spans="1:8" x14ac:dyDescent="0.2">
      <c r="A78" s="15"/>
      <c r="B78" s="15"/>
      <c r="C78" s="20"/>
      <c r="D78" s="15"/>
      <c r="E78" s="15"/>
      <c r="F78" s="21"/>
      <c r="G78" s="21"/>
      <c r="H78" s="17" t="s">
        <v>12</v>
      </c>
    </row>
    <row r="79" spans="1:8" x14ac:dyDescent="0.2">
      <c r="A79" s="15"/>
      <c r="B79" s="15"/>
      <c r="C79" s="16" t="s">
        <v>93</v>
      </c>
      <c r="D79" s="15"/>
      <c r="E79" s="15"/>
      <c r="F79" s="21"/>
      <c r="G79" s="21"/>
      <c r="H79" s="17" t="s">
        <v>12</v>
      </c>
    </row>
    <row r="80" spans="1:8" x14ac:dyDescent="0.2">
      <c r="A80" s="15"/>
      <c r="B80" s="15"/>
      <c r="C80" s="16" t="s">
        <v>11</v>
      </c>
      <c r="D80" s="15"/>
      <c r="E80" s="15" t="s">
        <v>12</v>
      </c>
      <c r="F80" s="18" t="s">
        <v>13</v>
      </c>
      <c r="G80" s="19">
        <v>0</v>
      </c>
      <c r="H80" s="17" t="s">
        <v>12</v>
      </c>
    </row>
    <row r="81" spans="1:17" x14ac:dyDescent="0.2">
      <c r="A81" s="15"/>
      <c r="B81" s="15"/>
      <c r="C81" s="20"/>
      <c r="D81" s="15"/>
      <c r="E81" s="15"/>
      <c r="F81" s="21"/>
      <c r="G81" s="21"/>
      <c r="H81" s="17" t="s">
        <v>12</v>
      </c>
    </row>
    <row r="82" spans="1:17" x14ac:dyDescent="0.2">
      <c r="A82" s="15"/>
      <c r="B82" s="15"/>
      <c r="C82" s="16" t="s">
        <v>94</v>
      </c>
      <c r="D82" s="15"/>
      <c r="E82" s="15"/>
      <c r="F82" s="21"/>
      <c r="G82" s="21"/>
      <c r="H82" s="17" t="s">
        <v>12</v>
      </c>
    </row>
    <row r="83" spans="1:17" x14ac:dyDescent="0.2">
      <c r="A83" s="23">
        <v>1</v>
      </c>
      <c r="B83" s="24"/>
      <c r="C83" s="24" t="s">
        <v>95</v>
      </c>
      <c r="D83" s="24"/>
      <c r="E83" s="28"/>
      <c r="F83" s="26">
        <v>272.34997549899998</v>
      </c>
      <c r="G83" s="27">
        <v>3.8966700000000001E-3</v>
      </c>
      <c r="H83" s="17">
        <v>6.76</v>
      </c>
    </row>
    <row r="84" spans="1:17" x14ac:dyDescent="0.2">
      <c r="A84" s="15"/>
      <c r="B84" s="15"/>
      <c r="C84" s="16" t="s">
        <v>11</v>
      </c>
      <c r="D84" s="15"/>
      <c r="E84" s="15" t="s">
        <v>12</v>
      </c>
      <c r="F84" s="22">
        <v>272.34997549899998</v>
      </c>
      <c r="G84" s="19">
        <v>3.8966700000000001E-3</v>
      </c>
      <c r="H84" s="17" t="s">
        <v>12</v>
      </c>
    </row>
    <row r="85" spans="1:17" x14ac:dyDescent="0.2">
      <c r="A85" s="15"/>
      <c r="B85" s="15"/>
      <c r="C85" s="20"/>
      <c r="D85" s="15"/>
      <c r="E85" s="15"/>
      <c r="F85" s="21"/>
      <c r="G85" s="21"/>
      <c r="H85" s="17" t="s">
        <v>12</v>
      </c>
    </row>
    <row r="86" spans="1:17" x14ac:dyDescent="0.2">
      <c r="A86" s="15"/>
      <c r="B86" s="15"/>
      <c r="C86" s="16" t="s">
        <v>96</v>
      </c>
      <c r="D86" s="15"/>
      <c r="E86" s="15"/>
      <c r="F86" s="22">
        <v>272.34997549899998</v>
      </c>
      <c r="G86" s="19">
        <v>3.8966700000000001E-3</v>
      </c>
      <c r="H86" s="17" t="s">
        <v>12</v>
      </c>
    </row>
    <row r="87" spans="1:17" x14ac:dyDescent="0.2">
      <c r="A87" s="15"/>
      <c r="B87" s="15"/>
      <c r="C87" s="21"/>
      <c r="D87" s="15"/>
      <c r="E87" s="15"/>
      <c r="F87" s="15"/>
      <c r="G87" s="15"/>
      <c r="H87" s="17" t="s">
        <v>12</v>
      </c>
    </row>
    <row r="88" spans="1:17" x14ac:dyDescent="0.2">
      <c r="A88" s="15"/>
      <c r="B88" s="15"/>
      <c r="C88" s="16" t="s">
        <v>97</v>
      </c>
      <c r="D88" s="15"/>
      <c r="E88" s="15"/>
      <c r="F88" s="15"/>
      <c r="G88" s="15"/>
      <c r="H88" s="17" t="s">
        <v>12</v>
      </c>
    </row>
    <row r="89" spans="1:17" x14ac:dyDescent="0.2">
      <c r="A89" s="15"/>
      <c r="B89" s="15"/>
      <c r="C89" s="16" t="s">
        <v>98</v>
      </c>
      <c r="D89" s="15"/>
      <c r="E89" s="15"/>
      <c r="F89" s="15"/>
      <c r="G89" s="15"/>
      <c r="H89" s="17" t="s">
        <v>12</v>
      </c>
    </row>
    <row r="90" spans="1:17" x14ac:dyDescent="0.2">
      <c r="A90" s="15"/>
      <c r="B90" s="15"/>
      <c r="C90" s="16" t="s">
        <v>11</v>
      </c>
      <c r="D90" s="15"/>
      <c r="E90" s="15" t="s">
        <v>12</v>
      </c>
      <c r="F90" s="18" t="s">
        <v>13</v>
      </c>
      <c r="G90" s="19">
        <v>0</v>
      </c>
      <c r="H90" s="17" t="s">
        <v>12</v>
      </c>
    </row>
    <row r="91" spans="1:17" x14ac:dyDescent="0.2">
      <c r="A91" s="74"/>
      <c r="B91" s="74"/>
      <c r="C91" s="75"/>
      <c r="D91" s="74"/>
      <c r="E91" s="74"/>
      <c r="F91" s="76"/>
      <c r="G91" s="76"/>
      <c r="H91" s="72" t="s">
        <v>12</v>
      </c>
    </row>
    <row r="92" spans="1:17" x14ac:dyDescent="0.2">
      <c r="A92" s="74"/>
      <c r="B92" s="74"/>
      <c r="C92" s="51" t="s">
        <v>546</v>
      </c>
      <c r="D92" s="74"/>
      <c r="E92" s="74"/>
      <c r="F92" s="76"/>
      <c r="G92" s="76"/>
      <c r="H92" s="70"/>
      <c r="K92" s="53"/>
      <c r="L92" s="53"/>
      <c r="M92" s="53"/>
      <c r="N92" s="53"/>
      <c r="O92" s="77"/>
      <c r="P92" s="77"/>
      <c r="Q92" s="77"/>
    </row>
    <row r="93" spans="1:17" ht="25.5" x14ac:dyDescent="0.2">
      <c r="A93" s="67">
        <v>1</v>
      </c>
      <c r="B93" s="68" t="s">
        <v>99</v>
      </c>
      <c r="C93" s="68" t="s">
        <v>100</v>
      </c>
      <c r="D93" s="68"/>
      <c r="E93" s="78">
        <v>2586.3710000000001</v>
      </c>
      <c r="F93" s="70">
        <v>285.39649872699999</v>
      </c>
      <c r="G93" s="71">
        <v>4.0833400000000004E-3</v>
      </c>
      <c r="H93" s="72"/>
    </row>
    <row r="94" spans="1:17" x14ac:dyDescent="0.2">
      <c r="A94" s="74"/>
      <c r="B94" s="74"/>
      <c r="C94" s="51" t="s">
        <v>11</v>
      </c>
      <c r="D94" s="74"/>
      <c r="E94" s="74" t="s">
        <v>12</v>
      </c>
      <c r="F94" s="79">
        <f>SUM(F93)</f>
        <v>285.39649872699999</v>
      </c>
      <c r="G94" s="80">
        <f>SUM(G93)</f>
        <v>4.0833400000000004E-3</v>
      </c>
      <c r="H94" s="72" t="s">
        <v>12</v>
      </c>
    </row>
    <row r="95" spans="1:17" x14ac:dyDescent="0.2">
      <c r="A95" s="15"/>
      <c r="B95" s="15"/>
      <c r="C95" s="20"/>
      <c r="D95" s="15"/>
      <c r="E95" s="15"/>
      <c r="F95" s="21"/>
      <c r="G95" s="21"/>
      <c r="H95" s="17" t="s">
        <v>12</v>
      </c>
    </row>
    <row r="96" spans="1:17" x14ac:dyDescent="0.2">
      <c r="A96" s="15"/>
      <c r="B96" s="15"/>
      <c r="C96" s="16" t="s">
        <v>101</v>
      </c>
      <c r="D96" s="15"/>
      <c r="E96" s="15"/>
      <c r="F96" s="15"/>
      <c r="G96" s="15"/>
      <c r="H96" s="17" t="s">
        <v>12</v>
      </c>
    </row>
    <row r="97" spans="1:8" x14ac:dyDescent="0.2">
      <c r="A97" s="15"/>
      <c r="B97" s="15"/>
      <c r="C97" s="16" t="s">
        <v>102</v>
      </c>
      <c r="D97" s="15"/>
      <c r="E97" s="15"/>
      <c r="F97" s="15"/>
      <c r="G97" s="15"/>
      <c r="H97" s="17" t="s">
        <v>12</v>
      </c>
    </row>
    <row r="98" spans="1:8" x14ac:dyDescent="0.2">
      <c r="A98" s="15"/>
      <c r="B98" s="15"/>
      <c r="C98" s="16" t="s">
        <v>11</v>
      </c>
      <c r="D98" s="15"/>
      <c r="E98" s="15" t="s">
        <v>12</v>
      </c>
      <c r="F98" s="18" t="s">
        <v>13</v>
      </c>
      <c r="G98" s="19">
        <v>0</v>
      </c>
      <c r="H98" s="17" t="s">
        <v>12</v>
      </c>
    </row>
    <row r="99" spans="1:8" x14ac:dyDescent="0.2">
      <c r="A99" s="15"/>
      <c r="B99" s="15"/>
      <c r="C99" s="20"/>
      <c r="D99" s="15"/>
      <c r="E99" s="15"/>
      <c r="F99" s="21"/>
      <c r="G99" s="21"/>
      <c r="H99" s="17" t="s">
        <v>12</v>
      </c>
    </row>
    <row r="100" spans="1:8" x14ac:dyDescent="0.2">
      <c r="A100" s="15"/>
      <c r="B100" s="15"/>
      <c r="C100" s="16" t="s">
        <v>103</v>
      </c>
      <c r="D100" s="15"/>
      <c r="E100" s="15"/>
      <c r="F100" s="21"/>
      <c r="G100" s="21"/>
      <c r="H100" s="17" t="s">
        <v>12</v>
      </c>
    </row>
    <row r="101" spans="1:8" x14ac:dyDescent="0.2">
      <c r="A101" s="15"/>
      <c r="B101" s="15"/>
      <c r="C101" s="16" t="s">
        <v>11</v>
      </c>
      <c r="D101" s="15"/>
      <c r="E101" s="15" t="s">
        <v>12</v>
      </c>
      <c r="F101" s="18" t="s">
        <v>13</v>
      </c>
      <c r="G101" s="19">
        <v>0</v>
      </c>
      <c r="H101" s="17" t="s">
        <v>12</v>
      </c>
    </row>
    <row r="102" spans="1:8" x14ac:dyDescent="0.2">
      <c r="A102" s="15"/>
      <c r="B102" s="15"/>
      <c r="C102" s="20"/>
      <c r="D102" s="15"/>
      <c r="E102" s="15"/>
      <c r="F102" s="21"/>
      <c r="G102" s="21"/>
      <c r="H102" s="17" t="s">
        <v>12</v>
      </c>
    </row>
    <row r="103" spans="1:8" x14ac:dyDescent="0.2">
      <c r="A103" s="28"/>
      <c r="B103" s="24"/>
      <c r="C103" s="24" t="s">
        <v>104</v>
      </c>
      <c r="D103" s="24"/>
      <c r="E103" s="28"/>
      <c r="F103" s="26">
        <v>2689.6110487199999</v>
      </c>
      <c r="G103" s="27">
        <v>3.8481849999999998E-2</v>
      </c>
      <c r="H103" s="17" t="s">
        <v>12</v>
      </c>
    </row>
    <row r="104" spans="1:8" x14ac:dyDescent="0.2">
      <c r="A104" s="20"/>
      <c r="B104" s="20"/>
      <c r="C104" s="16" t="s">
        <v>105</v>
      </c>
      <c r="D104" s="21"/>
      <c r="E104" s="21"/>
      <c r="F104" s="22">
        <v>69892.979172945998</v>
      </c>
      <c r="G104" s="29">
        <v>1.00000004</v>
      </c>
      <c r="H104" s="17" t="s">
        <v>12</v>
      </c>
    </row>
    <row r="105" spans="1:8" x14ac:dyDescent="0.2">
      <c r="A105" s="30"/>
      <c r="B105" s="30"/>
      <c r="C105" s="30"/>
      <c r="D105" s="31"/>
      <c r="E105" s="31"/>
      <c r="F105" s="31"/>
      <c r="G105" s="31"/>
    </row>
    <row r="106" spans="1:8" x14ac:dyDescent="0.2">
      <c r="A106" s="32"/>
      <c r="B106" s="165" t="s">
        <v>547</v>
      </c>
      <c r="C106" s="165"/>
      <c r="D106" s="165"/>
      <c r="E106" s="165"/>
      <c r="F106" s="165"/>
      <c r="G106" s="165"/>
      <c r="H106" s="165"/>
    </row>
    <row r="107" spans="1:8" x14ac:dyDescent="0.2">
      <c r="A107" s="32"/>
      <c r="B107" s="165" t="s">
        <v>548</v>
      </c>
      <c r="C107" s="165"/>
      <c r="D107" s="165"/>
      <c r="E107" s="165"/>
      <c r="F107" s="165"/>
      <c r="G107" s="165"/>
      <c r="H107" s="165"/>
    </row>
    <row r="108" spans="1:8" x14ac:dyDescent="0.2">
      <c r="A108" s="32"/>
      <c r="B108" s="165" t="s">
        <v>549</v>
      </c>
      <c r="C108" s="165"/>
      <c r="D108" s="165"/>
      <c r="E108" s="165"/>
      <c r="F108" s="165"/>
      <c r="G108" s="165"/>
      <c r="H108" s="165"/>
    </row>
    <row r="109" spans="1:8" x14ac:dyDescent="0.2">
      <c r="A109" s="32"/>
      <c r="B109" s="32"/>
      <c r="C109" s="32"/>
      <c r="D109" s="34"/>
      <c r="E109" s="34"/>
      <c r="F109" s="34"/>
      <c r="G109" s="34"/>
    </row>
    <row r="110" spans="1:8" x14ac:dyDescent="0.2">
      <c r="A110" s="35"/>
      <c r="B110" s="158" t="s">
        <v>106</v>
      </c>
      <c r="C110" s="159"/>
      <c r="D110" s="160"/>
      <c r="E110" s="36"/>
      <c r="F110" s="37"/>
      <c r="G110" s="37"/>
    </row>
    <row r="111" spans="1:8" x14ac:dyDescent="0.2">
      <c r="A111" s="35"/>
      <c r="B111" s="161" t="s">
        <v>107</v>
      </c>
      <c r="C111" s="162"/>
      <c r="D111" s="16" t="s">
        <v>108</v>
      </c>
      <c r="E111" s="36"/>
      <c r="F111" s="37"/>
      <c r="G111" s="37"/>
    </row>
    <row r="112" spans="1:8" x14ac:dyDescent="0.2">
      <c r="A112" s="35"/>
      <c r="B112" s="161" t="s">
        <v>109</v>
      </c>
      <c r="C112" s="162"/>
      <c r="D112" s="16" t="s">
        <v>108</v>
      </c>
      <c r="E112" s="36"/>
      <c r="F112" s="37"/>
      <c r="G112" s="37"/>
    </row>
    <row r="113" spans="1:7" x14ac:dyDescent="0.2">
      <c r="A113" s="35"/>
      <c r="B113" s="161" t="s">
        <v>110</v>
      </c>
      <c r="C113" s="162"/>
      <c r="D113" s="21" t="s">
        <v>12</v>
      </c>
      <c r="E113" s="36"/>
      <c r="F113" s="37"/>
      <c r="G113" s="37"/>
    </row>
    <row r="114" spans="1:7" x14ac:dyDescent="0.2">
      <c r="A114" s="38"/>
      <c r="B114" s="39" t="s">
        <v>12</v>
      </c>
      <c r="C114" s="39" t="s">
        <v>550</v>
      </c>
      <c r="D114" s="39" t="s">
        <v>111</v>
      </c>
      <c r="E114" s="38"/>
      <c r="F114" s="38"/>
      <c r="G114" s="38"/>
    </row>
    <row r="115" spans="1:7" x14ac:dyDescent="0.2">
      <c r="A115" s="38"/>
      <c r="B115" s="40" t="s">
        <v>112</v>
      </c>
      <c r="C115" s="41">
        <v>45731</v>
      </c>
      <c r="D115" s="41">
        <v>45747</v>
      </c>
      <c r="E115" s="38"/>
      <c r="F115" s="38"/>
      <c r="G115" s="38"/>
    </row>
    <row r="116" spans="1:7" x14ac:dyDescent="0.2">
      <c r="A116" s="42"/>
      <c r="B116" s="24" t="s">
        <v>113</v>
      </c>
      <c r="C116" s="43">
        <v>40.175699999999999</v>
      </c>
      <c r="D116" s="43">
        <v>40.611699999999999</v>
      </c>
      <c r="E116" s="42"/>
      <c r="F116" s="44"/>
      <c r="G116" s="45"/>
    </row>
    <row r="117" spans="1:7" ht="25.5" x14ac:dyDescent="0.2">
      <c r="A117" s="42"/>
      <c r="B117" s="24" t="s">
        <v>670</v>
      </c>
      <c r="C117" s="43">
        <v>17.735299999999999</v>
      </c>
      <c r="D117" s="43">
        <v>17.823799999999999</v>
      </c>
      <c r="E117" s="42"/>
      <c r="F117" s="44"/>
      <c r="G117" s="45"/>
    </row>
    <row r="118" spans="1:7" ht="25.5" x14ac:dyDescent="0.2">
      <c r="A118" s="42"/>
      <c r="B118" s="24" t="s">
        <v>671</v>
      </c>
      <c r="C118" s="43">
        <v>19.568000000000001</v>
      </c>
      <c r="D118" s="43">
        <v>19.7804</v>
      </c>
      <c r="E118" s="42"/>
      <c r="F118" s="44"/>
      <c r="G118" s="45"/>
    </row>
    <row r="119" spans="1:7" ht="25.5" x14ac:dyDescent="0.2">
      <c r="A119" s="42"/>
      <c r="B119" s="24" t="s">
        <v>672</v>
      </c>
      <c r="C119" s="43">
        <v>17.758800000000001</v>
      </c>
      <c r="D119" s="43">
        <v>17.328399999999998</v>
      </c>
      <c r="E119" s="42"/>
      <c r="F119" s="44"/>
      <c r="G119" s="45"/>
    </row>
    <row r="120" spans="1:7" ht="25.5" x14ac:dyDescent="0.2">
      <c r="A120" s="42"/>
      <c r="B120" s="24" t="s">
        <v>673</v>
      </c>
      <c r="C120" s="43">
        <v>17.875299999999999</v>
      </c>
      <c r="D120" s="43">
        <v>18.069299999999998</v>
      </c>
      <c r="E120" s="42"/>
      <c r="F120" s="44"/>
      <c r="G120" s="45"/>
    </row>
    <row r="121" spans="1:7" x14ac:dyDescent="0.2">
      <c r="A121" s="42"/>
      <c r="B121" s="24" t="s">
        <v>114</v>
      </c>
      <c r="C121" s="43">
        <v>38.880299999999998</v>
      </c>
      <c r="D121" s="43">
        <v>39.299199999999999</v>
      </c>
      <c r="E121" s="42"/>
      <c r="F121" s="44"/>
      <c r="G121" s="45"/>
    </row>
    <row r="122" spans="1:7" ht="25.5" x14ac:dyDescent="0.2">
      <c r="A122" s="42"/>
      <c r="B122" s="24" t="s">
        <v>674</v>
      </c>
      <c r="C122" s="43">
        <v>16.747900000000001</v>
      </c>
      <c r="D122" s="43">
        <v>16.830400000000001</v>
      </c>
      <c r="E122" s="42"/>
      <c r="F122" s="44"/>
      <c r="G122" s="45"/>
    </row>
    <row r="123" spans="1:7" ht="25.5" x14ac:dyDescent="0.2">
      <c r="A123" s="42"/>
      <c r="B123" s="24" t="s">
        <v>646</v>
      </c>
      <c r="C123" s="43">
        <v>18.972300000000001</v>
      </c>
      <c r="D123" s="43">
        <v>19.1767</v>
      </c>
      <c r="E123" s="42"/>
      <c r="F123" s="44"/>
      <c r="G123" s="45"/>
    </row>
    <row r="124" spans="1:7" ht="25.5" x14ac:dyDescent="0.2">
      <c r="A124" s="42"/>
      <c r="B124" s="24" t="s">
        <v>675</v>
      </c>
      <c r="C124" s="43">
        <v>17.632000000000001</v>
      </c>
      <c r="D124" s="43">
        <v>17.203900000000001</v>
      </c>
      <c r="E124" s="42"/>
      <c r="F124" s="44"/>
      <c r="G124" s="45"/>
    </row>
    <row r="125" spans="1:7" ht="25.5" x14ac:dyDescent="0.2">
      <c r="A125" s="42"/>
      <c r="B125" s="24" t="s">
        <v>676</v>
      </c>
      <c r="C125" s="43">
        <v>17.334800000000001</v>
      </c>
      <c r="D125" s="43">
        <v>17.521599999999999</v>
      </c>
      <c r="E125" s="42"/>
      <c r="F125" s="44"/>
      <c r="G125" s="45"/>
    </row>
    <row r="126" spans="1:7" x14ac:dyDescent="0.2">
      <c r="A126" s="42"/>
      <c r="B126" s="42"/>
      <c r="C126" s="42"/>
      <c r="D126" s="42"/>
      <c r="E126" s="42"/>
      <c r="F126" s="42"/>
      <c r="G126" s="42"/>
    </row>
    <row r="127" spans="1:7" x14ac:dyDescent="0.2">
      <c r="A127" s="42"/>
      <c r="B127" s="161" t="s">
        <v>563</v>
      </c>
      <c r="C127" s="162"/>
      <c r="D127" s="16" t="s">
        <v>12</v>
      </c>
      <c r="E127" s="42"/>
      <c r="F127" s="42"/>
      <c r="G127" s="42"/>
    </row>
    <row r="128" spans="1:7" x14ac:dyDescent="0.2">
      <c r="A128" s="42"/>
      <c r="B128" s="46" t="s">
        <v>112</v>
      </c>
      <c r="C128" s="47" t="s">
        <v>115</v>
      </c>
      <c r="D128" s="47" t="s">
        <v>116</v>
      </c>
      <c r="E128" s="42"/>
      <c r="F128" s="42"/>
      <c r="G128" s="42"/>
    </row>
    <row r="129" spans="1:14" ht="25.5" x14ac:dyDescent="0.2">
      <c r="A129" s="42"/>
      <c r="B129" s="24" t="s">
        <v>670</v>
      </c>
      <c r="C129" s="48">
        <v>0.10299999999999999</v>
      </c>
      <c r="D129" s="28" t="s">
        <v>117</v>
      </c>
      <c r="E129" s="42"/>
      <c r="F129" s="44"/>
      <c r="G129" s="45"/>
    </row>
    <row r="130" spans="1:14" ht="25.5" x14ac:dyDescent="0.2">
      <c r="A130" s="42"/>
      <c r="B130" s="24" t="s">
        <v>672</v>
      </c>
      <c r="C130" s="48">
        <v>0.62</v>
      </c>
      <c r="D130" s="28" t="s">
        <v>117</v>
      </c>
      <c r="E130" s="42"/>
      <c r="F130" s="44"/>
      <c r="G130" s="45"/>
    </row>
    <row r="131" spans="1:14" ht="25.5" x14ac:dyDescent="0.2">
      <c r="A131" s="42"/>
      <c r="B131" s="24" t="s">
        <v>674</v>
      </c>
      <c r="C131" s="48">
        <v>9.7000000000000003E-2</v>
      </c>
      <c r="D131" s="28" t="s">
        <v>117</v>
      </c>
      <c r="E131" s="42"/>
      <c r="F131" s="44"/>
      <c r="G131" s="45"/>
    </row>
    <row r="132" spans="1:14" ht="25.5" x14ac:dyDescent="0.2">
      <c r="A132" s="42"/>
      <c r="B132" s="24" t="s">
        <v>675</v>
      </c>
      <c r="C132" s="48">
        <v>0.61499999999999999</v>
      </c>
      <c r="D132" s="28" t="s">
        <v>117</v>
      </c>
      <c r="E132" s="42"/>
      <c r="F132" s="44"/>
      <c r="G132" s="45"/>
    </row>
    <row r="133" spans="1:14" x14ac:dyDescent="0.2">
      <c r="A133" s="42"/>
      <c r="B133" s="49"/>
      <c r="C133" s="49"/>
      <c r="D133" s="50"/>
      <c r="E133" s="42"/>
      <c r="F133" s="44"/>
      <c r="G133" s="45"/>
    </row>
    <row r="134" spans="1:14" ht="25.5" customHeight="1" x14ac:dyDescent="0.2">
      <c r="A134" s="38"/>
      <c r="B134" s="163" t="s">
        <v>118</v>
      </c>
      <c r="C134" s="164"/>
      <c r="D134" s="51" t="s">
        <v>108</v>
      </c>
      <c r="E134" s="52"/>
      <c r="F134" s="38"/>
      <c r="G134" s="38"/>
    </row>
    <row r="135" spans="1:14" ht="26.25" customHeight="1" x14ac:dyDescent="0.2">
      <c r="A135" s="38"/>
      <c r="B135" s="163" t="s">
        <v>119</v>
      </c>
      <c r="C135" s="164"/>
      <c r="D135" s="51" t="s">
        <v>108</v>
      </c>
      <c r="E135" s="52"/>
      <c r="F135" s="38"/>
      <c r="G135" s="38"/>
    </row>
    <row r="136" spans="1:14" x14ac:dyDescent="0.2">
      <c r="A136" s="38"/>
      <c r="B136" s="163" t="s">
        <v>551</v>
      </c>
      <c r="C136" s="164"/>
      <c r="D136" s="51" t="s">
        <v>108</v>
      </c>
      <c r="E136" s="52"/>
      <c r="F136" s="38"/>
      <c r="G136" s="38"/>
    </row>
    <row r="137" spans="1:14" x14ac:dyDescent="0.2">
      <c r="A137" s="54"/>
      <c r="B137" s="54"/>
      <c r="C137" s="54"/>
      <c r="D137" s="54"/>
      <c r="E137" s="54"/>
      <c r="F137" s="54"/>
      <c r="G137" s="54"/>
    </row>
    <row r="138" spans="1:14" s="55" customFormat="1" x14ac:dyDescent="0.2">
      <c r="B138" s="166" t="s">
        <v>552</v>
      </c>
      <c r="C138" s="167"/>
      <c r="D138" s="168"/>
      <c r="H138"/>
      <c r="I138"/>
      <c r="J138" s="53"/>
      <c r="K138" s="53"/>
      <c r="L138" s="53"/>
      <c r="M138" s="53"/>
      <c r="N138" s="53"/>
    </row>
    <row r="139" spans="1:14" s="55" customFormat="1" ht="38.25" x14ac:dyDescent="0.2">
      <c r="B139" s="156" t="s">
        <v>553</v>
      </c>
      <c r="C139" s="156"/>
      <c r="D139" s="57" t="s">
        <v>1</v>
      </c>
      <c r="H139"/>
      <c r="I139"/>
      <c r="J139" s="53"/>
      <c r="K139" s="53"/>
      <c r="L139" s="53"/>
      <c r="M139" s="53"/>
      <c r="N139" s="53"/>
    </row>
    <row r="140" spans="1:14" s="55" customFormat="1" x14ac:dyDescent="0.2">
      <c r="B140" s="169" t="s">
        <v>554</v>
      </c>
      <c r="C140" s="169"/>
      <c r="D140" s="58"/>
      <c r="H140"/>
      <c r="I140"/>
      <c r="J140" s="53"/>
      <c r="K140" s="53"/>
      <c r="L140" s="53"/>
      <c r="M140" s="53"/>
      <c r="N140" s="53"/>
    </row>
    <row r="141" spans="1:14" s="55" customFormat="1" x14ac:dyDescent="0.2">
      <c r="B141" s="170"/>
      <c r="C141" s="171"/>
      <c r="D141" s="59"/>
      <c r="H141"/>
      <c r="I141"/>
      <c r="J141" s="53"/>
      <c r="K141" s="53"/>
      <c r="L141" s="53"/>
      <c r="M141" s="53"/>
      <c r="N141" s="53"/>
    </row>
    <row r="142" spans="1:14" s="55" customFormat="1" x14ac:dyDescent="0.2">
      <c r="B142" s="169" t="s">
        <v>555</v>
      </c>
      <c r="C142" s="169"/>
      <c r="D142" s="60">
        <v>7.1492044953563232</v>
      </c>
      <c r="H142"/>
      <c r="I142"/>
      <c r="J142" s="53"/>
      <c r="K142" s="53"/>
      <c r="L142" s="53"/>
      <c r="M142" s="53"/>
      <c r="N142" s="53"/>
    </row>
    <row r="143" spans="1:14" s="55" customFormat="1" x14ac:dyDescent="0.2">
      <c r="B143" s="170"/>
      <c r="C143" s="171"/>
      <c r="D143" s="59"/>
      <c r="H143"/>
      <c r="I143"/>
      <c r="J143" s="53"/>
      <c r="K143" s="53"/>
      <c r="L143" s="53"/>
      <c r="M143" s="53"/>
      <c r="N143" s="53"/>
    </row>
    <row r="144" spans="1:14" s="55" customFormat="1" x14ac:dyDescent="0.2">
      <c r="B144" s="169" t="s">
        <v>556</v>
      </c>
      <c r="C144" s="169"/>
      <c r="D144" s="60">
        <v>4.0583069557879794</v>
      </c>
      <c r="H144"/>
      <c r="I144"/>
      <c r="J144" s="53"/>
      <c r="K144" s="53"/>
      <c r="L144" s="53"/>
      <c r="M144" s="53"/>
      <c r="N144" s="53"/>
    </row>
    <row r="145" spans="2:14" s="55" customFormat="1" x14ac:dyDescent="0.2">
      <c r="B145" s="169" t="s">
        <v>557</v>
      </c>
      <c r="C145" s="169"/>
      <c r="D145" s="60">
        <v>5.9787262464312247</v>
      </c>
      <c r="H145"/>
      <c r="I145"/>
      <c r="J145" s="53"/>
      <c r="K145" s="53"/>
      <c r="L145" s="53"/>
      <c r="M145" s="53"/>
      <c r="N145" s="53"/>
    </row>
    <row r="146" spans="2:14" s="55" customFormat="1" x14ac:dyDescent="0.2">
      <c r="B146" s="170"/>
      <c r="C146" s="171"/>
      <c r="D146" s="59"/>
      <c r="I146"/>
      <c r="J146" s="53"/>
      <c r="K146" s="53"/>
      <c r="L146" s="53"/>
      <c r="M146" s="53"/>
      <c r="N146" s="53"/>
    </row>
    <row r="147" spans="2:14" s="55" customFormat="1" x14ac:dyDescent="0.2">
      <c r="B147" s="169" t="s">
        <v>558</v>
      </c>
      <c r="C147" s="169"/>
      <c r="D147" s="62" t="s">
        <v>677</v>
      </c>
      <c r="I147"/>
      <c r="J147" s="53"/>
      <c r="K147" s="53"/>
      <c r="L147" s="53"/>
      <c r="M147" s="53"/>
      <c r="N147" s="56"/>
    </row>
    <row r="148" spans="2:14" s="55" customFormat="1" x14ac:dyDescent="0.2">
      <c r="B148" s="170" t="s">
        <v>559</v>
      </c>
      <c r="C148" s="172"/>
      <c r="D148" s="171"/>
      <c r="I148"/>
      <c r="J148" s="53"/>
      <c r="K148" s="53"/>
      <c r="L148" s="53"/>
      <c r="M148" s="53"/>
      <c r="N148" s="53"/>
    </row>
    <row r="150" spans="2:14" ht="25.5" x14ac:dyDescent="0.2">
      <c r="B150" s="64" t="s">
        <v>560</v>
      </c>
    </row>
    <row r="152" spans="2:14" ht="153.75" customHeight="1" x14ac:dyDescent="0.2"/>
    <row r="155" spans="2:14" x14ac:dyDescent="0.2">
      <c r="B155" s="65" t="s">
        <v>561</v>
      </c>
      <c r="C155" s="66"/>
      <c r="D155" s="65"/>
    </row>
    <row r="156" spans="2:14" x14ac:dyDescent="0.2">
      <c r="B156" s="65" t="s">
        <v>562</v>
      </c>
      <c r="D156" s="65"/>
    </row>
    <row r="157" spans="2:14" ht="165" customHeight="1" x14ac:dyDescent="0.2"/>
    <row r="161" customFormat="1" x14ac:dyDescent="0.2"/>
    <row r="162" customFormat="1" x14ac:dyDescent="0.2"/>
    <row r="163" customFormat="1" x14ac:dyDescent="0.2"/>
    <row r="164" customFormat="1" x14ac:dyDescent="0.2"/>
    <row r="165" customFormat="1" x14ac:dyDescent="0.2"/>
    <row r="166" customFormat="1" x14ac:dyDescent="0.2"/>
  </sheetData>
  <mergeCells count="25">
    <mergeCell ref="B145:C145"/>
    <mergeCell ref="B146:C146"/>
    <mergeCell ref="B147:C147"/>
    <mergeCell ref="B148:D148"/>
    <mergeCell ref="B140:C140"/>
    <mergeCell ref="B141:C141"/>
    <mergeCell ref="B142:C142"/>
    <mergeCell ref="B143:C143"/>
    <mergeCell ref="B144:C144"/>
    <mergeCell ref="B139:C139"/>
    <mergeCell ref="A1:H1"/>
    <mergeCell ref="A2:H2"/>
    <mergeCell ref="A3:H3"/>
    <mergeCell ref="B110:D110"/>
    <mergeCell ref="B111:C111"/>
    <mergeCell ref="B112:C112"/>
    <mergeCell ref="B113:C113"/>
    <mergeCell ref="B127:C127"/>
    <mergeCell ref="B135:C135"/>
    <mergeCell ref="B106:H106"/>
    <mergeCell ref="B107:H107"/>
    <mergeCell ref="B108:H108"/>
    <mergeCell ref="B134:C134"/>
    <mergeCell ref="B138:D138"/>
    <mergeCell ref="B136:C136"/>
  </mergeCells>
  <hyperlinks>
    <hyperlink ref="I1" location="Index!B2" display="Index" xr:uid="{6270DBCC-3E00-4CE7-9B25-8479FF888BF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41C27-C46F-4C5B-B7E7-ECE87BA550B5}">
  <sheetPr>
    <outlinePr summaryBelow="0" summaryRight="0"/>
  </sheetPr>
  <dimension ref="A1:R150"/>
  <sheetViews>
    <sheetView showGridLines="0" workbookViewId="0">
      <selection sqref="A1:H1"/>
    </sheetView>
  </sheetViews>
  <sheetFormatPr defaultRowHeight="12.75" x14ac:dyDescent="0.2"/>
  <cols>
    <col min="1" max="1" width="5.85546875" bestFit="1" customWidth="1"/>
    <col min="2" max="2" width="21" customWidth="1"/>
    <col min="3" max="3" width="39.140625" bestFit="1" customWidth="1"/>
    <col min="4" max="4" width="11.28515625" bestFit="1" customWidth="1"/>
    <col min="5" max="5" width="9.42578125" bestFit="1" customWidth="1"/>
    <col min="6" max="6" width="10.140625" bestFit="1" customWidth="1"/>
    <col min="7" max="7" width="14" bestFit="1" customWidth="1"/>
    <col min="8" max="8" width="9.42578125" customWidth="1"/>
  </cols>
  <sheetData>
    <row r="1" spans="1:9" ht="15" x14ac:dyDescent="0.2">
      <c r="A1" s="157" t="s">
        <v>0</v>
      </c>
      <c r="B1" s="157"/>
      <c r="C1" s="157"/>
      <c r="D1" s="157"/>
      <c r="E1" s="157"/>
      <c r="F1" s="157"/>
      <c r="G1" s="157"/>
      <c r="H1" s="157"/>
      <c r="I1" s="1" t="s">
        <v>531</v>
      </c>
    </row>
    <row r="2" spans="1:9" ht="15" x14ac:dyDescent="0.2">
      <c r="A2" s="157" t="s">
        <v>120</v>
      </c>
      <c r="B2" s="157"/>
      <c r="C2" s="157"/>
      <c r="D2" s="157"/>
      <c r="E2" s="157"/>
      <c r="F2" s="157"/>
      <c r="G2" s="157"/>
      <c r="H2" s="157"/>
    </row>
    <row r="3" spans="1:9" ht="15" x14ac:dyDescent="0.2">
      <c r="A3" s="157" t="s">
        <v>532</v>
      </c>
      <c r="B3" s="157"/>
      <c r="C3" s="157"/>
      <c r="D3" s="157"/>
      <c r="E3" s="157"/>
      <c r="F3" s="157"/>
      <c r="G3" s="157"/>
      <c r="H3" s="157"/>
    </row>
    <row r="4" spans="1:9" s="14" customFormat="1" ht="30" x14ac:dyDescent="0.2">
      <c r="A4" s="12" t="s">
        <v>2</v>
      </c>
      <c r="B4" s="12" t="s">
        <v>3</v>
      </c>
      <c r="C4" s="12" t="s">
        <v>4</v>
      </c>
      <c r="D4" s="12" t="s">
        <v>5</v>
      </c>
      <c r="E4" s="12" t="s">
        <v>6</v>
      </c>
      <c r="F4" s="12" t="s">
        <v>7</v>
      </c>
      <c r="G4" s="12" t="s">
        <v>8</v>
      </c>
      <c r="H4" s="13" t="s">
        <v>530</v>
      </c>
    </row>
    <row r="5" spans="1:9" x14ac:dyDescent="0.2">
      <c r="A5" s="15"/>
      <c r="B5" s="15"/>
      <c r="C5" s="16" t="s">
        <v>9</v>
      </c>
      <c r="D5" s="15"/>
      <c r="E5" s="15"/>
      <c r="F5" s="15"/>
      <c r="G5" s="15"/>
      <c r="H5" s="17" t="s">
        <v>12</v>
      </c>
    </row>
    <row r="6" spans="1:9" x14ac:dyDescent="0.2">
      <c r="A6" s="15"/>
      <c r="B6" s="15"/>
      <c r="C6" s="16" t="s">
        <v>10</v>
      </c>
      <c r="D6" s="15"/>
      <c r="E6" s="15"/>
      <c r="F6" s="15"/>
      <c r="G6" s="15"/>
      <c r="H6" s="17" t="s">
        <v>12</v>
      </c>
    </row>
    <row r="7" spans="1:9" x14ac:dyDescent="0.2">
      <c r="A7" s="15"/>
      <c r="B7" s="15"/>
      <c r="C7" s="16" t="s">
        <v>11</v>
      </c>
      <c r="D7" s="15"/>
      <c r="E7" s="15" t="s">
        <v>12</v>
      </c>
      <c r="F7" s="18" t="s">
        <v>13</v>
      </c>
      <c r="G7" s="19">
        <v>0</v>
      </c>
      <c r="H7" s="17" t="s">
        <v>12</v>
      </c>
    </row>
    <row r="8" spans="1:9" x14ac:dyDescent="0.2">
      <c r="A8" s="15"/>
      <c r="B8" s="15"/>
      <c r="C8" s="20"/>
      <c r="D8" s="15"/>
      <c r="E8" s="15"/>
      <c r="F8" s="21"/>
      <c r="G8" s="21"/>
      <c r="H8" s="17" t="s">
        <v>12</v>
      </c>
    </row>
    <row r="9" spans="1:9" x14ac:dyDescent="0.2">
      <c r="A9" s="15"/>
      <c r="B9" s="15"/>
      <c r="C9" s="16" t="s">
        <v>14</v>
      </c>
      <c r="D9" s="15"/>
      <c r="E9" s="15"/>
      <c r="F9" s="15"/>
      <c r="G9" s="15"/>
      <c r="H9" s="17" t="s">
        <v>12</v>
      </c>
    </row>
    <row r="10" spans="1:9" x14ac:dyDescent="0.2">
      <c r="A10" s="15"/>
      <c r="B10" s="15"/>
      <c r="C10" s="16" t="s">
        <v>11</v>
      </c>
      <c r="D10" s="15"/>
      <c r="E10" s="15" t="s">
        <v>12</v>
      </c>
      <c r="F10" s="18" t="s">
        <v>13</v>
      </c>
      <c r="G10" s="19">
        <v>0</v>
      </c>
      <c r="H10" s="17" t="s">
        <v>12</v>
      </c>
    </row>
    <row r="11" spans="1:9" x14ac:dyDescent="0.2">
      <c r="A11" s="15"/>
      <c r="B11" s="15"/>
      <c r="C11" s="20"/>
      <c r="D11" s="15"/>
      <c r="E11" s="15"/>
      <c r="F11" s="21"/>
      <c r="G11" s="21"/>
      <c r="H11" s="17" t="s">
        <v>12</v>
      </c>
    </row>
    <row r="12" spans="1:9" x14ac:dyDescent="0.2">
      <c r="A12" s="15"/>
      <c r="B12" s="15"/>
      <c r="C12" s="16" t="s">
        <v>15</v>
      </c>
      <c r="D12" s="15"/>
      <c r="E12" s="15"/>
      <c r="F12" s="15"/>
      <c r="G12" s="15"/>
      <c r="H12" s="17" t="s">
        <v>12</v>
      </c>
    </row>
    <row r="13" spans="1:9" x14ac:dyDescent="0.2">
      <c r="A13" s="15"/>
      <c r="B13" s="15"/>
      <c r="C13" s="16" t="s">
        <v>11</v>
      </c>
      <c r="D13" s="15"/>
      <c r="E13" s="15" t="s">
        <v>12</v>
      </c>
      <c r="F13" s="18" t="s">
        <v>13</v>
      </c>
      <c r="G13" s="19">
        <v>0</v>
      </c>
      <c r="H13" s="17" t="s">
        <v>12</v>
      </c>
    </row>
    <row r="14" spans="1:9" x14ac:dyDescent="0.2">
      <c r="A14" s="15"/>
      <c r="B14" s="15"/>
      <c r="C14" s="20"/>
      <c r="D14" s="15"/>
      <c r="E14" s="15"/>
      <c r="F14" s="21"/>
      <c r="G14" s="21"/>
      <c r="H14" s="17" t="s">
        <v>12</v>
      </c>
    </row>
    <row r="15" spans="1:9" x14ac:dyDescent="0.2">
      <c r="A15" s="15"/>
      <c r="B15" s="15"/>
      <c r="C15" s="16" t="s">
        <v>16</v>
      </c>
      <c r="D15" s="15"/>
      <c r="E15" s="15"/>
      <c r="F15" s="15"/>
      <c r="G15" s="15"/>
      <c r="H15" s="17" t="s">
        <v>12</v>
      </c>
    </row>
    <row r="16" spans="1:9" x14ac:dyDescent="0.2">
      <c r="A16" s="15"/>
      <c r="B16" s="15"/>
      <c r="C16" s="16" t="s">
        <v>11</v>
      </c>
      <c r="D16" s="15"/>
      <c r="E16" s="15" t="s">
        <v>12</v>
      </c>
      <c r="F16" s="18" t="s">
        <v>13</v>
      </c>
      <c r="G16" s="19">
        <v>0</v>
      </c>
      <c r="H16" s="17" t="s">
        <v>12</v>
      </c>
    </row>
    <row r="17" spans="1:8" x14ac:dyDescent="0.2">
      <c r="A17" s="15"/>
      <c r="B17" s="15"/>
      <c r="C17" s="20"/>
      <c r="D17" s="15"/>
      <c r="E17" s="15"/>
      <c r="F17" s="21"/>
      <c r="G17" s="21"/>
      <c r="H17" s="17" t="s">
        <v>12</v>
      </c>
    </row>
    <row r="18" spans="1:8" x14ac:dyDescent="0.2">
      <c r="A18" s="15"/>
      <c r="B18" s="15"/>
      <c r="C18" s="16" t="s">
        <v>17</v>
      </c>
      <c r="D18" s="15"/>
      <c r="E18" s="15"/>
      <c r="F18" s="21"/>
      <c r="G18" s="21"/>
      <c r="H18" s="17" t="s">
        <v>12</v>
      </c>
    </row>
    <row r="19" spans="1:8" x14ac:dyDescent="0.2">
      <c r="A19" s="15"/>
      <c r="B19" s="15"/>
      <c r="C19" s="16" t="s">
        <v>11</v>
      </c>
      <c r="D19" s="15"/>
      <c r="E19" s="15" t="s">
        <v>12</v>
      </c>
      <c r="F19" s="18" t="s">
        <v>13</v>
      </c>
      <c r="G19" s="19">
        <v>0</v>
      </c>
      <c r="H19" s="17" t="s">
        <v>12</v>
      </c>
    </row>
    <row r="20" spans="1:8" x14ac:dyDescent="0.2">
      <c r="A20" s="15"/>
      <c r="B20" s="15"/>
      <c r="C20" s="20"/>
      <c r="D20" s="15"/>
      <c r="E20" s="15"/>
      <c r="F20" s="21"/>
      <c r="G20" s="21"/>
      <c r="H20" s="17" t="s">
        <v>12</v>
      </c>
    </row>
    <row r="21" spans="1:8" x14ac:dyDescent="0.2">
      <c r="A21" s="15"/>
      <c r="B21" s="15"/>
      <c r="C21" s="16" t="s">
        <v>18</v>
      </c>
      <c r="D21" s="15"/>
      <c r="E21" s="15"/>
      <c r="F21" s="21"/>
      <c r="G21" s="21"/>
      <c r="H21" s="17" t="s">
        <v>12</v>
      </c>
    </row>
    <row r="22" spans="1:8" x14ac:dyDescent="0.2">
      <c r="A22" s="15"/>
      <c r="B22" s="15"/>
      <c r="C22" s="16" t="s">
        <v>11</v>
      </c>
      <c r="D22" s="15"/>
      <c r="E22" s="15" t="s">
        <v>12</v>
      </c>
      <c r="F22" s="18" t="s">
        <v>13</v>
      </c>
      <c r="G22" s="19">
        <v>0</v>
      </c>
      <c r="H22" s="17" t="s">
        <v>12</v>
      </c>
    </row>
    <row r="23" spans="1:8" x14ac:dyDescent="0.2">
      <c r="A23" s="15"/>
      <c r="B23" s="15"/>
      <c r="C23" s="20"/>
      <c r="D23" s="15"/>
      <c r="E23" s="15"/>
      <c r="F23" s="21"/>
      <c r="G23" s="21"/>
      <c r="H23" s="17" t="s">
        <v>12</v>
      </c>
    </row>
    <row r="24" spans="1:8" x14ac:dyDescent="0.2">
      <c r="A24" s="15"/>
      <c r="B24" s="15"/>
      <c r="C24" s="16" t="s">
        <v>19</v>
      </c>
      <c r="D24" s="15"/>
      <c r="E24" s="15"/>
      <c r="F24" s="22">
        <v>0</v>
      </c>
      <c r="G24" s="19">
        <v>0</v>
      </c>
      <c r="H24" s="17" t="s">
        <v>12</v>
      </c>
    </row>
    <row r="25" spans="1:8" x14ac:dyDescent="0.2">
      <c r="A25" s="15"/>
      <c r="B25" s="15"/>
      <c r="C25" s="20"/>
      <c r="D25" s="15"/>
      <c r="E25" s="15"/>
      <c r="F25" s="21"/>
      <c r="G25" s="21"/>
      <c r="H25" s="17" t="s">
        <v>12</v>
      </c>
    </row>
    <row r="26" spans="1:8" x14ac:dyDescent="0.2">
      <c r="A26" s="15"/>
      <c r="B26" s="15"/>
      <c r="C26" s="16" t="s">
        <v>20</v>
      </c>
      <c r="D26" s="15"/>
      <c r="E26" s="15"/>
      <c r="F26" s="21"/>
      <c r="G26" s="21"/>
      <c r="H26" s="17" t="s">
        <v>12</v>
      </c>
    </row>
    <row r="27" spans="1:8" x14ac:dyDescent="0.2">
      <c r="A27" s="15"/>
      <c r="B27" s="15"/>
      <c r="C27" s="16" t="s">
        <v>10</v>
      </c>
      <c r="D27" s="15"/>
      <c r="E27" s="15"/>
      <c r="F27" s="21"/>
      <c r="G27" s="21"/>
      <c r="H27" s="17" t="s">
        <v>12</v>
      </c>
    </row>
    <row r="28" spans="1:8" ht="25.5" x14ac:dyDescent="0.2">
      <c r="A28" s="23">
        <v>1</v>
      </c>
      <c r="B28" s="24" t="s">
        <v>49</v>
      </c>
      <c r="C28" s="24" t="s">
        <v>50</v>
      </c>
      <c r="D28" s="24" t="s">
        <v>36</v>
      </c>
      <c r="E28" s="25">
        <v>300</v>
      </c>
      <c r="F28" s="26">
        <v>3023.94</v>
      </c>
      <c r="G28" s="27">
        <v>8.5745169999999996E-2</v>
      </c>
      <c r="H28" s="17">
        <v>7.0750000000000002</v>
      </c>
    </row>
    <row r="29" spans="1:8" x14ac:dyDescent="0.2">
      <c r="A29" s="23">
        <v>2</v>
      </c>
      <c r="B29" s="24" t="s">
        <v>121</v>
      </c>
      <c r="C29" s="24" t="s">
        <v>122</v>
      </c>
      <c r="D29" s="24" t="s">
        <v>36</v>
      </c>
      <c r="E29" s="25">
        <v>250</v>
      </c>
      <c r="F29" s="26">
        <v>2522.8425000000002</v>
      </c>
      <c r="G29" s="27">
        <v>7.1536329999999995E-2</v>
      </c>
      <c r="H29" s="17">
        <v>7.2</v>
      </c>
    </row>
    <row r="30" spans="1:8" x14ac:dyDescent="0.2">
      <c r="A30" s="23">
        <v>3</v>
      </c>
      <c r="B30" s="24" t="s">
        <v>123</v>
      </c>
      <c r="C30" s="24" t="s">
        <v>124</v>
      </c>
      <c r="D30" s="24" t="s">
        <v>23</v>
      </c>
      <c r="E30" s="25">
        <v>2500</v>
      </c>
      <c r="F30" s="26">
        <v>2513.2199999999998</v>
      </c>
      <c r="G30" s="27">
        <v>7.1263480000000004E-2</v>
      </c>
      <c r="H30" s="17">
        <v>7.4927000000000001</v>
      </c>
    </row>
    <row r="31" spans="1:8" x14ac:dyDescent="0.2">
      <c r="A31" s="23">
        <v>4</v>
      </c>
      <c r="B31" s="24" t="s">
        <v>125</v>
      </c>
      <c r="C31" s="24" t="s">
        <v>126</v>
      </c>
      <c r="D31" s="24" t="s">
        <v>23</v>
      </c>
      <c r="E31" s="25">
        <v>2000</v>
      </c>
      <c r="F31" s="26">
        <v>2016.684</v>
      </c>
      <c r="G31" s="27">
        <v>5.7183980000000002E-2</v>
      </c>
      <c r="H31" s="17">
        <v>7.1755000000000004</v>
      </c>
    </row>
    <row r="32" spans="1:8" ht="25.5" x14ac:dyDescent="0.2">
      <c r="A32" s="23">
        <v>5</v>
      </c>
      <c r="B32" s="24" t="s">
        <v>127</v>
      </c>
      <c r="C32" s="24" t="s">
        <v>128</v>
      </c>
      <c r="D32" s="24" t="s">
        <v>36</v>
      </c>
      <c r="E32" s="25">
        <v>200</v>
      </c>
      <c r="F32" s="26">
        <v>2001.674</v>
      </c>
      <c r="G32" s="27">
        <v>5.6758360000000001E-2</v>
      </c>
      <c r="H32" s="17">
        <v>7.38</v>
      </c>
    </row>
    <row r="33" spans="1:8" ht="25.5" x14ac:dyDescent="0.2">
      <c r="A33" s="23">
        <v>6</v>
      </c>
      <c r="B33" s="24" t="s">
        <v>129</v>
      </c>
      <c r="C33" s="24" t="s">
        <v>130</v>
      </c>
      <c r="D33" s="24" t="s">
        <v>36</v>
      </c>
      <c r="E33" s="25">
        <v>200</v>
      </c>
      <c r="F33" s="26">
        <v>1967.8040000000001</v>
      </c>
      <c r="G33" s="27">
        <v>5.5797960000000001E-2</v>
      </c>
      <c r="H33" s="17">
        <v>7.2962999999999996</v>
      </c>
    </row>
    <row r="34" spans="1:8" ht="25.5" x14ac:dyDescent="0.2">
      <c r="A34" s="23">
        <v>7</v>
      </c>
      <c r="B34" s="24" t="s">
        <v>37</v>
      </c>
      <c r="C34" s="24" t="s">
        <v>38</v>
      </c>
      <c r="D34" s="24" t="s">
        <v>23</v>
      </c>
      <c r="E34" s="25">
        <v>1500</v>
      </c>
      <c r="F34" s="26">
        <v>1522.3979999999999</v>
      </c>
      <c r="G34" s="27">
        <v>4.3168280000000003E-2</v>
      </c>
      <c r="H34" s="17">
        <v>7.18</v>
      </c>
    </row>
    <row r="35" spans="1:8" ht="25.5" x14ac:dyDescent="0.2">
      <c r="A35" s="23">
        <v>8</v>
      </c>
      <c r="B35" s="24" t="s">
        <v>131</v>
      </c>
      <c r="C35" s="24" t="s">
        <v>132</v>
      </c>
      <c r="D35" s="24" t="s">
        <v>23</v>
      </c>
      <c r="E35" s="25">
        <v>1500</v>
      </c>
      <c r="F35" s="26">
        <v>1513.7415000000001</v>
      </c>
      <c r="G35" s="27">
        <v>4.292282E-2</v>
      </c>
      <c r="H35" s="17">
        <v>7.0361000000000002</v>
      </c>
    </row>
    <row r="36" spans="1:8" ht="25.5" x14ac:dyDescent="0.2">
      <c r="A36" s="23">
        <v>9</v>
      </c>
      <c r="B36" s="24" t="s">
        <v>43</v>
      </c>
      <c r="C36" s="24" t="s">
        <v>44</v>
      </c>
      <c r="D36" s="24" t="s">
        <v>23</v>
      </c>
      <c r="E36" s="25">
        <v>1500</v>
      </c>
      <c r="F36" s="26">
        <v>1500.6315</v>
      </c>
      <c r="G36" s="27">
        <v>4.2551079999999998E-2</v>
      </c>
      <c r="H36" s="17">
        <v>7.2337999999999996</v>
      </c>
    </row>
    <row r="37" spans="1:8" ht="25.5" x14ac:dyDescent="0.2">
      <c r="A37" s="23">
        <v>10</v>
      </c>
      <c r="B37" s="24" t="s">
        <v>133</v>
      </c>
      <c r="C37" s="24" t="s">
        <v>134</v>
      </c>
      <c r="D37" s="24" t="s">
        <v>23</v>
      </c>
      <c r="E37" s="25">
        <v>1000</v>
      </c>
      <c r="F37" s="26">
        <v>1018.853</v>
      </c>
      <c r="G37" s="27">
        <v>2.8890030000000001E-2</v>
      </c>
      <c r="H37" s="17">
        <v>7.06</v>
      </c>
    </row>
    <row r="38" spans="1:8" ht="25.5" x14ac:dyDescent="0.2">
      <c r="A38" s="23">
        <v>11</v>
      </c>
      <c r="B38" s="24" t="s">
        <v>24</v>
      </c>
      <c r="C38" s="24" t="s">
        <v>25</v>
      </c>
      <c r="D38" s="24" t="s">
        <v>23</v>
      </c>
      <c r="E38" s="25">
        <v>1000</v>
      </c>
      <c r="F38" s="26">
        <v>1009.397</v>
      </c>
      <c r="G38" s="27">
        <v>2.8621899999999999E-2</v>
      </c>
      <c r="H38" s="17">
        <v>7.12</v>
      </c>
    </row>
    <row r="39" spans="1:8" ht="25.5" x14ac:dyDescent="0.2">
      <c r="A39" s="23">
        <v>12</v>
      </c>
      <c r="B39" s="24" t="s">
        <v>30</v>
      </c>
      <c r="C39" s="24" t="s">
        <v>31</v>
      </c>
      <c r="D39" s="24" t="s">
        <v>23</v>
      </c>
      <c r="E39" s="25">
        <v>500</v>
      </c>
      <c r="F39" s="26">
        <v>510.31700000000001</v>
      </c>
      <c r="G39" s="27">
        <v>1.447027E-2</v>
      </c>
      <c r="H39" s="17">
        <v>7.08</v>
      </c>
    </row>
    <row r="40" spans="1:8" ht="25.5" x14ac:dyDescent="0.2">
      <c r="A40" s="23">
        <v>13</v>
      </c>
      <c r="B40" s="24" t="s">
        <v>135</v>
      </c>
      <c r="C40" s="24" t="s">
        <v>136</v>
      </c>
      <c r="D40" s="24" t="s">
        <v>23</v>
      </c>
      <c r="E40" s="25">
        <v>500</v>
      </c>
      <c r="F40" s="26">
        <v>506.99950000000001</v>
      </c>
      <c r="G40" s="27">
        <v>1.43762E-2</v>
      </c>
      <c r="H40" s="17">
        <v>7.21</v>
      </c>
    </row>
    <row r="41" spans="1:8" ht="25.5" x14ac:dyDescent="0.2">
      <c r="A41" s="23">
        <v>14</v>
      </c>
      <c r="B41" s="24" t="s">
        <v>45</v>
      </c>
      <c r="C41" s="24" t="s">
        <v>46</v>
      </c>
      <c r="D41" s="24" t="s">
        <v>23</v>
      </c>
      <c r="E41" s="25">
        <v>500</v>
      </c>
      <c r="F41" s="26">
        <v>506.78699999999998</v>
      </c>
      <c r="G41" s="27">
        <v>1.437017E-2</v>
      </c>
      <c r="H41" s="17">
        <v>7.2</v>
      </c>
    </row>
    <row r="42" spans="1:8" x14ac:dyDescent="0.2">
      <c r="A42" s="23">
        <v>15</v>
      </c>
      <c r="B42" s="24" t="s">
        <v>55</v>
      </c>
      <c r="C42" s="24" t="s">
        <v>56</v>
      </c>
      <c r="D42" s="24" t="s">
        <v>23</v>
      </c>
      <c r="E42" s="25">
        <v>500</v>
      </c>
      <c r="F42" s="26">
        <v>503.16649999999998</v>
      </c>
      <c r="G42" s="27">
        <v>1.4267510000000001E-2</v>
      </c>
      <c r="H42" s="17">
        <v>7.2594000000000003</v>
      </c>
    </row>
    <row r="43" spans="1:8" ht="25.5" x14ac:dyDescent="0.2">
      <c r="A43" s="23">
        <v>16</v>
      </c>
      <c r="B43" s="24" t="s">
        <v>137</v>
      </c>
      <c r="C43" s="24" t="s">
        <v>138</v>
      </c>
      <c r="D43" s="24" t="s">
        <v>23</v>
      </c>
      <c r="E43" s="25">
        <v>500</v>
      </c>
      <c r="F43" s="26">
        <v>503.1395</v>
      </c>
      <c r="G43" s="27">
        <v>1.426675E-2</v>
      </c>
      <c r="H43" s="17">
        <v>7.2337999999999996</v>
      </c>
    </row>
    <row r="44" spans="1:8" x14ac:dyDescent="0.2">
      <c r="A44" s="23">
        <v>17</v>
      </c>
      <c r="B44" s="24" t="s">
        <v>51</v>
      </c>
      <c r="C44" s="24" t="s">
        <v>52</v>
      </c>
      <c r="D44" s="24" t="s">
        <v>23</v>
      </c>
      <c r="E44" s="25">
        <v>500</v>
      </c>
      <c r="F44" s="26">
        <v>500.71949999999998</v>
      </c>
      <c r="G44" s="27">
        <v>1.419813E-2</v>
      </c>
      <c r="H44" s="17">
        <v>7.25</v>
      </c>
    </row>
    <row r="45" spans="1:8" x14ac:dyDescent="0.2">
      <c r="A45" s="15"/>
      <c r="B45" s="15"/>
      <c r="C45" s="16" t="s">
        <v>11</v>
      </c>
      <c r="D45" s="15"/>
      <c r="E45" s="15" t="s">
        <v>12</v>
      </c>
      <c r="F45" s="22">
        <v>23642.3145</v>
      </c>
      <c r="G45" s="19">
        <v>0.67038841999999998</v>
      </c>
      <c r="H45" s="17" t="s">
        <v>12</v>
      </c>
    </row>
    <row r="46" spans="1:8" x14ac:dyDescent="0.2">
      <c r="A46" s="15"/>
      <c r="B46" s="15"/>
      <c r="C46" s="20"/>
      <c r="D46" s="15"/>
      <c r="E46" s="15"/>
      <c r="F46" s="21"/>
      <c r="G46" s="21"/>
      <c r="H46" s="17" t="s">
        <v>12</v>
      </c>
    </row>
    <row r="47" spans="1:8" x14ac:dyDescent="0.2">
      <c r="A47" s="15"/>
      <c r="B47" s="15"/>
      <c r="C47" s="16" t="s">
        <v>71</v>
      </c>
      <c r="D47" s="15"/>
      <c r="E47" s="15"/>
      <c r="F47" s="15"/>
      <c r="G47" s="15"/>
      <c r="H47" s="17" t="s">
        <v>12</v>
      </c>
    </row>
    <row r="48" spans="1:8" x14ac:dyDescent="0.2">
      <c r="A48" s="15"/>
      <c r="B48" s="15"/>
      <c r="C48" s="16" t="s">
        <v>11</v>
      </c>
      <c r="D48" s="15"/>
      <c r="E48" s="15" t="s">
        <v>12</v>
      </c>
      <c r="F48" s="18" t="s">
        <v>13</v>
      </c>
      <c r="G48" s="19">
        <v>0</v>
      </c>
      <c r="H48" s="17" t="s">
        <v>12</v>
      </c>
    </row>
    <row r="49" spans="1:8" x14ac:dyDescent="0.2">
      <c r="A49" s="15"/>
      <c r="B49" s="15"/>
      <c r="C49" s="20"/>
      <c r="D49" s="15"/>
      <c r="E49" s="15"/>
      <c r="F49" s="21"/>
      <c r="G49" s="21"/>
      <c r="H49" s="17" t="s">
        <v>12</v>
      </c>
    </row>
    <row r="50" spans="1:8" x14ac:dyDescent="0.2">
      <c r="A50" s="15"/>
      <c r="B50" s="15"/>
      <c r="C50" s="16" t="s">
        <v>72</v>
      </c>
      <c r="D50" s="15"/>
      <c r="E50" s="15"/>
      <c r="F50" s="15"/>
      <c r="G50" s="15"/>
      <c r="H50" s="17" t="s">
        <v>12</v>
      </c>
    </row>
    <row r="51" spans="1:8" ht="25.5" x14ac:dyDescent="0.2">
      <c r="A51" s="23">
        <v>1</v>
      </c>
      <c r="B51" s="24" t="s">
        <v>73</v>
      </c>
      <c r="C51" s="24" t="s">
        <v>74</v>
      </c>
      <c r="D51" s="24" t="s">
        <v>75</v>
      </c>
      <c r="E51" s="25">
        <v>3000000</v>
      </c>
      <c r="F51" s="26">
        <v>3097.8180000000002</v>
      </c>
      <c r="G51" s="27">
        <v>8.7840009999999996E-2</v>
      </c>
      <c r="H51" s="17">
        <v>6.7217000000000002</v>
      </c>
    </row>
    <row r="52" spans="1:8" ht="25.5" x14ac:dyDescent="0.2">
      <c r="A52" s="23">
        <v>2</v>
      </c>
      <c r="B52" s="24" t="s">
        <v>139</v>
      </c>
      <c r="C52" s="24" t="s">
        <v>140</v>
      </c>
      <c r="D52" s="24" t="s">
        <v>75</v>
      </c>
      <c r="E52" s="25">
        <v>1500000</v>
      </c>
      <c r="F52" s="26">
        <v>1522.11</v>
      </c>
      <c r="G52" s="27">
        <v>4.3160110000000002E-2</v>
      </c>
      <c r="H52" s="17">
        <v>6.6886000000000001</v>
      </c>
    </row>
    <row r="53" spans="1:8" x14ac:dyDescent="0.2">
      <c r="A53" s="23">
        <v>3</v>
      </c>
      <c r="B53" s="24" t="s">
        <v>76</v>
      </c>
      <c r="C53" s="24" t="s">
        <v>77</v>
      </c>
      <c r="D53" s="24" t="s">
        <v>75</v>
      </c>
      <c r="E53" s="25">
        <v>1000000</v>
      </c>
      <c r="F53" s="26">
        <v>1038.2829999999999</v>
      </c>
      <c r="G53" s="27">
        <v>2.9440979999999999E-2</v>
      </c>
      <c r="H53" s="17">
        <v>6.5994000000000002</v>
      </c>
    </row>
    <row r="54" spans="1:8" ht="25.5" x14ac:dyDescent="0.2">
      <c r="A54" s="23">
        <v>4</v>
      </c>
      <c r="B54" s="24" t="s">
        <v>80</v>
      </c>
      <c r="C54" s="24" t="s">
        <v>81</v>
      </c>
      <c r="D54" s="24" t="s">
        <v>75</v>
      </c>
      <c r="E54" s="25">
        <v>1000000</v>
      </c>
      <c r="F54" s="26">
        <v>1004.244</v>
      </c>
      <c r="G54" s="27">
        <v>2.8475790000000001E-2</v>
      </c>
      <c r="H54" s="17">
        <v>6.9386999999999999</v>
      </c>
    </row>
    <row r="55" spans="1:8" ht="25.5" x14ac:dyDescent="0.2">
      <c r="A55" s="23">
        <v>5</v>
      </c>
      <c r="B55" s="24" t="s">
        <v>82</v>
      </c>
      <c r="C55" s="24" t="s">
        <v>83</v>
      </c>
      <c r="D55" s="24" t="s">
        <v>75</v>
      </c>
      <c r="E55" s="25">
        <v>500000</v>
      </c>
      <c r="F55" s="26">
        <v>526.26750000000004</v>
      </c>
      <c r="G55" s="27">
        <v>1.492255E-2</v>
      </c>
      <c r="H55" s="17">
        <v>7.069</v>
      </c>
    </row>
    <row r="56" spans="1:8" ht="25.5" x14ac:dyDescent="0.2">
      <c r="A56" s="23">
        <v>6</v>
      </c>
      <c r="B56" s="24" t="s">
        <v>141</v>
      </c>
      <c r="C56" s="24" t="s">
        <v>142</v>
      </c>
      <c r="D56" s="24" t="s">
        <v>75</v>
      </c>
      <c r="E56" s="25">
        <v>500000</v>
      </c>
      <c r="F56" s="26">
        <v>524.20349999999996</v>
      </c>
      <c r="G56" s="27">
        <v>1.486402E-2</v>
      </c>
      <c r="H56" s="17">
        <v>6.8022</v>
      </c>
    </row>
    <row r="57" spans="1:8" x14ac:dyDescent="0.2">
      <c r="A57" s="23">
        <v>7</v>
      </c>
      <c r="B57" s="24" t="s">
        <v>78</v>
      </c>
      <c r="C57" s="24" t="s">
        <v>79</v>
      </c>
      <c r="D57" s="24" t="s">
        <v>75</v>
      </c>
      <c r="E57" s="25">
        <v>500000</v>
      </c>
      <c r="F57" s="26">
        <v>524.06349999999998</v>
      </c>
      <c r="G57" s="27">
        <v>1.486005E-2</v>
      </c>
      <c r="H57" s="17">
        <v>7.0290999999999997</v>
      </c>
    </row>
    <row r="58" spans="1:8" x14ac:dyDescent="0.2">
      <c r="A58" s="15"/>
      <c r="B58" s="15"/>
      <c r="C58" s="16" t="s">
        <v>11</v>
      </c>
      <c r="D58" s="15"/>
      <c r="E58" s="15" t="s">
        <v>12</v>
      </c>
      <c r="F58" s="22">
        <v>8236.9894999999997</v>
      </c>
      <c r="G58" s="19">
        <v>0.23356351</v>
      </c>
      <c r="H58" s="17" t="s">
        <v>12</v>
      </c>
    </row>
    <row r="59" spans="1:8" x14ac:dyDescent="0.2">
      <c r="A59" s="15"/>
      <c r="B59" s="15"/>
      <c r="C59" s="20"/>
      <c r="D59" s="15"/>
      <c r="E59" s="15"/>
      <c r="F59" s="21"/>
      <c r="G59" s="21"/>
      <c r="H59" s="17" t="s">
        <v>12</v>
      </c>
    </row>
    <row r="60" spans="1:8" x14ac:dyDescent="0.2">
      <c r="A60" s="15"/>
      <c r="B60" s="15"/>
      <c r="C60" s="16" t="s">
        <v>88</v>
      </c>
      <c r="D60" s="15"/>
      <c r="E60" s="15"/>
      <c r="F60" s="21"/>
      <c r="G60" s="21"/>
      <c r="H60" s="17" t="s">
        <v>12</v>
      </c>
    </row>
    <row r="61" spans="1:8" x14ac:dyDescent="0.2">
      <c r="A61" s="15"/>
      <c r="B61" s="15"/>
      <c r="C61" s="16" t="s">
        <v>11</v>
      </c>
      <c r="D61" s="15"/>
      <c r="E61" s="15" t="s">
        <v>12</v>
      </c>
      <c r="F61" s="18" t="s">
        <v>13</v>
      </c>
      <c r="G61" s="19">
        <v>0</v>
      </c>
      <c r="H61" s="17" t="s">
        <v>12</v>
      </c>
    </row>
    <row r="62" spans="1:8" x14ac:dyDescent="0.2">
      <c r="A62" s="15"/>
      <c r="B62" s="15"/>
      <c r="C62" s="20"/>
      <c r="D62" s="15"/>
      <c r="E62" s="15"/>
      <c r="F62" s="21"/>
      <c r="G62" s="21"/>
      <c r="H62" s="17" t="s">
        <v>12</v>
      </c>
    </row>
    <row r="63" spans="1:8" x14ac:dyDescent="0.2">
      <c r="A63" s="15"/>
      <c r="B63" s="15"/>
      <c r="C63" s="16" t="s">
        <v>89</v>
      </c>
      <c r="D63" s="15"/>
      <c r="E63" s="15"/>
      <c r="F63" s="22">
        <v>31879.304</v>
      </c>
      <c r="G63" s="19">
        <v>0.90395192999999996</v>
      </c>
      <c r="H63" s="17" t="s">
        <v>12</v>
      </c>
    </row>
    <row r="64" spans="1:8" x14ac:dyDescent="0.2">
      <c r="A64" s="15"/>
      <c r="B64" s="15"/>
      <c r="C64" s="20"/>
      <c r="D64" s="15"/>
      <c r="E64" s="15"/>
      <c r="F64" s="21"/>
      <c r="G64" s="21"/>
      <c r="H64" s="17" t="s">
        <v>12</v>
      </c>
    </row>
    <row r="65" spans="1:8" x14ac:dyDescent="0.2">
      <c r="A65" s="15"/>
      <c r="B65" s="15"/>
      <c r="C65" s="16" t="s">
        <v>90</v>
      </c>
      <c r="D65" s="15"/>
      <c r="E65" s="15"/>
      <c r="F65" s="21"/>
      <c r="G65" s="21"/>
      <c r="H65" s="17" t="s">
        <v>12</v>
      </c>
    </row>
    <row r="66" spans="1:8" x14ac:dyDescent="0.2">
      <c r="A66" s="15"/>
      <c r="B66" s="15"/>
      <c r="C66" s="16" t="s">
        <v>91</v>
      </c>
      <c r="D66" s="15"/>
      <c r="E66" s="15"/>
      <c r="F66" s="21"/>
      <c r="G66" s="21"/>
      <c r="H66" s="17" t="s">
        <v>12</v>
      </c>
    </row>
    <row r="67" spans="1:8" x14ac:dyDescent="0.2">
      <c r="A67" s="23">
        <v>1</v>
      </c>
      <c r="B67" s="24" t="s">
        <v>143</v>
      </c>
      <c r="C67" s="24" t="s">
        <v>144</v>
      </c>
      <c r="D67" s="24" t="s">
        <v>145</v>
      </c>
      <c r="E67" s="25">
        <v>100</v>
      </c>
      <c r="F67" s="26">
        <v>471.274</v>
      </c>
      <c r="G67" s="27">
        <v>1.336319E-2</v>
      </c>
      <c r="H67" s="17">
        <v>7.2</v>
      </c>
    </row>
    <row r="68" spans="1:8" x14ac:dyDescent="0.2">
      <c r="A68" s="23">
        <v>2</v>
      </c>
      <c r="B68" s="24" t="s">
        <v>146</v>
      </c>
      <c r="C68" s="24" t="s">
        <v>147</v>
      </c>
      <c r="D68" s="24" t="s">
        <v>145</v>
      </c>
      <c r="E68" s="25">
        <v>100</v>
      </c>
      <c r="F68" s="26">
        <v>467.70400000000001</v>
      </c>
      <c r="G68" s="27">
        <v>1.326196E-2</v>
      </c>
      <c r="H68" s="17">
        <v>7.14</v>
      </c>
    </row>
    <row r="69" spans="1:8" x14ac:dyDescent="0.2">
      <c r="A69" s="15"/>
      <c r="B69" s="15"/>
      <c r="C69" s="16" t="s">
        <v>11</v>
      </c>
      <c r="D69" s="15"/>
      <c r="E69" s="15" t="s">
        <v>12</v>
      </c>
      <c r="F69" s="22">
        <v>938.97799999999995</v>
      </c>
      <c r="G69" s="19">
        <v>2.662515E-2</v>
      </c>
      <c r="H69" s="17" t="s">
        <v>12</v>
      </c>
    </row>
    <row r="70" spans="1:8" x14ac:dyDescent="0.2">
      <c r="A70" s="15"/>
      <c r="B70" s="15"/>
      <c r="C70" s="20"/>
      <c r="D70" s="15"/>
      <c r="E70" s="15"/>
      <c r="F70" s="21"/>
      <c r="G70" s="21"/>
      <c r="H70" s="17" t="s">
        <v>12</v>
      </c>
    </row>
    <row r="71" spans="1:8" x14ac:dyDescent="0.2">
      <c r="A71" s="15"/>
      <c r="B71" s="15"/>
      <c r="C71" s="16" t="s">
        <v>92</v>
      </c>
      <c r="D71" s="15"/>
      <c r="E71" s="15"/>
      <c r="F71" s="21"/>
      <c r="G71" s="21"/>
      <c r="H71" s="17" t="s">
        <v>12</v>
      </c>
    </row>
    <row r="72" spans="1:8" x14ac:dyDescent="0.2">
      <c r="A72" s="15"/>
      <c r="B72" s="15"/>
      <c r="C72" s="16" t="s">
        <v>11</v>
      </c>
      <c r="D72" s="15"/>
      <c r="E72" s="15" t="s">
        <v>12</v>
      </c>
      <c r="F72" s="18" t="s">
        <v>13</v>
      </c>
      <c r="G72" s="19">
        <v>0</v>
      </c>
      <c r="H72" s="17" t="s">
        <v>12</v>
      </c>
    </row>
    <row r="73" spans="1:8" x14ac:dyDescent="0.2">
      <c r="A73" s="15"/>
      <c r="B73" s="15"/>
      <c r="C73" s="20"/>
      <c r="D73" s="15"/>
      <c r="E73" s="15"/>
      <c r="F73" s="21"/>
      <c r="G73" s="21"/>
      <c r="H73" s="17" t="s">
        <v>12</v>
      </c>
    </row>
    <row r="74" spans="1:8" x14ac:dyDescent="0.2">
      <c r="A74" s="15"/>
      <c r="B74" s="15"/>
      <c r="C74" s="16" t="s">
        <v>93</v>
      </c>
      <c r="D74" s="15"/>
      <c r="E74" s="15"/>
      <c r="F74" s="21"/>
      <c r="G74" s="21"/>
      <c r="H74" s="17" t="s">
        <v>12</v>
      </c>
    </row>
    <row r="75" spans="1:8" x14ac:dyDescent="0.2">
      <c r="A75" s="15"/>
      <c r="B75" s="15"/>
      <c r="C75" s="16" t="s">
        <v>11</v>
      </c>
      <c r="D75" s="15"/>
      <c r="E75" s="15" t="s">
        <v>12</v>
      </c>
      <c r="F75" s="18" t="s">
        <v>13</v>
      </c>
      <c r="G75" s="19">
        <v>0</v>
      </c>
      <c r="H75" s="17" t="s">
        <v>12</v>
      </c>
    </row>
    <row r="76" spans="1:8" x14ac:dyDescent="0.2">
      <c r="A76" s="15"/>
      <c r="B76" s="15"/>
      <c r="C76" s="20"/>
      <c r="D76" s="15"/>
      <c r="E76" s="15"/>
      <c r="F76" s="21"/>
      <c r="G76" s="21"/>
      <c r="H76" s="17" t="s">
        <v>12</v>
      </c>
    </row>
    <row r="77" spans="1:8" x14ac:dyDescent="0.2">
      <c r="A77" s="15"/>
      <c r="B77" s="15"/>
      <c r="C77" s="16" t="s">
        <v>94</v>
      </c>
      <c r="D77" s="15"/>
      <c r="E77" s="15"/>
      <c r="F77" s="21"/>
      <c r="G77" s="21"/>
      <c r="H77" s="17" t="s">
        <v>12</v>
      </c>
    </row>
    <row r="78" spans="1:8" x14ac:dyDescent="0.2">
      <c r="A78" s="23">
        <v>1</v>
      </c>
      <c r="B78" s="24"/>
      <c r="C78" s="24" t="s">
        <v>95</v>
      </c>
      <c r="D78" s="24"/>
      <c r="E78" s="28"/>
      <c r="F78" s="26">
        <v>967.58816999700002</v>
      </c>
      <c r="G78" s="27">
        <v>2.7436390000000001E-2</v>
      </c>
      <c r="H78" s="17">
        <v>6.76</v>
      </c>
    </row>
    <row r="79" spans="1:8" x14ac:dyDescent="0.2">
      <c r="A79" s="15"/>
      <c r="B79" s="15"/>
      <c r="C79" s="16" t="s">
        <v>11</v>
      </c>
      <c r="D79" s="15"/>
      <c r="E79" s="15" t="s">
        <v>12</v>
      </c>
      <c r="F79" s="22">
        <v>967.58816999700002</v>
      </c>
      <c r="G79" s="19">
        <v>2.7436390000000001E-2</v>
      </c>
      <c r="H79" s="17" t="s">
        <v>12</v>
      </c>
    </row>
    <row r="80" spans="1:8" x14ac:dyDescent="0.2">
      <c r="A80" s="15"/>
      <c r="B80" s="15"/>
      <c r="C80" s="20"/>
      <c r="D80" s="15"/>
      <c r="E80" s="15"/>
      <c r="F80" s="21"/>
      <c r="G80" s="21"/>
      <c r="H80" s="17" t="s">
        <v>12</v>
      </c>
    </row>
    <row r="81" spans="1:17" x14ac:dyDescent="0.2">
      <c r="A81" s="15"/>
      <c r="B81" s="15"/>
      <c r="C81" s="16" t="s">
        <v>96</v>
      </c>
      <c r="D81" s="15"/>
      <c r="E81" s="15"/>
      <c r="F81" s="22">
        <v>1906.5661699970001</v>
      </c>
      <c r="G81" s="19">
        <v>5.4061539999999998E-2</v>
      </c>
      <c r="H81" s="17" t="s">
        <v>12</v>
      </c>
    </row>
    <row r="82" spans="1:17" x14ac:dyDescent="0.2">
      <c r="A82" s="15"/>
      <c r="B82" s="15"/>
      <c r="C82" s="21"/>
      <c r="D82" s="15"/>
      <c r="E82" s="15"/>
      <c r="F82" s="15"/>
      <c r="G82" s="15"/>
      <c r="H82" s="17" t="s">
        <v>12</v>
      </c>
    </row>
    <row r="83" spans="1:17" x14ac:dyDescent="0.2">
      <c r="A83" s="15"/>
      <c r="B83" s="15"/>
      <c r="C83" s="16" t="s">
        <v>97</v>
      </c>
      <c r="D83" s="15"/>
      <c r="E83" s="15"/>
      <c r="F83" s="15"/>
      <c r="G83" s="15"/>
      <c r="H83" s="17" t="s">
        <v>12</v>
      </c>
    </row>
    <row r="84" spans="1:17" x14ac:dyDescent="0.2">
      <c r="A84" s="15"/>
      <c r="B84" s="15"/>
      <c r="C84" s="16" t="s">
        <v>98</v>
      </c>
      <c r="D84" s="15"/>
      <c r="E84" s="15"/>
      <c r="F84" s="15"/>
      <c r="G84" s="15"/>
      <c r="H84" s="17" t="s">
        <v>12</v>
      </c>
    </row>
    <row r="85" spans="1:17" x14ac:dyDescent="0.2">
      <c r="A85" s="15"/>
      <c r="B85" s="15"/>
      <c r="C85" s="16" t="s">
        <v>11</v>
      </c>
      <c r="D85" s="15"/>
      <c r="E85" s="15" t="s">
        <v>12</v>
      </c>
      <c r="F85" s="18" t="s">
        <v>13</v>
      </c>
      <c r="G85" s="19">
        <v>0</v>
      </c>
      <c r="H85" s="17" t="s">
        <v>12</v>
      </c>
    </row>
    <row r="86" spans="1:17" x14ac:dyDescent="0.2">
      <c r="A86" s="74"/>
      <c r="B86" s="74"/>
      <c r="C86" s="75"/>
      <c r="D86" s="74"/>
      <c r="E86" s="74"/>
      <c r="F86" s="76"/>
      <c r="G86" s="76"/>
      <c r="H86" s="72" t="s">
        <v>12</v>
      </c>
    </row>
    <row r="87" spans="1:17" x14ac:dyDescent="0.2">
      <c r="A87" s="74"/>
      <c r="B87" s="74"/>
      <c r="C87" s="51" t="s">
        <v>546</v>
      </c>
      <c r="D87" s="74"/>
      <c r="E87" s="74"/>
      <c r="F87" s="76"/>
      <c r="G87" s="76"/>
      <c r="H87" s="70"/>
      <c r="K87" s="53"/>
      <c r="L87" s="53"/>
      <c r="M87" s="53"/>
      <c r="N87" s="53"/>
      <c r="O87" s="77"/>
      <c r="P87" s="77"/>
      <c r="Q87" s="77"/>
    </row>
    <row r="88" spans="1:17" ht="25.5" x14ac:dyDescent="0.2">
      <c r="A88" s="67">
        <v>1</v>
      </c>
      <c r="B88" s="68" t="s">
        <v>99</v>
      </c>
      <c r="C88" s="68" t="s">
        <v>100</v>
      </c>
      <c r="D88" s="68"/>
      <c r="E88" s="78">
        <v>1138.2429999999999</v>
      </c>
      <c r="F88" s="70">
        <v>125.600916072</v>
      </c>
      <c r="G88" s="71">
        <v>3.5614700000000002E-3</v>
      </c>
      <c r="H88" s="72"/>
    </row>
    <row r="89" spans="1:17" x14ac:dyDescent="0.2">
      <c r="A89" s="74"/>
      <c r="B89" s="74"/>
      <c r="C89" s="51" t="s">
        <v>11</v>
      </c>
      <c r="D89" s="74"/>
      <c r="E89" s="74" t="s">
        <v>12</v>
      </c>
      <c r="F89" s="79">
        <f>SUM(F88)</f>
        <v>125.600916072</v>
      </c>
      <c r="G89" s="80">
        <f>SUM(G88)</f>
        <v>3.5614700000000002E-3</v>
      </c>
      <c r="H89" s="72" t="s">
        <v>12</v>
      </c>
    </row>
    <row r="90" spans="1:17" x14ac:dyDescent="0.2">
      <c r="A90" s="15"/>
      <c r="B90" s="15"/>
      <c r="C90" s="20"/>
      <c r="D90" s="15"/>
      <c r="E90" s="15"/>
      <c r="F90" s="21"/>
      <c r="G90" s="21"/>
      <c r="H90" s="17" t="s">
        <v>12</v>
      </c>
    </row>
    <row r="91" spans="1:17" x14ac:dyDescent="0.2">
      <c r="A91" s="15"/>
      <c r="B91" s="15"/>
      <c r="C91" s="16" t="s">
        <v>101</v>
      </c>
      <c r="D91" s="15"/>
      <c r="E91" s="15"/>
      <c r="F91" s="15"/>
      <c r="G91" s="15"/>
      <c r="H91" s="17" t="s">
        <v>12</v>
      </c>
    </row>
    <row r="92" spans="1:17" x14ac:dyDescent="0.2">
      <c r="A92" s="15"/>
      <c r="B92" s="15"/>
      <c r="C92" s="16" t="s">
        <v>102</v>
      </c>
      <c r="D92" s="15"/>
      <c r="E92" s="15"/>
      <c r="F92" s="15"/>
      <c r="G92" s="15"/>
      <c r="H92" s="17" t="s">
        <v>12</v>
      </c>
    </row>
    <row r="93" spans="1:17" x14ac:dyDescent="0.2">
      <c r="A93" s="15"/>
      <c r="B93" s="15"/>
      <c r="C93" s="16" t="s">
        <v>11</v>
      </c>
      <c r="D93" s="15"/>
      <c r="E93" s="15" t="s">
        <v>12</v>
      </c>
      <c r="F93" s="18" t="s">
        <v>13</v>
      </c>
      <c r="G93" s="19">
        <v>0</v>
      </c>
      <c r="H93" s="17" t="s">
        <v>12</v>
      </c>
    </row>
    <row r="94" spans="1:17" x14ac:dyDescent="0.2">
      <c r="A94" s="15"/>
      <c r="B94" s="15"/>
      <c r="C94" s="20"/>
      <c r="D94" s="15"/>
      <c r="E94" s="15"/>
      <c r="F94" s="21"/>
      <c r="G94" s="21"/>
      <c r="H94" s="17" t="s">
        <v>12</v>
      </c>
    </row>
    <row r="95" spans="1:17" x14ac:dyDescent="0.2">
      <c r="A95" s="15"/>
      <c r="B95" s="15"/>
      <c r="C95" s="16" t="s">
        <v>103</v>
      </c>
      <c r="D95" s="15"/>
      <c r="E95" s="15"/>
      <c r="F95" s="21"/>
      <c r="G95" s="21"/>
      <c r="H95" s="17" t="s">
        <v>12</v>
      </c>
    </row>
    <row r="96" spans="1:17" x14ac:dyDescent="0.2">
      <c r="A96" s="15"/>
      <c r="B96" s="15"/>
      <c r="C96" s="16" t="s">
        <v>11</v>
      </c>
      <c r="D96" s="15"/>
      <c r="E96" s="15" t="s">
        <v>12</v>
      </c>
      <c r="F96" s="18" t="s">
        <v>13</v>
      </c>
      <c r="G96" s="19">
        <v>0</v>
      </c>
      <c r="H96" s="17" t="s">
        <v>12</v>
      </c>
    </row>
    <row r="97" spans="1:8" x14ac:dyDescent="0.2">
      <c r="A97" s="15"/>
      <c r="B97" s="15"/>
      <c r="C97" s="20"/>
      <c r="D97" s="15"/>
      <c r="E97" s="15"/>
      <c r="F97" s="21"/>
      <c r="G97" s="21"/>
      <c r="H97" s="17" t="s">
        <v>12</v>
      </c>
    </row>
    <row r="98" spans="1:8" x14ac:dyDescent="0.2">
      <c r="A98" s="28"/>
      <c r="B98" s="24"/>
      <c r="C98" s="24" t="s">
        <v>104</v>
      </c>
      <c r="D98" s="24"/>
      <c r="E98" s="28"/>
      <c r="F98" s="26">
        <f>1355.12246814-0.000279868998527527</f>
        <v>1355.1221882710013</v>
      </c>
      <c r="G98" s="27">
        <v>3.8425099999999997E-2</v>
      </c>
      <c r="H98" s="17" t="s">
        <v>12</v>
      </c>
    </row>
    <row r="99" spans="1:8" x14ac:dyDescent="0.2">
      <c r="A99" s="20"/>
      <c r="B99" s="20"/>
      <c r="C99" s="16" t="s">
        <v>105</v>
      </c>
      <c r="D99" s="21"/>
      <c r="E99" s="21"/>
      <c r="F99" s="22">
        <f>35266.593554209-0.000279868998527527</f>
        <v>35266.593274340004</v>
      </c>
      <c r="G99" s="29">
        <v>1.00000004</v>
      </c>
      <c r="H99" s="17" t="s">
        <v>12</v>
      </c>
    </row>
    <row r="100" spans="1:8" x14ac:dyDescent="0.2">
      <c r="A100" s="30"/>
      <c r="B100" s="30"/>
      <c r="C100" s="30"/>
      <c r="D100" s="31"/>
      <c r="E100" s="31"/>
      <c r="F100" s="31"/>
      <c r="G100" s="31"/>
    </row>
    <row r="101" spans="1:8" x14ac:dyDescent="0.2">
      <c r="A101" s="32"/>
      <c r="B101" s="165" t="s">
        <v>547</v>
      </c>
      <c r="C101" s="165"/>
      <c r="D101" s="165"/>
      <c r="E101" s="165"/>
      <c r="F101" s="165"/>
      <c r="G101" s="165"/>
      <c r="H101" s="165"/>
    </row>
    <row r="102" spans="1:8" x14ac:dyDescent="0.2">
      <c r="A102" s="32"/>
      <c r="B102" s="165" t="s">
        <v>548</v>
      </c>
      <c r="C102" s="165"/>
      <c r="D102" s="165"/>
      <c r="E102" s="165"/>
      <c r="F102" s="165"/>
      <c r="G102" s="165"/>
      <c r="H102" s="165"/>
    </row>
    <row r="103" spans="1:8" x14ac:dyDescent="0.2">
      <c r="A103" s="32"/>
      <c r="B103" s="165" t="s">
        <v>549</v>
      </c>
      <c r="C103" s="165"/>
      <c r="D103" s="165"/>
      <c r="E103" s="165"/>
      <c r="F103" s="165"/>
      <c r="G103" s="165"/>
      <c r="H103" s="165"/>
    </row>
    <row r="104" spans="1:8" x14ac:dyDescent="0.2">
      <c r="A104" s="32"/>
      <c r="B104" s="32"/>
      <c r="C104" s="32"/>
      <c r="D104" s="34"/>
      <c r="E104" s="34"/>
      <c r="F104" s="34"/>
      <c r="G104" s="34"/>
    </row>
    <row r="105" spans="1:8" x14ac:dyDescent="0.2">
      <c r="A105" s="35"/>
      <c r="B105" s="158" t="s">
        <v>106</v>
      </c>
      <c r="C105" s="159"/>
      <c r="D105" s="160"/>
      <c r="E105" s="36"/>
      <c r="F105" s="37"/>
      <c r="G105" s="37"/>
    </row>
    <row r="106" spans="1:8" x14ac:dyDescent="0.2">
      <c r="A106" s="35"/>
      <c r="B106" s="161" t="s">
        <v>107</v>
      </c>
      <c r="C106" s="162"/>
      <c r="D106" s="16" t="s">
        <v>108</v>
      </c>
      <c r="E106" s="36"/>
      <c r="F106" s="37"/>
      <c r="G106" s="37"/>
    </row>
    <row r="107" spans="1:8" x14ac:dyDescent="0.2">
      <c r="A107" s="35"/>
      <c r="B107" s="161" t="s">
        <v>109</v>
      </c>
      <c r="C107" s="162"/>
      <c r="D107" s="16" t="s">
        <v>108</v>
      </c>
      <c r="E107" s="36"/>
      <c r="F107" s="37"/>
      <c r="G107" s="37"/>
    </row>
    <row r="108" spans="1:8" x14ac:dyDescent="0.2">
      <c r="A108" s="35"/>
      <c r="B108" s="161" t="s">
        <v>110</v>
      </c>
      <c r="C108" s="162"/>
      <c r="D108" s="21" t="s">
        <v>12</v>
      </c>
      <c r="E108" s="36"/>
      <c r="F108" s="37"/>
      <c r="G108" s="37"/>
    </row>
    <row r="109" spans="1:8" x14ac:dyDescent="0.2">
      <c r="A109" s="38"/>
      <c r="B109" s="39" t="s">
        <v>12</v>
      </c>
      <c r="C109" s="39" t="s">
        <v>550</v>
      </c>
      <c r="D109" s="39" t="s">
        <v>111</v>
      </c>
      <c r="E109" s="38"/>
      <c r="F109" s="38"/>
      <c r="G109" s="38"/>
    </row>
    <row r="110" spans="1:8" x14ac:dyDescent="0.2">
      <c r="A110" s="38"/>
      <c r="B110" s="40" t="s">
        <v>112</v>
      </c>
      <c r="C110" s="41">
        <v>45731</v>
      </c>
      <c r="D110" s="41">
        <v>45747</v>
      </c>
      <c r="E110" s="38"/>
      <c r="F110" s="38"/>
      <c r="G110" s="38"/>
    </row>
    <row r="111" spans="1:8" x14ac:dyDescent="0.2">
      <c r="A111" s="42"/>
      <c r="B111" s="24" t="s">
        <v>113</v>
      </c>
      <c r="C111" s="43">
        <v>42.287999999999997</v>
      </c>
      <c r="D111" s="43">
        <v>42.706299999999999</v>
      </c>
      <c r="E111" s="42"/>
      <c r="F111" s="44"/>
      <c r="G111" s="45"/>
    </row>
    <row r="112" spans="1:8" x14ac:dyDescent="0.2">
      <c r="A112" s="42"/>
      <c r="B112" s="24" t="s">
        <v>148</v>
      </c>
      <c r="C112" s="43">
        <v>21.1553</v>
      </c>
      <c r="D112" s="43">
        <v>21.364599999999999</v>
      </c>
      <c r="E112" s="42"/>
      <c r="F112" s="44"/>
      <c r="G112" s="45"/>
    </row>
    <row r="113" spans="1:15" ht="25.5" x14ac:dyDescent="0.2">
      <c r="A113" s="42"/>
      <c r="B113" s="24" t="s">
        <v>670</v>
      </c>
      <c r="C113" s="43">
        <v>11.556800000000001</v>
      </c>
      <c r="D113" s="43">
        <v>11.6035</v>
      </c>
      <c r="E113" s="42"/>
      <c r="F113" s="44"/>
      <c r="G113" s="45"/>
    </row>
    <row r="114" spans="1:15" x14ac:dyDescent="0.2">
      <c r="A114" s="42"/>
      <c r="B114" s="24" t="s">
        <v>114</v>
      </c>
      <c r="C114" s="43">
        <v>41.7136</v>
      </c>
      <c r="D114" s="43">
        <v>42.123399999999997</v>
      </c>
      <c r="E114" s="42"/>
      <c r="F114" s="44"/>
      <c r="G114" s="45"/>
    </row>
    <row r="115" spans="1:15" x14ac:dyDescent="0.2">
      <c r="A115" s="42"/>
      <c r="B115" s="24" t="s">
        <v>149</v>
      </c>
      <c r="C115" s="43">
        <v>21.035</v>
      </c>
      <c r="D115" s="43">
        <v>21.241599999999998</v>
      </c>
      <c r="E115" s="42"/>
      <c r="F115" s="44"/>
      <c r="G115" s="45"/>
    </row>
    <row r="116" spans="1:15" ht="25.5" x14ac:dyDescent="0.2">
      <c r="A116" s="42"/>
      <c r="B116" s="24" t="s">
        <v>674</v>
      </c>
      <c r="C116" s="43">
        <v>11.608700000000001</v>
      </c>
      <c r="D116" s="43">
        <v>11.6541</v>
      </c>
      <c r="E116" s="42"/>
      <c r="F116" s="44"/>
      <c r="G116" s="45"/>
    </row>
    <row r="117" spans="1:15" x14ac:dyDescent="0.2">
      <c r="A117" s="42"/>
      <c r="B117" s="42"/>
      <c r="C117" s="42"/>
      <c r="D117" s="42"/>
      <c r="E117" s="42"/>
      <c r="F117" s="42"/>
      <c r="G117" s="42"/>
    </row>
    <row r="118" spans="1:15" x14ac:dyDescent="0.2">
      <c r="A118" s="42"/>
      <c r="B118" s="161" t="s">
        <v>563</v>
      </c>
      <c r="C118" s="162"/>
      <c r="D118" s="16" t="s">
        <v>12</v>
      </c>
      <c r="E118" s="42"/>
      <c r="F118" s="42"/>
      <c r="G118" s="42"/>
    </row>
    <row r="119" spans="1:15" x14ac:dyDescent="0.2">
      <c r="A119" s="42"/>
      <c r="B119" s="46" t="s">
        <v>112</v>
      </c>
      <c r="C119" s="47" t="s">
        <v>115</v>
      </c>
      <c r="D119" s="47" t="s">
        <v>116</v>
      </c>
      <c r="E119" s="42"/>
      <c r="F119" s="42"/>
      <c r="G119" s="42"/>
    </row>
    <row r="120" spans="1:15" ht="25.5" x14ac:dyDescent="0.2">
      <c r="A120" s="42"/>
      <c r="B120" s="24" t="s">
        <v>670</v>
      </c>
      <c r="C120" s="48">
        <v>6.7000000000000004E-2</v>
      </c>
      <c r="D120" s="28" t="s">
        <v>117</v>
      </c>
      <c r="E120" s="42"/>
      <c r="F120" s="44"/>
      <c r="G120" s="45"/>
    </row>
    <row r="121" spans="1:15" ht="25.5" x14ac:dyDescent="0.2">
      <c r="A121" s="42"/>
      <c r="B121" s="24" t="s">
        <v>674</v>
      </c>
      <c r="C121" s="48">
        <v>6.8000000000000005E-2</v>
      </c>
      <c r="D121" s="48">
        <v>6.8000000000000005E-2</v>
      </c>
      <c r="E121" s="42"/>
      <c r="F121" s="44"/>
      <c r="G121" s="45"/>
    </row>
    <row r="122" spans="1:15" x14ac:dyDescent="0.2">
      <c r="A122" s="42"/>
      <c r="B122" s="49"/>
      <c r="C122" s="49"/>
      <c r="D122" s="50"/>
      <c r="E122" s="42"/>
      <c r="F122" s="44"/>
      <c r="G122" s="45"/>
    </row>
    <row r="123" spans="1:15" s="55" customFormat="1" x14ac:dyDescent="0.2">
      <c r="A123" s="96"/>
      <c r="B123" s="163" t="s">
        <v>564</v>
      </c>
      <c r="C123" s="164"/>
      <c r="D123" s="51" t="s">
        <v>108</v>
      </c>
      <c r="E123" s="96"/>
      <c r="F123" s="33"/>
      <c r="G123" s="96"/>
      <c r="I123"/>
      <c r="J123"/>
      <c r="K123" s="53"/>
      <c r="L123" s="53"/>
      <c r="M123" s="53"/>
      <c r="N123" s="53"/>
      <c r="O123" s="56"/>
    </row>
    <row r="124" spans="1:15" x14ac:dyDescent="0.2">
      <c r="A124" s="38"/>
      <c r="B124" s="163" t="s">
        <v>565</v>
      </c>
      <c r="C124" s="164"/>
      <c r="D124" s="51" t="s">
        <v>108</v>
      </c>
      <c r="E124" s="52"/>
      <c r="F124" s="38"/>
      <c r="G124" s="38"/>
    </row>
    <row r="125" spans="1:15" x14ac:dyDescent="0.2">
      <c r="A125" s="38"/>
      <c r="B125" s="163" t="s">
        <v>566</v>
      </c>
      <c r="C125" s="164"/>
      <c r="D125" s="51" t="s">
        <v>108</v>
      </c>
      <c r="E125" s="52"/>
      <c r="F125" s="38"/>
      <c r="G125" s="38"/>
    </row>
    <row r="126" spans="1:15" x14ac:dyDescent="0.2">
      <c r="A126" s="38"/>
      <c r="B126" s="163" t="s">
        <v>567</v>
      </c>
      <c r="C126" s="164"/>
      <c r="D126" s="51" t="s">
        <v>108</v>
      </c>
      <c r="E126" s="52"/>
      <c r="F126" s="38"/>
      <c r="G126" s="38"/>
    </row>
    <row r="127" spans="1:15" x14ac:dyDescent="0.2">
      <c r="A127" s="54"/>
      <c r="B127" s="54"/>
      <c r="C127" s="54"/>
      <c r="D127" s="54"/>
      <c r="E127" s="54"/>
      <c r="F127" s="54"/>
      <c r="G127" s="54"/>
    </row>
    <row r="128" spans="1:15" s="55" customFormat="1" x14ac:dyDescent="0.2">
      <c r="B128" s="166" t="s">
        <v>552</v>
      </c>
      <c r="C128" s="167"/>
      <c r="D128" s="168"/>
      <c r="I128"/>
      <c r="J128" s="14"/>
      <c r="K128" s="53"/>
      <c r="L128" s="53"/>
      <c r="M128" s="53"/>
      <c r="N128" s="53"/>
      <c r="O128" s="56"/>
    </row>
    <row r="129" spans="2:18" s="55" customFormat="1" ht="38.25" x14ac:dyDescent="0.2">
      <c r="B129" s="156" t="s">
        <v>553</v>
      </c>
      <c r="C129" s="156"/>
      <c r="D129" s="57" t="s">
        <v>120</v>
      </c>
      <c r="I129"/>
      <c r="J129" s="14"/>
      <c r="K129" s="53"/>
      <c r="L129" s="53"/>
      <c r="M129" s="53"/>
      <c r="N129" s="53"/>
      <c r="O129" s="56"/>
    </row>
    <row r="130" spans="2:18" s="55" customFormat="1" x14ac:dyDescent="0.2">
      <c r="B130" s="169" t="s">
        <v>554</v>
      </c>
      <c r="C130" s="169"/>
      <c r="D130" s="58"/>
      <c r="I130"/>
      <c r="J130" s="14"/>
      <c r="K130" s="53"/>
      <c r="L130" s="53"/>
      <c r="M130" s="53"/>
      <c r="N130" s="53"/>
      <c r="O130" s="56"/>
    </row>
    <row r="131" spans="2:18" s="55" customFormat="1" x14ac:dyDescent="0.2">
      <c r="B131" s="169"/>
      <c r="C131" s="169"/>
      <c r="D131" s="59"/>
      <c r="I131"/>
      <c r="J131"/>
      <c r="K131" s="53"/>
      <c r="L131" s="53"/>
      <c r="M131" s="53"/>
      <c r="N131" s="53"/>
      <c r="O131" s="56"/>
    </row>
    <row r="132" spans="2:18" s="55" customFormat="1" x14ac:dyDescent="0.2">
      <c r="B132" s="169" t="s">
        <v>555</v>
      </c>
      <c r="C132" s="169"/>
      <c r="D132" s="60">
        <v>7.096245925310491</v>
      </c>
      <c r="I132"/>
      <c r="J132"/>
      <c r="K132" s="53"/>
      <c r="L132" s="53"/>
      <c r="M132" s="53"/>
      <c r="N132" s="53"/>
      <c r="O132" s="56"/>
    </row>
    <row r="133" spans="2:18" s="55" customFormat="1" x14ac:dyDescent="0.2">
      <c r="B133" s="169"/>
      <c r="C133" s="169"/>
      <c r="D133" s="59"/>
      <c r="I133"/>
      <c r="J133" s="14"/>
      <c r="K133" s="53"/>
      <c r="L133" s="53"/>
      <c r="M133" s="53"/>
      <c r="N133" s="53"/>
      <c r="O133" s="56"/>
    </row>
    <row r="134" spans="2:18" s="55" customFormat="1" x14ac:dyDescent="0.2">
      <c r="B134" s="169" t="s">
        <v>556</v>
      </c>
      <c r="C134" s="169"/>
      <c r="D134" s="60">
        <v>3.588522638154322</v>
      </c>
      <c r="I134"/>
      <c r="J134" s="14"/>
      <c r="K134" s="53"/>
      <c r="L134" s="53"/>
      <c r="M134" s="53"/>
      <c r="N134" s="53"/>
      <c r="O134" s="56"/>
    </row>
    <row r="135" spans="2:18" s="55" customFormat="1" x14ac:dyDescent="0.2">
      <c r="B135" s="169" t="s">
        <v>557</v>
      </c>
      <c r="C135" s="169"/>
      <c r="D135" s="60">
        <v>5.0204156658070938</v>
      </c>
      <c r="I135"/>
      <c r="J135" s="14"/>
      <c r="K135" s="53"/>
      <c r="L135" s="53"/>
      <c r="M135" s="53"/>
      <c r="N135" s="53"/>
      <c r="O135" s="56"/>
    </row>
    <row r="136" spans="2:18" s="55" customFormat="1" x14ac:dyDescent="0.2">
      <c r="B136" s="169"/>
      <c r="C136" s="169"/>
      <c r="D136" s="59"/>
      <c r="I136"/>
      <c r="J136" s="14"/>
      <c r="K136" s="53"/>
      <c r="L136" s="53"/>
      <c r="M136" s="53"/>
      <c r="N136" s="53"/>
      <c r="O136" s="56"/>
      <c r="R136"/>
    </row>
    <row r="137" spans="2:18" s="55" customFormat="1" x14ac:dyDescent="0.2">
      <c r="B137" s="169" t="s">
        <v>558</v>
      </c>
      <c r="C137" s="169"/>
      <c r="D137" s="62" t="s">
        <v>677</v>
      </c>
      <c r="I137"/>
      <c r="J137" s="14"/>
      <c r="K137" s="53"/>
      <c r="L137" s="53"/>
      <c r="M137" s="53"/>
      <c r="N137" s="53"/>
      <c r="O137" s="56"/>
    </row>
    <row r="138" spans="2:18" s="55" customFormat="1" x14ac:dyDescent="0.2">
      <c r="B138" s="170" t="s">
        <v>559</v>
      </c>
      <c r="C138" s="172"/>
      <c r="D138" s="171"/>
      <c r="I138"/>
      <c r="J138" s="14"/>
      <c r="K138" s="53"/>
      <c r="L138" s="53"/>
      <c r="M138" s="53"/>
      <c r="N138" s="53"/>
      <c r="O138" s="56"/>
      <c r="R138"/>
    </row>
    <row r="139" spans="2:18" x14ac:dyDescent="0.2">
      <c r="J139" s="14"/>
    </row>
    <row r="140" spans="2:18" x14ac:dyDescent="0.2">
      <c r="B140" s="64" t="s">
        <v>560</v>
      </c>
    </row>
    <row r="142" spans="2:18" ht="153.75" customHeight="1" x14ac:dyDescent="0.2"/>
    <row r="145" spans="2:10" x14ac:dyDescent="0.2">
      <c r="B145" s="65" t="s">
        <v>561</v>
      </c>
      <c r="C145" s="66"/>
      <c r="D145" s="65"/>
    </row>
    <row r="146" spans="2:10" x14ac:dyDescent="0.2">
      <c r="B146" s="65" t="s">
        <v>568</v>
      </c>
      <c r="D146" s="65"/>
    </row>
    <row r="147" spans="2:10" ht="165" customHeight="1" x14ac:dyDescent="0.2"/>
    <row r="148" spans="2:10" x14ac:dyDescent="0.2">
      <c r="J148" s="14"/>
    </row>
    <row r="149" spans="2:10" x14ac:dyDescent="0.2">
      <c r="J149" s="14"/>
    </row>
    <row r="150" spans="2:10" x14ac:dyDescent="0.2">
      <c r="J150" s="14"/>
    </row>
  </sheetData>
  <mergeCells count="26">
    <mergeCell ref="B138:D138"/>
    <mergeCell ref="B133:C133"/>
    <mergeCell ref="B134:C134"/>
    <mergeCell ref="B135:C135"/>
    <mergeCell ref="B136:C136"/>
    <mergeCell ref="B137:C137"/>
    <mergeCell ref="B128:D128"/>
    <mergeCell ref="B129:C129"/>
    <mergeCell ref="B130:C130"/>
    <mergeCell ref="B131:C131"/>
    <mergeCell ref="B132:C132"/>
    <mergeCell ref="B123:C123"/>
    <mergeCell ref="B124:C124"/>
    <mergeCell ref="B125:C125"/>
    <mergeCell ref="B126:C126"/>
    <mergeCell ref="A1:H1"/>
    <mergeCell ref="A2:H2"/>
    <mergeCell ref="A3:H3"/>
    <mergeCell ref="B105:D105"/>
    <mergeCell ref="B106:C106"/>
    <mergeCell ref="B107:C107"/>
    <mergeCell ref="B108:C108"/>
    <mergeCell ref="B118:C118"/>
    <mergeCell ref="B101:H101"/>
    <mergeCell ref="B102:H102"/>
    <mergeCell ref="B103:H103"/>
  </mergeCells>
  <hyperlinks>
    <hyperlink ref="I1" location="Index!B2" display="Index" xr:uid="{374C7F1C-5533-4702-A95B-0598C207513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3EE9-C50A-45CA-B924-F0033C53DA13}">
  <sheetPr>
    <outlinePr summaryBelow="0" summaryRight="0"/>
  </sheetPr>
  <dimension ref="A1:Q169"/>
  <sheetViews>
    <sheetView showGridLines="0" workbookViewId="0">
      <selection sqref="A1:H1"/>
    </sheetView>
  </sheetViews>
  <sheetFormatPr defaultRowHeight="12.75" x14ac:dyDescent="0.2"/>
  <cols>
    <col min="1" max="1" width="5.85546875" bestFit="1" customWidth="1"/>
    <col min="2" max="2" width="21.85546875" customWidth="1"/>
    <col min="3" max="3" width="39.140625" bestFit="1" customWidth="1"/>
    <col min="4" max="4" width="11.28515625" bestFit="1" customWidth="1"/>
    <col min="5" max="5" width="9.42578125" bestFit="1" customWidth="1"/>
    <col min="6" max="6" width="10.140625" bestFit="1" customWidth="1"/>
    <col min="7" max="7" width="14" bestFit="1" customWidth="1"/>
    <col min="8" max="8" width="9.42578125" customWidth="1"/>
  </cols>
  <sheetData>
    <row r="1" spans="1:9" ht="15" x14ac:dyDescent="0.2">
      <c r="A1" s="157" t="s">
        <v>0</v>
      </c>
      <c r="B1" s="157"/>
      <c r="C1" s="157"/>
      <c r="D1" s="157"/>
      <c r="E1" s="157"/>
      <c r="F1" s="157"/>
      <c r="G1" s="157"/>
      <c r="H1" s="157"/>
      <c r="I1" s="1" t="s">
        <v>531</v>
      </c>
    </row>
    <row r="2" spans="1:9" ht="15" x14ac:dyDescent="0.2">
      <c r="A2" s="157" t="s">
        <v>150</v>
      </c>
      <c r="B2" s="157"/>
      <c r="C2" s="157"/>
      <c r="D2" s="157"/>
      <c r="E2" s="157"/>
      <c r="F2" s="157"/>
      <c r="G2" s="157"/>
      <c r="H2" s="157"/>
    </row>
    <row r="3" spans="1:9" ht="15" x14ac:dyDescent="0.2">
      <c r="A3" s="157" t="s">
        <v>532</v>
      </c>
      <c r="B3" s="157"/>
      <c r="C3" s="157"/>
      <c r="D3" s="157"/>
      <c r="E3" s="157"/>
      <c r="F3" s="157"/>
      <c r="G3" s="157"/>
      <c r="H3" s="157"/>
    </row>
    <row r="4" spans="1:9" s="14" customFormat="1" ht="30" x14ac:dyDescent="0.2">
      <c r="A4" s="12" t="s">
        <v>2</v>
      </c>
      <c r="B4" s="12" t="s">
        <v>3</v>
      </c>
      <c r="C4" s="12" t="s">
        <v>4</v>
      </c>
      <c r="D4" s="12" t="s">
        <v>5</v>
      </c>
      <c r="E4" s="12" t="s">
        <v>6</v>
      </c>
      <c r="F4" s="12" t="s">
        <v>7</v>
      </c>
      <c r="G4" s="12" t="s">
        <v>8</v>
      </c>
      <c r="H4" s="13" t="s">
        <v>530</v>
      </c>
    </row>
    <row r="5" spans="1:9" x14ac:dyDescent="0.2">
      <c r="A5" s="15"/>
      <c r="B5" s="15"/>
      <c r="C5" s="16" t="s">
        <v>9</v>
      </c>
      <c r="D5" s="15"/>
      <c r="E5" s="15"/>
      <c r="F5" s="15"/>
      <c r="G5" s="15"/>
      <c r="H5" s="17" t="s">
        <v>12</v>
      </c>
    </row>
    <row r="6" spans="1:9" x14ac:dyDescent="0.2">
      <c r="A6" s="15"/>
      <c r="B6" s="15"/>
      <c r="C6" s="16" t="s">
        <v>10</v>
      </c>
      <c r="D6" s="15"/>
      <c r="E6" s="15"/>
      <c r="F6" s="15"/>
      <c r="G6" s="15"/>
      <c r="H6" s="17" t="s">
        <v>12</v>
      </c>
    </row>
    <row r="7" spans="1:9" x14ac:dyDescent="0.2">
      <c r="A7" s="15"/>
      <c r="B7" s="15"/>
      <c r="C7" s="16" t="s">
        <v>11</v>
      </c>
      <c r="D7" s="15"/>
      <c r="E7" s="15" t="s">
        <v>12</v>
      </c>
      <c r="F7" s="18" t="s">
        <v>13</v>
      </c>
      <c r="G7" s="19">
        <v>0</v>
      </c>
      <c r="H7" s="17" t="s">
        <v>12</v>
      </c>
    </row>
    <row r="8" spans="1:9" x14ac:dyDescent="0.2">
      <c r="A8" s="15"/>
      <c r="B8" s="15"/>
      <c r="C8" s="20"/>
      <c r="D8" s="15"/>
      <c r="E8" s="15"/>
      <c r="F8" s="21"/>
      <c r="G8" s="21"/>
      <c r="H8" s="17" t="s">
        <v>12</v>
      </c>
    </row>
    <row r="9" spans="1:9" x14ac:dyDescent="0.2">
      <c r="A9" s="15"/>
      <c r="B9" s="15"/>
      <c r="C9" s="16" t="s">
        <v>14</v>
      </c>
      <c r="D9" s="15"/>
      <c r="E9" s="15"/>
      <c r="F9" s="15"/>
      <c r="G9" s="15"/>
      <c r="H9" s="17" t="s">
        <v>12</v>
      </c>
    </row>
    <row r="10" spans="1:9" x14ac:dyDescent="0.2">
      <c r="A10" s="15"/>
      <c r="B10" s="15"/>
      <c r="C10" s="16" t="s">
        <v>11</v>
      </c>
      <c r="D10" s="15"/>
      <c r="E10" s="15" t="s">
        <v>12</v>
      </c>
      <c r="F10" s="18" t="s">
        <v>13</v>
      </c>
      <c r="G10" s="19">
        <v>0</v>
      </c>
      <c r="H10" s="17" t="s">
        <v>12</v>
      </c>
    </row>
    <row r="11" spans="1:9" x14ac:dyDescent="0.2">
      <c r="A11" s="15"/>
      <c r="B11" s="15"/>
      <c r="C11" s="20"/>
      <c r="D11" s="15"/>
      <c r="E11" s="15"/>
      <c r="F11" s="21"/>
      <c r="G11" s="21"/>
      <c r="H11" s="17" t="s">
        <v>12</v>
      </c>
    </row>
    <row r="12" spans="1:9" x14ac:dyDescent="0.2">
      <c r="A12" s="15"/>
      <c r="B12" s="15"/>
      <c r="C12" s="16" t="s">
        <v>15</v>
      </c>
      <c r="D12" s="15"/>
      <c r="E12" s="15"/>
      <c r="F12" s="15"/>
      <c r="G12" s="15"/>
      <c r="H12" s="17" t="s">
        <v>12</v>
      </c>
    </row>
    <row r="13" spans="1:9" x14ac:dyDescent="0.2">
      <c r="A13" s="15"/>
      <c r="B13" s="15"/>
      <c r="C13" s="16" t="s">
        <v>11</v>
      </c>
      <c r="D13" s="15"/>
      <c r="E13" s="15" t="s">
        <v>12</v>
      </c>
      <c r="F13" s="18" t="s">
        <v>13</v>
      </c>
      <c r="G13" s="19">
        <v>0</v>
      </c>
      <c r="H13" s="17" t="s">
        <v>12</v>
      </c>
    </row>
    <row r="14" spans="1:9" x14ac:dyDescent="0.2">
      <c r="A14" s="15"/>
      <c r="B14" s="15"/>
      <c r="C14" s="20"/>
      <c r="D14" s="15"/>
      <c r="E14" s="15"/>
      <c r="F14" s="21"/>
      <c r="G14" s="21"/>
      <c r="H14" s="17" t="s">
        <v>12</v>
      </c>
    </row>
    <row r="15" spans="1:9" x14ac:dyDescent="0.2">
      <c r="A15" s="15"/>
      <c r="B15" s="15"/>
      <c r="C15" s="16" t="s">
        <v>16</v>
      </c>
      <c r="D15" s="15"/>
      <c r="E15" s="15"/>
      <c r="F15" s="15"/>
      <c r="G15" s="15"/>
      <c r="H15" s="17" t="s">
        <v>12</v>
      </c>
    </row>
    <row r="16" spans="1:9" x14ac:dyDescent="0.2">
      <c r="A16" s="15"/>
      <c r="B16" s="15"/>
      <c r="C16" s="16" t="s">
        <v>11</v>
      </c>
      <c r="D16" s="15"/>
      <c r="E16" s="15" t="s">
        <v>12</v>
      </c>
      <c r="F16" s="18" t="s">
        <v>13</v>
      </c>
      <c r="G16" s="19">
        <v>0</v>
      </c>
      <c r="H16" s="17" t="s">
        <v>12</v>
      </c>
    </row>
    <row r="17" spans="1:8" x14ac:dyDescent="0.2">
      <c r="A17" s="15"/>
      <c r="B17" s="15"/>
      <c r="C17" s="20"/>
      <c r="D17" s="15"/>
      <c r="E17" s="15"/>
      <c r="F17" s="21"/>
      <c r="G17" s="21"/>
      <c r="H17" s="17" t="s">
        <v>12</v>
      </c>
    </row>
    <row r="18" spans="1:8" x14ac:dyDescent="0.2">
      <c r="A18" s="15"/>
      <c r="B18" s="15"/>
      <c r="C18" s="16" t="s">
        <v>17</v>
      </c>
      <c r="D18" s="15"/>
      <c r="E18" s="15"/>
      <c r="F18" s="21"/>
      <c r="G18" s="21"/>
      <c r="H18" s="17" t="s">
        <v>12</v>
      </c>
    </row>
    <row r="19" spans="1:8" x14ac:dyDescent="0.2">
      <c r="A19" s="15"/>
      <c r="B19" s="15"/>
      <c r="C19" s="16" t="s">
        <v>11</v>
      </c>
      <c r="D19" s="15"/>
      <c r="E19" s="15" t="s">
        <v>12</v>
      </c>
      <c r="F19" s="18" t="s">
        <v>13</v>
      </c>
      <c r="G19" s="19">
        <v>0</v>
      </c>
      <c r="H19" s="17" t="s">
        <v>12</v>
      </c>
    </row>
    <row r="20" spans="1:8" x14ac:dyDescent="0.2">
      <c r="A20" s="15"/>
      <c r="B20" s="15"/>
      <c r="C20" s="20"/>
      <c r="D20" s="15"/>
      <c r="E20" s="15"/>
      <c r="F20" s="21"/>
      <c r="G20" s="21"/>
      <c r="H20" s="17" t="s">
        <v>12</v>
      </c>
    </row>
    <row r="21" spans="1:8" x14ac:dyDescent="0.2">
      <c r="A21" s="15"/>
      <c r="B21" s="15"/>
      <c r="C21" s="16" t="s">
        <v>18</v>
      </c>
      <c r="D21" s="15"/>
      <c r="E21" s="15"/>
      <c r="F21" s="21"/>
      <c r="G21" s="21"/>
      <c r="H21" s="17" t="s">
        <v>12</v>
      </c>
    </row>
    <row r="22" spans="1:8" x14ac:dyDescent="0.2">
      <c r="A22" s="15"/>
      <c r="B22" s="15"/>
      <c r="C22" s="16" t="s">
        <v>11</v>
      </c>
      <c r="D22" s="15"/>
      <c r="E22" s="15" t="s">
        <v>12</v>
      </c>
      <c r="F22" s="18" t="s">
        <v>13</v>
      </c>
      <c r="G22" s="19">
        <v>0</v>
      </c>
      <c r="H22" s="17" t="s">
        <v>12</v>
      </c>
    </row>
    <row r="23" spans="1:8" x14ac:dyDescent="0.2">
      <c r="A23" s="15"/>
      <c r="B23" s="15"/>
      <c r="C23" s="20"/>
      <c r="D23" s="15"/>
      <c r="E23" s="15"/>
      <c r="F23" s="21"/>
      <c r="G23" s="21"/>
      <c r="H23" s="17" t="s">
        <v>12</v>
      </c>
    </row>
    <row r="24" spans="1:8" x14ac:dyDescent="0.2">
      <c r="A24" s="15"/>
      <c r="B24" s="15"/>
      <c r="C24" s="16" t="s">
        <v>19</v>
      </c>
      <c r="D24" s="15"/>
      <c r="E24" s="15"/>
      <c r="F24" s="22">
        <v>0</v>
      </c>
      <c r="G24" s="19">
        <v>0</v>
      </c>
      <c r="H24" s="17" t="s">
        <v>12</v>
      </c>
    </row>
    <row r="25" spans="1:8" x14ac:dyDescent="0.2">
      <c r="A25" s="15"/>
      <c r="B25" s="15"/>
      <c r="C25" s="20"/>
      <c r="D25" s="15"/>
      <c r="E25" s="15"/>
      <c r="F25" s="21"/>
      <c r="G25" s="21"/>
      <c r="H25" s="17" t="s">
        <v>12</v>
      </c>
    </row>
    <row r="26" spans="1:8" x14ac:dyDescent="0.2">
      <c r="A26" s="15"/>
      <c r="B26" s="15"/>
      <c r="C26" s="16" t="s">
        <v>20</v>
      </c>
      <c r="D26" s="15"/>
      <c r="E26" s="15"/>
      <c r="F26" s="21"/>
      <c r="G26" s="21"/>
      <c r="H26" s="17" t="s">
        <v>12</v>
      </c>
    </row>
    <row r="27" spans="1:8" x14ac:dyDescent="0.2">
      <c r="A27" s="15"/>
      <c r="B27" s="15"/>
      <c r="C27" s="16" t="s">
        <v>10</v>
      </c>
      <c r="D27" s="15"/>
      <c r="E27" s="15"/>
      <c r="F27" s="21"/>
      <c r="G27" s="21"/>
      <c r="H27" s="17" t="s">
        <v>12</v>
      </c>
    </row>
    <row r="28" spans="1:8" x14ac:dyDescent="0.2">
      <c r="A28" s="15"/>
      <c r="B28" s="15"/>
      <c r="C28" s="16" t="s">
        <v>11</v>
      </c>
      <c r="D28" s="15"/>
      <c r="E28" s="15" t="s">
        <v>12</v>
      </c>
      <c r="F28" s="18" t="s">
        <v>13</v>
      </c>
      <c r="G28" s="19">
        <v>0</v>
      </c>
      <c r="H28" s="17" t="s">
        <v>12</v>
      </c>
    </row>
    <row r="29" spans="1:8" x14ac:dyDescent="0.2">
      <c r="A29" s="15"/>
      <c r="B29" s="15"/>
      <c r="C29" s="20"/>
      <c r="D29" s="15"/>
      <c r="E29" s="15"/>
      <c r="F29" s="21"/>
      <c r="G29" s="21"/>
      <c r="H29" s="17" t="s">
        <v>12</v>
      </c>
    </row>
    <row r="30" spans="1:8" x14ac:dyDescent="0.2">
      <c r="A30" s="15"/>
      <c r="B30" s="15"/>
      <c r="C30" s="16" t="s">
        <v>71</v>
      </c>
      <c r="D30" s="15"/>
      <c r="E30" s="15"/>
      <c r="F30" s="15"/>
      <c r="G30" s="15"/>
      <c r="H30" s="17" t="s">
        <v>12</v>
      </c>
    </row>
    <row r="31" spans="1:8" x14ac:dyDescent="0.2">
      <c r="A31" s="15"/>
      <c r="B31" s="15"/>
      <c r="C31" s="16" t="s">
        <v>11</v>
      </c>
      <c r="D31" s="15"/>
      <c r="E31" s="15" t="s">
        <v>12</v>
      </c>
      <c r="F31" s="18" t="s">
        <v>13</v>
      </c>
      <c r="G31" s="19">
        <v>0</v>
      </c>
      <c r="H31" s="17" t="s">
        <v>12</v>
      </c>
    </row>
    <row r="32" spans="1:8" x14ac:dyDescent="0.2">
      <c r="A32" s="15"/>
      <c r="B32" s="15"/>
      <c r="C32" s="20"/>
      <c r="D32" s="15"/>
      <c r="E32" s="15"/>
      <c r="F32" s="21"/>
      <c r="G32" s="21"/>
      <c r="H32" s="17" t="s">
        <v>12</v>
      </c>
    </row>
    <row r="33" spans="1:8" x14ac:dyDescent="0.2">
      <c r="A33" s="15"/>
      <c r="B33" s="15"/>
      <c r="C33" s="16" t="s">
        <v>72</v>
      </c>
      <c r="D33" s="15"/>
      <c r="E33" s="15"/>
      <c r="F33" s="15"/>
      <c r="G33" s="15"/>
      <c r="H33" s="17" t="s">
        <v>12</v>
      </c>
    </row>
    <row r="34" spans="1:8" ht="25.5" x14ac:dyDescent="0.2">
      <c r="A34" s="23">
        <v>1</v>
      </c>
      <c r="B34" s="24" t="s">
        <v>151</v>
      </c>
      <c r="C34" s="24" t="s">
        <v>152</v>
      </c>
      <c r="D34" s="24" t="s">
        <v>75</v>
      </c>
      <c r="E34" s="25">
        <v>2000000</v>
      </c>
      <c r="F34" s="26">
        <v>2036.2239999999999</v>
      </c>
      <c r="G34" s="27">
        <v>1.576497E-2</v>
      </c>
      <c r="H34" s="17">
        <v>6.6737000000000002</v>
      </c>
    </row>
    <row r="35" spans="1:8" x14ac:dyDescent="0.2">
      <c r="A35" s="15"/>
      <c r="B35" s="15"/>
      <c r="C35" s="16" t="s">
        <v>11</v>
      </c>
      <c r="D35" s="15"/>
      <c r="E35" s="15" t="s">
        <v>12</v>
      </c>
      <c r="F35" s="22">
        <v>2036.2239999999999</v>
      </c>
      <c r="G35" s="19">
        <v>1.576497E-2</v>
      </c>
      <c r="H35" s="17" t="s">
        <v>12</v>
      </c>
    </row>
    <row r="36" spans="1:8" x14ac:dyDescent="0.2">
      <c r="A36" s="15"/>
      <c r="B36" s="15"/>
      <c r="C36" s="20"/>
      <c r="D36" s="15"/>
      <c r="E36" s="15"/>
      <c r="F36" s="21"/>
      <c r="G36" s="21"/>
      <c r="H36" s="17" t="s">
        <v>12</v>
      </c>
    </row>
    <row r="37" spans="1:8" x14ac:dyDescent="0.2">
      <c r="A37" s="15"/>
      <c r="B37" s="15"/>
      <c r="C37" s="16" t="s">
        <v>88</v>
      </c>
      <c r="D37" s="15"/>
      <c r="E37" s="15"/>
      <c r="F37" s="21"/>
      <c r="G37" s="21"/>
      <c r="H37" s="17" t="s">
        <v>12</v>
      </c>
    </row>
    <row r="38" spans="1:8" x14ac:dyDescent="0.2">
      <c r="A38" s="15"/>
      <c r="B38" s="15"/>
      <c r="C38" s="16" t="s">
        <v>11</v>
      </c>
      <c r="D38" s="15"/>
      <c r="E38" s="15" t="s">
        <v>12</v>
      </c>
      <c r="F38" s="18" t="s">
        <v>13</v>
      </c>
      <c r="G38" s="19">
        <v>0</v>
      </c>
      <c r="H38" s="17" t="s">
        <v>12</v>
      </c>
    </row>
    <row r="39" spans="1:8" x14ac:dyDescent="0.2">
      <c r="A39" s="15"/>
      <c r="B39" s="15"/>
      <c r="C39" s="20"/>
      <c r="D39" s="15"/>
      <c r="E39" s="15"/>
      <c r="F39" s="21"/>
      <c r="G39" s="21"/>
      <c r="H39" s="17" t="s">
        <v>12</v>
      </c>
    </row>
    <row r="40" spans="1:8" x14ac:dyDescent="0.2">
      <c r="A40" s="15"/>
      <c r="B40" s="15"/>
      <c r="C40" s="16" t="s">
        <v>89</v>
      </c>
      <c r="D40" s="15"/>
      <c r="E40" s="15"/>
      <c r="F40" s="22">
        <v>2036.2239999999999</v>
      </c>
      <c r="G40" s="19">
        <v>1.576497E-2</v>
      </c>
      <c r="H40" s="17" t="s">
        <v>12</v>
      </c>
    </row>
    <row r="41" spans="1:8" x14ac:dyDescent="0.2">
      <c r="A41" s="15"/>
      <c r="B41" s="15"/>
      <c r="C41" s="20"/>
      <c r="D41" s="15"/>
      <c r="E41" s="15"/>
      <c r="F41" s="21"/>
      <c r="G41" s="21"/>
      <c r="H41" s="17" t="s">
        <v>12</v>
      </c>
    </row>
    <row r="42" spans="1:8" x14ac:dyDescent="0.2">
      <c r="A42" s="15"/>
      <c r="B42" s="15"/>
      <c r="C42" s="16" t="s">
        <v>90</v>
      </c>
      <c r="D42" s="15"/>
      <c r="E42" s="15"/>
      <c r="F42" s="21"/>
      <c r="G42" s="21"/>
      <c r="H42" s="17" t="s">
        <v>12</v>
      </c>
    </row>
    <row r="43" spans="1:8" x14ac:dyDescent="0.2">
      <c r="A43" s="15"/>
      <c r="B43" s="15"/>
      <c r="C43" s="16" t="s">
        <v>91</v>
      </c>
      <c r="D43" s="15"/>
      <c r="E43" s="15"/>
      <c r="F43" s="21"/>
      <c r="G43" s="21"/>
      <c r="H43" s="17" t="s">
        <v>12</v>
      </c>
    </row>
    <row r="44" spans="1:8" x14ac:dyDescent="0.2">
      <c r="A44" s="23">
        <v>1</v>
      </c>
      <c r="B44" s="24" t="s">
        <v>153</v>
      </c>
      <c r="C44" s="24" t="s">
        <v>154</v>
      </c>
      <c r="D44" s="24" t="s">
        <v>145</v>
      </c>
      <c r="E44" s="25">
        <v>2500</v>
      </c>
      <c r="F44" s="26">
        <v>11688.4625</v>
      </c>
      <c r="G44" s="27">
        <v>9.0495099999999995E-2</v>
      </c>
      <c r="H44" s="17">
        <v>7.22</v>
      </c>
    </row>
    <row r="45" spans="1:8" ht="25.5" x14ac:dyDescent="0.2">
      <c r="A45" s="23">
        <v>2</v>
      </c>
      <c r="B45" s="24" t="s">
        <v>155</v>
      </c>
      <c r="C45" s="24" t="s">
        <v>156</v>
      </c>
      <c r="D45" s="24" t="s">
        <v>145</v>
      </c>
      <c r="E45" s="25">
        <v>1500</v>
      </c>
      <c r="F45" s="26">
        <v>7050.0225</v>
      </c>
      <c r="G45" s="27">
        <v>5.4583100000000002E-2</v>
      </c>
      <c r="H45" s="17">
        <v>7.2350000000000003</v>
      </c>
    </row>
    <row r="46" spans="1:8" x14ac:dyDescent="0.2">
      <c r="A46" s="23">
        <v>3</v>
      </c>
      <c r="B46" s="24" t="s">
        <v>157</v>
      </c>
      <c r="C46" s="24" t="s">
        <v>158</v>
      </c>
      <c r="D46" s="24" t="s">
        <v>145</v>
      </c>
      <c r="E46" s="25">
        <v>1000</v>
      </c>
      <c r="F46" s="26">
        <v>4917.6750000000002</v>
      </c>
      <c r="G46" s="27">
        <v>3.8073910000000002E-2</v>
      </c>
      <c r="H46" s="17">
        <v>7.1050000000000004</v>
      </c>
    </row>
    <row r="47" spans="1:8" x14ac:dyDescent="0.2">
      <c r="A47" s="23">
        <v>4</v>
      </c>
      <c r="B47" s="24" t="s">
        <v>159</v>
      </c>
      <c r="C47" s="24" t="s">
        <v>160</v>
      </c>
      <c r="D47" s="24" t="s">
        <v>145</v>
      </c>
      <c r="E47" s="25">
        <v>1000</v>
      </c>
      <c r="F47" s="26">
        <v>4687.2150000000001</v>
      </c>
      <c r="G47" s="27">
        <v>3.6289630000000003E-2</v>
      </c>
      <c r="H47" s="17">
        <v>7.1849999999999996</v>
      </c>
    </row>
    <row r="48" spans="1:8" x14ac:dyDescent="0.2">
      <c r="A48" s="23">
        <v>5</v>
      </c>
      <c r="B48" s="24" t="s">
        <v>161</v>
      </c>
      <c r="C48" s="24" t="s">
        <v>162</v>
      </c>
      <c r="D48" s="24" t="s">
        <v>145</v>
      </c>
      <c r="E48" s="25">
        <v>1000</v>
      </c>
      <c r="F48" s="26">
        <v>4678.54</v>
      </c>
      <c r="G48" s="27">
        <v>3.622247E-2</v>
      </c>
      <c r="H48" s="17">
        <v>7.1449999999999996</v>
      </c>
    </row>
    <row r="49" spans="1:8" x14ac:dyDescent="0.2">
      <c r="A49" s="23">
        <v>6</v>
      </c>
      <c r="B49" s="24" t="s">
        <v>163</v>
      </c>
      <c r="C49" s="24" t="s">
        <v>164</v>
      </c>
      <c r="D49" s="24" t="s">
        <v>145</v>
      </c>
      <c r="E49" s="25">
        <v>1000</v>
      </c>
      <c r="F49" s="26">
        <v>4677.26</v>
      </c>
      <c r="G49" s="27">
        <v>3.6212559999999998E-2</v>
      </c>
      <c r="H49" s="17">
        <v>7.1550000000000002</v>
      </c>
    </row>
    <row r="50" spans="1:8" ht="25.5" x14ac:dyDescent="0.2">
      <c r="A50" s="23">
        <v>7</v>
      </c>
      <c r="B50" s="24" t="s">
        <v>165</v>
      </c>
      <c r="C50" s="24" t="s">
        <v>166</v>
      </c>
      <c r="D50" s="24" t="s">
        <v>145</v>
      </c>
      <c r="E50" s="25">
        <v>900</v>
      </c>
      <c r="F50" s="26">
        <v>4202.5950000000003</v>
      </c>
      <c r="G50" s="27">
        <v>3.2537580000000003E-2</v>
      </c>
      <c r="H50" s="17">
        <v>7.1950000000000003</v>
      </c>
    </row>
    <row r="51" spans="1:8" ht="25.5" x14ac:dyDescent="0.2">
      <c r="A51" s="23">
        <v>8</v>
      </c>
      <c r="B51" s="24" t="s">
        <v>167</v>
      </c>
      <c r="C51" s="24" t="s">
        <v>168</v>
      </c>
      <c r="D51" s="24" t="s">
        <v>145</v>
      </c>
      <c r="E51" s="25">
        <v>800</v>
      </c>
      <c r="F51" s="26">
        <v>3754.3040000000001</v>
      </c>
      <c r="G51" s="27">
        <v>2.9066789999999999E-2</v>
      </c>
      <c r="H51" s="17">
        <v>7.1950000000000003</v>
      </c>
    </row>
    <row r="52" spans="1:8" ht="25.5" x14ac:dyDescent="0.2">
      <c r="A52" s="23">
        <v>9</v>
      </c>
      <c r="B52" s="24" t="s">
        <v>169</v>
      </c>
      <c r="C52" s="24" t="s">
        <v>170</v>
      </c>
      <c r="D52" s="24" t="s">
        <v>145</v>
      </c>
      <c r="E52" s="25">
        <v>800</v>
      </c>
      <c r="F52" s="26">
        <v>3754.14</v>
      </c>
      <c r="G52" s="27">
        <v>2.9065520000000001E-2</v>
      </c>
      <c r="H52" s="17">
        <v>7.2</v>
      </c>
    </row>
    <row r="53" spans="1:8" x14ac:dyDescent="0.2">
      <c r="A53" s="23">
        <v>10</v>
      </c>
      <c r="B53" s="24" t="s">
        <v>146</v>
      </c>
      <c r="C53" s="24" t="s">
        <v>147</v>
      </c>
      <c r="D53" s="24" t="s">
        <v>145</v>
      </c>
      <c r="E53" s="25">
        <v>700</v>
      </c>
      <c r="F53" s="26">
        <v>3273.9279999999999</v>
      </c>
      <c r="G53" s="27">
        <v>2.5347600000000001E-2</v>
      </c>
      <c r="H53" s="17">
        <v>7.14</v>
      </c>
    </row>
    <row r="54" spans="1:8" x14ac:dyDescent="0.2">
      <c r="A54" s="23">
        <v>11</v>
      </c>
      <c r="B54" s="24" t="s">
        <v>171</v>
      </c>
      <c r="C54" s="24" t="s">
        <v>172</v>
      </c>
      <c r="D54" s="24" t="s">
        <v>145</v>
      </c>
      <c r="E54" s="25">
        <v>500</v>
      </c>
      <c r="F54" s="26">
        <v>2396.4025000000001</v>
      </c>
      <c r="G54" s="27">
        <v>1.8553569999999998E-2</v>
      </c>
      <c r="H54" s="17">
        <v>7.5140000000000002</v>
      </c>
    </row>
    <row r="55" spans="1:8" x14ac:dyDescent="0.2">
      <c r="A55" s="23">
        <v>12</v>
      </c>
      <c r="B55" s="24" t="s">
        <v>173</v>
      </c>
      <c r="C55" s="24" t="s">
        <v>174</v>
      </c>
      <c r="D55" s="24" t="s">
        <v>145</v>
      </c>
      <c r="E55" s="25">
        <v>500</v>
      </c>
      <c r="F55" s="26">
        <v>2386.0174999999999</v>
      </c>
      <c r="G55" s="27">
        <v>1.8473170000000001E-2</v>
      </c>
      <c r="H55" s="17">
        <v>7.2350000000000003</v>
      </c>
    </row>
    <row r="56" spans="1:8" x14ac:dyDescent="0.2">
      <c r="A56" s="23">
        <v>13</v>
      </c>
      <c r="B56" s="24" t="s">
        <v>175</v>
      </c>
      <c r="C56" s="24" t="s">
        <v>176</v>
      </c>
      <c r="D56" s="24" t="s">
        <v>145</v>
      </c>
      <c r="E56" s="25">
        <v>500</v>
      </c>
      <c r="F56" s="26">
        <v>2385.3674999999998</v>
      </c>
      <c r="G56" s="27">
        <v>1.8468129999999999E-2</v>
      </c>
      <c r="H56" s="17">
        <v>7.37</v>
      </c>
    </row>
    <row r="57" spans="1:8" ht="25.5" x14ac:dyDescent="0.2">
      <c r="A57" s="23">
        <v>14</v>
      </c>
      <c r="B57" s="24" t="s">
        <v>177</v>
      </c>
      <c r="C57" s="24" t="s">
        <v>178</v>
      </c>
      <c r="D57" s="24" t="s">
        <v>145</v>
      </c>
      <c r="E57" s="25">
        <v>500</v>
      </c>
      <c r="F57" s="26">
        <v>2383.8674999999998</v>
      </c>
      <c r="G57" s="27">
        <v>1.8456520000000001E-2</v>
      </c>
      <c r="H57" s="17">
        <v>7.17</v>
      </c>
    </row>
    <row r="58" spans="1:8" x14ac:dyDescent="0.2">
      <c r="A58" s="23">
        <v>15</v>
      </c>
      <c r="B58" s="24" t="s">
        <v>179</v>
      </c>
      <c r="C58" s="24" t="s">
        <v>180</v>
      </c>
      <c r="D58" s="24" t="s">
        <v>145</v>
      </c>
      <c r="E58" s="25">
        <v>500</v>
      </c>
      <c r="F58" s="26">
        <v>2380.9524999999999</v>
      </c>
      <c r="G58" s="27">
        <v>1.8433950000000001E-2</v>
      </c>
      <c r="H58" s="17">
        <v>7.359</v>
      </c>
    </row>
    <row r="59" spans="1:8" x14ac:dyDescent="0.2">
      <c r="A59" s="23">
        <v>16</v>
      </c>
      <c r="B59" s="24" t="s">
        <v>181</v>
      </c>
      <c r="C59" s="24" t="s">
        <v>182</v>
      </c>
      <c r="D59" s="24" t="s">
        <v>145</v>
      </c>
      <c r="E59" s="25">
        <v>500</v>
      </c>
      <c r="F59" s="26">
        <v>2357.8425000000002</v>
      </c>
      <c r="G59" s="27">
        <v>1.8255029999999998E-2</v>
      </c>
      <c r="H59" s="17">
        <v>7.1449999999999996</v>
      </c>
    </row>
    <row r="60" spans="1:8" x14ac:dyDescent="0.2">
      <c r="A60" s="23">
        <v>17</v>
      </c>
      <c r="B60" s="24" t="s">
        <v>183</v>
      </c>
      <c r="C60" s="24" t="s">
        <v>184</v>
      </c>
      <c r="D60" s="24" t="s">
        <v>145</v>
      </c>
      <c r="E60" s="25">
        <v>500</v>
      </c>
      <c r="F60" s="26">
        <v>2356.6525000000001</v>
      </c>
      <c r="G60" s="27">
        <v>1.8245810000000001E-2</v>
      </c>
      <c r="H60" s="17">
        <v>7.1849999999999996</v>
      </c>
    </row>
    <row r="61" spans="1:8" x14ac:dyDescent="0.2">
      <c r="A61" s="23">
        <v>18</v>
      </c>
      <c r="B61" s="24" t="s">
        <v>185</v>
      </c>
      <c r="C61" s="24" t="s">
        <v>186</v>
      </c>
      <c r="D61" s="24" t="s">
        <v>145</v>
      </c>
      <c r="E61" s="25">
        <v>500</v>
      </c>
      <c r="F61" s="26">
        <v>2351.1350000000002</v>
      </c>
      <c r="G61" s="27">
        <v>1.82031E-2</v>
      </c>
      <c r="H61" s="17">
        <v>7.1550000000000002</v>
      </c>
    </row>
    <row r="62" spans="1:8" x14ac:dyDescent="0.2">
      <c r="A62" s="23">
        <v>19</v>
      </c>
      <c r="B62" s="24" t="s">
        <v>187</v>
      </c>
      <c r="C62" s="24" t="s">
        <v>188</v>
      </c>
      <c r="D62" s="24" t="s">
        <v>145</v>
      </c>
      <c r="E62" s="25">
        <v>500</v>
      </c>
      <c r="F62" s="26">
        <v>2346.71</v>
      </c>
      <c r="G62" s="27">
        <v>1.8168839999999999E-2</v>
      </c>
      <c r="H62" s="17">
        <v>7.2249999999999996</v>
      </c>
    </row>
    <row r="63" spans="1:8" x14ac:dyDescent="0.2">
      <c r="A63" s="23">
        <v>20</v>
      </c>
      <c r="B63" s="24" t="s">
        <v>189</v>
      </c>
      <c r="C63" s="24" t="s">
        <v>190</v>
      </c>
      <c r="D63" s="24" t="s">
        <v>145</v>
      </c>
      <c r="E63" s="25">
        <v>500</v>
      </c>
      <c r="F63" s="26">
        <v>2346.54</v>
      </c>
      <c r="G63" s="27">
        <v>1.816752E-2</v>
      </c>
      <c r="H63" s="17">
        <v>7.19</v>
      </c>
    </row>
    <row r="64" spans="1:8" x14ac:dyDescent="0.2">
      <c r="A64" s="23">
        <v>21</v>
      </c>
      <c r="B64" s="24" t="s">
        <v>191</v>
      </c>
      <c r="C64" s="24" t="s">
        <v>192</v>
      </c>
      <c r="D64" s="24" t="s">
        <v>145</v>
      </c>
      <c r="E64" s="25">
        <v>500</v>
      </c>
      <c r="F64" s="26">
        <v>2346.4124999999999</v>
      </c>
      <c r="G64" s="27">
        <v>1.816653E-2</v>
      </c>
      <c r="H64" s="17">
        <v>7.2839999999999998</v>
      </c>
    </row>
    <row r="65" spans="1:8" x14ac:dyDescent="0.2">
      <c r="A65" s="23">
        <v>22</v>
      </c>
      <c r="B65" s="24" t="s">
        <v>193</v>
      </c>
      <c r="C65" s="24" t="s">
        <v>194</v>
      </c>
      <c r="D65" s="24" t="s">
        <v>145</v>
      </c>
      <c r="E65" s="25">
        <v>500</v>
      </c>
      <c r="F65" s="26">
        <v>2341.415</v>
      </c>
      <c r="G65" s="27">
        <v>1.8127839999999999E-2</v>
      </c>
      <c r="H65" s="17">
        <v>7.1449999999999996</v>
      </c>
    </row>
    <row r="66" spans="1:8" x14ac:dyDescent="0.2">
      <c r="A66" s="23">
        <v>23</v>
      </c>
      <c r="B66" s="24" t="s">
        <v>143</v>
      </c>
      <c r="C66" s="24" t="s">
        <v>144</v>
      </c>
      <c r="D66" s="24" t="s">
        <v>145</v>
      </c>
      <c r="E66" s="25">
        <v>400</v>
      </c>
      <c r="F66" s="26">
        <v>1885.096</v>
      </c>
      <c r="G66" s="27">
        <v>1.4594899999999999E-2</v>
      </c>
      <c r="H66" s="17">
        <v>7.2</v>
      </c>
    </row>
    <row r="67" spans="1:8" x14ac:dyDescent="0.2">
      <c r="A67" s="23">
        <v>24</v>
      </c>
      <c r="B67" s="24" t="s">
        <v>195</v>
      </c>
      <c r="C67" s="24" t="s">
        <v>196</v>
      </c>
      <c r="D67" s="24" t="s">
        <v>145</v>
      </c>
      <c r="E67" s="25">
        <v>400</v>
      </c>
      <c r="F67" s="26">
        <v>1884.722</v>
      </c>
      <c r="G67" s="27">
        <v>1.4592010000000001E-2</v>
      </c>
      <c r="H67" s="17">
        <v>7.2249999999999996</v>
      </c>
    </row>
    <row r="68" spans="1:8" x14ac:dyDescent="0.2">
      <c r="A68" s="23">
        <v>25</v>
      </c>
      <c r="B68" s="24" t="s">
        <v>197</v>
      </c>
      <c r="C68" s="24" t="s">
        <v>198</v>
      </c>
      <c r="D68" s="24" t="s">
        <v>145</v>
      </c>
      <c r="E68" s="25">
        <v>300</v>
      </c>
      <c r="F68" s="26">
        <v>1415.3520000000001</v>
      </c>
      <c r="G68" s="27">
        <v>1.0958020000000001E-2</v>
      </c>
      <c r="H68" s="17">
        <v>7.35</v>
      </c>
    </row>
    <row r="69" spans="1:8" x14ac:dyDescent="0.2">
      <c r="A69" s="23">
        <v>26</v>
      </c>
      <c r="B69" s="24" t="s">
        <v>199</v>
      </c>
      <c r="C69" s="24" t="s">
        <v>200</v>
      </c>
      <c r="D69" s="24" t="s">
        <v>145</v>
      </c>
      <c r="E69" s="25">
        <v>300</v>
      </c>
      <c r="F69" s="26">
        <v>1409.241</v>
      </c>
      <c r="G69" s="27">
        <v>1.0910710000000001E-2</v>
      </c>
      <c r="H69" s="17">
        <v>7.1449999999999996</v>
      </c>
    </row>
    <row r="70" spans="1:8" ht="25.5" x14ac:dyDescent="0.2">
      <c r="A70" s="23">
        <v>27</v>
      </c>
      <c r="B70" s="24" t="s">
        <v>201</v>
      </c>
      <c r="C70" s="24" t="s">
        <v>202</v>
      </c>
      <c r="D70" s="24" t="s">
        <v>145</v>
      </c>
      <c r="E70" s="25">
        <v>300</v>
      </c>
      <c r="F70" s="26">
        <v>1401.0585000000001</v>
      </c>
      <c r="G70" s="27">
        <v>1.084736E-2</v>
      </c>
      <c r="H70" s="17">
        <v>7.2</v>
      </c>
    </row>
    <row r="71" spans="1:8" x14ac:dyDescent="0.2">
      <c r="A71" s="23">
        <v>28</v>
      </c>
      <c r="B71" s="24" t="s">
        <v>203</v>
      </c>
      <c r="C71" s="24" t="s">
        <v>204</v>
      </c>
      <c r="D71" s="24" t="s">
        <v>145</v>
      </c>
      <c r="E71" s="25">
        <v>200</v>
      </c>
      <c r="F71" s="26">
        <v>954.94799999999998</v>
      </c>
      <c r="G71" s="27">
        <v>7.3934600000000001E-3</v>
      </c>
      <c r="H71" s="17">
        <v>7.359</v>
      </c>
    </row>
    <row r="72" spans="1:8" x14ac:dyDescent="0.2">
      <c r="A72" s="23">
        <v>29</v>
      </c>
      <c r="B72" s="24" t="s">
        <v>205</v>
      </c>
      <c r="C72" s="24" t="s">
        <v>206</v>
      </c>
      <c r="D72" s="24" t="s">
        <v>207</v>
      </c>
      <c r="E72" s="25">
        <v>160</v>
      </c>
      <c r="F72" s="26">
        <v>782.33920000000001</v>
      </c>
      <c r="G72" s="27">
        <v>6.0570700000000003E-3</v>
      </c>
      <c r="H72" s="17">
        <v>7.165</v>
      </c>
    </row>
    <row r="73" spans="1:8" x14ac:dyDescent="0.2">
      <c r="A73" s="15"/>
      <c r="B73" s="15"/>
      <c r="C73" s="16" t="s">
        <v>11</v>
      </c>
      <c r="D73" s="15"/>
      <c r="E73" s="15" t="s">
        <v>12</v>
      </c>
      <c r="F73" s="22">
        <v>90796.213699999993</v>
      </c>
      <c r="G73" s="19">
        <v>0.70296780000000003</v>
      </c>
      <c r="H73" s="17" t="s">
        <v>12</v>
      </c>
    </row>
    <row r="74" spans="1:8" x14ac:dyDescent="0.2">
      <c r="A74" s="15"/>
      <c r="B74" s="15"/>
      <c r="C74" s="20"/>
      <c r="D74" s="15"/>
      <c r="E74" s="15"/>
      <c r="F74" s="21"/>
      <c r="G74" s="21"/>
      <c r="H74" s="17" t="s">
        <v>12</v>
      </c>
    </row>
    <row r="75" spans="1:8" x14ac:dyDescent="0.2">
      <c r="A75" s="15"/>
      <c r="B75" s="15"/>
      <c r="C75" s="16" t="s">
        <v>92</v>
      </c>
      <c r="D75" s="15"/>
      <c r="E75" s="15"/>
      <c r="F75" s="21"/>
      <c r="G75" s="21"/>
      <c r="H75" s="17" t="s">
        <v>12</v>
      </c>
    </row>
    <row r="76" spans="1:8" x14ac:dyDescent="0.2">
      <c r="A76" s="23">
        <v>1</v>
      </c>
      <c r="B76" s="24" t="s">
        <v>208</v>
      </c>
      <c r="C76" s="24" t="s">
        <v>209</v>
      </c>
      <c r="D76" s="24" t="s">
        <v>145</v>
      </c>
      <c r="E76" s="25">
        <v>800</v>
      </c>
      <c r="F76" s="26">
        <v>3742.1559999999999</v>
      </c>
      <c r="G76" s="27">
        <v>2.897274E-2</v>
      </c>
      <c r="H76" s="17">
        <v>7.4850000000000003</v>
      </c>
    </row>
    <row r="77" spans="1:8" ht="25.5" x14ac:dyDescent="0.2">
      <c r="A77" s="23">
        <v>2</v>
      </c>
      <c r="B77" s="24" t="s">
        <v>210</v>
      </c>
      <c r="C77" s="24" t="s">
        <v>211</v>
      </c>
      <c r="D77" s="24" t="s">
        <v>145</v>
      </c>
      <c r="E77" s="25">
        <v>500</v>
      </c>
      <c r="F77" s="26">
        <v>2457.2275</v>
      </c>
      <c r="G77" s="27">
        <v>1.9024490000000002E-2</v>
      </c>
      <c r="H77" s="17">
        <v>7.4749999999999996</v>
      </c>
    </row>
    <row r="78" spans="1:8" x14ac:dyDescent="0.2">
      <c r="A78" s="23">
        <v>3</v>
      </c>
      <c r="B78" s="24" t="s">
        <v>212</v>
      </c>
      <c r="C78" s="24" t="s">
        <v>213</v>
      </c>
      <c r="D78" s="24" t="s">
        <v>145</v>
      </c>
      <c r="E78" s="25">
        <v>500</v>
      </c>
      <c r="F78" s="26">
        <v>2395.5149999999999</v>
      </c>
      <c r="G78" s="27">
        <v>1.8546699999999999E-2</v>
      </c>
      <c r="H78" s="17">
        <v>8</v>
      </c>
    </row>
    <row r="79" spans="1:8" x14ac:dyDescent="0.2">
      <c r="A79" s="23">
        <v>4</v>
      </c>
      <c r="B79" s="24" t="s">
        <v>214</v>
      </c>
      <c r="C79" s="24" t="s">
        <v>215</v>
      </c>
      <c r="D79" s="24" t="s">
        <v>145</v>
      </c>
      <c r="E79" s="25">
        <v>500</v>
      </c>
      <c r="F79" s="26">
        <v>2349.2750000000001</v>
      </c>
      <c r="G79" s="27">
        <v>1.8188699999999999E-2</v>
      </c>
      <c r="H79" s="17">
        <v>7.25</v>
      </c>
    </row>
    <row r="80" spans="1:8" ht="25.5" x14ac:dyDescent="0.2">
      <c r="A80" s="23">
        <v>5</v>
      </c>
      <c r="B80" s="24" t="s">
        <v>216</v>
      </c>
      <c r="C80" s="24" t="s">
        <v>217</v>
      </c>
      <c r="D80" s="24" t="s">
        <v>145</v>
      </c>
      <c r="E80" s="25">
        <v>500</v>
      </c>
      <c r="F80" s="26">
        <v>2333.54</v>
      </c>
      <c r="G80" s="27">
        <v>1.8066869999999999E-2</v>
      </c>
      <c r="H80" s="17">
        <v>7.89</v>
      </c>
    </row>
    <row r="81" spans="1:8" ht="25.5" x14ac:dyDescent="0.2">
      <c r="A81" s="23">
        <v>6</v>
      </c>
      <c r="B81" s="24" t="s">
        <v>218</v>
      </c>
      <c r="C81" s="24" t="s">
        <v>219</v>
      </c>
      <c r="D81" s="24" t="s">
        <v>145</v>
      </c>
      <c r="E81" s="25">
        <v>300</v>
      </c>
      <c r="F81" s="26">
        <v>1476.162</v>
      </c>
      <c r="G81" s="27">
        <v>1.1428829999999999E-2</v>
      </c>
      <c r="H81" s="17">
        <v>7.6550000000000002</v>
      </c>
    </row>
    <row r="82" spans="1:8" x14ac:dyDescent="0.2">
      <c r="A82" s="23">
        <v>7</v>
      </c>
      <c r="B82" s="24" t="s">
        <v>220</v>
      </c>
      <c r="C82" s="24" t="s">
        <v>221</v>
      </c>
      <c r="D82" s="24" t="s">
        <v>145</v>
      </c>
      <c r="E82" s="25">
        <v>300</v>
      </c>
      <c r="F82" s="26">
        <v>1448.037</v>
      </c>
      <c r="G82" s="27">
        <v>1.121108E-2</v>
      </c>
      <c r="H82" s="17">
        <v>7.4001000000000001</v>
      </c>
    </row>
    <row r="83" spans="1:8" ht="25.5" x14ac:dyDescent="0.2">
      <c r="A83" s="23">
        <v>8</v>
      </c>
      <c r="B83" s="24" t="s">
        <v>222</v>
      </c>
      <c r="C83" s="24" t="s">
        <v>223</v>
      </c>
      <c r="D83" s="24" t="s">
        <v>145</v>
      </c>
      <c r="E83" s="25">
        <v>200</v>
      </c>
      <c r="F83" s="26">
        <v>967.22900000000004</v>
      </c>
      <c r="G83" s="27">
        <v>7.4885400000000001E-3</v>
      </c>
      <c r="H83" s="17">
        <v>7.6813000000000002</v>
      </c>
    </row>
    <row r="84" spans="1:8" x14ac:dyDescent="0.2">
      <c r="A84" s="15"/>
      <c r="B84" s="15"/>
      <c r="C84" s="16" t="s">
        <v>11</v>
      </c>
      <c r="D84" s="15"/>
      <c r="E84" s="15" t="s">
        <v>12</v>
      </c>
      <c r="F84" s="22">
        <v>17169.141500000002</v>
      </c>
      <c r="G84" s="19">
        <v>0.13292794999999999</v>
      </c>
      <c r="H84" s="17" t="s">
        <v>12</v>
      </c>
    </row>
    <row r="85" spans="1:8" x14ac:dyDescent="0.2">
      <c r="A85" s="15"/>
      <c r="B85" s="15"/>
      <c r="C85" s="20"/>
      <c r="D85" s="15"/>
      <c r="E85" s="15"/>
      <c r="F85" s="21"/>
      <c r="G85" s="21"/>
      <c r="H85" s="17" t="s">
        <v>12</v>
      </c>
    </row>
    <row r="86" spans="1:8" x14ac:dyDescent="0.2">
      <c r="A86" s="15"/>
      <c r="B86" s="15"/>
      <c r="C86" s="16" t="s">
        <v>93</v>
      </c>
      <c r="D86" s="15"/>
      <c r="E86" s="15"/>
      <c r="F86" s="21"/>
      <c r="G86" s="21"/>
      <c r="H86" s="17" t="s">
        <v>12</v>
      </c>
    </row>
    <row r="87" spans="1:8" x14ac:dyDescent="0.2">
      <c r="A87" s="23">
        <v>1</v>
      </c>
      <c r="B87" s="24" t="s">
        <v>224</v>
      </c>
      <c r="C87" s="24" t="s">
        <v>225</v>
      </c>
      <c r="D87" s="24" t="s">
        <v>75</v>
      </c>
      <c r="E87" s="25">
        <v>10000000</v>
      </c>
      <c r="F87" s="26">
        <v>9451.6</v>
      </c>
      <c r="G87" s="27">
        <v>7.3176729999999995E-2</v>
      </c>
      <c r="H87" s="17">
        <v>6.3775000000000004</v>
      </c>
    </row>
    <row r="88" spans="1:8" x14ac:dyDescent="0.2">
      <c r="A88" s="23">
        <v>2</v>
      </c>
      <c r="B88" s="24" t="s">
        <v>226</v>
      </c>
      <c r="C88" s="24" t="s">
        <v>227</v>
      </c>
      <c r="D88" s="24" t="s">
        <v>75</v>
      </c>
      <c r="E88" s="25">
        <v>2500000</v>
      </c>
      <c r="F88" s="26">
        <v>2463.4899999999998</v>
      </c>
      <c r="G88" s="27">
        <v>1.907298E-2</v>
      </c>
      <c r="H88" s="17">
        <v>6.29</v>
      </c>
    </row>
    <row r="89" spans="1:8" x14ac:dyDescent="0.2">
      <c r="A89" s="23">
        <v>3</v>
      </c>
      <c r="B89" s="24" t="s">
        <v>228</v>
      </c>
      <c r="C89" s="24" t="s">
        <v>229</v>
      </c>
      <c r="D89" s="24" t="s">
        <v>75</v>
      </c>
      <c r="E89" s="25">
        <v>2500000</v>
      </c>
      <c r="F89" s="26">
        <v>2365.8125</v>
      </c>
      <c r="G89" s="27">
        <v>1.831673E-2</v>
      </c>
      <c r="H89" s="17">
        <v>6.37</v>
      </c>
    </row>
    <row r="90" spans="1:8" x14ac:dyDescent="0.2">
      <c r="A90" s="15"/>
      <c r="B90" s="15"/>
      <c r="C90" s="16" t="s">
        <v>11</v>
      </c>
      <c r="D90" s="15"/>
      <c r="E90" s="15" t="s">
        <v>12</v>
      </c>
      <c r="F90" s="22">
        <v>14280.9025</v>
      </c>
      <c r="G90" s="19">
        <v>0.11056644</v>
      </c>
      <c r="H90" s="17" t="s">
        <v>12</v>
      </c>
    </row>
    <row r="91" spans="1:8" x14ac:dyDescent="0.2">
      <c r="A91" s="15"/>
      <c r="B91" s="15"/>
      <c r="C91" s="20"/>
      <c r="D91" s="15"/>
      <c r="E91" s="15"/>
      <c r="F91" s="21"/>
      <c r="G91" s="21"/>
      <c r="H91" s="17" t="s">
        <v>12</v>
      </c>
    </row>
    <row r="92" spans="1:8" x14ac:dyDescent="0.2">
      <c r="A92" s="15"/>
      <c r="B92" s="15"/>
      <c r="C92" s="16" t="s">
        <v>94</v>
      </c>
      <c r="D92" s="15"/>
      <c r="E92" s="15"/>
      <c r="F92" s="21"/>
      <c r="G92" s="21"/>
      <c r="H92" s="17" t="s">
        <v>12</v>
      </c>
    </row>
    <row r="93" spans="1:8" x14ac:dyDescent="0.2">
      <c r="A93" s="23">
        <v>1</v>
      </c>
      <c r="B93" s="24"/>
      <c r="C93" s="24" t="s">
        <v>95</v>
      </c>
      <c r="D93" s="24"/>
      <c r="E93" s="28"/>
      <c r="F93" s="26">
        <v>4807.9401392230002</v>
      </c>
      <c r="G93" s="27">
        <v>3.7224319999999998E-2</v>
      </c>
      <c r="H93" s="17">
        <v>6.68</v>
      </c>
    </row>
    <row r="94" spans="1:8" x14ac:dyDescent="0.2">
      <c r="A94" s="15"/>
      <c r="B94" s="15"/>
      <c r="C94" s="16" t="s">
        <v>11</v>
      </c>
      <c r="D94" s="15"/>
      <c r="E94" s="15" t="s">
        <v>12</v>
      </c>
      <c r="F94" s="22">
        <v>4807.9401392230002</v>
      </c>
      <c r="G94" s="19">
        <v>3.7224319999999998E-2</v>
      </c>
      <c r="H94" s="17" t="s">
        <v>12</v>
      </c>
    </row>
    <row r="95" spans="1:8" x14ac:dyDescent="0.2">
      <c r="A95" s="15"/>
      <c r="B95" s="15"/>
      <c r="C95" s="20"/>
      <c r="D95" s="15"/>
      <c r="E95" s="15"/>
      <c r="F95" s="21"/>
      <c r="G95" s="21"/>
      <c r="H95" s="17" t="s">
        <v>12</v>
      </c>
    </row>
    <row r="96" spans="1:8" x14ac:dyDescent="0.2">
      <c r="A96" s="15"/>
      <c r="B96" s="15"/>
      <c r="C96" s="16" t="s">
        <v>96</v>
      </c>
      <c r="D96" s="15"/>
      <c r="E96" s="15"/>
      <c r="F96" s="22">
        <v>127054.19783922299</v>
      </c>
      <c r="G96" s="19">
        <v>0.98368650999999996</v>
      </c>
      <c r="H96" s="17" t="s">
        <v>12</v>
      </c>
    </row>
    <row r="97" spans="1:17" x14ac:dyDescent="0.2">
      <c r="A97" s="15"/>
      <c r="B97" s="15"/>
      <c r="C97" s="21"/>
      <c r="D97" s="15"/>
      <c r="E97" s="15"/>
      <c r="F97" s="15"/>
      <c r="G97" s="15"/>
      <c r="H97" s="17" t="s">
        <v>12</v>
      </c>
    </row>
    <row r="98" spans="1:17" x14ac:dyDescent="0.2">
      <c r="A98" s="15"/>
      <c r="B98" s="15"/>
      <c r="C98" s="16" t="s">
        <v>97</v>
      </c>
      <c r="D98" s="15"/>
      <c r="E98" s="15"/>
      <c r="F98" s="15"/>
      <c r="G98" s="15"/>
      <c r="H98" s="17" t="s">
        <v>12</v>
      </c>
    </row>
    <row r="99" spans="1:17" x14ac:dyDescent="0.2">
      <c r="A99" s="15"/>
      <c r="B99" s="15"/>
      <c r="C99" s="16" t="s">
        <v>98</v>
      </c>
      <c r="D99" s="15"/>
      <c r="E99" s="15"/>
      <c r="F99" s="15"/>
      <c r="G99" s="15"/>
      <c r="H99" s="17" t="s">
        <v>12</v>
      </c>
    </row>
    <row r="100" spans="1:17" x14ac:dyDescent="0.2">
      <c r="A100" s="15"/>
      <c r="B100" s="15"/>
      <c r="C100" s="16" t="s">
        <v>11</v>
      </c>
      <c r="D100" s="15"/>
      <c r="E100" s="15" t="s">
        <v>12</v>
      </c>
      <c r="F100" s="18" t="s">
        <v>13</v>
      </c>
      <c r="G100" s="19">
        <v>0</v>
      </c>
      <c r="H100" s="17" t="s">
        <v>12</v>
      </c>
    </row>
    <row r="101" spans="1:17" x14ac:dyDescent="0.2">
      <c r="A101" s="74"/>
      <c r="B101" s="74"/>
      <c r="C101" s="75"/>
      <c r="D101" s="74"/>
      <c r="E101" s="74"/>
      <c r="F101" s="76"/>
      <c r="G101" s="76"/>
      <c r="H101" s="72" t="s">
        <v>12</v>
      </c>
    </row>
    <row r="102" spans="1:17" x14ac:dyDescent="0.2">
      <c r="A102" s="74"/>
      <c r="B102" s="74"/>
      <c r="C102" s="51" t="s">
        <v>546</v>
      </c>
      <c r="D102" s="74"/>
      <c r="E102" s="74"/>
      <c r="F102" s="76"/>
      <c r="G102" s="76"/>
      <c r="H102" s="70"/>
      <c r="K102" s="53"/>
      <c r="L102" s="53"/>
      <c r="M102" s="53"/>
      <c r="N102" s="53"/>
      <c r="O102" s="77"/>
      <c r="P102" s="77"/>
      <c r="Q102" s="77"/>
    </row>
    <row r="103" spans="1:17" ht="25.5" x14ac:dyDescent="0.2">
      <c r="A103" s="67">
        <v>1</v>
      </c>
      <c r="B103" s="68" t="s">
        <v>99</v>
      </c>
      <c r="C103" s="68" t="s">
        <v>100</v>
      </c>
      <c r="D103" s="68"/>
      <c r="E103" s="78">
        <v>1363.741</v>
      </c>
      <c r="F103" s="70">
        <v>150.48378850899999</v>
      </c>
      <c r="G103" s="71">
        <v>1.16508E-3</v>
      </c>
      <c r="H103" s="72"/>
    </row>
    <row r="104" spans="1:17" x14ac:dyDescent="0.2">
      <c r="A104" s="74"/>
      <c r="B104" s="74"/>
      <c r="C104" s="51" t="s">
        <v>11</v>
      </c>
      <c r="D104" s="74"/>
      <c r="E104" s="74" t="s">
        <v>12</v>
      </c>
      <c r="F104" s="79">
        <f>SUM(F103)</f>
        <v>150.48378850899999</v>
      </c>
      <c r="G104" s="80">
        <f>SUM(G103)</f>
        <v>1.16508E-3</v>
      </c>
      <c r="H104" s="72" t="s">
        <v>12</v>
      </c>
    </row>
    <row r="105" spans="1:17" x14ac:dyDescent="0.2">
      <c r="A105" s="15"/>
      <c r="B105" s="15"/>
      <c r="C105" s="20"/>
      <c r="D105" s="15"/>
      <c r="E105" s="15"/>
      <c r="F105" s="21"/>
      <c r="G105" s="21"/>
      <c r="H105" s="17" t="s">
        <v>12</v>
      </c>
    </row>
    <row r="106" spans="1:17" x14ac:dyDescent="0.2">
      <c r="A106" s="15"/>
      <c r="B106" s="15"/>
      <c r="C106" s="16" t="s">
        <v>101</v>
      </c>
      <c r="D106" s="15"/>
      <c r="E106" s="15"/>
      <c r="F106" s="15"/>
      <c r="G106" s="15"/>
      <c r="H106" s="17" t="s">
        <v>12</v>
      </c>
    </row>
    <row r="107" spans="1:17" x14ac:dyDescent="0.2">
      <c r="A107" s="15"/>
      <c r="B107" s="15"/>
      <c r="C107" s="16" t="s">
        <v>102</v>
      </c>
      <c r="D107" s="15"/>
      <c r="E107" s="15"/>
      <c r="F107" s="15"/>
      <c r="G107" s="15"/>
      <c r="H107" s="17" t="s">
        <v>12</v>
      </c>
    </row>
    <row r="108" spans="1:17" x14ac:dyDescent="0.2">
      <c r="A108" s="15"/>
      <c r="B108" s="15"/>
      <c r="C108" s="16" t="s">
        <v>11</v>
      </c>
      <c r="D108" s="15"/>
      <c r="E108" s="15" t="s">
        <v>12</v>
      </c>
      <c r="F108" s="18" t="s">
        <v>13</v>
      </c>
      <c r="G108" s="19">
        <v>0</v>
      </c>
      <c r="H108" s="17" t="s">
        <v>12</v>
      </c>
    </row>
    <row r="109" spans="1:17" x14ac:dyDescent="0.2">
      <c r="A109" s="15"/>
      <c r="B109" s="15"/>
      <c r="C109" s="20"/>
      <c r="D109" s="15"/>
      <c r="E109" s="15"/>
      <c r="F109" s="21"/>
      <c r="G109" s="21"/>
      <c r="H109" s="17" t="s">
        <v>12</v>
      </c>
    </row>
    <row r="110" spans="1:17" x14ac:dyDescent="0.2">
      <c r="A110" s="15"/>
      <c r="B110" s="15"/>
      <c r="C110" s="16" t="s">
        <v>103</v>
      </c>
      <c r="D110" s="15"/>
      <c r="E110" s="15"/>
      <c r="F110" s="21"/>
      <c r="G110" s="21"/>
      <c r="H110" s="17" t="s">
        <v>12</v>
      </c>
    </row>
    <row r="111" spans="1:17" x14ac:dyDescent="0.2">
      <c r="A111" s="15"/>
      <c r="B111" s="15"/>
      <c r="C111" s="16" t="s">
        <v>11</v>
      </c>
      <c r="D111" s="15"/>
      <c r="E111" s="15" t="s">
        <v>12</v>
      </c>
      <c r="F111" s="18" t="s">
        <v>13</v>
      </c>
      <c r="G111" s="19">
        <v>0</v>
      </c>
      <c r="H111" s="17" t="s">
        <v>12</v>
      </c>
    </row>
    <row r="112" spans="1:17" x14ac:dyDescent="0.2">
      <c r="A112" s="15"/>
      <c r="B112" s="15"/>
      <c r="C112" s="20"/>
      <c r="D112" s="15"/>
      <c r="E112" s="15"/>
      <c r="F112" s="21"/>
      <c r="G112" s="21"/>
      <c r="H112" s="17" t="s">
        <v>12</v>
      </c>
    </row>
    <row r="113" spans="1:8" x14ac:dyDescent="0.2">
      <c r="A113" s="28"/>
      <c r="B113" s="24"/>
      <c r="C113" s="24" t="s">
        <v>104</v>
      </c>
      <c r="D113" s="24"/>
      <c r="E113" s="28"/>
      <c r="F113" s="26">
        <v>-79.634511399999994</v>
      </c>
      <c r="G113" s="27">
        <v>-6.1655E-4</v>
      </c>
      <c r="H113" s="17" t="s">
        <v>12</v>
      </c>
    </row>
    <row r="114" spans="1:8" x14ac:dyDescent="0.2">
      <c r="A114" s="20"/>
      <c r="B114" s="20"/>
      <c r="C114" s="16" t="s">
        <v>105</v>
      </c>
      <c r="D114" s="21"/>
      <c r="E114" s="21"/>
      <c r="F114" s="22">
        <v>129161.27111633201</v>
      </c>
      <c r="G114" s="29">
        <v>1.0000000099999999</v>
      </c>
      <c r="H114" s="17" t="s">
        <v>12</v>
      </c>
    </row>
    <row r="115" spans="1:8" x14ac:dyDescent="0.2">
      <c r="A115" s="30"/>
      <c r="B115" s="30"/>
      <c r="C115" s="30"/>
      <c r="D115" s="31"/>
      <c r="E115" s="31"/>
      <c r="F115" s="31"/>
      <c r="G115" s="31"/>
    </row>
    <row r="116" spans="1:8" x14ac:dyDescent="0.2">
      <c r="A116" s="32"/>
      <c r="B116" s="165" t="s">
        <v>547</v>
      </c>
      <c r="C116" s="165"/>
      <c r="D116" s="165"/>
      <c r="E116" s="165"/>
      <c r="F116" s="165"/>
      <c r="G116" s="165"/>
      <c r="H116" s="165"/>
    </row>
    <row r="117" spans="1:8" x14ac:dyDescent="0.2">
      <c r="A117" s="32"/>
      <c r="B117" s="165" t="s">
        <v>548</v>
      </c>
      <c r="C117" s="165"/>
      <c r="D117" s="165"/>
      <c r="E117" s="165"/>
      <c r="F117" s="165"/>
      <c r="G117" s="165"/>
      <c r="H117" s="165"/>
    </row>
    <row r="118" spans="1:8" x14ac:dyDescent="0.2">
      <c r="A118" s="32"/>
      <c r="B118" s="165" t="s">
        <v>549</v>
      </c>
      <c r="C118" s="165"/>
      <c r="D118" s="165"/>
      <c r="E118" s="165"/>
      <c r="F118" s="165"/>
      <c r="G118" s="165"/>
      <c r="H118" s="165"/>
    </row>
    <row r="119" spans="1:8" x14ac:dyDescent="0.2">
      <c r="A119" s="155"/>
      <c r="B119" s="175" t="s">
        <v>569</v>
      </c>
      <c r="C119" s="176"/>
      <c r="D119" s="176"/>
      <c r="E119" s="176"/>
      <c r="F119" s="176"/>
      <c r="G119" s="176"/>
      <c r="H119" s="176"/>
    </row>
    <row r="120" spans="1:8" x14ac:dyDescent="0.2">
      <c r="A120" s="32"/>
      <c r="B120" s="32"/>
      <c r="C120" s="32"/>
      <c r="D120" s="34"/>
      <c r="E120" s="34"/>
      <c r="F120" s="34"/>
      <c r="G120" s="34"/>
    </row>
    <row r="121" spans="1:8" x14ac:dyDescent="0.2">
      <c r="A121" s="35"/>
      <c r="B121" s="158" t="s">
        <v>106</v>
      </c>
      <c r="C121" s="159"/>
      <c r="D121" s="160"/>
      <c r="E121" s="36"/>
      <c r="F121" s="37"/>
      <c r="G121" s="37"/>
    </row>
    <row r="122" spans="1:8" x14ac:dyDescent="0.2">
      <c r="A122" s="35"/>
      <c r="B122" s="161" t="s">
        <v>107</v>
      </c>
      <c r="C122" s="162"/>
      <c r="D122" s="16" t="s">
        <v>108</v>
      </c>
      <c r="E122" s="36"/>
      <c r="F122" s="37"/>
      <c r="G122" s="37"/>
    </row>
    <row r="123" spans="1:8" x14ac:dyDescent="0.2">
      <c r="A123" s="35"/>
      <c r="B123" s="161" t="s">
        <v>109</v>
      </c>
      <c r="C123" s="162"/>
      <c r="D123" s="16" t="s">
        <v>108</v>
      </c>
      <c r="E123" s="36"/>
      <c r="F123" s="37"/>
      <c r="G123" s="37"/>
    </row>
    <row r="124" spans="1:8" x14ac:dyDescent="0.2">
      <c r="A124" s="35"/>
      <c r="B124" s="161" t="s">
        <v>110</v>
      </c>
      <c r="C124" s="162"/>
      <c r="D124" s="21" t="s">
        <v>12</v>
      </c>
      <c r="E124" s="36"/>
      <c r="F124" s="37"/>
      <c r="G124" s="37"/>
    </row>
    <row r="125" spans="1:8" x14ac:dyDescent="0.2">
      <c r="A125" s="38"/>
      <c r="B125" s="39" t="s">
        <v>12</v>
      </c>
      <c r="C125" s="39" t="s">
        <v>550</v>
      </c>
      <c r="D125" s="39" t="s">
        <v>111</v>
      </c>
      <c r="E125" s="38"/>
      <c r="F125" s="38"/>
      <c r="G125" s="38"/>
    </row>
    <row r="126" spans="1:8" x14ac:dyDescent="0.2">
      <c r="A126" s="38"/>
      <c r="B126" s="40" t="s">
        <v>112</v>
      </c>
      <c r="C126" s="41">
        <v>45731</v>
      </c>
      <c r="D126" s="41">
        <v>45747</v>
      </c>
      <c r="E126" s="38"/>
      <c r="F126" s="38"/>
      <c r="G126" s="38"/>
    </row>
    <row r="127" spans="1:8" x14ac:dyDescent="0.2">
      <c r="A127" s="42"/>
      <c r="B127" s="24" t="s">
        <v>113</v>
      </c>
      <c r="C127" s="43">
        <v>14.710900000000001</v>
      </c>
      <c r="D127" s="43">
        <v>14.7995</v>
      </c>
      <c r="E127" s="42"/>
      <c r="F127" s="44"/>
      <c r="G127" s="45"/>
    </row>
    <row r="128" spans="1:8" ht="25.5" x14ac:dyDescent="0.2">
      <c r="A128" s="42"/>
      <c r="B128" s="24" t="s">
        <v>670</v>
      </c>
      <c r="C128" s="43">
        <v>11.206200000000001</v>
      </c>
      <c r="D128" s="43">
        <v>11.2173</v>
      </c>
      <c r="E128" s="42"/>
      <c r="F128" s="44"/>
      <c r="G128" s="45"/>
    </row>
    <row r="129" spans="1:14" ht="25.5" x14ac:dyDescent="0.2">
      <c r="A129" s="42"/>
      <c r="B129" s="24" t="s">
        <v>671</v>
      </c>
      <c r="C129" s="43">
        <v>12.5838</v>
      </c>
      <c r="D129" s="43">
        <v>12.6595</v>
      </c>
      <c r="E129" s="42"/>
      <c r="F129" s="44"/>
      <c r="G129" s="45"/>
    </row>
    <row r="130" spans="1:14" x14ac:dyDescent="0.2">
      <c r="A130" s="42"/>
      <c r="B130" s="24" t="s">
        <v>114</v>
      </c>
      <c r="C130" s="43">
        <v>14.6191</v>
      </c>
      <c r="D130" s="43">
        <v>14.7049</v>
      </c>
      <c r="E130" s="42"/>
      <c r="F130" s="44"/>
      <c r="G130" s="45"/>
    </row>
    <row r="131" spans="1:14" ht="25.5" x14ac:dyDescent="0.2">
      <c r="A131" s="42"/>
      <c r="B131" s="24" t="s">
        <v>674</v>
      </c>
      <c r="C131" s="43">
        <v>11.1828</v>
      </c>
      <c r="D131" s="43">
        <v>11.1921</v>
      </c>
      <c r="E131" s="42"/>
      <c r="F131" s="44"/>
      <c r="G131" s="45"/>
    </row>
    <row r="132" spans="1:14" ht="25.5" x14ac:dyDescent="0.2">
      <c r="A132" s="42"/>
      <c r="B132" s="24" t="s">
        <v>646</v>
      </c>
      <c r="C132" s="43">
        <v>12.5031</v>
      </c>
      <c r="D132" s="43">
        <v>12.576499999999999</v>
      </c>
      <c r="E132" s="42"/>
      <c r="F132" s="44"/>
      <c r="G132" s="45"/>
    </row>
    <row r="133" spans="1:14" x14ac:dyDescent="0.2">
      <c r="A133" s="42"/>
      <c r="B133" s="42"/>
      <c r="C133" s="42"/>
      <c r="D133" s="42"/>
      <c r="E133" s="42"/>
      <c r="F133" s="42"/>
      <c r="G133" s="42"/>
    </row>
    <row r="134" spans="1:14" x14ac:dyDescent="0.2">
      <c r="A134" s="42"/>
      <c r="B134" s="161" t="s">
        <v>563</v>
      </c>
      <c r="C134" s="162"/>
      <c r="D134" s="16" t="s">
        <v>12</v>
      </c>
      <c r="E134" s="42"/>
      <c r="F134" s="42"/>
      <c r="G134" s="42"/>
    </row>
    <row r="135" spans="1:14" x14ac:dyDescent="0.2">
      <c r="A135" s="42"/>
      <c r="B135" s="46" t="s">
        <v>112</v>
      </c>
      <c r="C135" s="47" t="s">
        <v>115</v>
      </c>
      <c r="D135" s="47" t="s">
        <v>116</v>
      </c>
      <c r="E135" s="42"/>
      <c r="F135" s="42"/>
      <c r="G135" s="42"/>
    </row>
    <row r="136" spans="1:14" ht="25.5" x14ac:dyDescent="0.2">
      <c r="A136" s="42"/>
      <c r="B136" s="24" t="s">
        <v>670</v>
      </c>
      <c r="C136" s="48">
        <v>5.6000000000000001E-2</v>
      </c>
      <c r="D136" s="28" t="s">
        <v>117</v>
      </c>
      <c r="E136" s="42"/>
      <c r="F136" s="44"/>
      <c r="G136" s="45"/>
    </row>
    <row r="137" spans="1:14" ht="25.5" x14ac:dyDescent="0.2">
      <c r="A137" s="42"/>
      <c r="B137" s="24" t="s">
        <v>674</v>
      </c>
      <c r="C137" s="48">
        <v>5.6000000000000001E-2</v>
      </c>
      <c r="D137" s="28" t="s">
        <v>117</v>
      </c>
      <c r="E137" s="42"/>
      <c r="F137" s="44"/>
      <c r="G137" s="45"/>
    </row>
    <row r="138" spans="1:14" x14ac:dyDescent="0.2">
      <c r="A138" s="42"/>
      <c r="B138" s="49"/>
      <c r="C138" s="49"/>
      <c r="D138" s="50"/>
      <c r="E138" s="42"/>
      <c r="F138" s="44"/>
      <c r="G138" s="45"/>
    </row>
    <row r="139" spans="1:14" ht="29.25" customHeight="1" x14ac:dyDescent="0.2">
      <c r="A139" s="38"/>
      <c r="B139" s="163" t="s">
        <v>118</v>
      </c>
      <c r="C139" s="164"/>
      <c r="D139" s="51" t="s">
        <v>108</v>
      </c>
      <c r="E139" s="52"/>
      <c r="F139" s="38"/>
      <c r="G139" s="38"/>
      <c r="I139" s="113"/>
    </row>
    <row r="140" spans="1:14" ht="25.5" customHeight="1" x14ac:dyDescent="0.2">
      <c r="A140" s="38"/>
      <c r="B140" s="163" t="s">
        <v>119</v>
      </c>
      <c r="C140" s="164"/>
      <c r="D140" s="51" t="s">
        <v>108</v>
      </c>
      <c r="E140" s="52"/>
      <c r="F140" s="38"/>
      <c r="G140" s="38"/>
      <c r="I140" s="113"/>
    </row>
    <row r="141" spans="1:14" ht="26.25" customHeight="1" x14ac:dyDescent="0.2">
      <c r="A141" s="38"/>
      <c r="B141" s="163" t="s">
        <v>551</v>
      </c>
      <c r="C141" s="164"/>
      <c r="D141" s="51" t="s">
        <v>108</v>
      </c>
      <c r="E141" s="52"/>
      <c r="F141" s="38"/>
      <c r="G141" s="38"/>
      <c r="I141" s="113"/>
    </row>
    <row r="142" spans="1:14" x14ac:dyDescent="0.2">
      <c r="A142" s="54"/>
      <c r="B142" s="54"/>
      <c r="C142" s="54"/>
      <c r="D142" s="54"/>
      <c r="E142" s="54"/>
      <c r="F142" s="54"/>
      <c r="G142" s="54"/>
      <c r="I142" s="113"/>
    </row>
    <row r="143" spans="1:14" s="55" customFormat="1" x14ac:dyDescent="0.2">
      <c r="B143" s="166" t="s">
        <v>552</v>
      </c>
      <c r="C143" s="167"/>
      <c r="D143" s="168"/>
      <c r="I143" s="113"/>
      <c r="J143" s="53"/>
      <c r="K143" s="53"/>
      <c r="L143" s="53"/>
      <c r="M143" s="53"/>
      <c r="N143" s="56"/>
    </row>
    <row r="144" spans="1:14" s="55" customFormat="1" ht="38.25" x14ac:dyDescent="0.2">
      <c r="B144" s="173" t="s">
        <v>553</v>
      </c>
      <c r="C144" s="174"/>
      <c r="D144" s="57" t="s">
        <v>150</v>
      </c>
      <c r="I144" s="113"/>
      <c r="J144" s="53"/>
      <c r="K144" s="53"/>
      <c r="L144" s="53"/>
      <c r="M144" s="53"/>
      <c r="N144" s="56"/>
    </row>
    <row r="145" spans="2:16" s="55" customFormat="1" x14ac:dyDescent="0.2">
      <c r="B145" s="170" t="s">
        <v>554</v>
      </c>
      <c r="C145" s="171"/>
      <c r="D145" s="58"/>
      <c r="I145" s="113"/>
      <c r="J145" s="53"/>
      <c r="K145" s="53"/>
      <c r="L145" s="53"/>
      <c r="M145" s="53"/>
      <c r="N145" s="56"/>
    </row>
    <row r="146" spans="2:16" s="55" customFormat="1" x14ac:dyDescent="0.2">
      <c r="B146" s="170"/>
      <c r="C146" s="171"/>
      <c r="D146" s="59"/>
      <c r="I146" s="113"/>
      <c r="J146" s="53"/>
      <c r="K146" s="53"/>
      <c r="L146" s="53"/>
      <c r="M146" s="53"/>
      <c r="N146" s="56"/>
    </row>
    <row r="147" spans="2:16" s="55" customFormat="1" x14ac:dyDescent="0.2">
      <c r="B147" s="170" t="s">
        <v>555</v>
      </c>
      <c r="C147" s="177"/>
      <c r="D147" s="60">
        <v>7.1398104337322374</v>
      </c>
      <c r="I147" s="113"/>
      <c r="J147" s="53"/>
      <c r="K147" s="53"/>
      <c r="L147" s="53"/>
      <c r="M147" s="53"/>
      <c r="N147" s="56"/>
    </row>
    <row r="148" spans="2:16" s="55" customFormat="1" x14ac:dyDescent="0.2">
      <c r="B148" s="170"/>
      <c r="C148" s="171"/>
      <c r="D148" s="59"/>
      <c r="I148" s="113"/>
      <c r="J148" s="53"/>
      <c r="K148" s="53"/>
      <c r="L148" s="53"/>
      <c r="M148" s="53"/>
      <c r="N148" s="56"/>
    </row>
    <row r="149" spans="2:16" s="55" customFormat="1" x14ac:dyDescent="0.2">
      <c r="B149" s="170" t="s">
        <v>556</v>
      </c>
      <c r="C149" s="177"/>
      <c r="D149" s="60">
        <v>0.77978130164044557</v>
      </c>
      <c r="I149" s="113"/>
      <c r="J149" s="53"/>
      <c r="K149" s="53"/>
      <c r="L149" s="53"/>
      <c r="M149" s="53"/>
      <c r="N149" s="56"/>
    </row>
    <row r="150" spans="2:16" s="55" customFormat="1" x14ac:dyDescent="0.2">
      <c r="B150" s="170" t="s">
        <v>557</v>
      </c>
      <c r="C150" s="177"/>
      <c r="D150" s="60">
        <v>0.77978130164044557</v>
      </c>
      <c r="I150" s="113"/>
      <c r="J150" s="53"/>
      <c r="K150" s="53"/>
      <c r="L150" s="53"/>
      <c r="M150" s="53"/>
      <c r="N150" s="56"/>
    </row>
    <row r="151" spans="2:16" s="55" customFormat="1" x14ac:dyDescent="0.2">
      <c r="B151" s="170"/>
      <c r="C151" s="171"/>
      <c r="D151" s="59"/>
      <c r="I151" s="113"/>
      <c r="J151" s="53"/>
      <c r="K151" s="53"/>
      <c r="L151" s="53"/>
      <c r="M151" s="53"/>
      <c r="N151" s="56"/>
    </row>
    <row r="152" spans="2:16" s="55" customFormat="1" x14ac:dyDescent="0.2">
      <c r="B152" s="169" t="s">
        <v>558</v>
      </c>
      <c r="C152" s="169"/>
      <c r="D152" s="62" t="s">
        <v>677</v>
      </c>
      <c r="I152" s="113"/>
      <c r="J152" s="53"/>
      <c r="K152" s="53"/>
      <c r="L152" s="53"/>
      <c r="M152" s="53"/>
      <c r="N152" s="56"/>
    </row>
    <row r="153" spans="2:16" s="55" customFormat="1" x14ac:dyDescent="0.2">
      <c r="B153" s="170" t="s">
        <v>559</v>
      </c>
      <c r="C153" s="172"/>
      <c r="D153" s="171"/>
      <c r="I153" s="113"/>
      <c r="J153" s="53"/>
      <c r="K153" s="53"/>
      <c r="L153" s="53"/>
      <c r="M153" s="53"/>
      <c r="N153" s="56"/>
      <c r="O153"/>
      <c r="P153"/>
    </row>
    <row r="154" spans="2:16" x14ac:dyDescent="0.2">
      <c r="I154" s="113"/>
    </row>
    <row r="155" spans="2:16" x14ac:dyDescent="0.2">
      <c r="B155" s="64" t="s">
        <v>560</v>
      </c>
      <c r="I155" s="113"/>
    </row>
    <row r="156" spans="2:16" x14ac:dyDescent="0.2">
      <c r="I156" s="113"/>
    </row>
    <row r="157" spans="2:16" ht="153.75" customHeight="1" x14ac:dyDescent="0.2">
      <c r="I157" s="113"/>
    </row>
    <row r="158" spans="2:16" x14ac:dyDescent="0.2">
      <c r="I158" s="113"/>
    </row>
    <row r="159" spans="2:16" x14ac:dyDescent="0.2">
      <c r="I159" s="113"/>
    </row>
    <row r="160" spans="2:16" x14ac:dyDescent="0.2">
      <c r="B160" s="65" t="s">
        <v>561</v>
      </c>
      <c r="C160" s="66"/>
      <c r="D160" s="65"/>
      <c r="I160" s="113"/>
    </row>
    <row r="161" spans="2:9" x14ac:dyDescent="0.2">
      <c r="B161" s="65" t="s">
        <v>570</v>
      </c>
      <c r="D161" s="65"/>
      <c r="I161" s="113"/>
    </row>
    <row r="162" spans="2:9" ht="165" customHeight="1" x14ac:dyDescent="0.2">
      <c r="I162" s="113"/>
    </row>
    <row r="163" spans="2:9" x14ac:dyDescent="0.2">
      <c r="I163" s="113"/>
    </row>
    <row r="164" spans="2:9" x14ac:dyDescent="0.2">
      <c r="I164" s="113"/>
    </row>
    <row r="165" spans="2:9" x14ac:dyDescent="0.2">
      <c r="I165" s="113"/>
    </row>
    <row r="166" spans="2:9" x14ac:dyDescent="0.2">
      <c r="I166" s="113"/>
    </row>
    <row r="167" spans="2:9" x14ac:dyDescent="0.2">
      <c r="I167" s="113"/>
    </row>
    <row r="168" spans="2:9" x14ac:dyDescent="0.2">
      <c r="I168" s="113"/>
    </row>
    <row r="169" spans="2:9" x14ac:dyDescent="0.2">
      <c r="I169" s="113"/>
    </row>
  </sheetData>
  <mergeCells count="26">
    <mergeCell ref="B149:C149"/>
    <mergeCell ref="B150:C150"/>
    <mergeCell ref="B151:C151"/>
    <mergeCell ref="B152:C152"/>
    <mergeCell ref="B153:D153"/>
    <mergeCell ref="B143:D143"/>
    <mergeCell ref="B145:C145"/>
    <mergeCell ref="B146:C146"/>
    <mergeCell ref="B147:C147"/>
    <mergeCell ref="B148:C148"/>
    <mergeCell ref="B141:C141"/>
    <mergeCell ref="B144:C144"/>
    <mergeCell ref="A1:H1"/>
    <mergeCell ref="A2:H2"/>
    <mergeCell ref="A3:H3"/>
    <mergeCell ref="B121:D121"/>
    <mergeCell ref="B122:C122"/>
    <mergeCell ref="B123:C123"/>
    <mergeCell ref="B124:C124"/>
    <mergeCell ref="B134:C134"/>
    <mergeCell ref="B140:C140"/>
    <mergeCell ref="B116:H116"/>
    <mergeCell ref="B117:H117"/>
    <mergeCell ref="B118:H118"/>
    <mergeCell ref="B119:H119"/>
    <mergeCell ref="B139:C139"/>
  </mergeCells>
  <hyperlinks>
    <hyperlink ref="I1" location="Index!B2" display="Index" xr:uid="{E5615759-2C0D-41DE-8C5E-61282D51EEC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333C2-4C5A-441B-88D0-B4A9D5D3517B}">
  <sheetPr>
    <outlinePr summaryBelow="0" summaryRight="0"/>
  </sheetPr>
  <dimension ref="A1:T187"/>
  <sheetViews>
    <sheetView showGridLines="0" workbookViewId="0">
      <selection sqref="A1:H1"/>
    </sheetView>
  </sheetViews>
  <sheetFormatPr defaultRowHeight="12.75" x14ac:dyDescent="0.2"/>
  <cols>
    <col min="1" max="1" width="5.85546875" bestFit="1" customWidth="1"/>
    <col min="2" max="2" width="22.28515625" customWidth="1"/>
    <col min="3" max="3" width="39.140625" bestFit="1" customWidth="1"/>
    <col min="4" max="4" width="13.7109375" customWidth="1"/>
    <col min="5" max="5" width="9.42578125" bestFit="1" customWidth="1"/>
    <col min="6" max="6" width="10.140625" bestFit="1" customWidth="1"/>
    <col min="7" max="7" width="14" bestFit="1" customWidth="1"/>
    <col min="8" max="8" width="9.42578125" customWidth="1"/>
  </cols>
  <sheetData>
    <row r="1" spans="1:9" ht="15" x14ac:dyDescent="0.2">
      <c r="A1" s="157" t="s">
        <v>0</v>
      </c>
      <c r="B1" s="157"/>
      <c r="C1" s="157"/>
      <c r="D1" s="157"/>
      <c r="E1" s="157"/>
      <c r="F1" s="157"/>
      <c r="G1" s="157"/>
      <c r="H1" s="157"/>
      <c r="I1" s="1" t="s">
        <v>531</v>
      </c>
    </row>
    <row r="2" spans="1:9" ht="15" x14ac:dyDescent="0.2">
      <c r="A2" s="157" t="s">
        <v>230</v>
      </c>
      <c r="B2" s="157"/>
      <c r="C2" s="157"/>
      <c r="D2" s="157"/>
      <c r="E2" s="157"/>
      <c r="F2" s="157"/>
      <c r="G2" s="157"/>
      <c r="H2" s="157"/>
    </row>
    <row r="3" spans="1:9" ht="15" x14ac:dyDescent="0.2">
      <c r="A3" s="157" t="s">
        <v>532</v>
      </c>
      <c r="B3" s="157"/>
      <c r="C3" s="157"/>
      <c r="D3" s="157"/>
      <c r="E3" s="157"/>
      <c r="F3" s="157"/>
      <c r="G3" s="157"/>
      <c r="H3" s="157"/>
    </row>
    <row r="4" spans="1:9" s="14" customFormat="1" ht="30" x14ac:dyDescent="0.2">
      <c r="A4" s="12" t="s">
        <v>2</v>
      </c>
      <c r="B4" s="12" t="s">
        <v>3</v>
      </c>
      <c r="C4" s="12" t="s">
        <v>4</v>
      </c>
      <c r="D4" s="12" t="s">
        <v>5</v>
      </c>
      <c r="E4" s="12" t="s">
        <v>6</v>
      </c>
      <c r="F4" s="12" t="s">
        <v>7</v>
      </c>
      <c r="G4" s="12" t="s">
        <v>8</v>
      </c>
      <c r="H4" s="13" t="s">
        <v>530</v>
      </c>
    </row>
    <row r="5" spans="1:9" x14ac:dyDescent="0.2">
      <c r="A5" s="15"/>
      <c r="B5" s="15"/>
      <c r="C5" s="16" t="s">
        <v>9</v>
      </c>
      <c r="D5" s="15"/>
      <c r="E5" s="15"/>
      <c r="F5" s="15"/>
      <c r="G5" s="15"/>
      <c r="H5" s="17" t="s">
        <v>12</v>
      </c>
    </row>
    <row r="6" spans="1:9" x14ac:dyDescent="0.2">
      <c r="A6" s="15"/>
      <c r="B6" s="15"/>
      <c r="C6" s="16" t="s">
        <v>10</v>
      </c>
      <c r="D6" s="15"/>
      <c r="E6" s="15"/>
      <c r="F6" s="15"/>
      <c r="G6" s="15"/>
      <c r="H6" s="17" t="s">
        <v>12</v>
      </c>
    </row>
    <row r="7" spans="1:9" x14ac:dyDescent="0.2">
      <c r="A7" s="15"/>
      <c r="B7" s="15"/>
      <c r="C7" s="16" t="s">
        <v>11</v>
      </c>
      <c r="D7" s="15"/>
      <c r="E7" s="15" t="s">
        <v>12</v>
      </c>
      <c r="F7" s="18" t="s">
        <v>13</v>
      </c>
      <c r="G7" s="19">
        <v>0</v>
      </c>
      <c r="H7" s="17" t="s">
        <v>12</v>
      </c>
    </row>
    <row r="8" spans="1:9" x14ac:dyDescent="0.2">
      <c r="A8" s="15"/>
      <c r="B8" s="15"/>
      <c r="C8" s="20"/>
      <c r="D8" s="15"/>
      <c r="E8" s="15"/>
      <c r="F8" s="21"/>
      <c r="G8" s="21"/>
      <c r="H8" s="17" t="s">
        <v>12</v>
      </c>
    </row>
    <row r="9" spans="1:9" x14ac:dyDescent="0.2">
      <c r="A9" s="15"/>
      <c r="B9" s="15"/>
      <c r="C9" s="16" t="s">
        <v>14</v>
      </c>
      <c r="D9" s="15"/>
      <c r="E9" s="15"/>
      <c r="F9" s="15"/>
      <c r="G9" s="15"/>
      <c r="H9" s="17" t="s">
        <v>12</v>
      </c>
    </row>
    <row r="10" spans="1:9" x14ac:dyDescent="0.2">
      <c r="A10" s="15"/>
      <c r="B10" s="15"/>
      <c r="C10" s="16" t="s">
        <v>11</v>
      </c>
      <c r="D10" s="15"/>
      <c r="E10" s="15" t="s">
        <v>12</v>
      </c>
      <c r="F10" s="18" t="s">
        <v>13</v>
      </c>
      <c r="G10" s="19">
        <v>0</v>
      </c>
      <c r="H10" s="17" t="s">
        <v>12</v>
      </c>
    </row>
    <row r="11" spans="1:9" x14ac:dyDescent="0.2">
      <c r="A11" s="15"/>
      <c r="B11" s="15"/>
      <c r="C11" s="20"/>
      <c r="D11" s="15"/>
      <c r="E11" s="15"/>
      <c r="F11" s="21"/>
      <c r="G11" s="21"/>
      <c r="H11" s="17" t="s">
        <v>12</v>
      </c>
    </row>
    <row r="12" spans="1:9" x14ac:dyDescent="0.2">
      <c r="A12" s="15"/>
      <c r="B12" s="15"/>
      <c r="C12" s="16" t="s">
        <v>15</v>
      </c>
      <c r="D12" s="15"/>
      <c r="E12" s="15"/>
      <c r="F12" s="15"/>
      <c r="G12" s="15"/>
      <c r="H12" s="17" t="s">
        <v>12</v>
      </c>
    </row>
    <row r="13" spans="1:9" x14ac:dyDescent="0.2">
      <c r="A13" s="15"/>
      <c r="B13" s="15"/>
      <c r="C13" s="16" t="s">
        <v>11</v>
      </c>
      <c r="D13" s="15"/>
      <c r="E13" s="15" t="s">
        <v>12</v>
      </c>
      <c r="F13" s="18" t="s">
        <v>13</v>
      </c>
      <c r="G13" s="19">
        <v>0</v>
      </c>
      <c r="H13" s="17" t="s">
        <v>12</v>
      </c>
    </row>
    <row r="14" spans="1:9" x14ac:dyDescent="0.2">
      <c r="A14" s="15"/>
      <c r="B14" s="15"/>
      <c r="C14" s="20"/>
      <c r="D14" s="15"/>
      <c r="E14" s="15"/>
      <c r="F14" s="21"/>
      <c r="G14" s="21"/>
      <c r="H14" s="17" t="s">
        <v>12</v>
      </c>
    </row>
    <row r="15" spans="1:9" x14ac:dyDescent="0.2">
      <c r="A15" s="15"/>
      <c r="B15" s="15"/>
      <c r="C15" s="16" t="s">
        <v>16</v>
      </c>
      <c r="D15" s="15"/>
      <c r="E15" s="15"/>
      <c r="F15" s="15"/>
      <c r="G15" s="15"/>
      <c r="H15" s="17" t="s">
        <v>12</v>
      </c>
    </row>
    <row r="16" spans="1:9" x14ac:dyDescent="0.2">
      <c r="A16" s="15"/>
      <c r="B16" s="15"/>
      <c r="C16" s="16" t="s">
        <v>11</v>
      </c>
      <c r="D16" s="15"/>
      <c r="E16" s="15" t="s">
        <v>12</v>
      </c>
      <c r="F16" s="18" t="s">
        <v>13</v>
      </c>
      <c r="G16" s="19">
        <v>0</v>
      </c>
      <c r="H16" s="17" t="s">
        <v>12</v>
      </c>
    </row>
    <row r="17" spans="1:8" x14ac:dyDescent="0.2">
      <c r="A17" s="15"/>
      <c r="B17" s="15"/>
      <c r="C17" s="20"/>
      <c r="D17" s="15"/>
      <c r="E17" s="15"/>
      <c r="F17" s="21"/>
      <c r="G17" s="21"/>
      <c r="H17" s="17" t="s">
        <v>12</v>
      </c>
    </row>
    <row r="18" spans="1:8" x14ac:dyDescent="0.2">
      <c r="A18" s="15"/>
      <c r="B18" s="15"/>
      <c r="C18" s="16" t="s">
        <v>17</v>
      </c>
      <c r="D18" s="15"/>
      <c r="E18" s="15"/>
      <c r="F18" s="21"/>
      <c r="G18" s="21"/>
      <c r="H18" s="17" t="s">
        <v>12</v>
      </c>
    </row>
    <row r="19" spans="1:8" x14ac:dyDescent="0.2">
      <c r="A19" s="15"/>
      <c r="B19" s="15"/>
      <c r="C19" s="16" t="s">
        <v>11</v>
      </c>
      <c r="D19" s="15"/>
      <c r="E19" s="15" t="s">
        <v>12</v>
      </c>
      <c r="F19" s="18" t="s">
        <v>13</v>
      </c>
      <c r="G19" s="19">
        <v>0</v>
      </c>
      <c r="H19" s="17" t="s">
        <v>12</v>
      </c>
    </row>
    <row r="20" spans="1:8" x14ac:dyDescent="0.2">
      <c r="A20" s="15"/>
      <c r="B20" s="15"/>
      <c r="C20" s="20"/>
      <c r="D20" s="15"/>
      <c r="E20" s="15"/>
      <c r="F20" s="21"/>
      <c r="G20" s="21"/>
      <c r="H20" s="17" t="s">
        <v>12</v>
      </c>
    </row>
    <row r="21" spans="1:8" x14ac:dyDescent="0.2">
      <c r="A21" s="15"/>
      <c r="B21" s="15"/>
      <c r="C21" s="16" t="s">
        <v>18</v>
      </c>
      <c r="D21" s="15"/>
      <c r="E21" s="15"/>
      <c r="F21" s="21"/>
      <c r="G21" s="21"/>
      <c r="H21" s="17" t="s">
        <v>12</v>
      </c>
    </row>
    <row r="22" spans="1:8" x14ac:dyDescent="0.2">
      <c r="A22" s="15"/>
      <c r="B22" s="15"/>
      <c r="C22" s="16" t="s">
        <v>11</v>
      </c>
      <c r="D22" s="15"/>
      <c r="E22" s="15" t="s">
        <v>12</v>
      </c>
      <c r="F22" s="18" t="s">
        <v>13</v>
      </c>
      <c r="G22" s="19">
        <v>0</v>
      </c>
      <c r="H22" s="17" t="s">
        <v>12</v>
      </c>
    </row>
    <row r="23" spans="1:8" x14ac:dyDescent="0.2">
      <c r="A23" s="15"/>
      <c r="B23" s="15"/>
      <c r="C23" s="20"/>
      <c r="D23" s="15"/>
      <c r="E23" s="15"/>
      <c r="F23" s="21"/>
      <c r="G23" s="21"/>
      <c r="H23" s="17" t="s">
        <v>12</v>
      </c>
    </row>
    <row r="24" spans="1:8" x14ac:dyDescent="0.2">
      <c r="A24" s="15"/>
      <c r="B24" s="15"/>
      <c r="C24" s="16" t="s">
        <v>19</v>
      </c>
      <c r="D24" s="15"/>
      <c r="E24" s="15"/>
      <c r="F24" s="22">
        <v>0</v>
      </c>
      <c r="G24" s="19">
        <v>0</v>
      </c>
      <c r="H24" s="17" t="s">
        <v>12</v>
      </c>
    </row>
    <row r="25" spans="1:8" x14ac:dyDescent="0.2">
      <c r="A25" s="15"/>
      <c r="B25" s="15"/>
      <c r="C25" s="20"/>
      <c r="D25" s="15"/>
      <c r="E25" s="15"/>
      <c r="F25" s="21"/>
      <c r="G25" s="21"/>
      <c r="H25" s="17" t="s">
        <v>12</v>
      </c>
    </row>
    <row r="26" spans="1:8" x14ac:dyDescent="0.2">
      <c r="A26" s="15"/>
      <c r="B26" s="15"/>
      <c r="C26" s="16" t="s">
        <v>20</v>
      </c>
      <c r="D26" s="15"/>
      <c r="E26" s="15"/>
      <c r="F26" s="21"/>
      <c r="G26" s="21"/>
      <c r="H26" s="17" t="s">
        <v>12</v>
      </c>
    </row>
    <row r="27" spans="1:8" x14ac:dyDescent="0.2">
      <c r="A27" s="15"/>
      <c r="B27" s="15"/>
      <c r="C27" s="16" t="s">
        <v>10</v>
      </c>
      <c r="D27" s="15"/>
      <c r="E27" s="15"/>
      <c r="F27" s="21"/>
      <c r="G27" s="21"/>
      <c r="H27" s="17" t="s">
        <v>12</v>
      </c>
    </row>
    <row r="28" spans="1:8" x14ac:dyDescent="0.2">
      <c r="A28" s="23">
        <v>1</v>
      </c>
      <c r="B28" s="24" t="s">
        <v>231</v>
      </c>
      <c r="C28" s="24" t="s">
        <v>232</v>
      </c>
      <c r="D28" s="24" t="s">
        <v>233</v>
      </c>
      <c r="E28" s="25">
        <v>1500</v>
      </c>
      <c r="F28" s="26">
        <v>1509.3989999999999</v>
      </c>
      <c r="G28" s="27">
        <v>4.41304E-2</v>
      </c>
      <c r="H28" s="17">
        <v>7.8867000000000003</v>
      </c>
    </row>
    <row r="29" spans="1:8" x14ac:dyDescent="0.2">
      <c r="A29" s="23">
        <v>2</v>
      </c>
      <c r="B29" s="24" t="s">
        <v>234</v>
      </c>
      <c r="C29" s="24" t="s">
        <v>235</v>
      </c>
      <c r="D29" s="24" t="s">
        <v>236</v>
      </c>
      <c r="E29" s="25">
        <v>1500</v>
      </c>
      <c r="F29" s="26">
        <v>1508.4645</v>
      </c>
      <c r="G29" s="27">
        <v>4.4103080000000003E-2</v>
      </c>
      <c r="H29" s="17">
        <v>8.6150000000000002</v>
      </c>
    </row>
    <row r="30" spans="1:8" x14ac:dyDescent="0.2">
      <c r="A30" s="23">
        <v>3</v>
      </c>
      <c r="B30" s="24" t="s">
        <v>237</v>
      </c>
      <c r="C30" s="24" t="s">
        <v>238</v>
      </c>
      <c r="D30" s="24" t="s">
        <v>23</v>
      </c>
      <c r="E30" s="25">
        <v>1500</v>
      </c>
      <c r="F30" s="26">
        <v>1504.65</v>
      </c>
      <c r="G30" s="27">
        <v>4.3991559999999999E-2</v>
      </c>
      <c r="H30" s="17">
        <v>7.2481999999999998</v>
      </c>
    </row>
    <row r="31" spans="1:8" x14ac:dyDescent="0.2">
      <c r="A31" s="23">
        <v>4</v>
      </c>
      <c r="B31" s="24" t="s">
        <v>239</v>
      </c>
      <c r="C31" s="24" t="s">
        <v>240</v>
      </c>
      <c r="D31" s="24" t="s">
        <v>236</v>
      </c>
      <c r="E31" s="25">
        <v>1200</v>
      </c>
      <c r="F31" s="26">
        <v>1204.1664000000001</v>
      </c>
      <c r="G31" s="27">
        <v>3.5206300000000003E-2</v>
      </c>
      <c r="H31" s="17">
        <v>8.125</v>
      </c>
    </row>
    <row r="32" spans="1:8" ht="25.5" x14ac:dyDescent="0.2">
      <c r="A32" s="23">
        <v>5</v>
      </c>
      <c r="B32" s="24" t="s">
        <v>67</v>
      </c>
      <c r="C32" s="24" t="s">
        <v>68</v>
      </c>
      <c r="D32" s="24" t="s">
        <v>23</v>
      </c>
      <c r="E32" s="25">
        <v>1000</v>
      </c>
      <c r="F32" s="26">
        <v>1008.571</v>
      </c>
      <c r="G32" s="27">
        <v>2.9487659999999999E-2</v>
      </c>
      <c r="H32" s="17">
        <v>7.2949999999999999</v>
      </c>
    </row>
    <row r="33" spans="1:8" x14ac:dyDescent="0.2">
      <c r="A33" s="23">
        <v>6</v>
      </c>
      <c r="B33" s="24" t="s">
        <v>241</v>
      </c>
      <c r="C33" s="24" t="s">
        <v>242</v>
      </c>
      <c r="D33" s="24" t="s">
        <v>23</v>
      </c>
      <c r="E33" s="25">
        <v>1000</v>
      </c>
      <c r="F33" s="26">
        <v>1004.0170000000001</v>
      </c>
      <c r="G33" s="27">
        <v>2.9354519999999999E-2</v>
      </c>
      <c r="H33" s="17">
        <v>7.2481999999999998</v>
      </c>
    </row>
    <row r="34" spans="1:8" ht="25.5" x14ac:dyDescent="0.2">
      <c r="A34" s="23">
        <v>7</v>
      </c>
      <c r="B34" s="24" t="s">
        <v>243</v>
      </c>
      <c r="C34" s="24" t="s">
        <v>244</v>
      </c>
      <c r="D34" s="24" t="s">
        <v>233</v>
      </c>
      <c r="E34" s="25">
        <v>1000</v>
      </c>
      <c r="F34" s="26">
        <v>1003.631</v>
      </c>
      <c r="G34" s="27">
        <v>2.9343230000000001E-2</v>
      </c>
      <c r="H34" s="17">
        <v>7.96</v>
      </c>
    </row>
    <row r="35" spans="1:8" ht="25.5" x14ac:dyDescent="0.2">
      <c r="A35" s="23">
        <v>8</v>
      </c>
      <c r="B35" s="24" t="s">
        <v>61</v>
      </c>
      <c r="C35" s="24" t="s">
        <v>62</v>
      </c>
      <c r="D35" s="24" t="s">
        <v>23</v>
      </c>
      <c r="E35" s="25">
        <v>1000</v>
      </c>
      <c r="F35" s="26">
        <v>1001.058</v>
      </c>
      <c r="G35" s="27">
        <v>2.9267999999999999E-2</v>
      </c>
      <c r="H35" s="17">
        <v>7.2998000000000003</v>
      </c>
    </row>
    <row r="36" spans="1:8" x14ac:dyDescent="0.2">
      <c r="A36" s="23">
        <v>9</v>
      </c>
      <c r="B36" s="24" t="s">
        <v>245</v>
      </c>
      <c r="C36" s="24" t="s">
        <v>246</v>
      </c>
      <c r="D36" s="24" t="s">
        <v>236</v>
      </c>
      <c r="E36" s="25">
        <v>100</v>
      </c>
      <c r="F36" s="26">
        <v>1000.72</v>
      </c>
      <c r="G36" s="27">
        <v>2.9258119999999999E-2</v>
      </c>
      <c r="H36" s="17">
        <v>8.0449999999999999</v>
      </c>
    </row>
    <row r="37" spans="1:8" ht="25.5" x14ac:dyDescent="0.2">
      <c r="A37" s="23">
        <v>10</v>
      </c>
      <c r="B37" s="24" t="s">
        <v>247</v>
      </c>
      <c r="C37" s="24" t="s">
        <v>248</v>
      </c>
      <c r="D37" s="24" t="s">
        <v>249</v>
      </c>
      <c r="E37" s="25">
        <v>1000</v>
      </c>
      <c r="F37" s="26">
        <v>1000.576</v>
      </c>
      <c r="G37" s="27">
        <v>2.9253910000000001E-2</v>
      </c>
      <c r="H37" s="17">
        <v>9.17</v>
      </c>
    </row>
    <row r="38" spans="1:8" ht="25.5" x14ac:dyDescent="0.2">
      <c r="A38" s="23">
        <v>11</v>
      </c>
      <c r="B38" s="24" t="s">
        <v>43</v>
      </c>
      <c r="C38" s="24" t="s">
        <v>44</v>
      </c>
      <c r="D38" s="24" t="s">
        <v>23</v>
      </c>
      <c r="E38" s="25">
        <v>1000</v>
      </c>
      <c r="F38" s="26">
        <v>1000.421</v>
      </c>
      <c r="G38" s="27">
        <v>2.9249379999999998E-2</v>
      </c>
      <c r="H38" s="17">
        <v>7.2337999999999996</v>
      </c>
    </row>
    <row r="39" spans="1:8" ht="25.5" x14ac:dyDescent="0.2">
      <c r="A39" s="23">
        <v>12</v>
      </c>
      <c r="B39" s="24" t="s">
        <v>250</v>
      </c>
      <c r="C39" s="24" t="s">
        <v>251</v>
      </c>
      <c r="D39" s="24" t="s">
        <v>23</v>
      </c>
      <c r="E39" s="25">
        <v>100</v>
      </c>
      <c r="F39" s="26">
        <v>999.06299999999999</v>
      </c>
      <c r="G39" s="27">
        <v>2.9209679999999998E-2</v>
      </c>
      <c r="H39" s="17">
        <v>7.3</v>
      </c>
    </row>
    <row r="40" spans="1:8" x14ac:dyDescent="0.2">
      <c r="A40" s="23">
        <v>13</v>
      </c>
      <c r="B40" s="24" t="s">
        <v>252</v>
      </c>
      <c r="C40" s="24" t="s">
        <v>253</v>
      </c>
      <c r="D40" s="24" t="s">
        <v>236</v>
      </c>
      <c r="E40" s="25">
        <v>900</v>
      </c>
      <c r="F40" s="26">
        <v>904.3569</v>
      </c>
      <c r="G40" s="27">
        <v>2.6440749999999999E-2</v>
      </c>
      <c r="H40" s="17">
        <v>7.9238</v>
      </c>
    </row>
    <row r="41" spans="1:8" x14ac:dyDescent="0.2">
      <c r="A41" s="23">
        <v>14</v>
      </c>
      <c r="B41" s="24" t="s">
        <v>254</v>
      </c>
      <c r="C41" s="24" t="s">
        <v>255</v>
      </c>
      <c r="D41" s="24" t="s">
        <v>36</v>
      </c>
      <c r="E41" s="25">
        <v>900</v>
      </c>
      <c r="F41" s="26">
        <v>903.25800000000004</v>
      </c>
      <c r="G41" s="27">
        <v>2.6408620000000001E-2</v>
      </c>
      <c r="H41" s="17">
        <v>7.8734000000000002</v>
      </c>
    </row>
    <row r="42" spans="1:8" x14ac:dyDescent="0.2">
      <c r="A42" s="23">
        <v>15</v>
      </c>
      <c r="B42" s="24" t="s">
        <v>55</v>
      </c>
      <c r="C42" s="24" t="s">
        <v>56</v>
      </c>
      <c r="D42" s="24" t="s">
        <v>23</v>
      </c>
      <c r="E42" s="25">
        <v>500</v>
      </c>
      <c r="F42" s="26">
        <v>503.16649999999998</v>
      </c>
      <c r="G42" s="27">
        <v>1.4711109999999999E-2</v>
      </c>
      <c r="H42" s="17">
        <v>7.2594000000000003</v>
      </c>
    </row>
    <row r="43" spans="1:8" x14ac:dyDescent="0.2">
      <c r="A43" s="23">
        <v>16</v>
      </c>
      <c r="B43" s="24" t="s">
        <v>256</v>
      </c>
      <c r="C43" s="24" t="s">
        <v>257</v>
      </c>
      <c r="D43" s="24" t="s">
        <v>36</v>
      </c>
      <c r="E43" s="25">
        <v>500</v>
      </c>
      <c r="F43" s="26">
        <v>503.005</v>
      </c>
      <c r="G43" s="27">
        <v>1.470639E-2</v>
      </c>
      <c r="H43" s="17">
        <v>7.25</v>
      </c>
    </row>
    <row r="44" spans="1:8" x14ac:dyDescent="0.2">
      <c r="A44" s="23">
        <v>17</v>
      </c>
      <c r="B44" s="24" t="s">
        <v>258</v>
      </c>
      <c r="C44" s="24" t="s">
        <v>259</v>
      </c>
      <c r="D44" s="24" t="s">
        <v>236</v>
      </c>
      <c r="E44" s="25">
        <v>500</v>
      </c>
      <c r="F44" s="26">
        <v>502.88600000000002</v>
      </c>
      <c r="G44" s="27">
        <v>1.470291E-2</v>
      </c>
      <c r="H44" s="17">
        <v>8.1850000000000005</v>
      </c>
    </row>
    <row r="45" spans="1:8" ht="25.5" x14ac:dyDescent="0.2">
      <c r="A45" s="23">
        <v>18</v>
      </c>
      <c r="B45" s="24" t="s">
        <v>260</v>
      </c>
      <c r="C45" s="24" t="s">
        <v>261</v>
      </c>
      <c r="D45" s="24" t="s">
        <v>262</v>
      </c>
      <c r="E45" s="25">
        <v>50</v>
      </c>
      <c r="F45" s="26">
        <v>501.42</v>
      </c>
      <c r="G45" s="27">
        <v>1.4660050000000001E-2</v>
      </c>
      <c r="H45" s="17">
        <v>7.75</v>
      </c>
    </row>
    <row r="46" spans="1:8" ht="25.5" x14ac:dyDescent="0.2">
      <c r="A46" s="23">
        <v>19</v>
      </c>
      <c r="B46" s="24" t="s">
        <v>63</v>
      </c>
      <c r="C46" s="24" t="s">
        <v>64</v>
      </c>
      <c r="D46" s="24" t="s">
        <v>23</v>
      </c>
      <c r="E46" s="25">
        <v>500</v>
      </c>
      <c r="F46" s="26">
        <v>500.06450000000001</v>
      </c>
      <c r="G46" s="27">
        <v>1.462042E-2</v>
      </c>
      <c r="H46" s="17">
        <v>7.6950000000000003</v>
      </c>
    </row>
    <row r="47" spans="1:8" x14ac:dyDescent="0.2">
      <c r="A47" s="23">
        <v>20</v>
      </c>
      <c r="B47" s="24" t="s">
        <v>263</v>
      </c>
      <c r="C47" s="24" t="s">
        <v>264</v>
      </c>
      <c r="D47" s="24" t="s">
        <v>236</v>
      </c>
      <c r="E47" s="25">
        <v>350</v>
      </c>
      <c r="F47" s="26">
        <v>350.48475000000002</v>
      </c>
      <c r="G47" s="27">
        <v>1.024715E-2</v>
      </c>
      <c r="H47" s="17">
        <v>8.5731000000000002</v>
      </c>
    </row>
    <row r="48" spans="1:8" x14ac:dyDescent="0.2">
      <c r="A48" s="15"/>
      <c r="B48" s="15"/>
      <c r="C48" s="16" t="s">
        <v>11</v>
      </c>
      <c r="D48" s="15"/>
      <c r="E48" s="15" t="s">
        <v>12</v>
      </c>
      <c r="F48" s="22">
        <v>18413.378550000001</v>
      </c>
      <c r="G48" s="19">
        <v>0.53835323999999996</v>
      </c>
      <c r="H48" s="17" t="s">
        <v>12</v>
      </c>
    </row>
    <row r="49" spans="1:8" x14ac:dyDescent="0.2">
      <c r="A49" s="15"/>
      <c r="B49" s="15"/>
      <c r="C49" s="20"/>
      <c r="D49" s="15"/>
      <c r="E49" s="15"/>
      <c r="F49" s="21"/>
      <c r="G49" s="21"/>
      <c r="H49" s="17" t="s">
        <v>12</v>
      </c>
    </row>
    <row r="50" spans="1:8" x14ac:dyDescent="0.2">
      <c r="A50" s="15"/>
      <c r="B50" s="15"/>
      <c r="C50" s="16" t="s">
        <v>71</v>
      </c>
      <c r="D50" s="15"/>
      <c r="E50" s="15"/>
      <c r="F50" s="15"/>
      <c r="G50" s="15"/>
      <c r="H50" s="17" t="s">
        <v>12</v>
      </c>
    </row>
    <row r="51" spans="1:8" x14ac:dyDescent="0.2">
      <c r="A51" s="15"/>
      <c r="B51" s="15"/>
      <c r="C51" s="16" t="s">
        <v>11</v>
      </c>
      <c r="D51" s="15"/>
      <c r="E51" s="15" t="s">
        <v>12</v>
      </c>
      <c r="F51" s="18" t="s">
        <v>13</v>
      </c>
      <c r="G51" s="19">
        <v>0</v>
      </c>
      <c r="H51" s="17" t="s">
        <v>12</v>
      </c>
    </row>
    <row r="52" spans="1:8" x14ac:dyDescent="0.2">
      <c r="A52" s="15"/>
      <c r="B52" s="15"/>
      <c r="C52" s="20"/>
      <c r="D52" s="15"/>
      <c r="E52" s="15"/>
      <c r="F52" s="21"/>
      <c r="G52" s="21"/>
      <c r="H52" s="17" t="s">
        <v>12</v>
      </c>
    </row>
    <row r="53" spans="1:8" x14ac:dyDescent="0.2">
      <c r="A53" s="15"/>
      <c r="B53" s="15"/>
      <c r="C53" s="16" t="s">
        <v>72</v>
      </c>
      <c r="D53" s="15"/>
      <c r="E53" s="15"/>
      <c r="F53" s="15"/>
      <c r="G53" s="15"/>
      <c r="H53" s="17" t="s">
        <v>12</v>
      </c>
    </row>
    <row r="54" spans="1:8" x14ac:dyDescent="0.2">
      <c r="A54" s="23">
        <v>1</v>
      </c>
      <c r="B54" s="24" t="s">
        <v>76</v>
      </c>
      <c r="C54" s="24" t="s">
        <v>77</v>
      </c>
      <c r="D54" s="24" t="s">
        <v>75</v>
      </c>
      <c r="E54" s="25">
        <v>500000</v>
      </c>
      <c r="F54" s="26">
        <v>519.14149999999995</v>
      </c>
      <c r="G54" s="27">
        <v>1.5178179999999999E-2</v>
      </c>
      <c r="H54" s="17">
        <v>6.5994000000000002</v>
      </c>
    </row>
    <row r="55" spans="1:8" ht="25.5" x14ac:dyDescent="0.2">
      <c r="A55" s="23">
        <v>2</v>
      </c>
      <c r="B55" s="24" t="s">
        <v>265</v>
      </c>
      <c r="C55" s="24" t="s">
        <v>266</v>
      </c>
      <c r="D55" s="24" t="s">
        <v>75</v>
      </c>
      <c r="E55" s="25">
        <v>400000</v>
      </c>
      <c r="F55" s="26">
        <v>408.43239999999997</v>
      </c>
      <c r="G55" s="27">
        <v>1.194137E-2</v>
      </c>
      <c r="H55" s="17">
        <v>6.5580999999999996</v>
      </c>
    </row>
    <row r="56" spans="1:8" ht="25.5" x14ac:dyDescent="0.2">
      <c r="A56" s="23">
        <v>3</v>
      </c>
      <c r="B56" s="24" t="s">
        <v>267</v>
      </c>
      <c r="C56" s="24" t="s">
        <v>268</v>
      </c>
      <c r="D56" s="24" t="s">
        <v>75</v>
      </c>
      <c r="E56" s="25">
        <v>300000</v>
      </c>
      <c r="F56" s="26">
        <v>305.8125</v>
      </c>
      <c r="G56" s="27">
        <v>8.9410600000000007E-3</v>
      </c>
      <c r="H56" s="17">
        <v>6.5278</v>
      </c>
    </row>
    <row r="57" spans="1:8" x14ac:dyDescent="0.2">
      <c r="A57" s="15"/>
      <c r="B57" s="15"/>
      <c r="C57" s="16" t="s">
        <v>11</v>
      </c>
      <c r="D57" s="15"/>
      <c r="E57" s="15" t="s">
        <v>12</v>
      </c>
      <c r="F57" s="22">
        <v>1233.3864000000001</v>
      </c>
      <c r="G57" s="19">
        <v>3.606061E-2</v>
      </c>
      <c r="H57" s="17" t="s">
        <v>12</v>
      </c>
    </row>
    <row r="58" spans="1:8" x14ac:dyDescent="0.2">
      <c r="A58" s="15"/>
      <c r="B58" s="15"/>
      <c r="C58" s="20"/>
      <c r="D58" s="15"/>
      <c r="E58" s="15"/>
      <c r="F58" s="21"/>
      <c r="G58" s="21"/>
      <c r="H58" s="17" t="s">
        <v>12</v>
      </c>
    </row>
    <row r="59" spans="1:8" x14ac:dyDescent="0.2">
      <c r="A59" s="15"/>
      <c r="B59" s="15"/>
      <c r="C59" s="16" t="s">
        <v>88</v>
      </c>
      <c r="D59" s="15"/>
      <c r="E59" s="15"/>
      <c r="F59" s="21"/>
      <c r="G59" s="21"/>
      <c r="H59" s="17" t="s">
        <v>12</v>
      </c>
    </row>
    <row r="60" spans="1:8" x14ac:dyDescent="0.2">
      <c r="A60" s="15"/>
      <c r="B60" s="15"/>
      <c r="C60" s="16" t="s">
        <v>11</v>
      </c>
      <c r="D60" s="15"/>
      <c r="E60" s="15" t="s">
        <v>12</v>
      </c>
      <c r="F60" s="18" t="s">
        <v>13</v>
      </c>
      <c r="G60" s="19">
        <v>0</v>
      </c>
      <c r="H60" s="17" t="s">
        <v>12</v>
      </c>
    </row>
    <row r="61" spans="1:8" x14ac:dyDescent="0.2">
      <c r="A61" s="15"/>
      <c r="B61" s="15"/>
      <c r="C61" s="20"/>
      <c r="D61" s="15"/>
      <c r="E61" s="15"/>
      <c r="F61" s="21"/>
      <c r="G61" s="21"/>
      <c r="H61" s="17" t="s">
        <v>12</v>
      </c>
    </row>
    <row r="62" spans="1:8" x14ac:dyDescent="0.2">
      <c r="A62" s="15"/>
      <c r="B62" s="15"/>
      <c r="C62" s="16" t="s">
        <v>89</v>
      </c>
      <c r="D62" s="15"/>
      <c r="E62" s="15"/>
      <c r="F62" s="22">
        <v>19646.764950000001</v>
      </c>
      <c r="G62" s="19">
        <v>0.57441385</v>
      </c>
      <c r="H62" s="17" t="s">
        <v>12</v>
      </c>
    </row>
    <row r="63" spans="1:8" x14ac:dyDescent="0.2">
      <c r="A63" s="15"/>
      <c r="B63" s="15"/>
      <c r="C63" s="20"/>
      <c r="D63" s="15"/>
      <c r="E63" s="15"/>
      <c r="F63" s="21"/>
      <c r="G63" s="21"/>
      <c r="H63" s="17" t="s">
        <v>12</v>
      </c>
    </row>
    <row r="64" spans="1:8" x14ac:dyDescent="0.2">
      <c r="A64" s="15"/>
      <c r="B64" s="15"/>
      <c r="C64" s="16" t="s">
        <v>90</v>
      </c>
      <c r="D64" s="15"/>
      <c r="E64" s="15"/>
      <c r="F64" s="21"/>
      <c r="G64" s="21"/>
      <c r="H64" s="17" t="s">
        <v>12</v>
      </c>
    </row>
    <row r="65" spans="1:8" x14ac:dyDescent="0.2">
      <c r="A65" s="15"/>
      <c r="B65" s="15"/>
      <c r="C65" s="16" t="s">
        <v>91</v>
      </c>
      <c r="D65" s="15"/>
      <c r="E65" s="15"/>
      <c r="F65" s="21"/>
      <c r="G65" s="21"/>
      <c r="H65" s="17" t="s">
        <v>12</v>
      </c>
    </row>
    <row r="66" spans="1:8" x14ac:dyDescent="0.2">
      <c r="A66" s="23">
        <v>1</v>
      </c>
      <c r="B66" s="24" t="s">
        <v>269</v>
      </c>
      <c r="C66" s="24" t="s">
        <v>682</v>
      </c>
      <c r="D66" s="24" t="s">
        <v>145</v>
      </c>
      <c r="E66" s="25">
        <v>500</v>
      </c>
      <c r="F66" s="26">
        <v>2473.5300000000002</v>
      </c>
      <c r="G66" s="27">
        <v>7.2318770000000004E-2</v>
      </c>
      <c r="H66" s="17">
        <v>6.9749999999999996</v>
      </c>
    </row>
    <row r="67" spans="1:8" x14ac:dyDescent="0.2">
      <c r="A67" s="23">
        <v>2</v>
      </c>
      <c r="B67" s="24" t="s">
        <v>270</v>
      </c>
      <c r="C67" s="24" t="s">
        <v>271</v>
      </c>
      <c r="D67" s="24" t="s">
        <v>145</v>
      </c>
      <c r="E67" s="25">
        <v>500</v>
      </c>
      <c r="F67" s="26">
        <v>2472.9699999999998</v>
      </c>
      <c r="G67" s="27">
        <v>7.2302400000000003E-2</v>
      </c>
      <c r="H67" s="17">
        <v>7.1239999999999997</v>
      </c>
    </row>
    <row r="68" spans="1:8" x14ac:dyDescent="0.2">
      <c r="A68" s="23">
        <v>3</v>
      </c>
      <c r="B68" s="24" t="s">
        <v>272</v>
      </c>
      <c r="C68" s="24" t="s">
        <v>273</v>
      </c>
      <c r="D68" s="24" t="s">
        <v>145</v>
      </c>
      <c r="E68" s="25">
        <v>500</v>
      </c>
      <c r="F68" s="26">
        <v>2409.2375000000002</v>
      </c>
      <c r="G68" s="27">
        <v>7.0439050000000003E-2</v>
      </c>
      <c r="H68" s="17">
        <v>7.5140000000000002</v>
      </c>
    </row>
    <row r="69" spans="1:8" x14ac:dyDescent="0.2">
      <c r="A69" s="23">
        <v>4</v>
      </c>
      <c r="B69" s="24" t="s">
        <v>203</v>
      </c>
      <c r="C69" s="24" t="s">
        <v>204</v>
      </c>
      <c r="D69" s="24" t="s">
        <v>145</v>
      </c>
      <c r="E69" s="25">
        <v>300</v>
      </c>
      <c r="F69" s="26">
        <v>1432.422</v>
      </c>
      <c r="G69" s="27">
        <v>4.1879819999999998E-2</v>
      </c>
      <c r="H69" s="17">
        <v>7.359</v>
      </c>
    </row>
    <row r="70" spans="1:8" ht="25.5" x14ac:dyDescent="0.2">
      <c r="A70" s="23">
        <v>5</v>
      </c>
      <c r="B70" s="24" t="s">
        <v>167</v>
      </c>
      <c r="C70" s="24" t="s">
        <v>168</v>
      </c>
      <c r="D70" s="24" t="s">
        <v>145</v>
      </c>
      <c r="E70" s="25">
        <v>200</v>
      </c>
      <c r="F70" s="26">
        <v>938.57600000000002</v>
      </c>
      <c r="G70" s="27">
        <v>2.7441210000000001E-2</v>
      </c>
      <c r="H70" s="17">
        <v>7.1950000000000003</v>
      </c>
    </row>
    <row r="71" spans="1:8" ht="25.5" x14ac:dyDescent="0.2">
      <c r="A71" s="23">
        <v>6</v>
      </c>
      <c r="B71" s="24" t="s">
        <v>169</v>
      </c>
      <c r="C71" s="24" t="s">
        <v>170</v>
      </c>
      <c r="D71" s="24" t="s">
        <v>145</v>
      </c>
      <c r="E71" s="25">
        <v>200</v>
      </c>
      <c r="F71" s="26">
        <v>938.53499999999997</v>
      </c>
      <c r="G71" s="27">
        <v>2.7440010000000001E-2</v>
      </c>
      <c r="H71" s="17">
        <v>7.2</v>
      </c>
    </row>
    <row r="72" spans="1:8" x14ac:dyDescent="0.2">
      <c r="A72" s="23">
        <v>7</v>
      </c>
      <c r="B72" s="24" t="s">
        <v>146</v>
      </c>
      <c r="C72" s="24" t="s">
        <v>147</v>
      </c>
      <c r="D72" s="24" t="s">
        <v>145</v>
      </c>
      <c r="E72" s="25">
        <v>200</v>
      </c>
      <c r="F72" s="26">
        <v>935.40800000000002</v>
      </c>
      <c r="G72" s="27">
        <v>2.7348589999999999E-2</v>
      </c>
      <c r="H72" s="17">
        <v>7.14</v>
      </c>
    </row>
    <row r="73" spans="1:8" ht="25.5" x14ac:dyDescent="0.2">
      <c r="A73" s="23">
        <v>8</v>
      </c>
      <c r="B73" s="24" t="s">
        <v>201</v>
      </c>
      <c r="C73" s="24" t="s">
        <v>202</v>
      </c>
      <c r="D73" s="24" t="s">
        <v>145</v>
      </c>
      <c r="E73" s="25">
        <v>100</v>
      </c>
      <c r="F73" s="26">
        <v>467.01949999999999</v>
      </c>
      <c r="G73" s="27">
        <v>1.365428E-2</v>
      </c>
      <c r="H73" s="17">
        <v>7.2</v>
      </c>
    </row>
    <row r="74" spans="1:8" x14ac:dyDescent="0.2">
      <c r="A74" s="15"/>
      <c r="B74" s="15"/>
      <c r="C74" s="16" t="s">
        <v>11</v>
      </c>
      <c r="D74" s="15"/>
      <c r="E74" s="15" t="s">
        <v>12</v>
      </c>
      <c r="F74" s="22">
        <v>12067.698</v>
      </c>
      <c r="G74" s="19">
        <v>0.35282413000000001</v>
      </c>
      <c r="H74" s="17" t="s">
        <v>12</v>
      </c>
    </row>
    <row r="75" spans="1:8" x14ac:dyDescent="0.2">
      <c r="A75" s="15"/>
      <c r="B75" s="15"/>
      <c r="C75" s="20"/>
      <c r="D75" s="15"/>
      <c r="E75" s="15"/>
      <c r="F75" s="21"/>
      <c r="G75" s="21"/>
      <c r="H75" s="17" t="s">
        <v>12</v>
      </c>
    </row>
    <row r="76" spans="1:8" x14ac:dyDescent="0.2">
      <c r="A76" s="15"/>
      <c r="B76" s="15"/>
      <c r="C76" s="16" t="s">
        <v>92</v>
      </c>
      <c r="D76" s="15"/>
      <c r="E76" s="15"/>
      <c r="F76" s="21"/>
      <c r="G76" s="21"/>
      <c r="H76" s="17" t="s">
        <v>12</v>
      </c>
    </row>
    <row r="77" spans="1:8" ht="25.5" x14ac:dyDescent="0.2">
      <c r="A77" s="23">
        <v>1</v>
      </c>
      <c r="B77" s="24" t="s">
        <v>218</v>
      </c>
      <c r="C77" s="24" t="s">
        <v>219</v>
      </c>
      <c r="D77" s="24" t="s">
        <v>145</v>
      </c>
      <c r="E77" s="25">
        <v>200</v>
      </c>
      <c r="F77" s="26">
        <v>984.10799999999995</v>
      </c>
      <c r="G77" s="27">
        <v>2.8772430000000002E-2</v>
      </c>
      <c r="H77" s="17">
        <v>7.6550000000000002</v>
      </c>
    </row>
    <row r="78" spans="1:8" x14ac:dyDescent="0.2">
      <c r="A78" s="23">
        <v>2</v>
      </c>
      <c r="B78" s="24" t="s">
        <v>274</v>
      </c>
      <c r="C78" s="24" t="s">
        <v>275</v>
      </c>
      <c r="D78" s="24" t="s">
        <v>145</v>
      </c>
      <c r="E78" s="25">
        <v>200</v>
      </c>
      <c r="F78" s="26">
        <v>961.26400000000001</v>
      </c>
      <c r="G78" s="27">
        <v>2.8104540000000001E-2</v>
      </c>
      <c r="H78" s="17">
        <v>7.14</v>
      </c>
    </row>
    <row r="79" spans="1:8" x14ac:dyDescent="0.2">
      <c r="A79" s="15"/>
      <c r="B79" s="15"/>
      <c r="C79" s="16" t="s">
        <v>11</v>
      </c>
      <c r="D79" s="15"/>
      <c r="E79" s="15" t="s">
        <v>12</v>
      </c>
      <c r="F79" s="22">
        <v>1945.3720000000001</v>
      </c>
      <c r="G79" s="19">
        <v>5.6876969999999999E-2</v>
      </c>
      <c r="H79" s="17" t="s">
        <v>12</v>
      </c>
    </row>
    <row r="80" spans="1:8" x14ac:dyDescent="0.2">
      <c r="A80" s="15"/>
      <c r="B80" s="15"/>
      <c r="C80" s="20"/>
      <c r="D80" s="15"/>
      <c r="E80" s="15"/>
      <c r="F80" s="21"/>
      <c r="G80" s="21"/>
      <c r="H80" s="17" t="s">
        <v>12</v>
      </c>
    </row>
    <row r="81" spans="1:17" x14ac:dyDescent="0.2">
      <c r="A81" s="15"/>
      <c r="B81" s="15"/>
      <c r="C81" s="16" t="s">
        <v>93</v>
      </c>
      <c r="D81" s="15"/>
      <c r="E81" s="15"/>
      <c r="F81" s="21"/>
      <c r="G81" s="21"/>
      <c r="H81" s="17" t="s">
        <v>12</v>
      </c>
    </row>
    <row r="82" spans="1:17" x14ac:dyDescent="0.2">
      <c r="A82" s="15"/>
      <c r="B82" s="15"/>
      <c r="C82" s="16" t="s">
        <v>11</v>
      </c>
      <c r="D82" s="15"/>
      <c r="E82" s="15" t="s">
        <v>12</v>
      </c>
      <c r="F82" s="18" t="s">
        <v>13</v>
      </c>
      <c r="G82" s="19">
        <v>0</v>
      </c>
      <c r="H82" s="17" t="s">
        <v>12</v>
      </c>
    </row>
    <row r="83" spans="1:17" x14ac:dyDescent="0.2">
      <c r="A83" s="15"/>
      <c r="B83" s="15"/>
      <c r="C83" s="20"/>
      <c r="D83" s="15"/>
      <c r="E83" s="15"/>
      <c r="F83" s="21"/>
      <c r="G83" s="21"/>
      <c r="H83" s="17" t="s">
        <v>12</v>
      </c>
    </row>
    <row r="84" spans="1:17" x14ac:dyDescent="0.2">
      <c r="A84" s="15"/>
      <c r="B84" s="15"/>
      <c r="C84" s="16" t="s">
        <v>94</v>
      </c>
      <c r="D84" s="15"/>
      <c r="E84" s="15"/>
      <c r="F84" s="21"/>
      <c r="G84" s="21"/>
      <c r="H84" s="17" t="s">
        <v>12</v>
      </c>
    </row>
    <row r="85" spans="1:17" x14ac:dyDescent="0.2">
      <c r="A85" s="23">
        <v>1</v>
      </c>
      <c r="B85" s="24"/>
      <c r="C85" s="24" t="s">
        <v>95</v>
      </c>
      <c r="D85" s="24"/>
      <c r="E85" s="28"/>
      <c r="F85" s="26">
        <v>287.86374239999998</v>
      </c>
      <c r="G85" s="27">
        <v>8.4162899999999999E-3</v>
      </c>
      <c r="H85" s="17">
        <v>6.76</v>
      </c>
    </row>
    <row r="86" spans="1:17" x14ac:dyDescent="0.2">
      <c r="A86" s="15"/>
      <c r="B86" s="15"/>
      <c r="C86" s="16" t="s">
        <v>11</v>
      </c>
      <c r="D86" s="15"/>
      <c r="E86" s="15" t="s">
        <v>12</v>
      </c>
      <c r="F86" s="22">
        <v>287.86374239999998</v>
      </c>
      <c r="G86" s="19">
        <v>8.4162899999999999E-3</v>
      </c>
      <c r="H86" s="17" t="s">
        <v>12</v>
      </c>
    </row>
    <row r="87" spans="1:17" x14ac:dyDescent="0.2">
      <c r="A87" s="15"/>
      <c r="B87" s="15"/>
      <c r="C87" s="20"/>
      <c r="D87" s="15"/>
      <c r="E87" s="15"/>
      <c r="F87" s="21"/>
      <c r="G87" s="21"/>
      <c r="H87" s="17" t="s">
        <v>12</v>
      </c>
    </row>
    <row r="88" spans="1:17" x14ac:dyDescent="0.2">
      <c r="A88" s="15"/>
      <c r="B88" s="15"/>
      <c r="C88" s="16" t="s">
        <v>96</v>
      </c>
      <c r="D88" s="15"/>
      <c r="E88" s="15"/>
      <c r="F88" s="22">
        <v>14300.9337424</v>
      </c>
      <c r="G88" s="19">
        <v>0.41811738999999998</v>
      </c>
      <c r="H88" s="17" t="s">
        <v>12</v>
      </c>
    </row>
    <row r="89" spans="1:17" x14ac:dyDescent="0.2">
      <c r="A89" s="15"/>
      <c r="B89" s="15"/>
      <c r="C89" s="21"/>
      <c r="D89" s="15"/>
      <c r="E89" s="15"/>
      <c r="F89" s="15"/>
      <c r="G89" s="15"/>
      <c r="H89" s="17" t="s">
        <v>12</v>
      </c>
    </row>
    <row r="90" spans="1:17" x14ac:dyDescent="0.2">
      <c r="A90" s="15"/>
      <c r="B90" s="15"/>
      <c r="C90" s="16" t="s">
        <v>97</v>
      </c>
      <c r="D90" s="15"/>
      <c r="E90" s="15"/>
      <c r="F90" s="15"/>
      <c r="G90" s="15"/>
      <c r="H90" s="17" t="s">
        <v>12</v>
      </c>
    </row>
    <row r="91" spans="1:17" x14ac:dyDescent="0.2">
      <c r="A91" s="15"/>
      <c r="B91" s="15"/>
      <c r="C91" s="16" t="s">
        <v>98</v>
      </c>
      <c r="D91" s="15"/>
      <c r="E91" s="15"/>
      <c r="F91" s="15"/>
      <c r="G91" s="15"/>
      <c r="H91" s="17" t="s">
        <v>12</v>
      </c>
    </row>
    <row r="92" spans="1:17" x14ac:dyDescent="0.2">
      <c r="A92" s="15"/>
      <c r="B92" s="15"/>
      <c r="C92" s="16" t="s">
        <v>11</v>
      </c>
      <c r="D92" s="15"/>
      <c r="E92" s="15" t="s">
        <v>12</v>
      </c>
      <c r="F92" s="18" t="s">
        <v>13</v>
      </c>
      <c r="G92" s="19">
        <v>0</v>
      </c>
      <c r="H92" s="17" t="s">
        <v>12</v>
      </c>
    </row>
    <row r="93" spans="1:17" x14ac:dyDescent="0.2">
      <c r="A93" s="74"/>
      <c r="B93" s="74"/>
      <c r="C93" s="75"/>
      <c r="D93" s="74"/>
      <c r="E93" s="74"/>
      <c r="F93" s="76"/>
      <c r="G93" s="76"/>
      <c r="H93" s="72" t="s">
        <v>12</v>
      </c>
    </row>
    <row r="94" spans="1:17" x14ac:dyDescent="0.2">
      <c r="A94" s="74"/>
      <c r="B94" s="74"/>
      <c r="C94" s="51" t="s">
        <v>546</v>
      </c>
      <c r="D94" s="74"/>
      <c r="E94" s="74"/>
      <c r="F94" s="76"/>
      <c r="G94" s="76"/>
      <c r="H94" s="70"/>
      <c r="K94" s="53"/>
      <c r="L94" s="53"/>
      <c r="M94" s="53"/>
      <c r="N94" s="53"/>
      <c r="O94" s="77"/>
      <c r="P94" s="77"/>
      <c r="Q94" s="77"/>
    </row>
    <row r="95" spans="1:17" ht="25.5" x14ac:dyDescent="0.2">
      <c r="A95" s="67">
        <v>1</v>
      </c>
      <c r="B95" s="68" t="s">
        <v>99</v>
      </c>
      <c r="C95" s="68" t="s">
        <v>100</v>
      </c>
      <c r="D95" s="68"/>
      <c r="E95" s="78">
        <v>1043.4449999999999</v>
      </c>
      <c r="F95" s="70">
        <v>115.140306481</v>
      </c>
      <c r="G95" s="71">
        <v>3.36637E-3</v>
      </c>
      <c r="H95" s="72"/>
    </row>
    <row r="96" spans="1:17" x14ac:dyDescent="0.2">
      <c r="A96" s="74"/>
      <c r="B96" s="74"/>
      <c r="C96" s="51" t="s">
        <v>11</v>
      </c>
      <c r="D96" s="74"/>
      <c r="E96" s="74" t="s">
        <v>12</v>
      </c>
      <c r="F96" s="79">
        <f>SUM(F95)</f>
        <v>115.140306481</v>
      </c>
      <c r="G96" s="80">
        <f>SUM(G95)</f>
        <v>3.36637E-3</v>
      </c>
      <c r="H96" s="72" t="s">
        <v>12</v>
      </c>
    </row>
    <row r="97" spans="1:8" x14ac:dyDescent="0.2">
      <c r="A97" s="15"/>
      <c r="B97" s="15"/>
      <c r="C97" s="20"/>
      <c r="D97" s="15"/>
      <c r="E97" s="15"/>
      <c r="F97" s="21"/>
      <c r="G97" s="21"/>
      <c r="H97" s="17" t="s">
        <v>12</v>
      </c>
    </row>
    <row r="98" spans="1:8" x14ac:dyDescent="0.2">
      <c r="A98" s="15"/>
      <c r="B98" s="15"/>
      <c r="C98" s="16" t="s">
        <v>101</v>
      </c>
      <c r="D98" s="15"/>
      <c r="E98" s="15"/>
      <c r="F98" s="15"/>
      <c r="G98" s="15"/>
      <c r="H98" s="17" t="s">
        <v>12</v>
      </c>
    </row>
    <row r="99" spans="1:8" x14ac:dyDescent="0.2">
      <c r="A99" s="15"/>
      <c r="B99" s="15"/>
      <c r="C99" s="16" t="s">
        <v>102</v>
      </c>
      <c r="D99" s="15"/>
      <c r="E99" s="15"/>
      <c r="F99" s="15"/>
      <c r="G99" s="15"/>
      <c r="H99" s="17" t="s">
        <v>12</v>
      </c>
    </row>
    <row r="100" spans="1:8" x14ac:dyDescent="0.2">
      <c r="A100" s="15"/>
      <c r="B100" s="15"/>
      <c r="C100" s="16" t="s">
        <v>11</v>
      </c>
      <c r="D100" s="15"/>
      <c r="E100" s="15" t="s">
        <v>12</v>
      </c>
      <c r="F100" s="18" t="s">
        <v>13</v>
      </c>
      <c r="G100" s="19">
        <v>0</v>
      </c>
      <c r="H100" s="17" t="s">
        <v>12</v>
      </c>
    </row>
    <row r="101" spans="1:8" x14ac:dyDescent="0.2">
      <c r="A101" s="15"/>
      <c r="B101" s="15"/>
      <c r="C101" s="20"/>
      <c r="D101" s="15"/>
      <c r="E101" s="15"/>
      <c r="F101" s="21"/>
      <c r="G101" s="21"/>
      <c r="H101" s="17" t="s">
        <v>12</v>
      </c>
    </row>
    <row r="102" spans="1:8" x14ac:dyDescent="0.2">
      <c r="A102" s="15"/>
      <c r="B102" s="15"/>
      <c r="C102" s="16" t="s">
        <v>103</v>
      </c>
      <c r="D102" s="15"/>
      <c r="E102" s="15"/>
      <c r="F102" s="21"/>
      <c r="G102" s="21"/>
      <c r="H102" s="17" t="s">
        <v>12</v>
      </c>
    </row>
    <row r="103" spans="1:8" x14ac:dyDescent="0.2">
      <c r="A103" s="15"/>
      <c r="B103" s="15"/>
      <c r="C103" s="16" t="s">
        <v>11</v>
      </c>
      <c r="D103" s="15"/>
      <c r="E103" s="15" t="s">
        <v>12</v>
      </c>
      <c r="F103" s="18" t="s">
        <v>13</v>
      </c>
      <c r="G103" s="19">
        <v>0</v>
      </c>
      <c r="H103" s="17" t="s">
        <v>12</v>
      </c>
    </row>
    <row r="104" spans="1:8" x14ac:dyDescent="0.2">
      <c r="A104" s="15"/>
      <c r="B104" s="15"/>
      <c r="C104" s="20"/>
      <c r="D104" s="15"/>
      <c r="E104" s="15"/>
      <c r="F104" s="21"/>
      <c r="G104" s="21"/>
      <c r="H104" s="17" t="s">
        <v>12</v>
      </c>
    </row>
    <row r="105" spans="1:8" x14ac:dyDescent="0.2">
      <c r="A105" s="28"/>
      <c r="B105" s="24"/>
      <c r="C105" s="24" t="s">
        <v>104</v>
      </c>
      <c r="D105" s="24"/>
      <c r="E105" s="28"/>
      <c r="F105" s="26">
        <f>140.31498299+0.0000247189950942993</f>
        <v>140.3150077089951</v>
      </c>
      <c r="G105" s="27">
        <v>4.1024E-3</v>
      </c>
      <c r="H105" s="17" t="s">
        <v>12</v>
      </c>
    </row>
    <row r="106" spans="1:8" x14ac:dyDescent="0.2">
      <c r="A106" s="20"/>
      <c r="B106" s="20"/>
      <c r="C106" s="16" t="s">
        <v>105</v>
      </c>
      <c r="D106" s="21"/>
      <c r="E106" s="21"/>
      <c r="F106" s="22">
        <f>34203.153981871+0.0000247189950942993</f>
        <v>34203.154006589997</v>
      </c>
      <c r="G106" s="29">
        <v>1.0000000099999999</v>
      </c>
      <c r="H106" s="17" t="s">
        <v>12</v>
      </c>
    </row>
    <row r="107" spans="1:8" x14ac:dyDescent="0.2">
      <c r="A107" s="30"/>
      <c r="B107" s="30"/>
      <c r="C107" s="30"/>
      <c r="D107" s="31"/>
      <c r="E107" s="31"/>
      <c r="F107" s="31"/>
      <c r="G107" s="31"/>
    </row>
    <row r="108" spans="1:8" x14ac:dyDescent="0.2">
      <c r="A108" s="32"/>
      <c r="B108" s="165" t="s">
        <v>547</v>
      </c>
      <c r="C108" s="165"/>
      <c r="D108" s="165"/>
      <c r="E108" s="165"/>
      <c r="F108" s="165"/>
      <c r="G108" s="165"/>
      <c r="H108" s="165"/>
    </row>
    <row r="109" spans="1:8" x14ac:dyDescent="0.2">
      <c r="A109" s="32"/>
      <c r="B109" s="165" t="s">
        <v>548</v>
      </c>
      <c r="C109" s="165"/>
      <c r="D109" s="165"/>
      <c r="E109" s="165"/>
      <c r="F109" s="165"/>
      <c r="G109" s="165"/>
      <c r="H109" s="165"/>
    </row>
    <row r="110" spans="1:8" x14ac:dyDescent="0.2">
      <c r="A110" s="32"/>
      <c r="B110" s="165" t="s">
        <v>549</v>
      </c>
      <c r="C110" s="165"/>
      <c r="D110" s="165"/>
      <c r="E110" s="165"/>
      <c r="F110" s="165"/>
      <c r="G110" s="165"/>
      <c r="H110" s="165"/>
    </row>
    <row r="111" spans="1:8" x14ac:dyDescent="0.2">
      <c r="A111" s="32"/>
      <c r="B111" s="32"/>
      <c r="C111" s="32"/>
      <c r="D111" s="34"/>
      <c r="E111" s="34"/>
      <c r="F111" s="34"/>
      <c r="G111" s="34"/>
    </row>
    <row r="112" spans="1:8" x14ac:dyDescent="0.2">
      <c r="A112" s="35"/>
      <c r="B112" s="158" t="s">
        <v>106</v>
      </c>
      <c r="C112" s="159"/>
      <c r="D112" s="160"/>
      <c r="E112" s="36"/>
      <c r="F112" s="37"/>
      <c r="G112" s="37"/>
    </row>
    <row r="113" spans="1:7" ht="25.5" x14ac:dyDescent="0.2">
      <c r="A113" s="35"/>
      <c r="B113" s="161" t="s">
        <v>107</v>
      </c>
      <c r="C113" s="162"/>
      <c r="D113" s="16" t="s">
        <v>571</v>
      </c>
      <c r="E113" s="36"/>
      <c r="F113" s="37"/>
      <c r="G113" s="37"/>
    </row>
    <row r="114" spans="1:7" x14ac:dyDescent="0.2">
      <c r="A114" s="35"/>
      <c r="B114" s="161" t="s">
        <v>109</v>
      </c>
      <c r="C114" s="162"/>
      <c r="D114" s="16" t="s">
        <v>108</v>
      </c>
      <c r="E114" s="36"/>
      <c r="F114" s="37"/>
      <c r="G114" s="37"/>
    </row>
    <row r="115" spans="1:7" x14ac:dyDescent="0.2">
      <c r="A115" s="35"/>
      <c r="B115" s="161" t="s">
        <v>110</v>
      </c>
      <c r="C115" s="162"/>
      <c r="D115" s="21" t="s">
        <v>12</v>
      </c>
      <c r="E115" s="36"/>
      <c r="F115" s="37"/>
      <c r="G115" s="37"/>
    </row>
    <row r="116" spans="1:7" x14ac:dyDescent="0.2">
      <c r="A116" s="38"/>
      <c r="B116" s="39" t="s">
        <v>12</v>
      </c>
      <c r="C116" s="39" t="s">
        <v>550</v>
      </c>
      <c r="D116" s="39" t="s">
        <v>111</v>
      </c>
      <c r="E116" s="38"/>
      <c r="F116" s="38"/>
      <c r="G116" s="38"/>
    </row>
    <row r="117" spans="1:7" x14ac:dyDescent="0.2">
      <c r="A117" s="38"/>
      <c r="B117" s="40" t="s">
        <v>112</v>
      </c>
      <c r="C117" s="41">
        <v>45731</v>
      </c>
      <c r="D117" s="41">
        <v>45747</v>
      </c>
      <c r="E117" s="38"/>
      <c r="F117" s="38"/>
      <c r="G117" s="38"/>
    </row>
    <row r="118" spans="1:7" x14ac:dyDescent="0.2">
      <c r="A118" s="42"/>
      <c r="B118" s="24" t="s">
        <v>113</v>
      </c>
      <c r="C118" s="43">
        <v>3612.6062999999999</v>
      </c>
      <c r="D118" s="43">
        <v>3633.9203000000002</v>
      </c>
      <c r="E118" s="42"/>
      <c r="F118" s="44"/>
      <c r="G118" s="45"/>
    </row>
    <row r="119" spans="1:7" ht="25.5" x14ac:dyDescent="0.2">
      <c r="A119" s="42"/>
      <c r="B119" s="24" t="s">
        <v>670</v>
      </c>
      <c r="C119" s="43">
        <v>1100.4019000000001</v>
      </c>
      <c r="D119" s="43">
        <v>1100.4606000000001</v>
      </c>
      <c r="E119" s="42"/>
      <c r="F119" s="44"/>
      <c r="G119" s="45"/>
    </row>
    <row r="120" spans="1:7" ht="25.5" x14ac:dyDescent="0.2">
      <c r="A120" s="42"/>
      <c r="B120" s="24" t="s">
        <v>671</v>
      </c>
      <c r="C120" s="43">
        <v>1241.9718</v>
      </c>
      <c r="D120" s="43">
        <v>1249.2994000000001</v>
      </c>
      <c r="E120" s="42"/>
      <c r="F120" s="44"/>
      <c r="G120" s="45"/>
    </row>
    <row r="121" spans="1:7" x14ac:dyDescent="0.2">
      <c r="A121" s="42"/>
      <c r="B121" s="24" t="s">
        <v>114</v>
      </c>
      <c r="C121" s="43">
        <v>3376.8479000000002</v>
      </c>
      <c r="D121" s="43">
        <v>3395.5059000000001</v>
      </c>
      <c r="E121" s="42"/>
      <c r="F121" s="44"/>
      <c r="G121" s="45"/>
    </row>
    <row r="122" spans="1:7" x14ac:dyDescent="0.2">
      <c r="A122" s="42"/>
      <c r="B122" s="24" t="s">
        <v>149</v>
      </c>
      <c r="C122" s="43">
        <v>1307.7594999999999</v>
      </c>
      <c r="D122" s="43">
        <v>1314.9849999999999</v>
      </c>
      <c r="E122" s="42"/>
      <c r="F122" s="44"/>
      <c r="G122" s="45"/>
    </row>
    <row r="123" spans="1:7" ht="25.5" x14ac:dyDescent="0.2">
      <c r="A123" s="42"/>
      <c r="B123" s="24" t="s">
        <v>674</v>
      </c>
      <c r="C123" s="43">
        <v>1089.9938</v>
      </c>
      <c r="D123" s="43">
        <v>1089.644</v>
      </c>
      <c r="E123" s="42"/>
      <c r="F123" s="44"/>
      <c r="G123" s="45"/>
    </row>
    <row r="124" spans="1:7" ht="25.5" x14ac:dyDescent="0.2">
      <c r="A124" s="42"/>
      <c r="B124" s="24" t="s">
        <v>646</v>
      </c>
      <c r="C124" s="43">
        <v>1200.1066000000001</v>
      </c>
      <c r="D124" s="43">
        <v>1206.7374</v>
      </c>
      <c r="E124" s="42"/>
      <c r="F124" s="44"/>
      <c r="G124" s="45"/>
    </row>
    <row r="125" spans="1:7" x14ac:dyDescent="0.2">
      <c r="A125" s="42"/>
      <c r="B125" s="42"/>
      <c r="C125" s="42"/>
      <c r="D125" s="42"/>
      <c r="E125" s="42"/>
      <c r="F125" s="42"/>
      <c r="G125" s="42"/>
    </row>
    <row r="126" spans="1:7" x14ac:dyDescent="0.2">
      <c r="A126" s="42"/>
      <c r="B126" s="161" t="s">
        <v>563</v>
      </c>
      <c r="C126" s="162"/>
      <c r="D126" s="16" t="s">
        <v>12</v>
      </c>
      <c r="E126" s="42"/>
      <c r="F126" s="42"/>
      <c r="G126" s="42"/>
    </row>
    <row r="127" spans="1:7" x14ac:dyDescent="0.2">
      <c r="A127" s="42"/>
      <c r="B127" s="46" t="s">
        <v>112</v>
      </c>
      <c r="C127" s="47" t="s">
        <v>115</v>
      </c>
      <c r="D127" s="47" t="s">
        <v>116</v>
      </c>
      <c r="E127" s="42"/>
      <c r="F127" s="42"/>
      <c r="G127" s="42"/>
    </row>
    <row r="128" spans="1:7" ht="25.5" x14ac:dyDescent="0.2">
      <c r="A128" s="42"/>
      <c r="B128" s="24" t="s">
        <v>670</v>
      </c>
      <c r="C128" s="48">
        <v>6.4</v>
      </c>
      <c r="D128" s="48">
        <v>6.4</v>
      </c>
      <c r="E128" s="42"/>
      <c r="F128" s="44"/>
      <c r="G128" s="45"/>
    </row>
    <row r="129" spans="1:17" ht="25.5" x14ac:dyDescent="0.2">
      <c r="A129" s="42"/>
      <c r="B129" s="24" t="s">
        <v>674</v>
      </c>
      <c r="C129" s="48">
        <v>6.3410000000000002</v>
      </c>
      <c r="D129" s="48">
        <v>6.3410000000000002</v>
      </c>
      <c r="E129" s="42"/>
      <c r="F129" s="44"/>
      <c r="G129" s="45"/>
    </row>
    <row r="130" spans="1:17" x14ac:dyDescent="0.2">
      <c r="A130" s="38"/>
      <c r="B130" s="94"/>
      <c r="C130" s="94"/>
      <c r="D130" s="95"/>
      <c r="E130" s="38"/>
      <c r="F130" s="33"/>
      <c r="G130" s="96"/>
    </row>
    <row r="131" spans="1:17" s="55" customFormat="1" x14ac:dyDescent="0.2">
      <c r="A131" s="96"/>
      <c r="B131" s="163" t="s">
        <v>564</v>
      </c>
      <c r="C131" s="164"/>
      <c r="D131" s="51" t="s">
        <v>108</v>
      </c>
      <c r="G131" s="96"/>
      <c r="I131"/>
      <c r="J131" s="14"/>
      <c r="K131" s="53"/>
      <c r="L131" s="53"/>
      <c r="M131" s="53"/>
      <c r="N131" s="53"/>
      <c r="O131" s="56"/>
    </row>
    <row r="132" spans="1:17" ht="25.5" customHeight="1" x14ac:dyDescent="0.2">
      <c r="A132" s="38"/>
      <c r="B132" s="163" t="s">
        <v>565</v>
      </c>
      <c r="C132" s="164"/>
      <c r="D132" s="51" t="s">
        <v>108</v>
      </c>
      <c r="E132" s="52"/>
      <c r="F132" s="38"/>
      <c r="G132" s="38"/>
      <c r="J132" s="14"/>
    </row>
    <row r="133" spans="1:17" ht="26.25" customHeight="1" x14ac:dyDescent="0.2">
      <c r="A133" s="38"/>
      <c r="B133" s="163" t="s">
        <v>566</v>
      </c>
      <c r="C133" s="164"/>
      <c r="D133" s="51" t="s">
        <v>108</v>
      </c>
      <c r="E133" s="52"/>
      <c r="F133" s="38"/>
      <c r="G133" s="38"/>
      <c r="J133" s="14"/>
    </row>
    <row r="134" spans="1:17" x14ac:dyDescent="0.2">
      <c r="A134" s="38"/>
      <c r="B134" s="163" t="s">
        <v>567</v>
      </c>
      <c r="C134" s="164"/>
      <c r="D134" s="51" t="s">
        <v>108</v>
      </c>
      <c r="E134" s="52"/>
      <c r="F134" s="38"/>
      <c r="G134" s="38"/>
      <c r="J134" s="14"/>
    </row>
    <row r="135" spans="1:17" x14ac:dyDescent="0.2">
      <c r="A135" s="38"/>
      <c r="B135" s="33"/>
      <c r="C135" s="33"/>
      <c r="D135" s="154"/>
      <c r="E135" s="38"/>
      <c r="F135" s="38"/>
      <c r="G135" s="38"/>
      <c r="J135" s="14"/>
    </row>
    <row r="136" spans="1:17" s="55" customFormat="1" x14ac:dyDescent="0.2">
      <c r="B136" s="166" t="s">
        <v>552</v>
      </c>
      <c r="C136" s="167"/>
      <c r="D136" s="168"/>
      <c r="I136"/>
      <c r="J136" s="14"/>
      <c r="K136" s="53"/>
      <c r="L136" s="53"/>
      <c r="M136" s="53"/>
      <c r="N136" s="53"/>
      <c r="O136" s="56"/>
    </row>
    <row r="137" spans="1:17" s="55" customFormat="1" ht="25.5" x14ac:dyDescent="0.2">
      <c r="B137" s="156" t="s">
        <v>553</v>
      </c>
      <c r="C137" s="156"/>
      <c r="D137" s="57" t="s">
        <v>230</v>
      </c>
      <c r="I137"/>
      <c r="J137" s="14"/>
      <c r="K137" s="53"/>
      <c r="L137" s="53"/>
      <c r="M137" s="53"/>
      <c r="N137" s="53"/>
      <c r="O137" s="56"/>
    </row>
    <row r="138" spans="1:17" s="55" customFormat="1" x14ac:dyDescent="0.2">
      <c r="B138" s="169" t="s">
        <v>554</v>
      </c>
      <c r="C138" s="169"/>
      <c r="D138" s="58"/>
      <c r="I138"/>
      <c r="J138" s="14"/>
      <c r="K138" s="53"/>
      <c r="L138" s="53"/>
      <c r="M138" s="53"/>
      <c r="N138" s="53"/>
      <c r="O138" s="56"/>
    </row>
    <row r="139" spans="1:17" s="55" customFormat="1" x14ac:dyDescent="0.2">
      <c r="B139" s="169"/>
      <c r="C139" s="169"/>
      <c r="D139" s="59"/>
      <c r="I139"/>
      <c r="J139" s="14"/>
      <c r="K139" s="53"/>
      <c r="L139" s="53"/>
      <c r="M139" s="53"/>
      <c r="N139" s="53"/>
      <c r="O139" s="56"/>
    </row>
    <row r="140" spans="1:17" s="55" customFormat="1" x14ac:dyDescent="0.2">
      <c r="B140" s="169" t="s">
        <v>555</v>
      </c>
      <c r="C140" s="169"/>
      <c r="D140" s="60">
        <v>7.5338993207100513</v>
      </c>
      <c r="I140"/>
      <c r="J140" s="14"/>
      <c r="K140" s="53"/>
      <c r="L140" s="53"/>
      <c r="M140" s="53"/>
      <c r="N140" s="53"/>
      <c r="O140" s="56"/>
    </row>
    <row r="141" spans="1:17" s="55" customFormat="1" x14ac:dyDescent="0.2">
      <c r="B141" s="169"/>
      <c r="C141" s="169"/>
      <c r="D141" s="59"/>
      <c r="I141"/>
      <c r="J141" s="14"/>
      <c r="K141" s="53"/>
      <c r="L141" s="53"/>
      <c r="M141" s="53"/>
      <c r="N141" s="53"/>
      <c r="O141" s="56"/>
      <c r="P141"/>
      <c r="Q141"/>
    </row>
    <row r="142" spans="1:17" s="55" customFormat="1" x14ac:dyDescent="0.2">
      <c r="B142" s="169" t="s">
        <v>556</v>
      </c>
      <c r="C142" s="169"/>
      <c r="D142" s="60">
        <v>1.025172971917016</v>
      </c>
      <c r="I142"/>
      <c r="J142" s="14"/>
      <c r="K142" s="53"/>
      <c r="L142" s="53"/>
      <c r="M142" s="53"/>
      <c r="N142" s="53"/>
      <c r="O142" s="56"/>
      <c r="P142"/>
      <c r="Q142"/>
    </row>
    <row r="143" spans="1:17" s="55" customFormat="1" x14ac:dyDescent="0.2">
      <c r="B143" s="169" t="s">
        <v>572</v>
      </c>
      <c r="C143" s="169"/>
      <c r="D143" s="60">
        <v>1.0972801858723757</v>
      </c>
      <c r="I143"/>
      <c r="J143" s="14"/>
      <c r="K143" s="53"/>
      <c r="L143" s="53"/>
      <c r="M143" s="53"/>
      <c r="N143" s="53"/>
      <c r="O143"/>
      <c r="P143"/>
      <c r="Q143"/>
    </row>
    <row r="144" spans="1:17" s="55" customFormat="1" x14ac:dyDescent="0.2">
      <c r="B144" s="169"/>
      <c r="C144" s="169"/>
      <c r="D144" s="59"/>
      <c r="I144"/>
      <c r="J144" s="14"/>
      <c r="K144" s="53"/>
      <c r="L144" s="53"/>
      <c r="M144" s="53"/>
      <c r="N144" s="53"/>
      <c r="O144"/>
      <c r="P144"/>
      <c r="Q144"/>
    </row>
    <row r="145" spans="1:20" s="55" customFormat="1" x14ac:dyDescent="0.2">
      <c r="B145" s="169" t="s">
        <v>558</v>
      </c>
      <c r="C145" s="169"/>
      <c r="D145" s="62" t="s">
        <v>677</v>
      </c>
      <c r="I145"/>
      <c r="J145" s="14"/>
      <c r="K145" s="53"/>
      <c r="L145" s="53"/>
      <c r="M145" s="53"/>
      <c r="N145" s="53"/>
      <c r="O145" s="56"/>
    </row>
    <row r="146" spans="1:20" s="55" customFormat="1" x14ac:dyDescent="0.2">
      <c r="B146" s="170" t="s">
        <v>559</v>
      </c>
      <c r="C146" s="172"/>
      <c r="D146" s="171"/>
      <c r="I146"/>
      <c r="J146" s="14"/>
      <c r="K146" s="53"/>
      <c r="L146" s="53"/>
      <c r="M146" s="53"/>
      <c r="N146" s="53"/>
      <c r="O146"/>
      <c r="P146"/>
      <c r="Q146"/>
      <c r="R146"/>
      <c r="S146"/>
      <c r="T146"/>
    </row>
    <row r="147" spans="1:20" x14ac:dyDescent="0.2">
      <c r="A147" s="54"/>
      <c r="B147" s="54"/>
      <c r="C147" s="54"/>
      <c r="D147" s="54"/>
      <c r="E147" s="54"/>
      <c r="F147" s="54"/>
      <c r="G147" s="54"/>
      <c r="J147" s="14"/>
    </row>
    <row r="148" spans="1:20" s="55" customFormat="1" x14ac:dyDescent="0.2">
      <c r="B148" s="135" t="s">
        <v>678</v>
      </c>
      <c r="C148" s="135"/>
      <c r="D148" s="135"/>
      <c r="E148" s="135"/>
      <c r="F148" s="135"/>
      <c r="G148" s="135"/>
      <c r="H148" s="135"/>
      <c r="I148"/>
      <c r="J148" s="14"/>
      <c r="K148" s="53"/>
      <c r="L148" s="53"/>
      <c r="M148" s="53"/>
      <c r="N148" s="53"/>
      <c r="O148" s="56"/>
    </row>
    <row r="149" spans="1:20" s="55" customFormat="1" x14ac:dyDescent="0.2">
      <c r="B149" s="135"/>
      <c r="C149" s="135"/>
      <c r="D149" s="135"/>
      <c r="E149" s="135"/>
      <c r="F149" s="135"/>
      <c r="G149" s="135"/>
      <c r="H149" s="135"/>
      <c r="I149"/>
      <c r="J149" s="14"/>
      <c r="K149" s="53"/>
      <c r="L149" s="53"/>
      <c r="M149" s="53"/>
      <c r="N149" s="53"/>
      <c r="O149" s="56"/>
    </row>
    <row r="150" spans="1:20" ht="13.5" x14ac:dyDescent="0.25">
      <c r="B150" s="88" t="s">
        <v>573</v>
      </c>
      <c r="C150" s="88" t="s">
        <v>574</v>
      </c>
      <c r="D150" s="178" t="s">
        <v>575</v>
      </c>
      <c r="E150" s="178"/>
      <c r="F150" s="178"/>
      <c r="G150" s="179" t="s">
        <v>576</v>
      </c>
      <c r="H150" s="179"/>
      <c r="J150" s="14"/>
      <c r="K150" s="53"/>
      <c r="L150" s="53"/>
      <c r="M150" s="53"/>
      <c r="N150" s="53"/>
      <c r="P150" s="53"/>
    </row>
    <row r="151" spans="1:20" ht="27" x14ac:dyDescent="0.25">
      <c r="B151" s="87" t="s">
        <v>577</v>
      </c>
      <c r="C151" s="86" t="s">
        <v>578</v>
      </c>
      <c r="D151" s="180">
        <v>0</v>
      </c>
      <c r="E151" s="180"/>
      <c r="F151" s="180"/>
      <c r="G151" s="180">
        <v>0</v>
      </c>
      <c r="H151" s="180"/>
      <c r="J151" s="14"/>
      <c r="K151" s="53"/>
      <c r="L151" s="53"/>
      <c r="M151" s="53"/>
      <c r="N151" s="53"/>
      <c r="P151" s="53"/>
    </row>
    <row r="152" spans="1:20" ht="27" x14ac:dyDescent="0.25">
      <c r="B152" s="87" t="s">
        <v>579</v>
      </c>
      <c r="C152" s="86" t="s">
        <v>580</v>
      </c>
      <c r="D152" s="180">
        <v>0</v>
      </c>
      <c r="E152" s="180"/>
      <c r="F152" s="180"/>
      <c r="G152" s="180">
        <v>0</v>
      </c>
      <c r="H152" s="180"/>
      <c r="J152" s="14"/>
      <c r="K152" s="53"/>
      <c r="L152" s="53"/>
      <c r="M152" s="53"/>
      <c r="N152" s="53"/>
      <c r="P152" s="53"/>
    </row>
    <row r="153" spans="1:20" ht="27" x14ac:dyDescent="0.25">
      <c r="B153" s="87" t="s">
        <v>581</v>
      </c>
      <c r="C153" s="86" t="s">
        <v>582</v>
      </c>
      <c r="D153" s="180">
        <v>0</v>
      </c>
      <c r="E153" s="180"/>
      <c r="F153" s="180"/>
      <c r="G153" s="180">
        <v>0</v>
      </c>
      <c r="H153" s="180"/>
      <c r="J153" s="14"/>
      <c r="K153" s="53"/>
      <c r="L153" s="53"/>
      <c r="M153" s="53"/>
      <c r="N153" s="53"/>
      <c r="P153" s="53"/>
    </row>
    <row r="154" spans="1:20" ht="13.5" x14ac:dyDescent="0.25">
      <c r="B154" s="87"/>
      <c r="C154" s="87"/>
      <c r="D154" s="181"/>
      <c r="E154" s="181"/>
      <c r="F154" s="181"/>
      <c r="G154" s="181"/>
      <c r="H154" s="181"/>
      <c r="J154" s="14"/>
      <c r="K154" s="53"/>
      <c r="L154" s="53"/>
      <c r="M154" s="53"/>
      <c r="N154" s="53"/>
      <c r="P154" s="53"/>
    </row>
    <row r="155" spans="1:20" ht="13.5" x14ac:dyDescent="0.25">
      <c r="B155" s="179" t="s">
        <v>583</v>
      </c>
      <c r="C155" s="179"/>
      <c r="D155" s="179"/>
      <c r="E155" s="179"/>
      <c r="F155" s="179"/>
      <c r="G155" s="179"/>
      <c r="H155" s="179"/>
      <c r="J155" s="14"/>
      <c r="K155" s="53"/>
      <c r="L155" s="53"/>
      <c r="M155" s="53"/>
      <c r="N155" s="53"/>
      <c r="P155" s="53"/>
    </row>
    <row r="156" spans="1:20" ht="13.5" customHeight="1" x14ac:dyDescent="0.2">
      <c r="B156" s="196" t="s">
        <v>573</v>
      </c>
      <c r="C156" s="196" t="s">
        <v>574</v>
      </c>
      <c r="D156" s="196" t="s">
        <v>584</v>
      </c>
      <c r="E156" s="196"/>
      <c r="F156" s="196"/>
      <c r="G156" s="196"/>
      <c r="H156" s="197" t="s">
        <v>585</v>
      </c>
      <c r="I156" s="197" t="s">
        <v>586</v>
      </c>
      <c r="J156" s="183" t="s">
        <v>587</v>
      </c>
      <c r="K156" s="53"/>
      <c r="L156" s="53"/>
      <c r="M156" s="53"/>
      <c r="N156" s="53"/>
      <c r="O156" s="53"/>
      <c r="P156" s="53"/>
    </row>
    <row r="157" spans="1:20" ht="94.5" customHeight="1" x14ac:dyDescent="0.2">
      <c r="B157" s="196"/>
      <c r="C157" s="196"/>
      <c r="D157" s="83" t="s">
        <v>588</v>
      </c>
      <c r="E157" s="83" t="s">
        <v>589</v>
      </c>
      <c r="F157" s="83" t="s">
        <v>590</v>
      </c>
      <c r="G157" s="83" t="s">
        <v>591</v>
      </c>
      <c r="H157" s="197"/>
      <c r="I157" s="197"/>
      <c r="J157" s="184"/>
      <c r="K157" s="53"/>
      <c r="L157" s="53"/>
      <c r="M157" s="53"/>
      <c r="N157" s="53"/>
      <c r="O157" s="53"/>
      <c r="P157" s="53"/>
    </row>
    <row r="158" spans="1:20" ht="27" x14ac:dyDescent="0.25">
      <c r="B158" s="87" t="s">
        <v>577</v>
      </c>
      <c r="C158" s="86" t="s">
        <v>578</v>
      </c>
      <c r="D158" s="89">
        <v>1500</v>
      </c>
      <c r="E158" s="89">
        <v>99.850684900000005</v>
      </c>
      <c r="F158" s="150">
        <v>36.275342200000004</v>
      </c>
      <c r="G158" s="151">
        <v>1636.1260271000001</v>
      </c>
      <c r="H158" s="8">
        <v>726.67232000000001</v>
      </c>
      <c r="I158" s="8">
        <f>1250521/10^5</f>
        <v>12.50521</v>
      </c>
      <c r="J158" s="8">
        <f>H158+I158</f>
        <v>739.17753000000005</v>
      </c>
      <c r="K158" s="53"/>
      <c r="L158" s="53"/>
      <c r="M158" s="53"/>
      <c r="N158" s="53"/>
      <c r="O158" s="53"/>
      <c r="P158" s="53"/>
    </row>
    <row r="159" spans="1:20" ht="27" x14ac:dyDescent="0.25">
      <c r="B159" s="87" t="s">
        <v>579</v>
      </c>
      <c r="C159" s="86" t="s">
        <v>580</v>
      </c>
      <c r="D159" s="89">
        <v>2517.2199999999998</v>
      </c>
      <c r="E159" s="89">
        <v>183.25361600000002</v>
      </c>
      <c r="F159" s="150">
        <v>45.813405699999997</v>
      </c>
      <c r="G159" s="151">
        <v>2746.2870217</v>
      </c>
      <c r="H159" s="8">
        <v>1225.53333</v>
      </c>
      <c r="I159" s="8">
        <f>2109013/10^5</f>
        <v>21.090129999999998</v>
      </c>
      <c r="J159" s="8">
        <f>H159+I159</f>
        <v>1246.62346</v>
      </c>
      <c r="K159" s="53"/>
      <c r="L159" s="53"/>
      <c r="M159" s="53"/>
      <c r="N159" s="53"/>
      <c r="O159" s="53"/>
      <c r="P159" s="53"/>
    </row>
    <row r="160" spans="1:20" ht="27" x14ac:dyDescent="0.25">
      <c r="B160" s="87" t="s">
        <v>581</v>
      </c>
      <c r="C160" s="86" t="s">
        <v>582</v>
      </c>
      <c r="D160" s="89">
        <v>4882.25</v>
      </c>
      <c r="E160" s="89">
        <v>323.21163799999999</v>
      </c>
      <c r="F160" s="150">
        <v>117.42144879999999</v>
      </c>
      <c r="G160" s="151">
        <v>5322.8830868000005</v>
      </c>
      <c r="H160" s="8">
        <v>2364.0489899999998</v>
      </c>
      <c r="I160" s="8">
        <f>4068280/10^5</f>
        <v>40.6828</v>
      </c>
      <c r="J160" s="8">
        <f>H160+I160</f>
        <v>2404.7317899999998</v>
      </c>
      <c r="K160" s="53"/>
      <c r="L160" s="53"/>
      <c r="M160" s="53"/>
      <c r="N160" s="53"/>
      <c r="O160" s="53"/>
      <c r="P160" s="53"/>
    </row>
    <row r="161" spans="2:16" ht="13.5" x14ac:dyDescent="0.25">
      <c r="B161" s="142"/>
      <c r="C161" s="143"/>
      <c r="D161" s="152"/>
      <c r="E161" s="152"/>
      <c r="F161" s="10"/>
      <c r="G161" s="145"/>
      <c r="H161" s="9"/>
      <c r="I161" s="9"/>
      <c r="J161" s="9"/>
      <c r="K161" s="53"/>
      <c r="L161" s="53"/>
      <c r="M161" s="53"/>
      <c r="N161" s="53"/>
      <c r="O161" s="53"/>
      <c r="P161" s="53"/>
    </row>
    <row r="162" spans="2:16" ht="13.5" customHeight="1" x14ac:dyDescent="0.2">
      <c r="B162" s="185" t="s">
        <v>573</v>
      </c>
      <c r="C162" s="185" t="s">
        <v>574</v>
      </c>
      <c r="D162" s="188" t="s">
        <v>584</v>
      </c>
      <c r="E162" s="189"/>
      <c r="F162" s="190"/>
      <c r="G162" s="191" t="s">
        <v>592</v>
      </c>
      <c r="H162" s="192"/>
      <c r="I162" s="183" t="s">
        <v>593</v>
      </c>
      <c r="J162" s="53"/>
      <c r="K162" s="53"/>
      <c r="L162" s="53"/>
      <c r="M162" s="53"/>
      <c r="N162" s="53"/>
      <c r="O162" s="53"/>
    </row>
    <row r="163" spans="2:16" ht="46.5" customHeight="1" x14ac:dyDescent="0.2">
      <c r="B163" s="186"/>
      <c r="C163" s="186"/>
      <c r="D163" s="183" t="s">
        <v>594</v>
      </c>
      <c r="E163" s="183" t="s">
        <v>595</v>
      </c>
      <c r="F163" s="183" t="s">
        <v>596</v>
      </c>
      <c r="G163" s="193"/>
      <c r="H163" s="194"/>
      <c r="I163" s="195"/>
      <c r="J163" s="53"/>
      <c r="K163" s="53"/>
      <c r="L163" s="53"/>
      <c r="M163" s="53"/>
      <c r="N163" s="53"/>
      <c r="O163" s="53"/>
    </row>
    <row r="164" spans="2:16" ht="21" customHeight="1" x14ac:dyDescent="0.2">
      <c r="B164" s="187"/>
      <c r="C164" s="187"/>
      <c r="D164" s="184"/>
      <c r="E164" s="184"/>
      <c r="F164" s="184"/>
      <c r="G164" s="83" t="s">
        <v>597</v>
      </c>
      <c r="H164" s="83" t="s">
        <v>598</v>
      </c>
      <c r="I164" s="184"/>
      <c r="J164" s="53"/>
      <c r="K164" s="53"/>
      <c r="L164" s="53"/>
      <c r="M164" s="53"/>
      <c r="N164" s="53"/>
      <c r="O164" s="53"/>
    </row>
    <row r="165" spans="2:16" ht="13.5" x14ac:dyDescent="0.25">
      <c r="B165" s="87" t="s">
        <v>599</v>
      </c>
      <c r="C165" s="86" t="s">
        <v>600</v>
      </c>
      <c r="D165" s="153">
        <v>293.30880000000002</v>
      </c>
      <c r="E165" s="150">
        <v>6.6912000000000003</v>
      </c>
      <c r="F165" s="151">
        <f>D165+E165</f>
        <v>300</v>
      </c>
      <c r="G165" s="8">
        <v>13</v>
      </c>
      <c r="H165" s="8">
        <v>8</v>
      </c>
      <c r="I165" s="8">
        <f>G165+H165</f>
        <v>21</v>
      </c>
      <c r="J165" s="53"/>
      <c r="K165" s="53"/>
      <c r="L165" s="53"/>
      <c r="M165" s="53"/>
      <c r="N165" s="53"/>
      <c r="O165" s="53"/>
    </row>
    <row r="166" spans="2:16" ht="6.75" customHeight="1" x14ac:dyDescent="0.25">
      <c r="B166" s="142"/>
      <c r="C166" s="143"/>
      <c r="D166" s="144"/>
      <c r="E166" s="10"/>
      <c r="F166" s="145"/>
      <c r="G166" s="9"/>
      <c r="H166" s="9"/>
      <c r="I166" s="9"/>
      <c r="J166" s="53"/>
      <c r="K166" s="53"/>
      <c r="L166" s="53"/>
      <c r="M166" s="53"/>
      <c r="N166" s="53"/>
      <c r="O166" s="53"/>
    </row>
    <row r="167" spans="2:16" ht="42" customHeight="1" x14ac:dyDescent="0.2">
      <c r="B167" s="182" t="s">
        <v>601</v>
      </c>
      <c r="C167" s="182"/>
      <c r="D167" s="182"/>
      <c r="E167" s="182"/>
      <c r="F167" s="182"/>
      <c r="G167" s="182"/>
      <c r="H167" s="182"/>
      <c r="I167" s="182"/>
      <c r="J167" s="182"/>
      <c r="K167" s="53"/>
      <c r="L167" s="53"/>
      <c r="M167" s="53"/>
      <c r="N167" s="53"/>
      <c r="O167" s="53"/>
    </row>
    <row r="168" spans="2:16" x14ac:dyDescent="0.2">
      <c r="I168" s="53"/>
      <c r="J168" s="14"/>
      <c r="K168" s="53"/>
      <c r="L168" s="53"/>
      <c r="M168" s="53"/>
      <c r="N168" s="53"/>
      <c r="O168" s="53"/>
      <c r="P168" s="53"/>
    </row>
    <row r="169" spans="2:16" x14ac:dyDescent="0.2">
      <c r="I169" s="53"/>
      <c r="J169" s="14"/>
      <c r="K169" s="53"/>
      <c r="L169" s="53"/>
      <c r="M169" s="53"/>
      <c r="N169" s="53"/>
      <c r="O169" s="53"/>
      <c r="P169" s="53"/>
    </row>
    <row r="170" spans="2:16" ht="13.5" x14ac:dyDescent="0.25">
      <c r="B170" s="92" t="s">
        <v>602</v>
      </c>
      <c r="I170" s="53"/>
      <c r="J170" s="14"/>
      <c r="K170" s="53"/>
      <c r="L170" s="53"/>
      <c r="M170" s="53"/>
      <c r="N170" s="53"/>
      <c r="O170" s="53"/>
      <c r="P170" s="53"/>
    </row>
    <row r="171" spans="2:16" x14ac:dyDescent="0.2">
      <c r="B171" s="53"/>
      <c r="C171" s="53"/>
      <c r="D171" s="53"/>
      <c r="E171" s="53"/>
      <c r="F171" s="53"/>
      <c r="G171" s="53"/>
      <c r="H171" s="53"/>
      <c r="I171" s="53"/>
      <c r="J171" s="14"/>
      <c r="K171" s="53"/>
      <c r="L171" s="53"/>
      <c r="M171" s="53"/>
      <c r="N171" s="53"/>
      <c r="O171" s="53"/>
      <c r="P171" s="53"/>
    </row>
    <row r="172" spans="2:16" x14ac:dyDescent="0.2">
      <c r="B172" s="93" t="s">
        <v>603</v>
      </c>
      <c r="C172" s="53"/>
      <c r="D172" s="53"/>
      <c r="E172" s="53"/>
      <c r="F172" s="53"/>
      <c r="G172" s="53"/>
      <c r="H172" s="53"/>
      <c r="I172" s="53"/>
      <c r="J172" s="14"/>
      <c r="K172" s="53"/>
      <c r="L172" s="53"/>
      <c r="M172" s="53"/>
      <c r="N172" s="53"/>
      <c r="O172" s="53"/>
      <c r="P172" s="53"/>
    </row>
    <row r="173" spans="2:16" x14ac:dyDescent="0.2">
      <c r="B173" s="53"/>
      <c r="C173" s="53"/>
      <c r="D173" s="53"/>
      <c r="E173" s="53"/>
      <c r="F173" s="53"/>
      <c r="G173" s="53"/>
      <c r="H173" s="53"/>
      <c r="I173" s="53"/>
      <c r="J173" s="14"/>
      <c r="K173" s="53"/>
      <c r="L173" s="53"/>
      <c r="M173" s="53"/>
      <c r="N173" s="53"/>
      <c r="O173" s="53"/>
      <c r="P173" s="53"/>
    </row>
    <row r="174" spans="2:16" x14ac:dyDescent="0.2">
      <c r="B174" s="93" t="s">
        <v>604</v>
      </c>
      <c r="C174" s="53"/>
      <c r="D174" s="53"/>
      <c r="E174" s="53"/>
      <c r="F174" s="53"/>
      <c r="G174" s="53"/>
      <c r="H174" s="53"/>
      <c r="I174" s="53"/>
      <c r="J174" s="14"/>
      <c r="K174" s="53"/>
      <c r="L174" s="53"/>
      <c r="M174" s="53"/>
      <c r="N174" s="53"/>
      <c r="O174" s="53"/>
      <c r="P174" s="53"/>
    </row>
    <row r="175" spans="2:16" x14ac:dyDescent="0.2">
      <c r="J175" s="14"/>
    </row>
    <row r="176" spans="2:16" x14ac:dyDescent="0.2">
      <c r="B176" s="93" t="s">
        <v>605</v>
      </c>
      <c r="J176" s="14"/>
      <c r="K176" s="53"/>
      <c r="L176" s="53"/>
      <c r="M176" s="53"/>
      <c r="N176" s="53"/>
      <c r="O176" s="53"/>
    </row>
    <row r="177" spans="2:15" x14ac:dyDescent="0.2">
      <c r="B177" s="93"/>
      <c r="J177" s="14"/>
      <c r="K177" s="53"/>
      <c r="L177" s="53"/>
      <c r="M177" s="53"/>
      <c r="N177" s="53"/>
      <c r="O177" s="53"/>
    </row>
    <row r="178" spans="2:15" x14ac:dyDescent="0.2">
      <c r="B178" s="93" t="s">
        <v>606</v>
      </c>
      <c r="J178" s="14"/>
      <c r="K178" s="53"/>
      <c r="L178" s="53"/>
      <c r="M178" s="53"/>
      <c r="N178" s="53"/>
      <c r="O178" s="53"/>
    </row>
    <row r="179" spans="2:15" x14ac:dyDescent="0.2">
      <c r="J179" s="14"/>
    </row>
    <row r="180" spans="2:15" x14ac:dyDescent="0.2">
      <c r="B180" s="64" t="s">
        <v>560</v>
      </c>
    </row>
    <row r="182" spans="2:15" ht="153.75" customHeight="1" x14ac:dyDescent="0.2"/>
    <row r="185" spans="2:15" x14ac:dyDescent="0.2">
      <c r="B185" s="65" t="s">
        <v>561</v>
      </c>
      <c r="C185" s="66"/>
      <c r="D185" s="65"/>
    </row>
    <row r="186" spans="2:15" x14ac:dyDescent="0.2">
      <c r="B186" s="65" t="s">
        <v>607</v>
      </c>
      <c r="D186" s="65"/>
    </row>
    <row r="187" spans="2:15" ht="180" customHeight="1" x14ac:dyDescent="0.2"/>
  </sheetData>
  <mergeCells count="52">
    <mergeCell ref="H156:H157"/>
    <mergeCell ref="I156:I157"/>
    <mergeCell ref="D154:F154"/>
    <mergeCell ref="G154:H154"/>
    <mergeCell ref="B155:H155"/>
    <mergeCell ref="B167:J167"/>
    <mergeCell ref="J156:J157"/>
    <mergeCell ref="B162:B164"/>
    <mergeCell ref="C162:C164"/>
    <mergeCell ref="D162:F162"/>
    <mergeCell ref="G162:H163"/>
    <mergeCell ref="I162:I164"/>
    <mergeCell ref="D163:D164"/>
    <mergeCell ref="E163:E164"/>
    <mergeCell ref="F163:F164"/>
    <mergeCell ref="B156:B157"/>
    <mergeCell ref="C156:C157"/>
    <mergeCell ref="D156:G156"/>
    <mergeCell ref="D151:F151"/>
    <mergeCell ref="G151:H151"/>
    <mergeCell ref="D152:F152"/>
    <mergeCell ref="G152:H152"/>
    <mergeCell ref="D153:F153"/>
    <mergeCell ref="G153:H153"/>
    <mergeCell ref="B144:C144"/>
    <mergeCell ref="B145:C145"/>
    <mergeCell ref="B146:D146"/>
    <mergeCell ref="D150:F150"/>
    <mergeCell ref="G150:H150"/>
    <mergeCell ref="B139:C139"/>
    <mergeCell ref="B140:C140"/>
    <mergeCell ref="B141:C141"/>
    <mergeCell ref="B142:C142"/>
    <mergeCell ref="B143:C143"/>
    <mergeCell ref="B114:C114"/>
    <mergeCell ref="B115:C115"/>
    <mergeCell ref="B126:C126"/>
    <mergeCell ref="B131:C131"/>
    <mergeCell ref="B138:C138"/>
    <mergeCell ref="B136:D136"/>
    <mergeCell ref="B137:C137"/>
    <mergeCell ref="B132:C132"/>
    <mergeCell ref="B133:C133"/>
    <mergeCell ref="B134:C134"/>
    <mergeCell ref="A1:H1"/>
    <mergeCell ref="A2:H2"/>
    <mergeCell ref="A3:H3"/>
    <mergeCell ref="B112:D112"/>
    <mergeCell ref="B113:C113"/>
    <mergeCell ref="B108:H108"/>
    <mergeCell ref="B109:H109"/>
    <mergeCell ref="B110:H110"/>
  </mergeCells>
  <hyperlinks>
    <hyperlink ref="I1" location="Index!B2" display="Index" xr:uid="{B2099C2A-16C4-4815-81B6-2A01565750DE}"/>
    <hyperlink ref="B172" r:id="rId1" xr:uid="{36B10C93-5441-416D-83FB-B5E7B05DFDA0}"/>
    <hyperlink ref="B174" r:id="rId2" xr:uid="{A3F33F79-0AAE-41BE-8C90-20FD359B4FE0}"/>
    <hyperlink ref="B176" r:id="rId3" xr:uid="{94505A48-3A64-4EF2-8E37-09B74DF1623B}"/>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41DA1-BFC8-47EC-BF4B-82F5BCBE7808}">
  <sheetPr>
    <outlinePr summaryBelow="0" summaryRight="0"/>
  </sheetPr>
  <dimension ref="A1:R228"/>
  <sheetViews>
    <sheetView showGridLines="0" workbookViewId="0">
      <selection sqref="A1:H1"/>
    </sheetView>
  </sheetViews>
  <sheetFormatPr defaultRowHeight="12.75" x14ac:dyDescent="0.2"/>
  <cols>
    <col min="1" max="1" width="5.85546875" bestFit="1" customWidth="1"/>
    <col min="2" max="2" width="22.140625" customWidth="1"/>
    <col min="3" max="3" width="39.140625" bestFit="1" customWidth="1"/>
    <col min="4" max="4" width="12.85546875" customWidth="1"/>
    <col min="5" max="5" width="10.42578125" bestFit="1" customWidth="1"/>
    <col min="6" max="6" width="10.140625" bestFit="1" customWidth="1"/>
    <col min="7" max="7" width="14" bestFit="1" customWidth="1"/>
    <col min="8" max="8" width="9.42578125" customWidth="1"/>
  </cols>
  <sheetData>
    <row r="1" spans="1:9" ht="15" x14ac:dyDescent="0.2">
      <c r="A1" s="157" t="s">
        <v>0</v>
      </c>
      <c r="B1" s="157"/>
      <c r="C1" s="157"/>
      <c r="D1" s="157"/>
      <c r="E1" s="157"/>
      <c r="F1" s="157"/>
      <c r="G1" s="157"/>
      <c r="H1" s="157"/>
      <c r="I1" s="1" t="s">
        <v>531</v>
      </c>
    </row>
    <row r="2" spans="1:9" ht="15" x14ac:dyDescent="0.2">
      <c r="A2" s="157" t="s">
        <v>276</v>
      </c>
      <c r="B2" s="157"/>
      <c r="C2" s="157"/>
      <c r="D2" s="157"/>
      <c r="E2" s="157"/>
      <c r="F2" s="157"/>
      <c r="G2" s="157"/>
      <c r="H2" s="157"/>
    </row>
    <row r="3" spans="1:9" ht="15" x14ac:dyDescent="0.2">
      <c r="A3" s="157" t="s">
        <v>532</v>
      </c>
      <c r="B3" s="157"/>
      <c r="C3" s="157"/>
      <c r="D3" s="157"/>
      <c r="E3" s="157"/>
      <c r="F3" s="157"/>
      <c r="G3" s="157"/>
      <c r="H3" s="157"/>
    </row>
    <row r="4" spans="1:9" s="14" customFormat="1" ht="30" x14ac:dyDescent="0.2">
      <c r="A4" s="12" t="s">
        <v>2</v>
      </c>
      <c r="B4" s="12" t="s">
        <v>3</v>
      </c>
      <c r="C4" s="12" t="s">
        <v>4</v>
      </c>
      <c r="D4" s="12" t="s">
        <v>5</v>
      </c>
      <c r="E4" s="12" t="s">
        <v>6</v>
      </c>
      <c r="F4" s="12" t="s">
        <v>7</v>
      </c>
      <c r="G4" s="12" t="s">
        <v>8</v>
      </c>
      <c r="H4" s="13" t="s">
        <v>669</v>
      </c>
    </row>
    <row r="5" spans="1:9" x14ac:dyDescent="0.2">
      <c r="A5" s="15"/>
      <c r="B5" s="15"/>
      <c r="C5" s="16" t="s">
        <v>9</v>
      </c>
      <c r="D5" s="15"/>
      <c r="E5" s="15"/>
      <c r="F5" s="15"/>
      <c r="G5" s="15"/>
      <c r="H5" s="17" t="s">
        <v>12</v>
      </c>
    </row>
    <row r="6" spans="1:9" x14ac:dyDescent="0.2">
      <c r="A6" s="15"/>
      <c r="B6" s="15"/>
      <c r="C6" s="16" t="s">
        <v>10</v>
      </c>
      <c r="D6" s="15"/>
      <c r="E6" s="15"/>
      <c r="F6" s="15"/>
      <c r="G6" s="15"/>
      <c r="H6" s="17" t="s">
        <v>12</v>
      </c>
    </row>
    <row r="7" spans="1:9" x14ac:dyDescent="0.2">
      <c r="A7" s="15"/>
      <c r="B7" s="15"/>
      <c r="C7" s="16" t="s">
        <v>11</v>
      </c>
      <c r="D7" s="15"/>
      <c r="E7" s="15" t="s">
        <v>12</v>
      </c>
      <c r="F7" s="18" t="s">
        <v>13</v>
      </c>
      <c r="G7" s="19">
        <v>0</v>
      </c>
      <c r="H7" s="17" t="s">
        <v>12</v>
      </c>
    </row>
    <row r="8" spans="1:9" x14ac:dyDescent="0.2">
      <c r="A8" s="15"/>
      <c r="B8" s="15"/>
      <c r="C8" s="20"/>
      <c r="D8" s="15"/>
      <c r="E8" s="15"/>
      <c r="F8" s="21"/>
      <c r="G8" s="21"/>
      <c r="H8" s="17" t="s">
        <v>12</v>
      </c>
    </row>
    <row r="9" spans="1:9" x14ac:dyDescent="0.2">
      <c r="A9" s="15"/>
      <c r="B9" s="15"/>
      <c r="C9" s="16" t="s">
        <v>14</v>
      </c>
      <c r="D9" s="15"/>
      <c r="E9" s="15"/>
      <c r="F9" s="15"/>
      <c r="G9" s="15"/>
      <c r="H9" s="17" t="s">
        <v>12</v>
      </c>
    </row>
    <row r="10" spans="1:9" x14ac:dyDescent="0.2">
      <c r="A10" s="15"/>
      <c r="B10" s="15"/>
      <c r="C10" s="16" t="s">
        <v>11</v>
      </c>
      <c r="D10" s="15"/>
      <c r="E10" s="15" t="s">
        <v>12</v>
      </c>
      <c r="F10" s="18" t="s">
        <v>13</v>
      </c>
      <c r="G10" s="19">
        <v>0</v>
      </c>
      <c r="H10" s="17" t="s">
        <v>12</v>
      </c>
    </row>
    <row r="11" spans="1:9" x14ac:dyDescent="0.2">
      <c r="A11" s="15"/>
      <c r="B11" s="15"/>
      <c r="C11" s="20"/>
      <c r="D11" s="15"/>
      <c r="E11" s="15"/>
      <c r="F11" s="21"/>
      <c r="G11" s="21"/>
      <c r="H11" s="17" t="s">
        <v>12</v>
      </c>
    </row>
    <row r="12" spans="1:9" x14ac:dyDescent="0.2">
      <c r="A12" s="15"/>
      <c r="B12" s="15"/>
      <c r="C12" s="16" t="s">
        <v>15</v>
      </c>
      <c r="D12" s="15"/>
      <c r="E12" s="15"/>
      <c r="F12" s="15"/>
      <c r="G12" s="15"/>
      <c r="H12" s="17" t="s">
        <v>12</v>
      </c>
    </row>
    <row r="13" spans="1:9" x14ac:dyDescent="0.2">
      <c r="A13" s="15"/>
      <c r="B13" s="15"/>
      <c r="C13" s="16" t="s">
        <v>11</v>
      </c>
      <c r="D13" s="15"/>
      <c r="E13" s="15" t="s">
        <v>12</v>
      </c>
      <c r="F13" s="18" t="s">
        <v>13</v>
      </c>
      <c r="G13" s="19">
        <v>0</v>
      </c>
      <c r="H13" s="17" t="s">
        <v>12</v>
      </c>
    </row>
    <row r="14" spans="1:9" x14ac:dyDescent="0.2">
      <c r="A14" s="15"/>
      <c r="B14" s="15"/>
      <c r="C14" s="20"/>
      <c r="D14" s="15"/>
      <c r="E14" s="15"/>
      <c r="F14" s="21"/>
      <c r="G14" s="21"/>
      <c r="H14" s="17" t="s">
        <v>12</v>
      </c>
    </row>
    <row r="15" spans="1:9" x14ac:dyDescent="0.2">
      <c r="A15" s="15"/>
      <c r="B15" s="15"/>
      <c r="C15" s="16" t="s">
        <v>16</v>
      </c>
      <c r="D15" s="15"/>
      <c r="E15" s="15"/>
      <c r="F15" s="15"/>
      <c r="G15" s="15"/>
      <c r="H15" s="17" t="s">
        <v>12</v>
      </c>
    </row>
    <row r="16" spans="1:9" x14ac:dyDescent="0.2">
      <c r="A16" s="15"/>
      <c r="B16" s="15"/>
      <c r="C16" s="16" t="s">
        <v>11</v>
      </c>
      <c r="D16" s="15"/>
      <c r="E16" s="15" t="s">
        <v>12</v>
      </c>
      <c r="F16" s="18" t="s">
        <v>13</v>
      </c>
      <c r="G16" s="19">
        <v>0</v>
      </c>
      <c r="H16" s="17" t="s">
        <v>12</v>
      </c>
    </row>
    <row r="17" spans="1:8" x14ac:dyDescent="0.2">
      <c r="A17" s="15"/>
      <c r="B17" s="15"/>
      <c r="C17" s="20"/>
      <c r="D17" s="15"/>
      <c r="E17" s="15"/>
      <c r="F17" s="21"/>
      <c r="G17" s="21"/>
      <c r="H17" s="17" t="s">
        <v>12</v>
      </c>
    </row>
    <row r="18" spans="1:8" x14ac:dyDescent="0.2">
      <c r="A18" s="15"/>
      <c r="B18" s="15"/>
      <c r="C18" s="16" t="s">
        <v>17</v>
      </c>
      <c r="D18" s="15"/>
      <c r="E18" s="15"/>
      <c r="F18" s="21"/>
      <c r="G18" s="21"/>
      <c r="H18" s="17" t="s">
        <v>12</v>
      </c>
    </row>
    <row r="19" spans="1:8" x14ac:dyDescent="0.2">
      <c r="A19" s="15"/>
      <c r="B19" s="15"/>
      <c r="C19" s="16" t="s">
        <v>11</v>
      </c>
      <c r="D19" s="15"/>
      <c r="E19" s="15" t="s">
        <v>12</v>
      </c>
      <c r="F19" s="18" t="s">
        <v>13</v>
      </c>
      <c r="G19" s="19">
        <v>0</v>
      </c>
      <c r="H19" s="17" t="s">
        <v>12</v>
      </c>
    </row>
    <row r="20" spans="1:8" x14ac:dyDescent="0.2">
      <c r="A20" s="15"/>
      <c r="B20" s="15"/>
      <c r="C20" s="20"/>
      <c r="D20" s="15"/>
      <c r="E20" s="15"/>
      <c r="F20" s="21"/>
      <c r="G20" s="21"/>
      <c r="H20" s="17" t="s">
        <v>12</v>
      </c>
    </row>
    <row r="21" spans="1:8" x14ac:dyDescent="0.2">
      <c r="A21" s="15"/>
      <c r="B21" s="15"/>
      <c r="C21" s="16" t="s">
        <v>18</v>
      </c>
      <c r="D21" s="15"/>
      <c r="E21" s="15"/>
      <c r="F21" s="21"/>
      <c r="G21" s="21"/>
      <c r="H21" s="17" t="s">
        <v>12</v>
      </c>
    </row>
    <row r="22" spans="1:8" x14ac:dyDescent="0.2">
      <c r="A22" s="15"/>
      <c r="B22" s="15"/>
      <c r="C22" s="16" t="s">
        <v>11</v>
      </c>
      <c r="D22" s="15"/>
      <c r="E22" s="15" t="s">
        <v>12</v>
      </c>
      <c r="F22" s="18" t="s">
        <v>13</v>
      </c>
      <c r="G22" s="19">
        <v>0</v>
      </c>
      <c r="H22" s="17" t="s">
        <v>12</v>
      </c>
    </row>
    <row r="23" spans="1:8" x14ac:dyDescent="0.2">
      <c r="A23" s="15"/>
      <c r="B23" s="15"/>
      <c r="C23" s="20"/>
      <c r="D23" s="15"/>
      <c r="E23" s="15"/>
      <c r="F23" s="21"/>
      <c r="G23" s="21"/>
      <c r="H23" s="17" t="s">
        <v>12</v>
      </c>
    </row>
    <row r="24" spans="1:8" x14ac:dyDescent="0.2">
      <c r="A24" s="15"/>
      <c r="B24" s="15"/>
      <c r="C24" s="16" t="s">
        <v>19</v>
      </c>
      <c r="D24" s="15"/>
      <c r="E24" s="15"/>
      <c r="F24" s="22">
        <v>0</v>
      </c>
      <c r="G24" s="19">
        <v>0</v>
      </c>
      <c r="H24" s="17" t="s">
        <v>12</v>
      </c>
    </row>
    <row r="25" spans="1:8" x14ac:dyDescent="0.2">
      <c r="A25" s="15"/>
      <c r="B25" s="15"/>
      <c r="C25" s="20"/>
      <c r="D25" s="15"/>
      <c r="E25" s="15"/>
      <c r="F25" s="21"/>
      <c r="G25" s="21"/>
      <c r="H25" s="17" t="s">
        <v>12</v>
      </c>
    </row>
    <row r="26" spans="1:8" x14ac:dyDescent="0.2">
      <c r="A26" s="15"/>
      <c r="B26" s="15"/>
      <c r="C26" s="16" t="s">
        <v>20</v>
      </c>
      <c r="D26" s="15"/>
      <c r="E26" s="15"/>
      <c r="F26" s="21"/>
      <c r="G26" s="21"/>
      <c r="H26" s="17" t="s">
        <v>12</v>
      </c>
    </row>
    <row r="27" spans="1:8" x14ac:dyDescent="0.2">
      <c r="A27" s="15"/>
      <c r="B27" s="15"/>
      <c r="C27" s="16" t="s">
        <v>10</v>
      </c>
      <c r="D27" s="15"/>
      <c r="E27" s="15"/>
      <c r="F27" s="21"/>
      <c r="G27" s="21"/>
      <c r="H27" s="17" t="s">
        <v>12</v>
      </c>
    </row>
    <row r="28" spans="1:8" x14ac:dyDescent="0.2">
      <c r="A28" s="15"/>
      <c r="B28" s="15"/>
      <c r="C28" s="16" t="s">
        <v>11</v>
      </c>
      <c r="D28" s="15"/>
      <c r="E28" s="15" t="s">
        <v>12</v>
      </c>
      <c r="F28" s="18" t="s">
        <v>13</v>
      </c>
      <c r="G28" s="19">
        <v>0</v>
      </c>
      <c r="H28" s="17" t="s">
        <v>12</v>
      </c>
    </row>
    <row r="29" spans="1:8" x14ac:dyDescent="0.2">
      <c r="A29" s="15"/>
      <c r="B29" s="15"/>
      <c r="C29" s="20"/>
      <c r="D29" s="15"/>
      <c r="E29" s="15"/>
      <c r="F29" s="21"/>
      <c r="G29" s="21"/>
      <c r="H29" s="17" t="s">
        <v>12</v>
      </c>
    </row>
    <row r="30" spans="1:8" x14ac:dyDescent="0.2">
      <c r="A30" s="15"/>
      <c r="B30" s="15"/>
      <c r="C30" s="16" t="s">
        <v>71</v>
      </c>
      <c r="D30" s="15"/>
      <c r="E30" s="15"/>
      <c r="F30" s="15"/>
      <c r="G30" s="15"/>
      <c r="H30" s="17" t="s">
        <v>12</v>
      </c>
    </row>
    <row r="31" spans="1:8" x14ac:dyDescent="0.2">
      <c r="A31" s="15"/>
      <c r="B31" s="15"/>
      <c r="C31" s="16" t="s">
        <v>11</v>
      </c>
      <c r="D31" s="15"/>
      <c r="E31" s="15" t="s">
        <v>12</v>
      </c>
      <c r="F31" s="18" t="s">
        <v>13</v>
      </c>
      <c r="G31" s="19">
        <v>0</v>
      </c>
      <c r="H31" s="17" t="s">
        <v>12</v>
      </c>
    </row>
    <row r="32" spans="1:8" x14ac:dyDescent="0.2">
      <c r="A32" s="15"/>
      <c r="B32" s="15"/>
      <c r="C32" s="20"/>
      <c r="D32" s="15"/>
      <c r="E32" s="15"/>
      <c r="F32" s="21"/>
      <c r="G32" s="21"/>
      <c r="H32" s="17" t="s">
        <v>12</v>
      </c>
    </row>
    <row r="33" spans="1:8" x14ac:dyDescent="0.2">
      <c r="A33" s="15"/>
      <c r="B33" s="15"/>
      <c r="C33" s="16" t="s">
        <v>72</v>
      </c>
      <c r="D33" s="15"/>
      <c r="E33" s="15"/>
      <c r="F33" s="15"/>
      <c r="G33" s="15"/>
      <c r="H33" s="17" t="s">
        <v>12</v>
      </c>
    </row>
    <row r="34" spans="1:8" x14ac:dyDescent="0.2">
      <c r="A34" s="15"/>
      <c r="B34" s="15"/>
      <c r="C34" s="16" t="s">
        <v>11</v>
      </c>
      <c r="D34" s="15"/>
      <c r="E34" s="15" t="s">
        <v>12</v>
      </c>
      <c r="F34" s="18" t="s">
        <v>13</v>
      </c>
      <c r="G34" s="19">
        <v>0</v>
      </c>
      <c r="H34" s="17" t="s">
        <v>12</v>
      </c>
    </row>
    <row r="35" spans="1:8" x14ac:dyDescent="0.2">
      <c r="A35" s="15"/>
      <c r="B35" s="15"/>
      <c r="C35" s="20"/>
      <c r="D35" s="15"/>
      <c r="E35" s="15"/>
      <c r="F35" s="21"/>
      <c r="G35" s="21"/>
      <c r="H35" s="17" t="s">
        <v>12</v>
      </c>
    </row>
    <row r="36" spans="1:8" x14ac:dyDescent="0.2">
      <c r="A36" s="15"/>
      <c r="B36" s="15"/>
      <c r="C36" s="16" t="s">
        <v>88</v>
      </c>
      <c r="D36" s="15"/>
      <c r="E36" s="15"/>
      <c r="F36" s="21"/>
      <c r="G36" s="21"/>
      <c r="H36" s="17" t="s">
        <v>12</v>
      </c>
    </row>
    <row r="37" spans="1:8" x14ac:dyDescent="0.2">
      <c r="A37" s="15"/>
      <c r="B37" s="15"/>
      <c r="C37" s="16" t="s">
        <v>11</v>
      </c>
      <c r="D37" s="15"/>
      <c r="E37" s="15" t="s">
        <v>12</v>
      </c>
      <c r="F37" s="18" t="s">
        <v>13</v>
      </c>
      <c r="G37" s="19">
        <v>0</v>
      </c>
      <c r="H37" s="17" t="s">
        <v>12</v>
      </c>
    </row>
    <row r="38" spans="1:8" x14ac:dyDescent="0.2">
      <c r="A38" s="15"/>
      <c r="B38" s="15"/>
      <c r="C38" s="20"/>
      <c r="D38" s="15"/>
      <c r="E38" s="15"/>
      <c r="F38" s="21"/>
      <c r="G38" s="21"/>
      <c r="H38" s="17" t="s">
        <v>12</v>
      </c>
    </row>
    <row r="39" spans="1:8" x14ac:dyDescent="0.2">
      <c r="A39" s="15"/>
      <c r="B39" s="15"/>
      <c r="C39" s="16" t="s">
        <v>89</v>
      </c>
      <c r="D39" s="15"/>
      <c r="E39" s="15"/>
      <c r="F39" s="22">
        <v>0</v>
      </c>
      <c r="G39" s="19">
        <v>0</v>
      </c>
      <c r="H39" s="17" t="s">
        <v>12</v>
      </c>
    </row>
    <row r="40" spans="1:8" x14ac:dyDescent="0.2">
      <c r="A40" s="15"/>
      <c r="B40" s="15"/>
      <c r="C40" s="20"/>
      <c r="D40" s="15"/>
      <c r="E40" s="15"/>
      <c r="F40" s="21"/>
      <c r="G40" s="21"/>
      <c r="H40" s="17" t="s">
        <v>12</v>
      </c>
    </row>
    <row r="41" spans="1:8" x14ac:dyDescent="0.2">
      <c r="A41" s="15"/>
      <c r="B41" s="15"/>
      <c r="C41" s="16" t="s">
        <v>90</v>
      </c>
      <c r="D41" s="15"/>
      <c r="E41" s="15"/>
      <c r="F41" s="21"/>
      <c r="G41" s="21"/>
      <c r="H41" s="17" t="s">
        <v>12</v>
      </c>
    </row>
    <row r="42" spans="1:8" x14ac:dyDescent="0.2">
      <c r="A42" s="15"/>
      <c r="B42" s="15"/>
      <c r="C42" s="16" t="s">
        <v>91</v>
      </c>
      <c r="D42" s="15"/>
      <c r="E42" s="15"/>
      <c r="F42" s="21"/>
      <c r="G42" s="21"/>
      <c r="H42" s="17" t="s">
        <v>12</v>
      </c>
    </row>
    <row r="43" spans="1:8" x14ac:dyDescent="0.2">
      <c r="A43" s="23">
        <v>1</v>
      </c>
      <c r="B43" s="24" t="s">
        <v>277</v>
      </c>
      <c r="C43" s="24" t="s">
        <v>278</v>
      </c>
      <c r="D43" s="24" t="s">
        <v>145</v>
      </c>
      <c r="E43" s="25">
        <v>4500</v>
      </c>
      <c r="F43" s="26">
        <v>22197.735000000001</v>
      </c>
      <c r="G43" s="27">
        <v>4.0525970000000001E-2</v>
      </c>
      <c r="H43" s="17">
        <v>7</v>
      </c>
    </row>
    <row r="44" spans="1:8" x14ac:dyDescent="0.2">
      <c r="A44" s="23">
        <v>2</v>
      </c>
      <c r="B44" s="24" t="s">
        <v>279</v>
      </c>
      <c r="C44" s="24" t="s">
        <v>280</v>
      </c>
      <c r="D44" s="24" t="s">
        <v>145</v>
      </c>
      <c r="E44" s="25">
        <v>3000</v>
      </c>
      <c r="F44" s="26">
        <v>14899.71</v>
      </c>
      <c r="G44" s="27">
        <v>2.7202110000000002E-2</v>
      </c>
      <c r="H44" s="17">
        <v>7.02</v>
      </c>
    </row>
    <row r="45" spans="1:8" x14ac:dyDescent="0.2">
      <c r="A45" s="23">
        <v>3</v>
      </c>
      <c r="B45" s="24" t="s">
        <v>281</v>
      </c>
      <c r="C45" s="24" t="s">
        <v>282</v>
      </c>
      <c r="D45" s="24" t="s">
        <v>145</v>
      </c>
      <c r="E45" s="25">
        <v>3000</v>
      </c>
      <c r="F45" s="26">
        <v>14871.21</v>
      </c>
      <c r="G45" s="27">
        <v>2.715008E-2</v>
      </c>
      <c r="H45" s="17">
        <v>7.0250000000000004</v>
      </c>
    </row>
    <row r="46" spans="1:8" ht="25.5" x14ac:dyDescent="0.2">
      <c r="A46" s="23">
        <v>4</v>
      </c>
      <c r="B46" s="24" t="s">
        <v>283</v>
      </c>
      <c r="C46" s="24" t="s">
        <v>284</v>
      </c>
      <c r="D46" s="24" t="s">
        <v>145</v>
      </c>
      <c r="E46" s="25">
        <v>3000</v>
      </c>
      <c r="F46" s="26">
        <v>14800.605</v>
      </c>
      <c r="G46" s="27">
        <v>2.7021179999999999E-2</v>
      </c>
      <c r="H46" s="17">
        <v>7.0250000000000004</v>
      </c>
    </row>
    <row r="47" spans="1:8" x14ac:dyDescent="0.2">
      <c r="A47" s="23">
        <v>5</v>
      </c>
      <c r="B47" s="24" t="s">
        <v>285</v>
      </c>
      <c r="C47" s="24" t="s">
        <v>286</v>
      </c>
      <c r="D47" s="24" t="s">
        <v>145</v>
      </c>
      <c r="E47" s="25">
        <v>2500</v>
      </c>
      <c r="F47" s="26">
        <v>12319.924999999999</v>
      </c>
      <c r="G47" s="27">
        <v>2.2492249999999998E-2</v>
      </c>
      <c r="H47" s="17">
        <v>7.02</v>
      </c>
    </row>
    <row r="48" spans="1:8" x14ac:dyDescent="0.2">
      <c r="A48" s="23">
        <v>6</v>
      </c>
      <c r="B48" s="24" t="s">
        <v>287</v>
      </c>
      <c r="C48" s="24" t="s">
        <v>288</v>
      </c>
      <c r="D48" s="24" t="s">
        <v>145</v>
      </c>
      <c r="E48" s="25">
        <v>2000</v>
      </c>
      <c r="F48" s="26">
        <v>9929.7900000000009</v>
      </c>
      <c r="G48" s="27">
        <v>1.812863E-2</v>
      </c>
      <c r="H48" s="17">
        <v>6.9749999999999996</v>
      </c>
    </row>
    <row r="49" spans="1:8" x14ac:dyDescent="0.2">
      <c r="A49" s="23">
        <v>7</v>
      </c>
      <c r="B49" s="24" t="s">
        <v>289</v>
      </c>
      <c r="C49" s="24" t="s">
        <v>290</v>
      </c>
      <c r="D49" s="24" t="s">
        <v>145</v>
      </c>
      <c r="E49" s="25">
        <v>2000</v>
      </c>
      <c r="F49" s="26">
        <v>9929.5400000000009</v>
      </c>
      <c r="G49" s="27">
        <v>1.8128169999999999E-2</v>
      </c>
      <c r="H49" s="17">
        <v>7.0000999999999998</v>
      </c>
    </row>
    <row r="50" spans="1:8" x14ac:dyDescent="0.2">
      <c r="A50" s="23">
        <v>8</v>
      </c>
      <c r="B50" s="24" t="s">
        <v>291</v>
      </c>
      <c r="C50" s="24" t="s">
        <v>292</v>
      </c>
      <c r="D50" s="24" t="s">
        <v>145</v>
      </c>
      <c r="E50" s="25">
        <v>2000</v>
      </c>
      <c r="F50" s="26">
        <v>9928.2999999999993</v>
      </c>
      <c r="G50" s="27">
        <v>1.81259E-2</v>
      </c>
      <c r="H50" s="17">
        <v>7.1239999999999997</v>
      </c>
    </row>
    <row r="51" spans="1:8" x14ac:dyDescent="0.2">
      <c r="A51" s="23">
        <v>9</v>
      </c>
      <c r="B51" s="24" t="s">
        <v>293</v>
      </c>
      <c r="C51" s="24" t="s">
        <v>294</v>
      </c>
      <c r="D51" s="24" t="s">
        <v>145</v>
      </c>
      <c r="E51" s="25">
        <v>2000</v>
      </c>
      <c r="F51" s="26">
        <v>9908.5300000000007</v>
      </c>
      <c r="G51" s="27">
        <v>1.8089810000000001E-2</v>
      </c>
      <c r="H51" s="17">
        <v>7.02</v>
      </c>
    </row>
    <row r="52" spans="1:8" x14ac:dyDescent="0.2">
      <c r="A52" s="23">
        <v>10</v>
      </c>
      <c r="B52" s="24" t="s">
        <v>295</v>
      </c>
      <c r="C52" s="24" t="s">
        <v>296</v>
      </c>
      <c r="D52" s="24" t="s">
        <v>145</v>
      </c>
      <c r="E52" s="25">
        <v>2000</v>
      </c>
      <c r="F52" s="26">
        <v>9899.44</v>
      </c>
      <c r="G52" s="27">
        <v>1.8073220000000001E-2</v>
      </c>
      <c r="H52" s="17">
        <v>7.1300999999999997</v>
      </c>
    </row>
    <row r="53" spans="1:8" x14ac:dyDescent="0.2">
      <c r="A53" s="23">
        <v>11</v>
      </c>
      <c r="B53" s="24" t="s">
        <v>297</v>
      </c>
      <c r="C53" s="24" t="s">
        <v>298</v>
      </c>
      <c r="D53" s="24" t="s">
        <v>145</v>
      </c>
      <c r="E53" s="25">
        <v>2000</v>
      </c>
      <c r="F53" s="26">
        <v>9882.49</v>
      </c>
      <c r="G53" s="27">
        <v>1.8042269999999999E-2</v>
      </c>
      <c r="H53" s="17">
        <v>7.0000999999999998</v>
      </c>
    </row>
    <row r="54" spans="1:8" x14ac:dyDescent="0.2">
      <c r="A54" s="23">
        <v>12</v>
      </c>
      <c r="B54" s="24" t="s">
        <v>299</v>
      </c>
      <c r="C54" s="24" t="s">
        <v>300</v>
      </c>
      <c r="D54" s="24" t="s">
        <v>145</v>
      </c>
      <c r="E54" s="25">
        <v>2000</v>
      </c>
      <c r="F54" s="26">
        <v>9876.5300000000007</v>
      </c>
      <c r="G54" s="27">
        <v>1.8031390000000001E-2</v>
      </c>
      <c r="H54" s="17">
        <v>7.02</v>
      </c>
    </row>
    <row r="55" spans="1:8" x14ac:dyDescent="0.2">
      <c r="A55" s="23">
        <v>13</v>
      </c>
      <c r="B55" s="24" t="s">
        <v>301</v>
      </c>
      <c r="C55" s="24" t="s">
        <v>302</v>
      </c>
      <c r="D55" s="24" t="s">
        <v>303</v>
      </c>
      <c r="E55" s="25">
        <v>2000</v>
      </c>
      <c r="F55" s="26">
        <v>9875.01</v>
      </c>
      <c r="G55" s="27">
        <v>1.802861E-2</v>
      </c>
      <c r="H55" s="17">
        <v>7</v>
      </c>
    </row>
    <row r="56" spans="1:8" x14ac:dyDescent="0.2">
      <c r="A56" s="23">
        <v>14</v>
      </c>
      <c r="B56" s="24" t="s">
        <v>304</v>
      </c>
      <c r="C56" s="24" t="s">
        <v>305</v>
      </c>
      <c r="D56" s="24" t="s">
        <v>303</v>
      </c>
      <c r="E56" s="25">
        <v>2000</v>
      </c>
      <c r="F56" s="26">
        <v>9869.4</v>
      </c>
      <c r="G56" s="27">
        <v>1.8018369999999999E-2</v>
      </c>
      <c r="H56" s="17">
        <v>7</v>
      </c>
    </row>
    <row r="57" spans="1:8" x14ac:dyDescent="0.2">
      <c r="A57" s="23">
        <v>15</v>
      </c>
      <c r="B57" s="24" t="s">
        <v>306</v>
      </c>
      <c r="C57" s="24" t="s">
        <v>307</v>
      </c>
      <c r="D57" s="24" t="s">
        <v>303</v>
      </c>
      <c r="E57" s="25">
        <v>2000</v>
      </c>
      <c r="F57" s="26">
        <v>9867.5400000000009</v>
      </c>
      <c r="G57" s="27">
        <v>1.801498E-2</v>
      </c>
      <c r="H57" s="17">
        <v>7</v>
      </c>
    </row>
    <row r="58" spans="1:8" x14ac:dyDescent="0.2">
      <c r="A58" s="23">
        <v>16</v>
      </c>
      <c r="B58" s="24" t="s">
        <v>308</v>
      </c>
      <c r="C58" s="24" t="s">
        <v>309</v>
      </c>
      <c r="D58" s="24" t="s">
        <v>207</v>
      </c>
      <c r="E58" s="25">
        <v>2000</v>
      </c>
      <c r="F58" s="26">
        <v>9863.66</v>
      </c>
      <c r="G58" s="27">
        <v>1.8007889999999999E-2</v>
      </c>
      <c r="H58" s="17">
        <v>7.0075000000000003</v>
      </c>
    </row>
    <row r="59" spans="1:8" x14ac:dyDescent="0.2">
      <c r="A59" s="23">
        <v>17</v>
      </c>
      <c r="B59" s="24" t="s">
        <v>310</v>
      </c>
      <c r="C59" s="24" t="s">
        <v>311</v>
      </c>
      <c r="D59" s="24" t="s">
        <v>145</v>
      </c>
      <c r="E59" s="25">
        <v>2000</v>
      </c>
      <c r="F59" s="26">
        <v>9862.27</v>
      </c>
      <c r="G59" s="27">
        <v>1.8005360000000002E-2</v>
      </c>
      <c r="H59" s="17">
        <v>7.08</v>
      </c>
    </row>
    <row r="60" spans="1:8" x14ac:dyDescent="0.2">
      <c r="A60" s="23">
        <v>18</v>
      </c>
      <c r="B60" s="24" t="s">
        <v>312</v>
      </c>
      <c r="C60" s="24" t="s">
        <v>313</v>
      </c>
      <c r="D60" s="24" t="s">
        <v>145</v>
      </c>
      <c r="E60" s="25">
        <v>2000</v>
      </c>
      <c r="F60" s="26">
        <v>9854.89</v>
      </c>
      <c r="G60" s="27">
        <v>1.7991879999999998E-2</v>
      </c>
      <c r="H60" s="17">
        <v>6.98</v>
      </c>
    </row>
    <row r="61" spans="1:8" x14ac:dyDescent="0.2">
      <c r="A61" s="23">
        <v>19</v>
      </c>
      <c r="B61" s="24" t="s">
        <v>314</v>
      </c>
      <c r="C61" s="24" t="s">
        <v>315</v>
      </c>
      <c r="D61" s="24" t="s">
        <v>145</v>
      </c>
      <c r="E61" s="25">
        <v>2000</v>
      </c>
      <c r="F61" s="26">
        <v>9852.6200000000008</v>
      </c>
      <c r="G61" s="27">
        <v>1.7987739999999999E-2</v>
      </c>
      <c r="H61" s="17">
        <v>7.0000999999999998</v>
      </c>
    </row>
    <row r="62" spans="1:8" x14ac:dyDescent="0.2">
      <c r="A62" s="23">
        <v>20</v>
      </c>
      <c r="B62" s="24" t="s">
        <v>316</v>
      </c>
      <c r="C62" s="24" t="s">
        <v>317</v>
      </c>
      <c r="D62" s="24" t="s">
        <v>207</v>
      </c>
      <c r="E62" s="25">
        <v>1500</v>
      </c>
      <c r="F62" s="26">
        <v>7449.9449999999997</v>
      </c>
      <c r="G62" s="27">
        <v>1.3601220000000001E-2</v>
      </c>
      <c r="H62" s="17">
        <v>7.0075000000000003</v>
      </c>
    </row>
    <row r="63" spans="1:8" x14ac:dyDescent="0.2">
      <c r="A63" s="23">
        <v>21</v>
      </c>
      <c r="B63" s="24" t="s">
        <v>269</v>
      </c>
      <c r="C63" s="24" t="s">
        <v>682</v>
      </c>
      <c r="D63" s="24" t="s">
        <v>145</v>
      </c>
      <c r="E63" s="25">
        <v>1500</v>
      </c>
      <c r="F63" s="26">
        <v>7420.59</v>
      </c>
      <c r="G63" s="27">
        <v>1.354763E-2</v>
      </c>
      <c r="H63" s="17">
        <v>6.9749999999999996</v>
      </c>
    </row>
    <row r="64" spans="1:8" x14ac:dyDescent="0.2">
      <c r="A64" s="23">
        <v>22</v>
      </c>
      <c r="B64" s="24" t="s">
        <v>318</v>
      </c>
      <c r="C64" s="24" t="s">
        <v>319</v>
      </c>
      <c r="D64" s="24" t="s">
        <v>145</v>
      </c>
      <c r="E64" s="25">
        <v>1500</v>
      </c>
      <c r="F64" s="26">
        <v>7392.2550000000001</v>
      </c>
      <c r="G64" s="27">
        <v>1.34959E-2</v>
      </c>
      <c r="H64" s="17">
        <v>7.0000999999999998</v>
      </c>
    </row>
    <row r="65" spans="1:8" x14ac:dyDescent="0.2">
      <c r="A65" s="23">
        <v>23</v>
      </c>
      <c r="B65" s="24" t="s">
        <v>320</v>
      </c>
      <c r="C65" s="24" t="s">
        <v>321</v>
      </c>
      <c r="D65" s="24" t="s">
        <v>207</v>
      </c>
      <c r="E65" s="25">
        <v>1000</v>
      </c>
      <c r="F65" s="26">
        <v>4950.58</v>
      </c>
      <c r="G65" s="27">
        <v>9.0381799999999998E-3</v>
      </c>
      <c r="H65" s="17">
        <v>7.0075000000000003</v>
      </c>
    </row>
    <row r="66" spans="1:8" x14ac:dyDescent="0.2">
      <c r="A66" s="23">
        <v>24</v>
      </c>
      <c r="B66" s="24" t="s">
        <v>322</v>
      </c>
      <c r="C66" s="24" t="s">
        <v>323</v>
      </c>
      <c r="D66" s="24" t="s">
        <v>207</v>
      </c>
      <c r="E66" s="25">
        <v>1000</v>
      </c>
      <c r="F66" s="26">
        <v>4939.3149999999996</v>
      </c>
      <c r="G66" s="27">
        <v>9.0176100000000006E-3</v>
      </c>
      <c r="H66" s="17">
        <v>7.0075000000000003</v>
      </c>
    </row>
    <row r="67" spans="1:8" x14ac:dyDescent="0.2">
      <c r="A67" s="23">
        <v>25</v>
      </c>
      <c r="B67" s="24" t="s">
        <v>324</v>
      </c>
      <c r="C67" s="24" t="s">
        <v>325</v>
      </c>
      <c r="D67" s="24" t="s">
        <v>145</v>
      </c>
      <c r="E67" s="25">
        <v>1000</v>
      </c>
      <c r="F67" s="26">
        <v>4934.8850000000002</v>
      </c>
      <c r="G67" s="27">
        <v>9.00952E-3</v>
      </c>
      <c r="H67" s="17">
        <v>6.98</v>
      </c>
    </row>
    <row r="68" spans="1:8" x14ac:dyDescent="0.2">
      <c r="A68" s="23">
        <v>26</v>
      </c>
      <c r="B68" s="24" t="s">
        <v>326</v>
      </c>
      <c r="C68" s="24" t="s">
        <v>327</v>
      </c>
      <c r="D68" s="24" t="s">
        <v>145</v>
      </c>
      <c r="E68" s="25">
        <v>500</v>
      </c>
      <c r="F68" s="26">
        <v>2481.9775</v>
      </c>
      <c r="G68" s="27">
        <v>4.5313000000000003E-3</v>
      </c>
      <c r="H68" s="17">
        <v>6.9749999999999996</v>
      </c>
    </row>
    <row r="69" spans="1:8" x14ac:dyDescent="0.2">
      <c r="A69" s="23">
        <v>27</v>
      </c>
      <c r="B69" s="24" t="s">
        <v>328</v>
      </c>
      <c r="C69" s="24" t="s">
        <v>329</v>
      </c>
      <c r="D69" s="24" t="s">
        <v>145</v>
      </c>
      <c r="E69" s="25">
        <v>500</v>
      </c>
      <c r="F69" s="26">
        <v>2469.1125000000002</v>
      </c>
      <c r="G69" s="27">
        <v>4.5078100000000001E-3</v>
      </c>
      <c r="H69" s="17">
        <v>7.0250000000000004</v>
      </c>
    </row>
    <row r="70" spans="1:8" x14ac:dyDescent="0.2">
      <c r="A70" s="15"/>
      <c r="B70" s="15"/>
      <c r="C70" s="16" t="s">
        <v>11</v>
      </c>
      <c r="D70" s="15"/>
      <c r="E70" s="15" t="s">
        <v>12</v>
      </c>
      <c r="F70" s="22">
        <v>259527.85500000001</v>
      </c>
      <c r="G70" s="19">
        <v>0.47381498</v>
      </c>
      <c r="H70" s="17" t="s">
        <v>12</v>
      </c>
    </row>
    <row r="71" spans="1:8" x14ac:dyDescent="0.2">
      <c r="A71" s="15"/>
      <c r="B71" s="15"/>
      <c r="C71" s="20"/>
      <c r="D71" s="15"/>
      <c r="E71" s="15"/>
      <c r="F71" s="21"/>
      <c r="G71" s="21"/>
      <c r="H71" s="17" t="s">
        <v>12</v>
      </c>
    </row>
    <row r="72" spans="1:8" x14ac:dyDescent="0.2">
      <c r="A72" s="15"/>
      <c r="B72" s="15"/>
      <c r="C72" s="16" t="s">
        <v>92</v>
      </c>
      <c r="D72" s="15"/>
      <c r="E72" s="15"/>
      <c r="F72" s="21"/>
      <c r="G72" s="21"/>
      <c r="H72" s="17" t="s">
        <v>12</v>
      </c>
    </row>
    <row r="73" spans="1:8" x14ac:dyDescent="0.2">
      <c r="A73" s="23">
        <v>1</v>
      </c>
      <c r="B73" s="24" t="s">
        <v>330</v>
      </c>
      <c r="C73" s="24" t="s">
        <v>331</v>
      </c>
      <c r="D73" s="24" t="s">
        <v>145</v>
      </c>
      <c r="E73" s="25">
        <v>4000</v>
      </c>
      <c r="F73" s="26">
        <v>19853.04</v>
      </c>
      <c r="G73" s="27">
        <v>3.6245310000000003E-2</v>
      </c>
      <c r="H73" s="17">
        <v>7.3025000000000002</v>
      </c>
    </row>
    <row r="74" spans="1:8" ht="25.5" x14ac:dyDescent="0.2">
      <c r="A74" s="23">
        <v>2</v>
      </c>
      <c r="B74" s="24" t="s">
        <v>332</v>
      </c>
      <c r="C74" s="24" t="s">
        <v>333</v>
      </c>
      <c r="D74" s="24" t="s">
        <v>145</v>
      </c>
      <c r="E74" s="25">
        <v>3000</v>
      </c>
      <c r="F74" s="26">
        <v>14895.69</v>
      </c>
      <c r="G74" s="27">
        <v>2.719477E-2</v>
      </c>
      <c r="H74" s="17">
        <v>7.1</v>
      </c>
    </row>
    <row r="75" spans="1:8" x14ac:dyDescent="0.2">
      <c r="A75" s="23">
        <v>3</v>
      </c>
      <c r="B75" s="24" t="s">
        <v>334</v>
      </c>
      <c r="C75" s="24" t="s">
        <v>335</v>
      </c>
      <c r="D75" s="24" t="s">
        <v>145</v>
      </c>
      <c r="E75" s="25">
        <v>3000</v>
      </c>
      <c r="F75" s="26">
        <v>14840.61</v>
      </c>
      <c r="G75" s="27">
        <v>2.7094210000000001E-2</v>
      </c>
      <c r="H75" s="17">
        <v>7</v>
      </c>
    </row>
    <row r="76" spans="1:8" ht="25.5" x14ac:dyDescent="0.2">
      <c r="A76" s="23">
        <v>4</v>
      </c>
      <c r="B76" s="24" t="s">
        <v>336</v>
      </c>
      <c r="C76" s="24" t="s">
        <v>337</v>
      </c>
      <c r="D76" s="24" t="s">
        <v>145</v>
      </c>
      <c r="E76" s="25">
        <v>3000</v>
      </c>
      <c r="F76" s="26">
        <v>14770.47</v>
      </c>
      <c r="G76" s="27">
        <v>2.6966159999999999E-2</v>
      </c>
      <c r="H76" s="17">
        <v>7.09</v>
      </c>
    </row>
    <row r="77" spans="1:8" x14ac:dyDescent="0.2">
      <c r="A77" s="23">
        <v>5</v>
      </c>
      <c r="B77" s="24" t="s">
        <v>338</v>
      </c>
      <c r="C77" s="24" t="s">
        <v>339</v>
      </c>
      <c r="D77" s="24" t="s">
        <v>145</v>
      </c>
      <c r="E77" s="25">
        <v>2000</v>
      </c>
      <c r="F77" s="26">
        <v>9931.43</v>
      </c>
      <c r="G77" s="27">
        <v>1.8131620000000001E-2</v>
      </c>
      <c r="H77" s="17">
        <v>7</v>
      </c>
    </row>
    <row r="78" spans="1:8" x14ac:dyDescent="0.2">
      <c r="A78" s="23">
        <v>6</v>
      </c>
      <c r="B78" s="24" t="s">
        <v>340</v>
      </c>
      <c r="C78" s="24" t="s">
        <v>341</v>
      </c>
      <c r="D78" s="24" t="s">
        <v>145</v>
      </c>
      <c r="E78" s="25">
        <v>2000</v>
      </c>
      <c r="F78" s="26">
        <v>9927.4699999999993</v>
      </c>
      <c r="G78" s="27">
        <v>1.8124390000000001E-2</v>
      </c>
      <c r="H78" s="17">
        <v>7.4074999999999998</v>
      </c>
    </row>
    <row r="79" spans="1:8" x14ac:dyDescent="0.2">
      <c r="A79" s="23">
        <v>7</v>
      </c>
      <c r="B79" s="24" t="s">
        <v>342</v>
      </c>
      <c r="C79" s="24" t="s">
        <v>343</v>
      </c>
      <c r="D79" s="24" t="s">
        <v>145</v>
      </c>
      <c r="E79" s="25">
        <v>2000</v>
      </c>
      <c r="F79" s="26">
        <v>9925.9699999999993</v>
      </c>
      <c r="G79" s="27">
        <v>1.812165E-2</v>
      </c>
      <c r="H79" s="17">
        <v>7.3575999999999997</v>
      </c>
    </row>
    <row r="80" spans="1:8" x14ac:dyDescent="0.2">
      <c r="A80" s="23">
        <v>8</v>
      </c>
      <c r="B80" s="24" t="s">
        <v>344</v>
      </c>
      <c r="C80" s="24" t="s">
        <v>345</v>
      </c>
      <c r="D80" s="24" t="s">
        <v>145</v>
      </c>
      <c r="E80" s="25">
        <v>2000</v>
      </c>
      <c r="F80" s="26">
        <v>9912.5</v>
      </c>
      <c r="G80" s="27">
        <v>1.8097060000000002E-2</v>
      </c>
      <c r="H80" s="17">
        <v>7.16</v>
      </c>
    </row>
    <row r="81" spans="1:8" x14ac:dyDescent="0.2">
      <c r="A81" s="23">
        <v>9</v>
      </c>
      <c r="B81" s="24" t="s">
        <v>346</v>
      </c>
      <c r="C81" s="24" t="s">
        <v>347</v>
      </c>
      <c r="D81" s="24" t="s">
        <v>145</v>
      </c>
      <c r="E81" s="25">
        <v>2000</v>
      </c>
      <c r="F81" s="26">
        <v>9893.83</v>
      </c>
      <c r="G81" s="27">
        <v>1.8062970000000001E-2</v>
      </c>
      <c r="H81" s="17">
        <v>7.5324999999999998</v>
      </c>
    </row>
    <row r="82" spans="1:8" x14ac:dyDescent="0.2">
      <c r="A82" s="23">
        <v>10</v>
      </c>
      <c r="B82" s="24" t="s">
        <v>348</v>
      </c>
      <c r="C82" s="24" t="s">
        <v>349</v>
      </c>
      <c r="D82" s="24" t="s">
        <v>207</v>
      </c>
      <c r="E82" s="25">
        <v>2000</v>
      </c>
      <c r="F82" s="26">
        <v>9886.1299999999992</v>
      </c>
      <c r="G82" s="27">
        <v>1.804892E-2</v>
      </c>
      <c r="H82" s="17">
        <v>7.2488000000000001</v>
      </c>
    </row>
    <row r="83" spans="1:8" x14ac:dyDescent="0.2">
      <c r="A83" s="23">
        <v>11</v>
      </c>
      <c r="B83" s="24" t="s">
        <v>350</v>
      </c>
      <c r="C83" s="24" t="s">
        <v>351</v>
      </c>
      <c r="D83" s="24" t="s">
        <v>145</v>
      </c>
      <c r="E83" s="25">
        <v>2000</v>
      </c>
      <c r="F83" s="26">
        <v>9857.91</v>
      </c>
      <c r="G83" s="27">
        <v>1.79974E-2</v>
      </c>
      <c r="H83" s="17">
        <v>7.3075000000000001</v>
      </c>
    </row>
    <row r="84" spans="1:8" ht="25.5" x14ac:dyDescent="0.2">
      <c r="A84" s="23">
        <v>12</v>
      </c>
      <c r="B84" s="24" t="s">
        <v>352</v>
      </c>
      <c r="C84" s="24" t="s">
        <v>353</v>
      </c>
      <c r="D84" s="24" t="s">
        <v>145</v>
      </c>
      <c r="E84" s="25">
        <v>2000</v>
      </c>
      <c r="F84" s="26">
        <v>9854.52</v>
      </c>
      <c r="G84" s="27">
        <v>1.7991210000000001E-2</v>
      </c>
      <c r="H84" s="17">
        <v>7.09</v>
      </c>
    </row>
    <row r="85" spans="1:8" x14ac:dyDescent="0.2">
      <c r="A85" s="23">
        <v>13</v>
      </c>
      <c r="B85" s="24" t="s">
        <v>354</v>
      </c>
      <c r="C85" s="24" t="s">
        <v>355</v>
      </c>
      <c r="D85" s="24" t="s">
        <v>145</v>
      </c>
      <c r="E85" s="25">
        <v>2000</v>
      </c>
      <c r="F85" s="26">
        <v>9843.09</v>
      </c>
      <c r="G85" s="27">
        <v>1.7970340000000001E-2</v>
      </c>
      <c r="H85" s="17">
        <v>7.3651</v>
      </c>
    </row>
    <row r="86" spans="1:8" ht="25.5" x14ac:dyDescent="0.2">
      <c r="A86" s="23">
        <v>14</v>
      </c>
      <c r="B86" s="24" t="s">
        <v>356</v>
      </c>
      <c r="C86" s="24" t="s">
        <v>357</v>
      </c>
      <c r="D86" s="24" t="s">
        <v>145</v>
      </c>
      <c r="E86" s="25">
        <v>1500</v>
      </c>
      <c r="F86" s="26">
        <v>7467.0974999999999</v>
      </c>
      <c r="G86" s="27">
        <v>1.363254E-2</v>
      </c>
      <c r="H86" s="17">
        <v>7.66</v>
      </c>
    </row>
    <row r="87" spans="1:8" ht="25.5" x14ac:dyDescent="0.2">
      <c r="A87" s="23">
        <v>15</v>
      </c>
      <c r="B87" s="24" t="s">
        <v>358</v>
      </c>
      <c r="C87" s="24" t="s">
        <v>359</v>
      </c>
      <c r="D87" s="24" t="s">
        <v>145</v>
      </c>
      <c r="E87" s="25">
        <v>1500</v>
      </c>
      <c r="F87" s="26">
        <v>7449.2849999999999</v>
      </c>
      <c r="G87" s="27">
        <v>1.3600020000000001E-2</v>
      </c>
      <c r="H87" s="17">
        <v>7.1</v>
      </c>
    </row>
    <row r="88" spans="1:8" x14ac:dyDescent="0.2">
      <c r="A88" s="23">
        <v>16</v>
      </c>
      <c r="B88" s="24" t="s">
        <v>360</v>
      </c>
      <c r="C88" s="24" t="s">
        <v>361</v>
      </c>
      <c r="D88" s="24" t="s">
        <v>145</v>
      </c>
      <c r="E88" s="25">
        <v>1500</v>
      </c>
      <c r="F88" s="26">
        <v>7444.0124999999998</v>
      </c>
      <c r="G88" s="27">
        <v>1.3590390000000001E-2</v>
      </c>
      <c r="H88" s="17">
        <v>7.2247000000000003</v>
      </c>
    </row>
    <row r="89" spans="1:8" ht="25.5" x14ac:dyDescent="0.2">
      <c r="A89" s="23">
        <v>17</v>
      </c>
      <c r="B89" s="24" t="s">
        <v>362</v>
      </c>
      <c r="C89" s="24" t="s">
        <v>284</v>
      </c>
      <c r="D89" s="24" t="s">
        <v>145</v>
      </c>
      <c r="E89" s="25">
        <v>1500</v>
      </c>
      <c r="F89" s="26">
        <v>7399.95</v>
      </c>
      <c r="G89" s="27">
        <v>1.350995E-2</v>
      </c>
      <c r="H89" s="17">
        <v>7.05</v>
      </c>
    </row>
    <row r="90" spans="1:8" ht="25.5" x14ac:dyDescent="0.2">
      <c r="A90" s="23">
        <v>18</v>
      </c>
      <c r="B90" s="24" t="s">
        <v>363</v>
      </c>
      <c r="C90" s="24" t="s">
        <v>364</v>
      </c>
      <c r="D90" s="24" t="s">
        <v>145</v>
      </c>
      <c r="E90" s="25">
        <v>1500</v>
      </c>
      <c r="F90" s="26">
        <v>7396.5524999999998</v>
      </c>
      <c r="G90" s="27">
        <v>1.350374E-2</v>
      </c>
      <c r="H90" s="17">
        <v>7.09</v>
      </c>
    </row>
    <row r="91" spans="1:8" x14ac:dyDescent="0.2">
      <c r="A91" s="23">
        <v>19</v>
      </c>
      <c r="B91" s="24" t="s">
        <v>365</v>
      </c>
      <c r="C91" s="24" t="s">
        <v>366</v>
      </c>
      <c r="D91" s="24" t="s">
        <v>145</v>
      </c>
      <c r="E91" s="25">
        <v>1500</v>
      </c>
      <c r="F91" s="26">
        <v>7395.9825000000001</v>
      </c>
      <c r="G91" s="27">
        <v>1.3502699999999999E-2</v>
      </c>
      <c r="H91" s="17">
        <v>7.13</v>
      </c>
    </row>
    <row r="92" spans="1:8" x14ac:dyDescent="0.2">
      <c r="A92" s="23">
        <v>20</v>
      </c>
      <c r="B92" s="24" t="s">
        <v>367</v>
      </c>
      <c r="C92" s="24" t="s">
        <v>368</v>
      </c>
      <c r="D92" s="24" t="s">
        <v>145</v>
      </c>
      <c r="E92" s="25">
        <v>1500</v>
      </c>
      <c r="F92" s="26">
        <v>7394.7749999999996</v>
      </c>
      <c r="G92" s="27">
        <v>1.35005E-2</v>
      </c>
      <c r="H92" s="17">
        <v>7.42</v>
      </c>
    </row>
    <row r="93" spans="1:8" x14ac:dyDescent="0.2">
      <c r="A93" s="23">
        <v>21</v>
      </c>
      <c r="B93" s="24" t="s">
        <v>369</v>
      </c>
      <c r="C93" s="24" t="s">
        <v>370</v>
      </c>
      <c r="D93" s="24" t="s">
        <v>145</v>
      </c>
      <c r="E93" s="25">
        <v>1000</v>
      </c>
      <c r="F93" s="26">
        <v>4978.76</v>
      </c>
      <c r="G93" s="27">
        <v>9.0896299999999996E-3</v>
      </c>
      <c r="H93" s="17">
        <v>7.415</v>
      </c>
    </row>
    <row r="94" spans="1:8" x14ac:dyDescent="0.2">
      <c r="A94" s="23">
        <v>22</v>
      </c>
      <c r="B94" s="24" t="s">
        <v>371</v>
      </c>
      <c r="C94" s="24" t="s">
        <v>372</v>
      </c>
      <c r="D94" s="24" t="s">
        <v>145</v>
      </c>
      <c r="E94" s="25">
        <v>1000</v>
      </c>
      <c r="F94" s="26">
        <v>4963.9799999999996</v>
      </c>
      <c r="G94" s="27">
        <v>9.0626400000000003E-3</v>
      </c>
      <c r="H94" s="17">
        <v>7.3575999999999997</v>
      </c>
    </row>
    <row r="95" spans="1:8" x14ac:dyDescent="0.2">
      <c r="A95" s="23">
        <v>23</v>
      </c>
      <c r="B95" s="24" t="s">
        <v>373</v>
      </c>
      <c r="C95" s="24" t="s">
        <v>374</v>
      </c>
      <c r="D95" s="24" t="s">
        <v>145</v>
      </c>
      <c r="E95" s="25">
        <v>1000</v>
      </c>
      <c r="F95" s="26">
        <v>4962.88</v>
      </c>
      <c r="G95" s="27">
        <v>9.0606300000000001E-3</v>
      </c>
      <c r="H95" s="17">
        <v>7.1849999999999996</v>
      </c>
    </row>
    <row r="96" spans="1:8" ht="25.5" x14ac:dyDescent="0.2">
      <c r="A96" s="23">
        <v>24</v>
      </c>
      <c r="B96" s="24" t="s">
        <v>375</v>
      </c>
      <c r="C96" s="24" t="s">
        <v>376</v>
      </c>
      <c r="D96" s="24" t="s">
        <v>145</v>
      </c>
      <c r="E96" s="25">
        <v>1000</v>
      </c>
      <c r="F96" s="26">
        <v>4962.75</v>
      </c>
      <c r="G96" s="27">
        <v>9.0603999999999997E-3</v>
      </c>
      <c r="H96" s="17">
        <v>7.61</v>
      </c>
    </row>
    <row r="97" spans="1:8" x14ac:dyDescent="0.2">
      <c r="A97" s="23">
        <v>25</v>
      </c>
      <c r="B97" s="24" t="s">
        <v>377</v>
      </c>
      <c r="C97" s="24" t="s">
        <v>378</v>
      </c>
      <c r="D97" s="24" t="s">
        <v>145</v>
      </c>
      <c r="E97" s="25">
        <v>1000</v>
      </c>
      <c r="F97" s="26">
        <v>4960.93</v>
      </c>
      <c r="G97" s="27">
        <v>9.0570700000000004E-3</v>
      </c>
      <c r="H97" s="17">
        <v>7.5650000000000004</v>
      </c>
    </row>
    <row r="98" spans="1:8" ht="25.5" x14ac:dyDescent="0.2">
      <c r="A98" s="23">
        <v>26</v>
      </c>
      <c r="B98" s="24" t="s">
        <v>379</v>
      </c>
      <c r="C98" s="24" t="s">
        <v>380</v>
      </c>
      <c r="D98" s="24" t="s">
        <v>145</v>
      </c>
      <c r="E98" s="25">
        <v>1000</v>
      </c>
      <c r="F98" s="26">
        <v>4950.8850000000002</v>
      </c>
      <c r="G98" s="27">
        <v>9.03874E-3</v>
      </c>
      <c r="H98" s="17">
        <v>7.1</v>
      </c>
    </row>
    <row r="99" spans="1:8" x14ac:dyDescent="0.2">
      <c r="A99" s="23">
        <v>27</v>
      </c>
      <c r="B99" s="24" t="s">
        <v>381</v>
      </c>
      <c r="C99" s="24" t="s">
        <v>382</v>
      </c>
      <c r="D99" s="24" t="s">
        <v>145</v>
      </c>
      <c r="E99" s="25">
        <v>1000</v>
      </c>
      <c r="F99" s="26">
        <v>4948.2250000000004</v>
      </c>
      <c r="G99" s="27">
        <v>9.0338799999999993E-3</v>
      </c>
      <c r="H99" s="17">
        <v>7.3449999999999998</v>
      </c>
    </row>
    <row r="100" spans="1:8" x14ac:dyDescent="0.2">
      <c r="A100" s="23">
        <v>28</v>
      </c>
      <c r="B100" s="24" t="s">
        <v>383</v>
      </c>
      <c r="C100" s="24" t="s">
        <v>384</v>
      </c>
      <c r="D100" s="24" t="s">
        <v>145</v>
      </c>
      <c r="E100" s="25">
        <v>1000</v>
      </c>
      <c r="F100" s="26">
        <v>4945.2650000000003</v>
      </c>
      <c r="G100" s="27">
        <v>9.0284700000000002E-3</v>
      </c>
      <c r="H100" s="17">
        <v>7.3449999999999998</v>
      </c>
    </row>
    <row r="101" spans="1:8" ht="25.5" x14ac:dyDescent="0.2">
      <c r="A101" s="23">
        <v>29</v>
      </c>
      <c r="B101" s="24" t="s">
        <v>385</v>
      </c>
      <c r="C101" s="24" t="s">
        <v>386</v>
      </c>
      <c r="D101" s="24" t="s">
        <v>145</v>
      </c>
      <c r="E101" s="25">
        <v>1000</v>
      </c>
      <c r="F101" s="26">
        <v>4943.3100000000004</v>
      </c>
      <c r="G101" s="27">
        <v>9.0249100000000006E-3</v>
      </c>
      <c r="H101" s="17">
        <v>7.4749999999999996</v>
      </c>
    </row>
    <row r="102" spans="1:8" x14ac:dyDescent="0.2">
      <c r="A102" s="23">
        <v>30</v>
      </c>
      <c r="B102" s="24" t="s">
        <v>387</v>
      </c>
      <c r="C102" s="24" t="s">
        <v>388</v>
      </c>
      <c r="D102" s="24" t="s">
        <v>145</v>
      </c>
      <c r="E102" s="25">
        <v>1000</v>
      </c>
      <c r="F102" s="26">
        <v>4942.1450000000004</v>
      </c>
      <c r="G102" s="27">
        <v>9.0227799999999993E-3</v>
      </c>
      <c r="H102" s="17">
        <v>7.63</v>
      </c>
    </row>
    <row r="103" spans="1:8" x14ac:dyDescent="0.2">
      <c r="A103" s="23">
        <v>31</v>
      </c>
      <c r="B103" s="24" t="s">
        <v>389</v>
      </c>
      <c r="C103" s="24" t="s">
        <v>390</v>
      </c>
      <c r="D103" s="24" t="s">
        <v>145</v>
      </c>
      <c r="E103" s="25">
        <v>1000</v>
      </c>
      <c r="F103" s="26">
        <v>4939.03</v>
      </c>
      <c r="G103" s="27">
        <v>9.0170900000000002E-3</v>
      </c>
      <c r="H103" s="17">
        <v>7.2675000000000001</v>
      </c>
    </row>
    <row r="104" spans="1:8" x14ac:dyDescent="0.2">
      <c r="A104" s="23">
        <v>32</v>
      </c>
      <c r="B104" s="24" t="s">
        <v>391</v>
      </c>
      <c r="C104" s="24" t="s">
        <v>392</v>
      </c>
      <c r="D104" s="24" t="s">
        <v>145</v>
      </c>
      <c r="E104" s="25">
        <v>1000</v>
      </c>
      <c r="F104" s="26">
        <v>4928.3999999999996</v>
      </c>
      <c r="G104" s="27">
        <v>8.9976799999999992E-3</v>
      </c>
      <c r="H104" s="17">
        <v>7.3651</v>
      </c>
    </row>
    <row r="105" spans="1:8" x14ac:dyDescent="0.2">
      <c r="A105" s="23">
        <v>33</v>
      </c>
      <c r="B105" s="24" t="s">
        <v>393</v>
      </c>
      <c r="C105" s="24" t="s">
        <v>394</v>
      </c>
      <c r="D105" s="24" t="s">
        <v>145</v>
      </c>
      <c r="E105" s="25">
        <v>500</v>
      </c>
      <c r="F105" s="26">
        <v>2460.98</v>
      </c>
      <c r="G105" s="27">
        <v>4.4929599999999998E-3</v>
      </c>
      <c r="H105" s="17">
        <v>7.42</v>
      </c>
    </row>
    <row r="106" spans="1:8" ht="25.5" x14ac:dyDescent="0.2">
      <c r="A106" s="23">
        <v>34</v>
      </c>
      <c r="B106" s="24" t="s">
        <v>210</v>
      </c>
      <c r="C106" s="24" t="s">
        <v>211</v>
      </c>
      <c r="D106" s="24" t="s">
        <v>145</v>
      </c>
      <c r="E106" s="25">
        <v>500</v>
      </c>
      <c r="F106" s="26">
        <v>2457.2275</v>
      </c>
      <c r="G106" s="27">
        <v>4.4861099999999998E-3</v>
      </c>
      <c r="H106" s="17">
        <v>7.4749999999999996</v>
      </c>
    </row>
    <row r="107" spans="1:8" x14ac:dyDescent="0.2">
      <c r="A107" s="15"/>
      <c r="B107" s="15"/>
      <c r="C107" s="16" t="s">
        <v>11</v>
      </c>
      <c r="D107" s="15"/>
      <c r="E107" s="15" t="s">
        <v>12</v>
      </c>
      <c r="F107" s="22">
        <v>269685.08250000002</v>
      </c>
      <c r="G107" s="19">
        <v>0.49235884000000002</v>
      </c>
      <c r="H107" s="17" t="s">
        <v>12</v>
      </c>
    </row>
    <row r="108" spans="1:8" x14ac:dyDescent="0.2">
      <c r="A108" s="15"/>
      <c r="B108" s="15"/>
      <c r="C108" s="20"/>
      <c r="D108" s="15"/>
      <c r="E108" s="15"/>
      <c r="F108" s="21"/>
      <c r="G108" s="21"/>
      <c r="H108" s="17" t="s">
        <v>12</v>
      </c>
    </row>
    <row r="109" spans="1:8" x14ac:dyDescent="0.2">
      <c r="A109" s="15"/>
      <c r="B109" s="15"/>
      <c r="C109" s="16" t="s">
        <v>93</v>
      </c>
      <c r="D109" s="15"/>
      <c r="E109" s="15"/>
      <c r="F109" s="21"/>
      <c r="G109" s="21"/>
      <c r="H109" s="17" t="s">
        <v>12</v>
      </c>
    </row>
    <row r="110" spans="1:8" x14ac:dyDescent="0.2">
      <c r="A110" s="23">
        <v>1</v>
      </c>
      <c r="B110" s="24" t="s">
        <v>395</v>
      </c>
      <c r="C110" s="24" t="s">
        <v>396</v>
      </c>
      <c r="D110" s="24" t="s">
        <v>75</v>
      </c>
      <c r="E110" s="25">
        <v>20000000</v>
      </c>
      <c r="F110" s="26">
        <v>19872.080000000002</v>
      </c>
      <c r="G110" s="27">
        <v>3.6280069999999998E-2</v>
      </c>
      <c r="H110" s="17">
        <v>6.35</v>
      </c>
    </row>
    <row r="111" spans="1:8" x14ac:dyDescent="0.2">
      <c r="A111" s="23">
        <v>2</v>
      </c>
      <c r="B111" s="24" t="s">
        <v>397</v>
      </c>
      <c r="C111" s="24" t="s">
        <v>398</v>
      </c>
      <c r="D111" s="24" t="s">
        <v>75</v>
      </c>
      <c r="E111" s="25">
        <v>15000000</v>
      </c>
      <c r="F111" s="26">
        <v>14798.85</v>
      </c>
      <c r="G111" s="27">
        <v>2.7017969999999999E-2</v>
      </c>
      <c r="H111" s="17">
        <v>6.28</v>
      </c>
    </row>
    <row r="112" spans="1:8" x14ac:dyDescent="0.2">
      <c r="A112" s="23">
        <v>3</v>
      </c>
      <c r="B112" s="24" t="s">
        <v>399</v>
      </c>
      <c r="C112" s="24" t="s">
        <v>400</v>
      </c>
      <c r="D112" s="24" t="s">
        <v>75</v>
      </c>
      <c r="E112" s="25">
        <v>10000000</v>
      </c>
      <c r="F112" s="26">
        <v>9959.99</v>
      </c>
      <c r="G112" s="27">
        <v>1.818376E-2</v>
      </c>
      <c r="H112" s="17">
        <v>6.3776000000000002</v>
      </c>
    </row>
    <row r="113" spans="1:8" x14ac:dyDescent="0.2">
      <c r="A113" s="23">
        <v>4</v>
      </c>
      <c r="B113" s="24" t="s">
        <v>401</v>
      </c>
      <c r="C113" s="24" t="s">
        <v>402</v>
      </c>
      <c r="D113" s="24" t="s">
        <v>75</v>
      </c>
      <c r="E113" s="25">
        <v>10000000</v>
      </c>
      <c r="F113" s="26">
        <v>9948.6</v>
      </c>
      <c r="G113" s="27">
        <v>1.8162970000000001E-2</v>
      </c>
      <c r="H113" s="17">
        <v>6.2850000000000001</v>
      </c>
    </row>
    <row r="114" spans="1:8" x14ac:dyDescent="0.2">
      <c r="A114" s="23">
        <v>5</v>
      </c>
      <c r="B114" s="24" t="s">
        <v>403</v>
      </c>
      <c r="C114" s="24" t="s">
        <v>404</v>
      </c>
      <c r="D114" s="24" t="s">
        <v>75</v>
      </c>
      <c r="E114" s="25">
        <v>10000000</v>
      </c>
      <c r="F114" s="26">
        <v>9924.0300000000007</v>
      </c>
      <c r="G114" s="27">
        <v>1.811811E-2</v>
      </c>
      <c r="H114" s="17">
        <v>6.35</v>
      </c>
    </row>
    <row r="115" spans="1:8" x14ac:dyDescent="0.2">
      <c r="A115" s="23">
        <v>6</v>
      </c>
      <c r="B115" s="24" t="s">
        <v>405</v>
      </c>
      <c r="C115" s="24" t="s">
        <v>406</v>
      </c>
      <c r="D115" s="24" t="s">
        <v>75</v>
      </c>
      <c r="E115" s="25">
        <v>10000000</v>
      </c>
      <c r="F115" s="26">
        <v>9886.9599999999991</v>
      </c>
      <c r="G115" s="27">
        <v>1.8050429999999999E-2</v>
      </c>
      <c r="H115" s="17">
        <v>6.42</v>
      </c>
    </row>
    <row r="116" spans="1:8" x14ac:dyDescent="0.2">
      <c r="A116" s="23">
        <v>7</v>
      </c>
      <c r="B116" s="24" t="s">
        <v>407</v>
      </c>
      <c r="C116" s="24" t="s">
        <v>408</v>
      </c>
      <c r="D116" s="24" t="s">
        <v>75</v>
      </c>
      <c r="E116" s="25">
        <v>7500000</v>
      </c>
      <c r="F116" s="26">
        <v>7406.2425000000003</v>
      </c>
      <c r="G116" s="27">
        <v>1.3521429999999999E-2</v>
      </c>
      <c r="H116" s="17">
        <v>6.4173999999999998</v>
      </c>
    </row>
    <row r="117" spans="1:8" x14ac:dyDescent="0.2">
      <c r="A117" s="23">
        <v>8</v>
      </c>
      <c r="B117" s="24" t="s">
        <v>409</v>
      </c>
      <c r="C117" s="24" t="s">
        <v>410</v>
      </c>
      <c r="D117" s="24" t="s">
        <v>75</v>
      </c>
      <c r="E117" s="25">
        <v>3803600</v>
      </c>
      <c r="F117" s="26">
        <v>3764.9554240000002</v>
      </c>
      <c r="G117" s="27">
        <v>6.8736099999999996E-3</v>
      </c>
      <c r="H117" s="17">
        <v>6.35</v>
      </c>
    </row>
    <row r="118" spans="1:8" x14ac:dyDescent="0.2">
      <c r="A118" s="23">
        <v>9</v>
      </c>
      <c r="B118" s="24" t="s">
        <v>411</v>
      </c>
      <c r="C118" s="24" t="s">
        <v>412</v>
      </c>
      <c r="D118" s="24" t="s">
        <v>75</v>
      </c>
      <c r="E118" s="25">
        <v>2500000</v>
      </c>
      <c r="F118" s="26">
        <v>2495.7150000000001</v>
      </c>
      <c r="G118" s="27">
        <v>4.5563799999999996E-3</v>
      </c>
      <c r="H118" s="17">
        <v>6.2675000000000001</v>
      </c>
    </row>
    <row r="119" spans="1:8" x14ac:dyDescent="0.2">
      <c r="A119" s="15"/>
      <c r="B119" s="15"/>
      <c r="C119" s="16" t="s">
        <v>11</v>
      </c>
      <c r="D119" s="15"/>
      <c r="E119" s="15" t="s">
        <v>12</v>
      </c>
      <c r="F119" s="22">
        <v>88057.422923999999</v>
      </c>
      <c r="G119" s="19">
        <v>0.16076472999999999</v>
      </c>
      <c r="H119" s="17" t="s">
        <v>12</v>
      </c>
    </row>
    <row r="120" spans="1:8" x14ac:dyDescent="0.2">
      <c r="A120" s="15"/>
      <c r="B120" s="15"/>
      <c r="C120" s="20"/>
      <c r="D120" s="15"/>
      <c r="E120" s="15"/>
      <c r="F120" s="21"/>
      <c r="G120" s="21"/>
      <c r="H120" s="17" t="s">
        <v>12</v>
      </c>
    </row>
    <row r="121" spans="1:8" x14ac:dyDescent="0.2">
      <c r="A121" s="15"/>
      <c r="B121" s="15"/>
      <c r="C121" s="16" t="s">
        <v>94</v>
      </c>
      <c r="D121" s="15"/>
      <c r="E121" s="15"/>
      <c r="F121" s="21"/>
      <c r="G121" s="21"/>
      <c r="H121" s="17" t="s">
        <v>12</v>
      </c>
    </row>
    <row r="122" spans="1:8" x14ac:dyDescent="0.2">
      <c r="A122" s="23">
        <v>1</v>
      </c>
      <c r="B122" s="24"/>
      <c r="C122" s="24" t="s">
        <v>95</v>
      </c>
      <c r="D122" s="24"/>
      <c r="E122" s="28"/>
      <c r="F122" s="26">
        <v>40.888073800000001</v>
      </c>
      <c r="G122" s="27">
        <v>7.4649999999999998E-5</v>
      </c>
      <c r="H122" s="17">
        <v>6.76</v>
      </c>
    </row>
    <row r="123" spans="1:8" x14ac:dyDescent="0.2">
      <c r="A123" s="15"/>
      <c r="B123" s="15"/>
      <c r="C123" s="16" t="s">
        <v>11</v>
      </c>
      <c r="D123" s="15"/>
      <c r="E123" s="15" t="s">
        <v>12</v>
      </c>
      <c r="F123" s="22">
        <v>40.888073800000001</v>
      </c>
      <c r="G123" s="19">
        <v>7.4649999999999998E-5</v>
      </c>
      <c r="H123" s="17" t="s">
        <v>12</v>
      </c>
    </row>
    <row r="124" spans="1:8" x14ac:dyDescent="0.2">
      <c r="A124" s="15"/>
      <c r="B124" s="15"/>
      <c r="C124" s="20"/>
      <c r="D124" s="15"/>
      <c r="E124" s="15"/>
      <c r="F124" s="21"/>
      <c r="G124" s="21"/>
      <c r="H124" s="17" t="s">
        <v>12</v>
      </c>
    </row>
    <row r="125" spans="1:8" x14ac:dyDescent="0.2">
      <c r="A125" s="15"/>
      <c r="B125" s="15"/>
      <c r="C125" s="16" t="s">
        <v>96</v>
      </c>
      <c r="D125" s="15"/>
      <c r="E125" s="15"/>
      <c r="F125" s="22">
        <v>617311.24849779997</v>
      </c>
      <c r="G125" s="19">
        <v>1.1270131999999999</v>
      </c>
      <c r="H125" s="17" t="s">
        <v>12</v>
      </c>
    </row>
    <row r="126" spans="1:8" x14ac:dyDescent="0.2">
      <c r="A126" s="15"/>
      <c r="B126" s="15"/>
      <c r="C126" s="21"/>
      <c r="D126" s="15"/>
      <c r="E126" s="15"/>
      <c r="F126" s="15"/>
      <c r="G126" s="15"/>
      <c r="H126" s="17" t="s">
        <v>12</v>
      </c>
    </row>
    <row r="127" spans="1:8" x14ac:dyDescent="0.2">
      <c r="A127" s="15"/>
      <c r="B127" s="15"/>
      <c r="C127" s="16" t="s">
        <v>97</v>
      </c>
      <c r="D127" s="15"/>
      <c r="E127" s="15"/>
      <c r="F127" s="15"/>
      <c r="G127" s="15"/>
      <c r="H127" s="17" t="s">
        <v>12</v>
      </c>
    </row>
    <row r="128" spans="1:8" x14ac:dyDescent="0.2">
      <c r="A128" s="15"/>
      <c r="B128" s="15"/>
      <c r="C128" s="16" t="s">
        <v>98</v>
      </c>
      <c r="D128" s="15"/>
      <c r="E128" s="15"/>
      <c r="F128" s="15"/>
      <c r="G128" s="15"/>
      <c r="H128" s="17" t="s">
        <v>12</v>
      </c>
    </row>
    <row r="129" spans="1:17" x14ac:dyDescent="0.2">
      <c r="A129" s="15"/>
      <c r="B129" s="15"/>
      <c r="C129" s="16" t="s">
        <v>11</v>
      </c>
      <c r="D129" s="15"/>
      <c r="E129" s="15" t="s">
        <v>12</v>
      </c>
      <c r="F129" s="18" t="s">
        <v>13</v>
      </c>
      <c r="G129" s="19">
        <v>0</v>
      </c>
      <c r="H129" s="17" t="s">
        <v>12</v>
      </c>
    </row>
    <row r="130" spans="1:17" x14ac:dyDescent="0.2">
      <c r="A130" s="74"/>
      <c r="B130" s="74"/>
      <c r="C130" s="75"/>
      <c r="D130" s="74"/>
      <c r="E130" s="74"/>
      <c r="F130" s="76"/>
      <c r="G130" s="76"/>
      <c r="H130" s="72" t="s">
        <v>12</v>
      </c>
    </row>
    <row r="131" spans="1:17" x14ac:dyDescent="0.2">
      <c r="A131" s="74"/>
      <c r="B131" s="74"/>
      <c r="C131" s="51" t="s">
        <v>546</v>
      </c>
      <c r="D131" s="74"/>
      <c r="E131" s="74"/>
      <c r="F131" s="76"/>
      <c r="G131" s="76"/>
      <c r="H131" s="70"/>
      <c r="K131" s="53"/>
      <c r="L131" s="53"/>
      <c r="M131" s="53"/>
      <c r="N131" s="53"/>
      <c r="O131" s="77"/>
      <c r="P131" s="77"/>
      <c r="Q131" s="77"/>
    </row>
    <row r="132" spans="1:17" ht="25.5" x14ac:dyDescent="0.2">
      <c r="A132" s="67">
        <v>1</v>
      </c>
      <c r="B132" s="68" t="s">
        <v>99</v>
      </c>
      <c r="C132" s="68" t="s">
        <v>100</v>
      </c>
      <c r="D132" s="68"/>
      <c r="E132" s="78">
        <v>13489.8614</v>
      </c>
      <c r="F132" s="70">
        <v>1488.5564413909999</v>
      </c>
      <c r="G132" s="71">
        <v>2.71763E-3</v>
      </c>
      <c r="H132" s="72"/>
    </row>
    <row r="133" spans="1:17" x14ac:dyDescent="0.2">
      <c r="A133" s="74"/>
      <c r="B133" s="74"/>
      <c r="C133" s="51" t="s">
        <v>11</v>
      </c>
      <c r="D133" s="74"/>
      <c r="E133" s="74" t="s">
        <v>12</v>
      </c>
      <c r="F133" s="79">
        <f>SUM(F132)</f>
        <v>1488.5564413909999</v>
      </c>
      <c r="G133" s="80">
        <f>SUM(G132)</f>
        <v>2.71763E-3</v>
      </c>
      <c r="H133" s="72" t="s">
        <v>12</v>
      </c>
    </row>
    <row r="134" spans="1:17" x14ac:dyDescent="0.2">
      <c r="A134" s="15"/>
      <c r="B134" s="15"/>
      <c r="C134" s="20"/>
      <c r="D134" s="15"/>
      <c r="E134" s="15"/>
      <c r="F134" s="21"/>
      <c r="G134" s="21"/>
      <c r="H134" s="17" t="s">
        <v>12</v>
      </c>
    </row>
    <row r="135" spans="1:17" x14ac:dyDescent="0.2">
      <c r="A135" s="15"/>
      <c r="B135" s="15"/>
      <c r="C135" s="16" t="s">
        <v>101</v>
      </c>
      <c r="D135" s="15"/>
      <c r="E135" s="15"/>
      <c r="F135" s="15"/>
      <c r="G135" s="15"/>
      <c r="H135" s="17" t="s">
        <v>12</v>
      </c>
    </row>
    <row r="136" spans="1:17" x14ac:dyDescent="0.2">
      <c r="A136" s="15"/>
      <c r="B136" s="15"/>
      <c r="C136" s="16" t="s">
        <v>102</v>
      </c>
      <c r="D136" s="15"/>
      <c r="E136" s="15"/>
      <c r="F136" s="15"/>
      <c r="G136" s="15"/>
      <c r="H136" s="17" t="s">
        <v>12</v>
      </c>
    </row>
    <row r="137" spans="1:17" x14ac:dyDescent="0.2">
      <c r="A137" s="15"/>
      <c r="B137" s="15"/>
      <c r="C137" s="16" t="s">
        <v>11</v>
      </c>
      <c r="D137" s="15"/>
      <c r="E137" s="15" t="s">
        <v>12</v>
      </c>
      <c r="F137" s="18" t="s">
        <v>13</v>
      </c>
      <c r="G137" s="19">
        <v>0</v>
      </c>
      <c r="H137" s="17" t="s">
        <v>12</v>
      </c>
    </row>
    <row r="138" spans="1:17" x14ac:dyDescent="0.2">
      <c r="A138" s="15"/>
      <c r="B138" s="15"/>
      <c r="C138" s="20"/>
      <c r="D138" s="15"/>
      <c r="E138" s="15"/>
      <c r="F138" s="21"/>
      <c r="G138" s="21"/>
      <c r="H138" s="17" t="s">
        <v>12</v>
      </c>
    </row>
    <row r="139" spans="1:17" x14ac:dyDescent="0.2">
      <c r="A139" s="15"/>
      <c r="B139" s="15"/>
      <c r="C139" s="16" t="s">
        <v>103</v>
      </c>
      <c r="D139" s="15"/>
      <c r="E139" s="15"/>
      <c r="F139" s="21"/>
      <c r="G139" s="21"/>
      <c r="H139" s="17" t="s">
        <v>12</v>
      </c>
    </row>
    <row r="140" spans="1:17" x14ac:dyDescent="0.2">
      <c r="A140" s="15"/>
      <c r="B140" s="15"/>
      <c r="C140" s="16" t="s">
        <v>11</v>
      </c>
      <c r="D140" s="15"/>
      <c r="E140" s="15" t="s">
        <v>12</v>
      </c>
      <c r="F140" s="18" t="s">
        <v>13</v>
      </c>
      <c r="G140" s="19">
        <v>0</v>
      </c>
      <c r="H140" s="17" t="s">
        <v>12</v>
      </c>
    </row>
    <row r="141" spans="1:17" x14ac:dyDescent="0.2">
      <c r="A141" s="15"/>
      <c r="B141" s="15"/>
      <c r="C141" s="20"/>
      <c r="D141" s="15"/>
      <c r="E141" s="15"/>
      <c r="F141" s="21"/>
      <c r="G141" s="21"/>
      <c r="H141" s="17" t="s">
        <v>12</v>
      </c>
    </row>
    <row r="142" spans="1:17" x14ac:dyDescent="0.2">
      <c r="A142" s="28"/>
      <c r="B142" s="24"/>
      <c r="C142" s="24" t="s">
        <v>104</v>
      </c>
      <c r="D142" s="24"/>
      <c r="E142" s="28"/>
      <c r="F142" s="26">
        <f>-71058.86269341-0.000824390869140625</f>
        <v>-71058.86351780087</v>
      </c>
      <c r="G142" s="27">
        <v>-0.12973079000000001</v>
      </c>
      <c r="H142" s="17" t="s">
        <v>12</v>
      </c>
    </row>
    <row r="143" spans="1:17" x14ac:dyDescent="0.2">
      <c r="A143" s="20"/>
      <c r="B143" s="20"/>
      <c r="C143" s="16" t="s">
        <v>105</v>
      </c>
      <c r="D143" s="21"/>
      <c r="E143" s="21"/>
      <c r="F143" s="22">
        <f>547740.942245781-0.000824390869140625</f>
        <v>547740.94142139005</v>
      </c>
      <c r="G143" s="29">
        <v>1.00000004</v>
      </c>
      <c r="H143" s="17" t="s">
        <v>12</v>
      </c>
    </row>
    <row r="144" spans="1:17" x14ac:dyDescent="0.2">
      <c r="A144" s="30"/>
      <c r="B144" s="30"/>
      <c r="C144" s="30"/>
      <c r="D144" s="31"/>
      <c r="E144" s="31"/>
      <c r="F144" s="31"/>
      <c r="G144" s="31"/>
    </row>
    <row r="145" spans="1:9" x14ac:dyDescent="0.2">
      <c r="A145" s="32"/>
      <c r="B145" s="165" t="s">
        <v>547</v>
      </c>
      <c r="C145" s="165"/>
      <c r="D145" s="165"/>
      <c r="E145" s="165"/>
      <c r="F145" s="165"/>
      <c r="G145" s="165"/>
      <c r="H145" s="165"/>
    </row>
    <row r="146" spans="1:9" x14ac:dyDescent="0.2">
      <c r="A146" s="32"/>
      <c r="B146" s="165" t="s">
        <v>548</v>
      </c>
      <c r="C146" s="165"/>
      <c r="D146" s="165"/>
      <c r="E146" s="165"/>
      <c r="F146" s="165"/>
      <c r="G146" s="165"/>
      <c r="H146" s="165"/>
    </row>
    <row r="147" spans="1:9" x14ac:dyDescent="0.2">
      <c r="A147" s="32"/>
      <c r="B147" s="165" t="s">
        <v>549</v>
      </c>
      <c r="C147" s="165"/>
      <c r="D147" s="165"/>
      <c r="E147" s="165"/>
      <c r="F147" s="165"/>
      <c r="G147" s="165"/>
      <c r="H147" s="165"/>
    </row>
    <row r="148" spans="1:9" x14ac:dyDescent="0.2">
      <c r="A148" s="32"/>
      <c r="B148" s="198" t="s">
        <v>608</v>
      </c>
      <c r="C148" s="165"/>
      <c r="D148" s="165"/>
      <c r="E148" s="165"/>
      <c r="F148" s="165"/>
      <c r="G148" s="165"/>
      <c r="H148" s="165"/>
      <c r="I148" s="113"/>
    </row>
    <row r="149" spans="1:9" x14ac:dyDescent="0.2">
      <c r="A149" s="32"/>
      <c r="B149" s="32"/>
      <c r="C149" s="32"/>
      <c r="D149" s="34"/>
      <c r="E149" s="34"/>
      <c r="F149" s="34"/>
      <c r="G149" s="34"/>
    </row>
    <row r="150" spans="1:9" x14ac:dyDescent="0.2">
      <c r="A150" s="35"/>
      <c r="B150" s="158" t="s">
        <v>106</v>
      </c>
      <c r="C150" s="159"/>
      <c r="D150" s="160"/>
      <c r="E150" s="36"/>
      <c r="F150" s="37"/>
      <c r="G150" s="37"/>
    </row>
    <row r="151" spans="1:9" ht="25.5" x14ac:dyDescent="0.2">
      <c r="A151" s="35"/>
      <c r="B151" s="161" t="s">
        <v>107</v>
      </c>
      <c r="C151" s="162"/>
      <c r="D151" s="51" t="s">
        <v>571</v>
      </c>
      <c r="E151" s="36"/>
      <c r="F151" s="37"/>
      <c r="G151" s="37"/>
    </row>
    <row r="152" spans="1:9" x14ac:dyDescent="0.2">
      <c r="A152" s="35"/>
      <c r="B152" s="161" t="s">
        <v>109</v>
      </c>
      <c r="C152" s="162"/>
      <c r="D152" s="16" t="s">
        <v>108</v>
      </c>
      <c r="E152" s="36"/>
      <c r="F152" s="37"/>
      <c r="G152" s="37"/>
    </row>
    <row r="153" spans="1:9" x14ac:dyDescent="0.2">
      <c r="A153" s="35"/>
      <c r="B153" s="161" t="s">
        <v>110</v>
      </c>
      <c r="C153" s="162"/>
      <c r="D153" s="21" t="s">
        <v>12</v>
      </c>
      <c r="E153" s="36"/>
      <c r="F153" s="37"/>
      <c r="G153" s="37"/>
    </row>
    <row r="154" spans="1:9" x14ac:dyDescent="0.2">
      <c r="A154" s="38"/>
      <c r="B154" s="39" t="s">
        <v>12</v>
      </c>
      <c r="C154" s="39" t="s">
        <v>550</v>
      </c>
      <c r="D154" s="39" t="s">
        <v>111</v>
      </c>
      <c r="E154" s="38"/>
      <c r="F154" s="38"/>
      <c r="G154" s="38"/>
    </row>
    <row r="155" spans="1:9" x14ac:dyDescent="0.2">
      <c r="A155" s="38"/>
      <c r="B155" s="40" t="s">
        <v>112</v>
      </c>
      <c r="C155" s="41">
        <v>45731</v>
      </c>
      <c r="D155" s="41">
        <v>45747</v>
      </c>
      <c r="E155" s="38"/>
      <c r="F155" s="38"/>
      <c r="G155" s="38"/>
    </row>
    <row r="156" spans="1:9" x14ac:dyDescent="0.2">
      <c r="A156" s="42"/>
      <c r="B156" s="24" t="s">
        <v>113</v>
      </c>
      <c r="C156" s="43">
        <v>2282.3287</v>
      </c>
      <c r="D156" s="43">
        <v>2291.73</v>
      </c>
      <c r="E156" s="42"/>
      <c r="F156" s="44"/>
      <c r="G156" s="45"/>
    </row>
    <row r="157" spans="1:9" x14ac:dyDescent="0.2">
      <c r="A157" s="42"/>
      <c r="B157" s="24" t="s">
        <v>148</v>
      </c>
      <c r="C157" s="43">
        <v>1255.0649000000001</v>
      </c>
      <c r="D157" s="43">
        <v>1260.2338</v>
      </c>
      <c r="E157" s="42"/>
      <c r="F157" s="44"/>
      <c r="G157" s="45"/>
    </row>
    <row r="158" spans="1:9" ht="25.5" x14ac:dyDescent="0.2">
      <c r="A158" s="42"/>
      <c r="B158" s="24" t="s">
        <v>670</v>
      </c>
      <c r="C158" s="43">
        <v>1029.3044</v>
      </c>
      <c r="D158" s="43">
        <v>1028.396</v>
      </c>
      <c r="E158" s="42"/>
      <c r="F158" s="44"/>
      <c r="G158" s="45"/>
    </row>
    <row r="159" spans="1:9" ht="25.5" x14ac:dyDescent="0.2">
      <c r="A159" s="42"/>
      <c r="B159" s="24" t="s">
        <v>671</v>
      </c>
      <c r="C159" s="43">
        <v>1146.6887999999999</v>
      </c>
      <c r="D159" s="43">
        <v>1151.4123</v>
      </c>
      <c r="E159" s="42"/>
      <c r="F159" s="44"/>
      <c r="G159" s="45"/>
    </row>
    <row r="160" spans="1:9" x14ac:dyDescent="0.2">
      <c r="A160" s="42"/>
      <c r="B160" s="24" t="s">
        <v>114</v>
      </c>
      <c r="C160" s="43">
        <v>2257.3274999999999</v>
      </c>
      <c r="D160" s="43">
        <v>2266.3577</v>
      </c>
      <c r="E160" s="42"/>
      <c r="F160" s="44"/>
      <c r="G160" s="45"/>
    </row>
    <row r="161" spans="1:17" x14ac:dyDescent="0.2">
      <c r="A161" s="42"/>
      <c r="B161" s="24" t="s">
        <v>149</v>
      </c>
      <c r="C161" s="43">
        <v>1249.4993999999999</v>
      </c>
      <c r="D161" s="43">
        <v>1254.4979000000001</v>
      </c>
      <c r="E161" s="42"/>
      <c r="F161" s="44"/>
      <c r="G161" s="45"/>
    </row>
    <row r="162" spans="1:17" ht="25.5" x14ac:dyDescent="0.2">
      <c r="A162" s="42"/>
      <c r="B162" s="24" t="s">
        <v>674</v>
      </c>
      <c r="C162" s="43">
        <v>1029.0507</v>
      </c>
      <c r="D162" s="43">
        <v>1028.0152</v>
      </c>
      <c r="E162" s="42"/>
      <c r="F162" s="44"/>
      <c r="G162" s="45"/>
    </row>
    <row r="163" spans="1:17" ht="25.5" x14ac:dyDescent="0.2">
      <c r="A163" s="42"/>
      <c r="B163" s="24" t="s">
        <v>646</v>
      </c>
      <c r="C163" s="43">
        <v>1141.79</v>
      </c>
      <c r="D163" s="43">
        <v>1146.3577</v>
      </c>
      <c r="E163" s="42"/>
      <c r="F163" s="44"/>
      <c r="G163" s="45"/>
    </row>
    <row r="164" spans="1:17" x14ac:dyDescent="0.2">
      <c r="A164" s="42"/>
      <c r="B164" s="42"/>
      <c r="C164" s="42"/>
      <c r="D164" s="42"/>
      <c r="E164" s="42"/>
      <c r="F164" s="42"/>
      <c r="G164" s="42"/>
    </row>
    <row r="165" spans="1:17" x14ac:dyDescent="0.2">
      <c r="A165" s="42"/>
      <c r="B165" s="161" t="s">
        <v>563</v>
      </c>
      <c r="C165" s="162"/>
      <c r="D165" s="16" t="s">
        <v>12</v>
      </c>
      <c r="E165" s="42"/>
      <c r="F165" s="42"/>
      <c r="G165" s="42"/>
    </row>
    <row r="166" spans="1:17" x14ac:dyDescent="0.2">
      <c r="A166" s="42"/>
      <c r="B166" s="46" t="s">
        <v>112</v>
      </c>
      <c r="C166" s="47" t="s">
        <v>115</v>
      </c>
      <c r="D166" s="47" t="s">
        <v>116</v>
      </c>
      <c r="E166" s="42"/>
      <c r="F166" s="42"/>
      <c r="G166" s="42"/>
    </row>
    <row r="167" spans="1:17" ht="25.5" x14ac:dyDescent="0.2">
      <c r="A167" s="42"/>
      <c r="B167" s="24" t="s">
        <v>670</v>
      </c>
      <c r="C167" s="48">
        <v>5.13</v>
      </c>
      <c r="D167" s="48">
        <v>5.13</v>
      </c>
      <c r="E167" s="42"/>
      <c r="F167" s="44"/>
      <c r="G167" s="45"/>
    </row>
    <row r="168" spans="1:17" ht="25.5" x14ac:dyDescent="0.2">
      <c r="A168" s="42"/>
      <c r="B168" s="24" t="s">
        <v>674</v>
      </c>
      <c r="C168" s="48">
        <v>5.13</v>
      </c>
      <c r="D168" s="48">
        <v>5.13</v>
      </c>
      <c r="E168" s="42"/>
      <c r="F168" s="44"/>
      <c r="G168" s="45"/>
    </row>
    <row r="169" spans="1:17" x14ac:dyDescent="0.2">
      <c r="A169" s="42"/>
      <c r="B169" s="49"/>
      <c r="C169" s="49"/>
      <c r="D169" s="50"/>
      <c r="E169" s="42"/>
      <c r="F169" s="44"/>
      <c r="G169" s="45"/>
    </row>
    <row r="170" spans="1:17" x14ac:dyDescent="0.2">
      <c r="A170" s="38"/>
      <c r="B170" s="94"/>
      <c r="C170" s="94"/>
      <c r="D170" s="95"/>
      <c r="E170" s="38"/>
      <c r="F170" s="33"/>
      <c r="G170" s="96"/>
    </row>
    <row r="171" spans="1:17" s="55" customFormat="1" x14ac:dyDescent="0.2">
      <c r="A171" s="96"/>
      <c r="B171" s="163" t="s">
        <v>564</v>
      </c>
      <c r="C171" s="164"/>
      <c r="D171" s="51" t="s">
        <v>108</v>
      </c>
      <c r="E171" s="96"/>
      <c r="F171" s="96"/>
      <c r="G171" s="96"/>
      <c r="I171" s="113"/>
      <c r="J171" s="14"/>
      <c r="K171" s="53"/>
      <c r="L171" s="53"/>
      <c r="M171" s="53"/>
      <c r="N171" s="53"/>
      <c r="O171" s="56"/>
      <c r="P171"/>
      <c r="Q171"/>
    </row>
    <row r="172" spans="1:17" ht="27.75" customHeight="1" x14ac:dyDescent="0.2">
      <c r="A172" s="38"/>
      <c r="B172" s="163" t="s">
        <v>565</v>
      </c>
      <c r="C172" s="164"/>
      <c r="D172" s="51" t="s">
        <v>108</v>
      </c>
      <c r="E172" s="52"/>
      <c r="F172" s="38"/>
      <c r="G172" s="38"/>
      <c r="I172" s="113"/>
      <c r="J172" s="14"/>
    </row>
    <row r="173" spans="1:17" ht="26.25" customHeight="1" x14ac:dyDescent="0.2">
      <c r="A173" s="38"/>
      <c r="B173" s="163" t="s">
        <v>566</v>
      </c>
      <c r="C173" s="164"/>
      <c r="D173" s="51" t="s">
        <v>108</v>
      </c>
      <c r="E173" s="52"/>
      <c r="F173" s="38"/>
      <c r="G173" s="38"/>
      <c r="I173" s="113"/>
      <c r="J173" s="14"/>
    </row>
    <row r="174" spans="1:17" x14ac:dyDescent="0.2">
      <c r="A174" s="38"/>
      <c r="B174" s="163" t="s">
        <v>567</v>
      </c>
      <c r="C174" s="164"/>
      <c r="D174" s="51" t="s">
        <v>108</v>
      </c>
      <c r="E174" s="52"/>
      <c r="F174" s="38"/>
      <c r="G174" s="38"/>
      <c r="I174" s="113"/>
      <c r="J174" s="14"/>
    </row>
    <row r="175" spans="1:17" x14ac:dyDescent="0.2">
      <c r="A175" s="54"/>
      <c r="B175" s="54"/>
      <c r="C175" s="54"/>
      <c r="D175" s="54"/>
      <c r="E175" s="54"/>
      <c r="F175" s="54"/>
      <c r="G175" s="54"/>
      <c r="I175" s="113"/>
      <c r="J175" s="14"/>
    </row>
    <row r="176" spans="1:17" s="55" customFormat="1" x14ac:dyDescent="0.2">
      <c r="B176" s="135" t="s">
        <v>678</v>
      </c>
      <c r="C176" s="135"/>
      <c r="D176" s="135"/>
      <c r="E176" s="135"/>
      <c r="F176" s="135"/>
      <c r="G176" s="135"/>
      <c r="I176" s="113"/>
      <c r="J176" s="14"/>
      <c r="K176" s="53"/>
      <c r="L176" s="53"/>
      <c r="M176" s="53"/>
      <c r="N176" s="53"/>
      <c r="O176"/>
    </row>
    <row r="177" spans="2:18" ht="13.5" x14ac:dyDescent="0.25">
      <c r="B177" s="142"/>
      <c r="C177" s="143"/>
      <c r="D177" s="152"/>
      <c r="E177" s="152"/>
      <c r="F177" s="10"/>
      <c r="G177" s="145"/>
      <c r="H177" s="9"/>
      <c r="I177" s="9"/>
      <c r="J177" s="9"/>
      <c r="K177" s="53"/>
      <c r="L177" s="53"/>
      <c r="M177" s="53"/>
      <c r="N177" s="53"/>
      <c r="O177" s="53"/>
      <c r="P177" s="53"/>
    </row>
    <row r="178" spans="2:18" ht="13.5" customHeight="1" x14ac:dyDescent="0.2">
      <c r="B178" s="185" t="s">
        <v>573</v>
      </c>
      <c r="C178" s="185" t="s">
        <v>574</v>
      </c>
      <c r="D178" s="188" t="s">
        <v>584</v>
      </c>
      <c r="E178" s="189"/>
      <c r="F178" s="190"/>
      <c r="G178" s="191" t="s">
        <v>592</v>
      </c>
      <c r="H178" s="192"/>
      <c r="I178" s="183" t="s">
        <v>593</v>
      </c>
      <c r="J178" s="53"/>
      <c r="K178" s="53"/>
      <c r="L178" s="53"/>
      <c r="M178" s="53"/>
      <c r="N178" s="53"/>
      <c r="O178" s="53"/>
    </row>
    <row r="179" spans="2:18" ht="46.5" customHeight="1" x14ac:dyDescent="0.2">
      <c r="B179" s="186"/>
      <c r="C179" s="186"/>
      <c r="D179" s="183" t="s">
        <v>594</v>
      </c>
      <c r="E179" s="183" t="s">
        <v>595</v>
      </c>
      <c r="F179" s="183" t="s">
        <v>596</v>
      </c>
      <c r="G179" s="193"/>
      <c r="H179" s="194"/>
      <c r="I179" s="195"/>
      <c r="J179" s="53"/>
      <c r="K179" s="53"/>
      <c r="L179" s="53"/>
      <c r="M179" s="53"/>
      <c r="N179" s="53"/>
      <c r="O179" s="53"/>
    </row>
    <row r="180" spans="2:18" ht="21" customHeight="1" x14ac:dyDescent="0.2">
      <c r="B180" s="187"/>
      <c r="C180" s="187"/>
      <c r="D180" s="184"/>
      <c r="E180" s="184"/>
      <c r="F180" s="184"/>
      <c r="G180" s="83" t="s">
        <v>597</v>
      </c>
      <c r="H180" s="83" t="s">
        <v>598</v>
      </c>
      <c r="I180" s="184"/>
      <c r="J180" s="53"/>
      <c r="K180" s="53"/>
      <c r="L180" s="53"/>
      <c r="M180" s="53"/>
      <c r="N180" s="53"/>
      <c r="O180" s="53"/>
    </row>
    <row r="181" spans="2:18" ht="13.5" x14ac:dyDescent="0.25">
      <c r="B181" s="87" t="s">
        <v>599</v>
      </c>
      <c r="C181" s="86" t="s">
        <v>600</v>
      </c>
      <c r="D181" s="153">
        <v>5523.9823999999999</v>
      </c>
      <c r="E181" s="150">
        <v>126.0176</v>
      </c>
      <c r="F181" s="151">
        <f>D181+E181</f>
        <v>5650</v>
      </c>
      <c r="G181" s="8">
        <v>239</v>
      </c>
      <c r="H181" s="8">
        <v>151</v>
      </c>
      <c r="I181" s="8">
        <f>G181+H181</f>
        <v>390</v>
      </c>
      <c r="J181" s="53"/>
      <c r="K181" s="53"/>
      <c r="L181" s="53"/>
      <c r="M181" s="53"/>
      <c r="N181" s="53"/>
      <c r="O181" s="53"/>
    </row>
    <row r="182" spans="2:18" ht="6.75" customHeight="1" x14ac:dyDescent="0.25">
      <c r="B182" s="142"/>
      <c r="C182" s="143"/>
      <c r="D182" s="144"/>
      <c r="E182" s="10"/>
      <c r="F182" s="145"/>
      <c r="G182" s="9"/>
      <c r="H182" s="9"/>
      <c r="I182" s="9"/>
      <c r="J182" s="53"/>
      <c r="K182" s="53"/>
      <c r="L182" s="53"/>
      <c r="M182" s="53"/>
      <c r="N182" s="53"/>
      <c r="O182" s="53"/>
    </row>
    <row r="183" spans="2:18" ht="42" customHeight="1" x14ac:dyDescent="0.2">
      <c r="B183" s="182" t="s">
        <v>601</v>
      </c>
      <c r="C183" s="182"/>
      <c r="D183" s="182"/>
      <c r="E183" s="182"/>
      <c r="F183" s="182"/>
      <c r="G183" s="182"/>
      <c r="H183" s="182"/>
      <c r="I183" s="182"/>
      <c r="J183" s="182"/>
      <c r="K183" s="53"/>
      <c r="L183" s="53"/>
      <c r="M183" s="53"/>
      <c r="N183" s="53"/>
      <c r="O183" s="53"/>
    </row>
    <row r="184" spans="2:18" ht="13.5" x14ac:dyDescent="0.25">
      <c r="B184" s="142"/>
      <c r="C184" s="143"/>
      <c r="D184" s="144"/>
      <c r="E184" s="10"/>
      <c r="F184" s="10"/>
      <c r="G184" s="145"/>
      <c r="H184" s="9"/>
      <c r="I184" s="9"/>
      <c r="J184" s="9"/>
      <c r="K184" s="53"/>
      <c r="L184" s="53"/>
      <c r="M184" s="53"/>
      <c r="N184" s="53"/>
      <c r="O184" s="53"/>
      <c r="P184" s="53"/>
    </row>
    <row r="185" spans="2:18" ht="13.5" x14ac:dyDescent="0.25">
      <c r="B185" s="92" t="s">
        <v>602</v>
      </c>
      <c r="I185" s="53"/>
      <c r="J185" s="14"/>
      <c r="K185" s="53"/>
      <c r="L185" s="53"/>
      <c r="M185" s="53"/>
      <c r="N185" s="53"/>
      <c r="O185" s="53"/>
      <c r="P185" s="53"/>
    </row>
    <row r="186" spans="2:18" x14ac:dyDescent="0.2">
      <c r="B186" s="93"/>
      <c r="J186" s="14"/>
      <c r="K186" s="53"/>
      <c r="L186" s="53"/>
      <c r="M186" s="53"/>
      <c r="N186" s="53"/>
      <c r="O186" s="53"/>
    </row>
    <row r="187" spans="2:18" x14ac:dyDescent="0.2">
      <c r="B187" s="93" t="s">
        <v>606</v>
      </c>
      <c r="J187" s="14"/>
      <c r="K187" s="53"/>
      <c r="L187" s="53"/>
      <c r="M187" s="53"/>
      <c r="N187" s="53"/>
      <c r="O187" s="53"/>
    </row>
    <row r="188" spans="2:18" s="55" customFormat="1" x14ac:dyDescent="0.2">
      <c r="I188" s="113"/>
      <c r="J188" s="14"/>
      <c r="K188" s="53"/>
      <c r="L188" s="53"/>
      <c r="M188" s="53"/>
      <c r="N188" s="53"/>
      <c r="O188"/>
      <c r="R188"/>
    </row>
    <row r="189" spans="2:18" s="55" customFormat="1" x14ac:dyDescent="0.2">
      <c r="B189" s="166" t="s">
        <v>552</v>
      </c>
      <c r="C189" s="167"/>
      <c r="D189" s="168"/>
      <c r="I189" s="113"/>
      <c r="J189" s="14"/>
      <c r="K189" s="53"/>
      <c r="L189" s="53"/>
      <c r="M189" s="53"/>
      <c r="N189" s="53"/>
      <c r="O189"/>
      <c r="R189"/>
    </row>
    <row r="190" spans="2:18" s="55" customFormat="1" ht="25.5" x14ac:dyDescent="0.2">
      <c r="B190" s="156" t="s">
        <v>553</v>
      </c>
      <c r="C190" s="156"/>
      <c r="D190" s="57" t="s">
        <v>276</v>
      </c>
      <c r="I190" s="113"/>
      <c r="J190" s="14"/>
      <c r="K190" s="53"/>
      <c r="L190" s="53"/>
      <c r="M190" s="53"/>
      <c r="N190" s="53"/>
      <c r="O190"/>
      <c r="R190"/>
    </row>
    <row r="191" spans="2:18" s="55" customFormat="1" x14ac:dyDescent="0.2">
      <c r="B191" s="169" t="s">
        <v>554</v>
      </c>
      <c r="C191" s="169"/>
      <c r="D191" s="58"/>
      <c r="I191" s="113"/>
      <c r="J191" s="14"/>
      <c r="K191" s="53"/>
      <c r="L191" s="53"/>
      <c r="M191" s="53"/>
      <c r="N191" s="53"/>
      <c r="O191"/>
      <c r="R191"/>
    </row>
    <row r="192" spans="2:18" s="55" customFormat="1" x14ac:dyDescent="0.2">
      <c r="B192" s="169"/>
      <c r="C192" s="169"/>
      <c r="D192" s="59"/>
      <c r="I192" s="113"/>
      <c r="J192" s="14"/>
      <c r="K192" s="53"/>
      <c r="L192" s="53"/>
      <c r="M192" s="53"/>
      <c r="N192" s="53"/>
      <c r="O192"/>
      <c r="R192"/>
    </row>
    <row r="193" spans="2:18" s="55" customFormat="1" x14ac:dyDescent="0.2">
      <c r="B193" s="169" t="s">
        <v>555</v>
      </c>
      <c r="C193" s="169"/>
      <c r="D193" s="60">
        <v>7.0638437866577872</v>
      </c>
      <c r="I193" s="113"/>
      <c r="J193" s="14"/>
      <c r="K193" s="53"/>
      <c r="L193" s="53"/>
      <c r="M193" s="53"/>
      <c r="N193" s="53"/>
      <c r="O193"/>
      <c r="R193"/>
    </row>
    <row r="194" spans="2:18" s="55" customFormat="1" x14ac:dyDescent="0.2">
      <c r="B194" s="169"/>
      <c r="C194" s="169"/>
      <c r="D194" s="59"/>
      <c r="I194" s="113"/>
      <c r="J194" s="14"/>
      <c r="K194" s="53"/>
      <c r="L194" s="53"/>
      <c r="M194" s="53"/>
      <c r="N194" s="53"/>
      <c r="O194"/>
      <c r="R194"/>
    </row>
    <row r="195" spans="2:18" s="55" customFormat="1" x14ac:dyDescent="0.2">
      <c r="B195" s="169" t="s">
        <v>556</v>
      </c>
      <c r="C195" s="169"/>
      <c r="D195" s="60">
        <v>0.17269660109387505</v>
      </c>
      <c r="I195" s="113"/>
      <c r="J195" s="14"/>
      <c r="K195" s="53"/>
      <c r="L195" s="53"/>
      <c r="M195" s="53"/>
      <c r="N195" s="53"/>
      <c r="O195"/>
      <c r="R195"/>
    </row>
    <row r="196" spans="2:18" s="55" customFormat="1" x14ac:dyDescent="0.2">
      <c r="B196" s="169" t="s">
        <v>557</v>
      </c>
      <c r="C196" s="169"/>
      <c r="D196" s="60">
        <v>0.17269660109387505</v>
      </c>
      <c r="I196" s="113"/>
      <c r="J196" s="14"/>
      <c r="K196" s="53"/>
      <c r="L196" s="53"/>
      <c r="M196" s="53"/>
      <c r="N196" s="53"/>
      <c r="O196"/>
      <c r="R196"/>
    </row>
    <row r="197" spans="2:18" s="55" customFormat="1" x14ac:dyDescent="0.2">
      <c r="B197" s="169"/>
      <c r="C197" s="169"/>
      <c r="D197" s="59"/>
      <c r="I197" s="113"/>
      <c r="J197" s="14"/>
      <c r="K197" s="53"/>
      <c r="L197" s="53"/>
      <c r="M197" s="53"/>
      <c r="N197" s="53"/>
      <c r="O197"/>
      <c r="P197"/>
      <c r="Q197"/>
      <c r="R197"/>
    </row>
    <row r="198" spans="2:18" s="55" customFormat="1" x14ac:dyDescent="0.2">
      <c r="B198" s="169" t="s">
        <v>558</v>
      </c>
      <c r="C198" s="169"/>
      <c r="D198" s="62" t="s">
        <v>677</v>
      </c>
      <c r="I198" s="113"/>
      <c r="J198" s="14"/>
      <c r="K198" s="53"/>
      <c r="L198" s="53"/>
      <c r="M198" s="53"/>
      <c r="N198" s="53"/>
      <c r="O198" s="56"/>
    </row>
    <row r="199" spans="2:18" s="55" customFormat="1" x14ac:dyDescent="0.2">
      <c r="B199" s="170" t="s">
        <v>559</v>
      </c>
      <c r="C199" s="172"/>
      <c r="D199" s="171"/>
      <c r="I199" s="113"/>
      <c r="J199" s="14"/>
      <c r="K199" s="53"/>
      <c r="L199" s="53"/>
      <c r="M199" s="53"/>
      <c r="N199" s="53"/>
      <c r="O199"/>
      <c r="P199"/>
      <c r="Q199"/>
      <c r="R199"/>
    </row>
    <row r="200" spans="2:18" x14ac:dyDescent="0.2">
      <c r="I200" s="113"/>
      <c r="J200" s="14"/>
    </row>
    <row r="201" spans="2:18" x14ac:dyDescent="0.2">
      <c r="B201" s="64" t="s">
        <v>560</v>
      </c>
      <c r="I201" s="113"/>
    </row>
    <row r="202" spans="2:18" x14ac:dyDescent="0.2">
      <c r="I202" s="113"/>
    </row>
    <row r="203" spans="2:18" ht="153.75" customHeight="1" x14ac:dyDescent="0.2">
      <c r="I203" s="113"/>
    </row>
    <row r="204" spans="2:18" x14ac:dyDescent="0.2">
      <c r="I204" s="113"/>
    </row>
    <row r="205" spans="2:18" x14ac:dyDescent="0.2">
      <c r="I205" s="113"/>
    </row>
    <row r="206" spans="2:18" x14ac:dyDescent="0.2">
      <c r="B206" s="65" t="s">
        <v>561</v>
      </c>
      <c r="C206" s="66"/>
      <c r="D206" s="65"/>
      <c r="I206" s="113"/>
    </row>
    <row r="207" spans="2:18" x14ac:dyDescent="0.2">
      <c r="B207" s="65" t="s">
        <v>609</v>
      </c>
      <c r="D207" s="65"/>
      <c r="I207" s="113"/>
    </row>
    <row r="208" spans="2:18" ht="165" customHeight="1" x14ac:dyDescent="0.2">
      <c r="I208" s="113"/>
    </row>
    <row r="209" spans="9:10" x14ac:dyDescent="0.2">
      <c r="I209" s="113"/>
    </row>
    <row r="210" spans="9:10" x14ac:dyDescent="0.2">
      <c r="I210" s="113"/>
      <c r="J210" s="14"/>
    </row>
    <row r="225" customFormat="1" x14ac:dyDescent="0.2"/>
    <row r="226" customFormat="1" x14ac:dyDescent="0.2"/>
    <row r="227" customFormat="1" x14ac:dyDescent="0.2"/>
    <row r="228" customFormat="1" x14ac:dyDescent="0.2"/>
  </sheetData>
  <mergeCells count="36">
    <mergeCell ref="B193:C193"/>
    <mergeCell ref="B199:D199"/>
    <mergeCell ref="B194:C194"/>
    <mergeCell ref="B195:C195"/>
    <mergeCell ref="B196:C196"/>
    <mergeCell ref="B197:C197"/>
    <mergeCell ref="B198:C198"/>
    <mergeCell ref="B183:J183"/>
    <mergeCell ref="B189:D189"/>
    <mergeCell ref="B190:C190"/>
    <mergeCell ref="B191:C191"/>
    <mergeCell ref="B192:C192"/>
    <mergeCell ref="B152:C152"/>
    <mergeCell ref="B153:C153"/>
    <mergeCell ref="B165:C165"/>
    <mergeCell ref="B171:C171"/>
    <mergeCell ref="I178:I180"/>
    <mergeCell ref="D179:D180"/>
    <mergeCell ref="E179:E180"/>
    <mergeCell ref="F179:F180"/>
    <mergeCell ref="B178:B180"/>
    <mergeCell ref="C178:C180"/>
    <mergeCell ref="D178:F178"/>
    <mergeCell ref="G178:H179"/>
    <mergeCell ref="B172:C172"/>
    <mergeCell ref="B173:C173"/>
    <mergeCell ref="B174:C174"/>
    <mergeCell ref="A1:H1"/>
    <mergeCell ref="A2:H2"/>
    <mergeCell ref="A3:H3"/>
    <mergeCell ref="B150:D150"/>
    <mergeCell ref="B151:C151"/>
    <mergeCell ref="B145:H145"/>
    <mergeCell ref="B146:H146"/>
    <mergeCell ref="B147:H147"/>
    <mergeCell ref="B148:H148"/>
  </mergeCells>
  <hyperlinks>
    <hyperlink ref="I1" location="Index!B2" display="Index" xr:uid="{6429FC89-E7C5-4DE1-B98C-2043EFC46DB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A9829-5F85-45DF-BC9C-85E6377CC689}">
  <sheetPr>
    <outlinePr summaryBelow="0" summaryRight="0"/>
  </sheetPr>
  <dimension ref="A1:S183"/>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1.28515625" bestFit="1" customWidth="1"/>
    <col min="5" max="5" width="8.7109375" bestFit="1" customWidth="1"/>
    <col min="6" max="6" width="10.140625" bestFit="1" customWidth="1"/>
    <col min="7" max="7" width="14" bestFit="1" customWidth="1"/>
    <col min="8" max="8" width="9.42578125" customWidth="1"/>
  </cols>
  <sheetData>
    <row r="1" spans="1:9" ht="15" x14ac:dyDescent="0.2">
      <c r="A1" s="157" t="s">
        <v>0</v>
      </c>
      <c r="B1" s="157"/>
      <c r="C1" s="157"/>
      <c r="D1" s="157"/>
      <c r="E1" s="157"/>
      <c r="F1" s="157"/>
      <c r="G1" s="157"/>
      <c r="H1" s="157"/>
      <c r="I1" s="1" t="s">
        <v>531</v>
      </c>
    </row>
    <row r="2" spans="1:9" ht="15" x14ac:dyDescent="0.2">
      <c r="A2" s="157" t="s">
        <v>413</v>
      </c>
      <c r="B2" s="157"/>
      <c r="C2" s="157"/>
      <c r="D2" s="157"/>
      <c r="E2" s="157"/>
      <c r="F2" s="157"/>
      <c r="G2" s="157"/>
      <c r="H2" s="157"/>
    </row>
    <row r="3" spans="1:9" ht="15" x14ac:dyDescent="0.2">
      <c r="A3" s="157" t="s">
        <v>532</v>
      </c>
      <c r="B3" s="157"/>
      <c r="C3" s="157"/>
      <c r="D3" s="157"/>
      <c r="E3" s="157"/>
      <c r="F3" s="157"/>
      <c r="G3" s="157"/>
      <c r="H3" s="157"/>
    </row>
    <row r="4" spans="1:9" s="14" customFormat="1" ht="30" x14ac:dyDescent="0.2">
      <c r="A4" s="12" t="s">
        <v>2</v>
      </c>
      <c r="B4" s="12" t="s">
        <v>3</v>
      </c>
      <c r="C4" s="12" t="s">
        <v>4</v>
      </c>
      <c r="D4" s="12" t="s">
        <v>5</v>
      </c>
      <c r="E4" s="12" t="s">
        <v>6</v>
      </c>
      <c r="F4" s="12" t="s">
        <v>7</v>
      </c>
      <c r="G4" s="12" t="s">
        <v>8</v>
      </c>
      <c r="H4" s="13" t="s">
        <v>530</v>
      </c>
    </row>
    <row r="5" spans="1:9" x14ac:dyDescent="0.2">
      <c r="A5" s="15"/>
      <c r="B5" s="15"/>
      <c r="C5" s="16" t="s">
        <v>9</v>
      </c>
      <c r="D5" s="15"/>
      <c r="E5" s="15"/>
      <c r="F5" s="15"/>
      <c r="G5" s="15"/>
      <c r="H5" s="17" t="s">
        <v>12</v>
      </c>
    </row>
    <row r="6" spans="1:9" x14ac:dyDescent="0.2">
      <c r="A6" s="15"/>
      <c r="B6" s="15"/>
      <c r="C6" s="16" t="s">
        <v>10</v>
      </c>
      <c r="D6" s="15"/>
      <c r="E6" s="15"/>
      <c r="F6" s="15"/>
      <c r="G6" s="15"/>
      <c r="H6" s="17" t="s">
        <v>12</v>
      </c>
    </row>
    <row r="7" spans="1:9" x14ac:dyDescent="0.2">
      <c r="A7" s="15"/>
      <c r="B7" s="15"/>
      <c r="C7" s="16" t="s">
        <v>11</v>
      </c>
      <c r="D7" s="15"/>
      <c r="E7" s="15" t="s">
        <v>12</v>
      </c>
      <c r="F7" s="18" t="s">
        <v>13</v>
      </c>
      <c r="G7" s="19">
        <v>0</v>
      </c>
      <c r="H7" s="17" t="s">
        <v>12</v>
      </c>
    </row>
    <row r="8" spans="1:9" x14ac:dyDescent="0.2">
      <c r="A8" s="15"/>
      <c r="B8" s="15"/>
      <c r="C8" s="20"/>
      <c r="D8" s="15"/>
      <c r="E8" s="15"/>
      <c r="F8" s="21"/>
      <c r="G8" s="21"/>
      <c r="H8" s="17" t="s">
        <v>12</v>
      </c>
    </row>
    <row r="9" spans="1:9" x14ac:dyDescent="0.2">
      <c r="A9" s="15"/>
      <c r="B9" s="15"/>
      <c r="C9" s="16" t="s">
        <v>14</v>
      </c>
      <c r="D9" s="15"/>
      <c r="E9" s="15"/>
      <c r="F9" s="15"/>
      <c r="G9" s="15"/>
      <c r="H9" s="17" t="s">
        <v>12</v>
      </c>
    </row>
    <row r="10" spans="1:9" x14ac:dyDescent="0.2">
      <c r="A10" s="15"/>
      <c r="B10" s="15"/>
      <c r="C10" s="16" t="s">
        <v>11</v>
      </c>
      <c r="D10" s="15"/>
      <c r="E10" s="15" t="s">
        <v>12</v>
      </c>
      <c r="F10" s="18" t="s">
        <v>13</v>
      </c>
      <c r="G10" s="19">
        <v>0</v>
      </c>
      <c r="H10" s="17" t="s">
        <v>12</v>
      </c>
    </row>
    <row r="11" spans="1:9" x14ac:dyDescent="0.2">
      <c r="A11" s="15"/>
      <c r="B11" s="15"/>
      <c r="C11" s="20"/>
      <c r="D11" s="15"/>
      <c r="E11" s="15"/>
      <c r="F11" s="21"/>
      <c r="G11" s="21"/>
      <c r="H11" s="17" t="s">
        <v>12</v>
      </c>
    </row>
    <row r="12" spans="1:9" x14ac:dyDescent="0.2">
      <c r="A12" s="15"/>
      <c r="B12" s="15"/>
      <c r="C12" s="16" t="s">
        <v>15</v>
      </c>
      <c r="D12" s="15"/>
      <c r="E12" s="15"/>
      <c r="F12" s="15"/>
      <c r="G12" s="15"/>
      <c r="H12" s="17" t="s">
        <v>12</v>
      </c>
    </row>
    <row r="13" spans="1:9" x14ac:dyDescent="0.2">
      <c r="A13" s="15"/>
      <c r="B13" s="15"/>
      <c r="C13" s="16" t="s">
        <v>11</v>
      </c>
      <c r="D13" s="15"/>
      <c r="E13" s="15" t="s">
        <v>12</v>
      </c>
      <c r="F13" s="18" t="s">
        <v>13</v>
      </c>
      <c r="G13" s="19">
        <v>0</v>
      </c>
      <c r="H13" s="17" t="s">
        <v>12</v>
      </c>
    </row>
    <row r="14" spans="1:9" x14ac:dyDescent="0.2">
      <c r="A14" s="15"/>
      <c r="B14" s="15"/>
      <c r="C14" s="20"/>
      <c r="D14" s="15"/>
      <c r="E14" s="15"/>
      <c r="F14" s="21"/>
      <c r="G14" s="21"/>
      <c r="H14" s="17" t="s">
        <v>12</v>
      </c>
    </row>
    <row r="15" spans="1:9" x14ac:dyDescent="0.2">
      <c r="A15" s="15"/>
      <c r="B15" s="15"/>
      <c r="C15" s="16" t="s">
        <v>16</v>
      </c>
      <c r="D15" s="15"/>
      <c r="E15" s="15"/>
      <c r="F15" s="15"/>
      <c r="G15" s="15"/>
      <c r="H15" s="17" t="s">
        <v>12</v>
      </c>
    </row>
    <row r="16" spans="1:9" x14ac:dyDescent="0.2">
      <c r="A16" s="15"/>
      <c r="B16" s="15"/>
      <c r="C16" s="16" t="s">
        <v>11</v>
      </c>
      <c r="D16" s="15"/>
      <c r="E16" s="15" t="s">
        <v>12</v>
      </c>
      <c r="F16" s="18" t="s">
        <v>13</v>
      </c>
      <c r="G16" s="19">
        <v>0</v>
      </c>
      <c r="H16" s="17" t="s">
        <v>12</v>
      </c>
    </row>
    <row r="17" spans="1:8" x14ac:dyDescent="0.2">
      <c r="A17" s="15"/>
      <c r="B17" s="15"/>
      <c r="C17" s="20"/>
      <c r="D17" s="15"/>
      <c r="E17" s="15"/>
      <c r="F17" s="21"/>
      <c r="G17" s="21"/>
      <c r="H17" s="17" t="s">
        <v>12</v>
      </c>
    </row>
    <row r="18" spans="1:8" x14ac:dyDescent="0.2">
      <c r="A18" s="15"/>
      <c r="B18" s="15"/>
      <c r="C18" s="16" t="s">
        <v>17</v>
      </c>
      <c r="D18" s="15"/>
      <c r="E18" s="15"/>
      <c r="F18" s="21"/>
      <c r="G18" s="21"/>
      <c r="H18" s="17" t="s">
        <v>12</v>
      </c>
    </row>
    <row r="19" spans="1:8" x14ac:dyDescent="0.2">
      <c r="A19" s="15"/>
      <c r="B19" s="15"/>
      <c r="C19" s="16" t="s">
        <v>11</v>
      </c>
      <c r="D19" s="15"/>
      <c r="E19" s="15" t="s">
        <v>12</v>
      </c>
      <c r="F19" s="18" t="s">
        <v>13</v>
      </c>
      <c r="G19" s="19">
        <v>0</v>
      </c>
      <c r="H19" s="17" t="s">
        <v>12</v>
      </c>
    </row>
    <row r="20" spans="1:8" x14ac:dyDescent="0.2">
      <c r="A20" s="15"/>
      <c r="B20" s="15"/>
      <c r="C20" s="20"/>
      <c r="D20" s="15"/>
      <c r="E20" s="15"/>
      <c r="F20" s="21"/>
      <c r="G20" s="21"/>
      <c r="H20" s="17" t="s">
        <v>12</v>
      </c>
    </row>
    <row r="21" spans="1:8" x14ac:dyDescent="0.2">
      <c r="A21" s="15"/>
      <c r="B21" s="15"/>
      <c r="C21" s="16" t="s">
        <v>18</v>
      </c>
      <c r="D21" s="15"/>
      <c r="E21" s="15"/>
      <c r="F21" s="21"/>
      <c r="G21" s="21"/>
      <c r="H21" s="17" t="s">
        <v>12</v>
      </c>
    </row>
    <row r="22" spans="1:8" x14ac:dyDescent="0.2">
      <c r="A22" s="15"/>
      <c r="B22" s="15"/>
      <c r="C22" s="16" t="s">
        <v>11</v>
      </c>
      <c r="D22" s="15"/>
      <c r="E22" s="15" t="s">
        <v>12</v>
      </c>
      <c r="F22" s="18" t="s">
        <v>13</v>
      </c>
      <c r="G22" s="19">
        <v>0</v>
      </c>
      <c r="H22" s="17" t="s">
        <v>12</v>
      </c>
    </row>
    <row r="23" spans="1:8" x14ac:dyDescent="0.2">
      <c r="A23" s="15"/>
      <c r="B23" s="15"/>
      <c r="C23" s="20"/>
      <c r="D23" s="15"/>
      <c r="E23" s="15"/>
      <c r="F23" s="21"/>
      <c r="G23" s="21"/>
      <c r="H23" s="17" t="s">
        <v>12</v>
      </c>
    </row>
    <row r="24" spans="1:8" x14ac:dyDescent="0.2">
      <c r="A24" s="15"/>
      <c r="B24" s="15"/>
      <c r="C24" s="16" t="s">
        <v>19</v>
      </c>
      <c r="D24" s="15"/>
      <c r="E24" s="15"/>
      <c r="F24" s="22">
        <v>0</v>
      </c>
      <c r="G24" s="19">
        <v>0</v>
      </c>
      <c r="H24" s="17" t="s">
        <v>12</v>
      </c>
    </row>
    <row r="25" spans="1:8" x14ac:dyDescent="0.2">
      <c r="A25" s="15"/>
      <c r="B25" s="15"/>
      <c r="C25" s="20"/>
      <c r="D25" s="15"/>
      <c r="E25" s="15"/>
      <c r="F25" s="21"/>
      <c r="G25" s="21"/>
      <c r="H25" s="17" t="s">
        <v>12</v>
      </c>
    </row>
    <row r="26" spans="1:8" x14ac:dyDescent="0.2">
      <c r="A26" s="15"/>
      <c r="B26" s="15"/>
      <c r="C26" s="16" t="s">
        <v>20</v>
      </c>
      <c r="D26" s="15"/>
      <c r="E26" s="15"/>
      <c r="F26" s="21"/>
      <c r="G26" s="21"/>
      <c r="H26" s="17" t="s">
        <v>12</v>
      </c>
    </row>
    <row r="27" spans="1:8" x14ac:dyDescent="0.2">
      <c r="A27" s="15"/>
      <c r="B27" s="15"/>
      <c r="C27" s="16" t="s">
        <v>10</v>
      </c>
      <c r="D27" s="15"/>
      <c r="E27" s="15"/>
      <c r="F27" s="21"/>
      <c r="G27" s="21"/>
      <c r="H27" s="17" t="s">
        <v>12</v>
      </c>
    </row>
    <row r="28" spans="1:8" x14ac:dyDescent="0.2">
      <c r="A28" s="23">
        <v>1</v>
      </c>
      <c r="B28" s="24" t="s">
        <v>239</v>
      </c>
      <c r="C28" s="24" t="s">
        <v>240</v>
      </c>
      <c r="D28" s="24" t="s">
        <v>236</v>
      </c>
      <c r="E28" s="25">
        <v>1100</v>
      </c>
      <c r="F28" s="26">
        <v>1103.8191999999999</v>
      </c>
      <c r="G28" s="27">
        <v>5.4669839999999997E-2</v>
      </c>
      <c r="H28" s="17">
        <v>8.125</v>
      </c>
    </row>
    <row r="29" spans="1:8" ht="25.5" x14ac:dyDescent="0.2">
      <c r="A29" s="23">
        <v>2</v>
      </c>
      <c r="B29" s="24" t="s">
        <v>37</v>
      </c>
      <c r="C29" s="24" t="s">
        <v>38</v>
      </c>
      <c r="D29" s="24" t="s">
        <v>23</v>
      </c>
      <c r="E29" s="25">
        <v>1000</v>
      </c>
      <c r="F29" s="26">
        <v>1014.932</v>
      </c>
      <c r="G29" s="27">
        <v>5.0267439999999997E-2</v>
      </c>
      <c r="H29" s="17">
        <v>7.18</v>
      </c>
    </row>
    <row r="30" spans="1:8" ht="25.5" x14ac:dyDescent="0.2">
      <c r="A30" s="23">
        <v>3</v>
      </c>
      <c r="B30" s="24" t="s">
        <v>414</v>
      </c>
      <c r="C30" s="24" t="s">
        <v>415</v>
      </c>
      <c r="D30" s="24" t="s">
        <v>23</v>
      </c>
      <c r="E30" s="25">
        <v>1000</v>
      </c>
      <c r="F30" s="26">
        <v>1014.085</v>
      </c>
      <c r="G30" s="27">
        <v>5.0225489999999998E-2</v>
      </c>
      <c r="H30" s="17">
        <v>7.24</v>
      </c>
    </row>
    <row r="31" spans="1:8" ht="25.5" x14ac:dyDescent="0.2">
      <c r="A31" s="23">
        <v>4</v>
      </c>
      <c r="B31" s="24" t="s">
        <v>131</v>
      </c>
      <c r="C31" s="24" t="s">
        <v>132</v>
      </c>
      <c r="D31" s="24" t="s">
        <v>23</v>
      </c>
      <c r="E31" s="25">
        <v>1000</v>
      </c>
      <c r="F31" s="26">
        <v>1009.1609999999999</v>
      </c>
      <c r="G31" s="27">
        <v>4.9981610000000003E-2</v>
      </c>
      <c r="H31" s="17">
        <v>7.0361000000000002</v>
      </c>
    </row>
    <row r="32" spans="1:8" ht="25.5" x14ac:dyDescent="0.2">
      <c r="A32" s="23">
        <v>5</v>
      </c>
      <c r="B32" s="24" t="s">
        <v>243</v>
      </c>
      <c r="C32" s="24" t="s">
        <v>244</v>
      </c>
      <c r="D32" s="24" t="s">
        <v>233</v>
      </c>
      <c r="E32" s="25">
        <v>1000</v>
      </c>
      <c r="F32" s="26">
        <v>1003.631</v>
      </c>
      <c r="G32" s="27">
        <v>4.9707729999999999E-2</v>
      </c>
      <c r="H32" s="17">
        <v>7.96</v>
      </c>
    </row>
    <row r="33" spans="1:8" ht="25.5" x14ac:dyDescent="0.2">
      <c r="A33" s="23">
        <v>6</v>
      </c>
      <c r="B33" s="24" t="s">
        <v>416</v>
      </c>
      <c r="C33" s="24" t="s">
        <v>417</v>
      </c>
      <c r="D33" s="24" t="s">
        <v>262</v>
      </c>
      <c r="E33" s="25">
        <v>500</v>
      </c>
      <c r="F33" s="26">
        <v>506.23349999999999</v>
      </c>
      <c r="G33" s="27">
        <v>2.507268E-2</v>
      </c>
      <c r="H33" s="17">
        <v>8.1616999999999997</v>
      </c>
    </row>
    <row r="34" spans="1:8" x14ac:dyDescent="0.2">
      <c r="A34" s="23">
        <v>7</v>
      </c>
      <c r="B34" s="24" t="s">
        <v>59</v>
      </c>
      <c r="C34" s="24" t="s">
        <v>60</v>
      </c>
      <c r="D34" s="24" t="s">
        <v>23</v>
      </c>
      <c r="E34" s="25">
        <v>50</v>
      </c>
      <c r="F34" s="26">
        <v>505.35250000000002</v>
      </c>
      <c r="G34" s="27">
        <v>2.5029039999999999E-2</v>
      </c>
      <c r="H34" s="17">
        <v>7.5</v>
      </c>
    </row>
    <row r="35" spans="1:8" ht="25.5" x14ac:dyDescent="0.2">
      <c r="A35" s="23">
        <v>8</v>
      </c>
      <c r="B35" s="24" t="s">
        <v>418</v>
      </c>
      <c r="C35" s="24" t="s">
        <v>419</v>
      </c>
      <c r="D35" s="24" t="s">
        <v>36</v>
      </c>
      <c r="E35" s="25">
        <v>500</v>
      </c>
      <c r="F35" s="26">
        <v>504.78699999999998</v>
      </c>
      <c r="G35" s="27">
        <v>2.5001039999999999E-2</v>
      </c>
      <c r="H35" s="17">
        <v>7.25</v>
      </c>
    </row>
    <row r="36" spans="1:8" x14ac:dyDescent="0.2">
      <c r="A36" s="23">
        <v>9</v>
      </c>
      <c r="B36" s="24" t="s">
        <v>125</v>
      </c>
      <c r="C36" s="24" t="s">
        <v>126</v>
      </c>
      <c r="D36" s="24" t="s">
        <v>23</v>
      </c>
      <c r="E36" s="25">
        <v>500</v>
      </c>
      <c r="F36" s="26">
        <v>504.17099999999999</v>
      </c>
      <c r="G36" s="27">
        <v>2.4970530000000001E-2</v>
      </c>
      <c r="H36" s="17">
        <v>7.1755000000000004</v>
      </c>
    </row>
    <row r="37" spans="1:8" x14ac:dyDescent="0.2">
      <c r="A37" s="23">
        <v>10</v>
      </c>
      <c r="B37" s="24" t="s">
        <v>234</v>
      </c>
      <c r="C37" s="24" t="s">
        <v>235</v>
      </c>
      <c r="D37" s="24" t="s">
        <v>236</v>
      </c>
      <c r="E37" s="25">
        <v>500</v>
      </c>
      <c r="F37" s="26">
        <v>502.82150000000001</v>
      </c>
      <c r="G37" s="27">
        <v>2.4903689999999999E-2</v>
      </c>
      <c r="H37" s="17">
        <v>8.6150000000000002</v>
      </c>
    </row>
    <row r="38" spans="1:8" x14ac:dyDescent="0.2">
      <c r="A38" s="23">
        <v>11</v>
      </c>
      <c r="B38" s="24" t="s">
        <v>241</v>
      </c>
      <c r="C38" s="24" t="s">
        <v>242</v>
      </c>
      <c r="D38" s="24" t="s">
        <v>23</v>
      </c>
      <c r="E38" s="25">
        <v>500</v>
      </c>
      <c r="F38" s="26">
        <v>502.00850000000003</v>
      </c>
      <c r="G38" s="27">
        <v>2.4863420000000001E-2</v>
      </c>
      <c r="H38" s="17">
        <v>7.2481999999999998</v>
      </c>
    </row>
    <row r="39" spans="1:8" x14ac:dyDescent="0.2">
      <c r="A39" s="23">
        <v>12</v>
      </c>
      <c r="B39" s="24" t="s">
        <v>254</v>
      </c>
      <c r="C39" s="24" t="s">
        <v>255</v>
      </c>
      <c r="D39" s="24" t="s">
        <v>36</v>
      </c>
      <c r="E39" s="25">
        <v>500</v>
      </c>
      <c r="F39" s="26">
        <v>501.81</v>
      </c>
      <c r="G39" s="27">
        <v>2.4853589999999998E-2</v>
      </c>
      <c r="H39" s="17">
        <v>7.8734000000000002</v>
      </c>
    </row>
    <row r="40" spans="1:8" x14ac:dyDescent="0.2">
      <c r="A40" s="23">
        <v>13</v>
      </c>
      <c r="B40" s="24" t="s">
        <v>237</v>
      </c>
      <c r="C40" s="24" t="s">
        <v>238</v>
      </c>
      <c r="D40" s="24" t="s">
        <v>23</v>
      </c>
      <c r="E40" s="25">
        <v>500</v>
      </c>
      <c r="F40" s="26">
        <v>501.55</v>
      </c>
      <c r="G40" s="27">
        <v>2.4840709999999998E-2</v>
      </c>
      <c r="H40" s="17">
        <v>7.2481999999999998</v>
      </c>
    </row>
    <row r="41" spans="1:8" x14ac:dyDescent="0.2">
      <c r="A41" s="23">
        <v>14</v>
      </c>
      <c r="B41" s="24" t="s">
        <v>420</v>
      </c>
      <c r="C41" s="24" t="s">
        <v>421</v>
      </c>
      <c r="D41" s="24" t="s">
        <v>23</v>
      </c>
      <c r="E41" s="25">
        <v>500</v>
      </c>
      <c r="F41" s="26">
        <v>501.24549999999999</v>
      </c>
      <c r="G41" s="27">
        <v>2.4825630000000001E-2</v>
      </c>
      <c r="H41" s="17">
        <v>7.2594000000000003</v>
      </c>
    </row>
    <row r="42" spans="1:8" x14ac:dyDescent="0.2">
      <c r="A42" s="23">
        <v>15</v>
      </c>
      <c r="B42" s="24" t="s">
        <v>263</v>
      </c>
      <c r="C42" s="24" t="s">
        <v>264</v>
      </c>
      <c r="D42" s="24" t="s">
        <v>236</v>
      </c>
      <c r="E42" s="25">
        <v>500</v>
      </c>
      <c r="F42" s="26">
        <v>500.6925</v>
      </c>
      <c r="G42" s="27">
        <v>2.4798239999999999E-2</v>
      </c>
      <c r="H42" s="17">
        <v>8.5731000000000002</v>
      </c>
    </row>
    <row r="43" spans="1:8" ht="25.5" x14ac:dyDescent="0.2">
      <c r="A43" s="23">
        <v>16</v>
      </c>
      <c r="B43" s="24" t="s">
        <v>61</v>
      </c>
      <c r="C43" s="24" t="s">
        <v>62</v>
      </c>
      <c r="D43" s="24" t="s">
        <v>23</v>
      </c>
      <c r="E43" s="25">
        <v>500</v>
      </c>
      <c r="F43" s="26">
        <v>500.529</v>
      </c>
      <c r="G43" s="27">
        <v>2.479015E-2</v>
      </c>
      <c r="H43" s="17">
        <v>7.2998000000000003</v>
      </c>
    </row>
    <row r="44" spans="1:8" ht="25.5" x14ac:dyDescent="0.2">
      <c r="A44" s="23">
        <v>17</v>
      </c>
      <c r="B44" s="24" t="s">
        <v>63</v>
      </c>
      <c r="C44" s="24" t="s">
        <v>64</v>
      </c>
      <c r="D44" s="24" t="s">
        <v>23</v>
      </c>
      <c r="E44" s="25">
        <v>500</v>
      </c>
      <c r="F44" s="26">
        <v>500.06450000000001</v>
      </c>
      <c r="G44" s="27">
        <v>2.476714E-2</v>
      </c>
      <c r="H44" s="17">
        <v>7.6950000000000003</v>
      </c>
    </row>
    <row r="45" spans="1:8" ht="25.5" x14ac:dyDescent="0.2">
      <c r="A45" s="23">
        <v>18</v>
      </c>
      <c r="B45" s="24" t="s">
        <v>422</v>
      </c>
      <c r="C45" s="24" t="s">
        <v>423</v>
      </c>
      <c r="D45" s="24" t="s">
        <v>23</v>
      </c>
      <c r="E45" s="25">
        <v>50</v>
      </c>
      <c r="F45" s="26">
        <v>498.50400000000002</v>
      </c>
      <c r="G45" s="27">
        <v>2.4689849999999999E-2</v>
      </c>
      <c r="H45" s="17">
        <v>7.35</v>
      </c>
    </row>
    <row r="46" spans="1:8" x14ac:dyDescent="0.2">
      <c r="A46" s="23">
        <v>19</v>
      </c>
      <c r="B46" s="24" t="s">
        <v>424</v>
      </c>
      <c r="C46" s="24" t="s">
        <v>425</v>
      </c>
      <c r="D46" s="24" t="s">
        <v>23</v>
      </c>
      <c r="E46" s="25">
        <v>50</v>
      </c>
      <c r="F46" s="26">
        <v>490.88499999999999</v>
      </c>
      <c r="G46" s="27">
        <v>2.4312500000000001E-2</v>
      </c>
      <c r="H46" s="17">
        <v>7.5250000000000004</v>
      </c>
    </row>
    <row r="47" spans="1:8" x14ac:dyDescent="0.2">
      <c r="A47" s="23">
        <v>20</v>
      </c>
      <c r="B47" s="24" t="s">
        <v>231</v>
      </c>
      <c r="C47" s="24" t="s">
        <v>232</v>
      </c>
      <c r="D47" s="24" t="s">
        <v>233</v>
      </c>
      <c r="E47" s="25">
        <v>300</v>
      </c>
      <c r="F47" s="26">
        <v>301.87979999999999</v>
      </c>
      <c r="G47" s="27">
        <v>1.495147E-2</v>
      </c>
      <c r="H47" s="17">
        <v>7.8867000000000003</v>
      </c>
    </row>
    <row r="48" spans="1:8" x14ac:dyDescent="0.2">
      <c r="A48" s="15"/>
      <c r="B48" s="15"/>
      <c r="C48" s="16" t="s">
        <v>11</v>
      </c>
      <c r="D48" s="15"/>
      <c r="E48" s="15" t="s">
        <v>12</v>
      </c>
      <c r="F48" s="22">
        <v>12468.1625</v>
      </c>
      <c r="G48" s="19">
        <v>0.61752178999999996</v>
      </c>
      <c r="H48" s="17" t="s">
        <v>12</v>
      </c>
    </row>
    <row r="49" spans="1:8" x14ac:dyDescent="0.2">
      <c r="A49" s="15"/>
      <c r="B49" s="15"/>
      <c r="C49" s="20"/>
      <c r="D49" s="15"/>
      <c r="E49" s="15"/>
      <c r="F49" s="21"/>
      <c r="G49" s="21"/>
      <c r="H49" s="17" t="s">
        <v>12</v>
      </c>
    </row>
    <row r="50" spans="1:8" x14ac:dyDescent="0.2">
      <c r="A50" s="15"/>
      <c r="B50" s="15"/>
      <c r="C50" s="16" t="s">
        <v>71</v>
      </c>
      <c r="D50" s="15"/>
      <c r="E50" s="15"/>
      <c r="F50" s="15"/>
      <c r="G50" s="15"/>
      <c r="H50" s="17" t="s">
        <v>12</v>
      </c>
    </row>
    <row r="51" spans="1:8" x14ac:dyDescent="0.2">
      <c r="A51" s="15"/>
      <c r="B51" s="15"/>
      <c r="C51" s="16" t="s">
        <v>11</v>
      </c>
      <c r="D51" s="15"/>
      <c r="E51" s="15" t="s">
        <v>12</v>
      </c>
      <c r="F51" s="18" t="s">
        <v>13</v>
      </c>
      <c r="G51" s="19">
        <v>0</v>
      </c>
      <c r="H51" s="17" t="s">
        <v>12</v>
      </c>
    </row>
    <row r="52" spans="1:8" x14ac:dyDescent="0.2">
      <c r="A52" s="15"/>
      <c r="B52" s="15"/>
      <c r="C52" s="20"/>
      <c r="D52" s="15"/>
      <c r="E52" s="15"/>
      <c r="F52" s="21"/>
      <c r="G52" s="21"/>
      <c r="H52" s="17" t="s">
        <v>12</v>
      </c>
    </row>
    <row r="53" spans="1:8" x14ac:dyDescent="0.2">
      <c r="A53" s="15"/>
      <c r="B53" s="15"/>
      <c r="C53" s="16" t="s">
        <v>72</v>
      </c>
      <c r="D53" s="15"/>
      <c r="E53" s="15"/>
      <c r="F53" s="15"/>
      <c r="G53" s="15"/>
      <c r="H53" s="17" t="s">
        <v>12</v>
      </c>
    </row>
    <row r="54" spans="1:8" ht="25.5" x14ac:dyDescent="0.2">
      <c r="A54" s="23">
        <v>1</v>
      </c>
      <c r="B54" s="24" t="s">
        <v>73</v>
      </c>
      <c r="C54" s="24" t="s">
        <v>74</v>
      </c>
      <c r="D54" s="24" t="s">
        <v>75</v>
      </c>
      <c r="E54" s="25">
        <v>2500000</v>
      </c>
      <c r="F54" s="26">
        <v>2581.5149999999999</v>
      </c>
      <c r="G54" s="27">
        <v>0.12785699</v>
      </c>
      <c r="H54" s="17">
        <v>6.7217000000000002</v>
      </c>
    </row>
    <row r="55" spans="1:8" x14ac:dyDescent="0.2">
      <c r="A55" s="23">
        <v>2</v>
      </c>
      <c r="B55" s="24" t="s">
        <v>86</v>
      </c>
      <c r="C55" s="24" t="s">
        <v>87</v>
      </c>
      <c r="D55" s="24" t="s">
        <v>75</v>
      </c>
      <c r="E55" s="25">
        <v>1500000</v>
      </c>
      <c r="F55" s="26">
        <v>1543.6605</v>
      </c>
      <c r="G55" s="27">
        <v>7.6454250000000001E-2</v>
      </c>
      <c r="H55" s="17">
        <v>6.5419999999999998</v>
      </c>
    </row>
    <row r="56" spans="1:8" ht="25.5" x14ac:dyDescent="0.2">
      <c r="A56" s="23">
        <v>3</v>
      </c>
      <c r="B56" s="24" t="s">
        <v>267</v>
      </c>
      <c r="C56" s="24" t="s">
        <v>268</v>
      </c>
      <c r="D56" s="24" t="s">
        <v>75</v>
      </c>
      <c r="E56" s="25">
        <v>700000</v>
      </c>
      <c r="F56" s="26">
        <v>713.5625</v>
      </c>
      <c r="G56" s="27">
        <v>3.5341240000000003E-2</v>
      </c>
      <c r="H56" s="17">
        <v>6.5278</v>
      </c>
    </row>
    <row r="57" spans="1:8" x14ac:dyDescent="0.2">
      <c r="A57" s="23">
        <v>4</v>
      </c>
      <c r="B57" s="24" t="s">
        <v>84</v>
      </c>
      <c r="C57" s="24" t="s">
        <v>85</v>
      </c>
      <c r="D57" s="24" t="s">
        <v>75</v>
      </c>
      <c r="E57" s="25">
        <v>500000</v>
      </c>
      <c r="F57" s="26">
        <v>520.41949999999997</v>
      </c>
      <c r="G57" s="27">
        <v>2.5775280000000001E-2</v>
      </c>
      <c r="H57" s="17">
        <v>6.7991000000000001</v>
      </c>
    </row>
    <row r="58" spans="1:8" x14ac:dyDescent="0.2">
      <c r="A58" s="23">
        <v>5</v>
      </c>
      <c r="B58" s="24" t="s">
        <v>76</v>
      </c>
      <c r="C58" s="24" t="s">
        <v>77</v>
      </c>
      <c r="D58" s="24" t="s">
        <v>75</v>
      </c>
      <c r="E58" s="25">
        <v>500000</v>
      </c>
      <c r="F58" s="26">
        <v>519.14149999999995</v>
      </c>
      <c r="G58" s="27">
        <v>2.5711979999999999E-2</v>
      </c>
      <c r="H58" s="17">
        <v>6.5994000000000002</v>
      </c>
    </row>
    <row r="59" spans="1:8" ht="25.5" x14ac:dyDescent="0.2">
      <c r="A59" s="23">
        <v>6</v>
      </c>
      <c r="B59" s="24" t="s">
        <v>426</v>
      </c>
      <c r="C59" s="24" t="s">
        <v>427</v>
      </c>
      <c r="D59" s="24" t="s">
        <v>75</v>
      </c>
      <c r="E59" s="25">
        <v>500000</v>
      </c>
      <c r="F59" s="26">
        <v>516.12450000000001</v>
      </c>
      <c r="G59" s="27">
        <v>2.5562560000000002E-2</v>
      </c>
      <c r="H59" s="17">
        <v>7.0704000000000002</v>
      </c>
    </row>
    <row r="60" spans="1:8" x14ac:dyDescent="0.2">
      <c r="A60" s="15"/>
      <c r="B60" s="15"/>
      <c r="C60" s="16" t="s">
        <v>11</v>
      </c>
      <c r="D60" s="15"/>
      <c r="E60" s="15" t="s">
        <v>12</v>
      </c>
      <c r="F60" s="22">
        <v>6394.4234999999999</v>
      </c>
      <c r="G60" s="19">
        <v>0.31670229999999999</v>
      </c>
      <c r="H60" s="17" t="s">
        <v>12</v>
      </c>
    </row>
    <row r="61" spans="1:8" x14ac:dyDescent="0.2">
      <c r="A61" s="15"/>
      <c r="B61" s="15"/>
      <c r="C61" s="20"/>
      <c r="D61" s="15"/>
      <c r="E61" s="15"/>
      <c r="F61" s="21"/>
      <c r="G61" s="21"/>
      <c r="H61" s="17" t="s">
        <v>12</v>
      </c>
    </row>
    <row r="62" spans="1:8" x14ac:dyDescent="0.2">
      <c r="A62" s="15"/>
      <c r="B62" s="15"/>
      <c r="C62" s="16" t="s">
        <v>88</v>
      </c>
      <c r="D62" s="15"/>
      <c r="E62" s="15"/>
      <c r="F62" s="21"/>
      <c r="G62" s="21"/>
      <c r="H62" s="17" t="s">
        <v>12</v>
      </c>
    </row>
    <row r="63" spans="1:8" x14ac:dyDescent="0.2">
      <c r="A63" s="15"/>
      <c r="B63" s="15"/>
      <c r="C63" s="16" t="s">
        <v>11</v>
      </c>
      <c r="D63" s="15"/>
      <c r="E63" s="15" t="s">
        <v>12</v>
      </c>
      <c r="F63" s="18" t="s">
        <v>13</v>
      </c>
      <c r="G63" s="19">
        <v>0</v>
      </c>
      <c r="H63" s="17" t="s">
        <v>12</v>
      </c>
    </row>
    <row r="64" spans="1:8" x14ac:dyDescent="0.2">
      <c r="A64" s="15"/>
      <c r="B64" s="15"/>
      <c r="C64" s="20"/>
      <c r="D64" s="15"/>
      <c r="E64" s="15"/>
      <c r="F64" s="21"/>
      <c r="G64" s="21"/>
      <c r="H64" s="17" t="s">
        <v>12</v>
      </c>
    </row>
    <row r="65" spans="1:8" x14ac:dyDescent="0.2">
      <c r="A65" s="15"/>
      <c r="B65" s="15"/>
      <c r="C65" s="16" t="s">
        <v>89</v>
      </c>
      <c r="D65" s="15"/>
      <c r="E65" s="15"/>
      <c r="F65" s="22">
        <v>18862.585999999999</v>
      </c>
      <c r="G65" s="19">
        <v>0.93422408999999995</v>
      </c>
      <c r="H65" s="17" t="s">
        <v>12</v>
      </c>
    </row>
    <row r="66" spans="1:8" x14ac:dyDescent="0.2">
      <c r="A66" s="15"/>
      <c r="B66" s="15"/>
      <c r="C66" s="20"/>
      <c r="D66" s="15"/>
      <c r="E66" s="15"/>
      <c r="F66" s="21"/>
      <c r="G66" s="21"/>
      <c r="H66" s="17" t="s">
        <v>12</v>
      </c>
    </row>
    <row r="67" spans="1:8" x14ac:dyDescent="0.2">
      <c r="A67" s="15"/>
      <c r="B67" s="15"/>
      <c r="C67" s="16" t="s">
        <v>90</v>
      </c>
      <c r="D67" s="15"/>
      <c r="E67" s="15"/>
      <c r="F67" s="21"/>
      <c r="G67" s="21"/>
      <c r="H67" s="17" t="s">
        <v>12</v>
      </c>
    </row>
    <row r="68" spans="1:8" x14ac:dyDescent="0.2">
      <c r="A68" s="15"/>
      <c r="B68" s="15"/>
      <c r="C68" s="16" t="s">
        <v>91</v>
      </c>
      <c r="D68" s="15"/>
      <c r="E68" s="15"/>
      <c r="F68" s="21"/>
      <c r="G68" s="21"/>
      <c r="H68" s="17" t="s">
        <v>12</v>
      </c>
    </row>
    <row r="69" spans="1:8" x14ac:dyDescent="0.2">
      <c r="A69" s="15"/>
      <c r="B69" s="15"/>
      <c r="C69" s="16" t="s">
        <v>11</v>
      </c>
      <c r="D69" s="15"/>
      <c r="E69" s="15" t="s">
        <v>12</v>
      </c>
      <c r="F69" s="18" t="s">
        <v>13</v>
      </c>
      <c r="G69" s="19">
        <v>0</v>
      </c>
      <c r="H69" s="17" t="s">
        <v>12</v>
      </c>
    </row>
    <row r="70" spans="1:8" x14ac:dyDescent="0.2">
      <c r="A70" s="15"/>
      <c r="B70" s="15"/>
      <c r="C70" s="20"/>
      <c r="D70" s="15"/>
      <c r="E70" s="15"/>
      <c r="F70" s="21"/>
      <c r="G70" s="21"/>
      <c r="H70" s="17" t="s">
        <v>12</v>
      </c>
    </row>
    <row r="71" spans="1:8" x14ac:dyDescent="0.2">
      <c r="A71" s="15"/>
      <c r="B71" s="15"/>
      <c r="C71" s="16" t="s">
        <v>92</v>
      </c>
      <c r="D71" s="15"/>
      <c r="E71" s="15"/>
      <c r="F71" s="21"/>
      <c r="G71" s="21"/>
      <c r="H71" s="17" t="s">
        <v>12</v>
      </c>
    </row>
    <row r="72" spans="1:8" x14ac:dyDescent="0.2">
      <c r="A72" s="15"/>
      <c r="B72" s="15"/>
      <c r="C72" s="16" t="s">
        <v>11</v>
      </c>
      <c r="D72" s="15"/>
      <c r="E72" s="15" t="s">
        <v>12</v>
      </c>
      <c r="F72" s="18" t="s">
        <v>13</v>
      </c>
      <c r="G72" s="19">
        <v>0</v>
      </c>
      <c r="H72" s="17" t="s">
        <v>12</v>
      </c>
    </row>
    <row r="73" spans="1:8" x14ac:dyDescent="0.2">
      <c r="A73" s="15"/>
      <c r="B73" s="15"/>
      <c r="C73" s="20"/>
      <c r="D73" s="15"/>
      <c r="E73" s="15"/>
      <c r="F73" s="21"/>
      <c r="G73" s="21"/>
      <c r="H73" s="17" t="s">
        <v>12</v>
      </c>
    </row>
    <row r="74" spans="1:8" x14ac:dyDescent="0.2">
      <c r="A74" s="15"/>
      <c r="B74" s="15"/>
      <c r="C74" s="16" t="s">
        <v>93</v>
      </c>
      <c r="D74" s="15"/>
      <c r="E74" s="15"/>
      <c r="F74" s="21"/>
      <c r="G74" s="21"/>
      <c r="H74" s="17" t="s">
        <v>12</v>
      </c>
    </row>
    <row r="75" spans="1:8" x14ac:dyDescent="0.2">
      <c r="A75" s="15"/>
      <c r="B75" s="15"/>
      <c r="C75" s="16" t="s">
        <v>11</v>
      </c>
      <c r="D75" s="15"/>
      <c r="E75" s="15" t="s">
        <v>12</v>
      </c>
      <c r="F75" s="18" t="s">
        <v>13</v>
      </c>
      <c r="G75" s="19">
        <v>0</v>
      </c>
      <c r="H75" s="17" t="s">
        <v>12</v>
      </c>
    </row>
    <row r="76" spans="1:8" x14ac:dyDescent="0.2">
      <c r="A76" s="15"/>
      <c r="B76" s="15"/>
      <c r="C76" s="20"/>
      <c r="D76" s="15"/>
      <c r="E76" s="15"/>
      <c r="F76" s="21"/>
      <c r="G76" s="21"/>
      <c r="H76" s="17" t="s">
        <v>12</v>
      </c>
    </row>
    <row r="77" spans="1:8" x14ac:dyDescent="0.2">
      <c r="A77" s="15"/>
      <c r="B77" s="15"/>
      <c r="C77" s="16" t="s">
        <v>94</v>
      </c>
      <c r="D77" s="15"/>
      <c r="E77" s="15"/>
      <c r="F77" s="21"/>
      <c r="G77" s="21"/>
      <c r="H77" s="17" t="s">
        <v>12</v>
      </c>
    </row>
    <row r="78" spans="1:8" x14ac:dyDescent="0.2">
      <c r="A78" s="23">
        <v>1</v>
      </c>
      <c r="B78" s="24"/>
      <c r="C78" s="24" t="s">
        <v>95</v>
      </c>
      <c r="D78" s="24"/>
      <c r="E78" s="28"/>
      <c r="F78" s="26">
        <v>609.21167360300001</v>
      </c>
      <c r="G78" s="27">
        <v>3.017297E-2</v>
      </c>
      <c r="H78" s="17">
        <v>6.76</v>
      </c>
    </row>
    <row r="79" spans="1:8" x14ac:dyDescent="0.2">
      <c r="A79" s="15"/>
      <c r="B79" s="15"/>
      <c r="C79" s="16" t="s">
        <v>11</v>
      </c>
      <c r="D79" s="15"/>
      <c r="E79" s="15" t="s">
        <v>12</v>
      </c>
      <c r="F79" s="22">
        <v>609.21167360300001</v>
      </c>
      <c r="G79" s="19">
        <v>3.017297E-2</v>
      </c>
      <c r="H79" s="17" t="s">
        <v>12</v>
      </c>
    </row>
    <row r="80" spans="1:8" x14ac:dyDescent="0.2">
      <c r="A80" s="15"/>
      <c r="B80" s="15"/>
      <c r="C80" s="20"/>
      <c r="D80" s="15"/>
      <c r="E80" s="15"/>
      <c r="F80" s="21"/>
      <c r="G80" s="21"/>
      <c r="H80" s="17" t="s">
        <v>12</v>
      </c>
    </row>
    <row r="81" spans="1:17" x14ac:dyDescent="0.2">
      <c r="A81" s="15"/>
      <c r="B81" s="15"/>
      <c r="C81" s="16" t="s">
        <v>96</v>
      </c>
      <c r="D81" s="15"/>
      <c r="E81" s="15"/>
      <c r="F81" s="22">
        <v>609.21167360300001</v>
      </c>
      <c r="G81" s="19">
        <v>3.017297E-2</v>
      </c>
      <c r="H81" s="17" t="s">
        <v>12</v>
      </c>
    </row>
    <row r="82" spans="1:17" x14ac:dyDescent="0.2">
      <c r="A82" s="15"/>
      <c r="B82" s="15"/>
      <c r="C82" s="21"/>
      <c r="D82" s="15"/>
      <c r="E82" s="15"/>
      <c r="F82" s="15"/>
      <c r="G82" s="15"/>
      <c r="H82" s="17" t="s">
        <v>12</v>
      </c>
    </row>
    <row r="83" spans="1:17" x14ac:dyDescent="0.2">
      <c r="A83" s="15"/>
      <c r="B83" s="15"/>
      <c r="C83" s="16" t="s">
        <v>97</v>
      </c>
      <c r="D83" s="15"/>
      <c r="E83" s="15"/>
      <c r="F83" s="15"/>
      <c r="G83" s="15"/>
      <c r="H83" s="17" t="s">
        <v>12</v>
      </c>
    </row>
    <row r="84" spans="1:17" x14ac:dyDescent="0.2">
      <c r="A84" s="15"/>
      <c r="B84" s="15"/>
      <c r="C84" s="16" t="s">
        <v>98</v>
      </c>
      <c r="D84" s="15"/>
      <c r="E84" s="15"/>
      <c r="F84" s="15"/>
      <c r="G84" s="15"/>
      <c r="H84" s="17" t="s">
        <v>12</v>
      </c>
    </row>
    <row r="85" spans="1:17" x14ac:dyDescent="0.2">
      <c r="A85" s="15"/>
      <c r="B85" s="15"/>
      <c r="C85" s="16" t="s">
        <v>11</v>
      </c>
      <c r="D85" s="15"/>
      <c r="E85" s="15" t="s">
        <v>12</v>
      </c>
      <c r="F85" s="18" t="s">
        <v>13</v>
      </c>
      <c r="G85" s="19">
        <v>0</v>
      </c>
      <c r="H85" s="17" t="s">
        <v>12</v>
      </c>
    </row>
    <row r="86" spans="1:17" x14ac:dyDescent="0.2">
      <c r="A86" s="74"/>
      <c r="B86" s="74"/>
      <c r="C86" s="75"/>
      <c r="D86" s="74"/>
      <c r="E86" s="74"/>
      <c r="F86" s="76"/>
      <c r="G86" s="76"/>
      <c r="H86" s="72" t="s">
        <v>12</v>
      </c>
    </row>
    <row r="87" spans="1:17" x14ac:dyDescent="0.2">
      <c r="A87" s="74"/>
      <c r="B87" s="74"/>
      <c r="C87" s="51" t="s">
        <v>546</v>
      </c>
      <c r="D87" s="74"/>
      <c r="E87" s="74"/>
      <c r="F87" s="76"/>
      <c r="G87" s="76"/>
      <c r="H87" s="70"/>
      <c r="K87" s="53"/>
      <c r="L87" s="53"/>
      <c r="M87" s="53"/>
      <c r="N87" s="53"/>
      <c r="O87" s="77"/>
      <c r="P87" s="77"/>
      <c r="Q87" s="77"/>
    </row>
    <row r="88" spans="1:17" ht="25.5" x14ac:dyDescent="0.2">
      <c r="A88" s="67">
        <v>1</v>
      </c>
      <c r="B88" s="68" t="s">
        <v>99</v>
      </c>
      <c r="C88" s="68" t="s">
        <v>100</v>
      </c>
      <c r="D88" s="68"/>
      <c r="E88" s="78">
        <v>543.85400000000004</v>
      </c>
      <c r="F88" s="70">
        <v>60.012282622999997</v>
      </c>
      <c r="G88" s="71">
        <v>2.9722799999999999E-3</v>
      </c>
      <c r="H88" s="72"/>
    </row>
    <row r="89" spans="1:17" x14ac:dyDescent="0.2">
      <c r="A89" s="74"/>
      <c r="B89" s="74"/>
      <c r="C89" s="51" t="s">
        <v>11</v>
      </c>
      <c r="D89" s="74"/>
      <c r="E89" s="74" t="s">
        <v>12</v>
      </c>
      <c r="F89" s="79">
        <f>SUM(F88)</f>
        <v>60.012282622999997</v>
      </c>
      <c r="G89" s="80">
        <f>SUM(G88)</f>
        <v>2.9722799999999999E-3</v>
      </c>
      <c r="H89" s="72" t="s">
        <v>12</v>
      </c>
    </row>
    <row r="90" spans="1:17" x14ac:dyDescent="0.2">
      <c r="A90" s="15"/>
      <c r="B90" s="15"/>
      <c r="C90" s="20"/>
      <c r="D90" s="15"/>
      <c r="E90" s="15"/>
      <c r="F90" s="21"/>
      <c r="G90" s="21"/>
      <c r="H90" s="17" t="s">
        <v>12</v>
      </c>
    </row>
    <row r="91" spans="1:17" x14ac:dyDescent="0.2">
      <c r="A91" s="15"/>
      <c r="B91" s="15"/>
      <c r="C91" s="16" t="s">
        <v>101</v>
      </c>
      <c r="D91" s="15"/>
      <c r="E91" s="15"/>
      <c r="F91" s="15"/>
      <c r="G91" s="15"/>
      <c r="H91" s="17" t="s">
        <v>12</v>
      </c>
    </row>
    <row r="92" spans="1:17" x14ac:dyDescent="0.2">
      <c r="A92" s="15"/>
      <c r="B92" s="15"/>
      <c r="C92" s="16" t="s">
        <v>102</v>
      </c>
      <c r="D92" s="15"/>
      <c r="E92" s="15"/>
      <c r="F92" s="15"/>
      <c r="G92" s="15"/>
      <c r="H92" s="17" t="s">
        <v>12</v>
      </c>
    </row>
    <row r="93" spans="1:17" x14ac:dyDescent="0.2">
      <c r="A93" s="15"/>
      <c r="B93" s="15"/>
      <c r="C93" s="16" t="s">
        <v>11</v>
      </c>
      <c r="D93" s="15"/>
      <c r="E93" s="15" t="s">
        <v>12</v>
      </c>
      <c r="F93" s="18" t="s">
        <v>13</v>
      </c>
      <c r="G93" s="19">
        <v>0</v>
      </c>
      <c r="H93" s="17" t="s">
        <v>12</v>
      </c>
    </row>
    <row r="94" spans="1:17" x14ac:dyDescent="0.2">
      <c r="A94" s="15"/>
      <c r="B94" s="15"/>
      <c r="C94" s="20"/>
      <c r="D94" s="15"/>
      <c r="E94" s="15"/>
      <c r="F94" s="21"/>
      <c r="G94" s="21"/>
      <c r="H94" s="17" t="s">
        <v>12</v>
      </c>
    </row>
    <row r="95" spans="1:17" x14ac:dyDescent="0.2">
      <c r="A95" s="15"/>
      <c r="B95" s="15"/>
      <c r="C95" s="16" t="s">
        <v>103</v>
      </c>
      <c r="D95" s="15"/>
      <c r="E95" s="15"/>
      <c r="F95" s="21"/>
      <c r="G95" s="21"/>
      <c r="H95" s="17" t="s">
        <v>12</v>
      </c>
    </row>
    <row r="96" spans="1:17" x14ac:dyDescent="0.2">
      <c r="A96" s="15"/>
      <c r="B96" s="15"/>
      <c r="C96" s="16" t="s">
        <v>11</v>
      </c>
      <c r="D96" s="15"/>
      <c r="E96" s="15" t="s">
        <v>12</v>
      </c>
      <c r="F96" s="18" t="s">
        <v>13</v>
      </c>
      <c r="G96" s="19">
        <v>0</v>
      </c>
      <c r="H96" s="17" t="s">
        <v>12</v>
      </c>
    </row>
    <row r="97" spans="1:8" x14ac:dyDescent="0.2">
      <c r="A97" s="15"/>
      <c r="B97" s="15"/>
      <c r="C97" s="20"/>
      <c r="D97" s="15"/>
      <c r="E97" s="15"/>
      <c r="F97" s="21"/>
      <c r="G97" s="21"/>
      <c r="H97" s="17" t="s">
        <v>12</v>
      </c>
    </row>
    <row r="98" spans="1:8" x14ac:dyDescent="0.2">
      <c r="A98" s="28"/>
      <c r="B98" s="24"/>
      <c r="C98" s="24" t="s">
        <v>104</v>
      </c>
      <c r="D98" s="24"/>
      <c r="E98" s="28"/>
      <c r="F98" s="26">
        <f>658.83452157+0.0000504540038108826</f>
        <v>658.83457202400382</v>
      </c>
      <c r="G98" s="27">
        <v>3.2630680000000002E-2</v>
      </c>
      <c r="H98" s="17" t="s">
        <v>12</v>
      </c>
    </row>
    <row r="99" spans="1:8" x14ac:dyDescent="0.2">
      <c r="A99" s="20"/>
      <c r="B99" s="20"/>
      <c r="C99" s="16" t="s">
        <v>105</v>
      </c>
      <c r="D99" s="21"/>
      <c r="E99" s="21"/>
      <c r="F99" s="22">
        <v>20190.644528250003</v>
      </c>
      <c r="G99" s="29">
        <v>1.0000000200000001</v>
      </c>
      <c r="H99" s="17" t="s">
        <v>12</v>
      </c>
    </row>
    <row r="100" spans="1:8" x14ac:dyDescent="0.2">
      <c r="A100" s="30"/>
      <c r="B100" s="30"/>
      <c r="C100" s="30"/>
      <c r="D100" s="31"/>
      <c r="E100" s="31"/>
      <c r="F100" s="31"/>
      <c r="G100" s="31"/>
    </row>
    <row r="101" spans="1:8" x14ac:dyDescent="0.2">
      <c r="A101" s="32"/>
      <c r="B101" s="165" t="s">
        <v>547</v>
      </c>
      <c r="C101" s="165"/>
      <c r="D101" s="165"/>
      <c r="E101" s="165"/>
      <c r="F101" s="165"/>
      <c r="G101" s="165"/>
      <c r="H101" s="165"/>
    </row>
    <row r="102" spans="1:8" x14ac:dyDescent="0.2">
      <c r="A102" s="32"/>
      <c r="B102" s="165" t="s">
        <v>548</v>
      </c>
      <c r="C102" s="165"/>
      <c r="D102" s="165"/>
      <c r="E102" s="165"/>
      <c r="F102" s="165"/>
      <c r="G102" s="165"/>
      <c r="H102" s="165"/>
    </row>
    <row r="103" spans="1:8" x14ac:dyDescent="0.2">
      <c r="A103" s="32"/>
      <c r="B103" s="165" t="s">
        <v>549</v>
      </c>
      <c r="C103" s="165"/>
      <c r="D103" s="165"/>
      <c r="E103" s="165"/>
      <c r="F103" s="165"/>
      <c r="G103" s="165"/>
      <c r="H103" s="165"/>
    </row>
    <row r="104" spans="1:8" x14ac:dyDescent="0.2">
      <c r="A104" s="32"/>
      <c r="B104" s="32"/>
      <c r="C104" s="32"/>
      <c r="D104" s="34"/>
      <c r="E104" s="34"/>
      <c r="F104" s="34"/>
      <c r="G104" s="34"/>
    </row>
    <row r="105" spans="1:8" x14ac:dyDescent="0.2">
      <c r="A105" s="35"/>
      <c r="B105" s="158" t="s">
        <v>106</v>
      </c>
      <c r="C105" s="159"/>
      <c r="D105" s="160"/>
      <c r="E105" s="36"/>
      <c r="F105" s="37"/>
      <c r="G105" s="37"/>
    </row>
    <row r="106" spans="1:8" x14ac:dyDescent="0.2">
      <c r="A106" s="35"/>
      <c r="B106" s="161" t="s">
        <v>107</v>
      </c>
      <c r="C106" s="162"/>
      <c r="D106" s="16" t="s">
        <v>108</v>
      </c>
      <c r="E106" s="36"/>
      <c r="F106" s="37"/>
      <c r="G106" s="37"/>
    </row>
    <row r="107" spans="1:8" x14ac:dyDescent="0.2">
      <c r="A107" s="35"/>
      <c r="B107" s="161" t="s">
        <v>109</v>
      </c>
      <c r="C107" s="162"/>
      <c r="D107" s="16" t="s">
        <v>108</v>
      </c>
      <c r="E107" s="36"/>
      <c r="F107" s="37"/>
      <c r="G107" s="37"/>
    </row>
    <row r="108" spans="1:8" x14ac:dyDescent="0.2">
      <c r="A108" s="35"/>
      <c r="B108" s="161" t="s">
        <v>110</v>
      </c>
      <c r="C108" s="162"/>
      <c r="D108" s="21" t="s">
        <v>12</v>
      </c>
      <c r="E108" s="36"/>
      <c r="F108" s="37"/>
      <c r="G108" s="37"/>
    </row>
    <row r="109" spans="1:8" x14ac:dyDescent="0.2">
      <c r="A109" s="38"/>
      <c r="B109" s="39" t="s">
        <v>12</v>
      </c>
      <c r="C109" s="39" t="s">
        <v>550</v>
      </c>
      <c r="D109" s="39" t="s">
        <v>111</v>
      </c>
      <c r="E109" s="38"/>
      <c r="F109" s="38"/>
      <c r="G109" s="38"/>
    </row>
    <row r="110" spans="1:8" x14ac:dyDescent="0.2">
      <c r="A110" s="38"/>
      <c r="B110" s="40" t="s">
        <v>112</v>
      </c>
      <c r="C110" s="41">
        <v>45731</v>
      </c>
      <c r="D110" s="41">
        <v>45747</v>
      </c>
      <c r="E110" s="38"/>
      <c r="F110" s="38"/>
      <c r="G110" s="38"/>
    </row>
    <row r="111" spans="1:8" x14ac:dyDescent="0.2">
      <c r="A111" s="42"/>
      <c r="B111" s="24" t="s">
        <v>113</v>
      </c>
      <c r="C111" s="43">
        <v>46.441699999999997</v>
      </c>
      <c r="D111" s="43">
        <v>46.823500000000003</v>
      </c>
      <c r="E111" s="42"/>
      <c r="F111" s="44"/>
      <c r="G111" s="45"/>
    </row>
    <row r="112" spans="1:8" ht="25.5" x14ac:dyDescent="0.2">
      <c r="A112" s="42"/>
      <c r="B112" s="24" t="s">
        <v>670</v>
      </c>
      <c r="C112" s="43">
        <v>12.944599999999999</v>
      </c>
      <c r="D112" s="43">
        <v>12.9755</v>
      </c>
      <c r="E112" s="42"/>
      <c r="F112" s="44"/>
      <c r="G112" s="45"/>
    </row>
    <row r="113" spans="1:7" ht="25.5" x14ac:dyDescent="0.2">
      <c r="A113" s="42"/>
      <c r="B113" s="24" t="s">
        <v>671</v>
      </c>
      <c r="C113" s="43">
        <v>14.8607</v>
      </c>
      <c r="D113" s="43">
        <v>14.982799999999999</v>
      </c>
      <c r="E113" s="42"/>
      <c r="F113" s="44"/>
      <c r="G113" s="45"/>
    </row>
    <row r="114" spans="1:7" ht="25.5" x14ac:dyDescent="0.2">
      <c r="A114" s="42"/>
      <c r="B114" s="24" t="s">
        <v>672</v>
      </c>
      <c r="C114" s="43">
        <v>14.8378</v>
      </c>
      <c r="D114" s="43">
        <v>14.4398</v>
      </c>
      <c r="E114" s="42"/>
      <c r="F114" s="44"/>
      <c r="G114" s="45"/>
    </row>
    <row r="115" spans="1:7" ht="25.5" x14ac:dyDescent="0.2">
      <c r="A115" s="42"/>
      <c r="B115" s="24" t="s">
        <v>673</v>
      </c>
      <c r="C115" s="43">
        <v>14.8398</v>
      </c>
      <c r="D115" s="43">
        <v>14.9617</v>
      </c>
      <c r="E115" s="42"/>
      <c r="F115" s="44"/>
      <c r="G115" s="45"/>
    </row>
    <row r="116" spans="1:7" x14ac:dyDescent="0.2">
      <c r="A116" s="42"/>
      <c r="B116" s="24" t="s">
        <v>114</v>
      </c>
      <c r="C116" s="43">
        <v>42.991399999999999</v>
      </c>
      <c r="D116" s="43">
        <v>43.3294</v>
      </c>
      <c r="E116" s="42"/>
      <c r="F116" s="44"/>
      <c r="G116" s="45"/>
    </row>
    <row r="117" spans="1:7" x14ac:dyDescent="0.2">
      <c r="A117" s="42"/>
      <c r="B117" s="24" t="s">
        <v>149</v>
      </c>
      <c r="C117" s="43">
        <v>15.5296</v>
      </c>
      <c r="D117" s="43">
        <v>15.6517</v>
      </c>
      <c r="E117" s="42"/>
      <c r="F117" s="44"/>
      <c r="G117" s="45"/>
    </row>
    <row r="118" spans="1:7" ht="25.5" x14ac:dyDescent="0.2">
      <c r="A118" s="42"/>
      <c r="B118" s="24" t="s">
        <v>674</v>
      </c>
      <c r="C118" s="43">
        <v>12.902100000000001</v>
      </c>
      <c r="D118" s="43">
        <v>12.928000000000001</v>
      </c>
      <c r="E118" s="42"/>
      <c r="F118" s="44"/>
      <c r="G118" s="45"/>
    </row>
    <row r="119" spans="1:7" ht="25.5" x14ac:dyDescent="0.2">
      <c r="A119" s="42"/>
      <c r="B119" s="24" t="s">
        <v>646</v>
      </c>
      <c r="C119" s="43">
        <v>14.537599999999999</v>
      </c>
      <c r="D119" s="43">
        <v>14.651899999999999</v>
      </c>
      <c r="E119" s="42"/>
      <c r="F119" s="44"/>
      <c r="G119" s="45"/>
    </row>
    <row r="120" spans="1:7" ht="25.5" x14ac:dyDescent="0.2">
      <c r="A120" s="42"/>
      <c r="B120" s="24" t="s">
        <v>675</v>
      </c>
      <c r="C120" s="43">
        <v>14.5153</v>
      </c>
      <c r="D120" s="43">
        <v>14.1206</v>
      </c>
      <c r="E120" s="42"/>
      <c r="F120" s="44"/>
      <c r="G120" s="45"/>
    </row>
    <row r="121" spans="1:7" ht="25.5" x14ac:dyDescent="0.2">
      <c r="A121" s="42"/>
      <c r="B121" s="24" t="s">
        <v>676</v>
      </c>
      <c r="C121" s="43">
        <v>14.5154</v>
      </c>
      <c r="D121" s="43">
        <v>14.6295</v>
      </c>
      <c r="E121" s="42"/>
      <c r="F121" s="44"/>
      <c r="G121" s="45"/>
    </row>
    <row r="122" spans="1:7" x14ac:dyDescent="0.2">
      <c r="A122" s="42"/>
      <c r="B122" s="42"/>
      <c r="C122" s="42"/>
      <c r="D122" s="42"/>
      <c r="E122" s="42"/>
      <c r="F122" s="42"/>
      <c r="G122" s="42"/>
    </row>
    <row r="123" spans="1:7" x14ac:dyDescent="0.2">
      <c r="A123" s="42"/>
      <c r="B123" s="161" t="s">
        <v>563</v>
      </c>
      <c r="C123" s="162"/>
      <c r="D123" s="16" t="s">
        <v>12</v>
      </c>
      <c r="E123" s="42"/>
      <c r="F123" s="42"/>
      <c r="G123" s="42"/>
    </row>
    <row r="124" spans="1:7" x14ac:dyDescent="0.2">
      <c r="A124" s="42"/>
      <c r="B124" s="46" t="s">
        <v>112</v>
      </c>
      <c r="C124" s="47" t="s">
        <v>115</v>
      </c>
      <c r="D124" s="47" t="s">
        <v>116</v>
      </c>
      <c r="E124" s="42"/>
      <c r="F124" s="42"/>
      <c r="G124" s="42"/>
    </row>
    <row r="125" spans="1:7" ht="25.5" x14ac:dyDescent="0.2">
      <c r="A125" s="42"/>
      <c r="B125" s="24" t="s">
        <v>670</v>
      </c>
      <c r="C125" s="48">
        <v>7.4999999999999997E-2</v>
      </c>
      <c r="D125" s="28" t="s">
        <v>117</v>
      </c>
      <c r="E125" s="42"/>
      <c r="F125" s="44"/>
      <c r="G125" s="45"/>
    </row>
    <row r="126" spans="1:7" ht="25.5" x14ac:dyDescent="0.2">
      <c r="A126" s="42"/>
      <c r="B126" s="24" t="s">
        <v>672</v>
      </c>
      <c r="C126" s="48">
        <v>0.51800000000000002</v>
      </c>
      <c r="D126" s="28" t="s">
        <v>117</v>
      </c>
      <c r="E126" s="42"/>
      <c r="F126" s="44"/>
      <c r="G126" s="45"/>
    </row>
    <row r="127" spans="1:7" ht="25.5" x14ac:dyDescent="0.2">
      <c r="A127" s="42"/>
      <c r="B127" s="24" t="s">
        <v>674</v>
      </c>
      <c r="C127" s="48">
        <v>7.4999999999999997E-2</v>
      </c>
      <c r="D127" s="48">
        <v>7.4999999999999997E-2</v>
      </c>
      <c r="E127" s="42"/>
      <c r="F127" s="44"/>
      <c r="G127" s="45"/>
    </row>
    <row r="128" spans="1:7" ht="25.5" x14ac:dyDescent="0.2">
      <c r="A128" s="42"/>
      <c r="B128" s="24" t="s">
        <v>675</v>
      </c>
      <c r="C128" s="48">
        <v>0.50700000000000001</v>
      </c>
      <c r="D128" s="28" t="s">
        <v>117</v>
      </c>
      <c r="E128" s="42"/>
      <c r="F128" s="44"/>
      <c r="G128" s="45"/>
    </row>
    <row r="129" spans="1:19" x14ac:dyDescent="0.2">
      <c r="A129" s="42"/>
      <c r="B129" s="49"/>
      <c r="C129" s="49"/>
      <c r="D129" s="50"/>
      <c r="E129" s="42"/>
      <c r="F129" s="44"/>
      <c r="G129" s="45"/>
    </row>
    <row r="130" spans="1:19" x14ac:dyDescent="0.2">
      <c r="A130" s="38"/>
      <c r="B130" s="94"/>
      <c r="C130" s="94"/>
      <c r="D130" s="95"/>
      <c r="E130" s="38"/>
      <c r="F130" s="33"/>
      <c r="G130" s="96"/>
    </row>
    <row r="131" spans="1:19" s="55" customFormat="1" x14ac:dyDescent="0.2">
      <c r="A131" s="96"/>
      <c r="B131" s="163" t="s">
        <v>564</v>
      </c>
      <c r="C131" s="164"/>
      <c r="D131" s="51" t="s">
        <v>108</v>
      </c>
      <c r="E131" s="96"/>
      <c r="F131" s="96"/>
      <c r="G131" s="96"/>
      <c r="I131"/>
      <c r="J131" s="14"/>
      <c r="K131"/>
      <c r="L131" s="53"/>
      <c r="M131" s="53"/>
      <c r="N131" s="53"/>
      <c r="O131" s="56"/>
      <c r="P131"/>
      <c r="Q131"/>
    </row>
    <row r="132" spans="1:19" x14ac:dyDescent="0.2">
      <c r="A132" s="38"/>
      <c r="B132" s="163" t="s">
        <v>565</v>
      </c>
      <c r="C132" s="164"/>
      <c r="D132" s="51" t="s">
        <v>108</v>
      </c>
      <c r="E132" s="52"/>
      <c r="F132" s="38"/>
      <c r="G132" s="38"/>
      <c r="J132" s="14"/>
    </row>
    <row r="133" spans="1:19" x14ac:dyDescent="0.2">
      <c r="A133" s="38"/>
      <c r="B133" s="163" t="s">
        <v>566</v>
      </c>
      <c r="C133" s="164"/>
      <c r="D133" s="51" t="s">
        <v>108</v>
      </c>
      <c r="E133" s="52"/>
      <c r="F133" s="38"/>
      <c r="G133" s="38"/>
      <c r="J133" s="14"/>
    </row>
    <row r="134" spans="1:19" x14ac:dyDescent="0.2">
      <c r="A134" s="38"/>
      <c r="B134" s="163" t="s">
        <v>567</v>
      </c>
      <c r="C134" s="164"/>
      <c r="D134" s="51" t="s">
        <v>108</v>
      </c>
      <c r="E134" s="52"/>
      <c r="F134" s="38"/>
      <c r="G134" s="38"/>
      <c r="J134" s="14"/>
    </row>
    <row r="135" spans="1:19" x14ac:dyDescent="0.2">
      <c r="A135" s="54"/>
      <c r="B135" s="54"/>
      <c r="C135" s="54"/>
      <c r="D135" s="54"/>
      <c r="E135" s="54"/>
      <c r="F135" s="54"/>
      <c r="G135" s="54"/>
      <c r="J135" s="14"/>
    </row>
    <row r="136" spans="1:19" s="55" customFormat="1" x14ac:dyDescent="0.2">
      <c r="B136" s="166" t="s">
        <v>552</v>
      </c>
      <c r="C136" s="167"/>
      <c r="D136" s="168"/>
      <c r="I136"/>
      <c r="J136" s="14"/>
      <c r="K136"/>
      <c r="L136" s="53"/>
      <c r="M136" s="53"/>
      <c r="N136" s="53"/>
      <c r="O136" s="56"/>
      <c r="R136"/>
      <c r="S136"/>
    </row>
    <row r="137" spans="1:19" s="55" customFormat="1" ht="51" x14ac:dyDescent="0.2">
      <c r="B137" s="156" t="s">
        <v>553</v>
      </c>
      <c r="C137" s="156"/>
      <c r="D137" s="57" t="s">
        <v>413</v>
      </c>
      <c r="I137"/>
      <c r="J137" s="14"/>
      <c r="K137"/>
      <c r="L137" s="53"/>
      <c r="M137" s="53"/>
      <c r="N137" s="53"/>
      <c r="O137" s="56"/>
      <c r="R137"/>
      <c r="S137"/>
    </row>
    <row r="138" spans="1:19" s="55" customFormat="1" x14ac:dyDescent="0.2">
      <c r="B138" s="169" t="s">
        <v>554</v>
      </c>
      <c r="C138" s="169"/>
      <c r="D138" s="58"/>
      <c r="I138"/>
      <c r="J138" s="14"/>
      <c r="K138"/>
      <c r="L138" s="53"/>
      <c r="M138" s="53"/>
      <c r="N138" s="53"/>
      <c r="O138" s="56"/>
      <c r="R138"/>
      <c r="S138"/>
    </row>
    <row r="139" spans="1:19" s="55" customFormat="1" x14ac:dyDescent="0.2">
      <c r="B139" s="169"/>
      <c r="C139" s="169"/>
      <c r="D139" s="59"/>
      <c r="I139"/>
      <c r="J139" s="14"/>
      <c r="K139"/>
      <c r="L139" s="53"/>
      <c r="M139" s="53"/>
      <c r="N139" s="53"/>
      <c r="O139" s="56"/>
      <c r="R139"/>
      <c r="S139"/>
    </row>
    <row r="140" spans="1:19" s="55" customFormat="1" x14ac:dyDescent="0.2">
      <c r="B140" s="169" t="s">
        <v>555</v>
      </c>
      <c r="C140" s="169"/>
      <c r="D140" s="60">
        <v>7.2439270982103245</v>
      </c>
      <c r="I140"/>
      <c r="J140" s="14"/>
      <c r="K140"/>
      <c r="L140" s="53"/>
      <c r="M140" s="53"/>
      <c r="N140" s="53"/>
      <c r="O140" s="56"/>
    </row>
    <row r="141" spans="1:19" s="55" customFormat="1" x14ac:dyDescent="0.2">
      <c r="B141" s="169"/>
      <c r="C141" s="169"/>
      <c r="D141" s="59"/>
      <c r="I141"/>
      <c r="J141" s="14"/>
      <c r="K141"/>
      <c r="L141" s="53"/>
      <c r="M141" s="53"/>
      <c r="N141" s="53"/>
      <c r="O141" s="56"/>
    </row>
    <row r="142" spans="1:19" s="55" customFormat="1" x14ac:dyDescent="0.2">
      <c r="B142" s="169" t="s">
        <v>556</v>
      </c>
      <c r="C142" s="169"/>
      <c r="D142" s="60">
        <v>2.946701103626987</v>
      </c>
      <c r="I142"/>
      <c r="J142" s="14"/>
      <c r="K142"/>
      <c r="L142" s="53"/>
      <c r="M142" s="53"/>
      <c r="N142" s="53"/>
      <c r="O142" s="56"/>
    </row>
    <row r="143" spans="1:19" s="55" customFormat="1" x14ac:dyDescent="0.2">
      <c r="B143" s="169" t="s">
        <v>572</v>
      </c>
      <c r="C143" s="169"/>
      <c r="D143" s="60">
        <v>3.620158185343143</v>
      </c>
      <c r="I143"/>
      <c r="J143" s="14"/>
      <c r="K143"/>
      <c r="L143" s="53"/>
      <c r="M143" s="53"/>
      <c r="N143" s="53"/>
      <c r="O143" s="56"/>
    </row>
    <row r="144" spans="1:19" s="55" customFormat="1" x14ac:dyDescent="0.2">
      <c r="B144" s="169"/>
      <c r="C144" s="169"/>
      <c r="D144" s="59"/>
      <c r="I144"/>
      <c r="J144" s="14"/>
      <c r="K144"/>
      <c r="L144" s="53"/>
      <c r="M144" s="53"/>
      <c r="N144" s="53"/>
      <c r="O144" s="56"/>
    </row>
    <row r="145" spans="2:15" s="55" customFormat="1" x14ac:dyDescent="0.2">
      <c r="B145" s="169" t="s">
        <v>558</v>
      </c>
      <c r="C145" s="169"/>
      <c r="D145" s="62" t="s">
        <v>677</v>
      </c>
      <c r="I145"/>
      <c r="J145" s="14"/>
      <c r="K145" s="53"/>
      <c r="L145" s="53"/>
      <c r="M145" s="53"/>
      <c r="N145" s="53"/>
      <c r="O145" s="56"/>
    </row>
    <row r="146" spans="2:15" s="55" customFormat="1" x14ac:dyDescent="0.2">
      <c r="B146" s="170" t="s">
        <v>559</v>
      </c>
      <c r="C146" s="172"/>
      <c r="D146" s="171"/>
      <c r="I146"/>
      <c r="J146" s="14"/>
      <c r="K146"/>
      <c r="L146" s="53"/>
      <c r="M146" s="53"/>
      <c r="N146" s="53"/>
      <c r="O146" s="56"/>
    </row>
    <row r="147" spans="2:15" x14ac:dyDescent="0.2">
      <c r="J147" s="14"/>
    </row>
    <row r="148" spans="2:15" ht="13.5" x14ac:dyDescent="0.2">
      <c r="B148" s="199" t="s">
        <v>678</v>
      </c>
      <c r="C148" s="199"/>
      <c r="D148" s="199"/>
      <c r="E148" s="199"/>
      <c r="F148" s="199"/>
      <c r="G148" s="199"/>
      <c r="H148" s="199"/>
    </row>
    <row r="149" spans="2:15" ht="13.5" x14ac:dyDescent="0.2">
      <c r="B149" s="149"/>
      <c r="C149" s="149"/>
      <c r="D149" s="149"/>
      <c r="E149" s="149"/>
      <c r="F149" s="149"/>
      <c r="G149" s="149"/>
      <c r="H149" s="149"/>
      <c r="J149" s="53"/>
      <c r="K149" s="53"/>
      <c r="L149" s="53"/>
      <c r="M149" s="53"/>
      <c r="N149" s="53"/>
      <c r="O149" s="53"/>
    </row>
    <row r="150" spans="2:15" ht="13.5" x14ac:dyDescent="0.25">
      <c r="B150" s="88" t="s">
        <v>573</v>
      </c>
      <c r="C150" s="88" t="s">
        <v>574</v>
      </c>
      <c r="D150" s="200" t="s">
        <v>575</v>
      </c>
      <c r="E150" s="201"/>
      <c r="F150" s="202"/>
      <c r="G150" s="203" t="s">
        <v>576</v>
      </c>
      <c r="H150" s="204"/>
      <c r="J150" s="53"/>
      <c r="K150" s="53"/>
      <c r="L150" s="53"/>
      <c r="M150" s="53"/>
      <c r="N150" s="53"/>
      <c r="O150" s="53"/>
    </row>
    <row r="151" spans="2:15" ht="27" x14ac:dyDescent="0.25">
      <c r="B151" s="87" t="s">
        <v>581</v>
      </c>
      <c r="C151" s="86" t="s">
        <v>610</v>
      </c>
      <c r="D151" s="205">
        <v>0</v>
      </c>
      <c r="E151" s="206"/>
      <c r="F151" s="207"/>
      <c r="G151" s="205">
        <v>0</v>
      </c>
      <c r="H151" s="207"/>
      <c r="J151" s="53"/>
      <c r="K151" s="53"/>
      <c r="L151" s="53"/>
      <c r="M151" s="53"/>
      <c r="N151" s="53"/>
      <c r="O151" s="53"/>
    </row>
    <row r="152" spans="2:15" ht="27" x14ac:dyDescent="0.25">
      <c r="B152" s="87" t="s">
        <v>577</v>
      </c>
      <c r="C152" s="86" t="s">
        <v>611</v>
      </c>
      <c r="D152" s="205">
        <v>0</v>
      </c>
      <c r="E152" s="206"/>
      <c r="F152" s="207"/>
      <c r="G152" s="205">
        <v>0</v>
      </c>
      <c r="H152" s="207"/>
      <c r="J152" s="53"/>
      <c r="K152" s="53"/>
      <c r="L152" s="53"/>
      <c r="M152" s="53"/>
      <c r="N152" s="53"/>
      <c r="O152" s="53"/>
    </row>
    <row r="153" spans="2:15" ht="27" x14ac:dyDescent="0.25">
      <c r="B153" s="87" t="s">
        <v>612</v>
      </c>
      <c r="C153" s="86" t="s">
        <v>613</v>
      </c>
      <c r="D153" s="205">
        <v>0</v>
      </c>
      <c r="E153" s="206"/>
      <c r="F153" s="207"/>
      <c r="G153" s="205">
        <v>0</v>
      </c>
      <c r="H153" s="207"/>
      <c r="J153" s="53"/>
      <c r="K153" s="53"/>
      <c r="L153" s="53"/>
      <c r="M153" s="53"/>
      <c r="N153" s="53"/>
      <c r="O153" s="53"/>
    </row>
    <row r="154" spans="2:15" ht="27" x14ac:dyDescent="0.25">
      <c r="B154" s="87" t="s">
        <v>579</v>
      </c>
      <c r="C154" s="86" t="s">
        <v>614</v>
      </c>
      <c r="D154" s="180">
        <v>0</v>
      </c>
      <c r="E154" s="180"/>
      <c r="F154" s="180"/>
      <c r="G154" s="180">
        <v>0</v>
      </c>
      <c r="H154" s="180"/>
      <c r="J154" s="53"/>
      <c r="K154" s="53"/>
      <c r="L154" s="53"/>
      <c r="M154" s="53"/>
      <c r="N154" s="53"/>
      <c r="O154" s="53"/>
    </row>
    <row r="155" spans="2:15" ht="13.5" x14ac:dyDescent="0.25">
      <c r="B155" s="142"/>
      <c r="C155" s="142"/>
      <c r="D155" s="208"/>
      <c r="E155" s="208"/>
      <c r="F155" s="208"/>
      <c r="G155" s="208"/>
      <c r="H155" s="208"/>
      <c r="J155" s="53"/>
      <c r="K155" s="53"/>
      <c r="L155" s="53"/>
      <c r="M155" s="53"/>
      <c r="N155" s="53"/>
      <c r="O155" s="53"/>
    </row>
    <row r="156" spans="2:15" ht="13.5" x14ac:dyDescent="0.25">
      <c r="B156" s="209" t="s">
        <v>583</v>
      </c>
      <c r="C156" s="209"/>
      <c r="D156" s="209"/>
      <c r="E156" s="209"/>
      <c r="F156" s="209"/>
      <c r="G156" s="209"/>
      <c r="H156" s="209"/>
      <c r="J156" s="53"/>
      <c r="K156" s="53"/>
      <c r="L156" s="53"/>
      <c r="M156" s="53"/>
      <c r="N156" s="53"/>
      <c r="O156" s="53"/>
    </row>
    <row r="157" spans="2:15" ht="13.5" x14ac:dyDescent="0.2">
      <c r="B157" s="196" t="s">
        <v>573</v>
      </c>
      <c r="C157" s="196" t="s">
        <v>574</v>
      </c>
      <c r="D157" s="196" t="s">
        <v>615</v>
      </c>
      <c r="E157" s="196"/>
      <c r="F157" s="196"/>
      <c r="G157" s="196"/>
      <c r="H157" s="197" t="s">
        <v>616</v>
      </c>
      <c r="I157" s="197" t="s">
        <v>617</v>
      </c>
      <c r="J157" s="197" t="s">
        <v>618</v>
      </c>
      <c r="K157" s="53"/>
      <c r="L157" s="53"/>
      <c r="M157" s="53"/>
      <c r="N157" s="53"/>
      <c r="O157" s="53"/>
    </row>
    <row r="158" spans="2:15" ht="121.5" x14ac:dyDescent="0.2">
      <c r="B158" s="196"/>
      <c r="C158" s="196"/>
      <c r="D158" s="83" t="s">
        <v>619</v>
      </c>
      <c r="E158" s="83" t="s">
        <v>620</v>
      </c>
      <c r="F158" s="83" t="s">
        <v>621</v>
      </c>
      <c r="G158" s="83" t="s">
        <v>622</v>
      </c>
      <c r="H158" s="197"/>
      <c r="I158" s="197"/>
      <c r="J158" s="197"/>
      <c r="K158" s="53"/>
      <c r="L158" s="53"/>
      <c r="M158" s="53"/>
      <c r="N158" s="53"/>
      <c r="O158" s="53"/>
    </row>
    <row r="159" spans="2:15" ht="27" x14ac:dyDescent="0.25">
      <c r="B159" s="87" t="s">
        <v>581</v>
      </c>
      <c r="C159" s="86" t="s">
        <v>610</v>
      </c>
      <c r="D159" s="89">
        <v>3000</v>
      </c>
      <c r="E159" s="89">
        <v>198.60410960000002</v>
      </c>
      <c r="F159" s="150">
        <v>72.152053199999997</v>
      </c>
      <c r="G159" s="151">
        <v>3270.7561627999999</v>
      </c>
      <c r="H159" s="8">
        <v>1452.6372699999999</v>
      </c>
      <c r="I159" s="8">
        <f>2499839/10^5</f>
        <v>24.998390000000001</v>
      </c>
      <c r="J159" s="8">
        <f>H159+I159</f>
        <v>1477.6356599999999</v>
      </c>
      <c r="K159" s="53"/>
      <c r="L159" s="53"/>
      <c r="M159" s="53"/>
      <c r="N159" s="53"/>
      <c r="O159" s="53"/>
    </row>
    <row r="160" spans="2:15" ht="27" x14ac:dyDescent="0.25">
      <c r="B160" s="87" t="s">
        <v>577</v>
      </c>
      <c r="C160" s="86" t="s">
        <v>611</v>
      </c>
      <c r="D160" s="89">
        <v>500</v>
      </c>
      <c r="E160" s="89">
        <v>33.283561599999999</v>
      </c>
      <c r="F160" s="150">
        <v>12.091777499999999</v>
      </c>
      <c r="G160" s="151">
        <f>D160+E160+F160</f>
        <v>545.37533910000002</v>
      </c>
      <c r="H160" s="8">
        <v>242.22076999999999</v>
      </c>
      <c r="I160" s="8">
        <f>416840/10^5</f>
        <v>4.1684000000000001</v>
      </c>
      <c r="J160" s="8">
        <f>H160+I160</f>
        <v>246.38916999999998</v>
      </c>
      <c r="K160" s="53"/>
      <c r="L160" s="53"/>
      <c r="M160" s="53"/>
      <c r="N160" s="53"/>
      <c r="O160" s="53"/>
    </row>
    <row r="161" spans="2:15" ht="27" x14ac:dyDescent="0.25">
      <c r="B161" s="87" t="s">
        <v>612</v>
      </c>
      <c r="C161" s="86" t="s">
        <v>623</v>
      </c>
      <c r="D161" s="89">
        <v>2000</v>
      </c>
      <c r="E161" s="89">
        <v>39.762295099999996</v>
      </c>
      <c r="F161" s="150">
        <v>64.029485721917808</v>
      </c>
      <c r="G161" s="151">
        <v>2103.7917808219199</v>
      </c>
      <c r="H161" s="8">
        <v>933.64715000000001</v>
      </c>
      <c r="I161" s="8">
        <f>1606686/10^5</f>
        <v>16.066859999999998</v>
      </c>
      <c r="J161" s="8">
        <f>H161+I161</f>
        <v>949.71401000000003</v>
      </c>
      <c r="K161" s="53"/>
      <c r="L161" s="53"/>
      <c r="M161" s="53"/>
      <c r="N161" s="53"/>
      <c r="O161" s="53"/>
    </row>
    <row r="162" spans="2:15" ht="27" x14ac:dyDescent="0.25">
      <c r="B162" s="87" t="s">
        <v>579</v>
      </c>
      <c r="C162" s="86" t="s">
        <v>614</v>
      </c>
      <c r="D162" s="89">
        <v>1882.78</v>
      </c>
      <c r="E162" s="89">
        <v>137.066384</v>
      </c>
      <c r="F162" s="150">
        <v>34.266601500000007</v>
      </c>
      <c r="G162" s="151">
        <v>2054.1129854999999</v>
      </c>
      <c r="H162" s="8">
        <v>916.65184999999997</v>
      </c>
      <c r="I162" s="8">
        <f>1577458/10^5</f>
        <v>15.77458</v>
      </c>
      <c r="J162" s="8">
        <f>H162+I162</f>
        <v>932.42642999999998</v>
      </c>
      <c r="K162" s="53"/>
      <c r="L162" s="53"/>
      <c r="M162" s="53"/>
      <c r="N162" s="53"/>
      <c r="O162" s="53"/>
    </row>
    <row r="163" spans="2:15" ht="13.5" x14ac:dyDescent="0.25">
      <c r="B163" s="142"/>
      <c r="C163" s="143"/>
      <c r="D163" s="152"/>
      <c r="E163" s="152"/>
      <c r="F163" s="10"/>
      <c r="G163" s="145"/>
      <c r="H163" s="9"/>
      <c r="J163" s="14"/>
      <c r="K163" s="53"/>
      <c r="L163" s="53"/>
      <c r="M163" s="53"/>
      <c r="N163" s="53"/>
      <c r="O163" s="53"/>
    </row>
    <row r="164" spans="2:15" ht="51" customHeight="1" x14ac:dyDescent="0.2">
      <c r="B164" s="182" t="s">
        <v>624</v>
      </c>
      <c r="C164" s="182"/>
      <c r="D164" s="182"/>
      <c r="E164" s="182"/>
      <c r="F164" s="182"/>
      <c r="G164" s="182"/>
      <c r="H164" s="182"/>
      <c r="I164" s="182"/>
      <c r="J164" s="14"/>
      <c r="K164" s="53"/>
      <c r="L164" s="53"/>
      <c r="M164" s="53"/>
      <c r="N164" s="53"/>
      <c r="O164" s="53"/>
    </row>
    <row r="165" spans="2:15" x14ac:dyDescent="0.2">
      <c r="B165" s="53"/>
      <c r="C165" s="53"/>
      <c r="D165" s="53"/>
      <c r="E165" s="53"/>
      <c r="F165" s="53"/>
      <c r="G165" s="53"/>
      <c r="H165" s="53"/>
      <c r="J165" s="14"/>
      <c r="K165" s="53"/>
      <c r="L165" s="53"/>
      <c r="M165" s="53"/>
      <c r="N165" s="53"/>
      <c r="O165" s="53"/>
    </row>
    <row r="166" spans="2:15" ht="13.5" x14ac:dyDescent="0.25">
      <c r="B166" s="92" t="s">
        <v>602</v>
      </c>
      <c r="C166" s="53"/>
      <c r="D166" s="53"/>
      <c r="E166" s="53"/>
      <c r="F166" s="53"/>
      <c r="G166" s="53"/>
      <c r="H166" s="53"/>
      <c r="J166" s="14"/>
      <c r="K166" s="53"/>
      <c r="L166" s="53"/>
      <c r="M166" s="53"/>
      <c r="N166" s="53"/>
      <c r="O166" s="53"/>
    </row>
    <row r="167" spans="2:15" x14ac:dyDescent="0.2">
      <c r="B167" s="53"/>
      <c r="C167" s="53"/>
      <c r="D167" s="53"/>
      <c r="E167" s="53"/>
      <c r="F167" s="53"/>
      <c r="G167" s="53"/>
      <c r="H167" s="53"/>
      <c r="I167" s="53"/>
      <c r="J167" s="14"/>
      <c r="K167" s="53"/>
      <c r="L167" s="53"/>
      <c r="M167" s="53"/>
      <c r="N167" s="53"/>
      <c r="O167" s="53"/>
    </row>
    <row r="168" spans="2:15" x14ac:dyDescent="0.2">
      <c r="B168" s="93" t="s">
        <v>603</v>
      </c>
      <c r="C168" s="53"/>
      <c r="D168" s="53"/>
      <c r="E168" s="53"/>
      <c r="F168" s="53"/>
      <c r="G168" s="53"/>
      <c r="H168" s="53"/>
      <c r="I168" s="53"/>
      <c r="J168" s="14"/>
      <c r="K168" s="53"/>
      <c r="L168" s="53"/>
      <c r="M168" s="53"/>
      <c r="N168" s="53"/>
      <c r="O168" s="53"/>
    </row>
    <row r="169" spans="2:15" x14ac:dyDescent="0.2">
      <c r="B169" s="53"/>
      <c r="C169" s="53"/>
      <c r="D169" s="53"/>
      <c r="E169" s="53"/>
      <c r="F169" s="53"/>
      <c r="G169" s="53"/>
      <c r="H169" s="53"/>
      <c r="I169" s="53"/>
      <c r="J169" s="14"/>
      <c r="K169" s="53"/>
      <c r="L169" s="53"/>
      <c r="M169" s="53"/>
      <c r="N169" s="53"/>
      <c r="O169" s="53"/>
    </row>
    <row r="170" spans="2:15" x14ac:dyDescent="0.2">
      <c r="B170" s="93" t="s">
        <v>604</v>
      </c>
      <c r="C170" s="53"/>
      <c r="D170" s="53"/>
      <c r="E170" s="53"/>
      <c r="F170" s="53"/>
      <c r="G170" s="53"/>
      <c r="H170" s="53"/>
      <c r="I170" s="53"/>
      <c r="J170" s="14"/>
      <c r="K170" s="53"/>
      <c r="L170" s="53"/>
      <c r="M170" s="53"/>
      <c r="N170" s="53"/>
      <c r="O170" s="53"/>
    </row>
    <row r="171" spans="2:15" x14ac:dyDescent="0.2">
      <c r="I171" s="53"/>
      <c r="J171" s="14"/>
      <c r="K171" s="53"/>
      <c r="L171" s="53"/>
      <c r="M171" s="53"/>
      <c r="N171" s="53"/>
      <c r="O171" s="53"/>
    </row>
    <row r="172" spans="2:15" x14ac:dyDescent="0.2">
      <c r="B172" s="93" t="s">
        <v>605</v>
      </c>
      <c r="J172" s="14"/>
      <c r="K172" s="53"/>
      <c r="L172" s="53"/>
      <c r="M172" s="53"/>
      <c r="N172" s="53"/>
      <c r="O172" s="53"/>
    </row>
    <row r="173" spans="2:15" x14ac:dyDescent="0.2">
      <c r="I173" s="53"/>
      <c r="J173" s="14"/>
      <c r="K173" s="53"/>
      <c r="L173" s="53"/>
      <c r="M173" s="53"/>
      <c r="N173" s="53"/>
      <c r="O173" s="53"/>
    </row>
    <row r="174" spans="2:15" ht="25.5" x14ac:dyDescent="0.2">
      <c r="B174" s="64" t="s">
        <v>560</v>
      </c>
    </row>
    <row r="176" spans="2:15" ht="153.75" customHeight="1" x14ac:dyDescent="0.2"/>
    <row r="179" spans="2:10" x14ac:dyDescent="0.2">
      <c r="B179" s="65" t="s">
        <v>561</v>
      </c>
      <c r="C179" s="66"/>
      <c r="D179" s="65"/>
    </row>
    <row r="180" spans="2:10" x14ac:dyDescent="0.2">
      <c r="B180" s="65" t="s">
        <v>625</v>
      </c>
      <c r="D180" s="65"/>
    </row>
    <row r="181" spans="2:10" ht="165" customHeight="1" x14ac:dyDescent="0.2"/>
    <row r="183" spans="2:10" x14ac:dyDescent="0.2">
      <c r="J183" s="14"/>
    </row>
  </sheetData>
  <mergeCells count="47">
    <mergeCell ref="J157:J158"/>
    <mergeCell ref="B164:I164"/>
    <mergeCell ref="B156:H156"/>
    <mergeCell ref="B157:B158"/>
    <mergeCell ref="C157:C158"/>
    <mergeCell ref="D157:G157"/>
    <mergeCell ref="H157:H158"/>
    <mergeCell ref="D154:F154"/>
    <mergeCell ref="G154:H154"/>
    <mergeCell ref="D155:F155"/>
    <mergeCell ref="G155:H155"/>
    <mergeCell ref="I157:I158"/>
    <mergeCell ref="D151:F151"/>
    <mergeCell ref="G151:H151"/>
    <mergeCell ref="D152:F152"/>
    <mergeCell ref="G152:H152"/>
    <mergeCell ref="D153:F153"/>
    <mergeCell ref="G153:H153"/>
    <mergeCell ref="B144:C144"/>
    <mergeCell ref="B145:C145"/>
    <mergeCell ref="B146:D146"/>
    <mergeCell ref="B148:H148"/>
    <mergeCell ref="D150:F150"/>
    <mergeCell ref="G150:H150"/>
    <mergeCell ref="B139:C139"/>
    <mergeCell ref="B140:C140"/>
    <mergeCell ref="B141:C141"/>
    <mergeCell ref="B142:C142"/>
    <mergeCell ref="B143:C143"/>
    <mergeCell ref="B107:C107"/>
    <mergeCell ref="B108:C108"/>
    <mergeCell ref="B123:C123"/>
    <mergeCell ref="B131:C131"/>
    <mergeCell ref="B138:C138"/>
    <mergeCell ref="B136:D136"/>
    <mergeCell ref="B137:C137"/>
    <mergeCell ref="B132:C132"/>
    <mergeCell ref="B133:C133"/>
    <mergeCell ref="B134:C134"/>
    <mergeCell ref="A1:H1"/>
    <mergeCell ref="A2:H2"/>
    <mergeCell ref="A3:H3"/>
    <mergeCell ref="B105:D105"/>
    <mergeCell ref="B106:C106"/>
    <mergeCell ref="B101:H101"/>
    <mergeCell ref="B102:H102"/>
    <mergeCell ref="B103:H103"/>
  </mergeCells>
  <hyperlinks>
    <hyperlink ref="I1" location="Index!B2" display="Index" xr:uid="{5ACE295D-0FEA-4E7C-B01F-17CBBE4FFBAE}"/>
    <hyperlink ref="B168" r:id="rId1" xr:uid="{14DB1BE0-85BF-47BE-A8D7-2B7A97C67390}"/>
    <hyperlink ref="B170" r:id="rId2" xr:uid="{FFB9830A-7B34-48E3-B7F3-923B52662122}"/>
    <hyperlink ref="B172" r:id="rId3" xr:uid="{2C189E50-8729-4AF1-BF46-B7A6124AA82F}"/>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63A66-4846-4029-9FC4-8FBFE19C4BD1}">
  <sheetPr>
    <outlinePr summaryBelow="0" summaryRight="0"/>
  </sheetPr>
  <dimension ref="A1:Q213"/>
  <sheetViews>
    <sheetView showGridLines="0" workbookViewId="0">
      <selection sqref="A1:H1"/>
    </sheetView>
  </sheetViews>
  <sheetFormatPr defaultRowHeight="12.75" x14ac:dyDescent="0.2"/>
  <cols>
    <col min="1" max="1" width="5.85546875" bestFit="1" customWidth="1"/>
    <col min="2" max="2" width="23.7109375" customWidth="1"/>
    <col min="3" max="3" width="39.140625" bestFit="1" customWidth="1"/>
    <col min="4" max="4" width="11.28515625" bestFit="1" customWidth="1"/>
    <col min="5" max="5" width="9.42578125" bestFit="1" customWidth="1"/>
    <col min="6" max="6" width="10.140625" bestFit="1" customWidth="1"/>
    <col min="7" max="7" width="14" bestFit="1" customWidth="1"/>
    <col min="8" max="8" width="9.42578125" customWidth="1"/>
  </cols>
  <sheetData>
    <row r="1" spans="1:9" ht="15" x14ac:dyDescent="0.2">
      <c r="A1" s="157" t="s">
        <v>0</v>
      </c>
      <c r="B1" s="157"/>
      <c r="C1" s="157"/>
      <c r="D1" s="157"/>
      <c r="E1" s="157"/>
      <c r="F1" s="157"/>
      <c r="G1" s="157"/>
      <c r="H1" s="157"/>
      <c r="I1" s="1" t="s">
        <v>531</v>
      </c>
    </row>
    <row r="2" spans="1:9" ht="15" x14ac:dyDescent="0.2">
      <c r="A2" s="157" t="s">
        <v>428</v>
      </c>
      <c r="B2" s="157"/>
      <c r="C2" s="157"/>
      <c r="D2" s="157"/>
      <c r="E2" s="157"/>
      <c r="F2" s="157"/>
      <c r="G2" s="157"/>
      <c r="H2" s="157"/>
    </row>
    <row r="3" spans="1:9" ht="15" x14ac:dyDescent="0.2">
      <c r="A3" s="157" t="s">
        <v>532</v>
      </c>
      <c r="B3" s="157"/>
      <c r="C3" s="157"/>
      <c r="D3" s="157"/>
      <c r="E3" s="157"/>
      <c r="F3" s="157"/>
      <c r="G3" s="157"/>
      <c r="H3" s="157"/>
    </row>
    <row r="4" spans="1:9" s="14" customFormat="1" ht="30" x14ac:dyDescent="0.2">
      <c r="A4" s="12" t="s">
        <v>2</v>
      </c>
      <c r="B4" s="12" t="s">
        <v>3</v>
      </c>
      <c r="C4" s="12" t="s">
        <v>4</v>
      </c>
      <c r="D4" s="12" t="s">
        <v>5</v>
      </c>
      <c r="E4" s="12" t="s">
        <v>6</v>
      </c>
      <c r="F4" s="12" t="s">
        <v>7</v>
      </c>
      <c r="G4" s="12" t="s">
        <v>8</v>
      </c>
      <c r="H4" s="13" t="s">
        <v>669</v>
      </c>
    </row>
    <row r="5" spans="1:9" x14ac:dyDescent="0.2">
      <c r="A5" s="15"/>
      <c r="B5" s="15"/>
      <c r="C5" s="16" t="s">
        <v>9</v>
      </c>
      <c r="D5" s="15"/>
      <c r="E5" s="15"/>
      <c r="F5" s="15"/>
      <c r="G5" s="15"/>
      <c r="H5" s="17" t="s">
        <v>12</v>
      </c>
    </row>
    <row r="6" spans="1:9" x14ac:dyDescent="0.2">
      <c r="A6" s="15"/>
      <c r="B6" s="15"/>
      <c r="C6" s="16" t="s">
        <v>10</v>
      </c>
      <c r="D6" s="15"/>
      <c r="E6" s="15"/>
      <c r="F6" s="15"/>
      <c r="G6" s="15"/>
      <c r="H6" s="17" t="s">
        <v>12</v>
      </c>
    </row>
    <row r="7" spans="1:9" x14ac:dyDescent="0.2">
      <c r="A7" s="15"/>
      <c r="B7" s="15"/>
      <c r="C7" s="16" t="s">
        <v>11</v>
      </c>
      <c r="D7" s="15"/>
      <c r="E7" s="15" t="s">
        <v>12</v>
      </c>
      <c r="F7" s="18" t="s">
        <v>13</v>
      </c>
      <c r="G7" s="19">
        <v>0</v>
      </c>
      <c r="H7" s="17" t="s">
        <v>12</v>
      </c>
    </row>
    <row r="8" spans="1:9" x14ac:dyDescent="0.2">
      <c r="A8" s="15"/>
      <c r="B8" s="15"/>
      <c r="C8" s="20"/>
      <c r="D8" s="15"/>
      <c r="E8" s="15"/>
      <c r="F8" s="21"/>
      <c r="G8" s="21"/>
      <c r="H8" s="17" t="s">
        <v>12</v>
      </c>
    </row>
    <row r="9" spans="1:9" x14ac:dyDescent="0.2">
      <c r="A9" s="15"/>
      <c r="B9" s="15"/>
      <c r="C9" s="16" t="s">
        <v>14</v>
      </c>
      <c r="D9" s="15"/>
      <c r="E9" s="15"/>
      <c r="F9" s="15"/>
      <c r="G9" s="15"/>
      <c r="H9" s="17" t="s">
        <v>12</v>
      </c>
    </row>
    <row r="10" spans="1:9" x14ac:dyDescent="0.2">
      <c r="A10" s="15"/>
      <c r="B10" s="15"/>
      <c r="C10" s="16" t="s">
        <v>11</v>
      </c>
      <c r="D10" s="15"/>
      <c r="E10" s="15" t="s">
        <v>12</v>
      </c>
      <c r="F10" s="18" t="s">
        <v>13</v>
      </c>
      <c r="G10" s="19">
        <v>0</v>
      </c>
      <c r="H10" s="17" t="s">
        <v>12</v>
      </c>
    </row>
    <row r="11" spans="1:9" x14ac:dyDescent="0.2">
      <c r="A11" s="15"/>
      <c r="B11" s="15"/>
      <c r="C11" s="20"/>
      <c r="D11" s="15"/>
      <c r="E11" s="15"/>
      <c r="F11" s="21"/>
      <c r="G11" s="21"/>
      <c r="H11" s="17" t="s">
        <v>12</v>
      </c>
    </row>
    <row r="12" spans="1:9" x14ac:dyDescent="0.2">
      <c r="A12" s="15"/>
      <c r="B12" s="15"/>
      <c r="C12" s="16" t="s">
        <v>15</v>
      </c>
      <c r="D12" s="15"/>
      <c r="E12" s="15"/>
      <c r="F12" s="15"/>
      <c r="G12" s="15"/>
      <c r="H12" s="17" t="s">
        <v>12</v>
      </c>
    </row>
    <row r="13" spans="1:9" x14ac:dyDescent="0.2">
      <c r="A13" s="15"/>
      <c r="B13" s="15"/>
      <c r="C13" s="16" t="s">
        <v>11</v>
      </c>
      <c r="D13" s="15"/>
      <c r="E13" s="15" t="s">
        <v>12</v>
      </c>
      <c r="F13" s="18" t="s">
        <v>13</v>
      </c>
      <c r="G13" s="19">
        <v>0</v>
      </c>
      <c r="H13" s="17" t="s">
        <v>12</v>
      </c>
    </row>
    <row r="14" spans="1:9" x14ac:dyDescent="0.2">
      <c r="A14" s="15"/>
      <c r="B14" s="15"/>
      <c r="C14" s="20"/>
      <c r="D14" s="15"/>
      <c r="E14" s="15"/>
      <c r="F14" s="21"/>
      <c r="G14" s="21"/>
      <c r="H14" s="17" t="s">
        <v>12</v>
      </c>
    </row>
    <row r="15" spans="1:9" x14ac:dyDescent="0.2">
      <c r="A15" s="15"/>
      <c r="B15" s="15"/>
      <c r="C15" s="16" t="s">
        <v>16</v>
      </c>
      <c r="D15" s="15"/>
      <c r="E15" s="15"/>
      <c r="F15" s="15"/>
      <c r="G15" s="15"/>
      <c r="H15" s="17" t="s">
        <v>12</v>
      </c>
    </row>
    <row r="16" spans="1:9" x14ac:dyDescent="0.2">
      <c r="A16" s="15"/>
      <c r="B16" s="15"/>
      <c r="C16" s="16" t="s">
        <v>11</v>
      </c>
      <c r="D16" s="15"/>
      <c r="E16" s="15" t="s">
        <v>12</v>
      </c>
      <c r="F16" s="18" t="s">
        <v>13</v>
      </c>
      <c r="G16" s="19">
        <v>0</v>
      </c>
      <c r="H16" s="17" t="s">
        <v>12</v>
      </c>
    </row>
    <row r="17" spans="1:8" x14ac:dyDescent="0.2">
      <c r="A17" s="15"/>
      <c r="B17" s="15"/>
      <c r="C17" s="20"/>
      <c r="D17" s="15"/>
      <c r="E17" s="15"/>
      <c r="F17" s="21"/>
      <c r="G17" s="21"/>
      <c r="H17" s="17" t="s">
        <v>12</v>
      </c>
    </row>
    <row r="18" spans="1:8" x14ac:dyDescent="0.2">
      <c r="A18" s="15"/>
      <c r="B18" s="15"/>
      <c r="C18" s="16" t="s">
        <v>17</v>
      </c>
      <c r="D18" s="15"/>
      <c r="E18" s="15"/>
      <c r="F18" s="21"/>
      <c r="G18" s="21"/>
      <c r="H18" s="17" t="s">
        <v>12</v>
      </c>
    </row>
    <row r="19" spans="1:8" x14ac:dyDescent="0.2">
      <c r="A19" s="15"/>
      <c r="B19" s="15"/>
      <c r="C19" s="16" t="s">
        <v>11</v>
      </c>
      <c r="D19" s="15"/>
      <c r="E19" s="15" t="s">
        <v>12</v>
      </c>
      <c r="F19" s="18" t="s">
        <v>13</v>
      </c>
      <c r="G19" s="19">
        <v>0</v>
      </c>
      <c r="H19" s="17" t="s">
        <v>12</v>
      </c>
    </row>
    <row r="20" spans="1:8" x14ac:dyDescent="0.2">
      <c r="A20" s="15"/>
      <c r="B20" s="15"/>
      <c r="C20" s="20"/>
      <c r="D20" s="15"/>
      <c r="E20" s="15"/>
      <c r="F20" s="21"/>
      <c r="G20" s="21"/>
      <c r="H20" s="17" t="s">
        <v>12</v>
      </c>
    </row>
    <row r="21" spans="1:8" x14ac:dyDescent="0.2">
      <c r="A21" s="15"/>
      <c r="B21" s="15"/>
      <c r="C21" s="16" t="s">
        <v>18</v>
      </c>
      <c r="D21" s="15"/>
      <c r="E21" s="15"/>
      <c r="F21" s="21"/>
      <c r="G21" s="21"/>
      <c r="H21" s="17" t="s">
        <v>12</v>
      </c>
    </row>
    <row r="22" spans="1:8" x14ac:dyDescent="0.2">
      <c r="A22" s="15"/>
      <c r="B22" s="15"/>
      <c r="C22" s="16" t="s">
        <v>11</v>
      </c>
      <c r="D22" s="15"/>
      <c r="E22" s="15" t="s">
        <v>12</v>
      </c>
      <c r="F22" s="18" t="s">
        <v>13</v>
      </c>
      <c r="G22" s="19">
        <v>0</v>
      </c>
      <c r="H22" s="17" t="s">
        <v>12</v>
      </c>
    </row>
    <row r="23" spans="1:8" x14ac:dyDescent="0.2">
      <c r="A23" s="15"/>
      <c r="B23" s="15"/>
      <c r="C23" s="20"/>
      <c r="D23" s="15"/>
      <c r="E23" s="15"/>
      <c r="F23" s="21"/>
      <c r="G23" s="21"/>
      <c r="H23" s="17" t="s">
        <v>12</v>
      </c>
    </row>
    <row r="24" spans="1:8" x14ac:dyDescent="0.2">
      <c r="A24" s="15"/>
      <c r="B24" s="15"/>
      <c r="C24" s="16" t="s">
        <v>19</v>
      </c>
      <c r="D24" s="15"/>
      <c r="E24" s="15"/>
      <c r="F24" s="22">
        <v>0</v>
      </c>
      <c r="G24" s="19">
        <v>0</v>
      </c>
      <c r="H24" s="17" t="s">
        <v>12</v>
      </c>
    </row>
    <row r="25" spans="1:8" x14ac:dyDescent="0.2">
      <c r="A25" s="15"/>
      <c r="B25" s="15"/>
      <c r="C25" s="20"/>
      <c r="D25" s="15"/>
      <c r="E25" s="15"/>
      <c r="F25" s="21"/>
      <c r="G25" s="21"/>
      <c r="H25" s="17" t="s">
        <v>12</v>
      </c>
    </row>
    <row r="26" spans="1:8" x14ac:dyDescent="0.2">
      <c r="A26" s="15"/>
      <c r="B26" s="15"/>
      <c r="C26" s="16" t="s">
        <v>20</v>
      </c>
      <c r="D26" s="15"/>
      <c r="E26" s="15"/>
      <c r="F26" s="21"/>
      <c r="G26" s="21"/>
      <c r="H26" s="17" t="s">
        <v>12</v>
      </c>
    </row>
    <row r="27" spans="1:8" x14ac:dyDescent="0.2">
      <c r="A27" s="15"/>
      <c r="B27" s="15"/>
      <c r="C27" s="16" t="s">
        <v>10</v>
      </c>
      <c r="D27" s="15"/>
      <c r="E27" s="15"/>
      <c r="F27" s="21"/>
      <c r="G27" s="21"/>
      <c r="H27" s="17" t="s">
        <v>12</v>
      </c>
    </row>
    <row r="28" spans="1:8" x14ac:dyDescent="0.2">
      <c r="A28" s="23">
        <v>1</v>
      </c>
      <c r="B28" s="24" t="s">
        <v>239</v>
      </c>
      <c r="C28" s="24" t="s">
        <v>240</v>
      </c>
      <c r="D28" s="24" t="s">
        <v>236</v>
      </c>
      <c r="E28" s="25">
        <v>7000</v>
      </c>
      <c r="F28" s="26">
        <v>7024.3040000000001</v>
      </c>
      <c r="G28" s="27">
        <v>4.0760079999999997E-2</v>
      </c>
      <c r="H28" s="17">
        <v>8.125</v>
      </c>
    </row>
    <row r="29" spans="1:8" x14ac:dyDescent="0.2">
      <c r="A29" s="23">
        <v>2</v>
      </c>
      <c r="B29" s="24" t="s">
        <v>237</v>
      </c>
      <c r="C29" s="24" t="s">
        <v>238</v>
      </c>
      <c r="D29" s="24" t="s">
        <v>23</v>
      </c>
      <c r="E29" s="25">
        <v>5500</v>
      </c>
      <c r="F29" s="26">
        <v>5517.05</v>
      </c>
      <c r="G29" s="27">
        <v>3.2013899999999998E-2</v>
      </c>
      <c r="H29" s="17">
        <v>7.2481999999999998</v>
      </c>
    </row>
    <row r="30" spans="1:8" x14ac:dyDescent="0.2">
      <c r="A30" s="23">
        <v>3</v>
      </c>
      <c r="B30" s="24" t="s">
        <v>234</v>
      </c>
      <c r="C30" s="24" t="s">
        <v>235</v>
      </c>
      <c r="D30" s="24" t="s">
        <v>236</v>
      </c>
      <c r="E30" s="25">
        <v>3000</v>
      </c>
      <c r="F30" s="26">
        <v>3016.9290000000001</v>
      </c>
      <c r="G30" s="27">
        <v>1.7506399999999998E-2</v>
      </c>
      <c r="H30" s="17">
        <v>8.6150000000000002</v>
      </c>
    </row>
    <row r="31" spans="1:8" ht="25.5" x14ac:dyDescent="0.2">
      <c r="A31" s="23">
        <v>4</v>
      </c>
      <c r="B31" s="24" t="s">
        <v>57</v>
      </c>
      <c r="C31" s="24" t="s">
        <v>58</v>
      </c>
      <c r="D31" s="24" t="s">
        <v>23</v>
      </c>
      <c r="E31" s="25">
        <v>2500</v>
      </c>
      <c r="F31" s="26">
        <v>2505.5549999999998</v>
      </c>
      <c r="G31" s="27">
        <v>1.453904E-2</v>
      </c>
      <c r="H31" s="17">
        <v>7.35</v>
      </c>
    </row>
    <row r="32" spans="1:8" ht="25.5" x14ac:dyDescent="0.2">
      <c r="A32" s="23">
        <v>5</v>
      </c>
      <c r="B32" s="24" t="s">
        <v>429</v>
      </c>
      <c r="C32" s="24" t="s">
        <v>430</v>
      </c>
      <c r="D32" s="24" t="s">
        <v>23</v>
      </c>
      <c r="E32" s="25">
        <v>250</v>
      </c>
      <c r="F32" s="26">
        <v>2496.0324999999998</v>
      </c>
      <c r="G32" s="27">
        <v>1.448378E-2</v>
      </c>
      <c r="H32" s="17">
        <v>7.5484999999999998</v>
      </c>
    </row>
    <row r="33" spans="1:8" ht="25.5" x14ac:dyDescent="0.2">
      <c r="A33" s="23">
        <v>6</v>
      </c>
      <c r="B33" s="24" t="s">
        <v>431</v>
      </c>
      <c r="C33" s="24" t="s">
        <v>432</v>
      </c>
      <c r="D33" s="24" t="s">
        <v>23</v>
      </c>
      <c r="E33" s="25">
        <v>250</v>
      </c>
      <c r="F33" s="26">
        <v>2484.8024999999998</v>
      </c>
      <c r="G33" s="27">
        <v>1.441862E-2</v>
      </c>
      <c r="H33" s="17">
        <v>7.3</v>
      </c>
    </row>
    <row r="34" spans="1:8" ht="25.5" x14ac:dyDescent="0.2">
      <c r="A34" s="23">
        <v>7</v>
      </c>
      <c r="B34" s="24" t="s">
        <v>260</v>
      </c>
      <c r="C34" s="24" t="s">
        <v>261</v>
      </c>
      <c r="D34" s="24" t="s">
        <v>262</v>
      </c>
      <c r="E34" s="25">
        <v>200</v>
      </c>
      <c r="F34" s="26">
        <v>2005.68</v>
      </c>
      <c r="G34" s="27">
        <v>1.16384E-2</v>
      </c>
      <c r="H34" s="17">
        <v>7.75</v>
      </c>
    </row>
    <row r="35" spans="1:8" x14ac:dyDescent="0.2">
      <c r="A35" s="23">
        <v>8</v>
      </c>
      <c r="B35" s="24" t="s">
        <v>231</v>
      </c>
      <c r="C35" s="24" t="s">
        <v>232</v>
      </c>
      <c r="D35" s="24" t="s">
        <v>233</v>
      </c>
      <c r="E35" s="25">
        <v>1600</v>
      </c>
      <c r="F35" s="26">
        <v>1610.0255999999999</v>
      </c>
      <c r="G35" s="27">
        <v>9.3425299999999999E-3</v>
      </c>
      <c r="H35" s="17">
        <v>7.8867000000000003</v>
      </c>
    </row>
    <row r="36" spans="1:8" x14ac:dyDescent="0.2">
      <c r="A36" s="23">
        <v>9</v>
      </c>
      <c r="B36" s="24" t="s">
        <v>263</v>
      </c>
      <c r="C36" s="24" t="s">
        <v>264</v>
      </c>
      <c r="D36" s="24" t="s">
        <v>236</v>
      </c>
      <c r="E36" s="25">
        <v>1500</v>
      </c>
      <c r="F36" s="26">
        <v>1502.0775000000001</v>
      </c>
      <c r="G36" s="27">
        <v>8.7161400000000007E-3</v>
      </c>
      <c r="H36" s="17">
        <v>8.5731000000000002</v>
      </c>
    </row>
    <row r="37" spans="1:8" ht="25.5" x14ac:dyDescent="0.2">
      <c r="A37" s="23">
        <v>10</v>
      </c>
      <c r="B37" s="24" t="s">
        <v>63</v>
      </c>
      <c r="C37" s="24" t="s">
        <v>64</v>
      </c>
      <c r="D37" s="24" t="s">
        <v>23</v>
      </c>
      <c r="E37" s="25">
        <v>1500</v>
      </c>
      <c r="F37" s="26">
        <v>1500.1935000000001</v>
      </c>
      <c r="G37" s="27">
        <v>8.7052099999999997E-3</v>
      </c>
      <c r="H37" s="17">
        <v>7.6950000000000003</v>
      </c>
    </row>
    <row r="38" spans="1:8" ht="25.5" x14ac:dyDescent="0.2">
      <c r="A38" s="23">
        <v>11</v>
      </c>
      <c r="B38" s="24" t="s">
        <v>433</v>
      </c>
      <c r="C38" s="24" t="s">
        <v>434</v>
      </c>
      <c r="D38" s="24" t="s">
        <v>23</v>
      </c>
      <c r="E38" s="25">
        <v>150</v>
      </c>
      <c r="F38" s="26">
        <v>1499.1795</v>
      </c>
      <c r="G38" s="27">
        <v>8.69932E-3</v>
      </c>
      <c r="H38" s="17">
        <v>7.835</v>
      </c>
    </row>
    <row r="39" spans="1:8" ht="25.5" x14ac:dyDescent="0.2">
      <c r="A39" s="23">
        <v>12</v>
      </c>
      <c r="B39" s="24" t="s">
        <v>61</v>
      </c>
      <c r="C39" s="24" t="s">
        <v>62</v>
      </c>
      <c r="D39" s="24" t="s">
        <v>23</v>
      </c>
      <c r="E39" s="25">
        <v>1000</v>
      </c>
      <c r="F39" s="26">
        <v>1001.058</v>
      </c>
      <c r="G39" s="27">
        <v>5.8088599999999999E-3</v>
      </c>
      <c r="H39" s="17">
        <v>7.2998000000000003</v>
      </c>
    </row>
    <row r="40" spans="1:8" x14ac:dyDescent="0.2">
      <c r="A40" s="15"/>
      <c r="B40" s="15"/>
      <c r="C40" s="16" t="s">
        <v>11</v>
      </c>
      <c r="D40" s="15"/>
      <c r="E40" s="15" t="s">
        <v>12</v>
      </c>
      <c r="F40" s="22">
        <v>32162.8871</v>
      </c>
      <c r="G40" s="19">
        <v>0.18663228000000001</v>
      </c>
      <c r="H40" s="17" t="s">
        <v>12</v>
      </c>
    </row>
    <row r="41" spans="1:8" x14ac:dyDescent="0.2">
      <c r="A41" s="15"/>
      <c r="B41" s="15"/>
      <c r="C41" s="20"/>
      <c r="D41" s="15"/>
      <c r="E41" s="15"/>
      <c r="F41" s="21"/>
      <c r="G41" s="21"/>
      <c r="H41" s="17" t="s">
        <v>12</v>
      </c>
    </row>
    <row r="42" spans="1:8" x14ac:dyDescent="0.2">
      <c r="A42" s="15"/>
      <c r="B42" s="15"/>
      <c r="C42" s="16" t="s">
        <v>71</v>
      </c>
      <c r="D42" s="15"/>
      <c r="E42" s="15"/>
      <c r="F42" s="15"/>
      <c r="G42" s="15"/>
      <c r="H42" s="17" t="s">
        <v>12</v>
      </c>
    </row>
    <row r="43" spans="1:8" x14ac:dyDescent="0.2">
      <c r="A43" s="15"/>
      <c r="B43" s="15"/>
      <c r="C43" s="16" t="s">
        <v>11</v>
      </c>
      <c r="D43" s="15"/>
      <c r="E43" s="15" t="s">
        <v>12</v>
      </c>
      <c r="F43" s="18" t="s">
        <v>13</v>
      </c>
      <c r="G43" s="19">
        <v>0</v>
      </c>
      <c r="H43" s="17" t="s">
        <v>12</v>
      </c>
    </row>
    <row r="44" spans="1:8" x14ac:dyDescent="0.2">
      <c r="A44" s="15"/>
      <c r="B44" s="15"/>
      <c r="C44" s="20"/>
      <c r="D44" s="15"/>
      <c r="E44" s="15"/>
      <c r="F44" s="21"/>
      <c r="G44" s="21"/>
      <c r="H44" s="17" t="s">
        <v>12</v>
      </c>
    </row>
    <row r="45" spans="1:8" x14ac:dyDescent="0.2">
      <c r="A45" s="15"/>
      <c r="B45" s="15"/>
      <c r="C45" s="16" t="s">
        <v>72</v>
      </c>
      <c r="D45" s="15"/>
      <c r="E45" s="15"/>
      <c r="F45" s="15"/>
      <c r="G45" s="15"/>
      <c r="H45" s="17" t="s">
        <v>12</v>
      </c>
    </row>
    <row r="46" spans="1:8" x14ac:dyDescent="0.2">
      <c r="A46" s="15"/>
      <c r="B46" s="15"/>
      <c r="C46" s="16" t="s">
        <v>11</v>
      </c>
      <c r="D46" s="15"/>
      <c r="E46" s="15" t="s">
        <v>12</v>
      </c>
      <c r="F46" s="18" t="s">
        <v>13</v>
      </c>
      <c r="G46" s="19">
        <v>0</v>
      </c>
      <c r="H46" s="17" t="s">
        <v>12</v>
      </c>
    </row>
    <row r="47" spans="1:8" x14ac:dyDescent="0.2">
      <c r="A47" s="15"/>
      <c r="B47" s="15"/>
      <c r="C47" s="20"/>
      <c r="D47" s="15"/>
      <c r="E47" s="15"/>
      <c r="F47" s="21"/>
      <c r="G47" s="21"/>
      <c r="H47" s="17" t="s">
        <v>12</v>
      </c>
    </row>
    <row r="48" spans="1:8" x14ac:dyDescent="0.2">
      <c r="A48" s="15"/>
      <c r="B48" s="15"/>
      <c r="C48" s="16" t="s">
        <v>88</v>
      </c>
      <c r="D48" s="15"/>
      <c r="E48" s="15"/>
      <c r="F48" s="21"/>
      <c r="G48" s="21"/>
      <c r="H48" s="17" t="s">
        <v>12</v>
      </c>
    </row>
    <row r="49" spans="1:8" x14ac:dyDescent="0.2">
      <c r="A49" s="15"/>
      <c r="B49" s="15"/>
      <c r="C49" s="16" t="s">
        <v>11</v>
      </c>
      <c r="D49" s="15"/>
      <c r="E49" s="15" t="s">
        <v>12</v>
      </c>
      <c r="F49" s="18" t="s">
        <v>13</v>
      </c>
      <c r="G49" s="19">
        <v>0</v>
      </c>
      <c r="H49" s="17" t="s">
        <v>12</v>
      </c>
    </row>
    <row r="50" spans="1:8" x14ac:dyDescent="0.2">
      <c r="A50" s="15"/>
      <c r="B50" s="15"/>
      <c r="C50" s="20"/>
      <c r="D50" s="15"/>
      <c r="E50" s="15"/>
      <c r="F50" s="21"/>
      <c r="G50" s="21"/>
      <c r="H50" s="17" t="s">
        <v>12</v>
      </c>
    </row>
    <row r="51" spans="1:8" x14ac:dyDescent="0.2">
      <c r="A51" s="15"/>
      <c r="B51" s="15"/>
      <c r="C51" s="16" t="s">
        <v>89</v>
      </c>
      <c r="D51" s="15"/>
      <c r="E51" s="15"/>
      <c r="F51" s="22">
        <v>32162.8871</v>
      </c>
      <c r="G51" s="19">
        <v>0.18663228000000001</v>
      </c>
      <c r="H51" s="17" t="s">
        <v>12</v>
      </c>
    </row>
    <row r="52" spans="1:8" x14ac:dyDescent="0.2">
      <c r="A52" s="15"/>
      <c r="B52" s="15"/>
      <c r="C52" s="20"/>
      <c r="D52" s="15"/>
      <c r="E52" s="15"/>
      <c r="F52" s="21"/>
      <c r="G52" s="21"/>
      <c r="H52" s="17" t="s">
        <v>12</v>
      </c>
    </row>
    <row r="53" spans="1:8" x14ac:dyDescent="0.2">
      <c r="A53" s="15"/>
      <c r="B53" s="15"/>
      <c r="C53" s="16" t="s">
        <v>90</v>
      </c>
      <c r="D53" s="15"/>
      <c r="E53" s="15"/>
      <c r="F53" s="21"/>
      <c r="G53" s="21"/>
      <c r="H53" s="17" t="s">
        <v>12</v>
      </c>
    </row>
    <row r="54" spans="1:8" x14ac:dyDescent="0.2">
      <c r="A54" s="15"/>
      <c r="B54" s="15"/>
      <c r="C54" s="16" t="s">
        <v>91</v>
      </c>
      <c r="D54" s="15"/>
      <c r="E54" s="15"/>
      <c r="F54" s="21"/>
      <c r="G54" s="21"/>
      <c r="H54" s="17" t="s">
        <v>12</v>
      </c>
    </row>
    <row r="55" spans="1:8" x14ac:dyDescent="0.2">
      <c r="A55" s="23">
        <v>1</v>
      </c>
      <c r="B55" s="24" t="s">
        <v>328</v>
      </c>
      <c r="C55" s="24" t="s">
        <v>329</v>
      </c>
      <c r="D55" s="24" t="s">
        <v>145</v>
      </c>
      <c r="E55" s="25">
        <v>1000</v>
      </c>
      <c r="F55" s="26">
        <v>4938.2250000000004</v>
      </c>
      <c r="G55" s="27">
        <v>2.8655139999999999E-2</v>
      </c>
      <c r="H55" s="17">
        <v>7.0250000000000004</v>
      </c>
    </row>
    <row r="56" spans="1:8" x14ac:dyDescent="0.2">
      <c r="A56" s="23">
        <v>2</v>
      </c>
      <c r="B56" s="24" t="s">
        <v>310</v>
      </c>
      <c r="C56" s="24" t="s">
        <v>311</v>
      </c>
      <c r="D56" s="24" t="s">
        <v>145</v>
      </c>
      <c r="E56" s="25">
        <v>1000</v>
      </c>
      <c r="F56" s="26">
        <v>4931.1350000000002</v>
      </c>
      <c r="G56" s="27">
        <v>2.8614000000000001E-2</v>
      </c>
      <c r="H56" s="17">
        <v>7.08</v>
      </c>
    </row>
    <row r="57" spans="1:8" x14ac:dyDescent="0.2">
      <c r="A57" s="23">
        <v>3</v>
      </c>
      <c r="B57" s="24" t="s">
        <v>435</v>
      </c>
      <c r="C57" s="24" t="s">
        <v>436</v>
      </c>
      <c r="D57" s="24" t="s">
        <v>207</v>
      </c>
      <c r="E57" s="25">
        <v>1000</v>
      </c>
      <c r="F57" s="26">
        <v>4768.7</v>
      </c>
      <c r="G57" s="27">
        <v>2.7671439999999999E-2</v>
      </c>
      <c r="H57" s="17">
        <v>7.1675000000000004</v>
      </c>
    </row>
    <row r="58" spans="1:8" x14ac:dyDescent="0.2">
      <c r="A58" s="23">
        <v>4</v>
      </c>
      <c r="B58" s="24" t="s">
        <v>179</v>
      </c>
      <c r="C58" s="24" t="s">
        <v>180</v>
      </c>
      <c r="D58" s="24" t="s">
        <v>145</v>
      </c>
      <c r="E58" s="25">
        <v>1000</v>
      </c>
      <c r="F58" s="26">
        <v>4761.9049999999997</v>
      </c>
      <c r="G58" s="27">
        <v>2.7632009999999999E-2</v>
      </c>
      <c r="H58" s="17">
        <v>7.359</v>
      </c>
    </row>
    <row r="59" spans="1:8" x14ac:dyDescent="0.2">
      <c r="A59" s="23">
        <v>5</v>
      </c>
      <c r="B59" s="24" t="s">
        <v>181</v>
      </c>
      <c r="C59" s="24" t="s">
        <v>182</v>
      </c>
      <c r="D59" s="24" t="s">
        <v>145</v>
      </c>
      <c r="E59" s="25">
        <v>1000</v>
      </c>
      <c r="F59" s="26">
        <v>4715.6850000000004</v>
      </c>
      <c r="G59" s="27">
        <v>2.7363809999999999E-2</v>
      </c>
      <c r="H59" s="17">
        <v>7.1449999999999996</v>
      </c>
    </row>
    <row r="60" spans="1:8" x14ac:dyDescent="0.2">
      <c r="A60" s="23">
        <v>6</v>
      </c>
      <c r="B60" s="24" t="s">
        <v>183</v>
      </c>
      <c r="C60" s="24" t="s">
        <v>184</v>
      </c>
      <c r="D60" s="24" t="s">
        <v>145</v>
      </c>
      <c r="E60" s="25">
        <v>1000</v>
      </c>
      <c r="F60" s="26">
        <v>4713.3050000000003</v>
      </c>
      <c r="G60" s="27">
        <v>2.7349999999999999E-2</v>
      </c>
      <c r="H60" s="17">
        <v>7.1849999999999996</v>
      </c>
    </row>
    <row r="61" spans="1:8" x14ac:dyDescent="0.2">
      <c r="A61" s="23">
        <v>7</v>
      </c>
      <c r="B61" s="24" t="s">
        <v>185</v>
      </c>
      <c r="C61" s="24" t="s">
        <v>186</v>
      </c>
      <c r="D61" s="24" t="s">
        <v>145</v>
      </c>
      <c r="E61" s="25">
        <v>1000</v>
      </c>
      <c r="F61" s="26">
        <v>4702.2700000000004</v>
      </c>
      <c r="G61" s="27">
        <v>2.7285960000000001E-2</v>
      </c>
      <c r="H61" s="17">
        <v>7.1550000000000002</v>
      </c>
    </row>
    <row r="62" spans="1:8" x14ac:dyDescent="0.2">
      <c r="A62" s="23">
        <v>8</v>
      </c>
      <c r="B62" s="24" t="s">
        <v>437</v>
      </c>
      <c r="C62" s="24" t="s">
        <v>438</v>
      </c>
      <c r="D62" s="24" t="s">
        <v>145</v>
      </c>
      <c r="E62" s="25">
        <v>1000</v>
      </c>
      <c r="F62" s="26">
        <v>4699.6149999999998</v>
      </c>
      <c r="G62" s="27">
        <v>2.7270559999999999E-2</v>
      </c>
      <c r="H62" s="17">
        <v>7.55</v>
      </c>
    </row>
    <row r="63" spans="1:8" x14ac:dyDescent="0.2">
      <c r="A63" s="23">
        <v>9</v>
      </c>
      <c r="B63" s="24" t="s">
        <v>153</v>
      </c>
      <c r="C63" s="24" t="s">
        <v>154</v>
      </c>
      <c r="D63" s="24" t="s">
        <v>145</v>
      </c>
      <c r="E63" s="25">
        <v>1000</v>
      </c>
      <c r="F63" s="26">
        <v>4675.3850000000002</v>
      </c>
      <c r="G63" s="27">
        <v>2.7129960000000002E-2</v>
      </c>
      <c r="H63" s="17">
        <v>7.22</v>
      </c>
    </row>
    <row r="64" spans="1:8" x14ac:dyDescent="0.2">
      <c r="A64" s="23">
        <v>10</v>
      </c>
      <c r="B64" s="24" t="s">
        <v>205</v>
      </c>
      <c r="C64" s="24" t="s">
        <v>206</v>
      </c>
      <c r="D64" s="24" t="s">
        <v>207</v>
      </c>
      <c r="E64" s="25">
        <v>840</v>
      </c>
      <c r="F64" s="26">
        <v>4107.2808000000005</v>
      </c>
      <c r="G64" s="27">
        <v>2.3833409999999999E-2</v>
      </c>
      <c r="H64" s="17">
        <v>7.165</v>
      </c>
    </row>
    <row r="65" spans="1:8" x14ac:dyDescent="0.2">
      <c r="A65" s="23">
        <v>11</v>
      </c>
      <c r="B65" s="24" t="s">
        <v>197</v>
      </c>
      <c r="C65" s="24" t="s">
        <v>198</v>
      </c>
      <c r="D65" s="24" t="s">
        <v>145</v>
      </c>
      <c r="E65" s="25">
        <v>700</v>
      </c>
      <c r="F65" s="26">
        <v>3302.4879999999998</v>
      </c>
      <c r="G65" s="27">
        <v>1.916342E-2</v>
      </c>
      <c r="H65" s="17">
        <v>7.35</v>
      </c>
    </row>
    <row r="66" spans="1:8" x14ac:dyDescent="0.2">
      <c r="A66" s="23">
        <v>12</v>
      </c>
      <c r="B66" s="24" t="s">
        <v>199</v>
      </c>
      <c r="C66" s="24" t="s">
        <v>200</v>
      </c>
      <c r="D66" s="24" t="s">
        <v>145</v>
      </c>
      <c r="E66" s="25">
        <v>700</v>
      </c>
      <c r="F66" s="26">
        <v>3288.2289999999998</v>
      </c>
      <c r="G66" s="27">
        <v>1.9080679999999999E-2</v>
      </c>
      <c r="H66" s="17">
        <v>7.1449999999999996</v>
      </c>
    </row>
    <row r="67" spans="1:8" ht="25.5" x14ac:dyDescent="0.2">
      <c r="A67" s="23">
        <v>13</v>
      </c>
      <c r="B67" s="24" t="s">
        <v>201</v>
      </c>
      <c r="C67" s="24" t="s">
        <v>202</v>
      </c>
      <c r="D67" s="24" t="s">
        <v>145</v>
      </c>
      <c r="E67" s="25">
        <v>600</v>
      </c>
      <c r="F67" s="26">
        <v>2802.1170000000002</v>
      </c>
      <c r="G67" s="27">
        <v>1.6259900000000001E-2</v>
      </c>
      <c r="H67" s="17">
        <v>7.2</v>
      </c>
    </row>
    <row r="68" spans="1:8" x14ac:dyDescent="0.2">
      <c r="A68" s="23">
        <v>14</v>
      </c>
      <c r="B68" s="24" t="s">
        <v>270</v>
      </c>
      <c r="C68" s="24" t="s">
        <v>271</v>
      </c>
      <c r="D68" s="24" t="s">
        <v>145</v>
      </c>
      <c r="E68" s="25">
        <v>500</v>
      </c>
      <c r="F68" s="26">
        <v>2472.9699999999998</v>
      </c>
      <c r="G68" s="27">
        <v>1.434996E-2</v>
      </c>
      <c r="H68" s="17">
        <v>7.1239999999999997</v>
      </c>
    </row>
    <row r="69" spans="1:8" ht="25.5" x14ac:dyDescent="0.2">
      <c r="A69" s="23">
        <v>15</v>
      </c>
      <c r="B69" s="24" t="s">
        <v>283</v>
      </c>
      <c r="C69" s="24" t="s">
        <v>284</v>
      </c>
      <c r="D69" s="24" t="s">
        <v>145</v>
      </c>
      <c r="E69" s="25">
        <v>500</v>
      </c>
      <c r="F69" s="26">
        <v>2466.7674999999999</v>
      </c>
      <c r="G69" s="27">
        <v>1.4313970000000001E-2</v>
      </c>
      <c r="H69" s="17">
        <v>7.0250000000000004</v>
      </c>
    </row>
    <row r="70" spans="1:8" x14ac:dyDescent="0.2">
      <c r="A70" s="23">
        <v>16</v>
      </c>
      <c r="B70" s="24" t="s">
        <v>318</v>
      </c>
      <c r="C70" s="24" t="s">
        <v>319</v>
      </c>
      <c r="D70" s="24" t="s">
        <v>145</v>
      </c>
      <c r="E70" s="25">
        <v>500</v>
      </c>
      <c r="F70" s="26">
        <v>2464.085</v>
      </c>
      <c r="G70" s="27">
        <v>1.4298399999999999E-2</v>
      </c>
      <c r="H70" s="17">
        <v>7.0000999999999998</v>
      </c>
    </row>
    <row r="71" spans="1:8" x14ac:dyDescent="0.2">
      <c r="A71" s="23">
        <v>17</v>
      </c>
      <c r="B71" s="24" t="s">
        <v>312</v>
      </c>
      <c r="C71" s="24" t="s">
        <v>313</v>
      </c>
      <c r="D71" s="24" t="s">
        <v>145</v>
      </c>
      <c r="E71" s="25">
        <v>500</v>
      </c>
      <c r="F71" s="26">
        <v>2463.7224999999999</v>
      </c>
      <c r="G71" s="27">
        <v>1.42963E-2</v>
      </c>
      <c r="H71" s="17">
        <v>6.98</v>
      </c>
    </row>
    <row r="72" spans="1:8" x14ac:dyDescent="0.2">
      <c r="A72" s="23">
        <v>18</v>
      </c>
      <c r="B72" s="24" t="s">
        <v>439</v>
      </c>
      <c r="C72" s="24" t="s">
        <v>440</v>
      </c>
      <c r="D72" s="24" t="s">
        <v>145</v>
      </c>
      <c r="E72" s="25">
        <v>500</v>
      </c>
      <c r="F72" s="26">
        <v>2431.2275</v>
      </c>
      <c r="G72" s="27">
        <v>1.4107740000000001E-2</v>
      </c>
      <c r="H72" s="17">
        <v>7.375</v>
      </c>
    </row>
    <row r="73" spans="1:8" x14ac:dyDescent="0.2">
      <c r="A73" s="23">
        <v>19</v>
      </c>
      <c r="B73" s="24" t="s">
        <v>441</v>
      </c>
      <c r="C73" s="24" t="s">
        <v>442</v>
      </c>
      <c r="D73" s="24" t="s">
        <v>145</v>
      </c>
      <c r="E73" s="25">
        <v>500</v>
      </c>
      <c r="F73" s="26">
        <v>2430.9499999999998</v>
      </c>
      <c r="G73" s="27">
        <v>1.410613E-2</v>
      </c>
      <c r="H73" s="17">
        <v>7.25</v>
      </c>
    </row>
    <row r="74" spans="1:8" x14ac:dyDescent="0.2">
      <c r="A74" s="23">
        <v>20</v>
      </c>
      <c r="B74" s="24" t="s">
        <v>203</v>
      </c>
      <c r="C74" s="24" t="s">
        <v>204</v>
      </c>
      <c r="D74" s="24" t="s">
        <v>145</v>
      </c>
      <c r="E74" s="25">
        <v>500</v>
      </c>
      <c r="F74" s="26">
        <v>2387.37</v>
      </c>
      <c r="G74" s="27">
        <v>1.3853239999999999E-2</v>
      </c>
      <c r="H74" s="17">
        <v>7.359</v>
      </c>
    </row>
    <row r="75" spans="1:8" x14ac:dyDescent="0.2">
      <c r="A75" s="23">
        <v>21</v>
      </c>
      <c r="B75" s="24" t="s">
        <v>173</v>
      </c>
      <c r="C75" s="24" t="s">
        <v>174</v>
      </c>
      <c r="D75" s="24" t="s">
        <v>145</v>
      </c>
      <c r="E75" s="25">
        <v>500</v>
      </c>
      <c r="F75" s="26">
        <v>2386.0174999999999</v>
      </c>
      <c r="G75" s="27">
        <v>1.3845400000000001E-2</v>
      </c>
      <c r="H75" s="17">
        <v>7.2350000000000003</v>
      </c>
    </row>
    <row r="76" spans="1:8" x14ac:dyDescent="0.2">
      <c r="A76" s="23">
        <v>22</v>
      </c>
      <c r="B76" s="24" t="s">
        <v>175</v>
      </c>
      <c r="C76" s="24" t="s">
        <v>176</v>
      </c>
      <c r="D76" s="24" t="s">
        <v>145</v>
      </c>
      <c r="E76" s="25">
        <v>500</v>
      </c>
      <c r="F76" s="26">
        <v>2385.3674999999998</v>
      </c>
      <c r="G76" s="27">
        <v>1.3841620000000001E-2</v>
      </c>
      <c r="H76" s="17">
        <v>7.37</v>
      </c>
    </row>
    <row r="77" spans="1:8" x14ac:dyDescent="0.2">
      <c r="A77" s="23">
        <v>23</v>
      </c>
      <c r="B77" s="24" t="s">
        <v>443</v>
      </c>
      <c r="C77" s="24" t="s">
        <v>444</v>
      </c>
      <c r="D77" s="24" t="s">
        <v>145</v>
      </c>
      <c r="E77" s="25">
        <v>500</v>
      </c>
      <c r="F77" s="26">
        <v>2384.62</v>
      </c>
      <c r="G77" s="27">
        <v>1.383729E-2</v>
      </c>
      <c r="H77" s="17">
        <v>7.15</v>
      </c>
    </row>
    <row r="78" spans="1:8" ht="25.5" x14ac:dyDescent="0.2">
      <c r="A78" s="23">
        <v>24</v>
      </c>
      <c r="B78" s="24" t="s">
        <v>177</v>
      </c>
      <c r="C78" s="24" t="s">
        <v>178</v>
      </c>
      <c r="D78" s="24" t="s">
        <v>145</v>
      </c>
      <c r="E78" s="25">
        <v>500</v>
      </c>
      <c r="F78" s="26">
        <v>2383.8674999999998</v>
      </c>
      <c r="G78" s="27">
        <v>1.383292E-2</v>
      </c>
      <c r="H78" s="17">
        <v>7.17</v>
      </c>
    </row>
    <row r="79" spans="1:8" ht="25.5" x14ac:dyDescent="0.2">
      <c r="A79" s="23">
        <v>25</v>
      </c>
      <c r="B79" s="24" t="s">
        <v>445</v>
      </c>
      <c r="C79" s="24" t="s">
        <v>446</v>
      </c>
      <c r="D79" s="24" t="s">
        <v>145</v>
      </c>
      <c r="E79" s="25">
        <v>500</v>
      </c>
      <c r="F79" s="26">
        <v>2366.1374999999998</v>
      </c>
      <c r="G79" s="27">
        <v>1.3730040000000001E-2</v>
      </c>
      <c r="H79" s="17">
        <v>7.1950000000000003</v>
      </c>
    </row>
    <row r="80" spans="1:8" x14ac:dyDescent="0.2">
      <c r="A80" s="23">
        <v>26</v>
      </c>
      <c r="B80" s="24" t="s">
        <v>191</v>
      </c>
      <c r="C80" s="24" t="s">
        <v>192</v>
      </c>
      <c r="D80" s="24" t="s">
        <v>145</v>
      </c>
      <c r="E80" s="25">
        <v>500</v>
      </c>
      <c r="F80" s="26">
        <v>2346.4124999999999</v>
      </c>
      <c r="G80" s="27">
        <v>1.361558E-2</v>
      </c>
      <c r="H80" s="17">
        <v>7.2839999999999998</v>
      </c>
    </row>
    <row r="81" spans="1:8" ht="25.5" x14ac:dyDescent="0.2">
      <c r="A81" s="23">
        <v>27</v>
      </c>
      <c r="B81" s="24" t="s">
        <v>447</v>
      </c>
      <c r="C81" s="24" t="s">
        <v>448</v>
      </c>
      <c r="D81" s="24" t="s">
        <v>145</v>
      </c>
      <c r="E81" s="25">
        <v>500</v>
      </c>
      <c r="F81" s="26">
        <v>2341.5700000000002</v>
      </c>
      <c r="G81" s="27">
        <v>1.3587480000000001E-2</v>
      </c>
      <c r="H81" s="17">
        <v>7.2</v>
      </c>
    </row>
    <row r="82" spans="1:8" x14ac:dyDescent="0.2">
      <c r="A82" s="23">
        <v>28</v>
      </c>
      <c r="B82" s="24" t="s">
        <v>193</v>
      </c>
      <c r="C82" s="24" t="s">
        <v>194</v>
      </c>
      <c r="D82" s="24" t="s">
        <v>145</v>
      </c>
      <c r="E82" s="25">
        <v>500</v>
      </c>
      <c r="F82" s="26">
        <v>2341.415</v>
      </c>
      <c r="G82" s="27">
        <v>1.3586579999999999E-2</v>
      </c>
      <c r="H82" s="17">
        <v>7.1449999999999996</v>
      </c>
    </row>
    <row r="83" spans="1:8" ht="25.5" x14ac:dyDescent="0.2">
      <c r="A83" s="23">
        <v>29</v>
      </c>
      <c r="B83" s="24" t="s">
        <v>449</v>
      </c>
      <c r="C83" s="24" t="s">
        <v>450</v>
      </c>
      <c r="D83" s="24" t="s">
        <v>145</v>
      </c>
      <c r="E83" s="25">
        <v>500</v>
      </c>
      <c r="F83" s="26">
        <v>2341.2399999999998</v>
      </c>
      <c r="G83" s="27">
        <v>1.358556E-2</v>
      </c>
      <c r="H83" s="17">
        <v>7.1950000000000003</v>
      </c>
    </row>
    <row r="84" spans="1:8" ht="25.5" x14ac:dyDescent="0.2">
      <c r="A84" s="23">
        <v>30</v>
      </c>
      <c r="B84" s="24" t="s">
        <v>165</v>
      </c>
      <c r="C84" s="24" t="s">
        <v>166</v>
      </c>
      <c r="D84" s="24" t="s">
        <v>145</v>
      </c>
      <c r="E84" s="25">
        <v>100</v>
      </c>
      <c r="F84" s="26">
        <v>466.95499999999998</v>
      </c>
      <c r="G84" s="27">
        <v>2.7096099999999999E-3</v>
      </c>
      <c r="H84" s="17">
        <v>7.1950000000000003</v>
      </c>
    </row>
    <row r="85" spans="1:8" x14ac:dyDescent="0.2">
      <c r="A85" s="15"/>
      <c r="B85" s="15"/>
      <c r="C85" s="16" t="s">
        <v>11</v>
      </c>
      <c r="D85" s="15"/>
      <c r="E85" s="15" t="s">
        <v>12</v>
      </c>
      <c r="F85" s="22">
        <v>95267.034799999994</v>
      </c>
      <c r="G85" s="19">
        <v>0.55280810999999996</v>
      </c>
      <c r="H85" s="17" t="s">
        <v>12</v>
      </c>
    </row>
    <row r="86" spans="1:8" x14ac:dyDescent="0.2">
      <c r="A86" s="15"/>
      <c r="B86" s="15"/>
      <c r="C86" s="20"/>
      <c r="D86" s="15"/>
      <c r="E86" s="15"/>
      <c r="F86" s="21"/>
      <c r="G86" s="21"/>
      <c r="H86" s="17" t="s">
        <v>12</v>
      </c>
    </row>
    <row r="87" spans="1:8" x14ac:dyDescent="0.2">
      <c r="A87" s="15"/>
      <c r="B87" s="15"/>
      <c r="C87" s="16" t="s">
        <v>92</v>
      </c>
      <c r="D87" s="15"/>
      <c r="E87" s="15"/>
      <c r="F87" s="21"/>
      <c r="G87" s="21"/>
      <c r="H87" s="17" t="s">
        <v>12</v>
      </c>
    </row>
    <row r="88" spans="1:8" x14ac:dyDescent="0.2">
      <c r="A88" s="23">
        <v>1</v>
      </c>
      <c r="B88" s="24" t="s">
        <v>393</v>
      </c>
      <c r="C88" s="24" t="s">
        <v>394</v>
      </c>
      <c r="D88" s="24" t="s">
        <v>145</v>
      </c>
      <c r="E88" s="25">
        <v>1500</v>
      </c>
      <c r="F88" s="26">
        <v>7382.94</v>
      </c>
      <c r="G88" s="27">
        <v>4.284114E-2</v>
      </c>
      <c r="H88" s="17">
        <v>7.42</v>
      </c>
    </row>
    <row r="89" spans="1:8" x14ac:dyDescent="0.2">
      <c r="A89" s="23">
        <v>2</v>
      </c>
      <c r="B89" s="24" t="s">
        <v>451</v>
      </c>
      <c r="C89" s="24" t="s">
        <v>452</v>
      </c>
      <c r="D89" s="24" t="s">
        <v>145</v>
      </c>
      <c r="E89" s="25">
        <v>1000</v>
      </c>
      <c r="F89" s="26">
        <v>4940.3100000000004</v>
      </c>
      <c r="G89" s="27">
        <v>2.866724E-2</v>
      </c>
      <c r="H89" s="17">
        <v>7</v>
      </c>
    </row>
    <row r="90" spans="1:8" ht="25.5" x14ac:dyDescent="0.2">
      <c r="A90" s="23">
        <v>3</v>
      </c>
      <c r="B90" s="24" t="s">
        <v>453</v>
      </c>
      <c r="C90" s="24" t="s">
        <v>454</v>
      </c>
      <c r="D90" s="24" t="s">
        <v>145</v>
      </c>
      <c r="E90" s="25">
        <v>1000</v>
      </c>
      <c r="F90" s="26">
        <v>4936.3149999999996</v>
      </c>
      <c r="G90" s="27">
        <v>2.8644059999999999E-2</v>
      </c>
      <c r="H90" s="17">
        <v>7.4749999999999996</v>
      </c>
    </row>
    <row r="91" spans="1:8" x14ac:dyDescent="0.2">
      <c r="A91" s="23">
        <v>4</v>
      </c>
      <c r="B91" s="24" t="s">
        <v>455</v>
      </c>
      <c r="C91" s="24" t="s">
        <v>456</v>
      </c>
      <c r="D91" s="24" t="s">
        <v>145</v>
      </c>
      <c r="E91" s="25">
        <v>1000</v>
      </c>
      <c r="F91" s="26">
        <v>4842.1450000000004</v>
      </c>
      <c r="G91" s="27">
        <v>2.809762E-2</v>
      </c>
      <c r="H91" s="17">
        <v>7.3</v>
      </c>
    </row>
    <row r="92" spans="1:8" ht="25.5" x14ac:dyDescent="0.2">
      <c r="A92" s="23">
        <v>5</v>
      </c>
      <c r="B92" s="24" t="s">
        <v>222</v>
      </c>
      <c r="C92" s="24" t="s">
        <v>223</v>
      </c>
      <c r="D92" s="24" t="s">
        <v>145</v>
      </c>
      <c r="E92" s="25">
        <v>800</v>
      </c>
      <c r="F92" s="26">
        <v>3868.9160000000002</v>
      </c>
      <c r="G92" s="27">
        <v>2.245024E-2</v>
      </c>
      <c r="H92" s="17">
        <v>7.6813000000000002</v>
      </c>
    </row>
    <row r="93" spans="1:8" x14ac:dyDescent="0.2">
      <c r="A93" s="23">
        <v>6</v>
      </c>
      <c r="B93" s="24" t="s">
        <v>220</v>
      </c>
      <c r="C93" s="24" t="s">
        <v>221</v>
      </c>
      <c r="D93" s="24" t="s">
        <v>145</v>
      </c>
      <c r="E93" s="25">
        <v>700</v>
      </c>
      <c r="F93" s="26">
        <v>3378.7530000000002</v>
      </c>
      <c r="G93" s="27">
        <v>1.9605959999999999E-2</v>
      </c>
      <c r="H93" s="17">
        <v>7.4001000000000001</v>
      </c>
    </row>
    <row r="94" spans="1:8" x14ac:dyDescent="0.2">
      <c r="A94" s="23">
        <v>7</v>
      </c>
      <c r="B94" s="24" t="s">
        <v>387</v>
      </c>
      <c r="C94" s="24" t="s">
        <v>388</v>
      </c>
      <c r="D94" s="24" t="s">
        <v>145</v>
      </c>
      <c r="E94" s="25">
        <v>500</v>
      </c>
      <c r="F94" s="26">
        <v>2471.0725000000002</v>
      </c>
      <c r="G94" s="27">
        <v>1.433895E-2</v>
      </c>
      <c r="H94" s="17">
        <v>7.63</v>
      </c>
    </row>
    <row r="95" spans="1:8" ht="25.5" x14ac:dyDescent="0.2">
      <c r="A95" s="23">
        <v>8</v>
      </c>
      <c r="B95" s="24" t="s">
        <v>218</v>
      </c>
      <c r="C95" s="24" t="s">
        <v>219</v>
      </c>
      <c r="D95" s="24" t="s">
        <v>145</v>
      </c>
      <c r="E95" s="25">
        <v>500</v>
      </c>
      <c r="F95" s="26">
        <v>2460.27</v>
      </c>
      <c r="G95" s="27">
        <v>1.4276260000000001E-2</v>
      </c>
      <c r="H95" s="17">
        <v>7.6550000000000002</v>
      </c>
    </row>
    <row r="96" spans="1:8" x14ac:dyDescent="0.2">
      <c r="A96" s="23">
        <v>9</v>
      </c>
      <c r="B96" s="24" t="s">
        <v>214</v>
      </c>
      <c r="C96" s="24" t="s">
        <v>215</v>
      </c>
      <c r="D96" s="24" t="s">
        <v>145</v>
      </c>
      <c r="E96" s="25">
        <v>500</v>
      </c>
      <c r="F96" s="26">
        <v>2349.2750000000001</v>
      </c>
      <c r="G96" s="27">
        <v>1.3632190000000001E-2</v>
      </c>
      <c r="H96" s="17">
        <v>7.25</v>
      </c>
    </row>
    <row r="97" spans="1:8" ht="25.5" x14ac:dyDescent="0.2">
      <c r="A97" s="23">
        <v>10</v>
      </c>
      <c r="B97" s="24" t="s">
        <v>216</v>
      </c>
      <c r="C97" s="24" t="s">
        <v>217</v>
      </c>
      <c r="D97" s="24" t="s">
        <v>145</v>
      </c>
      <c r="E97" s="25">
        <v>500</v>
      </c>
      <c r="F97" s="26">
        <v>2333.54</v>
      </c>
      <c r="G97" s="27">
        <v>1.354088E-2</v>
      </c>
      <c r="H97" s="17">
        <v>7.89</v>
      </c>
    </row>
    <row r="98" spans="1:8" x14ac:dyDescent="0.2">
      <c r="A98" s="23">
        <v>11</v>
      </c>
      <c r="B98" s="24" t="s">
        <v>274</v>
      </c>
      <c r="C98" s="24" t="s">
        <v>275</v>
      </c>
      <c r="D98" s="24" t="s">
        <v>145</v>
      </c>
      <c r="E98" s="25">
        <v>300</v>
      </c>
      <c r="F98" s="26">
        <v>1441.896</v>
      </c>
      <c r="G98" s="27">
        <v>8.3669199999999999E-3</v>
      </c>
      <c r="H98" s="17">
        <v>7.14</v>
      </c>
    </row>
    <row r="99" spans="1:8" x14ac:dyDescent="0.2">
      <c r="A99" s="23">
        <v>12</v>
      </c>
      <c r="B99" s="24" t="s">
        <v>208</v>
      </c>
      <c r="C99" s="24" t="s">
        <v>209</v>
      </c>
      <c r="D99" s="24" t="s">
        <v>145</v>
      </c>
      <c r="E99" s="25">
        <v>200</v>
      </c>
      <c r="F99" s="26">
        <v>935.53899999999999</v>
      </c>
      <c r="G99" s="27">
        <v>5.42867E-3</v>
      </c>
      <c r="H99" s="17">
        <v>7.4850000000000003</v>
      </c>
    </row>
    <row r="100" spans="1:8" x14ac:dyDescent="0.2">
      <c r="A100" s="15"/>
      <c r="B100" s="15"/>
      <c r="C100" s="16" t="s">
        <v>11</v>
      </c>
      <c r="D100" s="15"/>
      <c r="E100" s="15" t="s">
        <v>12</v>
      </c>
      <c r="F100" s="22">
        <v>41340.9715</v>
      </c>
      <c r="G100" s="19">
        <v>0.23989013000000001</v>
      </c>
      <c r="H100" s="17" t="s">
        <v>12</v>
      </c>
    </row>
    <row r="101" spans="1:8" x14ac:dyDescent="0.2">
      <c r="A101" s="15"/>
      <c r="B101" s="15"/>
      <c r="C101" s="20"/>
      <c r="D101" s="15"/>
      <c r="E101" s="15"/>
      <c r="F101" s="21"/>
      <c r="G101" s="21"/>
      <c r="H101" s="17" t="s">
        <v>12</v>
      </c>
    </row>
    <row r="102" spans="1:8" x14ac:dyDescent="0.2">
      <c r="A102" s="15"/>
      <c r="B102" s="15"/>
      <c r="C102" s="16" t="s">
        <v>93</v>
      </c>
      <c r="D102" s="15"/>
      <c r="E102" s="15"/>
      <c r="F102" s="21"/>
      <c r="G102" s="21"/>
      <c r="H102" s="17" t="s">
        <v>12</v>
      </c>
    </row>
    <row r="103" spans="1:8" x14ac:dyDescent="0.2">
      <c r="A103" s="23">
        <v>1</v>
      </c>
      <c r="B103" s="24" t="s">
        <v>457</v>
      </c>
      <c r="C103" s="24" t="s">
        <v>458</v>
      </c>
      <c r="D103" s="24" t="s">
        <v>75</v>
      </c>
      <c r="E103" s="25">
        <v>4000000</v>
      </c>
      <c r="F103" s="26">
        <v>3964.14</v>
      </c>
      <c r="G103" s="27">
        <v>2.30028E-2</v>
      </c>
      <c r="H103" s="17">
        <v>6.35</v>
      </c>
    </row>
    <row r="104" spans="1:8" x14ac:dyDescent="0.2">
      <c r="A104" s="23">
        <v>2</v>
      </c>
      <c r="B104" s="24" t="s">
        <v>401</v>
      </c>
      <c r="C104" s="24" t="s">
        <v>402</v>
      </c>
      <c r="D104" s="24" t="s">
        <v>75</v>
      </c>
      <c r="E104" s="25">
        <v>2500000</v>
      </c>
      <c r="F104" s="26">
        <v>2487.15</v>
      </c>
      <c r="G104" s="27">
        <v>1.4432240000000001E-2</v>
      </c>
      <c r="H104" s="17">
        <v>6.2850000000000001</v>
      </c>
    </row>
    <row r="105" spans="1:8" x14ac:dyDescent="0.2">
      <c r="A105" s="15"/>
      <c r="B105" s="15"/>
      <c r="C105" s="16" t="s">
        <v>11</v>
      </c>
      <c r="D105" s="15"/>
      <c r="E105" s="15" t="s">
        <v>12</v>
      </c>
      <c r="F105" s="22">
        <v>6451.29</v>
      </c>
      <c r="G105" s="19">
        <v>3.7435040000000003E-2</v>
      </c>
      <c r="H105" s="17" t="s">
        <v>12</v>
      </c>
    </row>
    <row r="106" spans="1:8" x14ac:dyDescent="0.2">
      <c r="A106" s="15"/>
      <c r="B106" s="15"/>
      <c r="C106" s="20"/>
      <c r="D106" s="15"/>
      <c r="E106" s="15"/>
      <c r="F106" s="21"/>
      <c r="G106" s="21"/>
      <c r="H106" s="17" t="s">
        <v>12</v>
      </c>
    </row>
    <row r="107" spans="1:8" x14ac:dyDescent="0.2">
      <c r="A107" s="15"/>
      <c r="B107" s="15"/>
      <c r="C107" s="16" t="s">
        <v>94</v>
      </c>
      <c r="D107" s="15"/>
      <c r="E107" s="15"/>
      <c r="F107" s="21"/>
      <c r="G107" s="21"/>
      <c r="H107" s="17" t="s">
        <v>12</v>
      </c>
    </row>
    <row r="108" spans="1:8" x14ac:dyDescent="0.2">
      <c r="A108" s="23">
        <v>1</v>
      </c>
      <c r="B108" s="24"/>
      <c r="C108" s="24" t="s">
        <v>95</v>
      </c>
      <c r="D108" s="24"/>
      <c r="E108" s="28"/>
      <c r="F108" s="26">
        <v>700.78414459800001</v>
      </c>
      <c r="G108" s="27">
        <v>4.06646E-3</v>
      </c>
      <c r="H108" s="17">
        <v>6.6</v>
      </c>
    </row>
    <row r="109" spans="1:8" x14ac:dyDescent="0.2">
      <c r="A109" s="15"/>
      <c r="B109" s="15"/>
      <c r="C109" s="16" t="s">
        <v>11</v>
      </c>
      <c r="D109" s="15"/>
      <c r="E109" s="15" t="s">
        <v>12</v>
      </c>
      <c r="F109" s="22">
        <v>700.78414459800001</v>
      </c>
      <c r="G109" s="19">
        <v>4.06646E-3</v>
      </c>
      <c r="H109" s="17" t="s">
        <v>12</v>
      </c>
    </row>
    <row r="110" spans="1:8" x14ac:dyDescent="0.2">
      <c r="A110" s="15"/>
      <c r="B110" s="15"/>
      <c r="C110" s="20"/>
      <c r="D110" s="15"/>
      <c r="E110" s="15"/>
      <c r="F110" s="21"/>
      <c r="G110" s="21"/>
      <c r="H110" s="17" t="s">
        <v>12</v>
      </c>
    </row>
    <row r="111" spans="1:8" x14ac:dyDescent="0.2">
      <c r="A111" s="15"/>
      <c r="B111" s="15"/>
      <c r="C111" s="16" t="s">
        <v>96</v>
      </c>
      <c r="D111" s="15"/>
      <c r="E111" s="15"/>
      <c r="F111" s="22">
        <v>143760.08044459799</v>
      </c>
      <c r="G111" s="19">
        <v>0.83419973999999997</v>
      </c>
      <c r="H111" s="17" t="s">
        <v>12</v>
      </c>
    </row>
    <row r="112" spans="1:8" x14ac:dyDescent="0.2">
      <c r="A112" s="15"/>
      <c r="B112" s="15"/>
      <c r="C112" s="21"/>
      <c r="D112" s="15"/>
      <c r="E112" s="15"/>
      <c r="F112" s="15"/>
      <c r="G112" s="15"/>
      <c r="H112" s="17" t="s">
        <v>12</v>
      </c>
    </row>
    <row r="113" spans="1:17" x14ac:dyDescent="0.2">
      <c r="A113" s="15"/>
      <c r="B113" s="15"/>
      <c r="C113" s="16" t="s">
        <v>97</v>
      </c>
      <c r="D113" s="15"/>
      <c r="E113" s="15"/>
      <c r="F113" s="15"/>
      <c r="G113" s="15"/>
      <c r="H113" s="17" t="s">
        <v>12</v>
      </c>
    </row>
    <row r="114" spans="1:17" x14ac:dyDescent="0.2">
      <c r="A114" s="15"/>
      <c r="B114" s="15"/>
      <c r="C114" s="16" t="s">
        <v>98</v>
      </c>
      <c r="D114" s="15"/>
      <c r="E114" s="15"/>
      <c r="F114" s="15"/>
      <c r="G114" s="15"/>
      <c r="H114" s="17" t="s">
        <v>12</v>
      </c>
    </row>
    <row r="115" spans="1:17" x14ac:dyDescent="0.2">
      <c r="A115" s="15"/>
      <c r="B115" s="15"/>
      <c r="C115" s="16" t="s">
        <v>11</v>
      </c>
      <c r="D115" s="15"/>
      <c r="E115" s="15" t="s">
        <v>12</v>
      </c>
      <c r="F115" s="18" t="s">
        <v>13</v>
      </c>
      <c r="G115" s="19">
        <v>0</v>
      </c>
      <c r="H115" s="17" t="s">
        <v>12</v>
      </c>
    </row>
    <row r="116" spans="1:17" x14ac:dyDescent="0.2">
      <c r="A116" s="74"/>
      <c r="B116" s="74"/>
      <c r="C116" s="75"/>
      <c r="D116" s="74"/>
      <c r="E116" s="74"/>
      <c r="F116" s="76"/>
      <c r="G116" s="76"/>
      <c r="H116" s="72" t="s">
        <v>12</v>
      </c>
    </row>
    <row r="117" spans="1:17" x14ac:dyDescent="0.2">
      <c r="A117" s="74"/>
      <c r="B117" s="74"/>
      <c r="C117" s="51" t="s">
        <v>546</v>
      </c>
      <c r="D117" s="74"/>
      <c r="E117" s="74"/>
      <c r="F117" s="76"/>
      <c r="G117" s="76"/>
      <c r="H117" s="70"/>
      <c r="K117" s="53"/>
      <c r="L117" s="53"/>
      <c r="M117" s="53"/>
      <c r="N117" s="53"/>
      <c r="O117" s="77"/>
      <c r="P117" s="77"/>
      <c r="Q117" s="77"/>
    </row>
    <row r="118" spans="1:17" ht="25.5" x14ac:dyDescent="0.2">
      <c r="A118" s="67">
        <v>1</v>
      </c>
      <c r="B118" s="68" t="s">
        <v>99</v>
      </c>
      <c r="C118" s="68" t="s">
        <v>100</v>
      </c>
      <c r="D118" s="68"/>
      <c r="E118" s="78">
        <v>5151.0829999999996</v>
      </c>
      <c r="F118" s="70">
        <v>568.40300670500005</v>
      </c>
      <c r="G118" s="71">
        <v>3.2982799999999998E-3</v>
      </c>
      <c r="H118" s="72"/>
    </row>
    <row r="119" spans="1:17" x14ac:dyDescent="0.2">
      <c r="A119" s="74"/>
      <c r="B119" s="74"/>
      <c r="C119" s="51" t="s">
        <v>11</v>
      </c>
      <c r="D119" s="74"/>
      <c r="E119" s="74" t="s">
        <v>12</v>
      </c>
      <c r="F119" s="79">
        <f>SUM(F118)</f>
        <v>568.40300670500005</v>
      </c>
      <c r="G119" s="80">
        <f>SUM(G118)</f>
        <v>3.2982799999999998E-3</v>
      </c>
      <c r="H119" s="72" t="s">
        <v>12</v>
      </c>
    </row>
    <row r="120" spans="1:17" x14ac:dyDescent="0.2">
      <c r="A120" s="15"/>
      <c r="B120" s="15"/>
      <c r="C120" s="20"/>
      <c r="D120" s="15"/>
      <c r="E120" s="15"/>
      <c r="F120" s="21"/>
      <c r="G120" s="21"/>
      <c r="H120" s="17" t="s">
        <v>12</v>
      </c>
    </row>
    <row r="121" spans="1:17" x14ac:dyDescent="0.2">
      <c r="A121" s="15"/>
      <c r="B121" s="15"/>
      <c r="C121" s="16" t="s">
        <v>101</v>
      </c>
      <c r="D121" s="15"/>
      <c r="E121" s="15"/>
      <c r="F121" s="15"/>
      <c r="G121" s="15"/>
      <c r="H121" s="17" t="s">
        <v>12</v>
      </c>
    </row>
    <row r="122" spans="1:17" x14ac:dyDescent="0.2">
      <c r="A122" s="15"/>
      <c r="B122" s="15"/>
      <c r="C122" s="16" t="s">
        <v>102</v>
      </c>
      <c r="D122" s="15"/>
      <c r="E122" s="15"/>
      <c r="F122" s="15"/>
      <c r="G122" s="15"/>
      <c r="H122" s="17" t="s">
        <v>12</v>
      </c>
    </row>
    <row r="123" spans="1:17" x14ac:dyDescent="0.2">
      <c r="A123" s="15"/>
      <c r="B123" s="15"/>
      <c r="C123" s="16" t="s">
        <v>11</v>
      </c>
      <c r="D123" s="15"/>
      <c r="E123" s="15" t="s">
        <v>12</v>
      </c>
      <c r="F123" s="18" t="s">
        <v>13</v>
      </c>
      <c r="G123" s="19">
        <v>0</v>
      </c>
      <c r="H123" s="17" t="s">
        <v>12</v>
      </c>
    </row>
    <row r="124" spans="1:17" x14ac:dyDescent="0.2">
      <c r="A124" s="15"/>
      <c r="B124" s="15"/>
      <c r="C124" s="20"/>
      <c r="D124" s="15"/>
      <c r="E124" s="15"/>
      <c r="F124" s="21"/>
      <c r="G124" s="21"/>
      <c r="H124" s="17" t="s">
        <v>12</v>
      </c>
    </row>
    <row r="125" spans="1:17" x14ac:dyDescent="0.2">
      <c r="A125" s="15"/>
      <c r="B125" s="15"/>
      <c r="C125" s="16" t="s">
        <v>103</v>
      </c>
      <c r="D125" s="15"/>
      <c r="E125" s="15"/>
      <c r="F125" s="21"/>
      <c r="G125" s="21"/>
      <c r="H125" s="17" t="s">
        <v>12</v>
      </c>
    </row>
    <row r="126" spans="1:17" x14ac:dyDescent="0.2">
      <c r="A126" s="15"/>
      <c r="B126" s="15"/>
      <c r="C126" s="16" t="s">
        <v>11</v>
      </c>
      <c r="D126" s="15"/>
      <c r="E126" s="15" t="s">
        <v>12</v>
      </c>
      <c r="F126" s="18" t="s">
        <v>13</v>
      </c>
      <c r="G126" s="19">
        <v>0</v>
      </c>
      <c r="H126" s="17" t="s">
        <v>12</v>
      </c>
    </row>
    <row r="127" spans="1:17" x14ac:dyDescent="0.2">
      <c r="A127" s="74"/>
      <c r="B127" s="74"/>
      <c r="C127" s="75"/>
      <c r="D127" s="74"/>
      <c r="E127" s="74"/>
      <c r="F127" s="76"/>
      <c r="G127" s="76"/>
      <c r="H127" s="72" t="s">
        <v>12</v>
      </c>
      <c r="I127" s="113"/>
    </row>
    <row r="128" spans="1:17" x14ac:dyDescent="0.2">
      <c r="A128" s="114"/>
      <c r="B128" s="114"/>
      <c r="C128" s="115" t="s">
        <v>626</v>
      </c>
      <c r="D128" s="116"/>
      <c r="E128" s="117"/>
      <c r="F128" s="117"/>
      <c r="G128" s="116"/>
      <c r="H128" s="117"/>
      <c r="I128" s="113"/>
    </row>
    <row r="129" spans="1:9" ht="21.75" x14ac:dyDescent="0.2">
      <c r="A129" s="114"/>
      <c r="B129" s="114"/>
      <c r="C129" s="118" t="s">
        <v>627</v>
      </c>
      <c r="D129" s="116"/>
      <c r="E129" s="119">
        <v>2500000</v>
      </c>
      <c r="F129" s="72">
        <f>-337750/10^5</f>
        <v>-3.3774999999999999</v>
      </c>
      <c r="G129" s="120" t="s">
        <v>628</v>
      </c>
      <c r="H129" s="117"/>
      <c r="I129" s="113"/>
    </row>
    <row r="130" spans="1:9" ht="21.75" x14ac:dyDescent="0.2">
      <c r="A130" s="114"/>
      <c r="B130" s="114"/>
      <c r="C130" s="118" t="s">
        <v>629</v>
      </c>
      <c r="D130" s="116"/>
      <c r="E130" s="119">
        <v>2500000</v>
      </c>
      <c r="F130" s="72">
        <f>-316249.99999997/10^5</f>
        <v>-3.1624999999997003</v>
      </c>
      <c r="G130" s="120" t="s">
        <v>628</v>
      </c>
      <c r="H130" s="117"/>
      <c r="I130" s="113"/>
    </row>
    <row r="131" spans="1:9" ht="21.75" x14ac:dyDescent="0.2">
      <c r="A131" s="114"/>
      <c r="B131" s="114"/>
      <c r="C131" s="118" t="s">
        <v>630</v>
      </c>
      <c r="D131" s="116"/>
      <c r="E131" s="119">
        <v>2500000</v>
      </c>
      <c r="F131" s="72">
        <f>-104000/10^5</f>
        <v>-1.04</v>
      </c>
      <c r="G131" s="120" t="s">
        <v>628</v>
      </c>
      <c r="H131" s="117"/>
      <c r="I131" s="113"/>
    </row>
    <row r="132" spans="1:9" x14ac:dyDescent="0.2">
      <c r="A132" s="15"/>
      <c r="B132" s="24"/>
      <c r="C132" s="24"/>
      <c r="D132" s="16"/>
      <c r="E132" s="15"/>
      <c r="F132" s="24"/>
      <c r="G132" s="28"/>
      <c r="H132" s="17" t="s">
        <v>12</v>
      </c>
    </row>
    <row r="133" spans="1:9" x14ac:dyDescent="0.2">
      <c r="A133" s="28"/>
      <c r="B133" s="24"/>
      <c r="C133" s="24" t="s">
        <v>104</v>
      </c>
      <c r="D133" s="24"/>
      <c r="E133" s="28"/>
      <c r="F133" s="26">
        <f>-11650.85848298+2500+2500+2500+0.0000159570693969727</f>
        <v>-4150.8584670229311</v>
      </c>
      <c r="G133" s="27">
        <f>F133/F134</f>
        <v>-2.4086275425250346E-2</v>
      </c>
      <c r="H133" s="17" t="s">
        <v>12</v>
      </c>
    </row>
    <row r="134" spans="1:9" x14ac:dyDescent="0.2">
      <c r="A134" s="20"/>
      <c r="B134" s="20"/>
      <c r="C134" s="16" t="s">
        <v>105</v>
      </c>
      <c r="D134" s="21"/>
      <c r="E134" s="21"/>
      <c r="F134" s="22">
        <f>F133+F130+F129+F119+F111+F51+F24+F131</f>
        <v>172332.93208428004</v>
      </c>
      <c r="G134" s="29">
        <f>G133+G119+G111+G51+G24</f>
        <v>1.0000440245747497</v>
      </c>
      <c r="H134" s="17" t="s">
        <v>12</v>
      </c>
    </row>
    <row r="135" spans="1:9" x14ac:dyDescent="0.2">
      <c r="A135" s="30"/>
      <c r="B135" s="30"/>
      <c r="C135" s="30"/>
      <c r="D135" s="31"/>
      <c r="E135" s="31"/>
      <c r="F135" s="31"/>
      <c r="G135" s="31"/>
    </row>
    <row r="136" spans="1:9" x14ac:dyDescent="0.2">
      <c r="A136" s="32"/>
      <c r="B136" s="165" t="s">
        <v>547</v>
      </c>
      <c r="C136" s="165"/>
      <c r="D136" s="165"/>
      <c r="E136" s="165"/>
      <c r="F136" s="165"/>
      <c r="G136" s="165"/>
      <c r="H136" s="165"/>
    </row>
    <row r="137" spans="1:9" x14ac:dyDescent="0.2">
      <c r="A137" s="32"/>
      <c r="B137" s="165" t="s">
        <v>548</v>
      </c>
      <c r="C137" s="165"/>
      <c r="D137" s="165"/>
      <c r="E137" s="165"/>
      <c r="F137" s="165"/>
      <c r="G137" s="165"/>
      <c r="H137" s="165"/>
    </row>
    <row r="138" spans="1:9" x14ac:dyDescent="0.2">
      <c r="A138" s="32"/>
      <c r="B138" s="165" t="s">
        <v>549</v>
      </c>
      <c r="C138" s="165"/>
      <c r="D138" s="165"/>
      <c r="E138" s="165"/>
      <c r="F138" s="165"/>
      <c r="G138" s="165"/>
      <c r="H138" s="165"/>
    </row>
    <row r="139" spans="1:9" ht="67.5" customHeight="1" x14ac:dyDescent="0.2">
      <c r="A139" s="32"/>
      <c r="B139" s="210" t="s">
        <v>631</v>
      </c>
      <c r="C139" s="210"/>
      <c r="D139" s="210"/>
      <c r="E139" s="210"/>
      <c r="F139" s="210"/>
      <c r="G139" s="210"/>
      <c r="H139" s="210"/>
      <c r="I139" s="113"/>
    </row>
    <row r="140" spans="1:9" x14ac:dyDescent="0.2">
      <c r="A140" s="32"/>
      <c r="B140" s="32"/>
      <c r="C140" s="32"/>
      <c r="D140" s="34"/>
      <c r="E140" s="34"/>
      <c r="F140" s="34"/>
      <c r="G140" s="34"/>
    </row>
    <row r="141" spans="1:9" x14ac:dyDescent="0.2">
      <c r="A141" s="35"/>
      <c r="B141" s="158" t="s">
        <v>106</v>
      </c>
      <c r="C141" s="159"/>
      <c r="D141" s="160"/>
      <c r="E141" s="36"/>
      <c r="F141" s="37"/>
      <c r="G141" s="37"/>
    </row>
    <row r="142" spans="1:9" ht="25.5" x14ac:dyDescent="0.2">
      <c r="A142" s="35"/>
      <c r="B142" s="161" t="s">
        <v>107</v>
      </c>
      <c r="C142" s="162"/>
      <c r="D142" s="51" t="s">
        <v>571</v>
      </c>
      <c r="E142" s="36"/>
      <c r="F142" s="37"/>
      <c r="G142" s="37"/>
    </row>
    <row r="143" spans="1:9" x14ac:dyDescent="0.2">
      <c r="A143" s="35"/>
      <c r="B143" s="161" t="s">
        <v>109</v>
      </c>
      <c r="C143" s="162"/>
      <c r="D143" s="16" t="s">
        <v>108</v>
      </c>
      <c r="E143" s="36"/>
      <c r="F143" s="37"/>
      <c r="G143" s="37"/>
    </row>
    <row r="144" spans="1:9" x14ac:dyDescent="0.2">
      <c r="A144" s="35"/>
      <c r="B144" s="161" t="s">
        <v>110</v>
      </c>
      <c r="C144" s="162"/>
      <c r="D144" s="21" t="s">
        <v>12</v>
      </c>
      <c r="E144" s="36"/>
      <c r="F144" s="37"/>
      <c r="G144" s="37"/>
    </row>
    <row r="145" spans="1:9" x14ac:dyDescent="0.2">
      <c r="A145" s="38"/>
      <c r="B145" s="39" t="s">
        <v>12</v>
      </c>
      <c r="C145" s="39" t="s">
        <v>550</v>
      </c>
      <c r="D145" s="39" t="s">
        <v>111</v>
      </c>
      <c r="E145" s="38"/>
      <c r="F145" s="38"/>
      <c r="G145" s="38"/>
    </row>
    <row r="146" spans="1:9" x14ac:dyDescent="0.2">
      <c r="A146" s="38"/>
      <c r="B146" s="40" t="s">
        <v>112</v>
      </c>
      <c r="C146" s="41">
        <v>45731</v>
      </c>
      <c r="D146" s="41">
        <v>45747</v>
      </c>
      <c r="E146" s="38"/>
      <c r="F146" s="38"/>
      <c r="G146" s="38"/>
    </row>
    <row r="147" spans="1:9" x14ac:dyDescent="0.2">
      <c r="A147" s="42"/>
      <c r="B147" s="24" t="s">
        <v>113</v>
      </c>
      <c r="C147" s="43">
        <v>2857.8429000000001</v>
      </c>
      <c r="D147" s="43">
        <v>2873.1304</v>
      </c>
      <c r="E147" s="42"/>
      <c r="F147" s="44"/>
      <c r="G147" s="45"/>
    </row>
    <row r="148" spans="1:9" x14ac:dyDescent="0.2">
      <c r="A148" s="42"/>
      <c r="B148" s="24" t="s">
        <v>670</v>
      </c>
      <c r="C148" s="43">
        <v>1065.3956000000001</v>
      </c>
      <c r="D148" s="43">
        <v>1065.7564</v>
      </c>
      <c r="E148" s="42"/>
      <c r="F148" s="44"/>
      <c r="G148" s="45"/>
    </row>
    <row r="149" spans="1:9" ht="25.5" x14ac:dyDescent="0.2">
      <c r="A149" s="42"/>
      <c r="B149" s="24" t="s">
        <v>671</v>
      </c>
      <c r="C149" s="43">
        <v>1196.8704</v>
      </c>
      <c r="D149" s="43">
        <v>1203.2842000000001</v>
      </c>
      <c r="E149" s="42"/>
      <c r="F149" s="44"/>
      <c r="G149" s="45"/>
    </row>
    <row r="150" spans="1:9" x14ac:dyDescent="0.2">
      <c r="A150" s="42"/>
      <c r="B150" s="24" t="s">
        <v>114</v>
      </c>
      <c r="C150" s="43">
        <v>2629.8903</v>
      </c>
      <c r="D150" s="43">
        <v>2642.4996999999998</v>
      </c>
      <c r="E150" s="42"/>
      <c r="F150" s="44"/>
      <c r="G150" s="45"/>
    </row>
    <row r="151" spans="1:9" ht="25.5" x14ac:dyDescent="0.2">
      <c r="A151" s="42"/>
      <c r="B151" s="24" t="s">
        <v>674</v>
      </c>
      <c r="C151" s="43">
        <v>1064.0417</v>
      </c>
      <c r="D151" s="43">
        <v>1063.8132000000001</v>
      </c>
      <c r="E151" s="42"/>
      <c r="F151" s="44"/>
      <c r="G151" s="45"/>
    </row>
    <row r="152" spans="1:9" ht="25.5" x14ac:dyDescent="0.2">
      <c r="A152" s="42"/>
      <c r="B152" s="24" t="s">
        <v>646</v>
      </c>
      <c r="C152" s="43">
        <v>1148.5083</v>
      </c>
      <c r="D152" s="43">
        <v>1154.0165</v>
      </c>
      <c r="E152" s="42"/>
      <c r="F152" s="44"/>
      <c r="G152" s="45"/>
    </row>
    <row r="153" spans="1:9" x14ac:dyDescent="0.2">
      <c r="A153" s="42"/>
      <c r="B153" s="42"/>
      <c r="C153" s="42"/>
      <c r="D153" s="42"/>
      <c r="E153" s="42"/>
      <c r="F153" s="42"/>
      <c r="G153" s="42"/>
    </row>
    <row r="154" spans="1:9" x14ac:dyDescent="0.2">
      <c r="A154" s="42"/>
      <c r="B154" s="161" t="s">
        <v>563</v>
      </c>
      <c r="C154" s="162"/>
      <c r="D154" s="16" t="s">
        <v>12</v>
      </c>
      <c r="E154" s="42"/>
      <c r="F154" s="42"/>
      <c r="G154" s="42"/>
    </row>
    <row r="155" spans="1:9" x14ac:dyDescent="0.2">
      <c r="A155" s="42"/>
      <c r="B155" s="46" t="s">
        <v>112</v>
      </c>
      <c r="C155" s="47" t="s">
        <v>115</v>
      </c>
      <c r="D155" s="47" t="s">
        <v>116</v>
      </c>
      <c r="E155" s="42"/>
      <c r="F155" s="42"/>
      <c r="G155" s="42"/>
    </row>
    <row r="156" spans="1:9" x14ac:dyDescent="0.2">
      <c r="A156" s="42"/>
      <c r="B156" s="24" t="s">
        <v>670</v>
      </c>
      <c r="C156" s="48">
        <v>5.3120000000000003</v>
      </c>
      <c r="D156" s="28" t="s">
        <v>117</v>
      </c>
      <c r="E156" s="42"/>
      <c r="F156" s="44"/>
      <c r="G156" s="45"/>
    </row>
    <row r="157" spans="1:9" ht="25.5" x14ac:dyDescent="0.2">
      <c r="A157" s="42"/>
      <c r="B157" s="24" t="s">
        <v>674</v>
      </c>
      <c r="C157" s="48">
        <v>5.3079999999999998</v>
      </c>
      <c r="D157" s="48">
        <v>5.3079999999999998</v>
      </c>
      <c r="E157" s="42"/>
      <c r="F157" s="44"/>
      <c r="G157" s="45"/>
    </row>
    <row r="158" spans="1:9" x14ac:dyDescent="0.2">
      <c r="A158" s="42"/>
      <c r="B158" s="49"/>
      <c r="C158" s="49"/>
      <c r="D158" s="50"/>
      <c r="E158" s="42"/>
      <c r="F158" s="44"/>
      <c r="G158" s="45"/>
    </row>
    <row r="159" spans="1:9" x14ac:dyDescent="0.2">
      <c r="A159" s="38"/>
      <c r="B159" s="94"/>
      <c r="C159" s="94"/>
      <c r="D159" s="95"/>
      <c r="E159" s="38"/>
      <c r="F159" s="33"/>
      <c r="G159" s="96"/>
    </row>
    <row r="160" spans="1:9" ht="25.5" x14ac:dyDescent="0.2">
      <c r="A160" s="38"/>
      <c r="B160" s="163" t="s">
        <v>118</v>
      </c>
      <c r="C160" s="164"/>
      <c r="D160" s="51" t="s">
        <v>632</v>
      </c>
      <c r="E160" s="52"/>
      <c r="F160" s="38"/>
      <c r="G160" s="38"/>
      <c r="I160" s="113"/>
    </row>
    <row r="161" spans="1:15" ht="27" customHeight="1" x14ac:dyDescent="0.2">
      <c r="A161" s="38"/>
      <c r="B161" s="163" t="s">
        <v>119</v>
      </c>
      <c r="C161" s="164"/>
      <c r="D161" s="51" t="s">
        <v>108</v>
      </c>
      <c r="E161" s="52"/>
      <c r="F161" s="38"/>
      <c r="G161" s="38"/>
      <c r="I161" s="113"/>
    </row>
    <row r="162" spans="1:15" ht="27.75" customHeight="1" x14ac:dyDescent="0.2">
      <c r="A162" s="38"/>
      <c r="B162" s="163" t="s">
        <v>551</v>
      </c>
      <c r="C162" s="164"/>
      <c r="D162" s="51" t="s">
        <v>108</v>
      </c>
      <c r="E162" s="52"/>
      <c r="F162" s="38"/>
      <c r="G162" s="38"/>
      <c r="I162" s="113"/>
      <c r="J162" s="14"/>
    </row>
    <row r="163" spans="1:15" ht="12.75" customHeight="1" x14ac:dyDescent="0.2">
      <c r="A163" s="54"/>
      <c r="B163" s="54"/>
      <c r="C163" s="54"/>
      <c r="D163" s="54"/>
      <c r="E163" s="54"/>
      <c r="F163" s="54"/>
      <c r="G163" s="54"/>
      <c r="I163" s="113"/>
      <c r="J163" s="14"/>
    </row>
    <row r="164" spans="1:15" ht="13.5" x14ac:dyDescent="0.25">
      <c r="A164" s="54"/>
      <c r="B164" s="121" t="s">
        <v>679</v>
      </c>
      <c r="C164" s="54"/>
      <c r="D164" s="54"/>
      <c r="E164" s="54"/>
      <c r="F164" s="54"/>
      <c r="G164" s="54"/>
      <c r="H164" s="54"/>
      <c r="I164" s="113"/>
      <c r="J164" s="14"/>
    </row>
    <row r="165" spans="1:15" s="14" customFormat="1" ht="51" x14ac:dyDescent="0.2">
      <c r="A165" s="122"/>
      <c r="B165" s="123" t="s">
        <v>633</v>
      </c>
      <c r="C165" s="123" t="s">
        <v>634</v>
      </c>
      <c r="D165" s="124" t="s">
        <v>635</v>
      </c>
      <c r="E165" s="124" t="s">
        <v>636</v>
      </c>
      <c r="F165" s="123" t="s">
        <v>637</v>
      </c>
      <c r="G165" s="123" t="s">
        <v>638</v>
      </c>
      <c r="H165" s="123" t="s">
        <v>8</v>
      </c>
      <c r="I165" s="125"/>
    </row>
    <row r="166" spans="1:15" s="56" customFormat="1" ht="25.5" x14ac:dyDescent="0.2">
      <c r="A166" s="126"/>
      <c r="B166" s="127" t="s">
        <v>639</v>
      </c>
      <c r="C166" s="127" t="s">
        <v>640</v>
      </c>
      <c r="D166" s="128" t="s">
        <v>641</v>
      </c>
      <c r="E166" s="129" t="s">
        <v>642</v>
      </c>
      <c r="F166" s="130">
        <v>2500</v>
      </c>
      <c r="G166" s="131">
        <v>46002</v>
      </c>
      <c r="H166" s="71">
        <f>F166/F134</f>
        <v>1.4506803602560224E-2</v>
      </c>
      <c r="I166" s="132"/>
      <c r="J166" s="14"/>
    </row>
    <row r="167" spans="1:15" s="56" customFormat="1" ht="25.5" x14ac:dyDescent="0.2">
      <c r="A167" s="126"/>
      <c r="B167" s="127" t="s">
        <v>639</v>
      </c>
      <c r="C167" s="127" t="s">
        <v>643</v>
      </c>
      <c r="D167" s="128" t="s">
        <v>641</v>
      </c>
      <c r="E167" s="129" t="s">
        <v>642</v>
      </c>
      <c r="F167" s="130">
        <v>2500</v>
      </c>
      <c r="G167" s="131">
        <v>46087</v>
      </c>
      <c r="H167" s="71">
        <f>F167/F134</f>
        <v>1.4506803602560224E-2</v>
      </c>
      <c r="I167" s="132"/>
      <c r="J167" s="14"/>
    </row>
    <row r="168" spans="1:15" s="56" customFormat="1" ht="25.5" x14ac:dyDescent="0.2">
      <c r="A168" s="126"/>
      <c r="B168" s="127" t="s">
        <v>639</v>
      </c>
      <c r="C168" s="127" t="s">
        <v>645</v>
      </c>
      <c r="D168" s="128" t="s">
        <v>641</v>
      </c>
      <c r="E168" s="129" t="s">
        <v>642</v>
      </c>
      <c r="F168" s="130">
        <v>2500</v>
      </c>
      <c r="G168" s="131">
        <v>46101</v>
      </c>
      <c r="H168" s="71">
        <f>F168/F134</f>
        <v>1.4506803602560224E-2</v>
      </c>
      <c r="I168" s="132"/>
      <c r="J168" s="14"/>
    </row>
    <row r="169" spans="1:15" s="66" customFormat="1" x14ac:dyDescent="0.2">
      <c r="A169" s="54"/>
      <c r="B169" s="54"/>
      <c r="C169" s="54"/>
      <c r="D169" s="54"/>
      <c r="E169" s="54"/>
      <c r="F169" s="54"/>
      <c r="G169" s="54"/>
      <c r="H169"/>
      <c r="I169" s="133"/>
      <c r="J169" s="134"/>
      <c r="K169" s="134"/>
      <c r="L169" s="134"/>
      <c r="M169" s="134"/>
      <c r="N169" s="134"/>
      <c r="O169" s="134"/>
    </row>
    <row r="170" spans="1:15" x14ac:dyDescent="0.2">
      <c r="A170" s="55"/>
      <c r="B170" s="135" t="s">
        <v>678</v>
      </c>
      <c r="C170" s="135"/>
      <c r="D170" s="135"/>
      <c r="E170" s="135"/>
      <c r="F170" s="135"/>
      <c r="G170" s="135"/>
      <c r="H170" s="55"/>
      <c r="I170" s="113"/>
      <c r="J170" s="14"/>
    </row>
    <row r="171" spans="1:15" x14ac:dyDescent="0.2">
      <c r="A171" s="55"/>
      <c r="B171" s="135"/>
      <c r="C171" s="135"/>
      <c r="D171" s="135"/>
      <c r="E171" s="135"/>
      <c r="F171" s="135"/>
      <c r="G171" s="135"/>
      <c r="H171" s="55"/>
      <c r="I171" s="113"/>
      <c r="J171" s="14"/>
    </row>
    <row r="172" spans="1:15" ht="13.5" customHeight="1" x14ac:dyDescent="0.2">
      <c r="B172" s="185" t="s">
        <v>573</v>
      </c>
      <c r="C172" s="185" t="s">
        <v>574</v>
      </c>
      <c r="D172" s="188" t="s">
        <v>584</v>
      </c>
      <c r="E172" s="189"/>
      <c r="F172" s="190"/>
      <c r="G172" s="191" t="s">
        <v>592</v>
      </c>
      <c r="H172" s="192"/>
      <c r="I172" s="183" t="s">
        <v>593</v>
      </c>
      <c r="J172" s="53"/>
      <c r="K172" s="53"/>
      <c r="L172" s="53"/>
      <c r="M172" s="53"/>
      <c r="N172" s="53"/>
      <c r="O172" s="53"/>
    </row>
    <row r="173" spans="1:15" ht="51" customHeight="1" x14ac:dyDescent="0.2">
      <c r="B173" s="186"/>
      <c r="C173" s="186"/>
      <c r="D173" s="183" t="s">
        <v>594</v>
      </c>
      <c r="E173" s="183" t="s">
        <v>595</v>
      </c>
      <c r="F173" s="183" t="s">
        <v>596</v>
      </c>
      <c r="G173" s="193"/>
      <c r="H173" s="194"/>
      <c r="I173" s="195"/>
      <c r="J173" s="53"/>
      <c r="K173" s="53"/>
      <c r="L173" s="53"/>
      <c r="M173" s="53"/>
      <c r="N173" s="53"/>
      <c r="O173" s="53"/>
    </row>
    <row r="174" spans="1:15" ht="21" customHeight="1" x14ac:dyDescent="0.2">
      <c r="B174" s="187"/>
      <c r="C174" s="187"/>
      <c r="D174" s="184"/>
      <c r="E174" s="184"/>
      <c r="F174" s="184"/>
      <c r="G174" s="136" t="s">
        <v>597</v>
      </c>
      <c r="H174" s="136" t="s">
        <v>598</v>
      </c>
      <c r="I174" s="184"/>
      <c r="J174" s="53"/>
      <c r="K174" s="53"/>
      <c r="L174" s="53"/>
      <c r="M174" s="53"/>
      <c r="N174" s="53"/>
      <c r="O174" s="53"/>
    </row>
    <row r="175" spans="1:15" ht="13.5" x14ac:dyDescent="0.25">
      <c r="B175" s="137" t="s">
        <v>599</v>
      </c>
      <c r="C175" s="138" t="s">
        <v>600</v>
      </c>
      <c r="D175" s="139">
        <v>488.84800000000001</v>
      </c>
      <c r="E175" s="140">
        <v>11.151999999999999</v>
      </c>
      <c r="F175" s="141">
        <f>D175+E175</f>
        <v>500</v>
      </c>
      <c r="G175" s="11">
        <v>21</v>
      </c>
      <c r="H175" s="11">
        <v>13</v>
      </c>
      <c r="I175" s="11">
        <f>G175+H175</f>
        <v>34</v>
      </c>
      <c r="J175" s="53"/>
      <c r="K175" s="53"/>
      <c r="L175" s="53"/>
      <c r="M175" s="53"/>
      <c r="N175" s="53"/>
      <c r="O175" s="53"/>
    </row>
    <row r="176" spans="1:15" ht="6.75" customHeight="1" x14ac:dyDescent="0.25">
      <c r="B176" s="142"/>
      <c r="C176" s="143"/>
      <c r="D176" s="144"/>
      <c r="E176" s="10"/>
      <c r="F176" s="145"/>
      <c r="G176" s="9"/>
      <c r="H176" s="9"/>
      <c r="I176" s="9"/>
      <c r="J176" s="53"/>
      <c r="K176" s="53"/>
      <c r="L176" s="53"/>
      <c r="M176" s="53"/>
      <c r="N176" s="53"/>
      <c r="O176" s="53"/>
    </row>
    <row r="177" spans="2:16" ht="42" customHeight="1" x14ac:dyDescent="0.2">
      <c r="B177" s="182" t="s">
        <v>601</v>
      </c>
      <c r="C177" s="182"/>
      <c r="D177" s="182"/>
      <c r="E177" s="182"/>
      <c r="F177" s="182"/>
      <c r="G177" s="182"/>
      <c r="H177" s="182"/>
      <c r="I177" s="182"/>
      <c r="J177" s="182"/>
      <c r="K177" s="53"/>
      <c r="L177" s="53"/>
      <c r="M177" s="53"/>
      <c r="N177" s="53"/>
      <c r="O177" s="53"/>
    </row>
    <row r="178" spans="2:16" ht="13.5" x14ac:dyDescent="0.25">
      <c r="B178" s="142"/>
      <c r="C178" s="143"/>
      <c r="D178" s="144"/>
      <c r="E178" s="10"/>
      <c r="F178" s="10"/>
      <c r="G178" s="145"/>
      <c r="H178" s="9"/>
      <c r="I178" s="9"/>
      <c r="J178" s="9"/>
      <c r="K178" s="53"/>
      <c r="L178" s="53"/>
      <c r="M178" s="53"/>
      <c r="N178" s="53"/>
      <c r="O178" s="53"/>
      <c r="P178" s="53"/>
    </row>
    <row r="179" spans="2:16" ht="13.5" x14ac:dyDescent="0.25">
      <c r="B179" s="92" t="s">
        <v>602</v>
      </c>
      <c r="I179" s="53"/>
      <c r="J179" s="14"/>
      <c r="K179" s="53"/>
      <c r="L179" s="53"/>
      <c r="M179" s="53"/>
      <c r="N179" s="53"/>
      <c r="O179" s="53"/>
      <c r="P179" s="53"/>
    </row>
    <row r="180" spans="2:16" ht="7.5" customHeight="1" x14ac:dyDescent="0.2">
      <c r="B180" s="93"/>
      <c r="J180" s="14"/>
      <c r="K180" s="53"/>
      <c r="L180" s="53"/>
      <c r="M180" s="53"/>
      <c r="N180" s="53"/>
      <c r="O180" s="53"/>
    </row>
    <row r="181" spans="2:16" x14ac:dyDescent="0.2">
      <c r="B181" s="93" t="s">
        <v>606</v>
      </c>
      <c r="J181" s="14"/>
      <c r="K181" s="53"/>
      <c r="L181" s="53"/>
      <c r="M181" s="53"/>
      <c r="N181" s="53"/>
      <c r="O181" s="53"/>
    </row>
    <row r="182" spans="2:16" s="55" customFormat="1" x14ac:dyDescent="0.2">
      <c r="I182" s="113"/>
      <c r="J182" s="14"/>
      <c r="K182" s="53"/>
      <c r="L182" s="53"/>
      <c r="M182" s="53"/>
      <c r="N182" s="53"/>
      <c r="O182" s="56"/>
    </row>
    <row r="183" spans="2:16" s="55" customFormat="1" x14ac:dyDescent="0.2">
      <c r="B183" s="211" t="s">
        <v>552</v>
      </c>
      <c r="C183" s="212"/>
      <c r="D183" s="213"/>
      <c r="I183" s="113"/>
      <c r="J183" s="14"/>
      <c r="K183" s="53"/>
      <c r="L183" s="53"/>
      <c r="M183" s="53"/>
      <c r="N183" s="53"/>
      <c r="O183" s="56"/>
    </row>
    <row r="184" spans="2:16" s="55" customFormat="1" ht="51" x14ac:dyDescent="0.2">
      <c r="B184" s="214" t="s">
        <v>553</v>
      </c>
      <c r="C184" s="214"/>
      <c r="D184" s="146" t="s">
        <v>428</v>
      </c>
      <c r="I184" s="113"/>
      <c r="J184" s="14"/>
      <c r="K184" s="53"/>
      <c r="L184" s="53"/>
      <c r="M184" s="53"/>
      <c r="N184" s="53"/>
      <c r="O184" s="56"/>
    </row>
    <row r="185" spans="2:16" s="55" customFormat="1" x14ac:dyDescent="0.2">
      <c r="B185" s="215" t="s">
        <v>554</v>
      </c>
      <c r="C185" s="215"/>
      <c r="D185" s="147"/>
      <c r="I185" s="113"/>
      <c r="J185" s="14"/>
      <c r="K185" s="53"/>
      <c r="L185" s="53"/>
      <c r="M185" s="53"/>
      <c r="N185" s="53"/>
      <c r="O185" s="56"/>
    </row>
    <row r="186" spans="2:16" s="55" customFormat="1" x14ac:dyDescent="0.2">
      <c r="B186" s="215"/>
      <c r="C186" s="215"/>
      <c r="D186" s="148"/>
      <c r="I186" s="113"/>
      <c r="J186" s="14"/>
      <c r="K186" s="53"/>
      <c r="L186" s="53"/>
      <c r="M186" s="53"/>
      <c r="N186" s="53"/>
      <c r="O186" s="56"/>
    </row>
    <row r="187" spans="2:16" s="55" customFormat="1" x14ac:dyDescent="0.2">
      <c r="B187" s="215" t="s">
        <v>555</v>
      </c>
      <c r="C187" s="215"/>
      <c r="D187" s="60">
        <v>7.3502670688122222</v>
      </c>
      <c r="I187" s="113"/>
      <c r="J187" s="14"/>
      <c r="K187" s="53"/>
      <c r="L187" s="53"/>
      <c r="M187" s="53"/>
      <c r="N187" s="53"/>
      <c r="O187" s="56"/>
    </row>
    <row r="188" spans="2:16" s="55" customFormat="1" x14ac:dyDescent="0.2">
      <c r="B188" s="169"/>
      <c r="C188" s="169"/>
      <c r="D188" s="59"/>
      <c r="I188" s="113"/>
      <c r="J188" s="14"/>
      <c r="K188" s="53"/>
      <c r="L188" s="53"/>
      <c r="M188" s="53"/>
      <c r="N188" s="53"/>
      <c r="O188" s="56"/>
    </row>
    <row r="189" spans="2:16" s="55" customFormat="1" x14ac:dyDescent="0.2">
      <c r="B189" s="169" t="s">
        <v>556</v>
      </c>
      <c r="C189" s="169"/>
      <c r="D189" s="60">
        <v>0.63711562500675545</v>
      </c>
      <c r="I189" s="113"/>
      <c r="J189" s="14"/>
      <c r="K189" s="53"/>
      <c r="L189" s="53"/>
      <c r="M189" s="53"/>
      <c r="N189" s="53"/>
      <c r="O189" s="56"/>
    </row>
    <row r="190" spans="2:16" s="55" customFormat="1" x14ac:dyDescent="0.2">
      <c r="B190" s="169" t="s">
        <v>557</v>
      </c>
      <c r="C190" s="169"/>
      <c r="D190" s="60">
        <v>0.6458084828159788</v>
      </c>
      <c r="I190" s="113"/>
      <c r="J190" s="14"/>
      <c r="K190" s="53"/>
      <c r="L190" s="53"/>
      <c r="M190" s="53"/>
      <c r="N190" s="53"/>
      <c r="O190" s="56"/>
    </row>
    <row r="191" spans="2:16" s="55" customFormat="1" x14ac:dyDescent="0.2">
      <c r="B191" s="169"/>
      <c r="C191" s="169"/>
      <c r="D191" s="59"/>
      <c r="I191" s="113"/>
      <c r="J191" s="14"/>
      <c r="K191" s="53"/>
      <c r="L191" s="53"/>
      <c r="M191" s="53"/>
      <c r="N191" s="53"/>
      <c r="O191" s="56"/>
    </row>
    <row r="192" spans="2:16" s="55" customFormat="1" x14ac:dyDescent="0.2">
      <c r="B192" s="169" t="s">
        <v>558</v>
      </c>
      <c r="C192" s="169"/>
      <c r="D192" s="62" t="s">
        <v>677</v>
      </c>
      <c r="I192" s="113"/>
      <c r="J192" s="14"/>
      <c r="K192" s="53"/>
      <c r="L192" s="53"/>
      <c r="M192" s="53"/>
      <c r="N192" s="53"/>
      <c r="O192" s="56"/>
    </row>
    <row r="193" spans="1:17" s="55" customFormat="1" x14ac:dyDescent="0.2">
      <c r="B193" s="170" t="s">
        <v>559</v>
      </c>
      <c r="C193" s="172"/>
      <c r="D193" s="171"/>
      <c r="I193" s="113"/>
      <c r="J193" s="14"/>
      <c r="K193" s="53"/>
      <c r="L193" s="53"/>
      <c r="M193" s="53"/>
      <c r="N193" s="53"/>
      <c r="O193" s="56"/>
    </row>
    <row r="194" spans="1:17" s="55" customFormat="1" x14ac:dyDescent="0.2">
      <c r="B194" s="33"/>
      <c r="C194" s="33"/>
      <c r="D194" s="33"/>
      <c r="I194" s="113"/>
      <c r="J194" s="14"/>
      <c r="K194" s="53"/>
      <c r="L194" s="53"/>
      <c r="M194" s="53"/>
      <c r="N194" s="53"/>
      <c r="O194" s="56"/>
    </row>
    <row r="195" spans="1:17" s="55" customFormat="1" x14ac:dyDescent="0.2">
      <c r="A195"/>
      <c r="B195" s="64" t="s">
        <v>560</v>
      </c>
      <c r="C195"/>
      <c r="D195"/>
      <c r="E195"/>
      <c r="F195"/>
      <c r="G195"/>
      <c r="H195"/>
      <c r="I195" s="113"/>
      <c r="J195" s="14"/>
      <c r="K195" s="53"/>
      <c r="L195" s="53"/>
      <c r="M195" s="53"/>
      <c r="N195" s="53"/>
      <c r="O195" s="56"/>
      <c r="P195"/>
      <c r="Q195"/>
    </row>
    <row r="196" spans="1:17" x14ac:dyDescent="0.2">
      <c r="I196" s="113"/>
    </row>
    <row r="197" spans="1:17" ht="153.75" customHeight="1" x14ac:dyDescent="0.2">
      <c r="I197" s="113"/>
    </row>
    <row r="198" spans="1:17" ht="25.5" customHeight="1" x14ac:dyDescent="0.2">
      <c r="I198" s="113"/>
    </row>
    <row r="199" spans="1:17" x14ac:dyDescent="0.2">
      <c r="B199" s="65" t="s">
        <v>561</v>
      </c>
      <c r="C199" s="66"/>
      <c r="D199" s="65"/>
      <c r="I199" s="113"/>
    </row>
    <row r="200" spans="1:17" x14ac:dyDescent="0.2">
      <c r="B200" s="65" t="s">
        <v>644</v>
      </c>
      <c r="D200" s="65"/>
      <c r="I200" s="113"/>
    </row>
    <row r="201" spans="1:17" x14ac:dyDescent="0.2">
      <c r="I201" s="113"/>
    </row>
    <row r="202" spans="1:17" x14ac:dyDescent="0.2">
      <c r="I202" s="113"/>
    </row>
    <row r="203" spans="1:17" ht="165" customHeight="1" x14ac:dyDescent="0.2">
      <c r="I203" s="113"/>
    </row>
    <row r="204" spans="1:17" x14ac:dyDescent="0.2">
      <c r="I204" s="113"/>
    </row>
    <row r="205" spans="1:17" x14ac:dyDescent="0.2">
      <c r="I205" s="113"/>
      <c r="J205" s="14"/>
    </row>
    <row r="206" spans="1:17" x14ac:dyDescent="0.2">
      <c r="I206" s="113"/>
    </row>
    <row r="207" spans="1:17" x14ac:dyDescent="0.2">
      <c r="I207" s="113"/>
    </row>
    <row r="208" spans="1:17" x14ac:dyDescent="0.2">
      <c r="I208" s="113"/>
    </row>
    <row r="209" spans="9:9" x14ac:dyDescent="0.2">
      <c r="I209" s="113"/>
    </row>
    <row r="210" spans="9:9" x14ac:dyDescent="0.2">
      <c r="I210" s="113"/>
    </row>
    <row r="211" spans="9:9" x14ac:dyDescent="0.2">
      <c r="I211" s="113"/>
    </row>
    <row r="212" spans="9:9" x14ac:dyDescent="0.2">
      <c r="I212" s="113"/>
    </row>
    <row r="213" spans="9:9" x14ac:dyDescent="0.2">
      <c r="I213" s="113"/>
    </row>
  </sheetData>
  <mergeCells count="35">
    <mergeCell ref="B187:C187"/>
    <mergeCell ref="B193:D193"/>
    <mergeCell ref="B188:C188"/>
    <mergeCell ref="B189:C189"/>
    <mergeCell ref="B190:C190"/>
    <mergeCell ref="B191:C191"/>
    <mergeCell ref="B192:C192"/>
    <mergeCell ref="B177:J177"/>
    <mergeCell ref="B183:D183"/>
    <mergeCell ref="B184:C184"/>
    <mergeCell ref="B185:C185"/>
    <mergeCell ref="B186:C186"/>
    <mergeCell ref="B143:C143"/>
    <mergeCell ref="B144:C144"/>
    <mergeCell ref="B154:C154"/>
    <mergeCell ref="B160:C160"/>
    <mergeCell ref="I172:I174"/>
    <mergeCell ref="D173:D174"/>
    <mergeCell ref="E173:E174"/>
    <mergeCell ref="F173:F174"/>
    <mergeCell ref="B172:B174"/>
    <mergeCell ref="C172:C174"/>
    <mergeCell ref="D172:F172"/>
    <mergeCell ref="G172:H173"/>
    <mergeCell ref="B161:C161"/>
    <mergeCell ref="B162:C162"/>
    <mergeCell ref="A1:H1"/>
    <mergeCell ref="A2:H2"/>
    <mergeCell ref="A3:H3"/>
    <mergeCell ref="B141:D141"/>
    <mergeCell ref="B142:C142"/>
    <mergeCell ref="B136:H136"/>
    <mergeCell ref="B137:H137"/>
    <mergeCell ref="B138:H138"/>
    <mergeCell ref="B139:H139"/>
  </mergeCells>
  <hyperlinks>
    <hyperlink ref="I1" location="Index!B2" display="Index" xr:uid="{267D348E-C467-4AF2-9AEC-1DB84AD3160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95AA5-5AF6-49CF-A568-8E79E25608B1}">
  <sheetPr>
    <outlinePr summaryBelow="0" summaryRight="0"/>
  </sheetPr>
  <dimension ref="A1:Q149"/>
  <sheetViews>
    <sheetView showGridLines="0" workbookViewId="0">
      <selection sqref="A1:H1"/>
    </sheetView>
  </sheetViews>
  <sheetFormatPr defaultRowHeight="12.75" x14ac:dyDescent="0.2"/>
  <cols>
    <col min="1" max="1" width="5.85546875" bestFit="1" customWidth="1"/>
    <col min="2" max="2" width="21.85546875" customWidth="1"/>
    <col min="3" max="3" width="39.140625" bestFit="1" customWidth="1"/>
    <col min="4" max="4" width="11.28515625" bestFit="1" customWidth="1"/>
    <col min="5" max="5" width="8.7109375" bestFit="1" customWidth="1"/>
    <col min="6" max="6" width="10.140625" bestFit="1" customWidth="1"/>
    <col min="7" max="7" width="14" bestFit="1" customWidth="1"/>
    <col min="8" max="8" width="9.42578125" customWidth="1"/>
  </cols>
  <sheetData>
    <row r="1" spans="1:9" ht="15" x14ac:dyDescent="0.2">
      <c r="A1" s="157" t="s">
        <v>0</v>
      </c>
      <c r="B1" s="157"/>
      <c r="C1" s="157"/>
      <c r="D1" s="157"/>
      <c r="E1" s="157"/>
      <c r="F1" s="157"/>
      <c r="G1" s="157"/>
      <c r="H1" s="157"/>
      <c r="I1" s="1" t="s">
        <v>531</v>
      </c>
    </row>
    <row r="2" spans="1:9" ht="15" x14ac:dyDescent="0.2">
      <c r="A2" s="157" t="s">
        <v>459</v>
      </c>
      <c r="B2" s="157"/>
      <c r="C2" s="157"/>
      <c r="D2" s="157"/>
      <c r="E2" s="157"/>
      <c r="F2" s="157"/>
      <c r="G2" s="157"/>
      <c r="H2" s="157"/>
    </row>
    <row r="3" spans="1:9" ht="15" x14ac:dyDescent="0.2">
      <c r="A3" s="157" t="s">
        <v>532</v>
      </c>
      <c r="B3" s="157"/>
      <c r="C3" s="157"/>
      <c r="D3" s="157"/>
      <c r="E3" s="157"/>
      <c r="F3" s="157"/>
      <c r="G3" s="157"/>
      <c r="H3" s="157"/>
    </row>
    <row r="4" spans="1:9" s="14" customFormat="1" ht="30" x14ac:dyDescent="0.2">
      <c r="A4" s="12" t="s">
        <v>2</v>
      </c>
      <c r="B4" s="12" t="s">
        <v>3</v>
      </c>
      <c r="C4" s="12" t="s">
        <v>4</v>
      </c>
      <c r="D4" s="12" t="s">
        <v>5</v>
      </c>
      <c r="E4" s="12" t="s">
        <v>6</v>
      </c>
      <c r="F4" s="12" t="s">
        <v>7</v>
      </c>
      <c r="G4" s="12" t="s">
        <v>8</v>
      </c>
      <c r="H4" s="13" t="s">
        <v>530</v>
      </c>
    </row>
    <row r="5" spans="1:9" x14ac:dyDescent="0.2">
      <c r="A5" s="15"/>
      <c r="B5" s="15"/>
      <c r="C5" s="16" t="s">
        <v>9</v>
      </c>
      <c r="D5" s="15"/>
      <c r="E5" s="15"/>
      <c r="F5" s="15"/>
      <c r="G5" s="15"/>
      <c r="H5" s="17" t="s">
        <v>12</v>
      </c>
    </row>
    <row r="6" spans="1:9" x14ac:dyDescent="0.2">
      <c r="A6" s="15"/>
      <c r="B6" s="15"/>
      <c r="C6" s="16" t="s">
        <v>10</v>
      </c>
      <c r="D6" s="15"/>
      <c r="E6" s="15"/>
      <c r="F6" s="15"/>
      <c r="G6" s="15"/>
      <c r="H6" s="17" t="s">
        <v>12</v>
      </c>
    </row>
    <row r="7" spans="1:9" x14ac:dyDescent="0.2">
      <c r="A7" s="15"/>
      <c r="B7" s="15"/>
      <c r="C7" s="16" t="s">
        <v>11</v>
      </c>
      <c r="D7" s="15"/>
      <c r="E7" s="15" t="s">
        <v>12</v>
      </c>
      <c r="F7" s="18" t="s">
        <v>13</v>
      </c>
      <c r="G7" s="19">
        <v>0</v>
      </c>
      <c r="H7" s="17" t="s">
        <v>12</v>
      </c>
    </row>
    <row r="8" spans="1:9" x14ac:dyDescent="0.2">
      <c r="A8" s="15"/>
      <c r="B8" s="15"/>
      <c r="C8" s="20"/>
      <c r="D8" s="15"/>
      <c r="E8" s="15"/>
      <c r="F8" s="21"/>
      <c r="G8" s="21"/>
      <c r="H8" s="17" t="s">
        <v>12</v>
      </c>
    </row>
    <row r="9" spans="1:9" x14ac:dyDescent="0.2">
      <c r="A9" s="15"/>
      <c r="B9" s="15"/>
      <c r="C9" s="16" t="s">
        <v>14</v>
      </c>
      <c r="D9" s="15"/>
      <c r="E9" s="15"/>
      <c r="F9" s="15"/>
      <c r="G9" s="15"/>
      <c r="H9" s="17" t="s">
        <v>12</v>
      </c>
    </row>
    <row r="10" spans="1:9" x14ac:dyDescent="0.2">
      <c r="A10" s="15"/>
      <c r="B10" s="15"/>
      <c r="C10" s="16" t="s">
        <v>11</v>
      </c>
      <c r="D10" s="15"/>
      <c r="E10" s="15" t="s">
        <v>12</v>
      </c>
      <c r="F10" s="18" t="s">
        <v>13</v>
      </c>
      <c r="G10" s="19">
        <v>0</v>
      </c>
      <c r="H10" s="17" t="s">
        <v>12</v>
      </c>
    </row>
    <row r="11" spans="1:9" x14ac:dyDescent="0.2">
      <c r="A11" s="15"/>
      <c r="B11" s="15"/>
      <c r="C11" s="20"/>
      <c r="D11" s="15"/>
      <c r="E11" s="15"/>
      <c r="F11" s="21"/>
      <c r="G11" s="21"/>
      <c r="H11" s="17" t="s">
        <v>12</v>
      </c>
    </row>
    <row r="12" spans="1:9" x14ac:dyDescent="0.2">
      <c r="A12" s="15"/>
      <c r="B12" s="15"/>
      <c r="C12" s="16" t="s">
        <v>15</v>
      </c>
      <c r="D12" s="15"/>
      <c r="E12" s="15"/>
      <c r="F12" s="15"/>
      <c r="G12" s="15"/>
      <c r="H12" s="17" t="s">
        <v>12</v>
      </c>
    </row>
    <row r="13" spans="1:9" x14ac:dyDescent="0.2">
      <c r="A13" s="15"/>
      <c r="B13" s="15"/>
      <c r="C13" s="16" t="s">
        <v>11</v>
      </c>
      <c r="D13" s="15"/>
      <c r="E13" s="15" t="s">
        <v>12</v>
      </c>
      <c r="F13" s="18" t="s">
        <v>13</v>
      </c>
      <c r="G13" s="19">
        <v>0</v>
      </c>
      <c r="H13" s="17" t="s">
        <v>12</v>
      </c>
    </row>
    <row r="14" spans="1:9" x14ac:dyDescent="0.2">
      <c r="A14" s="15"/>
      <c r="B14" s="15"/>
      <c r="C14" s="20"/>
      <c r="D14" s="15"/>
      <c r="E14" s="15"/>
      <c r="F14" s="21"/>
      <c r="G14" s="21"/>
      <c r="H14" s="17" t="s">
        <v>12</v>
      </c>
    </row>
    <row r="15" spans="1:9" x14ac:dyDescent="0.2">
      <c r="A15" s="15"/>
      <c r="B15" s="15"/>
      <c r="C15" s="16" t="s">
        <v>16</v>
      </c>
      <c r="D15" s="15"/>
      <c r="E15" s="15"/>
      <c r="F15" s="15"/>
      <c r="G15" s="15"/>
      <c r="H15" s="17" t="s">
        <v>12</v>
      </c>
    </row>
    <row r="16" spans="1:9" x14ac:dyDescent="0.2">
      <c r="A16" s="15"/>
      <c r="B16" s="15"/>
      <c r="C16" s="16" t="s">
        <v>11</v>
      </c>
      <c r="D16" s="15"/>
      <c r="E16" s="15" t="s">
        <v>12</v>
      </c>
      <c r="F16" s="18" t="s">
        <v>13</v>
      </c>
      <c r="G16" s="19">
        <v>0</v>
      </c>
      <c r="H16" s="17" t="s">
        <v>12</v>
      </c>
    </row>
    <row r="17" spans="1:8" x14ac:dyDescent="0.2">
      <c r="A17" s="15"/>
      <c r="B17" s="15"/>
      <c r="C17" s="20"/>
      <c r="D17" s="15"/>
      <c r="E17" s="15"/>
      <c r="F17" s="21"/>
      <c r="G17" s="21"/>
      <c r="H17" s="17" t="s">
        <v>12</v>
      </c>
    </row>
    <row r="18" spans="1:8" x14ac:dyDescent="0.2">
      <c r="A18" s="15"/>
      <c r="B18" s="15"/>
      <c r="C18" s="16" t="s">
        <v>17</v>
      </c>
      <c r="D18" s="15"/>
      <c r="E18" s="15"/>
      <c r="F18" s="21"/>
      <c r="G18" s="21"/>
      <c r="H18" s="17" t="s">
        <v>12</v>
      </c>
    </row>
    <row r="19" spans="1:8" x14ac:dyDescent="0.2">
      <c r="A19" s="15"/>
      <c r="B19" s="15"/>
      <c r="C19" s="16" t="s">
        <v>11</v>
      </c>
      <c r="D19" s="15"/>
      <c r="E19" s="15" t="s">
        <v>12</v>
      </c>
      <c r="F19" s="18" t="s">
        <v>13</v>
      </c>
      <c r="G19" s="19">
        <v>0</v>
      </c>
      <c r="H19" s="17" t="s">
        <v>12</v>
      </c>
    </row>
    <row r="20" spans="1:8" x14ac:dyDescent="0.2">
      <c r="A20" s="15"/>
      <c r="B20" s="15"/>
      <c r="C20" s="20"/>
      <c r="D20" s="15"/>
      <c r="E20" s="15"/>
      <c r="F20" s="21"/>
      <c r="G20" s="21"/>
      <c r="H20" s="17" t="s">
        <v>12</v>
      </c>
    </row>
    <row r="21" spans="1:8" x14ac:dyDescent="0.2">
      <c r="A21" s="15"/>
      <c r="B21" s="15"/>
      <c r="C21" s="16" t="s">
        <v>18</v>
      </c>
      <c r="D21" s="15"/>
      <c r="E21" s="15"/>
      <c r="F21" s="21"/>
      <c r="G21" s="21"/>
      <c r="H21" s="17" t="s">
        <v>12</v>
      </c>
    </row>
    <row r="22" spans="1:8" x14ac:dyDescent="0.2">
      <c r="A22" s="15"/>
      <c r="B22" s="15"/>
      <c r="C22" s="16" t="s">
        <v>11</v>
      </c>
      <c r="D22" s="15"/>
      <c r="E22" s="15" t="s">
        <v>12</v>
      </c>
      <c r="F22" s="18" t="s">
        <v>13</v>
      </c>
      <c r="G22" s="19">
        <v>0</v>
      </c>
      <c r="H22" s="17" t="s">
        <v>12</v>
      </c>
    </row>
    <row r="23" spans="1:8" x14ac:dyDescent="0.2">
      <c r="A23" s="15"/>
      <c r="B23" s="15"/>
      <c r="C23" s="20"/>
      <c r="D23" s="15"/>
      <c r="E23" s="15"/>
      <c r="F23" s="21"/>
      <c r="G23" s="21"/>
      <c r="H23" s="17" t="s">
        <v>12</v>
      </c>
    </row>
    <row r="24" spans="1:8" x14ac:dyDescent="0.2">
      <c r="A24" s="15"/>
      <c r="B24" s="15"/>
      <c r="C24" s="16" t="s">
        <v>19</v>
      </c>
      <c r="D24" s="15"/>
      <c r="E24" s="15"/>
      <c r="F24" s="22">
        <v>0</v>
      </c>
      <c r="G24" s="19">
        <v>0</v>
      </c>
      <c r="H24" s="17" t="s">
        <v>12</v>
      </c>
    </row>
    <row r="25" spans="1:8" x14ac:dyDescent="0.2">
      <c r="A25" s="15"/>
      <c r="B25" s="15"/>
      <c r="C25" s="20"/>
      <c r="D25" s="15"/>
      <c r="E25" s="15"/>
      <c r="F25" s="21"/>
      <c r="G25" s="21"/>
      <c r="H25" s="17" t="s">
        <v>12</v>
      </c>
    </row>
    <row r="26" spans="1:8" x14ac:dyDescent="0.2">
      <c r="A26" s="15"/>
      <c r="B26" s="15"/>
      <c r="C26" s="16" t="s">
        <v>20</v>
      </c>
      <c r="D26" s="15"/>
      <c r="E26" s="15"/>
      <c r="F26" s="21"/>
      <c r="G26" s="21"/>
      <c r="H26" s="17" t="s">
        <v>12</v>
      </c>
    </row>
    <row r="27" spans="1:8" x14ac:dyDescent="0.2">
      <c r="A27" s="15"/>
      <c r="B27" s="15"/>
      <c r="C27" s="16" t="s">
        <v>10</v>
      </c>
      <c r="D27" s="15"/>
      <c r="E27" s="15"/>
      <c r="F27" s="21"/>
      <c r="G27" s="21"/>
      <c r="H27" s="17" t="s">
        <v>12</v>
      </c>
    </row>
    <row r="28" spans="1:8" x14ac:dyDescent="0.2">
      <c r="A28" s="23">
        <v>1</v>
      </c>
      <c r="B28" s="24" t="s">
        <v>239</v>
      </c>
      <c r="C28" s="24" t="s">
        <v>240</v>
      </c>
      <c r="D28" s="24" t="s">
        <v>236</v>
      </c>
      <c r="E28" s="25">
        <v>200</v>
      </c>
      <c r="F28" s="26">
        <v>200.6944</v>
      </c>
      <c r="G28" s="27">
        <v>4.6914190000000001E-2</v>
      </c>
      <c r="H28" s="17">
        <v>8.125</v>
      </c>
    </row>
    <row r="29" spans="1:8" x14ac:dyDescent="0.2">
      <c r="A29" s="23">
        <v>2</v>
      </c>
      <c r="B29" s="24" t="s">
        <v>263</v>
      </c>
      <c r="C29" s="24" t="s">
        <v>264</v>
      </c>
      <c r="D29" s="24" t="s">
        <v>236</v>
      </c>
      <c r="E29" s="25">
        <v>150</v>
      </c>
      <c r="F29" s="26">
        <v>150.20775</v>
      </c>
      <c r="G29" s="27">
        <v>3.5112459999999998E-2</v>
      </c>
      <c r="H29" s="17">
        <v>8.5731000000000002</v>
      </c>
    </row>
    <row r="30" spans="1:8" x14ac:dyDescent="0.2">
      <c r="A30" s="23">
        <v>3</v>
      </c>
      <c r="B30" s="24" t="s">
        <v>231</v>
      </c>
      <c r="C30" s="24" t="s">
        <v>232</v>
      </c>
      <c r="D30" s="24" t="s">
        <v>233</v>
      </c>
      <c r="E30" s="25">
        <v>100</v>
      </c>
      <c r="F30" s="26">
        <v>100.6266</v>
      </c>
      <c r="G30" s="27">
        <v>2.3522410000000001E-2</v>
      </c>
      <c r="H30" s="17">
        <v>7.8867000000000003</v>
      </c>
    </row>
    <row r="31" spans="1:8" x14ac:dyDescent="0.2">
      <c r="A31" s="23">
        <v>4</v>
      </c>
      <c r="B31" s="24" t="s">
        <v>252</v>
      </c>
      <c r="C31" s="24" t="s">
        <v>253</v>
      </c>
      <c r="D31" s="24" t="s">
        <v>236</v>
      </c>
      <c r="E31" s="25">
        <v>100</v>
      </c>
      <c r="F31" s="26">
        <v>100.4841</v>
      </c>
      <c r="G31" s="27">
        <v>2.3489099999999999E-2</v>
      </c>
      <c r="H31" s="17">
        <v>7.9238</v>
      </c>
    </row>
    <row r="32" spans="1:8" x14ac:dyDescent="0.2">
      <c r="A32" s="23">
        <v>5</v>
      </c>
      <c r="B32" s="24" t="s">
        <v>254</v>
      </c>
      <c r="C32" s="24" t="s">
        <v>255</v>
      </c>
      <c r="D32" s="24" t="s">
        <v>36</v>
      </c>
      <c r="E32" s="25">
        <v>100</v>
      </c>
      <c r="F32" s="26">
        <v>100.36199999999999</v>
      </c>
      <c r="G32" s="27">
        <v>2.346055E-2</v>
      </c>
      <c r="H32" s="17">
        <v>7.8734000000000002</v>
      </c>
    </row>
    <row r="33" spans="1:8" x14ac:dyDescent="0.2">
      <c r="A33" s="15"/>
      <c r="B33" s="15"/>
      <c r="C33" s="16" t="s">
        <v>11</v>
      </c>
      <c r="D33" s="15"/>
      <c r="E33" s="15" t="s">
        <v>12</v>
      </c>
      <c r="F33" s="22">
        <v>652.37485000000004</v>
      </c>
      <c r="G33" s="19">
        <v>0.15249871000000001</v>
      </c>
      <c r="H33" s="17" t="s">
        <v>12</v>
      </c>
    </row>
    <row r="34" spans="1:8" x14ac:dyDescent="0.2">
      <c r="A34" s="15"/>
      <c r="B34" s="15"/>
      <c r="C34" s="20"/>
      <c r="D34" s="15"/>
      <c r="E34" s="15"/>
      <c r="F34" s="21"/>
      <c r="G34" s="21"/>
      <c r="H34" s="17" t="s">
        <v>12</v>
      </c>
    </row>
    <row r="35" spans="1:8" x14ac:dyDescent="0.2">
      <c r="A35" s="15"/>
      <c r="B35" s="15"/>
      <c r="C35" s="16" t="s">
        <v>71</v>
      </c>
      <c r="D35" s="15"/>
      <c r="E35" s="15"/>
      <c r="F35" s="15"/>
      <c r="G35" s="15"/>
      <c r="H35" s="17" t="s">
        <v>12</v>
      </c>
    </row>
    <row r="36" spans="1:8" x14ac:dyDescent="0.2">
      <c r="A36" s="15"/>
      <c r="B36" s="15"/>
      <c r="C36" s="16" t="s">
        <v>11</v>
      </c>
      <c r="D36" s="15"/>
      <c r="E36" s="15" t="s">
        <v>12</v>
      </c>
      <c r="F36" s="18" t="s">
        <v>13</v>
      </c>
      <c r="G36" s="19">
        <v>0</v>
      </c>
      <c r="H36" s="17" t="s">
        <v>12</v>
      </c>
    </row>
    <row r="37" spans="1:8" x14ac:dyDescent="0.2">
      <c r="A37" s="15"/>
      <c r="B37" s="15"/>
      <c r="C37" s="20"/>
      <c r="D37" s="15"/>
      <c r="E37" s="15"/>
      <c r="F37" s="21"/>
      <c r="G37" s="21"/>
      <c r="H37" s="17" t="s">
        <v>12</v>
      </c>
    </row>
    <row r="38" spans="1:8" x14ac:dyDescent="0.2">
      <c r="A38" s="15"/>
      <c r="B38" s="15"/>
      <c r="C38" s="16" t="s">
        <v>72</v>
      </c>
      <c r="D38" s="15"/>
      <c r="E38" s="15"/>
      <c r="F38" s="15"/>
      <c r="G38" s="15"/>
      <c r="H38" s="17" t="s">
        <v>12</v>
      </c>
    </row>
    <row r="39" spans="1:8" ht="25.5" x14ac:dyDescent="0.2">
      <c r="A39" s="23">
        <v>1</v>
      </c>
      <c r="B39" s="24" t="s">
        <v>73</v>
      </c>
      <c r="C39" s="24" t="s">
        <v>74</v>
      </c>
      <c r="D39" s="24" t="s">
        <v>75</v>
      </c>
      <c r="E39" s="25">
        <v>1500000</v>
      </c>
      <c r="F39" s="26">
        <v>1548.9090000000001</v>
      </c>
      <c r="G39" s="27">
        <v>0.36207193999999998</v>
      </c>
      <c r="H39" s="17">
        <v>6.7217000000000002</v>
      </c>
    </row>
    <row r="40" spans="1:8" ht="25.5" x14ac:dyDescent="0.2">
      <c r="A40" s="23">
        <v>2</v>
      </c>
      <c r="B40" s="24" t="s">
        <v>460</v>
      </c>
      <c r="C40" s="24" t="s">
        <v>461</v>
      </c>
      <c r="D40" s="24" t="s">
        <v>75</v>
      </c>
      <c r="E40" s="25">
        <v>1000000</v>
      </c>
      <c r="F40" s="26">
        <v>989.15599999999995</v>
      </c>
      <c r="G40" s="27">
        <v>0.23122445</v>
      </c>
      <c r="H40" s="17">
        <v>6.5515999999999996</v>
      </c>
    </row>
    <row r="41" spans="1:8" x14ac:dyDescent="0.2">
      <c r="A41" s="23">
        <v>3</v>
      </c>
      <c r="B41" s="24" t="s">
        <v>86</v>
      </c>
      <c r="C41" s="24" t="s">
        <v>87</v>
      </c>
      <c r="D41" s="24" t="s">
        <v>75</v>
      </c>
      <c r="E41" s="25">
        <v>500000</v>
      </c>
      <c r="F41" s="26">
        <v>514.55349999999999</v>
      </c>
      <c r="G41" s="27">
        <v>0.12028168</v>
      </c>
      <c r="H41" s="17">
        <v>6.5419999999999998</v>
      </c>
    </row>
    <row r="42" spans="1:8" ht="25.5" x14ac:dyDescent="0.2">
      <c r="A42" s="23">
        <v>4</v>
      </c>
      <c r="B42" s="24" t="s">
        <v>426</v>
      </c>
      <c r="C42" s="24" t="s">
        <v>427</v>
      </c>
      <c r="D42" s="24" t="s">
        <v>75</v>
      </c>
      <c r="E42" s="25">
        <v>230000</v>
      </c>
      <c r="F42" s="26">
        <v>237.41727</v>
      </c>
      <c r="G42" s="27">
        <v>5.5498499999999999E-2</v>
      </c>
      <c r="H42" s="17">
        <v>7.0704000000000002</v>
      </c>
    </row>
    <row r="43" spans="1:8" ht="25.5" x14ac:dyDescent="0.2">
      <c r="A43" s="23">
        <v>5</v>
      </c>
      <c r="B43" s="24" t="s">
        <v>265</v>
      </c>
      <c r="C43" s="24" t="s">
        <v>266</v>
      </c>
      <c r="D43" s="24" t="s">
        <v>75</v>
      </c>
      <c r="E43" s="25">
        <v>100000</v>
      </c>
      <c r="F43" s="26">
        <v>102.10809999999999</v>
      </c>
      <c r="G43" s="27">
        <v>2.386872E-2</v>
      </c>
      <c r="H43" s="17">
        <v>6.5580999999999996</v>
      </c>
    </row>
    <row r="44" spans="1:8" x14ac:dyDescent="0.2">
      <c r="A44" s="15"/>
      <c r="B44" s="15"/>
      <c r="C44" s="16" t="s">
        <v>11</v>
      </c>
      <c r="D44" s="15"/>
      <c r="E44" s="15" t="s">
        <v>12</v>
      </c>
      <c r="F44" s="22">
        <v>3392.1438699999999</v>
      </c>
      <c r="G44" s="19">
        <v>0.79294529000000002</v>
      </c>
      <c r="H44" s="17" t="s">
        <v>12</v>
      </c>
    </row>
    <row r="45" spans="1:8" x14ac:dyDescent="0.2">
      <c r="A45" s="15"/>
      <c r="B45" s="15"/>
      <c r="C45" s="20"/>
      <c r="D45" s="15"/>
      <c r="E45" s="15"/>
      <c r="F45" s="21"/>
      <c r="G45" s="21"/>
      <c r="H45" s="17" t="s">
        <v>12</v>
      </c>
    </row>
    <row r="46" spans="1:8" x14ac:dyDescent="0.2">
      <c r="A46" s="15"/>
      <c r="B46" s="15"/>
      <c r="C46" s="16" t="s">
        <v>88</v>
      </c>
      <c r="D46" s="15"/>
      <c r="E46" s="15"/>
      <c r="F46" s="21"/>
      <c r="G46" s="21"/>
      <c r="H46" s="17" t="s">
        <v>12</v>
      </c>
    </row>
    <row r="47" spans="1:8" x14ac:dyDescent="0.2">
      <c r="A47" s="15"/>
      <c r="B47" s="15"/>
      <c r="C47" s="16" t="s">
        <v>11</v>
      </c>
      <c r="D47" s="15"/>
      <c r="E47" s="15" t="s">
        <v>12</v>
      </c>
      <c r="F47" s="18" t="s">
        <v>13</v>
      </c>
      <c r="G47" s="19">
        <v>0</v>
      </c>
      <c r="H47" s="17" t="s">
        <v>12</v>
      </c>
    </row>
    <row r="48" spans="1:8" x14ac:dyDescent="0.2">
      <c r="A48" s="15"/>
      <c r="B48" s="15"/>
      <c r="C48" s="20"/>
      <c r="D48" s="15"/>
      <c r="E48" s="15"/>
      <c r="F48" s="21"/>
      <c r="G48" s="21"/>
      <c r="H48" s="17" t="s">
        <v>12</v>
      </c>
    </row>
    <row r="49" spans="1:8" x14ac:dyDescent="0.2">
      <c r="A49" s="15"/>
      <c r="B49" s="15"/>
      <c r="C49" s="16" t="s">
        <v>89</v>
      </c>
      <c r="D49" s="15"/>
      <c r="E49" s="15"/>
      <c r="F49" s="22">
        <v>4044.51872</v>
      </c>
      <c r="G49" s="19">
        <v>0.94544399999999995</v>
      </c>
      <c r="H49" s="17" t="s">
        <v>12</v>
      </c>
    </row>
    <row r="50" spans="1:8" x14ac:dyDescent="0.2">
      <c r="A50" s="15"/>
      <c r="B50" s="15"/>
      <c r="C50" s="20"/>
      <c r="D50" s="15"/>
      <c r="E50" s="15"/>
      <c r="F50" s="21"/>
      <c r="G50" s="21"/>
      <c r="H50" s="17" t="s">
        <v>12</v>
      </c>
    </row>
    <row r="51" spans="1:8" x14ac:dyDescent="0.2">
      <c r="A51" s="15"/>
      <c r="B51" s="15"/>
      <c r="C51" s="16" t="s">
        <v>90</v>
      </c>
      <c r="D51" s="15"/>
      <c r="E51" s="15"/>
      <c r="F51" s="21"/>
      <c r="G51" s="21"/>
      <c r="H51" s="17" t="s">
        <v>12</v>
      </c>
    </row>
    <row r="52" spans="1:8" x14ac:dyDescent="0.2">
      <c r="A52" s="15"/>
      <c r="B52" s="15"/>
      <c r="C52" s="16" t="s">
        <v>91</v>
      </c>
      <c r="D52" s="15"/>
      <c r="E52" s="15"/>
      <c r="F52" s="21"/>
      <c r="G52" s="21"/>
      <c r="H52" s="17" t="s">
        <v>12</v>
      </c>
    </row>
    <row r="53" spans="1:8" x14ac:dyDescent="0.2">
      <c r="A53" s="15"/>
      <c r="B53" s="15"/>
      <c r="C53" s="16" t="s">
        <v>11</v>
      </c>
      <c r="D53" s="15"/>
      <c r="E53" s="15" t="s">
        <v>12</v>
      </c>
      <c r="F53" s="18" t="s">
        <v>13</v>
      </c>
      <c r="G53" s="19">
        <v>0</v>
      </c>
      <c r="H53" s="17" t="s">
        <v>12</v>
      </c>
    </row>
    <row r="54" spans="1:8" x14ac:dyDescent="0.2">
      <c r="A54" s="15"/>
      <c r="B54" s="15"/>
      <c r="C54" s="20"/>
      <c r="D54" s="15"/>
      <c r="E54" s="15"/>
      <c r="F54" s="21"/>
      <c r="G54" s="21"/>
      <c r="H54" s="17" t="s">
        <v>12</v>
      </c>
    </row>
    <row r="55" spans="1:8" x14ac:dyDescent="0.2">
      <c r="A55" s="15"/>
      <c r="B55" s="15"/>
      <c r="C55" s="16" t="s">
        <v>92</v>
      </c>
      <c r="D55" s="15"/>
      <c r="E55" s="15"/>
      <c r="F55" s="21"/>
      <c r="G55" s="21"/>
      <c r="H55" s="17" t="s">
        <v>12</v>
      </c>
    </row>
    <row r="56" spans="1:8" x14ac:dyDescent="0.2">
      <c r="A56" s="15"/>
      <c r="B56" s="15"/>
      <c r="C56" s="16" t="s">
        <v>11</v>
      </c>
      <c r="D56" s="15"/>
      <c r="E56" s="15" t="s">
        <v>12</v>
      </c>
      <c r="F56" s="18" t="s">
        <v>13</v>
      </c>
      <c r="G56" s="19">
        <v>0</v>
      </c>
      <c r="H56" s="17" t="s">
        <v>12</v>
      </c>
    </row>
    <row r="57" spans="1:8" x14ac:dyDescent="0.2">
      <c r="A57" s="15"/>
      <c r="B57" s="15"/>
      <c r="C57" s="20"/>
      <c r="D57" s="15"/>
      <c r="E57" s="15"/>
      <c r="F57" s="21"/>
      <c r="G57" s="21"/>
      <c r="H57" s="17" t="s">
        <v>12</v>
      </c>
    </row>
    <row r="58" spans="1:8" x14ac:dyDescent="0.2">
      <c r="A58" s="15"/>
      <c r="B58" s="15"/>
      <c r="C58" s="16" t="s">
        <v>93</v>
      </c>
      <c r="D58" s="15"/>
      <c r="E58" s="15"/>
      <c r="F58" s="21"/>
      <c r="G58" s="21"/>
      <c r="H58" s="17" t="s">
        <v>12</v>
      </c>
    </row>
    <row r="59" spans="1:8" x14ac:dyDescent="0.2">
      <c r="A59" s="15"/>
      <c r="B59" s="15"/>
      <c r="C59" s="16" t="s">
        <v>11</v>
      </c>
      <c r="D59" s="15"/>
      <c r="E59" s="15" t="s">
        <v>12</v>
      </c>
      <c r="F59" s="18" t="s">
        <v>13</v>
      </c>
      <c r="G59" s="19">
        <v>0</v>
      </c>
      <c r="H59" s="17" t="s">
        <v>12</v>
      </c>
    </row>
    <row r="60" spans="1:8" x14ac:dyDescent="0.2">
      <c r="A60" s="15"/>
      <c r="B60" s="15"/>
      <c r="C60" s="20"/>
      <c r="D60" s="15"/>
      <c r="E60" s="15"/>
      <c r="F60" s="21"/>
      <c r="G60" s="21"/>
      <c r="H60" s="17" t="s">
        <v>12</v>
      </c>
    </row>
    <row r="61" spans="1:8" x14ac:dyDescent="0.2">
      <c r="A61" s="15"/>
      <c r="B61" s="15"/>
      <c r="C61" s="16" t="s">
        <v>94</v>
      </c>
      <c r="D61" s="15"/>
      <c r="E61" s="15"/>
      <c r="F61" s="21"/>
      <c r="G61" s="21"/>
      <c r="H61" s="17" t="s">
        <v>12</v>
      </c>
    </row>
    <row r="62" spans="1:8" x14ac:dyDescent="0.2">
      <c r="A62" s="23">
        <v>1</v>
      </c>
      <c r="B62" s="24"/>
      <c r="C62" s="24" t="s">
        <v>95</v>
      </c>
      <c r="D62" s="24"/>
      <c r="E62" s="28"/>
      <c r="F62" s="26">
        <v>116.6583428</v>
      </c>
      <c r="G62" s="27">
        <v>2.7269979999999999E-2</v>
      </c>
      <c r="H62" s="17">
        <v>6.76</v>
      </c>
    </row>
    <row r="63" spans="1:8" x14ac:dyDescent="0.2">
      <c r="A63" s="15"/>
      <c r="B63" s="15"/>
      <c r="C63" s="16" t="s">
        <v>11</v>
      </c>
      <c r="D63" s="15"/>
      <c r="E63" s="15" t="s">
        <v>12</v>
      </c>
      <c r="F63" s="22">
        <v>116.6583428</v>
      </c>
      <c r="G63" s="19">
        <v>2.7269979999999999E-2</v>
      </c>
      <c r="H63" s="17" t="s">
        <v>12</v>
      </c>
    </row>
    <row r="64" spans="1:8" x14ac:dyDescent="0.2">
      <c r="A64" s="15"/>
      <c r="B64" s="15"/>
      <c r="C64" s="20"/>
      <c r="D64" s="15"/>
      <c r="E64" s="15"/>
      <c r="F64" s="21"/>
      <c r="G64" s="21"/>
      <c r="H64" s="17" t="s">
        <v>12</v>
      </c>
    </row>
    <row r="65" spans="1:17" x14ac:dyDescent="0.2">
      <c r="A65" s="15"/>
      <c r="B65" s="15"/>
      <c r="C65" s="16" t="s">
        <v>96</v>
      </c>
      <c r="D65" s="15"/>
      <c r="E65" s="15"/>
      <c r="F65" s="22">
        <v>116.6583428</v>
      </c>
      <c r="G65" s="19">
        <v>2.7269979999999999E-2</v>
      </c>
      <c r="H65" s="17" t="s">
        <v>12</v>
      </c>
    </row>
    <row r="66" spans="1:17" x14ac:dyDescent="0.2">
      <c r="A66" s="15"/>
      <c r="B66" s="15"/>
      <c r="C66" s="21"/>
      <c r="D66" s="15"/>
      <c r="E66" s="15"/>
      <c r="F66" s="15"/>
      <c r="G66" s="15"/>
      <c r="H66" s="17" t="s">
        <v>12</v>
      </c>
    </row>
    <row r="67" spans="1:17" x14ac:dyDescent="0.2">
      <c r="A67" s="15"/>
      <c r="B67" s="15"/>
      <c r="C67" s="16" t="s">
        <v>97</v>
      </c>
      <c r="D67" s="15"/>
      <c r="E67" s="15"/>
      <c r="F67" s="15"/>
      <c r="G67" s="15"/>
      <c r="H67" s="17" t="s">
        <v>12</v>
      </c>
    </row>
    <row r="68" spans="1:17" x14ac:dyDescent="0.2">
      <c r="A68" s="15"/>
      <c r="B68" s="15"/>
      <c r="C68" s="16" t="s">
        <v>98</v>
      </c>
      <c r="D68" s="15"/>
      <c r="E68" s="15"/>
      <c r="F68" s="15"/>
      <c r="G68" s="15"/>
      <c r="H68" s="17" t="s">
        <v>12</v>
      </c>
    </row>
    <row r="69" spans="1:17" x14ac:dyDescent="0.2">
      <c r="A69" s="15"/>
      <c r="B69" s="15"/>
      <c r="C69" s="16" t="s">
        <v>11</v>
      </c>
      <c r="D69" s="15"/>
      <c r="E69" s="15" t="s">
        <v>12</v>
      </c>
      <c r="F69" s="18" t="s">
        <v>13</v>
      </c>
      <c r="G69" s="19">
        <v>0</v>
      </c>
      <c r="H69" s="17" t="s">
        <v>12</v>
      </c>
    </row>
    <row r="70" spans="1:17" x14ac:dyDescent="0.2">
      <c r="A70" s="74"/>
      <c r="B70" s="74"/>
      <c r="C70" s="75"/>
      <c r="D70" s="74"/>
      <c r="E70" s="74"/>
      <c r="F70" s="76"/>
      <c r="G70" s="76"/>
      <c r="H70" s="72" t="s">
        <v>12</v>
      </c>
    </row>
    <row r="71" spans="1:17" x14ac:dyDescent="0.2">
      <c r="A71" s="74"/>
      <c r="B71" s="74"/>
      <c r="C71" s="51" t="s">
        <v>546</v>
      </c>
      <c r="D71" s="74"/>
      <c r="E71" s="74"/>
      <c r="F71" s="76"/>
      <c r="G71" s="76"/>
      <c r="H71" s="70"/>
      <c r="K71" s="53"/>
      <c r="L71" s="53"/>
      <c r="M71" s="53"/>
      <c r="N71" s="53"/>
      <c r="O71" s="77"/>
      <c r="P71" s="77"/>
      <c r="Q71" s="77"/>
    </row>
    <row r="72" spans="1:17" ht="25.5" x14ac:dyDescent="0.2">
      <c r="A72" s="67">
        <v>1</v>
      </c>
      <c r="B72" s="68" t="s">
        <v>99</v>
      </c>
      <c r="C72" s="68" t="s">
        <v>100</v>
      </c>
      <c r="D72" s="68"/>
      <c r="E72" s="78">
        <v>112.994</v>
      </c>
      <c r="F72" s="70">
        <v>12.468471064999999</v>
      </c>
      <c r="G72" s="71">
        <v>2.9146200000000001E-3</v>
      </c>
      <c r="H72" s="72"/>
    </row>
    <row r="73" spans="1:17" x14ac:dyDescent="0.2">
      <c r="A73" s="74"/>
      <c r="B73" s="74"/>
      <c r="C73" s="51" t="s">
        <v>11</v>
      </c>
      <c r="D73" s="74"/>
      <c r="E73" s="74" t="s">
        <v>12</v>
      </c>
      <c r="F73" s="79">
        <f>SUM(F72)</f>
        <v>12.468471064999999</v>
      </c>
      <c r="G73" s="80">
        <f>SUM(G72)</f>
        <v>2.9146200000000001E-3</v>
      </c>
      <c r="H73" s="72" t="s">
        <v>12</v>
      </c>
    </row>
    <row r="74" spans="1:17" x14ac:dyDescent="0.2">
      <c r="A74" s="15"/>
      <c r="B74" s="15"/>
      <c r="C74" s="20"/>
      <c r="D74" s="15"/>
      <c r="E74" s="15"/>
      <c r="F74" s="21"/>
      <c r="G74" s="21"/>
      <c r="H74" s="17" t="s">
        <v>12</v>
      </c>
    </row>
    <row r="75" spans="1:17" x14ac:dyDescent="0.2">
      <c r="A75" s="15"/>
      <c r="B75" s="15"/>
      <c r="C75" s="16" t="s">
        <v>101</v>
      </c>
      <c r="D75" s="15"/>
      <c r="E75" s="15"/>
      <c r="F75" s="15"/>
      <c r="G75" s="15"/>
      <c r="H75" s="17" t="s">
        <v>12</v>
      </c>
    </row>
    <row r="76" spans="1:17" x14ac:dyDescent="0.2">
      <c r="A76" s="15"/>
      <c r="B76" s="15"/>
      <c r="C76" s="16" t="s">
        <v>102</v>
      </c>
      <c r="D76" s="15"/>
      <c r="E76" s="15"/>
      <c r="F76" s="15"/>
      <c r="G76" s="15"/>
      <c r="H76" s="17" t="s">
        <v>12</v>
      </c>
    </row>
    <row r="77" spans="1:17" x14ac:dyDescent="0.2">
      <c r="A77" s="15"/>
      <c r="B77" s="15"/>
      <c r="C77" s="16" t="s">
        <v>11</v>
      </c>
      <c r="D77" s="15"/>
      <c r="E77" s="15" t="s">
        <v>12</v>
      </c>
      <c r="F77" s="18" t="s">
        <v>13</v>
      </c>
      <c r="G77" s="19">
        <v>0</v>
      </c>
      <c r="H77" s="17" t="s">
        <v>12</v>
      </c>
    </row>
    <row r="78" spans="1:17" x14ac:dyDescent="0.2">
      <c r="A78" s="15"/>
      <c r="B78" s="15"/>
      <c r="C78" s="20"/>
      <c r="D78" s="15"/>
      <c r="E78" s="15"/>
      <c r="F78" s="21"/>
      <c r="G78" s="21"/>
      <c r="H78" s="17" t="s">
        <v>12</v>
      </c>
    </row>
    <row r="79" spans="1:17" x14ac:dyDescent="0.2">
      <c r="A79" s="15"/>
      <c r="B79" s="15"/>
      <c r="C79" s="16" t="s">
        <v>103</v>
      </c>
      <c r="D79" s="15"/>
      <c r="E79" s="15"/>
      <c r="F79" s="21"/>
      <c r="G79" s="21"/>
      <c r="H79" s="17" t="s">
        <v>12</v>
      </c>
    </row>
    <row r="80" spans="1:17" x14ac:dyDescent="0.2">
      <c r="A80" s="15"/>
      <c r="B80" s="15"/>
      <c r="C80" s="16" t="s">
        <v>11</v>
      </c>
      <c r="D80" s="15"/>
      <c r="E80" s="15" t="s">
        <v>12</v>
      </c>
      <c r="F80" s="18" t="s">
        <v>13</v>
      </c>
      <c r="G80" s="19">
        <v>0</v>
      </c>
      <c r="H80" s="17" t="s">
        <v>12</v>
      </c>
    </row>
    <row r="81" spans="1:8" x14ac:dyDescent="0.2">
      <c r="A81" s="15"/>
      <c r="B81" s="15"/>
      <c r="C81" s="20"/>
      <c r="D81" s="15"/>
      <c r="E81" s="15"/>
      <c r="F81" s="21"/>
      <c r="G81" s="21"/>
      <c r="H81" s="17" t="s">
        <v>12</v>
      </c>
    </row>
    <row r="82" spans="1:8" x14ac:dyDescent="0.2">
      <c r="A82" s="28"/>
      <c r="B82" s="24"/>
      <c r="C82" s="24" t="s">
        <v>104</v>
      </c>
      <c r="D82" s="24"/>
      <c r="E82" s="28"/>
      <c r="F82" s="26">
        <f>104.25851296+0.000560925000309944</f>
        <v>104.25907388500032</v>
      </c>
      <c r="G82" s="27">
        <v>2.4371400000000001E-2</v>
      </c>
      <c r="H82" s="17" t="s">
        <v>12</v>
      </c>
    </row>
    <row r="83" spans="1:8" x14ac:dyDescent="0.2">
      <c r="A83" s="20"/>
      <c r="B83" s="20"/>
      <c r="C83" s="16" t="s">
        <v>105</v>
      </c>
      <c r="D83" s="21"/>
      <c r="E83" s="21"/>
      <c r="F83" s="22">
        <f>4277.904046825+0.000560925000309944</f>
        <v>4277.9046077499997</v>
      </c>
      <c r="G83" s="29">
        <v>1</v>
      </c>
      <c r="H83" s="17" t="s">
        <v>12</v>
      </c>
    </row>
    <row r="84" spans="1:8" x14ac:dyDescent="0.2">
      <c r="A84" s="30"/>
      <c r="B84" s="30"/>
      <c r="C84" s="30"/>
      <c r="D84" s="31"/>
      <c r="E84" s="31"/>
      <c r="F84" s="31"/>
      <c r="G84" s="31"/>
    </row>
    <row r="85" spans="1:8" x14ac:dyDescent="0.2">
      <c r="A85" s="32"/>
      <c r="B85" s="165" t="s">
        <v>547</v>
      </c>
      <c r="C85" s="165"/>
      <c r="D85" s="165"/>
      <c r="E85" s="165"/>
      <c r="F85" s="165"/>
      <c r="G85" s="165"/>
      <c r="H85" s="165"/>
    </row>
    <row r="86" spans="1:8" x14ac:dyDescent="0.2">
      <c r="A86" s="32"/>
      <c r="B86" s="165" t="s">
        <v>548</v>
      </c>
      <c r="C86" s="165"/>
      <c r="D86" s="165"/>
      <c r="E86" s="165"/>
      <c r="F86" s="165"/>
      <c r="G86" s="165"/>
      <c r="H86" s="165"/>
    </row>
    <row r="87" spans="1:8" x14ac:dyDescent="0.2">
      <c r="A87" s="32"/>
      <c r="B87" s="165" t="s">
        <v>549</v>
      </c>
      <c r="C87" s="165"/>
      <c r="D87" s="165"/>
      <c r="E87" s="165"/>
      <c r="F87" s="165"/>
      <c r="G87" s="165"/>
      <c r="H87" s="165"/>
    </row>
    <row r="88" spans="1:8" x14ac:dyDescent="0.2">
      <c r="A88" s="32"/>
      <c r="B88" s="32"/>
      <c r="C88" s="32"/>
      <c r="D88" s="34"/>
      <c r="E88" s="34"/>
      <c r="F88" s="34"/>
      <c r="G88" s="34"/>
    </row>
    <row r="89" spans="1:8" x14ac:dyDescent="0.2">
      <c r="A89" s="35"/>
      <c r="B89" s="158" t="s">
        <v>106</v>
      </c>
      <c r="C89" s="159"/>
      <c r="D89" s="160"/>
      <c r="E89" s="36"/>
      <c r="F89" s="37"/>
      <c r="G89" s="37"/>
    </row>
    <row r="90" spans="1:8" x14ac:dyDescent="0.2">
      <c r="A90" s="35"/>
      <c r="B90" s="161" t="s">
        <v>107</v>
      </c>
      <c r="C90" s="162"/>
      <c r="D90" s="16" t="s">
        <v>108</v>
      </c>
      <c r="E90" s="36"/>
      <c r="F90" s="37"/>
      <c r="G90" s="37"/>
    </row>
    <row r="91" spans="1:8" x14ac:dyDescent="0.2">
      <c r="A91" s="35"/>
      <c r="B91" s="161" t="s">
        <v>109</v>
      </c>
      <c r="C91" s="162"/>
      <c r="D91" s="16" t="s">
        <v>108</v>
      </c>
      <c r="E91" s="36"/>
      <c r="F91" s="37"/>
      <c r="G91" s="37"/>
    </row>
    <row r="92" spans="1:8" x14ac:dyDescent="0.2">
      <c r="A92" s="35"/>
      <c r="B92" s="161" t="s">
        <v>110</v>
      </c>
      <c r="C92" s="162"/>
      <c r="D92" s="21" t="s">
        <v>12</v>
      </c>
      <c r="E92" s="36"/>
      <c r="F92" s="37"/>
      <c r="G92" s="37"/>
    </row>
    <row r="93" spans="1:8" x14ac:dyDescent="0.2">
      <c r="A93" s="38"/>
      <c r="B93" s="39" t="s">
        <v>12</v>
      </c>
      <c r="C93" s="39" t="s">
        <v>550</v>
      </c>
      <c r="D93" s="39" t="s">
        <v>111</v>
      </c>
      <c r="E93" s="38"/>
      <c r="F93" s="38"/>
      <c r="G93" s="38"/>
    </row>
    <row r="94" spans="1:8" x14ac:dyDescent="0.2">
      <c r="A94" s="38"/>
      <c r="B94" s="40" t="s">
        <v>112</v>
      </c>
      <c r="C94" s="41">
        <v>45731</v>
      </c>
      <c r="D94" s="41">
        <v>45747</v>
      </c>
      <c r="E94" s="38"/>
      <c r="F94" s="38"/>
      <c r="G94" s="38"/>
    </row>
    <row r="95" spans="1:8" x14ac:dyDescent="0.2">
      <c r="A95" s="42"/>
      <c r="B95" s="24" t="s">
        <v>113</v>
      </c>
      <c r="C95" s="43">
        <v>74.900199999999998</v>
      </c>
      <c r="D95" s="43">
        <v>75.481999999999999</v>
      </c>
      <c r="E95" s="42"/>
      <c r="F95" s="44"/>
      <c r="G95" s="45"/>
    </row>
    <row r="96" spans="1:8" ht="25.5" x14ac:dyDescent="0.2">
      <c r="A96" s="42"/>
      <c r="B96" s="24" t="s">
        <v>671</v>
      </c>
      <c r="C96" s="43">
        <v>26.7346</v>
      </c>
      <c r="D96" s="43">
        <v>26.942299999999999</v>
      </c>
      <c r="E96" s="42"/>
      <c r="F96" s="44"/>
      <c r="G96" s="45"/>
    </row>
    <row r="97" spans="1:14" ht="25.5" x14ac:dyDescent="0.2">
      <c r="A97" s="42"/>
      <c r="B97" s="24" t="s">
        <v>673</v>
      </c>
      <c r="C97" s="43">
        <v>15.133599999999999</v>
      </c>
      <c r="D97" s="43">
        <v>15.251099999999999</v>
      </c>
      <c r="E97" s="42"/>
      <c r="F97" s="44"/>
      <c r="G97" s="45"/>
    </row>
    <row r="98" spans="1:14" x14ac:dyDescent="0.2">
      <c r="A98" s="42"/>
      <c r="B98" s="24" t="s">
        <v>114</v>
      </c>
      <c r="C98" s="43">
        <v>67.249600000000001</v>
      </c>
      <c r="D98" s="43">
        <v>67.747900000000001</v>
      </c>
      <c r="E98" s="42"/>
      <c r="F98" s="44"/>
      <c r="G98" s="45"/>
    </row>
    <row r="99" spans="1:14" x14ac:dyDescent="0.2">
      <c r="A99" s="42"/>
      <c r="B99" s="24" t="s">
        <v>149</v>
      </c>
      <c r="C99" s="43">
        <v>22.9694</v>
      </c>
      <c r="D99" s="43">
        <v>23.139600000000002</v>
      </c>
      <c r="E99" s="42"/>
      <c r="F99" s="44"/>
      <c r="G99" s="45"/>
    </row>
    <row r="100" spans="1:14" ht="25.5" x14ac:dyDescent="0.2">
      <c r="A100" s="42"/>
      <c r="B100" s="68" t="s">
        <v>646</v>
      </c>
      <c r="C100" s="43">
        <v>13.1769</v>
      </c>
      <c r="D100" s="43">
        <v>13.2745</v>
      </c>
      <c r="E100" s="42"/>
      <c r="F100" s="44"/>
      <c r="G100" s="45"/>
    </row>
    <row r="101" spans="1:14" ht="25.5" x14ac:dyDescent="0.2">
      <c r="A101" s="42"/>
      <c r="B101" s="24" t="s">
        <v>675</v>
      </c>
      <c r="C101" s="43">
        <v>13.622</v>
      </c>
      <c r="D101" s="43">
        <v>13.313700000000001</v>
      </c>
      <c r="E101" s="42"/>
      <c r="F101" s="44"/>
      <c r="G101" s="45"/>
    </row>
    <row r="102" spans="1:14" ht="25.5" x14ac:dyDescent="0.2">
      <c r="A102" s="42"/>
      <c r="B102" s="24" t="s">
        <v>676</v>
      </c>
      <c r="C102" s="43">
        <v>13.361800000000001</v>
      </c>
      <c r="D102" s="43">
        <v>13.460800000000001</v>
      </c>
      <c r="E102" s="42"/>
      <c r="F102" s="44"/>
      <c r="G102" s="45"/>
    </row>
    <row r="103" spans="1:14" x14ac:dyDescent="0.2">
      <c r="A103" s="42"/>
      <c r="B103" s="42"/>
      <c r="C103" s="42"/>
      <c r="D103" s="42"/>
      <c r="E103" s="42"/>
      <c r="F103" s="42"/>
      <c r="G103" s="42"/>
    </row>
    <row r="104" spans="1:14" x14ac:dyDescent="0.2">
      <c r="A104" s="42"/>
      <c r="B104" s="161" t="s">
        <v>563</v>
      </c>
      <c r="C104" s="162"/>
      <c r="D104" s="16" t="s">
        <v>12</v>
      </c>
      <c r="E104" s="42"/>
      <c r="F104" s="42"/>
      <c r="G104" s="42"/>
    </row>
    <row r="105" spans="1:14" x14ac:dyDescent="0.2">
      <c r="A105" s="42"/>
      <c r="B105" s="46" t="s">
        <v>112</v>
      </c>
      <c r="C105" s="47" t="s">
        <v>115</v>
      </c>
      <c r="D105" s="47" t="s">
        <v>116</v>
      </c>
      <c r="E105" s="42"/>
      <c r="F105" s="42"/>
      <c r="G105" s="42"/>
    </row>
    <row r="106" spans="1:14" ht="25.5" x14ac:dyDescent="0.2">
      <c r="A106" s="42"/>
      <c r="B106" s="24" t="s">
        <v>675</v>
      </c>
      <c r="C106" s="48">
        <v>0.40799999999999997</v>
      </c>
      <c r="D106" s="28" t="s">
        <v>117</v>
      </c>
      <c r="E106" s="42"/>
      <c r="F106" s="44"/>
      <c r="G106" s="45"/>
    </row>
    <row r="107" spans="1:14" x14ac:dyDescent="0.2">
      <c r="A107" s="42"/>
      <c r="B107" s="49"/>
      <c r="C107" s="49"/>
      <c r="D107" s="50"/>
      <c r="E107" s="42"/>
      <c r="F107" s="44"/>
      <c r="G107" s="45"/>
    </row>
    <row r="108" spans="1:14" x14ac:dyDescent="0.2">
      <c r="A108" s="38"/>
      <c r="B108" s="94"/>
      <c r="C108" s="94"/>
      <c r="D108" s="95"/>
      <c r="E108" s="38"/>
      <c r="F108" s="33"/>
      <c r="G108" s="96"/>
    </row>
    <row r="109" spans="1:14" s="55" customFormat="1" ht="15" x14ac:dyDescent="0.25">
      <c r="A109" s="96"/>
      <c r="B109" s="163" t="s">
        <v>564</v>
      </c>
      <c r="C109" s="164"/>
      <c r="D109" s="51" t="s">
        <v>108</v>
      </c>
      <c r="E109" s="96"/>
      <c r="F109" s="33"/>
      <c r="G109" s="96"/>
      <c r="I109" s="97"/>
      <c r="J109" s="98"/>
      <c r="K109" s="98"/>
      <c r="L109" s="98"/>
      <c r="M109" s="98"/>
      <c r="N109"/>
    </row>
    <row r="110" spans="1:14" ht="26.25" customHeight="1" x14ac:dyDescent="0.25">
      <c r="A110" s="38"/>
      <c r="B110" s="163" t="s">
        <v>565</v>
      </c>
      <c r="C110" s="164"/>
      <c r="D110" s="51" t="s">
        <v>108</v>
      </c>
      <c r="E110" s="52"/>
      <c r="F110" s="38"/>
      <c r="G110" s="38"/>
      <c r="I110" s="99"/>
    </row>
    <row r="111" spans="1:14" ht="27.75" customHeight="1" x14ac:dyDescent="0.25">
      <c r="A111" s="38"/>
      <c r="B111" s="163" t="s">
        <v>566</v>
      </c>
      <c r="C111" s="164"/>
      <c r="D111" s="51" t="s">
        <v>108</v>
      </c>
      <c r="E111" s="52"/>
      <c r="F111" s="38"/>
      <c r="G111" s="38"/>
      <c r="I111" s="100"/>
    </row>
    <row r="112" spans="1:14" x14ac:dyDescent="0.2">
      <c r="A112" s="38"/>
      <c r="B112" s="163" t="s">
        <v>567</v>
      </c>
      <c r="C112" s="164"/>
      <c r="D112" s="51" t="s">
        <v>108</v>
      </c>
      <c r="E112" s="52"/>
      <c r="F112" s="38"/>
      <c r="G112" s="38"/>
    </row>
    <row r="113" spans="1:14" x14ac:dyDescent="0.2">
      <c r="A113" s="54"/>
      <c r="B113" s="54"/>
      <c r="C113" s="54"/>
      <c r="D113" s="54"/>
      <c r="E113" s="54"/>
      <c r="F113" s="54"/>
      <c r="G113" s="54"/>
    </row>
    <row r="114" spans="1:14" s="55" customFormat="1" ht="15" x14ac:dyDescent="0.25">
      <c r="B114" s="216" t="s">
        <v>678</v>
      </c>
      <c r="C114" s="217"/>
      <c r="D114" s="217"/>
      <c r="E114" s="217"/>
      <c r="F114" s="217"/>
      <c r="G114" s="218"/>
      <c r="I114"/>
      <c r="J114" s="98"/>
      <c r="K114" s="98"/>
      <c r="L114" s="98"/>
      <c r="M114" s="98"/>
      <c r="N114"/>
    </row>
    <row r="115" spans="1:14" s="55" customFormat="1" ht="45" customHeight="1" x14ac:dyDescent="0.25">
      <c r="B115" s="101" t="s">
        <v>573</v>
      </c>
      <c r="C115" s="101" t="s">
        <v>574</v>
      </c>
      <c r="D115" s="219" t="s">
        <v>575</v>
      </c>
      <c r="E115" s="220"/>
      <c r="F115" s="221" t="s">
        <v>576</v>
      </c>
      <c r="G115" s="221"/>
      <c r="H115" s="102"/>
      <c r="I115"/>
      <c r="J115" s="98"/>
      <c r="K115" s="98"/>
      <c r="L115" s="98"/>
      <c r="M115" s="98"/>
      <c r="N115"/>
    </row>
    <row r="116" spans="1:14" s="55" customFormat="1" ht="25.5" x14ac:dyDescent="0.25">
      <c r="B116" s="103" t="s">
        <v>647</v>
      </c>
      <c r="C116" s="104" t="s">
        <v>648</v>
      </c>
      <c r="D116" s="222">
        <v>0</v>
      </c>
      <c r="E116" s="223"/>
      <c r="F116" s="222">
        <v>0</v>
      </c>
      <c r="G116" s="223"/>
      <c r="H116" s="105"/>
      <c r="I116"/>
      <c r="J116" s="98"/>
      <c r="K116" s="98"/>
      <c r="L116" s="98"/>
      <c r="M116" s="98"/>
      <c r="N116"/>
    </row>
    <row r="117" spans="1:14" s="55" customFormat="1" ht="15" x14ac:dyDescent="0.25">
      <c r="B117" s="224" t="s">
        <v>649</v>
      </c>
      <c r="C117" s="225"/>
      <c r="D117" s="225"/>
      <c r="E117" s="225"/>
      <c r="F117" s="225"/>
      <c r="G117" s="226"/>
      <c r="H117" s="105"/>
      <c r="I117"/>
      <c r="J117" s="100"/>
      <c r="K117" s="100"/>
      <c r="L117" s="100"/>
      <c r="M117" s="98"/>
      <c r="N117"/>
    </row>
    <row r="118" spans="1:14" s="55" customFormat="1" ht="15" x14ac:dyDescent="0.25">
      <c r="B118" s="221" t="s">
        <v>573</v>
      </c>
      <c r="C118" s="221" t="s">
        <v>574</v>
      </c>
      <c r="D118" s="224" t="s">
        <v>615</v>
      </c>
      <c r="E118" s="225"/>
      <c r="F118" s="226"/>
      <c r="G118" s="103"/>
      <c r="H118" s="105"/>
      <c r="I118"/>
      <c r="J118" s="100"/>
      <c r="K118" s="100"/>
      <c r="L118" s="100"/>
      <c r="M118" s="98"/>
      <c r="N118"/>
    </row>
    <row r="119" spans="1:14" s="55" customFormat="1" ht="76.5" x14ac:dyDescent="0.25">
      <c r="B119" s="221"/>
      <c r="C119" s="221"/>
      <c r="D119" s="106" t="s">
        <v>619</v>
      </c>
      <c r="E119" s="106" t="s">
        <v>650</v>
      </c>
      <c r="F119" s="106" t="s">
        <v>651</v>
      </c>
      <c r="G119" s="106" t="s">
        <v>680</v>
      </c>
      <c r="H119" s="107"/>
      <c r="I119"/>
      <c r="J119" s="100"/>
      <c r="K119" s="100"/>
      <c r="L119" s="100"/>
      <c r="M119" s="98"/>
      <c r="N119"/>
    </row>
    <row r="120" spans="1:14" s="55" customFormat="1" ht="25.5" x14ac:dyDescent="0.2">
      <c r="B120" s="108" t="s">
        <v>647</v>
      </c>
      <c r="C120" s="104" t="s">
        <v>648</v>
      </c>
      <c r="D120" s="109">
        <v>200</v>
      </c>
      <c r="E120" s="109">
        <v>6.8852450999999997</v>
      </c>
      <c r="F120" s="109">
        <v>206.88524509999999</v>
      </c>
      <c r="G120" s="110">
        <f>F120/F83</f>
        <v>4.8361350724183877E-2</v>
      </c>
      <c r="H120" s="111"/>
      <c r="I120"/>
      <c r="J120"/>
      <c r="K120"/>
      <c r="L120"/>
      <c r="M120"/>
      <c r="N120"/>
    </row>
    <row r="121" spans="1:14" s="55" customFormat="1" ht="33" customHeight="1" x14ac:dyDescent="0.2">
      <c r="B121" s="227" t="s">
        <v>652</v>
      </c>
      <c r="C121" s="228"/>
      <c r="D121" s="228"/>
      <c r="E121" s="228"/>
      <c r="F121" s="228"/>
      <c r="G121" s="229"/>
      <c r="H121" s="112"/>
      <c r="I121"/>
      <c r="J121"/>
      <c r="K121"/>
      <c r="L121"/>
      <c r="M121"/>
      <c r="N121"/>
    </row>
    <row r="122" spans="1:14" s="55" customFormat="1" x14ac:dyDescent="0.2">
      <c r="H122" s="112"/>
      <c r="I122"/>
      <c r="J122"/>
      <c r="K122"/>
      <c r="L122"/>
      <c r="M122"/>
      <c r="N122"/>
    </row>
    <row r="123" spans="1:14" s="55" customFormat="1" x14ac:dyDescent="0.2">
      <c r="B123" s="166" t="s">
        <v>552</v>
      </c>
      <c r="C123" s="167"/>
      <c r="D123" s="168"/>
      <c r="I123"/>
      <c r="J123"/>
      <c r="K123"/>
      <c r="L123"/>
      <c r="M123"/>
      <c r="N123"/>
    </row>
    <row r="124" spans="1:14" s="55" customFormat="1" ht="51" x14ac:dyDescent="0.2">
      <c r="B124" s="156" t="s">
        <v>553</v>
      </c>
      <c r="C124" s="156"/>
      <c r="D124" s="57" t="s">
        <v>459</v>
      </c>
      <c r="I124"/>
      <c r="J124"/>
      <c r="K124"/>
      <c r="L124"/>
      <c r="M124"/>
      <c r="N124"/>
    </row>
    <row r="125" spans="1:14" s="55" customFormat="1" x14ac:dyDescent="0.2">
      <c r="B125" s="169" t="s">
        <v>554</v>
      </c>
      <c r="C125" s="169"/>
      <c r="D125" s="58"/>
      <c r="I125"/>
      <c r="J125"/>
      <c r="K125"/>
      <c r="L125"/>
      <c r="M125"/>
      <c r="N125"/>
    </row>
    <row r="126" spans="1:14" s="55" customFormat="1" x14ac:dyDescent="0.2">
      <c r="B126" s="169"/>
      <c r="C126" s="169"/>
      <c r="D126" s="59"/>
      <c r="I126"/>
      <c r="J126"/>
      <c r="K126"/>
      <c r="L126"/>
      <c r="M126"/>
      <c r="N126"/>
    </row>
    <row r="127" spans="1:14" s="55" customFormat="1" x14ac:dyDescent="0.2">
      <c r="B127" s="169" t="s">
        <v>555</v>
      </c>
      <c r="C127" s="169"/>
      <c r="D127" s="60">
        <v>6.8943978915149815</v>
      </c>
      <c r="I127"/>
      <c r="J127"/>
      <c r="K127"/>
      <c r="L127"/>
      <c r="M127"/>
      <c r="N127"/>
    </row>
    <row r="128" spans="1:14" s="55" customFormat="1" x14ac:dyDescent="0.2">
      <c r="B128" s="169"/>
      <c r="C128" s="169"/>
      <c r="D128" s="59"/>
      <c r="I128"/>
      <c r="J128"/>
      <c r="K128"/>
      <c r="L128"/>
      <c r="M128"/>
      <c r="N128"/>
    </row>
    <row r="129" spans="2:16" s="55" customFormat="1" x14ac:dyDescent="0.2">
      <c r="B129" s="169" t="s">
        <v>556</v>
      </c>
      <c r="C129" s="169"/>
      <c r="D129" s="60">
        <v>3.9292574760369443</v>
      </c>
      <c r="I129"/>
      <c r="J129"/>
      <c r="K129"/>
      <c r="L129"/>
      <c r="M129"/>
      <c r="N129"/>
    </row>
    <row r="130" spans="2:16" s="55" customFormat="1" x14ac:dyDescent="0.2">
      <c r="B130" s="169" t="s">
        <v>557</v>
      </c>
      <c r="C130" s="169"/>
      <c r="D130" s="60">
        <v>5.0595819372335349</v>
      </c>
      <c r="I130"/>
      <c r="J130"/>
      <c r="K130"/>
      <c r="L130"/>
      <c r="M130"/>
      <c r="N130"/>
    </row>
    <row r="131" spans="2:16" s="55" customFormat="1" x14ac:dyDescent="0.2">
      <c r="B131" s="169"/>
      <c r="C131" s="169"/>
      <c r="D131" s="59"/>
      <c r="I131"/>
      <c r="J131"/>
      <c r="K131"/>
      <c r="L131"/>
      <c r="M131"/>
      <c r="N131"/>
    </row>
    <row r="132" spans="2:16" s="55" customFormat="1" x14ac:dyDescent="0.2">
      <c r="B132" s="169" t="s">
        <v>558</v>
      </c>
      <c r="C132" s="169"/>
      <c r="D132" s="62" t="s">
        <v>677</v>
      </c>
      <c r="I132"/>
      <c r="J132" s="53"/>
      <c r="K132" s="53"/>
      <c r="L132" s="53"/>
      <c r="M132" s="53"/>
      <c r="N132" s="56"/>
    </row>
    <row r="133" spans="2:16" s="55" customFormat="1" x14ac:dyDescent="0.2">
      <c r="B133" s="170" t="s">
        <v>559</v>
      </c>
      <c r="C133" s="172"/>
      <c r="D133" s="171"/>
      <c r="I133"/>
      <c r="J133"/>
      <c r="K133"/>
      <c r="L133"/>
      <c r="M133"/>
      <c r="N133"/>
      <c r="O133"/>
      <c r="P133"/>
    </row>
    <row r="135" spans="2:16" x14ac:dyDescent="0.2">
      <c r="B135" s="64" t="s">
        <v>560</v>
      </c>
    </row>
    <row r="136" spans="2:16" ht="153.75" customHeight="1" x14ac:dyDescent="0.2"/>
    <row r="139" spans="2:16" x14ac:dyDescent="0.2">
      <c r="B139" s="65" t="s">
        <v>561</v>
      </c>
      <c r="C139" s="66"/>
      <c r="D139" s="65"/>
    </row>
    <row r="140" spans="2:16" x14ac:dyDescent="0.2">
      <c r="B140" s="65" t="s">
        <v>653</v>
      </c>
      <c r="D140" s="65"/>
    </row>
    <row r="141" spans="2:16" ht="165" customHeight="1" x14ac:dyDescent="0.2"/>
    <row r="145" customFormat="1" x14ac:dyDescent="0.2"/>
    <row r="146" customFormat="1" x14ac:dyDescent="0.2"/>
    <row r="147" customFormat="1" x14ac:dyDescent="0.2"/>
    <row r="148" customFormat="1" x14ac:dyDescent="0.2"/>
    <row r="149" customFormat="1" x14ac:dyDescent="0.2"/>
  </sheetData>
  <mergeCells count="36">
    <mergeCell ref="B129:C129"/>
    <mergeCell ref="B130:C130"/>
    <mergeCell ref="B131:C131"/>
    <mergeCell ref="B132:C132"/>
    <mergeCell ref="B133:D133"/>
    <mergeCell ref="B124:C124"/>
    <mergeCell ref="B125:C125"/>
    <mergeCell ref="B126:C126"/>
    <mergeCell ref="B127:C127"/>
    <mergeCell ref="B128:C128"/>
    <mergeCell ref="B118:B119"/>
    <mergeCell ref="C118:C119"/>
    <mergeCell ref="D118:F118"/>
    <mergeCell ref="B121:G121"/>
    <mergeCell ref="B123:D123"/>
    <mergeCell ref="D115:E115"/>
    <mergeCell ref="F115:G115"/>
    <mergeCell ref="D116:E116"/>
    <mergeCell ref="F116:G116"/>
    <mergeCell ref="B117:G117"/>
    <mergeCell ref="B110:C110"/>
    <mergeCell ref="B111:C111"/>
    <mergeCell ref="B112:C112"/>
    <mergeCell ref="B114:G114"/>
    <mergeCell ref="A1:H1"/>
    <mergeCell ref="A2:H2"/>
    <mergeCell ref="A3:H3"/>
    <mergeCell ref="B89:D89"/>
    <mergeCell ref="B90:C90"/>
    <mergeCell ref="B91:C91"/>
    <mergeCell ref="B92:C92"/>
    <mergeCell ref="B104:C104"/>
    <mergeCell ref="B109:C109"/>
    <mergeCell ref="B85:H85"/>
    <mergeCell ref="B86:H86"/>
    <mergeCell ref="B87:H87"/>
  </mergeCells>
  <hyperlinks>
    <hyperlink ref="I1" location="Index!B2" display="Index" xr:uid="{B6517733-91D3-4EC8-AEB9-FC7C97A3F2D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21976-DECA-4763-85A7-70275D422FD5}">
  <sheetPr>
    <outlinePr summaryBelow="0" summaryRight="0"/>
  </sheetPr>
  <dimension ref="A1:R177"/>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7" bestFit="1" customWidth="1"/>
    <col min="5" max="5" width="8.7109375" bestFit="1" customWidth="1"/>
    <col min="6" max="6" width="10.140625" bestFit="1" customWidth="1"/>
    <col min="7" max="7" width="14" bestFit="1" customWidth="1"/>
    <col min="8" max="8" width="9.42578125" customWidth="1"/>
  </cols>
  <sheetData>
    <row r="1" spans="1:10" ht="15" x14ac:dyDescent="0.2">
      <c r="A1" s="157" t="s">
        <v>0</v>
      </c>
      <c r="B1" s="157"/>
      <c r="C1" s="157"/>
      <c r="D1" s="157"/>
      <c r="E1" s="157"/>
      <c r="F1" s="157"/>
      <c r="G1" s="157"/>
      <c r="H1" s="157"/>
      <c r="I1" s="1" t="s">
        <v>531</v>
      </c>
    </row>
    <row r="2" spans="1:10" ht="15" x14ac:dyDescent="0.2">
      <c r="A2" s="157" t="s">
        <v>462</v>
      </c>
      <c r="B2" s="157"/>
      <c r="C2" s="157"/>
      <c r="D2" s="157"/>
      <c r="E2" s="157"/>
      <c r="F2" s="157"/>
      <c r="G2" s="157"/>
      <c r="H2" s="157"/>
    </row>
    <row r="3" spans="1:10" ht="15" x14ac:dyDescent="0.2">
      <c r="A3" s="157" t="s">
        <v>532</v>
      </c>
      <c r="B3" s="157"/>
      <c r="C3" s="157"/>
      <c r="D3" s="157"/>
      <c r="E3" s="157"/>
      <c r="F3" s="157"/>
      <c r="G3" s="157"/>
      <c r="H3" s="157"/>
    </row>
    <row r="4" spans="1:10" s="14" customFormat="1" ht="30" x14ac:dyDescent="0.2">
      <c r="A4" s="12" t="s">
        <v>2</v>
      </c>
      <c r="B4" s="12" t="s">
        <v>3</v>
      </c>
      <c r="C4" s="12" t="s">
        <v>4</v>
      </c>
      <c r="D4" s="12" t="s">
        <v>5</v>
      </c>
      <c r="E4" s="12" t="s">
        <v>6</v>
      </c>
      <c r="F4" s="12" t="s">
        <v>7</v>
      </c>
      <c r="G4" s="12" t="s">
        <v>8</v>
      </c>
      <c r="H4" s="13" t="s">
        <v>530</v>
      </c>
    </row>
    <row r="5" spans="1:10" x14ac:dyDescent="0.2">
      <c r="A5" s="15"/>
      <c r="B5" s="15"/>
      <c r="C5" s="16" t="s">
        <v>9</v>
      </c>
      <c r="D5" s="15"/>
      <c r="E5" s="15"/>
      <c r="F5" s="15"/>
      <c r="G5" s="15"/>
      <c r="H5" s="17" t="s">
        <v>12</v>
      </c>
    </row>
    <row r="6" spans="1:10" x14ac:dyDescent="0.2">
      <c r="A6" s="15"/>
      <c r="B6" s="15"/>
      <c r="C6" s="16" t="s">
        <v>10</v>
      </c>
      <c r="D6" s="15"/>
      <c r="E6" s="15"/>
      <c r="F6" s="15"/>
      <c r="G6" s="15"/>
      <c r="H6" s="17" t="s">
        <v>12</v>
      </c>
    </row>
    <row r="7" spans="1:10" x14ac:dyDescent="0.2">
      <c r="A7" s="23">
        <v>1</v>
      </c>
      <c r="B7" s="24" t="s">
        <v>463</v>
      </c>
      <c r="C7" s="24" t="s">
        <v>464</v>
      </c>
      <c r="D7" s="24" t="s">
        <v>465</v>
      </c>
      <c r="E7" s="25">
        <v>4250</v>
      </c>
      <c r="F7" s="26">
        <v>77.698499999999996</v>
      </c>
      <c r="G7" s="27">
        <v>2.8697609999999998E-2</v>
      </c>
      <c r="H7" s="17" t="s">
        <v>12</v>
      </c>
    </row>
    <row r="8" spans="1:10" x14ac:dyDescent="0.2">
      <c r="A8" s="23">
        <v>2</v>
      </c>
      <c r="B8" s="24" t="s">
        <v>466</v>
      </c>
      <c r="C8" s="24" t="s">
        <v>467</v>
      </c>
      <c r="D8" s="24" t="s">
        <v>465</v>
      </c>
      <c r="E8" s="25">
        <v>4200</v>
      </c>
      <c r="F8" s="26">
        <v>56.630699999999997</v>
      </c>
      <c r="G8" s="27">
        <v>2.091631E-2</v>
      </c>
      <c r="H8" s="17" t="s">
        <v>12</v>
      </c>
    </row>
    <row r="9" spans="1:10" x14ac:dyDescent="0.2">
      <c r="A9" s="23">
        <v>3</v>
      </c>
      <c r="B9" s="24" t="s">
        <v>468</v>
      </c>
      <c r="C9" s="24" t="s">
        <v>469</v>
      </c>
      <c r="D9" s="24" t="s">
        <v>470</v>
      </c>
      <c r="E9" s="25">
        <v>3400</v>
      </c>
      <c r="F9" s="26">
        <v>43.353400000000001</v>
      </c>
      <c r="G9" s="27">
        <v>1.6012390000000001E-2</v>
      </c>
      <c r="H9" s="17" t="s">
        <v>12</v>
      </c>
    </row>
    <row r="10" spans="1:10" x14ac:dyDescent="0.2">
      <c r="A10" s="23">
        <v>4</v>
      </c>
      <c r="B10" s="24" t="s">
        <v>471</v>
      </c>
      <c r="C10" s="24" t="s">
        <v>472</v>
      </c>
      <c r="D10" s="24" t="s">
        <v>473</v>
      </c>
      <c r="E10" s="25">
        <v>2500</v>
      </c>
      <c r="F10" s="26">
        <v>43.335000000000001</v>
      </c>
      <c r="G10" s="27">
        <v>1.6005599999999998E-2</v>
      </c>
      <c r="H10" s="17" t="s">
        <v>12</v>
      </c>
    </row>
    <row r="11" spans="1:10" x14ac:dyDescent="0.2">
      <c r="A11" s="23">
        <v>5</v>
      </c>
      <c r="B11" s="24" t="s">
        <v>474</v>
      </c>
      <c r="C11" s="24" t="s">
        <v>475</v>
      </c>
      <c r="D11" s="24" t="s">
        <v>476</v>
      </c>
      <c r="E11" s="25">
        <v>1848</v>
      </c>
      <c r="F11" s="26">
        <v>29.429400000000001</v>
      </c>
      <c r="G11" s="27">
        <v>1.086962E-2</v>
      </c>
      <c r="H11" s="17" t="s">
        <v>12</v>
      </c>
    </row>
    <row r="12" spans="1:10" x14ac:dyDescent="0.2">
      <c r="A12" s="23">
        <v>6</v>
      </c>
      <c r="B12" s="24" t="s">
        <v>477</v>
      </c>
      <c r="C12" s="24" t="s">
        <v>478</v>
      </c>
      <c r="D12" s="24" t="s">
        <v>476</v>
      </c>
      <c r="E12" s="25">
        <v>1750</v>
      </c>
      <c r="F12" s="26">
        <v>27.486374999999999</v>
      </c>
      <c r="G12" s="27">
        <v>1.015198E-2</v>
      </c>
      <c r="H12" s="17" t="s">
        <v>12</v>
      </c>
    </row>
    <row r="13" spans="1:10" ht="25.5" x14ac:dyDescent="0.2">
      <c r="A13" s="67">
        <v>7</v>
      </c>
      <c r="B13" s="68" t="s">
        <v>654</v>
      </c>
      <c r="C13" s="68" t="s">
        <v>655</v>
      </c>
      <c r="D13" s="68" t="s">
        <v>656</v>
      </c>
      <c r="E13" s="69">
        <v>30000</v>
      </c>
      <c r="F13" s="70">
        <f>2279700/10^5</f>
        <v>22.797000000000001</v>
      </c>
      <c r="G13" s="71">
        <f>F13/F100</f>
        <v>8.419974777915935E-3</v>
      </c>
      <c r="H13" s="72" t="s">
        <v>12</v>
      </c>
      <c r="J13" s="73"/>
    </row>
    <row r="14" spans="1:10" x14ac:dyDescent="0.2">
      <c r="A14" s="23">
        <v>8</v>
      </c>
      <c r="B14" s="24" t="s">
        <v>479</v>
      </c>
      <c r="C14" s="24" t="s">
        <v>480</v>
      </c>
      <c r="D14" s="24" t="s">
        <v>465</v>
      </c>
      <c r="E14" s="25">
        <v>2000</v>
      </c>
      <c r="F14" s="26">
        <v>22.04</v>
      </c>
      <c r="G14" s="27">
        <v>8.1403799999999991E-3</v>
      </c>
      <c r="H14" s="17" t="s">
        <v>12</v>
      </c>
    </row>
    <row r="15" spans="1:10" x14ac:dyDescent="0.2">
      <c r="A15" s="23">
        <v>9</v>
      </c>
      <c r="B15" s="24" t="s">
        <v>481</v>
      </c>
      <c r="C15" s="24" t="s">
        <v>482</v>
      </c>
      <c r="D15" s="24" t="s">
        <v>465</v>
      </c>
      <c r="E15" s="25">
        <v>2600</v>
      </c>
      <c r="F15" s="26">
        <v>20.059000000000001</v>
      </c>
      <c r="G15" s="27">
        <v>7.4087099999999998E-3</v>
      </c>
      <c r="H15" s="17" t="s">
        <v>12</v>
      </c>
    </row>
    <row r="16" spans="1:10" x14ac:dyDescent="0.2">
      <c r="A16" s="23">
        <v>10</v>
      </c>
      <c r="B16" s="24" t="s">
        <v>483</v>
      </c>
      <c r="C16" s="24" t="s">
        <v>484</v>
      </c>
      <c r="D16" s="24" t="s">
        <v>485</v>
      </c>
      <c r="E16" s="25">
        <v>4000</v>
      </c>
      <c r="F16" s="26">
        <v>16.39</v>
      </c>
      <c r="G16" s="27">
        <v>6.0535800000000002E-3</v>
      </c>
      <c r="H16" s="17" t="s">
        <v>12</v>
      </c>
    </row>
    <row r="17" spans="1:8" x14ac:dyDescent="0.2">
      <c r="A17" s="23">
        <v>11</v>
      </c>
      <c r="B17" s="24" t="s">
        <v>486</v>
      </c>
      <c r="C17" s="24" t="s">
        <v>487</v>
      </c>
      <c r="D17" s="24" t="s">
        <v>465</v>
      </c>
      <c r="E17" s="25">
        <v>675</v>
      </c>
      <c r="F17" s="26">
        <v>14.6556</v>
      </c>
      <c r="G17" s="27">
        <v>5.4129800000000004E-3</v>
      </c>
      <c r="H17" s="17" t="s">
        <v>12</v>
      </c>
    </row>
    <row r="18" spans="1:8" ht="25.5" x14ac:dyDescent="0.2">
      <c r="A18" s="23">
        <v>12</v>
      </c>
      <c r="B18" s="24" t="s">
        <v>488</v>
      </c>
      <c r="C18" s="24" t="s">
        <v>489</v>
      </c>
      <c r="D18" s="24" t="s">
        <v>490</v>
      </c>
      <c r="E18" s="25">
        <v>125</v>
      </c>
      <c r="F18" s="26">
        <v>14.3869375</v>
      </c>
      <c r="G18" s="27">
        <v>5.3137499999999999E-3</v>
      </c>
      <c r="H18" s="17" t="s">
        <v>12</v>
      </c>
    </row>
    <row r="19" spans="1:8" x14ac:dyDescent="0.2">
      <c r="A19" s="23">
        <v>13</v>
      </c>
      <c r="B19" s="24" t="s">
        <v>491</v>
      </c>
      <c r="C19" s="24" t="s">
        <v>492</v>
      </c>
      <c r="D19" s="24" t="s">
        <v>493</v>
      </c>
      <c r="E19" s="25">
        <v>400</v>
      </c>
      <c r="F19" s="26">
        <v>13.969200000000001</v>
      </c>
      <c r="G19" s="27">
        <v>5.1594600000000003E-3</v>
      </c>
      <c r="H19" s="17" t="s">
        <v>12</v>
      </c>
    </row>
    <row r="20" spans="1:8" x14ac:dyDescent="0.2">
      <c r="A20" s="23">
        <v>14</v>
      </c>
      <c r="B20" s="24" t="s">
        <v>494</v>
      </c>
      <c r="C20" s="24" t="s">
        <v>495</v>
      </c>
      <c r="D20" s="24" t="s">
        <v>470</v>
      </c>
      <c r="E20" s="25">
        <v>5000</v>
      </c>
      <c r="F20" s="26">
        <v>13.923500000000001</v>
      </c>
      <c r="G20" s="27">
        <v>5.1425899999999998E-3</v>
      </c>
      <c r="H20" s="17" t="s">
        <v>12</v>
      </c>
    </row>
    <row r="21" spans="1:8" x14ac:dyDescent="0.2">
      <c r="A21" s="23">
        <v>15</v>
      </c>
      <c r="B21" s="24" t="s">
        <v>496</v>
      </c>
      <c r="C21" s="24" t="s">
        <v>497</v>
      </c>
      <c r="D21" s="24" t="s">
        <v>498</v>
      </c>
      <c r="E21" s="25">
        <v>2000</v>
      </c>
      <c r="F21" s="26">
        <v>13.287000000000001</v>
      </c>
      <c r="G21" s="27">
        <v>4.9075000000000004E-3</v>
      </c>
      <c r="H21" s="17" t="s">
        <v>12</v>
      </c>
    </row>
    <row r="22" spans="1:8" ht="25.5" x14ac:dyDescent="0.2">
      <c r="A22" s="23">
        <v>16</v>
      </c>
      <c r="B22" s="24" t="s">
        <v>499</v>
      </c>
      <c r="C22" s="24" t="s">
        <v>500</v>
      </c>
      <c r="D22" s="24" t="s">
        <v>501</v>
      </c>
      <c r="E22" s="25">
        <v>2000</v>
      </c>
      <c r="F22" s="26">
        <v>13.032999999999999</v>
      </c>
      <c r="G22" s="27">
        <v>4.8136799999999999E-3</v>
      </c>
      <c r="H22" s="17" t="s">
        <v>12</v>
      </c>
    </row>
    <row r="23" spans="1:8" x14ac:dyDescent="0.2">
      <c r="A23" s="23">
        <v>17</v>
      </c>
      <c r="B23" s="24" t="s">
        <v>502</v>
      </c>
      <c r="C23" s="24" t="s">
        <v>503</v>
      </c>
      <c r="D23" s="24" t="s">
        <v>504</v>
      </c>
      <c r="E23" s="25">
        <v>900</v>
      </c>
      <c r="F23" s="26">
        <v>12.611700000000001</v>
      </c>
      <c r="G23" s="27">
        <v>4.6580800000000002E-3</v>
      </c>
      <c r="H23" s="17" t="s">
        <v>12</v>
      </c>
    </row>
    <row r="24" spans="1:8" x14ac:dyDescent="0.2">
      <c r="A24" s="23">
        <v>18</v>
      </c>
      <c r="B24" s="24" t="s">
        <v>505</v>
      </c>
      <c r="C24" s="24" t="s">
        <v>506</v>
      </c>
      <c r="D24" s="24" t="s">
        <v>507</v>
      </c>
      <c r="E24" s="25">
        <v>160</v>
      </c>
      <c r="F24" s="26">
        <v>12.606159999999999</v>
      </c>
      <c r="G24" s="27">
        <v>4.6560300000000002E-3</v>
      </c>
      <c r="H24" s="17" t="s">
        <v>12</v>
      </c>
    </row>
    <row r="25" spans="1:8" ht="25.5" x14ac:dyDescent="0.2">
      <c r="A25" s="23">
        <v>19</v>
      </c>
      <c r="B25" s="24" t="s">
        <v>508</v>
      </c>
      <c r="C25" s="24" t="s">
        <v>509</v>
      </c>
      <c r="D25" s="24" t="s">
        <v>510</v>
      </c>
      <c r="E25" s="25">
        <v>250</v>
      </c>
      <c r="F25" s="26">
        <v>12.20425</v>
      </c>
      <c r="G25" s="27">
        <v>4.5075899999999997E-3</v>
      </c>
      <c r="H25" s="17" t="s">
        <v>12</v>
      </c>
    </row>
    <row r="26" spans="1:8" ht="25.5" x14ac:dyDescent="0.2">
      <c r="A26" s="23">
        <v>20</v>
      </c>
      <c r="B26" s="24" t="s">
        <v>511</v>
      </c>
      <c r="C26" s="24" t="s">
        <v>512</v>
      </c>
      <c r="D26" s="24" t="s">
        <v>490</v>
      </c>
      <c r="E26" s="25">
        <v>450</v>
      </c>
      <c r="F26" s="26">
        <v>11.750175</v>
      </c>
      <c r="G26" s="27">
        <v>4.33988E-3</v>
      </c>
      <c r="H26" s="17" t="s">
        <v>12</v>
      </c>
    </row>
    <row r="27" spans="1:8" x14ac:dyDescent="0.2">
      <c r="A27" s="23">
        <v>21</v>
      </c>
      <c r="B27" s="24" t="s">
        <v>513</v>
      </c>
      <c r="C27" s="24" t="s">
        <v>514</v>
      </c>
      <c r="D27" s="24" t="s">
        <v>507</v>
      </c>
      <c r="E27" s="25">
        <v>100</v>
      </c>
      <c r="F27" s="26">
        <v>11.52215</v>
      </c>
      <c r="G27" s="27">
        <v>4.2556599999999997E-3</v>
      </c>
      <c r="H27" s="17" t="s">
        <v>12</v>
      </c>
    </row>
    <row r="28" spans="1:8" x14ac:dyDescent="0.2">
      <c r="A28" s="23">
        <v>22</v>
      </c>
      <c r="B28" s="24" t="s">
        <v>515</v>
      </c>
      <c r="C28" s="24" t="s">
        <v>516</v>
      </c>
      <c r="D28" s="24" t="s">
        <v>517</v>
      </c>
      <c r="E28" s="25">
        <v>2000</v>
      </c>
      <c r="F28" s="26">
        <v>11.287000000000001</v>
      </c>
      <c r="G28" s="27">
        <v>4.1688100000000002E-3</v>
      </c>
      <c r="H28" s="17" t="s">
        <v>12</v>
      </c>
    </row>
    <row r="29" spans="1:8" ht="25.5" x14ac:dyDescent="0.2">
      <c r="A29" s="23">
        <v>23</v>
      </c>
      <c r="B29" s="24" t="s">
        <v>518</v>
      </c>
      <c r="C29" s="24" t="s">
        <v>519</v>
      </c>
      <c r="D29" s="24" t="s">
        <v>520</v>
      </c>
      <c r="E29" s="25">
        <v>320</v>
      </c>
      <c r="F29" s="26">
        <v>10.97024</v>
      </c>
      <c r="G29" s="27">
        <v>4.0518100000000003E-3</v>
      </c>
      <c r="H29" s="17" t="s">
        <v>12</v>
      </c>
    </row>
    <row r="30" spans="1:8" x14ac:dyDescent="0.2">
      <c r="A30" s="15"/>
      <c r="B30" s="15"/>
      <c r="C30" s="16" t="s">
        <v>11</v>
      </c>
      <c r="D30" s="15"/>
      <c r="E30" s="15" t="s">
        <v>12</v>
      </c>
      <c r="F30" s="22">
        <f>SUM(F7:F29)</f>
        <v>525.42628750000006</v>
      </c>
      <c r="G30" s="19">
        <f>SUM(G7:G29)</f>
        <v>0.19406397477791595</v>
      </c>
      <c r="H30" s="17" t="s">
        <v>12</v>
      </c>
    </row>
    <row r="31" spans="1:8" x14ac:dyDescent="0.2">
      <c r="A31" s="15"/>
      <c r="B31" s="15"/>
      <c r="C31" s="20"/>
      <c r="D31" s="15"/>
      <c r="E31" s="15"/>
      <c r="F31" s="21"/>
      <c r="G31" s="21"/>
      <c r="H31" s="17" t="s">
        <v>12</v>
      </c>
    </row>
    <row r="32" spans="1:8" x14ac:dyDescent="0.2">
      <c r="A32" s="15"/>
      <c r="B32" s="15"/>
      <c r="C32" s="16" t="s">
        <v>14</v>
      </c>
      <c r="D32" s="15"/>
      <c r="E32" s="15"/>
      <c r="F32" s="15"/>
      <c r="G32" s="15"/>
      <c r="H32" s="17" t="s">
        <v>12</v>
      </c>
    </row>
    <row r="33" spans="1:8" x14ac:dyDescent="0.2">
      <c r="A33" s="15"/>
      <c r="B33" s="15"/>
      <c r="C33" s="16" t="s">
        <v>11</v>
      </c>
      <c r="D33" s="15"/>
      <c r="E33" s="15" t="s">
        <v>12</v>
      </c>
      <c r="F33" s="18" t="s">
        <v>13</v>
      </c>
      <c r="G33" s="19">
        <v>0</v>
      </c>
      <c r="H33" s="17" t="s">
        <v>12</v>
      </c>
    </row>
    <row r="34" spans="1:8" x14ac:dyDescent="0.2">
      <c r="A34" s="15"/>
      <c r="B34" s="15"/>
      <c r="C34" s="20"/>
      <c r="D34" s="15"/>
      <c r="E34" s="15"/>
      <c r="F34" s="21"/>
      <c r="G34" s="21"/>
      <c r="H34" s="17" t="s">
        <v>12</v>
      </c>
    </row>
    <row r="35" spans="1:8" x14ac:dyDescent="0.2">
      <c r="A35" s="15"/>
      <c r="B35" s="15"/>
      <c r="C35" s="16" t="s">
        <v>15</v>
      </c>
      <c r="D35" s="15"/>
      <c r="E35" s="15"/>
      <c r="F35" s="15"/>
      <c r="G35" s="15"/>
      <c r="H35" s="17" t="s">
        <v>12</v>
      </c>
    </row>
    <row r="36" spans="1:8" x14ac:dyDescent="0.2">
      <c r="A36" s="15"/>
      <c r="B36" s="15"/>
      <c r="C36" s="16" t="s">
        <v>11</v>
      </c>
      <c r="D36" s="15"/>
      <c r="E36" s="15" t="s">
        <v>12</v>
      </c>
      <c r="F36" s="18" t="s">
        <v>13</v>
      </c>
      <c r="G36" s="19">
        <v>0</v>
      </c>
      <c r="H36" s="17" t="s">
        <v>12</v>
      </c>
    </row>
    <row r="37" spans="1:8" x14ac:dyDescent="0.2">
      <c r="A37" s="15"/>
      <c r="B37" s="15"/>
      <c r="C37" s="20"/>
      <c r="D37" s="15"/>
      <c r="E37" s="15"/>
      <c r="F37" s="21"/>
      <c r="G37" s="21"/>
      <c r="H37" s="17" t="s">
        <v>12</v>
      </c>
    </row>
    <row r="38" spans="1:8" x14ac:dyDescent="0.2">
      <c r="A38" s="15"/>
      <c r="B38" s="15"/>
      <c r="C38" s="16" t="s">
        <v>16</v>
      </c>
      <c r="D38" s="15"/>
      <c r="E38" s="15"/>
      <c r="F38" s="15"/>
      <c r="G38" s="15"/>
      <c r="H38" s="17" t="s">
        <v>12</v>
      </c>
    </row>
    <row r="39" spans="1:8" x14ac:dyDescent="0.2">
      <c r="A39" s="23">
        <v>1</v>
      </c>
      <c r="B39" s="24" t="s">
        <v>521</v>
      </c>
      <c r="C39" s="24" t="s">
        <v>657</v>
      </c>
      <c r="D39" s="24" t="s">
        <v>473</v>
      </c>
      <c r="E39" s="25">
        <v>218</v>
      </c>
      <c r="F39" s="26">
        <v>2.8210289999999998</v>
      </c>
      <c r="G39" s="27">
        <v>1.0419400000000001E-3</v>
      </c>
      <c r="H39" s="17" t="s">
        <v>12</v>
      </c>
    </row>
    <row r="40" spans="1:8" x14ac:dyDescent="0.2">
      <c r="A40" s="15"/>
      <c r="B40" s="15"/>
      <c r="C40" s="16" t="s">
        <v>11</v>
      </c>
      <c r="D40" s="15"/>
      <c r="E40" s="15" t="s">
        <v>12</v>
      </c>
      <c r="F40" s="22">
        <v>2.8210289999999998</v>
      </c>
      <c r="G40" s="19">
        <v>1.0419400000000001E-3</v>
      </c>
      <c r="H40" s="17" t="s">
        <v>12</v>
      </c>
    </row>
    <row r="41" spans="1:8" x14ac:dyDescent="0.2">
      <c r="A41" s="15"/>
      <c r="B41" s="15"/>
      <c r="C41" s="20"/>
      <c r="D41" s="15"/>
      <c r="E41" s="15"/>
      <c r="F41" s="21"/>
      <c r="G41" s="21"/>
      <c r="H41" s="17" t="s">
        <v>12</v>
      </c>
    </row>
    <row r="42" spans="1:8" x14ac:dyDescent="0.2">
      <c r="A42" s="15"/>
      <c r="B42" s="15"/>
      <c r="C42" s="16" t="s">
        <v>17</v>
      </c>
      <c r="D42" s="15"/>
      <c r="E42" s="15"/>
      <c r="F42" s="21"/>
      <c r="G42" s="21"/>
      <c r="H42" s="17" t="s">
        <v>12</v>
      </c>
    </row>
    <row r="43" spans="1:8" x14ac:dyDescent="0.2">
      <c r="A43" s="15"/>
      <c r="B43" s="15"/>
      <c r="C43" s="16" t="s">
        <v>11</v>
      </c>
      <c r="D43" s="15"/>
      <c r="E43" s="15" t="s">
        <v>12</v>
      </c>
      <c r="F43" s="18" t="s">
        <v>13</v>
      </c>
      <c r="G43" s="19">
        <v>0</v>
      </c>
      <c r="H43" s="17" t="s">
        <v>12</v>
      </c>
    </row>
    <row r="44" spans="1:8" x14ac:dyDescent="0.2">
      <c r="A44" s="15"/>
      <c r="B44" s="15"/>
      <c r="C44" s="20"/>
      <c r="D44" s="15"/>
      <c r="E44" s="15"/>
      <c r="F44" s="21"/>
      <c r="G44" s="21"/>
      <c r="H44" s="17" t="s">
        <v>12</v>
      </c>
    </row>
    <row r="45" spans="1:8" x14ac:dyDescent="0.2">
      <c r="A45" s="15"/>
      <c r="B45" s="15"/>
      <c r="C45" s="16" t="s">
        <v>18</v>
      </c>
      <c r="D45" s="15"/>
      <c r="E45" s="15"/>
      <c r="F45" s="21"/>
      <c r="G45" s="21"/>
      <c r="H45" s="17" t="s">
        <v>12</v>
      </c>
    </row>
    <row r="46" spans="1:8" x14ac:dyDescent="0.2">
      <c r="A46" s="15"/>
      <c r="B46" s="15"/>
      <c r="C46" s="16" t="s">
        <v>11</v>
      </c>
      <c r="D46" s="15"/>
      <c r="E46" s="15" t="s">
        <v>12</v>
      </c>
      <c r="F46" s="18" t="s">
        <v>13</v>
      </c>
      <c r="G46" s="19">
        <v>0</v>
      </c>
      <c r="H46" s="17" t="s">
        <v>12</v>
      </c>
    </row>
    <row r="47" spans="1:8" x14ac:dyDescent="0.2">
      <c r="A47" s="15"/>
      <c r="B47" s="15"/>
      <c r="C47" s="20"/>
      <c r="D47" s="15"/>
      <c r="E47" s="15"/>
      <c r="F47" s="21"/>
      <c r="G47" s="21"/>
      <c r="H47" s="17" t="s">
        <v>12</v>
      </c>
    </row>
    <row r="48" spans="1:8" x14ac:dyDescent="0.2">
      <c r="A48" s="15"/>
      <c r="B48" s="15"/>
      <c r="C48" s="16" t="s">
        <v>19</v>
      </c>
      <c r="D48" s="15"/>
      <c r="E48" s="15"/>
      <c r="F48" s="22">
        <f>F40+F30</f>
        <v>528.24731650000001</v>
      </c>
      <c r="G48" s="19">
        <f>G40+G30</f>
        <v>0.19510591477791595</v>
      </c>
      <c r="H48" s="17" t="s">
        <v>12</v>
      </c>
    </row>
    <row r="49" spans="1:8" x14ac:dyDescent="0.2">
      <c r="A49" s="15"/>
      <c r="B49" s="15"/>
      <c r="C49" s="20"/>
      <c r="D49" s="15"/>
      <c r="E49" s="15"/>
      <c r="F49" s="21"/>
      <c r="G49" s="21"/>
      <c r="H49" s="17" t="s">
        <v>12</v>
      </c>
    </row>
    <row r="50" spans="1:8" x14ac:dyDescent="0.2">
      <c r="A50" s="15"/>
      <c r="B50" s="15"/>
      <c r="C50" s="16" t="s">
        <v>20</v>
      </c>
      <c r="D50" s="15"/>
      <c r="E50" s="15"/>
      <c r="F50" s="21"/>
      <c r="G50" s="21"/>
      <c r="H50" s="17" t="s">
        <v>12</v>
      </c>
    </row>
    <row r="51" spans="1:8" x14ac:dyDescent="0.2">
      <c r="A51" s="15"/>
      <c r="B51" s="15"/>
      <c r="C51" s="16" t="s">
        <v>10</v>
      </c>
      <c r="D51" s="15"/>
      <c r="E51" s="15"/>
      <c r="F51" s="21"/>
      <c r="G51" s="21"/>
      <c r="H51" s="17" t="s">
        <v>12</v>
      </c>
    </row>
    <row r="52" spans="1:8" x14ac:dyDescent="0.2">
      <c r="A52" s="15"/>
      <c r="B52" s="15"/>
      <c r="C52" s="16" t="s">
        <v>11</v>
      </c>
      <c r="D52" s="15"/>
      <c r="E52" s="15" t="s">
        <v>12</v>
      </c>
      <c r="F52" s="18" t="s">
        <v>13</v>
      </c>
      <c r="G52" s="19">
        <v>0</v>
      </c>
      <c r="H52" s="17" t="s">
        <v>12</v>
      </c>
    </row>
    <row r="53" spans="1:8" x14ac:dyDescent="0.2">
      <c r="A53" s="15"/>
      <c r="B53" s="15"/>
      <c r="C53" s="20"/>
      <c r="D53" s="15"/>
      <c r="E53" s="15"/>
      <c r="F53" s="21"/>
      <c r="G53" s="21"/>
      <c r="H53" s="17" t="s">
        <v>12</v>
      </c>
    </row>
    <row r="54" spans="1:8" x14ac:dyDescent="0.2">
      <c r="A54" s="15"/>
      <c r="B54" s="15"/>
      <c r="C54" s="16" t="s">
        <v>71</v>
      </c>
      <c r="D54" s="15"/>
      <c r="E54" s="15"/>
      <c r="F54" s="15"/>
      <c r="G54" s="15"/>
      <c r="H54" s="17" t="s">
        <v>12</v>
      </c>
    </row>
    <row r="55" spans="1:8" x14ac:dyDescent="0.2">
      <c r="A55" s="15"/>
      <c r="B55" s="15"/>
      <c r="C55" s="16" t="s">
        <v>11</v>
      </c>
      <c r="D55" s="15"/>
      <c r="E55" s="15" t="s">
        <v>12</v>
      </c>
      <c r="F55" s="18" t="s">
        <v>13</v>
      </c>
      <c r="G55" s="19">
        <v>0</v>
      </c>
      <c r="H55" s="17" t="s">
        <v>12</v>
      </c>
    </row>
    <row r="56" spans="1:8" x14ac:dyDescent="0.2">
      <c r="A56" s="15"/>
      <c r="B56" s="15"/>
      <c r="C56" s="20"/>
      <c r="D56" s="15"/>
      <c r="E56" s="15"/>
      <c r="F56" s="21"/>
      <c r="G56" s="21"/>
      <c r="H56" s="17" t="s">
        <v>12</v>
      </c>
    </row>
    <row r="57" spans="1:8" x14ac:dyDescent="0.2">
      <c r="A57" s="15"/>
      <c r="B57" s="15"/>
      <c r="C57" s="16" t="s">
        <v>72</v>
      </c>
      <c r="D57" s="15"/>
      <c r="E57" s="15"/>
      <c r="F57" s="15"/>
      <c r="G57" s="15"/>
      <c r="H57" s="17" t="s">
        <v>12</v>
      </c>
    </row>
    <row r="58" spans="1:8" ht="25.5" x14ac:dyDescent="0.2">
      <c r="A58" s="23">
        <v>1</v>
      </c>
      <c r="B58" s="24" t="s">
        <v>73</v>
      </c>
      <c r="C58" s="24" t="s">
        <v>74</v>
      </c>
      <c r="D58" s="24" t="s">
        <v>75</v>
      </c>
      <c r="E58" s="25">
        <v>600000</v>
      </c>
      <c r="F58" s="26">
        <v>619.56359999999995</v>
      </c>
      <c r="G58" s="27">
        <v>0.22883318</v>
      </c>
      <c r="H58" s="17">
        <v>6.7217000000000002</v>
      </c>
    </row>
    <row r="59" spans="1:8" x14ac:dyDescent="0.2">
      <c r="A59" s="23">
        <v>2</v>
      </c>
      <c r="B59" s="24" t="s">
        <v>78</v>
      </c>
      <c r="C59" s="24" t="s">
        <v>79</v>
      </c>
      <c r="D59" s="24" t="s">
        <v>75</v>
      </c>
      <c r="E59" s="25">
        <v>500000</v>
      </c>
      <c r="F59" s="26">
        <v>524.06349999999998</v>
      </c>
      <c r="G59" s="27">
        <v>0.19356061999999999</v>
      </c>
      <c r="H59" s="17">
        <v>7.0290999999999997</v>
      </c>
    </row>
    <row r="60" spans="1:8" ht="25.5" x14ac:dyDescent="0.2">
      <c r="A60" s="23">
        <v>3</v>
      </c>
      <c r="B60" s="24" t="s">
        <v>522</v>
      </c>
      <c r="C60" s="24" t="s">
        <v>523</v>
      </c>
      <c r="D60" s="24" t="s">
        <v>75</v>
      </c>
      <c r="E60" s="25">
        <v>500000</v>
      </c>
      <c r="F60" s="26">
        <v>510.56950000000001</v>
      </c>
      <c r="G60" s="27">
        <v>0.18857667</v>
      </c>
      <c r="H60" s="17">
        <v>7.0396999999999998</v>
      </c>
    </row>
    <row r="61" spans="1:8" x14ac:dyDescent="0.2">
      <c r="A61" s="15"/>
      <c r="B61" s="15"/>
      <c r="C61" s="16" t="s">
        <v>11</v>
      </c>
      <c r="D61" s="15"/>
      <c r="E61" s="15" t="s">
        <v>12</v>
      </c>
      <c r="F61" s="22">
        <v>1654.1966</v>
      </c>
      <c r="G61" s="19">
        <v>0.61097047000000004</v>
      </c>
      <c r="H61" s="17" t="s">
        <v>12</v>
      </c>
    </row>
    <row r="62" spans="1:8" x14ac:dyDescent="0.2">
      <c r="A62" s="15"/>
      <c r="B62" s="15"/>
      <c r="C62" s="20"/>
      <c r="D62" s="15"/>
      <c r="E62" s="15"/>
      <c r="F62" s="21"/>
      <c r="G62" s="21"/>
      <c r="H62" s="17" t="s">
        <v>12</v>
      </c>
    </row>
    <row r="63" spans="1:8" x14ac:dyDescent="0.2">
      <c r="A63" s="15"/>
      <c r="B63" s="15"/>
      <c r="C63" s="16" t="s">
        <v>88</v>
      </c>
      <c r="D63" s="15"/>
      <c r="E63" s="15"/>
      <c r="F63" s="21"/>
      <c r="G63" s="21"/>
      <c r="H63" s="17" t="s">
        <v>12</v>
      </c>
    </row>
    <row r="64" spans="1:8" x14ac:dyDescent="0.2">
      <c r="A64" s="15"/>
      <c r="B64" s="15"/>
      <c r="C64" s="16" t="s">
        <v>11</v>
      </c>
      <c r="D64" s="15"/>
      <c r="E64" s="15" t="s">
        <v>12</v>
      </c>
      <c r="F64" s="18" t="s">
        <v>13</v>
      </c>
      <c r="G64" s="19">
        <v>0</v>
      </c>
      <c r="H64" s="17" t="s">
        <v>12</v>
      </c>
    </row>
    <row r="65" spans="1:8" x14ac:dyDescent="0.2">
      <c r="A65" s="15"/>
      <c r="B65" s="15"/>
      <c r="C65" s="20"/>
      <c r="D65" s="15"/>
      <c r="E65" s="15"/>
      <c r="F65" s="21"/>
      <c r="G65" s="21"/>
      <c r="H65" s="17" t="s">
        <v>12</v>
      </c>
    </row>
    <row r="66" spans="1:8" x14ac:dyDescent="0.2">
      <c r="A66" s="15"/>
      <c r="B66" s="15"/>
      <c r="C66" s="16" t="s">
        <v>89</v>
      </c>
      <c r="D66" s="15"/>
      <c r="E66" s="15"/>
      <c r="F66" s="22">
        <v>1654.1966</v>
      </c>
      <c r="G66" s="19">
        <v>0.61097047000000004</v>
      </c>
      <c r="H66" s="17" t="s">
        <v>12</v>
      </c>
    </row>
    <row r="67" spans="1:8" x14ac:dyDescent="0.2">
      <c r="A67" s="15"/>
      <c r="B67" s="15"/>
      <c r="C67" s="20"/>
      <c r="D67" s="15"/>
      <c r="E67" s="15"/>
      <c r="F67" s="21"/>
      <c r="G67" s="21"/>
      <c r="H67" s="17" t="s">
        <v>12</v>
      </c>
    </row>
    <row r="68" spans="1:8" x14ac:dyDescent="0.2">
      <c r="A68" s="15"/>
      <c r="B68" s="15"/>
      <c r="C68" s="16" t="s">
        <v>90</v>
      </c>
      <c r="D68" s="15"/>
      <c r="E68" s="15"/>
      <c r="F68" s="21"/>
      <c r="G68" s="21"/>
      <c r="H68" s="17" t="s">
        <v>12</v>
      </c>
    </row>
    <row r="69" spans="1:8" x14ac:dyDescent="0.2">
      <c r="A69" s="15"/>
      <c r="B69" s="15"/>
      <c r="C69" s="16" t="s">
        <v>91</v>
      </c>
      <c r="D69" s="15"/>
      <c r="E69" s="15"/>
      <c r="F69" s="21"/>
      <c r="G69" s="21"/>
      <c r="H69" s="17" t="s">
        <v>12</v>
      </c>
    </row>
    <row r="70" spans="1:8" x14ac:dyDescent="0.2">
      <c r="A70" s="15"/>
      <c r="B70" s="15"/>
      <c r="C70" s="16" t="s">
        <v>11</v>
      </c>
      <c r="D70" s="15"/>
      <c r="E70" s="15" t="s">
        <v>12</v>
      </c>
      <c r="F70" s="18" t="s">
        <v>13</v>
      </c>
      <c r="G70" s="19">
        <v>0</v>
      </c>
      <c r="H70" s="17" t="s">
        <v>12</v>
      </c>
    </row>
    <row r="71" spans="1:8" x14ac:dyDescent="0.2">
      <c r="A71" s="15"/>
      <c r="B71" s="15"/>
      <c r="C71" s="20"/>
      <c r="D71" s="15"/>
      <c r="E71" s="15"/>
      <c r="F71" s="21"/>
      <c r="G71" s="21"/>
      <c r="H71" s="17" t="s">
        <v>12</v>
      </c>
    </row>
    <row r="72" spans="1:8" x14ac:dyDescent="0.2">
      <c r="A72" s="15"/>
      <c r="B72" s="15"/>
      <c r="C72" s="16" t="s">
        <v>92</v>
      </c>
      <c r="D72" s="15"/>
      <c r="E72" s="15"/>
      <c r="F72" s="21"/>
      <c r="G72" s="21"/>
      <c r="H72" s="17" t="s">
        <v>12</v>
      </c>
    </row>
    <row r="73" spans="1:8" x14ac:dyDescent="0.2">
      <c r="A73" s="15"/>
      <c r="B73" s="15"/>
      <c r="C73" s="16" t="s">
        <v>11</v>
      </c>
      <c r="D73" s="15"/>
      <c r="E73" s="15" t="s">
        <v>12</v>
      </c>
      <c r="F73" s="18" t="s">
        <v>13</v>
      </c>
      <c r="G73" s="19">
        <v>0</v>
      </c>
      <c r="H73" s="17" t="s">
        <v>12</v>
      </c>
    </row>
    <row r="74" spans="1:8" x14ac:dyDescent="0.2">
      <c r="A74" s="15"/>
      <c r="B74" s="15"/>
      <c r="C74" s="20"/>
      <c r="D74" s="15"/>
      <c r="E74" s="15"/>
      <c r="F74" s="21"/>
      <c r="G74" s="21"/>
      <c r="H74" s="17" t="s">
        <v>12</v>
      </c>
    </row>
    <row r="75" spans="1:8" x14ac:dyDescent="0.2">
      <c r="A75" s="15"/>
      <c r="B75" s="15"/>
      <c r="C75" s="16" t="s">
        <v>93</v>
      </c>
      <c r="D75" s="15"/>
      <c r="E75" s="15"/>
      <c r="F75" s="21"/>
      <c r="G75" s="21"/>
      <c r="H75" s="17" t="s">
        <v>12</v>
      </c>
    </row>
    <row r="76" spans="1:8" x14ac:dyDescent="0.2">
      <c r="A76" s="15"/>
      <c r="B76" s="15"/>
      <c r="C76" s="16" t="s">
        <v>11</v>
      </c>
      <c r="D76" s="15"/>
      <c r="E76" s="15" t="s">
        <v>12</v>
      </c>
      <c r="F76" s="18" t="s">
        <v>13</v>
      </c>
      <c r="G76" s="19">
        <v>0</v>
      </c>
      <c r="H76" s="17" t="s">
        <v>12</v>
      </c>
    </row>
    <row r="77" spans="1:8" x14ac:dyDescent="0.2">
      <c r="A77" s="15"/>
      <c r="B77" s="15"/>
      <c r="C77" s="20"/>
      <c r="D77" s="15"/>
      <c r="E77" s="15"/>
      <c r="F77" s="21"/>
      <c r="G77" s="21"/>
      <c r="H77" s="17" t="s">
        <v>12</v>
      </c>
    </row>
    <row r="78" spans="1:8" x14ac:dyDescent="0.2">
      <c r="A78" s="15"/>
      <c r="B78" s="15"/>
      <c r="C78" s="16" t="s">
        <v>94</v>
      </c>
      <c r="D78" s="15"/>
      <c r="E78" s="15"/>
      <c r="F78" s="21"/>
      <c r="G78" s="21"/>
      <c r="H78" s="17" t="s">
        <v>12</v>
      </c>
    </row>
    <row r="79" spans="1:8" x14ac:dyDescent="0.2">
      <c r="A79" s="23">
        <v>1</v>
      </c>
      <c r="B79" s="24"/>
      <c r="C79" s="24" t="s">
        <v>95</v>
      </c>
      <c r="D79" s="24"/>
      <c r="E79" s="28"/>
      <c r="F79" s="26">
        <v>464.24538390200001</v>
      </c>
      <c r="G79" s="27">
        <v>0.17146705000000001</v>
      </c>
      <c r="H79" s="17">
        <v>6.76</v>
      </c>
    </row>
    <row r="80" spans="1:8" x14ac:dyDescent="0.2">
      <c r="A80" s="15"/>
      <c r="B80" s="15"/>
      <c r="C80" s="16" t="s">
        <v>11</v>
      </c>
      <c r="D80" s="15"/>
      <c r="E80" s="15" t="s">
        <v>12</v>
      </c>
      <c r="F80" s="22">
        <v>464.24538390200001</v>
      </c>
      <c r="G80" s="19">
        <v>0.17146705000000001</v>
      </c>
      <c r="H80" s="17" t="s">
        <v>12</v>
      </c>
    </row>
    <row r="81" spans="1:17" x14ac:dyDescent="0.2">
      <c r="A81" s="15"/>
      <c r="B81" s="15"/>
      <c r="C81" s="20"/>
      <c r="D81" s="15"/>
      <c r="E81" s="15"/>
      <c r="F81" s="21"/>
      <c r="G81" s="21"/>
      <c r="H81" s="17" t="s">
        <v>12</v>
      </c>
    </row>
    <row r="82" spans="1:17" x14ac:dyDescent="0.2">
      <c r="A82" s="15"/>
      <c r="B82" s="15"/>
      <c r="C82" s="16" t="s">
        <v>96</v>
      </c>
      <c r="D82" s="15"/>
      <c r="E82" s="15"/>
      <c r="F82" s="22">
        <v>464.24538390200001</v>
      </c>
      <c r="G82" s="19">
        <v>0.17146705000000001</v>
      </c>
      <c r="H82" s="17" t="s">
        <v>12</v>
      </c>
    </row>
    <row r="83" spans="1:17" x14ac:dyDescent="0.2">
      <c r="A83" s="15"/>
      <c r="B83" s="15"/>
      <c r="C83" s="21"/>
      <c r="D83" s="15"/>
      <c r="E83" s="15"/>
      <c r="F83" s="15"/>
      <c r="G83" s="15"/>
      <c r="H83" s="17" t="s">
        <v>12</v>
      </c>
    </row>
    <row r="84" spans="1:17" x14ac:dyDescent="0.2">
      <c r="A84" s="15"/>
      <c r="B84" s="15"/>
      <c r="C84" s="16" t="s">
        <v>97</v>
      </c>
      <c r="D84" s="15"/>
      <c r="E84" s="15"/>
      <c r="F84" s="15"/>
      <c r="G84" s="15"/>
      <c r="H84" s="17" t="s">
        <v>12</v>
      </c>
    </row>
    <row r="85" spans="1:17" x14ac:dyDescent="0.2">
      <c r="A85" s="15"/>
      <c r="B85" s="15"/>
      <c r="C85" s="16" t="s">
        <v>98</v>
      </c>
      <c r="D85" s="15"/>
      <c r="E85" s="15"/>
      <c r="F85" s="15"/>
      <c r="G85" s="15"/>
      <c r="H85" s="17" t="s">
        <v>12</v>
      </c>
    </row>
    <row r="86" spans="1:17" x14ac:dyDescent="0.2">
      <c r="A86" s="15"/>
      <c r="B86" s="15"/>
      <c r="C86" s="16" t="s">
        <v>11</v>
      </c>
      <c r="D86" s="15"/>
      <c r="E86" s="15" t="s">
        <v>12</v>
      </c>
      <c r="F86" s="18" t="s">
        <v>13</v>
      </c>
      <c r="G86" s="19">
        <v>0</v>
      </c>
      <c r="H86" s="17" t="s">
        <v>12</v>
      </c>
    </row>
    <row r="87" spans="1:17" x14ac:dyDescent="0.2">
      <c r="A87" s="74"/>
      <c r="B87" s="74"/>
      <c r="C87" s="75"/>
      <c r="D87" s="74"/>
      <c r="E87" s="74"/>
      <c r="F87" s="76"/>
      <c r="G87" s="76"/>
      <c r="H87" s="72" t="s">
        <v>12</v>
      </c>
    </row>
    <row r="88" spans="1:17" x14ac:dyDescent="0.2">
      <c r="A88" s="74"/>
      <c r="B88" s="74"/>
      <c r="C88" s="51" t="s">
        <v>546</v>
      </c>
      <c r="D88" s="74"/>
      <c r="E88" s="74"/>
      <c r="F88" s="76"/>
      <c r="G88" s="76"/>
      <c r="H88" s="70"/>
      <c r="K88" s="53"/>
      <c r="L88" s="53"/>
      <c r="M88" s="53"/>
      <c r="N88" s="53"/>
      <c r="O88" s="77"/>
      <c r="P88" s="77"/>
      <c r="Q88" s="77"/>
    </row>
    <row r="89" spans="1:17" ht="25.5" x14ac:dyDescent="0.2">
      <c r="A89" s="67">
        <v>1</v>
      </c>
      <c r="B89" s="68" t="s">
        <v>99</v>
      </c>
      <c r="C89" s="68" t="s">
        <v>100</v>
      </c>
      <c r="D89" s="68"/>
      <c r="E89" s="78">
        <v>76.796000000000006</v>
      </c>
      <c r="F89" s="70">
        <v>8.4741552999999996</v>
      </c>
      <c r="G89" s="71">
        <v>3.1298900000000002E-3</v>
      </c>
      <c r="H89" s="72"/>
    </row>
    <row r="90" spans="1:17" x14ac:dyDescent="0.2">
      <c r="A90" s="74"/>
      <c r="B90" s="74"/>
      <c r="C90" s="51" t="s">
        <v>11</v>
      </c>
      <c r="D90" s="74"/>
      <c r="E90" s="74" t="s">
        <v>12</v>
      </c>
      <c r="F90" s="79">
        <f>SUM(F89)</f>
        <v>8.4741552999999996</v>
      </c>
      <c r="G90" s="80">
        <f>SUM(G89)</f>
        <v>3.1298900000000002E-3</v>
      </c>
      <c r="H90" s="72" t="s">
        <v>12</v>
      </c>
    </row>
    <row r="91" spans="1:17" x14ac:dyDescent="0.2">
      <c r="A91" s="15"/>
      <c r="B91" s="15"/>
      <c r="C91" s="20"/>
      <c r="D91" s="15"/>
      <c r="E91" s="15"/>
      <c r="F91" s="21"/>
      <c r="G91" s="21"/>
      <c r="H91" s="17" t="s">
        <v>12</v>
      </c>
    </row>
    <row r="92" spans="1:17" x14ac:dyDescent="0.2">
      <c r="A92" s="15"/>
      <c r="B92" s="15"/>
      <c r="C92" s="16" t="s">
        <v>101</v>
      </c>
      <c r="D92" s="15"/>
      <c r="E92" s="15"/>
      <c r="F92" s="15"/>
      <c r="G92" s="15"/>
      <c r="H92" s="17" t="s">
        <v>12</v>
      </c>
    </row>
    <row r="93" spans="1:17" x14ac:dyDescent="0.2">
      <c r="A93" s="15"/>
      <c r="B93" s="15"/>
      <c r="C93" s="16" t="s">
        <v>102</v>
      </c>
      <c r="D93" s="15"/>
      <c r="E93" s="15"/>
      <c r="F93" s="15"/>
      <c r="G93" s="15"/>
      <c r="H93" s="17" t="s">
        <v>12</v>
      </c>
    </row>
    <row r="94" spans="1:17" x14ac:dyDescent="0.2">
      <c r="A94" s="15"/>
      <c r="B94" s="15"/>
      <c r="C94" s="16" t="s">
        <v>11</v>
      </c>
      <c r="D94" s="15"/>
      <c r="E94" s="15" t="s">
        <v>12</v>
      </c>
      <c r="F94" s="18" t="s">
        <v>13</v>
      </c>
      <c r="G94" s="19">
        <v>0</v>
      </c>
      <c r="H94" s="17" t="s">
        <v>12</v>
      </c>
    </row>
    <row r="95" spans="1:17" x14ac:dyDescent="0.2">
      <c r="A95" s="15"/>
      <c r="B95" s="15"/>
      <c r="C95" s="20"/>
      <c r="D95" s="15"/>
      <c r="E95" s="15"/>
      <c r="F95" s="21"/>
      <c r="G95" s="21"/>
      <c r="H95" s="17" t="s">
        <v>12</v>
      </c>
    </row>
    <row r="96" spans="1:17" x14ac:dyDescent="0.2">
      <c r="A96" s="15"/>
      <c r="B96" s="15"/>
      <c r="C96" s="16" t="s">
        <v>103</v>
      </c>
      <c r="D96" s="15"/>
      <c r="E96" s="15"/>
      <c r="F96" s="21"/>
      <c r="G96" s="21"/>
      <c r="H96" s="17" t="s">
        <v>12</v>
      </c>
    </row>
    <row r="97" spans="1:8" x14ac:dyDescent="0.2">
      <c r="A97" s="15"/>
      <c r="B97" s="15"/>
      <c r="C97" s="16" t="s">
        <v>11</v>
      </c>
      <c r="D97" s="15"/>
      <c r="E97" s="15" t="s">
        <v>12</v>
      </c>
      <c r="F97" s="18" t="s">
        <v>13</v>
      </c>
      <c r="G97" s="19">
        <v>0</v>
      </c>
      <c r="H97" s="17" t="s">
        <v>12</v>
      </c>
    </row>
    <row r="98" spans="1:8" x14ac:dyDescent="0.2">
      <c r="A98" s="15"/>
      <c r="B98" s="15"/>
      <c r="C98" s="20"/>
      <c r="D98" s="15"/>
      <c r="E98" s="15"/>
      <c r="F98" s="21"/>
      <c r="G98" s="21"/>
      <c r="H98" s="17" t="s">
        <v>12</v>
      </c>
    </row>
    <row r="99" spans="1:8" x14ac:dyDescent="0.2">
      <c r="A99" s="28"/>
      <c r="B99" s="24"/>
      <c r="C99" s="24" t="s">
        <v>104</v>
      </c>
      <c r="D99" s="24"/>
      <c r="E99" s="28"/>
      <c r="F99" s="26">
        <v>52.326839849999999</v>
      </c>
      <c r="G99" s="27">
        <v>1.9326699999999999E-2</v>
      </c>
      <c r="H99" s="17" t="s">
        <v>12</v>
      </c>
    </row>
    <row r="100" spans="1:8" x14ac:dyDescent="0.2">
      <c r="A100" s="20"/>
      <c r="B100" s="20"/>
      <c r="C100" s="16" t="s">
        <v>105</v>
      </c>
      <c r="D100" s="21"/>
      <c r="E100" s="21"/>
      <c r="F100" s="22">
        <f>F99+F90+F82+F66+F48</f>
        <v>2707.4902955520001</v>
      </c>
      <c r="G100" s="29">
        <f>G99+G90+G82+G66+G48</f>
        <v>1.0000000247779159</v>
      </c>
      <c r="H100" s="17" t="s">
        <v>12</v>
      </c>
    </row>
    <row r="101" spans="1:8" x14ac:dyDescent="0.2">
      <c r="A101" s="30"/>
      <c r="B101" s="30"/>
      <c r="C101" s="30"/>
      <c r="D101" s="31"/>
      <c r="E101" s="31"/>
      <c r="F101" s="31"/>
      <c r="G101" s="31"/>
    </row>
    <row r="102" spans="1:8" x14ac:dyDescent="0.2">
      <c r="A102" s="32"/>
      <c r="B102" s="165" t="s">
        <v>547</v>
      </c>
      <c r="C102" s="165"/>
      <c r="D102" s="165"/>
      <c r="E102" s="165"/>
      <c r="F102" s="165"/>
      <c r="G102" s="165"/>
      <c r="H102" s="165"/>
    </row>
    <row r="103" spans="1:8" x14ac:dyDescent="0.2">
      <c r="A103" s="32"/>
      <c r="B103" s="165" t="s">
        <v>548</v>
      </c>
      <c r="C103" s="165"/>
      <c r="D103" s="165"/>
      <c r="E103" s="165"/>
      <c r="F103" s="165"/>
      <c r="G103" s="165"/>
      <c r="H103" s="165"/>
    </row>
    <row r="104" spans="1:8" x14ac:dyDescent="0.2">
      <c r="A104" s="32"/>
      <c r="B104" s="165" t="s">
        <v>549</v>
      </c>
      <c r="C104" s="165"/>
      <c r="D104" s="165"/>
      <c r="E104" s="165"/>
      <c r="F104" s="165"/>
      <c r="G104" s="165"/>
      <c r="H104" s="165"/>
    </row>
    <row r="105" spans="1:8" x14ac:dyDescent="0.2">
      <c r="A105" s="32"/>
      <c r="B105" s="32"/>
      <c r="C105" s="32"/>
      <c r="D105" s="34"/>
      <c r="E105" s="34"/>
      <c r="F105" s="34"/>
      <c r="G105" s="34"/>
    </row>
    <row r="106" spans="1:8" x14ac:dyDescent="0.2">
      <c r="A106" s="35"/>
      <c r="B106" s="158" t="s">
        <v>106</v>
      </c>
      <c r="C106" s="159"/>
      <c r="D106" s="160"/>
      <c r="E106" s="36"/>
      <c r="F106" s="37"/>
      <c r="G106" s="37"/>
    </row>
    <row r="107" spans="1:8" ht="25.5" x14ac:dyDescent="0.2">
      <c r="A107" s="35"/>
      <c r="B107" s="161" t="s">
        <v>107</v>
      </c>
      <c r="C107" s="162"/>
      <c r="D107" s="51" t="s">
        <v>632</v>
      </c>
      <c r="E107" s="36"/>
      <c r="F107" s="37"/>
      <c r="G107" s="37"/>
    </row>
    <row r="108" spans="1:8" x14ac:dyDescent="0.2">
      <c r="A108" s="35"/>
      <c r="B108" s="161" t="s">
        <v>109</v>
      </c>
      <c r="C108" s="162"/>
      <c r="D108" s="16" t="s">
        <v>108</v>
      </c>
      <c r="E108" s="36"/>
      <c r="F108" s="37"/>
      <c r="G108" s="37"/>
    </row>
    <row r="109" spans="1:8" x14ac:dyDescent="0.2">
      <c r="A109" s="35"/>
      <c r="B109" s="161" t="s">
        <v>110</v>
      </c>
      <c r="C109" s="162"/>
      <c r="D109" s="21" t="s">
        <v>12</v>
      </c>
      <c r="E109" s="36"/>
      <c r="F109" s="37"/>
      <c r="G109" s="37"/>
    </row>
    <row r="110" spans="1:8" x14ac:dyDescent="0.2">
      <c r="A110" s="38"/>
      <c r="B110" s="39" t="s">
        <v>12</v>
      </c>
      <c r="C110" s="39" t="s">
        <v>550</v>
      </c>
      <c r="D110" s="39" t="s">
        <v>111</v>
      </c>
      <c r="E110" s="38"/>
      <c r="F110" s="38"/>
      <c r="G110" s="38"/>
    </row>
    <row r="111" spans="1:8" x14ac:dyDescent="0.2">
      <c r="A111" s="38"/>
      <c r="B111" s="40" t="s">
        <v>112</v>
      </c>
      <c r="C111" s="41">
        <v>45731</v>
      </c>
      <c r="D111" s="41">
        <v>45747</v>
      </c>
      <c r="E111" s="38"/>
      <c r="F111" s="38"/>
      <c r="G111" s="38"/>
    </row>
    <row r="112" spans="1:8" x14ac:dyDescent="0.2">
      <c r="A112" s="42"/>
      <c r="B112" s="24" t="s">
        <v>113</v>
      </c>
      <c r="C112" s="43">
        <v>31.292000000000002</v>
      </c>
      <c r="D112" s="43">
        <v>31.894100000000002</v>
      </c>
      <c r="E112" s="42"/>
      <c r="F112" s="44"/>
      <c r="G112" s="45"/>
    </row>
    <row r="113" spans="1:10" ht="25.5" x14ac:dyDescent="0.2">
      <c r="A113" s="42"/>
      <c r="B113" s="24" t="s">
        <v>670</v>
      </c>
      <c r="C113" s="43">
        <v>13.3367</v>
      </c>
      <c r="D113" s="43">
        <v>13.514200000000001</v>
      </c>
      <c r="E113" s="42"/>
      <c r="F113" s="44"/>
      <c r="G113" s="45"/>
    </row>
    <row r="114" spans="1:10" ht="25.5" x14ac:dyDescent="0.2">
      <c r="A114" s="42"/>
      <c r="B114" s="24" t="s">
        <v>671</v>
      </c>
      <c r="C114" s="43">
        <v>20.598099999999999</v>
      </c>
      <c r="D114" s="43">
        <v>20.994499999999999</v>
      </c>
      <c r="E114" s="42"/>
      <c r="F114" s="44"/>
      <c r="G114" s="45"/>
    </row>
    <row r="115" spans="1:10" ht="25.5" x14ac:dyDescent="0.2">
      <c r="A115" s="42"/>
      <c r="B115" s="24" t="s">
        <v>672</v>
      </c>
      <c r="C115" s="43">
        <v>20.506699999999999</v>
      </c>
      <c r="D115" s="43">
        <v>20.901299999999999</v>
      </c>
      <c r="E115" s="42"/>
      <c r="F115" s="44"/>
      <c r="G115" s="45"/>
    </row>
    <row r="116" spans="1:10" x14ac:dyDescent="0.2">
      <c r="A116" s="42"/>
      <c r="B116" s="24" t="s">
        <v>114</v>
      </c>
      <c r="C116" s="43">
        <v>28.467700000000001</v>
      </c>
      <c r="D116" s="43">
        <v>29.006599999999999</v>
      </c>
      <c r="E116" s="42"/>
      <c r="F116" s="44"/>
      <c r="G116" s="45"/>
    </row>
    <row r="117" spans="1:10" ht="25.5" x14ac:dyDescent="0.2">
      <c r="A117" s="42"/>
      <c r="B117" s="24" t="s">
        <v>674</v>
      </c>
      <c r="C117" s="43">
        <v>13.2105</v>
      </c>
      <c r="D117" s="43">
        <v>13.3825</v>
      </c>
      <c r="E117" s="42"/>
      <c r="F117" s="44"/>
      <c r="G117" s="45"/>
    </row>
    <row r="118" spans="1:10" ht="25.5" x14ac:dyDescent="0.2">
      <c r="A118" s="42"/>
      <c r="B118" s="24" t="s">
        <v>646</v>
      </c>
      <c r="C118" s="43">
        <v>18.6294</v>
      </c>
      <c r="D118" s="43">
        <v>18.981999999999999</v>
      </c>
      <c r="E118" s="42"/>
      <c r="F118" s="44"/>
      <c r="G118" s="45"/>
    </row>
    <row r="119" spans="1:10" ht="25.5" x14ac:dyDescent="0.2">
      <c r="A119" s="42"/>
      <c r="B119" s="24" t="s">
        <v>675</v>
      </c>
      <c r="C119" s="43">
        <v>18.468</v>
      </c>
      <c r="D119" s="43">
        <v>18.817599999999999</v>
      </c>
      <c r="E119" s="42"/>
      <c r="F119" s="44"/>
      <c r="G119" s="45"/>
    </row>
    <row r="120" spans="1:10" x14ac:dyDescent="0.2">
      <c r="A120" s="42"/>
      <c r="B120" s="42"/>
      <c r="C120" s="42"/>
      <c r="D120" s="42"/>
      <c r="E120" s="42"/>
      <c r="F120" s="42"/>
      <c r="G120" s="42"/>
    </row>
    <row r="121" spans="1:10" x14ac:dyDescent="0.2">
      <c r="A121" s="42"/>
      <c r="B121" s="161" t="s">
        <v>563</v>
      </c>
      <c r="C121" s="162"/>
      <c r="D121" s="16" t="s">
        <v>12</v>
      </c>
      <c r="E121" s="42"/>
      <c r="F121" s="42"/>
      <c r="G121" s="42"/>
    </row>
    <row r="122" spans="1:10" x14ac:dyDescent="0.2">
      <c r="A122" s="42"/>
      <c r="B122" s="46" t="s">
        <v>112</v>
      </c>
      <c r="C122" s="47" t="s">
        <v>115</v>
      </c>
      <c r="D122" s="47" t="s">
        <v>116</v>
      </c>
      <c r="E122" s="42"/>
      <c r="F122" s="42"/>
      <c r="G122" s="42"/>
    </row>
    <row r="123" spans="1:10" ht="25.5" x14ac:dyDescent="0.2">
      <c r="A123" s="42"/>
      <c r="B123" s="24" t="s">
        <v>670</v>
      </c>
      <c r="C123" s="48">
        <v>7.8E-2</v>
      </c>
      <c r="D123" s="28" t="s">
        <v>117</v>
      </c>
      <c r="E123" s="42"/>
      <c r="F123" s="44"/>
      <c r="G123" s="45"/>
    </row>
    <row r="124" spans="1:10" ht="25.5" x14ac:dyDescent="0.2">
      <c r="A124" s="42"/>
      <c r="B124" s="24" t="s">
        <v>674</v>
      </c>
      <c r="C124" s="48">
        <v>7.6999999999999999E-2</v>
      </c>
      <c r="D124" s="28" t="s">
        <v>117</v>
      </c>
      <c r="E124" s="42"/>
      <c r="F124" s="44"/>
      <c r="G124" s="45"/>
    </row>
    <row r="125" spans="1:10" x14ac:dyDescent="0.2">
      <c r="A125" s="42"/>
      <c r="B125" s="49"/>
      <c r="C125" s="49"/>
      <c r="D125" s="50"/>
      <c r="E125" s="42"/>
      <c r="F125" s="44"/>
      <c r="G125" s="45"/>
    </row>
    <row r="126" spans="1:10" x14ac:dyDescent="0.2">
      <c r="A126" s="38"/>
      <c r="B126" s="163" t="s">
        <v>118</v>
      </c>
      <c r="C126" s="164"/>
      <c r="D126" s="51" t="s">
        <v>108</v>
      </c>
      <c r="E126" s="52"/>
      <c r="F126" s="38"/>
      <c r="G126" s="38"/>
      <c r="J126" s="14"/>
    </row>
    <row r="127" spans="1:10" x14ac:dyDescent="0.2">
      <c r="A127" s="38"/>
      <c r="B127" s="163" t="s">
        <v>119</v>
      </c>
      <c r="C127" s="164"/>
      <c r="D127" s="51" t="s">
        <v>108</v>
      </c>
      <c r="E127" s="52"/>
      <c r="F127" s="38"/>
      <c r="G127" s="38"/>
      <c r="J127" s="14"/>
    </row>
    <row r="128" spans="1:10" x14ac:dyDescent="0.2">
      <c r="A128" s="38"/>
      <c r="B128" s="163" t="s">
        <v>551</v>
      </c>
      <c r="C128" s="164"/>
      <c r="D128" s="51" t="s">
        <v>108</v>
      </c>
      <c r="E128" s="52"/>
      <c r="F128" s="38"/>
      <c r="G128" s="38"/>
      <c r="J128" s="14"/>
    </row>
    <row r="129" spans="1:18" x14ac:dyDescent="0.2">
      <c r="A129" s="54"/>
      <c r="B129" s="54"/>
      <c r="C129" s="54"/>
      <c r="D129" s="54"/>
      <c r="E129" s="54"/>
      <c r="F129" s="54"/>
      <c r="G129" s="54"/>
      <c r="J129" s="14"/>
    </row>
    <row r="130" spans="1:18" s="55" customFormat="1" x14ac:dyDescent="0.2">
      <c r="B130" s="166" t="s">
        <v>552</v>
      </c>
      <c r="C130" s="167"/>
      <c r="D130" s="168"/>
      <c r="I130"/>
      <c r="J130" s="14"/>
      <c r="K130" s="53"/>
      <c r="L130" s="53"/>
      <c r="M130" s="53"/>
      <c r="N130" s="53"/>
      <c r="O130"/>
      <c r="R130"/>
    </row>
    <row r="131" spans="1:18" s="55" customFormat="1" ht="38.25" x14ac:dyDescent="0.2">
      <c r="B131" s="156" t="s">
        <v>553</v>
      </c>
      <c r="C131" s="156"/>
      <c r="D131" s="57" t="s">
        <v>462</v>
      </c>
      <c r="I131"/>
      <c r="J131" s="14"/>
      <c r="K131" s="53"/>
      <c r="L131" s="53"/>
      <c r="M131" s="53"/>
      <c r="N131" s="53"/>
      <c r="O131"/>
      <c r="R131"/>
    </row>
    <row r="132" spans="1:18" s="55" customFormat="1" x14ac:dyDescent="0.2">
      <c r="B132" s="169" t="s">
        <v>554</v>
      </c>
      <c r="C132" s="169"/>
      <c r="D132" s="58"/>
      <c r="I132"/>
      <c r="J132" s="14"/>
      <c r="K132" s="53"/>
      <c r="L132" s="53"/>
      <c r="M132" s="53"/>
      <c r="N132" s="53"/>
      <c r="O132"/>
      <c r="R132"/>
    </row>
    <row r="133" spans="1:18" s="55" customFormat="1" x14ac:dyDescent="0.2">
      <c r="B133" s="169"/>
      <c r="C133" s="169"/>
      <c r="D133" s="59"/>
      <c r="I133"/>
      <c r="J133" s="14"/>
      <c r="K133" s="53"/>
      <c r="L133" s="53"/>
      <c r="M133" s="53"/>
      <c r="N133" s="53"/>
      <c r="O133"/>
    </row>
    <row r="134" spans="1:18" s="55" customFormat="1" x14ac:dyDescent="0.2">
      <c r="B134" s="169" t="s">
        <v>555</v>
      </c>
      <c r="C134" s="169"/>
      <c r="D134" s="60">
        <v>6.8815869470972366</v>
      </c>
      <c r="I134"/>
      <c r="J134" s="14"/>
      <c r="K134" s="53"/>
      <c r="L134" s="53"/>
      <c r="M134" s="53"/>
      <c r="N134" s="53"/>
      <c r="O134"/>
    </row>
    <row r="135" spans="1:18" s="55" customFormat="1" x14ac:dyDescent="0.2">
      <c r="B135" s="169"/>
      <c r="C135" s="169"/>
      <c r="D135" s="59"/>
      <c r="I135"/>
      <c r="J135" s="14"/>
      <c r="K135" s="53"/>
      <c r="L135" s="53"/>
      <c r="M135" s="53"/>
      <c r="N135" s="53"/>
      <c r="O135"/>
    </row>
    <row r="136" spans="1:18" s="55" customFormat="1" x14ac:dyDescent="0.2">
      <c r="B136" s="169" t="s">
        <v>658</v>
      </c>
      <c r="C136" s="169"/>
      <c r="D136" s="60">
        <v>8.0374980077046665</v>
      </c>
      <c r="I136"/>
      <c r="J136" s="14"/>
      <c r="K136" s="53"/>
      <c r="L136" s="53"/>
      <c r="M136" s="53"/>
      <c r="N136" s="53"/>
      <c r="O136"/>
    </row>
    <row r="137" spans="1:18" s="55" customFormat="1" x14ac:dyDescent="0.2">
      <c r="B137" s="169" t="s">
        <v>659</v>
      </c>
      <c r="C137" s="169"/>
      <c r="D137" s="60">
        <v>16.597117766721908</v>
      </c>
      <c r="I137"/>
      <c r="J137" s="14"/>
      <c r="K137" s="53"/>
      <c r="L137" s="53"/>
      <c r="M137" s="53"/>
      <c r="N137" s="53"/>
      <c r="O137"/>
    </row>
    <row r="138" spans="1:18" s="55" customFormat="1" x14ac:dyDescent="0.2">
      <c r="B138" s="169"/>
      <c r="C138" s="169"/>
      <c r="D138" s="59"/>
      <c r="I138"/>
      <c r="J138" s="14"/>
      <c r="K138" s="53"/>
      <c r="L138" s="53"/>
      <c r="M138" s="53"/>
      <c r="N138" s="53"/>
      <c r="O138"/>
    </row>
    <row r="139" spans="1:18" s="55" customFormat="1" x14ac:dyDescent="0.2">
      <c r="B139" s="169" t="s">
        <v>558</v>
      </c>
      <c r="C139" s="169"/>
      <c r="D139" s="81" t="s">
        <v>677</v>
      </c>
      <c r="I139"/>
      <c r="J139" s="14"/>
      <c r="K139" s="53"/>
      <c r="L139" s="53"/>
      <c r="M139" s="53"/>
      <c r="N139" s="53"/>
      <c r="O139"/>
    </row>
    <row r="140" spans="1:18" s="55" customFormat="1" x14ac:dyDescent="0.2">
      <c r="B140" s="170" t="s">
        <v>559</v>
      </c>
      <c r="C140" s="172"/>
      <c r="D140" s="171"/>
      <c r="I140"/>
      <c r="J140" s="14"/>
      <c r="K140" s="53"/>
      <c r="L140" s="53"/>
      <c r="M140" s="53"/>
      <c r="N140" s="53"/>
      <c r="O140"/>
    </row>
    <row r="141" spans="1:18" x14ac:dyDescent="0.2">
      <c r="J141" s="14"/>
    </row>
    <row r="142" spans="1:18" ht="13.5" x14ac:dyDescent="0.2">
      <c r="B142" s="230" t="s">
        <v>681</v>
      </c>
      <c r="C142" s="230"/>
      <c r="D142" s="230"/>
      <c r="E142" s="230"/>
      <c r="F142" s="230"/>
      <c r="G142" s="230"/>
      <c r="H142" s="230"/>
      <c r="I142" s="53"/>
      <c r="J142" s="14"/>
      <c r="K142" s="53"/>
      <c r="L142" s="53"/>
      <c r="M142" s="53"/>
      <c r="N142" s="53"/>
      <c r="O142" s="53"/>
      <c r="P142" s="53"/>
    </row>
    <row r="143" spans="1:18" s="56" customFormat="1" ht="26.25" customHeight="1" x14ac:dyDescent="0.2">
      <c r="B143" s="82" t="s">
        <v>573</v>
      </c>
      <c r="C143" s="82" t="s">
        <v>574</v>
      </c>
      <c r="D143" s="197" t="s">
        <v>660</v>
      </c>
      <c r="E143" s="197"/>
      <c r="F143" s="197"/>
      <c r="G143" s="196" t="s">
        <v>576</v>
      </c>
      <c r="H143" s="196"/>
      <c r="J143" s="14"/>
      <c r="K143" s="84"/>
      <c r="L143" s="84"/>
      <c r="M143" s="84"/>
      <c r="N143" s="84"/>
      <c r="O143" s="84"/>
      <c r="P143" s="84"/>
    </row>
    <row r="144" spans="1:18" ht="27" x14ac:dyDescent="0.25">
      <c r="B144" s="85" t="s">
        <v>612</v>
      </c>
      <c r="C144" s="86" t="s">
        <v>661</v>
      </c>
      <c r="D144" s="180">
        <v>0</v>
      </c>
      <c r="E144" s="180"/>
      <c r="F144" s="180"/>
      <c r="G144" s="180">
        <v>0</v>
      </c>
      <c r="H144" s="180"/>
      <c r="J144" s="14"/>
      <c r="K144" s="53"/>
      <c r="L144" s="53"/>
      <c r="M144" s="53"/>
      <c r="N144" s="53"/>
      <c r="O144" s="53"/>
      <c r="P144" s="53"/>
    </row>
    <row r="145" spans="2:16" ht="13.5" x14ac:dyDescent="0.25">
      <c r="B145" s="87"/>
      <c r="C145" s="87"/>
      <c r="D145" s="181"/>
      <c r="E145" s="181"/>
      <c r="F145" s="181"/>
      <c r="G145" s="181"/>
      <c r="H145" s="181"/>
      <c r="J145" s="14"/>
      <c r="K145" s="53"/>
      <c r="L145" s="53"/>
      <c r="M145" s="53"/>
      <c r="N145" s="53"/>
      <c r="O145" s="53"/>
      <c r="P145" s="53"/>
    </row>
    <row r="146" spans="2:16" ht="13.5" x14ac:dyDescent="0.25">
      <c r="B146" s="179" t="s">
        <v>583</v>
      </c>
      <c r="C146" s="179"/>
      <c r="D146" s="179"/>
      <c r="E146" s="179"/>
      <c r="F146" s="179"/>
      <c r="G146" s="179"/>
      <c r="H146" s="179"/>
      <c r="J146" s="14"/>
      <c r="K146" s="53"/>
      <c r="L146" s="53"/>
      <c r="M146" s="53"/>
      <c r="N146" s="53"/>
      <c r="O146" s="53"/>
      <c r="P146" s="53"/>
    </row>
    <row r="147" spans="2:16" ht="13.5" customHeight="1" x14ac:dyDescent="0.2">
      <c r="B147" s="196" t="s">
        <v>573</v>
      </c>
      <c r="C147" s="196" t="s">
        <v>574</v>
      </c>
      <c r="D147" s="196" t="s">
        <v>615</v>
      </c>
      <c r="E147" s="196"/>
      <c r="F147" s="196"/>
      <c r="G147" s="196"/>
      <c r="H147" s="197" t="s">
        <v>662</v>
      </c>
      <c r="I147" s="197" t="s">
        <v>663</v>
      </c>
      <c r="J147" s="197" t="s">
        <v>618</v>
      </c>
      <c r="K147" s="53"/>
      <c r="L147" s="53"/>
      <c r="M147" s="53"/>
      <c r="N147" s="53"/>
      <c r="O147" s="53"/>
      <c r="P147" s="53"/>
    </row>
    <row r="148" spans="2:16" ht="121.5" x14ac:dyDescent="0.2">
      <c r="B148" s="196"/>
      <c r="C148" s="196"/>
      <c r="D148" s="83" t="s">
        <v>619</v>
      </c>
      <c r="E148" s="83" t="s">
        <v>620</v>
      </c>
      <c r="F148" s="83" t="s">
        <v>621</v>
      </c>
      <c r="G148" s="83" t="s">
        <v>651</v>
      </c>
      <c r="H148" s="197"/>
      <c r="I148" s="197"/>
      <c r="J148" s="197"/>
      <c r="K148" s="53"/>
      <c r="L148" s="53"/>
      <c r="M148" s="53"/>
      <c r="N148" s="53"/>
      <c r="O148" s="53"/>
    </row>
    <row r="149" spans="2:16" ht="27" x14ac:dyDescent="0.25">
      <c r="B149" s="87" t="s">
        <v>612</v>
      </c>
      <c r="C149" s="86" t="s">
        <v>664</v>
      </c>
      <c r="D149" s="89">
        <v>500</v>
      </c>
      <c r="E149" s="89">
        <v>9.9405737999999992</v>
      </c>
      <c r="F149" s="90">
        <v>16.00737140547945</v>
      </c>
      <c r="G149" s="89">
        <v>525.94794520547941</v>
      </c>
      <c r="H149" s="8">
        <v>233.40679</v>
      </c>
      <c r="I149" s="8">
        <v>4.01</v>
      </c>
      <c r="J149" s="91">
        <f>H149+I149</f>
        <v>237.41678999999999</v>
      </c>
      <c r="K149" s="53"/>
      <c r="L149" s="53"/>
      <c r="M149" s="53"/>
      <c r="N149" s="53"/>
      <c r="O149" s="53"/>
      <c r="P149" s="53"/>
    </row>
    <row r="150" spans="2:16" x14ac:dyDescent="0.2">
      <c r="J150" s="14"/>
      <c r="P150" s="53"/>
    </row>
    <row r="151" spans="2:16" x14ac:dyDescent="0.2">
      <c r="J151" s="14"/>
      <c r="K151" s="53"/>
      <c r="L151" s="53"/>
      <c r="M151" s="53"/>
      <c r="N151" s="53"/>
      <c r="O151" s="53"/>
      <c r="P151" s="53"/>
    </row>
    <row r="152" spans="2:16" ht="13.5" x14ac:dyDescent="0.25">
      <c r="B152" s="92" t="s">
        <v>602</v>
      </c>
      <c r="J152" s="14"/>
      <c r="K152" s="53"/>
      <c r="L152" s="53"/>
      <c r="M152" s="53"/>
      <c r="N152" s="53"/>
      <c r="O152" s="53"/>
      <c r="P152" s="53"/>
    </row>
    <row r="153" spans="2:16" x14ac:dyDescent="0.2">
      <c r="B153" s="53"/>
      <c r="C153" s="53"/>
      <c r="D153" s="53"/>
      <c r="E153" s="53"/>
      <c r="F153" s="53"/>
      <c r="G153" s="53"/>
      <c r="H153" s="53"/>
      <c r="J153" s="14"/>
      <c r="K153" s="53"/>
      <c r="L153" s="53"/>
      <c r="M153" s="53"/>
      <c r="N153" s="53"/>
      <c r="O153" s="53"/>
      <c r="P153" s="53"/>
    </row>
    <row r="154" spans="2:16" x14ac:dyDescent="0.2">
      <c r="B154" s="93" t="s">
        <v>603</v>
      </c>
      <c r="C154" s="53"/>
      <c r="D154" s="53"/>
      <c r="E154" s="53"/>
      <c r="F154" s="53"/>
      <c r="G154" s="53"/>
      <c r="H154" s="53"/>
      <c r="J154" s="14"/>
      <c r="K154" s="53"/>
      <c r="L154" s="53"/>
      <c r="M154" s="53"/>
      <c r="N154" s="53"/>
      <c r="O154" s="53"/>
      <c r="P154" s="53"/>
    </row>
    <row r="155" spans="2:16" x14ac:dyDescent="0.2">
      <c r="B155" s="53"/>
      <c r="C155" s="53"/>
      <c r="D155" s="53"/>
      <c r="E155" s="53"/>
      <c r="F155" s="53"/>
      <c r="G155" s="53"/>
      <c r="H155" s="53"/>
      <c r="J155" s="14"/>
      <c r="K155" s="53"/>
      <c r="L155" s="53"/>
      <c r="M155" s="53"/>
      <c r="N155" s="53"/>
      <c r="O155" s="53"/>
      <c r="P155" s="53"/>
    </row>
    <row r="156" spans="2:16" x14ac:dyDescent="0.2">
      <c r="B156" s="93" t="s">
        <v>604</v>
      </c>
      <c r="C156" s="53"/>
      <c r="D156" s="53"/>
      <c r="E156" s="53"/>
      <c r="F156" s="53"/>
      <c r="G156" s="53"/>
      <c r="H156" s="53"/>
      <c r="J156" s="14"/>
      <c r="K156" s="53"/>
      <c r="L156" s="53"/>
      <c r="M156" s="53"/>
      <c r="N156" s="53"/>
      <c r="O156" s="53"/>
      <c r="P156" s="53"/>
    </row>
    <row r="157" spans="2:16" x14ac:dyDescent="0.2">
      <c r="J157" s="14"/>
      <c r="K157" s="53"/>
      <c r="L157" s="53"/>
      <c r="M157" s="53"/>
      <c r="N157" s="53"/>
      <c r="O157" s="53"/>
    </row>
    <row r="158" spans="2:16" x14ac:dyDescent="0.2">
      <c r="B158" s="93" t="s">
        <v>605</v>
      </c>
      <c r="J158" s="14"/>
      <c r="K158" s="53"/>
      <c r="L158" s="53"/>
      <c r="M158" s="53"/>
      <c r="N158" s="53"/>
      <c r="O158" s="53"/>
    </row>
    <row r="159" spans="2:16" x14ac:dyDescent="0.2">
      <c r="J159" s="14"/>
    </row>
    <row r="160" spans="2:16" ht="25.5" x14ac:dyDescent="0.2">
      <c r="B160" s="64" t="s">
        <v>560</v>
      </c>
    </row>
    <row r="162" spans="2:10" ht="153.75" customHeight="1" x14ac:dyDescent="0.2"/>
    <row r="165" spans="2:10" x14ac:dyDescent="0.2">
      <c r="B165" s="65" t="s">
        <v>561</v>
      </c>
      <c r="C165" s="66"/>
      <c r="D165" s="65"/>
    </row>
    <row r="166" spans="2:10" x14ac:dyDescent="0.2">
      <c r="B166" s="65" t="s">
        <v>665</v>
      </c>
      <c r="D166" s="65"/>
    </row>
    <row r="167" spans="2:10" ht="165" customHeight="1" x14ac:dyDescent="0.2"/>
    <row r="169" spans="2:10" x14ac:dyDescent="0.2">
      <c r="J169" s="14"/>
    </row>
    <row r="170" spans="2:10" x14ac:dyDescent="0.2">
      <c r="J170" s="14"/>
    </row>
    <row r="171" spans="2:10" x14ac:dyDescent="0.2">
      <c r="J171" s="14"/>
    </row>
    <row r="172" spans="2:10" x14ac:dyDescent="0.2">
      <c r="J172" s="14"/>
    </row>
    <row r="173" spans="2:10" x14ac:dyDescent="0.2">
      <c r="J173" s="14"/>
    </row>
    <row r="174" spans="2:10" x14ac:dyDescent="0.2">
      <c r="J174" s="14"/>
    </row>
    <row r="175" spans="2:10" x14ac:dyDescent="0.2">
      <c r="J175" s="14"/>
    </row>
    <row r="176" spans="2:10" x14ac:dyDescent="0.2">
      <c r="J176" s="14"/>
    </row>
    <row r="177" spans="10:10" x14ac:dyDescent="0.2">
      <c r="J177" s="14"/>
    </row>
  </sheetData>
  <mergeCells count="39">
    <mergeCell ref="I147:I148"/>
    <mergeCell ref="J147:J148"/>
    <mergeCell ref="B146:H146"/>
    <mergeCell ref="B147:B148"/>
    <mergeCell ref="C147:C148"/>
    <mergeCell ref="D147:G147"/>
    <mergeCell ref="H147:H148"/>
    <mergeCell ref="D143:F143"/>
    <mergeCell ref="G143:H143"/>
    <mergeCell ref="D144:F144"/>
    <mergeCell ref="G144:H144"/>
    <mergeCell ref="D145:F145"/>
    <mergeCell ref="G145:H145"/>
    <mergeCell ref="B137:C137"/>
    <mergeCell ref="B138:C138"/>
    <mergeCell ref="B139:C139"/>
    <mergeCell ref="B140:D140"/>
    <mergeCell ref="B142:H142"/>
    <mergeCell ref="B132:C132"/>
    <mergeCell ref="B133:C133"/>
    <mergeCell ref="B134:C134"/>
    <mergeCell ref="B135:C135"/>
    <mergeCell ref="B136:C136"/>
    <mergeCell ref="B130:D130"/>
    <mergeCell ref="B131:C131"/>
    <mergeCell ref="B127:C127"/>
    <mergeCell ref="B128:C128"/>
    <mergeCell ref="B108:C108"/>
    <mergeCell ref="B109:C109"/>
    <mergeCell ref="B121:C121"/>
    <mergeCell ref="B126:C126"/>
    <mergeCell ref="A1:H1"/>
    <mergeCell ref="A2:H2"/>
    <mergeCell ref="A3:H3"/>
    <mergeCell ref="B106:D106"/>
    <mergeCell ref="B107:C107"/>
    <mergeCell ref="B102:H102"/>
    <mergeCell ref="B103:H103"/>
    <mergeCell ref="B104:H104"/>
  </mergeCells>
  <hyperlinks>
    <hyperlink ref="I1" location="Index!B2" display="Index" xr:uid="{21D32B14-A6A6-4720-A17E-33BA5C4E892F}"/>
    <hyperlink ref="B154" r:id="rId1" xr:uid="{283BBF0B-3463-49FE-BD92-CC3CDA2A5A46}"/>
    <hyperlink ref="B156" r:id="rId2" xr:uid="{806C0F84-6692-43A9-8AB6-C7A8BCF9BF65}"/>
    <hyperlink ref="B158" r:id="rId3" xr:uid="{4C865EDD-3B48-4EAB-89D2-8E854500504C}"/>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01235-3450-41EF-AB35-5545F33A96D0}">
  <sheetPr>
    <outlinePr summaryBelow="0" summaryRight="0"/>
  </sheetPr>
  <dimension ref="A1:U120"/>
  <sheetViews>
    <sheetView showGridLines="0" workbookViewId="0">
      <selection sqref="A1:H1"/>
    </sheetView>
  </sheetViews>
  <sheetFormatPr defaultRowHeight="12.75" x14ac:dyDescent="0.2"/>
  <cols>
    <col min="1" max="1" width="5.85546875" bestFit="1" customWidth="1"/>
    <col min="2" max="2" width="21.85546875" customWidth="1"/>
    <col min="3" max="3" width="39.140625" bestFit="1" customWidth="1"/>
    <col min="4" max="4" width="13.7109375" customWidth="1"/>
    <col min="5" max="5" width="8.7109375" bestFit="1" customWidth="1"/>
    <col min="6" max="6" width="10.140625" bestFit="1" customWidth="1"/>
    <col min="7" max="7" width="14" bestFit="1" customWidth="1"/>
    <col min="8" max="8" width="9.42578125" customWidth="1"/>
  </cols>
  <sheetData>
    <row r="1" spans="1:9" ht="15" x14ac:dyDescent="0.2">
      <c r="A1" s="157" t="s">
        <v>0</v>
      </c>
      <c r="B1" s="157"/>
      <c r="C1" s="157"/>
      <c r="D1" s="157"/>
      <c r="E1" s="157"/>
      <c r="F1" s="157"/>
      <c r="G1" s="157"/>
      <c r="H1" s="157"/>
      <c r="I1" s="1" t="s">
        <v>531</v>
      </c>
    </row>
    <row r="2" spans="1:9" ht="15" x14ac:dyDescent="0.2">
      <c r="A2" s="157" t="s">
        <v>524</v>
      </c>
      <c r="B2" s="157"/>
      <c r="C2" s="157"/>
      <c r="D2" s="157"/>
      <c r="E2" s="157"/>
      <c r="F2" s="157"/>
      <c r="G2" s="157"/>
      <c r="H2" s="157"/>
    </row>
    <row r="3" spans="1:9" ht="15" x14ac:dyDescent="0.2">
      <c r="A3" s="157" t="s">
        <v>532</v>
      </c>
      <c r="B3" s="157"/>
      <c r="C3" s="157"/>
      <c r="D3" s="157"/>
      <c r="E3" s="157"/>
      <c r="F3" s="157"/>
      <c r="G3" s="157"/>
      <c r="H3" s="157"/>
    </row>
    <row r="4" spans="1:9" s="14" customFormat="1" ht="30" x14ac:dyDescent="0.2">
      <c r="A4" s="12" t="s">
        <v>2</v>
      </c>
      <c r="B4" s="12" t="s">
        <v>3</v>
      </c>
      <c r="C4" s="12" t="s">
        <v>4</v>
      </c>
      <c r="D4" s="12" t="s">
        <v>5</v>
      </c>
      <c r="E4" s="12" t="s">
        <v>6</v>
      </c>
      <c r="F4" s="12" t="s">
        <v>7</v>
      </c>
      <c r="G4" s="12" t="s">
        <v>8</v>
      </c>
      <c r="H4" s="13" t="s">
        <v>669</v>
      </c>
    </row>
    <row r="5" spans="1:9" x14ac:dyDescent="0.2">
      <c r="A5" s="15"/>
      <c r="B5" s="15"/>
      <c r="C5" s="16" t="s">
        <v>9</v>
      </c>
      <c r="D5" s="15"/>
      <c r="E5" s="15"/>
      <c r="F5" s="15"/>
      <c r="G5" s="15"/>
      <c r="H5" s="17" t="s">
        <v>12</v>
      </c>
    </row>
    <row r="6" spans="1:9" x14ac:dyDescent="0.2">
      <c r="A6" s="15"/>
      <c r="B6" s="15"/>
      <c r="C6" s="16" t="s">
        <v>10</v>
      </c>
      <c r="D6" s="15"/>
      <c r="E6" s="15"/>
      <c r="F6" s="15"/>
      <c r="G6" s="15"/>
      <c r="H6" s="17" t="s">
        <v>12</v>
      </c>
    </row>
    <row r="7" spans="1:9" x14ac:dyDescent="0.2">
      <c r="A7" s="15"/>
      <c r="B7" s="15"/>
      <c r="C7" s="16" t="s">
        <v>11</v>
      </c>
      <c r="D7" s="15"/>
      <c r="E7" s="15" t="s">
        <v>12</v>
      </c>
      <c r="F7" s="18" t="s">
        <v>13</v>
      </c>
      <c r="G7" s="19">
        <v>0</v>
      </c>
      <c r="H7" s="17" t="s">
        <v>12</v>
      </c>
    </row>
    <row r="8" spans="1:9" x14ac:dyDescent="0.2">
      <c r="A8" s="15"/>
      <c r="B8" s="15"/>
      <c r="C8" s="20"/>
      <c r="D8" s="15"/>
      <c r="E8" s="15"/>
      <c r="F8" s="21"/>
      <c r="G8" s="21"/>
      <c r="H8" s="17" t="s">
        <v>12</v>
      </c>
    </row>
    <row r="9" spans="1:9" x14ac:dyDescent="0.2">
      <c r="A9" s="15"/>
      <c r="B9" s="15"/>
      <c r="C9" s="16" t="s">
        <v>14</v>
      </c>
      <c r="D9" s="15"/>
      <c r="E9" s="15"/>
      <c r="F9" s="15"/>
      <c r="G9" s="15"/>
      <c r="H9" s="17" t="s">
        <v>12</v>
      </c>
    </row>
    <row r="10" spans="1:9" x14ac:dyDescent="0.2">
      <c r="A10" s="15"/>
      <c r="B10" s="15"/>
      <c r="C10" s="16" t="s">
        <v>11</v>
      </c>
      <c r="D10" s="15"/>
      <c r="E10" s="15" t="s">
        <v>12</v>
      </c>
      <c r="F10" s="18" t="s">
        <v>13</v>
      </c>
      <c r="G10" s="19">
        <v>0</v>
      </c>
      <c r="H10" s="17" t="s">
        <v>12</v>
      </c>
    </row>
    <row r="11" spans="1:9" x14ac:dyDescent="0.2">
      <c r="A11" s="15"/>
      <c r="B11" s="15"/>
      <c r="C11" s="20"/>
      <c r="D11" s="15"/>
      <c r="E11" s="15"/>
      <c r="F11" s="21"/>
      <c r="G11" s="21"/>
      <c r="H11" s="17" t="s">
        <v>12</v>
      </c>
    </row>
    <row r="12" spans="1:9" x14ac:dyDescent="0.2">
      <c r="A12" s="15"/>
      <c r="B12" s="15"/>
      <c r="C12" s="16" t="s">
        <v>15</v>
      </c>
      <c r="D12" s="15"/>
      <c r="E12" s="15"/>
      <c r="F12" s="15"/>
      <c r="G12" s="15"/>
      <c r="H12" s="17" t="s">
        <v>12</v>
      </c>
    </row>
    <row r="13" spans="1:9" x14ac:dyDescent="0.2">
      <c r="A13" s="15"/>
      <c r="B13" s="15"/>
      <c r="C13" s="16" t="s">
        <v>11</v>
      </c>
      <c r="D13" s="15"/>
      <c r="E13" s="15" t="s">
        <v>12</v>
      </c>
      <c r="F13" s="18" t="s">
        <v>13</v>
      </c>
      <c r="G13" s="19">
        <v>0</v>
      </c>
      <c r="H13" s="17" t="s">
        <v>12</v>
      </c>
    </row>
    <row r="14" spans="1:9" x14ac:dyDescent="0.2">
      <c r="A14" s="15"/>
      <c r="B14" s="15"/>
      <c r="C14" s="20"/>
      <c r="D14" s="15"/>
      <c r="E14" s="15"/>
      <c r="F14" s="21"/>
      <c r="G14" s="21"/>
      <c r="H14" s="17" t="s">
        <v>12</v>
      </c>
    </row>
    <row r="15" spans="1:9" x14ac:dyDescent="0.2">
      <c r="A15" s="15"/>
      <c r="B15" s="15"/>
      <c r="C15" s="16" t="s">
        <v>16</v>
      </c>
      <c r="D15" s="15"/>
      <c r="E15" s="15"/>
      <c r="F15" s="15"/>
      <c r="G15" s="15"/>
      <c r="H15" s="17" t="s">
        <v>12</v>
      </c>
    </row>
    <row r="16" spans="1:9" x14ac:dyDescent="0.2">
      <c r="A16" s="15"/>
      <c r="B16" s="15"/>
      <c r="C16" s="16" t="s">
        <v>11</v>
      </c>
      <c r="D16" s="15"/>
      <c r="E16" s="15" t="s">
        <v>12</v>
      </c>
      <c r="F16" s="18" t="s">
        <v>13</v>
      </c>
      <c r="G16" s="19">
        <v>0</v>
      </c>
      <c r="H16" s="17" t="s">
        <v>12</v>
      </c>
    </row>
    <row r="17" spans="1:8" x14ac:dyDescent="0.2">
      <c r="A17" s="15"/>
      <c r="B17" s="15"/>
      <c r="C17" s="20"/>
      <c r="D17" s="15"/>
      <c r="E17" s="15"/>
      <c r="F17" s="21"/>
      <c r="G17" s="21"/>
      <c r="H17" s="17" t="s">
        <v>12</v>
      </c>
    </row>
    <row r="18" spans="1:8" x14ac:dyDescent="0.2">
      <c r="A18" s="15"/>
      <c r="B18" s="15"/>
      <c r="C18" s="16" t="s">
        <v>17</v>
      </c>
      <c r="D18" s="15"/>
      <c r="E18" s="15"/>
      <c r="F18" s="21"/>
      <c r="G18" s="21"/>
      <c r="H18" s="17" t="s">
        <v>12</v>
      </c>
    </row>
    <row r="19" spans="1:8" x14ac:dyDescent="0.2">
      <c r="A19" s="15"/>
      <c r="B19" s="15"/>
      <c r="C19" s="16" t="s">
        <v>11</v>
      </c>
      <c r="D19" s="15"/>
      <c r="E19" s="15" t="s">
        <v>12</v>
      </c>
      <c r="F19" s="18" t="s">
        <v>13</v>
      </c>
      <c r="G19" s="19">
        <v>0</v>
      </c>
      <c r="H19" s="17" t="s">
        <v>12</v>
      </c>
    </row>
    <row r="20" spans="1:8" x14ac:dyDescent="0.2">
      <c r="A20" s="15"/>
      <c r="B20" s="15"/>
      <c r="C20" s="20"/>
      <c r="D20" s="15"/>
      <c r="E20" s="15"/>
      <c r="F20" s="21"/>
      <c r="G20" s="21"/>
      <c r="H20" s="17" t="s">
        <v>12</v>
      </c>
    </row>
    <row r="21" spans="1:8" x14ac:dyDescent="0.2">
      <c r="A21" s="15"/>
      <c r="B21" s="15"/>
      <c r="C21" s="16" t="s">
        <v>18</v>
      </c>
      <c r="D21" s="15"/>
      <c r="E21" s="15"/>
      <c r="F21" s="21"/>
      <c r="G21" s="21"/>
      <c r="H21" s="17" t="s">
        <v>12</v>
      </c>
    </row>
    <row r="22" spans="1:8" x14ac:dyDescent="0.2">
      <c r="A22" s="15"/>
      <c r="B22" s="15"/>
      <c r="C22" s="16" t="s">
        <v>11</v>
      </c>
      <c r="D22" s="15"/>
      <c r="E22" s="15" t="s">
        <v>12</v>
      </c>
      <c r="F22" s="18" t="s">
        <v>13</v>
      </c>
      <c r="G22" s="19">
        <v>0</v>
      </c>
      <c r="H22" s="17" t="s">
        <v>12</v>
      </c>
    </row>
    <row r="23" spans="1:8" x14ac:dyDescent="0.2">
      <c r="A23" s="15"/>
      <c r="B23" s="15"/>
      <c r="C23" s="20"/>
      <c r="D23" s="15"/>
      <c r="E23" s="15"/>
      <c r="F23" s="21"/>
      <c r="G23" s="21"/>
      <c r="H23" s="17" t="s">
        <v>12</v>
      </c>
    </row>
    <row r="24" spans="1:8" x14ac:dyDescent="0.2">
      <c r="A24" s="15"/>
      <c r="B24" s="15"/>
      <c r="C24" s="16" t="s">
        <v>19</v>
      </c>
      <c r="D24" s="15"/>
      <c r="E24" s="15"/>
      <c r="F24" s="22">
        <v>0</v>
      </c>
      <c r="G24" s="19">
        <v>0</v>
      </c>
      <c r="H24" s="17" t="s">
        <v>12</v>
      </c>
    </row>
    <row r="25" spans="1:8" x14ac:dyDescent="0.2">
      <c r="A25" s="15"/>
      <c r="B25" s="15"/>
      <c r="C25" s="20"/>
      <c r="D25" s="15"/>
      <c r="E25" s="15"/>
      <c r="F25" s="21"/>
      <c r="G25" s="21"/>
      <c r="H25" s="17" t="s">
        <v>12</v>
      </c>
    </row>
    <row r="26" spans="1:8" x14ac:dyDescent="0.2">
      <c r="A26" s="15"/>
      <c r="B26" s="15"/>
      <c r="C26" s="16" t="s">
        <v>20</v>
      </c>
      <c r="D26" s="15"/>
      <c r="E26" s="15"/>
      <c r="F26" s="21"/>
      <c r="G26" s="21"/>
      <c r="H26" s="17" t="s">
        <v>12</v>
      </c>
    </row>
    <row r="27" spans="1:8" x14ac:dyDescent="0.2">
      <c r="A27" s="15"/>
      <c r="B27" s="15"/>
      <c r="C27" s="16" t="s">
        <v>10</v>
      </c>
      <c r="D27" s="15"/>
      <c r="E27" s="15"/>
      <c r="F27" s="21"/>
      <c r="G27" s="21"/>
      <c r="H27" s="17" t="s">
        <v>12</v>
      </c>
    </row>
    <row r="28" spans="1:8" x14ac:dyDescent="0.2">
      <c r="A28" s="15"/>
      <c r="B28" s="15"/>
      <c r="C28" s="16" t="s">
        <v>11</v>
      </c>
      <c r="D28" s="15"/>
      <c r="E28" s="15" t="s">
        <v>12</v>
      </c>
      <c r="F28" s="18" t="s">
        <v>13</v>
      </c>
      <c r="G28" s="19">
        <v>0</v>
      </c>
      <c r="H28" s="17" t="s">
        <v>12</v>
      </c>
    </row>
    <row r="29" spans="1:8" x14ac:dyDescent="0.2">
      <c r="A29" s="15"/>
      <c r="B29" s="15"/>
      <c r="C29" s="20"/>
      <c r="D29" s="15"/>
      <c r="E29" s="15"/>
      <c r="F29" s="21"/>
      <c r="G29" s="21"/>
      <c r="H29" s="17" t="s">
        <v>12</v>
      </c>
    </row>
    <row r="30" spans="1:8" x14ac:dyDescent="0.2">
      <c r="A30" s="15"/>
      <c r="B30" s="15"/>
      <c r="C30" s="16" t="s">
        <v>71</v>
      </c>
      <c r="D30" s="15"/>
      <c r="E30" s="15"/>
      <c r="F30" s="15"/>
      <c r="G30" s="15"/>
      <c r="H30" s="17" t="s">
        <v>12</v>
      </c>
    </row>
    <row r="31" spans="1:8" x14ac:dyDescent="0.2">
      <c r="A31" s="15"/>
      <c r="B31" s="15"/>
      <c r="C31" s="16" t="s">
        <v>11</v>
      </c>
      <c r="D31" s="15"/>
      <c r="E31" s="15" t="s">
        <v>12</v>
      </c>
      <c r="F31" s="18" t="s">
        <v>13</v>
      </c>
      <c r="G31" s="19">
        <v>0</v>
      </c>
      <c r="H31" s="17" t="s">
        <v>12</v>
      </c>
    </row>
    <row r="32" spans="1:8" x14ac:dyDescent="0.2">
      <c r="A32" s="15"/>
      <c r="B32" s="15"/>
      <c r="C32" s="20"/>
      <c r="D32" s="15"/>
      <c r="E32" s="15"/>
      <c r="F32" s="21"/>
      <c r="G32" s="21"/>
      <c r="H32" s="17" t="s">
        <v>12</v>
      </c>
    </row>
    <row r="33" spans="1:8" x14ac:dyDescent="0.2">
      <c r="A33" s="15"/>
      <c r="B33" s="15"/>
      <c r="C33" s="16" t="s">
        <v>72</v>
      </c>
      <c r="D33" s="15"/>
      <c r="E33" s="15"/>
      <c r="F33" s="15"/>
      <c r="G33" s="15"/>
      <c r="H33" s="17" t="s">
        <v>12</v>
      </c>
    </row>
    <row r="34" spans="1:8" x14ac:dyDescent="0.2">
      <c r="A34" s="15"/>
      <c r="B34" s="15"/>
      <c r="C34" s="16" t="s">
        <v>11</v>
      </c>
      <c r="D34" s="15"/>
      <c r="E34" s="15" t="s">
        <v>12</v>
      </c>
      <c r="F34" s="18" t="s">
        <v>13</v>
      </c>
      <c r="G34" s="19">
        <v>0</v>
      </c>
      <c r="H34" s="17" t="s">
        <v>12</v>
      </c>
    </row>
    <row r="35" spans="1:8" x14ac:dyDescent="0.2">
      <c r="A35" s="15"/>
      <c r="B35" s="15"/>
      <c r="C35" s="20"/>
      <c r="D35" s="15"/>
      <c r="E35" s="15"/>
      <c r="F35" s="21"/>
      <c r="G35" s="21"/>
      <c r="H35" s="17" t="s">
        <v>12</v>
      </c>
    </row>
    <row r="36" spans="1:8" x14ac:dyDescent="0.2">
      <c r="A36" s="15"/>
      <c r="B36" s="15"/>
      <c r="C36" s="16" t="s">
        <v>88</v>
      </c>
      <c r="D36" s="15"/>
      <c r="E36" s="15"/>
      <c r="F36" s="21"/>
      <c r="G36" s="21"/>
      <c r="H36" s="17" t="s">
        <v>12</v>
      </c>
    </row>
    <row r="37" spans="1:8" x14ac:dyDescent="0.2">
      <c r="A37" s="15"/>
      <c r="B37" s="15"/>
      <c r="C37" s="16" t="s">
        <v>11</v>
      </c>
      <c r="D37" s="15"/>
      <c r="E37" s="15" t="s">
        <v>12</v>
      </c>
      <c r="F37" s="18" t="s">
        <v>13</v>
      </c>
      <c r="G37" s="19">
        <v>0</v>
      </c>
      <c r="H37" s="17" t="s">
        <v>12</v>
      </c>
    </row>
    <row r="38" spans="1:8" x14ac:dyDescent="0.2">
      <c r="A38" s="15"/>
      <c r="B38" s="15"/>
      <c r="C38" s="20"/>
      <c r="D38" s="15"/>
      <c r="E38" s="15"/>
      <c r="F38" s="21"/>
      <c r="G38" s="21"/>
      <c r="H38" s="17" t="s">
        <v>12</v>
      </c>
    </row>
    <row r="39" spans="1:8" x14ac:dyDescent="0.2">
      <c r="A39" s="15"/>
      <c r="B39" s="15"/>
      <c r="C39" s="16" t="s">
        <v>89</v>
      </c>
      <c r="D39" s="15"/>
      <c r="E39" s="15"/>
      <c r="F39" s="22">
        <v>0</v>
      </c>
      <c r="G39" s="19">
        <v>0</v>
      </c>
      <c r="H39" s="17" t="s">
        <v>12</v>
      </c>
    </row>
    <row r="40" spans="1:8" x14ac:dyDescent="0.2">
      <c r="A40" s="15"/>
      <c r="B40" s="15"/>
      <c r="C40" s="20"/>
      <c r="D40" s="15"/>
      <c r="E40" s="15"/>
      <c r="F40" s="21"/>
      <c r="G40" s="21"/>
      <c r="H40" s="17" t="s">
        <v>12</v>
      </c>
    </row>
    <row r="41" spans="1:8" x14ac:dyDescent="0.2">
      <c r="A41" s="15"/>
      <c r="B41" s="15"/>
      <c r="C41" s="16" t="s">
        <v>90</v>
      </c>
      <c r="D41" s="15"/>
      <c r="E41" s="15"/>
      <c r="F41" s="21"/>
      <c r="G41" s="21"/>
      <c r="H41" s="17" t="s">
        <v>12</v>
      </c>
    </row>
    <row r="42" spans="1:8" x14ac:dyDescent="0.2">
      <c r="A42" s="15"/>
      <c r="B42" s="15"/>
      <c r="C42" s="16" t="s">
        <v>91</v>
      </c>
      <c r="D42" s="15"/>
      <c r="E42" s="15"/>
      <c r="F42" s="21"/>
      <c r="G42" s="21"/>
      <c r="H42" s="17" t="s">
        <v>12</v>
      </c>
    </row>
    <row r="43" spans="1:8" x14ac:dyDescent="0.2">
      <c r="A43" s="15"/>
      <c r="B43" s="15"/>
      <c r="C43" s="16" t="s">
        <v>11</v>
      </c>
      <c r="D43" s="15"/>
      <c r="E43" s="15" t="s">
        <v>12</v>
      </c>
      <c r="F43" s="18" t="s">
        <v>13</v>
      </c>
      <c r="G43" s="19">
        <v>0</v>
      </c>
      <c r="H43" s="17" t="s">
        <v>12</v>
      </c>
    </row>
    <row r="44" spans="1:8" x14ac:dyDescent="0.2">
      <c r="A44" s="15"/>
      <c r="B44" s="15"/>
      <c r="C44" s="20"/>
      <c r="D44" s="15"/>
      <c r="E44" s="15"/>
      <c r="F44" s="21"/>
      <c r="G44" s="21"/>
      <c r="H44" s="17" t="s">
        <v>12</v>
      </c>
    </row>
    <row r="45" spans="1:8" x14ac:dyDescent="0.2">
      <c r="A45" s="15"/>
      <c r="B45" s="15"/>
      <c r="C45" s="16" t="s">
        <v>92</v>
      </c>
      <c r="D45" s="15"/>
      <c r="E45" s="15"/>
      <c r="F45" s="21"/>
      <c r="G45" s="21"/>
      <c r="H45" s="17" t="s">
        <v>12</v>
      </c>
    </row>
    <row r="46" spans="1:8" x14ac:dyDescent="0.2">
      <c r="A46" s="15"/>
      <c r="B46" s="15"/>
      <c r="C46" s="16" t="s">
        <v>11</v>
      </c>
      <c r="D46" s="15"/>
      <c r="E46" s="15" t="s">
        <v>12</v>
      </c>
      <c r="F46" s="18" t="s">
        <v>13</v>
      </c>
      <c r="G46" s="19">
        <v>0</v>
      </c>
      <c r="H46" s="17" t="s">
        <v>12</v>
      </c>
    </row>
    <row r="47" spans="1:8" x14ac:dyDescent="0.2">
      <c r="A47" s="15"/>
      <c r="B47" s="15"/>
      <c r="C47" s="20"/>
      <c r="D47" s="15"/>
      <c r="E47" s="15"/>
      <c r="F47" s="21"/>
      <c r="G47" s="21"/>
      <c r="H47" s="17" t="s">
        <v>12</v>
      </c>
    </row>
    <row r="48" spans="1:8" x14ac:dyDescent="0.2">
      <c r="A48" s="15"/>
      <c r="B48" s="15"/>
      <c r="C48" s="16" t="s">
        <v>93</v>
      </c>
      <c r="D48" s="15"/>
      <c r="E48" s="15"/>
      <c r="F48" s="21"/>
      <c r="G48" s="21"/>
      <c r="H48" s="17" t="s">
        <v>12</v>
      </c>
    </row>
    <row r="49" spans="1:8" x14ac:dyDescent="0.2">
      <c r="A49" s="23">
        <v>1</v>
      </c>
      <c r="B49" s="24" t="s">
        <v>525</v>
      </c>
      <c r="C49" s="24" t="s">
        <v>526</v>
      </c>
      <c r="D49" s="24" t="s">
        <v>75</v>
      </c>
      <c r="E49" s="25">
        <v>2000000</v>
      </c>
      <c r="F49" s="26">
        <v>1994.43</v>
      </c>
      <c r="G49" s="27">
        <v>4.2172340000000003E-2</v>
      </c>
      <c r="H49" s="17">
        <v>6.37</v>
      </c>
    </row>
    <row r="50" spans="1:8" x14ac:dyDescent="0.2">
      <c r="A50" s="23">
        <v>2</v>
      </c>
      <c r="B50" s="24" t="s">
        <v>527</v>
      </c>
      <c r="C50" s="24" t="s">
        <v>528</v>
      </c>
      <c r="D50" s="24" t="s">
        <v>75</v>
      </c>
      <c r="E50" s="25">
        <v>1500000</v>
      </c>
      <c r="F50" s="26">
        <v>1497.681</v>
      </c>
      <c r="G50" s="27">
        <v>3.1668549999999997E-2</v>
      </c>
      <c r="H50" s="17">
        <v>6.28</v>
      </c>
    </row>
    <row r="51" spans="1:8" x14ac:dyDescent="0.2">
      <c r="A51" s="23">
        <v>3</v>
      </c>
      <c r="B51" s="24" t="s">
        <v>399</v>
      </c>
      <c r="C51" s="24" t="s">
        <v>400</v>
      </c>
      <c r="D51" s="24" t="s">
        <v>75</v>
      </c>
      <c r="E51" s="25">
        <v>500000</v>
      </c>
      <c r="F51" s="26">
        <v>497.99950000000001</v>
      </c>
      <c r="G51" s="27">
        <v>1.053023E-2</v>
      </c>
      <c r="H51" s="17">
        <v>6.3776000000000002</v>
      </c>
    </row>
    <row r="52" spans="1:8" x14ac:dyDescent="0.2">
      <c r="A52" s="15"/>
      <c r="B52" s="15"/>
      <c r="C52" s="16" t="s">
        <v>11</v>
      </c>
      <c r="D52" s="15"/>
      <c r="E52" s="15" t="s">
        <v>12</v>
      </c>
      <c r="F52" s="22">
        <v>3990.1104999999998</v>
      </c>
      <c r="G52" s="19">
        <v>8.4371119999999994E-2</v>
      </c>
      <c r="H52" s="17" t="s">
        <v>12</v>
      </c>
    </row>
    <row r="53" spans="1:8" x14ac:dyDescent="0.2">
      <c r="A53" s="15"/>
      <c r="B53" s="15"/>
      <c r="C53" s="20"/>
      <c r="D53" s="15"/>
      <c r="E53" s="15"/>
      <c r="F53" s="21"/>
      <c r="G53" s="21"/>
      <c r="H53" s="17" t="s">
        <v>12</v>
      </c>
    </row>
    <row r="54" spans="1:8" x14ac:dyDescent="0.2">
      <c r="A54" s="15"/>
      <c r="B54" s="15"/>
      <c r="C54" s="16" t="s">
        <v>94</v>
      </c>
      <c r="D54" s="15"/>
      <c r="E54" s="15"/>
      <c r="F54" s="21"/>
      <c r="G54" s="21"/>
      <c r="H54" s="17" t="s">
        <v>12</v>
      </c>
    </row>
    <row r="55" spans="1:8" x14ac:dyDescent="0.2">
      <c r="A55" s="23">
        <v>1</v>
      </c>
      <c r="B55" s="24"/>
      <c r="C55" s="24" t="s">
        <v>529</v>
      </c>
      <c r="D55" s="24"/>
      <c r="E55" s="28"/>
      <c r="F55" s="26">
        <v>39999.8104742</v>
      </c>
      <c r="G55" s="27">
        <v>0.8457983</v>
      </c>
      <c r="H55" s="17">
        <v>7.25</v>
      </c>
    </row>
    <row r="56" spans="1:8" x14ac:dyDescent="0.2">
      <c r="A56" s="23">
        <v>2</v>
      </c>
      <c r="B56" s="24"/>
      <c r="C56" s="24" t="s">
        <v>95</v>
      </c>
      <c r="D56" s="24"/>
      <c r="E56" s="28"/>
      <c r="F56" s="26">
        <v>3159.4974915070002</v>
      </c>
      <c r="G56" s="27">
        <v>6.6807759999999994E-2</v>
      </c>
      <c r="H56" s="17">
        <v>6.76</v>
      </c>
    </row>
    <row r="57" spans="1:8" x14ac:dyDescent="0.2">
      <c r="A57" s="15"/>
      <c r="B57" s="15"/>
      <c r="C57" s="16" t="s">
        <v>11</v>
      </c>
      <c r="D57" s="15"/>
      <c r="E57" s="15" t="s">
        <v>12</v>
      </c>
      <c r="F57" s="22">
        <v>43159.307965706997</v>
      </c>
      <c r="G57" s="19">
        <v>0.91260606</v>
      </c>
      <c r="H57" s="17" t="s">
        <v>12</v>
      </c>
    </row>
    <row r="58" spans="1:8" x14ac:dyDescent="0.2">
      <c r="A58" s="15"/>
      <c r="B58" s="15"/>
      <c r="C58" s="20"/>
      <c r="D58" s="15"/>
      <c r="E58" s="15"/>
      <c r="F58" s="21"/>
      <c r="G58" s="21"/>
      <c r="H58" s="17" t="s">
        <v>12</v>
      </c>
    </row>
    <row r="59" spans="1:8" x14ac:dyDescent="0.2">
      <c r="A59" s="15"/>
      <c r="B59" s="15"/>
      <c r="C59" s="16" t="s">
        <v>96</v>
      </c>
      <c r="D59" s="15"/>
      <c r="E59" s="15"/>
      <c r="F59" s="22">
        <v>47149.418465707</v>
      </c>
      <c r="G59" s="19">
        <v>0.99697718000000002</v>
      </c>
      <c r="H59" s="17" t="s">
        <v>12</v>
      </c>
    </row>
    <row r="60" spans="1:8" x14ac:dyDescent="0.2">
      <c r="A60" s="15"/>
      <c r="B60" s="15"/>
      <c r="C60" s="21"/>
      <c r="D60" s="15"/>
      <c r="E60" s="15"/>
      <c r="F60" s="15"/>
      <c r="G60" s="15"/>
      <c r="H60" s="17" t="s">
        <v>12</v>
      </c>
    </row>
    <row r="61" spans="1:8" x14ac:dyDescent="0.2">
      <c r="A61" s="15"/>
      <c r="B61" s="15"/>
      <c r="C61" s="16" t="s">
        <v>97</v>
      </c>
      <c r="D61" s="15"/>
      <c r="E61" s="15"/>
      <c r="F61" s="15"/>
      <c r="G61" s="15"/>
      <c r="H61" s="17" t="s">
        <v>12</v>
      </c>
    </row>
    <row r="62" spans="1:8" x14ac:dyDescent="0.2">
      <c r="A62" s="15"/>
      <c r="B62" s="15"/>
      <c r="C62" s="16" t="s">
        <v>98</v>
      </c>
      <c r="D62" s="15"/>
      <c r="E62" s="15"/>
      <c r="F62" s="15"/>
      <c r="G62" s="15"/>
      <c r="H62" s="17" t="s">
        <v>12</v>
      </c>
    </row>
    <row r="63" spans="1:8" x14ac:dyDescent="0.2">
      <c r="A63" s="15"/>
      <c r="B63" s="15"/>
      <c r="C63" s="16" t="s">
        <v>11</v>
      </c>
      <c r="D63" s="15"/>
      <c r="E63" s="15" t="s">
        <v>12</v>
      </c>
      <c r="F63" s="18" t="s">
        <v>13</v>
      </c>
      <c r="G63" s="19">
        <v>0</v>
      </c>
      <c r="H63" s="17" t="s">
        <v>12</v>
      </c>
    </row>
    <row r="64" spans="1:8" x14ac:dyDescent="0.2">
      <c r="A64" s="15"/>
      <c r="B64" s="15"/>
      <c r="C64" s="20"/>
      <c r="D64" s="15"/>
      <c r="E64" s="15"/>
      <c r="F64" s="21"/>
      <c r="G64" s="21"/>
      <c r="H64" s="17" t="s">
        <v>12</v>
      </c>
    </row>
    <row r="65" spans="1:8" x14ac:dyDescent="0.2">
      <c r="A65" s="15"/>
      <c r="B65" s="15"/>
      <c r="C65" s="16" t="s">
        <v>101</v>
      </c>
      <c r="D65" s="15"/>
      <c r="E65" s="15"/>
      <c r="F65" s="15"/>
      <c r="G65" s="15"/>
      <c r="H65" s="17" t="s">
        <v>12</v>
      </c>
    </row>
    <row r="66" spans="1:8" x14ac:dyDescent="0.2">
      <c r="A66" s="15"/>
      <c r="B66" s="15"/>
      <c r="C66" s="16" t="s">
        <v>102</v>
      </c>
      <c r="D66" s="15"/>
      <c r="E66" s="15"/>
      <c r="F66" s="15"/>
      <c r="G66" s="15"/>
      <c r="H66" s="17" t="s">
        <v>12</v>
      </c>
    </row>
    <row r="67" spans="1:8" x14ac:dyDescent="0.2">
      <c r="A67" s="15"/>
      <c r="B67" s="15"/>
      <c r="C67" s="16" t="s">
        <v>11</v>
      </c>
      <c r="D67" s="15"/>
      <c r="E67" s="15" t="s">
        <v>12</v>
      </c>
      <c r="F67" s="18" t="s">
        <v>13</v>
      </c>
      <c r="G67" s="19">
        <v>0</v>
      </c>
      <c r="H67" s="17" t="s">
        <v>12</v>
      </c>
    </row>
    <row r="68" spans="1:8" x14ac:dyDescent="0.2">
      <c r="A68" s="15"/>
      <c r="B68" s="15"/>
      <c r="C68" s="20"/>
      <c r="D68" s="15"/>
      <c r="E68" s="15"/>
      <c r="F68" s="21"/>
      <c r="G68" s="21"/>
      <c r="H68" s="17" t="s">
        <v>12</v>
      </c>
    </row>
    <row r="69" spans="1:8" x14ac:dyDescent="0.2">
      <c r="A69" s="15"/>
      <c r="B69" s="15"/>
      <c r="C69" s="16" t="s">
        <v>103</v>
      </c>
      <c r="D69" s="15"/>
      <c r="E69" s="15"/>
      <c r="F69" s="21"/>
      <c r="G69" s="21"/>
      <c r="H69" s="17" t="s">
        <v>12</v>
      </c>
    </row>
    <row r="70" spans="1:8" x14ac:dyDescent="0.2">
      <c r="A70" s="15"/>
      <c r="B70" s="15"/>
      <c r="C70" s="16" t="s">
        <v>11</v>
      </c>
      <c r="D70" s="15"/>
      <c r="E70" s="15" t="s">
        <v>12</v>
      </c>
      <c r="F70" s="18" t="s">
        <v>13</v>
      </c>
      <c r="G70" s="19">
        <v>0</v>
      </c>
      <c r="H70" s="17" t="s">
        <v>12</v>
      </c>
    </row>
    <row r="71" spans="1:8" x14ac:dyDescent="0.2">
      <c r="A71" s="15"/>
      <c r="B71" s="15"/>
      <c r="C71" s="20"/>
      <c r="D71" s="15"/>
      <c r="E71" s="15"/>
      <c r="F71" s="21"/>
      <c r="G71" s="21"/>
      <c r="H71" s="17" t="s">
        <v>12</v>
      </c>
    </row>
    <row r="72" spans="1:8" x14ac:dyDescent="0.2">
      <c r="A72" s="28"/>
      <c r="B72" s="24"/>
      <c r="C72" s="24" t="s">
        <v>104</v>
      </c>
      <c r="D72" s="24"/>
      <c r="E72" s="28"/>
      <c r="F72" s="26">
        <f>142.95667315+0.0000305029964447021</f>
        <v>142.95670365299645</v>
      </c>
      <c r="G72" s="27">
        <v>3.0228299999999998E-3</v>
      </c>
      <c r="H72" s="17" t="s">
        <v>12</v>
      </c>
    </row>
    <row r="73" spans="1:8" x14ac:dyDescent="0.2">
      <c r="A73" s="20"/>
      <c r="B73" s="20"/>
      <c r="C73" s="16" t="s">
        <v>105</v>
      </c>
      <c r="D73" s="21"/>
      <c r="E73" s="21"/>
      <c r="F73" s="22">
        <f>47292.375138857+0.0000305029964447021</f>
        <v>47292.375169359999</v>
      </c>
      <c r="G73" s="29">
        <v>1.0000000099999999</v>
      </c>
      <c r="H73" s="17" t="s">
        <v>12</v>
      </c>
    </row>
    <row r="74" spans="1:8" x14ac:dyDescent="0.2">
      <c r="A74" s="30"/>
      <c r="B74" s="30"/>
      <c r="C74" s="30"/>
      <c r="D74" s="31"/>
      <c r="E74" s="31"/>
      <c r="F74" s="31"/>
      <c r="G74" s="31"/>
    </row>
    <row r="75" spans="1:8" x14ac:dyDescent="0.2">
      <c r="A75" s="32"/>
      <c r="B75" s="165" t="s">
        <v>547</v>
      </c>
      <c r="C75" s="165"/>
      <c r="D75" s="165"/>
      <c r="E75" s="165"/>
      <c r="F75" s="165"/>
      <c r="G75" s="165"/>
      <c r="H75" s="165"/>
    </row>
    <row r="76" spans="1:8" x14ac:dyDescent="0.2">
      <c r="A76" s="32"/>
      <c r="B76" s="165" t="s">
        <v>548</v>
      </c>
      <c r="C76" s="165"/>
      <c r="D76" s="165"/>
      <c r="E76" s="165"/>
      <c r="F76" s="165"/>
      <c r="G76" s="165"/>
      <c r="H76" s="165"/>
    </row>
    <row r="77" spans="1:8" x14ac:dyDescent="0.2">
      <c r="A77" s="32"/>
      <c r="B77" s="165" t="s">
        <v>549</v>
      </c>
      <c r="C77" s="165"/>
      <c r="D77" s="165"/>
      <c r="E77" s="165"/>
      <c r="F77" s="165"/>
      <c r="G77" s="165"/>
      <c r="H77" s="165"/>
    </row>
    <row r="78" spans="1:8" x14ac:dyDescent="0.2">
      <c r="A78" s="32"/>
      <c r="B78" s="32"/>
      <c r="C78" s="32"/>
      <c r="D78" s="34"/>
      <c r="E78" s="34"/>
      <c r="F78" s="34"/>
      <c r="G78" s="34"/>
    </row>
    <row r="79" spans="1:8" x14ac:dyDescent="0.2">
      <c r="A79" s="35"/>
      <c r="B79" s="158" t="s">
        <v>106</v>
      </c>
      <c r="C79" s="159"/>
      <c r="D79" s="160"/>
      <c r="E79" s="36"/>
      <c r="F79" s="37"/>
      <c r="G79" s="37"/>
    </row>
    <row r="80" spans="1:8" x14ac:dyDescent="0.2">
      <c r="A80" s="35"/>
      <c r="B80" s="161" t="s">
        <v>107</v>
      </c>
      <c r="C80" s="162"/>
      <c r="D80" s="16" t="s">
        <v>108</v>
      </c>
      <c r="E80" s="36"/>
      <c r="F80" s="37"/>
      <c r="G80" s="37"/>
    </row>
    <row r="81" spans="1:7" x14ac:dyDescent="0.2">
      <c r="A81" s="35"/>
      <c r="B81" s="161" t="s">
        <v>109</v>
      </c>
      <c r="C81" s="162"/>
      <c r="D81" s="16" t="s">
        <v>108</v>
      </c>
      <c r="E81" s="36"/>
      <c r="F81" s="37"/>
      <c r="G81" s="37"/>
    </row>
    <row r="82" spans="1:7" x14ac:dyDescent="0.2">
      <c r="A82" s="35"/>
      <c r="B82" s="161" t="s">
        <v>110</v>
      </c>
      <c r="C82" s="162"/>
      <c r="D82" s="21" t="s">
        <v>12</v>
      </c>
      <c r="E82" s="36"/>
      <c r="F82" s="37"/>
      <c r="G82" s="37"/>
    </row>
    <row r="83" spans="1:7" x14ac:dyDescent="0.2">
      <c r="A83" s="38"/>
      <c r="B83" s="39" t="s">
        <v>12</v>
      </c>
      <c r="C83" s="39" t="s">
        <v>550</v>
      </c>
      <c r="D83" s="39" t="s">
        <v>111</v>
      </c>
      <c r="E83" s="38"/>
      <c r="F83" s="38"/>
      <c r="G83" s="38"/>
    </row>
    <row r="84" spans="1:7" x14ac:dyDescent="0.2">
      <c r="A84" s="38"/>
      <c r="B84" s="40" t="s">
        <v>112</v>
      </c>
      <c r="C84" s="41">
        <v>45731</v>
      </c>
      <c r="D84" s="41">
        <v>45747</v>
      </c>
      <c r="E84" s="38"/>
      <c r="F84" s="38"/>
      <c r="G84" s="38"/>
    </row>
    <row r="85" spans="1:7" x14ac:dyDescent="0.2">
      <c r="A85" s="42"/>
      <c r="B85" s="24" t="s">
        <v>113</v>
      </c>
      <c r="C85" s="43">
        <v>1352.7918999999999</v>
      </c>
      <c r="D85" s="43">
        <v>1356.6215999999999</v>
      </c>
      <c r="E85" s="42"/>
      <c r="F85" s="44"/>
      <c r="G85" s="45"/>
    </row>
    <row r="86" spans="1:7" ht="25.5" x14ac:dyDescent="0.2">
      <c r="A86" s="42"/>
      <c r="B86" s="24" t="s">
        <v>670</v>
      </c>
      <c r="C86" s="43">
        <v>1046.9193</v>
      </c>
      <c r="D86" s="43">
        <v>1044.6505</v>
      </c>
      <c r="E86" s="42"/>
      <c r="F86" s="44"/>
      <c r="G86" s="45"/>
    </row>
    <row r="87" spans="1:7" x14ac:dyDescent="0.2">
      <c r="A87" s="42"/>
      <c r="B87" s="24" t="s">
        <v>114</v>
      </c>
      <c r="C87" s="43">
        <v>1344.7547</v>
      </c>
      <c r="D87" s="43">
        <v>1348.5232000000001</v>
      </c>
      <c r="E87" s="42"/>
      <c r="F87" s="44"/>
      <c r="G87" s="45"/>
    </row>
    <row r="88" spans="1:7" ht="25.5" x14ac:dyDescent="0.2">
      <c r="A88" s="42"/>
      <c r="B88" s="24" t="s">
        <v>674</v>
      </c>
      <c r="C88" s="43">
        <v>1043.1744000000001</v>
      </c>
      <c r="D88" s="43">
        <v>1040.8833999999999</v>
      </c>
      <c r="E88" s="42"/>
      <c r="F88" s="44"/>
      <c r="G88" s="45"/>
    </row>
    <row r="89" spans="1:7" x14ac:dyDescent="0.2">
      <c r="A89" s="42"/>
      <c r="B89" s="42"/>
      <c r="C89" s="42"/>
      <c r="D89" s="42"/>
      <c r="E89" s="42"/>
      <c r="F89" s="42"/>
      <c r="G89" s="42"/>
    </row>
    <row r="90" spans="1:7" x14ac:dyDescent="0.2">
      <c r="A90" s="42"/>
      <c r="B90" s="161" t="s">
        <v>563</v>
      </c>
      <c r="C90" s="162"/>
      <c r="D90" s="16" t="s">
        <v>12</v>
      </c>
      <c r="E90" s="42"/>
      <c r="F90" s="42"/>
      <c r="G90" s="42"/>
    </row>
    <row r="91" spans="1:7" x14ac:dyDescent="0.2">
      <c r="A91" s="42"/>
      <c r="B91" s="46" t="s">
        <v>112</v>
      </c>
      <c r="C91" s="47" t="s">
        <v>115</v>
      </c>
      <c r="D91" s="47" t="s">
        <v>116</v>
      </c>
      <c r="E91" s="42"/>
      <c r="F91" s="42"/>
      <c r="G91" s="42"/>
    </row>
    <row r="92" spans="1:7" ht="25.5" x14ac:dyDescent="0.2">
      <c r="A92" s="42"/>
      <c r="B92" s="24" t="s">
        <v>670</v>
      </c>
      <c r="C92" s="48">
        <v>5.22</v>
      </c>
      <c r="D92" s="28" t="s">
        <v>117</v>
      </c>
      <c r="E92" s="42"/>
      <c r="F92" s="44"/>
      <c r="G92" s="45"/>
    </row>
    <row r="93" spans="1:7" ht="25.5" x14ac:dyDescent="0.2">
      <c r="A93" s="42"/>
      <c r="B93" s="24" t="s">
        <v>674</v>
      </c>
      <c r="C93" s="48">
        <v>5.202</v>
      </c>
      <c r="D93" s="28" t="s">
        <v>117</v>
      </c>
      <c r="E93" s="42"/>
      <c r="F93" s="44"/>
      <c r="G93" s="45"/>
    </row>
    <row r="94" spans="1:7" x14ac:dyDescent="0.2">
      <c r="A94" s="42"/>
      <c r="B94" s="49"/>
      <c r="C94" s="49"/>
      <c r="D94" s="50"/>
      <c r="E94" s="42"/>
      <c r="F94" s="44"/>
      <c r="G94" s="45"/>
    </row>
    <row r="95" spans="1:7" x14ac:dyDescent="0.2">
      <c r="A95" s="38"/>
      <c r="B95" s="163" t="s">
        <v>118</v>
      </c>
      <c r="C95" s="164"/>
      <c r="D95" s="51" t="s">
        <v>108</v>
      </c>
      <c r="E95" s="52"/>
      <c r="F95" s="38"/>
      <c r="G95" s="38"/>
    </row>
    <row r="96" spans="1:7" x14ac:dyDescent="0.2">
      <c r="A96" s="38"/>
      <c r="B96" s="163" t="s">
        <v>119</v>
      </c>
      <c r="C96" s="164"/>
      <c r="D96" s="51" t="s">
        <v>108</v>
      </c>
      <c r="E96" s="52"/>
      <c r="F96" s="38"/>
      <c r="G96" s="38"/>
    </row>
    <row r="97" spans="1:21" x14ac:dyDescent="0.2">
      <c r="A97" s="38"/>
      <c r="B97" s="163" t="s">
        <v>551</v>
      </c>
      <c r="C97" s="164"/>
      <c r="D97" s="51" t="s">
        <v>108</v>
      </c>
      <c r="E97" s="52"/>
      <c r="F97" s="38"/>
      <c r="G97" s="38"/>
      <c r="I97" s="53"/>
    </row>
    <row r="98" spans="1:21" x14ac:dyDescent="0.2">
      <c r="A98" s="54"/>
      <c r="B98" s="54"/>
      <c r="C98" s="54"/>
      <c r="D98" s="54"/>
      <c r="E98" s="54"/>
      <c r="F98" s="54"/>
      <c r="G98" s="54"/>
      <c r="I98" s="53"/>
    </row>
    <row r="99" spans="1:21" s="55" customFormat="1" x14ac:dyDescent="0.2">
      <c r="B99" s="166" t="s">
        <v>552</v>
      </c>
      <c r="C99" s="167"/>
      <c r="D99" s="168"/>
      <c r="I99" s="53"/>
      <c r="J99"/>
      <c r="K99" s="53"/>
      <c r="L99" s="53"/>
      <c r="M99" s="53"/>
      <c r="N99" s="56"/>
      <c r="Q99"/>
      <c r="R99"/>
      <c r="S99"/>
      <c r="T99"/>
      <c r="U99"/>
    </row>
    <row r="100" spans="1:21" s="55" customFormat="1" ht="25.5" x14ac:dyDescent="0.2">
      <c r="B100" s="156" t="s">
        <v>553</v>
      </c>
      <c r="C100" s="156"/>
      <c r="D100" s="57" t="s">
        <v>524</v>
      </c>
      <c r="I100" s="53"/>
      <c r="J100"/>
      <c r="K100" s="53"/>
      <c r="L100" s="53"/>
      <c r="M100" s="53"/>
      <c r="N100" s="56"/>
      <c r="Q100"/>
      <c r="R100"/>
      <c r="S100"/>
      <c r="T100"/>
      <c r="U100"/>
    </row>
    <row r="101" spans="1:21" s="55" customFormat="1" x14ac:dyDescent="0.2">
      <c r="B101" s="169" t="s">
        <v>554</v>
      </c>
      <c r="C101" s="169"/>
      <c r="D101" s="58"/>
      <c r="I101" s="53"/>
      <c r="J101"/>
      <c r="K101" s="53"/>
      <c r="L101" s="53"/>
      <c r="M101" s="53"/>
      <c r="N101" s="56"/>
    </row>
    <row r="102" spans="1:21" s="55" customFormat="1" x14ac:dyDescent="0.2">
      <c r="B102" s="169"/>
      <c r="C102" s="169"/>
      <c r="D102" s="59"/>
      <c r="I102"/>
      <c r="J102"/>
      <c r="K102" s="53"/>
      <c r="L102" s="53"/>
      <c r="M102" s="53"/>
      <c r="N102" s="56"/>
    </row>
    <row r="103" spans="1:21" s="55" customFormat="1" x14ac:dyDescent="0.2">
      <c r="B103" s="169" t="s">
        <v>555</v>
      </c>
      <c r="C103" s="169"/>
      <c r="D103" s="60">
        <v>7.1363623342288953</v>
      </c>
      <c r="I103"/>
      <c r="J103"/>
      <c r="K103" s="53"/>
      <c r="L103" s="53"/>
      <c r="M103" s="53"/>
      <c r="N103" s="56"/>
    </row>
    <row r="104" spans="1:21" s="55" customFormat="1" x14ac:dyDescent="0.2">
      <c r="B104" s="169"/>
      <c r="C104" s="169"/>
      <c r="D104" s="59"/>
      <c r="I104"/>
      <c r="J104"/>
      <c r="K104" s="53"/>
      <c r="L104" s="53"/>
      <c r="M104" s="53"/>
      <c r="N104" s="56"/>
    </row>
    <row r="105" spans="1:21" s="55" customFormat="1" x14ac:dyDescent="0.2">
      <c r="B105" s="169" t="s">
        <v>666</v>
      </c>
      <c r="C105" s="169"/>
      <c r="D105" s="61">
        <v>2</v>
      </c>
      <c r="I105"/>
      <c r="J105"/>
      <c r="K105" s="53"/>
      <c r="L105" s="53"/>
      <c r="M105" s="53"/>
      <c r="N105" s="56"/>
    </row>
    <row r="106" spans="1:21" s="55" customFormat="1" x14ac:dyDescent="0.2">
      <c r="B106" s="169" t="s">
        <v>667</v>
      </c>
      <c r="C106" s="169"/>
      <c r="D106" s="61">
        <v>2</v>
      </c>
      <c r="I106"/>
      <c r="J106"/>
      <c r="K106" s="53"/>
      <c r="L106" s="53"/>
      <c r="M106" s="53"/>
      <c r="N106" s="56"/>
    </row>
    <row r="107" spans="1:21" s="55" customFormat="1" x14ac:dyDescent="0.2">
      <c r="B107" s="169"/>
      <c r="C107" s="169"/>
      <c r="D107" s="59"/>
      <c r="I107"/>
      <c r="J107"/>
      <c r="K107" s="53"/>
      <c r="L107" s="53"/>
      <c r="M107" s="53"/>
      <c r="N107" s="56"/>
    </row>
    <row r="108" spans="1:21" s="55" customFormat="1" x14ac:dyDescent="0.2">
      <c r="B108" s="169" t="s">
        <v>558</v>
      </c>
      <c r="C108" s="169"/>
      <c r="D108" s="62" t="s">
        <v>677</v>
      </c>
      <c r="I108"/>
      <c r="J108"/>
      <c r="K108" s="53"/>
      <c r="L108" s="53"/>
      <c r="M108" s="53"/>
      <c r="N108" s="56"/>
    </row>
    <row r="109" spans="1:21" s="55" customFormat="1" x14ac:dyDescent="0.2">
      <c r="B109" s="170" t="s">
        <v>559</v>
      </c>
      <c r="C109" s="172"/>
      <c r="D109" s="171"/>
      <c r="I109"/>
      <c r="J109"/>
      <c r="K109" s="53"/>
      <c r="L109" s="53"/>
      <c r="M109" s="53"/>
      <c r="N109" s="56"/>
    </row>
    <row r="110" spans="1:21" x14ac:dyDescent="0.2">
      <c r="H110" s="63"/>
    </row>
    <row r="111" spans="1:21" x14ac:dyDescent="0.2">
      <c r="B111" s="64" t="s">
        <v>560</v>
      </c>
    </row>
    <row r="112" spans="1:21" ht="7.5" customHeight="1" x14ac:dyDescent="0.2"/>
    <row r="113" spans="2:10" ht="153.75" customHeight="1" x14ac:dyDescent="0.2"/>
    <row r="116" spans="2:10" x14ac:dyDescent="0.2">
      <c r="B116" s="65" t="s">
        <v>561</v>
      </c>
      <c r="C116" s="66"/>
      <c r="D116" s="65"/>
    </row>
    <row r="117" spans="2:10" x14ac:dyDescent="0.2">
      <c r="B117" s="65" t="s">
        <v>668</v>
      </c>
      <c r="D117" s="65"/>
    </row>
    <row r="118" spans="2:10" ht="165" customHeight="1" x14ac:dyDescent="0.2"/>
    <row r="120" spans="2:10" x14ac:dyDescent="0.2">
      <c r="J120" s="14"/>
    </row>
  </sheetData>
  <mergeCells count="25">
    <mergeCell ref="B106:C106"/>
    <mergeCell ref="B107:C107"/>
    <mergeCell ref="B108:C108"/>
    <mergeCell ref="B109:D109"/>
    <mergeCell ref="B101:C101"/>
    <mergeCell ref="B102:C102"/>
    <mergeCell ref="B103:C103"/>
    <mergeCell ref="B104:C104"/>
    <mergeCell ref="B105:C105"/>
    <mergeCell ref="B100:C100"/>
    <mergeCell ref="A1:H1"/>
    <mergeCell ref="A2:H2"/>
    <mergeCell ref="A3:H3"/>
    <mergeCell ref="B79:D79"/>
    <mergeCell ref="B80:C80"/>
    <mergeCell ref="B81:C81"/>
    <mergeCell ref="B82:C82"/>
    <mergeCell ref="B90:C90"/>
    <mergeCell ref="B96:C96"/>
    <mergeCell ref="B75:H75"/>
    <mergeCell ref="B76:H76"/>
    <mergeCell ref="B77:H77"/>
    <mergeCell ref="B95:C95"/>
    <mergeCell ref="B99:D99"/>
    <mergeCell ref="B97:C97"/>
  </mergeCells>
  <hyperlinks>
    <hyperlink ref="I1" location="Index!B2" display="Index" xr:uid="{B4C567A0-607C-40E6-A264-A40A4E3C9A40}"/>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Thiruselvan V - Sundaram Mutual</cp:lastModifiedBy>
  <dcterms:created xsi:type="dcterms:W3CDTF">2025-04-01T07:43:45Z</dcterms:created>
  <dcterms:modified xsi:type="dcterms:W3CDTF">2025-04-03T14:21:47Z</dcterms:modified>
</cp:coreProperties>
</file>