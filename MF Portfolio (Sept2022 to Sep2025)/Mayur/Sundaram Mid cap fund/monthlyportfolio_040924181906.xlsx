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AAE789E6-A8BC-4B76-AE22-EB1BE0391DA6}" xr6:coauthVersionLast="47" xr6:coauthVersionMax="47" xr10:uidLastSave="{00000000-0000-0000-0000-000000000000}"/>
  <bookViews>
    <workbookView xWindow="-120" yWindow="-120" windowWidth="29040" windowHeight="15840" tabRatio="681" xr2:uid="{D5BA35F9-81F6-4BA8-A53C-53F95CAF41C9}"/>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9" l="1"/>
  <c r="G48" i="9" s="1"/>
  <c r="G99" i="9" s="1"/>
  <c r="F31" i="9"/>
  <c r="F48" i="9" s="1"/>
  <c r="F99" i="9" s="1"/>
  <c r="F81" i="8"/>
  <c r="G116" i="8" s="1"/>
  <c r="F80" i="8"/>
  <c r="F133" i="7"/>
  <c r="F132" i="7"/>
  <c r="F95" i="6"/>
  <c r="F94" i="6"/>
  <c r="F142" i="5"/>
  <c r="F141" i="5"/>
  <c r="F102" i="4"/>
  <c r="F103" i="4"/>
  <c r="F96" i="2"/>
  <c r="F95" i="2"/>
</calcChain>
</file>

<file path=xl/sharedStrings.xml><?xml version="1.0" encoding="utf-8"?>
<sst xmlns="http://schemas.openxmlformats.org/spreadsheetml/2006/main" count="3066" uniqueCount="622">
  <si>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</si>
  <si>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</si>
  <si>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</si>
  <si>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</si>
  <si>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</si>
  <si>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</si>
  <si>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</si>
  <si>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</si>
  <si>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</si>
  <si>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</si>
  <si>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</si>
  <si>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</si>
  <si>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</si>
  <si>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</si>
  <si>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</si>
  <si>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</si>
  <si>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</si>
  <si>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</si>
  <si>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</si>
  <si>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</si>
  <si>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</si>
  <si>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</si>
  <si>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</si>
  <si>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</si>
  <si>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</si>
  <si>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</si>
  <si>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INE557F08FS6</t>
  </si>
  <si>
    <t>National Housing Bank  - 7.4% - 16/07/2026**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</si>
  <si>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</si>
  <si>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</si>
  <si>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</si>
  <si>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</si>
  <si>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</si>
  <si>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</si>
  <si>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</si>
  <si>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INE040A08930</t>
  </si>
  <si>
    <t>HDFC Bank Ltd (Prev HDFC Ltd) - 7.65% - 25/05/2033**</t>
  </si>
  <si>
    <t>INE134E08NB7</t>
  </si>
  <si>
    <t>Power Finance Corporation Ltd - 7.32% - 15/07/2039**</t>
  </si>
  <si>
    <t>INE020B08EK4</t>
  </si>
  <si>
    <t>REC LTD - 7.46% - 30/06/2028**</t>
  </si>
  <si>
    <t>INE020B08EL2</t>
  </si>
  <si>
    <t>REC LTD - 7.44% - 30/04/2026**</t>
  </si>
  <si>
    <t>INE053F08304</t>
  </si>
  <si>
    <t>Indian Railway Finance Corporation Ltd - 7.23% - 15/10/2026**</t>
  </si>
  <si>
    <t>INE557F08FR8</t>
  </si>
  <si>
    <t>National Housing Bank  - 7.22% - 23/07/2026**</t>
  </si>
  <si>
    <t>INE134E08MX3</t>
  </si>
  <si>
    <t>Power Finance Corporation Ltd - 7.6% - 13/04/2029**</t>
  </si>
  <si>
    <t>INE242A08544</t>
  </si>
  <si>
    <t>Indian Oil Corporation Ltd - 7.44% - 25/11/2027**</t>
  </si>
  <si>
    <t>INE296A07SV1</t>
  </si>
  <si>
    <t>Bajaj Finance Ltd - 7.82% - 31/01/2034**</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</si>
  <si>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</si>
  <si>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</si>
  <si>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</si>
  <si>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</si>
  <si>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</si>
  <si>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</si>
  <si>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</si>
  <si>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</si>
  <si>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</si>
  <si>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</si>
  <si>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</si>
  <si>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</si>
  <si>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INE134E08IO0</t>
  </si>
  <si>
    <t>Power Finance Corporation Ltd - 7.23% - 05/01/2027**</t>
  </si>
  <si>
    <t>(b) Privately Placed / Unlisted</t>
  </si>
  <si>
    <t>(c) Govt Security</t>
  </si>
  <si>
    <t>IN0020230085</t>
  </si>
  <si>
    <t>7.18%  Government Securities - 14/08/2033</t>
  </si>
  <si>
    <t>Sovereign</t>
  </si>
  <si>
    <t>IN0020230135</t>
  </si>
  <si>
    <t>7.32% Government Securities-13/11/2030</t>
  </si>
  <si>
    <t>IN0020230051</t>
  </si>
  <si>
    <t>7.30% Government Securities - 19/06/2053</t>
  </si>
  <si>
    <t>IN0020230101</t>
  </si>
  <si>
    <t>7.37% Government Securities-23/10/2028</t>
  </si>
  <si>
    <t>IN0020240019</t>
  </si>
  <si>
    <t>7.10% Central Government Securities 08/04/2034</t>
  </si>
  <si>
    <t>IN0020240035</t>
  </si>
  <si>
    <t>7.34% Central Government Securities 22/04/2064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</si>
  <si>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</si>
  <si>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</si>
  <si>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</si>
  <si>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</si>
  <si>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</si>
  <si>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</si>
  <si>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</si>
  <si>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</si>
  <si>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</si>
  <si>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</si>
  <si>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</si>
  <si>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</si>
  <si>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</si>
  <si>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</si>
  <si>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</si>
  <si>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</si>
  <si>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</si>
  <si>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</si>
  <si>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</si>
  <si>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</si>
  <si>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</si>
  <si>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</si>
  <si>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</si>
  <si>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</si>
  <si>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</si>
  <si>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</si>
  <si>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</si>
  <si>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</si>
  <si>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</si>
  <si>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</si>
  <si>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</si>
  <si>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</si>
  <si>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</si>
  <si>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</si>
  <si>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</si>
  <si>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INE514E08FV4</t>
  </si>
  <si>
    <t>Export Import Bank of India - 5.85% - 12/09/2025**</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</si>
  <si>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</si>
  <si>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</si>
  <si>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</si>
  <si>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</si>
  <si>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</si>
  <si>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</si>
  <si>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</si>
  <si>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</si>
  <si>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</si>
  <si>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</si>
  <si>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</si>
  <si>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</si>
  <si>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</si>
  <si>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</si>
  <si>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INE916DA7SL3</t>
  </si>
  <si>
    <t>Kotak Mahindra Prime Ltd - 8.09% - 09/11/2026**</t>
  </si>
  <si>
    <t>INE556F08KE8</t>
  </si>
  <si>
    <t>Small Industries Development Bank of India - 7.47% - 25/11/2025**</t>
  </si>
  <si>
    <t>IN0020240027</t>
  </si>
  <si>
    <t>7.23% Central Government Securities 15/04/2039</t>
  </si>
  <si>
    <t>Direct Plan - Bonus</t>
  </si>
  <si>
    <t>Regular Plan - Bonus</t>
  </si>
  <si>
    <t>Sundaram Money Market Fund</t>
  </si>
  <si>
    <t>INE160A16OM8</t>
  </si>
  <si>
    <t>Punjab National Bank - 25/02/2025**</t>
  </si>
  <si>
    <t>CRISIL A1+</t>
  </si>
  <si>
    <t>INE028A16EX5</t>
  </si>
  <si>
    <t>Bank of Baroda - 20/02/2025**</t>
  </si>
  <si>
    <t>IND A1+</t>
  </si>
  <si>
    <t>INE476A16YB0</t>
  </si>
  <si>
    <t>Canara Bank - 20/03/2025**</t>
  </si>
  <si>
    <t>INE562A16MZ1</t>
  </si>
  <si>
    <t>Indian Bank - 23/05/2025**</t>
  </si>
  <si>
    <t>INE237A164X3</t>
  </si>
  <si>
    <t>Kotak Mahindra Bank Ltd - 13/12/2024**</t>
  </si>
  <si>
    <t>INE261F16793</t>
  </si>
  <si>
    <t>National Bank for Agriculture &amp; Rural Development - 12/02/2025**</t>
  </si>
  <si>
    <t>INE040A16EN1</t>
  </si>
  <si>
    <t>HDFC Bank Ltd - 20/02/2025**</t>
  </si>
  <si>
    <t>INE01GA16228</t>
  </si>
  <si>
    <t>DBS BANK LTD - 07/03/2025**</t>
  </si>
  <si>
    <t>INE090AD6170</t>
  </si>
  <si>
    <t>ICICI Bank Ltd - 25/07/2025**</t>
  </si>
  <si>
    <t>ICRA A1+</t>
  </si>
  <si>
    <t>INE092T16WB9</t>
  </si>
  <si>
    <t>IDFC First Bank Ltd - 21/02/2025**</t>
  </si>
  <si>
    <t>INE095A16V79</t>
  </si>
  <si>
    <t>IndusInd Bank Ltd - 24/02/2025**</t>
  </si>
  <si>
    <t>INE090AD6113</t>
  </si>
  <si>
    <t>ICICI Bank Ltd - 31/01/2025**</t>
  </si>
  <si>
    <t>INE171A16LP4</t>
  </si>
  <si>
    <t>The Federal Bank Ltd - 04/02/2025**</t>
  </si>
  <si>
    <t>INE692A16GZ8</t>
  </si>
  <si>
    <t>Union Bank of India - 27/02/2025**</t>
  </si>
  <si>
    <t>INE040A16FA5</t>
  </si>
  <si>
    <t>HDFC Bank Ltd - 24/06/2025**</t>
  </si>
  <si>
    <t>INE790I14FB1</t>
  </si>
  <si>
    <t>HSBC InvestDirect Financial Services India Limited - 13/11/2024**</t>
  </si>
  <si>
    <t>INE144H14GZ0</t>
  </si>
  <si>
    <t>Deutsche Investments India Private Ltd - 09/12/2024**</t>
  </si>
  <si>
    <t>INE763G14TE7</t>
  </si>
  <si>
    <t>ICICI Securities Ltd - 21/02/2025**</t>
  </si>
  <si>
    <t>INE115A14EX5</t>
  </si>
  <si>
    <t>LIC Housing Finance Ltd - 21/03/2025**</t>
  </si>
  <si>
    <t>INE556F14KH9</t>
  </si>
  <si>
    <t>Small Industries Development Bank of India - 28/05/2025**</t>
  </si>
  <si>
    <t>IN002024Z073</t>
  </si>
  <si>
    <t>364 Days - T Bill - 15/05/2025</t>
  </si>
  <si>
    <t>Sundaram Low Duration Fund</t>
  </si>
  <si>
    <t>INE134E08KT5</t>
  </si>
  <si>
    <t>Power Finance Corporation Ltd - 7.17% - 22/05/2025</t>
  </si>
  <si>
    <t>INE557F08FV0</t>
  </si>
  <si>
    <t>National Housing Bank  - 7.78% - 26/04/2027**</t>
  </si>
  <si>
    <t>CARE AAA</t>
  </si>
  <si>
    <t>INE403D08181</t>
  </si>
  <si>
    <t>Bharti Telecom Ltd - 8.9% - 04/12/2025**</t>
  </si>
  <si>
    <t>CRISIL AA+</t>
  </si>
  <si>
    <t>INE477A07373</t>
  </si>
  <si>
    <t>Can Fin Homes Ltd - 8.45% - 27/05/2026**</t>
  </si>
  <si>
    <t>IND AA+</t>
  </si>
  <si>
    <t>INE721A07SB0</t>
  </si>
  <si>
    <t>Shriram Finance Ltd - 9.2% - 22/05/2026**</t>
  </si>
  <si>
    <t>INE115A07OY6</t>
  </si>
  <si>
    <t>LIC Housing Finance Ltd - 5.776% - 11/09/2025**</t>
  </si>
  <si>
    <t>INE261F08DP6</t>
  </si>
  <si>
    <t>National Bank for Agriculture &amp; Rural Development - 7.35% - 08/07/2025**</t>
  </si>
  <si>
    <t>INE414G07HI7</t>
  </si>
  <si>
    <t>Muthoot Finance Ltd - 8.3% - 06/01/2026</t>
  </si>
  <si>
    <t>INE523H07CB9</t>
  </si>
  <si>
    <t>JM Financial Products Ltd - 8.92% - 16/11/2026**</t>
  </si>
  <si>
    <t>CRISIL AA</t>
  </si>
  <si>
    <t>INE233A08121</t>
  </si>
  <si>
    <t>Godrej Industries Ltd - 8.36% - 28/08/2026**</t>
  </si>
  <si>
    <t>INE721A07RU2</t>
  </si>
  <si>
    <t>Shriram Finance Ltd - 9.25% - 19/12/2025**</t>
  </si>
  <si>
    <t>INE020B08FF1</t>
  </si>
  <si>
    <t>REC LTD - 7.56% - 31/08/2027**</t>
  </si>
  <si>
    <t>INE121A07QT9</t>
  </si>
  <si>
    <t>Cholamandalam Investment and Finance Co Ltd - 8.45% - 21/11/2025**</t>
  </si>
  <si>
    <t>ICRA AA+</t>
  </si>
  <si>
    <t>IN0020220037</t>
  </si>
  <si>
    <t>7.38% Central Government Securities 20/06/2027</t>
  </si>
  <si>
    <t>INE556F16AM5</t>
  </si>
  <si>
    <t>Small Industries Development Bank of India - 11/12/2024**</t>
  </si>
  <si>
    <t>INE238AD6579</t>
  </si>
  <si>
    <t>Axis Bank Ltd - 29/11/2024</t>
  </si>
  <si>
    <t>INE160A16OF2</t>
  </si>
  <si>
    <t>Punjab National Bank - 05/12/2024**</t>
  </si>
  <si>
    <t>INE261F16785</t>
  </si>
  <si>
    <t>National Bank for Agriculture &amp; Rural Development - 07/02/2025</t>
  </si>
  <si>
    <t>INE261F16819</t>
  </si>
  <si>
    <t>National Bank for Agriculture &amp; Rural Development - 26/02/2025**</t>
  </si>
  <si>
    <t>INE556F16AO1</t>
  </si>
  <si>
    <t>Small Industries Development Bank of India - 10/01/2025</t>
  </si>
  <si>
    <t>INE466L14DI2</t>
  </si>
  <si>
    <t>360 ONE WAM Ltd (Prev IIFL Wealth Management Ltd) - 14/03/2025**</t>
  </si>
  <si>
    <t>Sundaram Liquid Fund</t>
  </si>
  <si>
    <t>INE033L07HI5</t>
  </si>
  <si>
    <t>Tata Capital Housing Finance Ltd - 5.7% - 13/09/2024**</t>
  </si>
  <si>
    <t>INE040A16EZ5</t>
  </si>
  <si>
    <t>HDFC Bank Ltd - 11/09/2024**</t>
  </si>
  <si>
    <t>INE476A16YM7</t>
  </si>
  <si>
    <t>Canara Bank - 13/09/2024**</t>
  </si>
  <si>
    <t>INE692A16HK8</t>
  </si>
  <si>
    <t>Union Bank of India - 13/09/2024**</t>
  </si>
  <si>
    <t>INE095A16T81</t>
  </si>
  <si>
    <t>IndusInd Bank Ltd - 19/09/2024</t>
  </si>
  <si>
    <t>INE562A16NF1</t>
  </si>
  <si>
    <t>Indian Bank - 13/11/2024**</t>
  </si>
  <si>
    <t>INE476A16YK1</t>
  </si>
  <si>
    <t>Canara Bank - 09/09/2024</t>
  </si>
  <si>
    <t>INE476A16YU0</t>
  </si>
  <si>
    <t>Canara Bank - 25/10/2024</t>
  </si>
  <si>
    <t>INE040A16FI8</t>
  </si>
  <si>
    <t>HDFC Bank Ltd - 21/11/2024**</t>
  </si>
  <si>
    <t>INE160A16PP8</t>
  </si>
  <si>
    <t>Punjab National Bank - 21/11/2024</t>
  </si>
  <si>
    <t>INE692A16HQ5</t>
  </si>
  <si>
    <t>Union Bank of India - 25/09/2024</t>
  </si>
  <si>
    <t>INE040A16FG2</t>
  </si>
  <si>
    <t>HDFC Bank Ltd - 24/10/2024**</t>
  </si>
  <si>
    <t>INE160A16PL7</t>
  </si>
  <si>
    <t>Punjab National Bank - 25/10/2024**</t>
  </si>
  <si>
    <t>INE028A16GB6</t>
  </si>
  <si>
    <t>Bank of Baroda - 13/11/2024**</t>
  </si>
  <si>
    <t>INE238AD6538</t>
  </si>
  <si>
    <t>Axis Bank Ltd - 18/09/2024</t>
  </si>
  <si>
    <t>INE028A16FT0</t>
  </si>
  <si>
    <t>Bank of Baroda - 23/09/2024**</t>
  </si>
  <si>
    <t>INE160A16PD4</t>
  </si>
  <si>
    <t>Punjab National Bank - 26/09/2024**</t>
  </si>
  <si>
    <t>INE237A168U0</t>
  </si>
  <si>
    <t>Kotak Mahindra Bank Ltd - 27/09/2024</t>
  </si>
  <si>
    <t>INE028A16FI3</t>
  </si>
  <si>
    <t>Bank of Baroda - 21/10/2024</t>
  </si>
  <si>
    <t>INE160A16PN3</t>
  </si>
  <si>
    <t>Punjab National Bank - 04/11/2024**</t>
  </si>
  <si>
    <t>INE171A16LN9</t>
  </si>
  <si>
    <t>The Federal Bank Ltd - 26/11/2024**</t>
  </si>
  <si>
    <t>INE562A16NA2</t>
  </si>
  <si>
    <t>Indian Bank - 03/09/2024**</t>
  </si>
  <si>
    <t>INE476A16YJ3</t>
  </si>
  <si>
    <t>Canara Bank - 06/09/2024</t>
  </si>
  <si>
    <t>INE090AD6048</t>
  </si>
  <si>
    <t>ICICI Bank Ltd - 16/09/2024**</t>
  </si>
  <si>
    <t>INE514E14RR5</t>
  </si>
  <si>
    <t>Export Import Bank of India - 09/09/2024**</t>
  </si>
  <si>
    <t>INE929O14CD6</t>
  </si>
  <si>
    <t>Reliance Retail Ventures Ltd - 08/11/2024**</t>
  </si>
  <si>
    <t>INE0DZE14065</t>
  </si>
  <si>
    <t>Kisetsu Saison Finance - 10/09/2024**</t>
  </si>
  <si>
    <t>INE721A14DU8</t>
  </si>
  <si>
    <t>Shriram Finance Ltd - 10/09/2024**</t>
  </si>
  <si>
    <t>INE556F14KK3</t>
  </si>
  <si>
    <t>Small Industries Development Bank of India - 11/09/2024</t>
  </si>
  <si>
    <t>INE891D14YQ7</t>
  </si>
  <si>
    <t>Redington Ltd - 12/09/2024**</t>
  </si>
  <si>
    <t>INE09OL14FK9</t>
  </si>
  <si>
    <t>Birla Group Holdings Pvt Ltd - 18/09/2024**</t>
  </si>
  <si>
    <t>INE498L14CE6</t>
  </si>
  <si>
    <t>L &amp; T Finance Ltd - 24/10/2024**</t>
  </si>
  <si>
    <t>INE289B14JC9</t>
  </si>
  <si>
    <t>GIC Housing Finance Ltd - 22/11/2024**</t>
  </si>
  <si>
    <t>INE233A14N74</t>
  </si>
  <si>
    <t>Godrej Industries Ltd - 06/09/2024**</t>
  </si>
  <si>
    <t>INE572E14JF5</t>
  </si>
  <si>
    <t>PNB Housing Finance Ltd - 10/09/2024**</t>
  </si>
  <si>
    <t>INE261F14MA7</t>
  </si>
  <si>
    <t>National Bank for Agriculture &amp; Rural Development - 20/09/2024</t>
  </si>
  <si>
    <t>INE261F14MB5</t>
  </si>
  <si>
    <t>National Bank for Agriculture &amp; Rural Development - 26/09/2024**</t>
  </si>
  <si>
    <t>INE824H14PR5</t>
  </si>
  <si>
    <t>Julius Baer Capital (India) Private Ltd - 30/09/2024**</t>
  </si>
  <si>
    <t>INE338I14HU5</t>
  </si>
  <si>
    <t>Motilal Oswal Financial Services Ltd - 17/10/2024**</t>
  </si>
  <si>
    <t>INE110L14SF0</t>
  </si>
  <si>
    <t>Reliance Jio Infocomm Ltd - 14/11/2024**</t>
  </si>
  <si>
    <t>INE071G14FV8</t>
  </si>
  <si>
    <t>ICICI Home Finance Company Ltd - 19/11/2024**</t>
  </si>
  <si>
    <t>INE824H14PZ8</t>
  </si>
  <si>
    <t>Julius Baer Capital (India) Private Ltd - 27/11/2024**</t>
  </si>
  <si>
    <t>INE144H14GX5</t>
  </si>
  <si>
    <t>Deutsche Investments India Private Ltd - 03/09/2024**</t>
  </si>
  <si>
    <t>INE850D14RI4</t>
  </si>
  <si>
    <t>Godrej Agrovet Ltd - 12/09/2024**</t>
  </si>
  <si>
    <t>INE891D14YR5</t>
  </si>
  <si>
    <t>Redington Ltd - 13/09/2024**</t>
  </si>
  <si>
    <t>INE027214647</t>
  </si>
  <si>
    <t>BOBCARD Ltd - 13/09/2024**</t>
  </si>
  <si>
    <t>INE417C14751</t>
  </si>
  <si>
    <t>Pilani Investment and Industries Corporation Ltd. - 13/09/2024**</t>
  </si>
  <si>
    <t>INE733E14BN4</t>
  </si>
  <si>
    <t>NTPC LTD - 20/09/2024</t>
  </si>
  <si>
    <t>INE557F14FJ3</t>
  </si>
  <si>
    <t>National Housing Bank  - 26/09/2024**</t>
  </si>
  <si>
    <t>INE870H14TD0</t>
  </si>
  <si>
    <t>Network18 Media &amp; Investments Ltd - 30/10/2024**</t>
  </si>
  <si>
    <t>INE700G14LD8</t>
  </si>
  <si>
    <t>HDFC Securities Ltd - 12/11/2024**</t>
  </si>
  <si>
    <t>INE018A14LB2</t>
  </si>
  <si>
    <t>Larsen &amp; Toubro Ltd - 27/11/2024**</t>
  </si>
  <si>
    <t>INE572E14JJ7</t>
  </si>
  <si>
    <t>PNB Housing Finance Ltd - 26/11/2024**</t>
  </si>
  <si>
    <t>INE233A14R62</t>
  </si>
  <si>
    <t>Godrej Industries Ltd - 27/11/2024**</t>
  </si>
  <si>
    <t>INE865C14MA2</t>
  </si>
  <si>
    <t>Aditya Birla Money Ltd - 29/11/2024**</t>
  </si>
  <si>
    <t>INE007N14DW1</t>
  </si>
  <si>
    <t>Fedbank Financial Services Ltd - 02/12/2024</t>
  </si>
  <si>
    <t>INE763G14VJ2</t>
  </si>
  <si>
    <t>ICICI Securities Ltd - 13/11/2024**</t>
  </si>
  <si>
    <t>INE824H14PY1</t>
  </si>
  <si>
    <t>Julius Baer Capital (India) Private Ltd - 22/11/2024**</t>
  </si>
  <si>
    <t>INE261F14LX1</t>
  </si>
  <si>
    <t>National Bank for Agriculture &amp; Rural Development - 11/09/2024</t>
  </si>
  <si>
    <t>INE212K14734</t>
  </si>
  <si>
    <t>SBI Cap securities Ltd - 19/09/2024**</t>
  </si>
  <si>
    <t>IN002023Y540</t>
  </si>
  <si>
    <t>182 Days - T Bill - 26/09/2024</t>
  </si>
  <si>
    <t>IN002024X110</t>
  </si>
  <si>
    <t>91 Days - T Bill - 05/09/2024</t>
  </si>
  <si>
    <t>IN002023Z265</t>
  </si>
  <si>
    <t>364 Days - T Bill - 12/09/2024</t>
  </si>
  <si>
    <t>IN002024X177</t>
  </si>
  <si>
    <t>91 Days - T Bill - 18/10/2024</t>
  </si>
  <si>
    <t>IN002024Y050</t>
  </si>
  <si>
    <t>182 Days - T Bill - 01/11/2024</t>
  </si>
  <si>
    <t>IN002024X201</t>
  </si>
  <si>
    <t>91 Days - T Bill - 07/11/2024</t>
  </si>
  <si>
    <t>IN002024X219</t>
  </si>
  <si>
    <t>91 Days - T Bill - 15/11/2024</t>
  </si>
  <si>
    <t>IN002024X227</t>
  </si>
  <si>
    <t>91 Days - T Bill - 21/11/2024</t>
  </si>
  <si>
    <t>Sundaram Short Duration Fund</t>
  </si>
  <si>
    <t>INE134E08MJ2</t>
  </si>
  <si>
    <t>Power Finance Corporation Ltd - 7.77% - 15/04/2028**</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</si>
  <si>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</si>
  <si>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</si>
  <si>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</si>
  <si>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</si>
  <si>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</si>
  <si>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</si>
  <si>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</si>
  <si>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</si>
  <si>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</si>
  <si>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INE040A16EH3</t>
  </si>
  <si>
    <t>HDFC Bank Ltd - 06/12/2024</t>
  </si>
  <si>
    <t>Sundaram Ultra Short Duration Fund</t>
  </si>
  <si>
    <t>INE115A07PQ9</t>
  </si>
  <si>
    <t>LIC Housing Finance Ltd - 5.9943% - 12/03/2025**</t>
  </si>
  <si>
    <t>INE121A07RB5</t>
  </si>
  <si>
    <t>Cholamandalam Investment and Finance Co Ltd - 8.25% - 04/03/2025**</t>
  </si>
  <si>
    <t>INE115A07OX8</t>
  </si>
  <si>
    <t>LIC Housing Finance Ltd - 5.5315% - 20/12/2024**</t>
  </si>
  <si>
    <t>INE756I07EI4</t>
  </si>
  <si>
    <t>HDB Financial Services Ltd - 7.5% - 23/09/2025**</t>
  </si>
  <si>
    <t>INE261F08DK7</t>
  </si>
  <si>
    <t>National Bank for Agriculture &amp; Rural Development - 5.7% - 31/07/2025**</t>
  </si>
  <si>
    <t>INE028A16FO1</t>
  </si>
  <si>
    <t>Bank of Baroda - 25/11/2024**</t>
  </si>
  <si>
    <t>INE090AD6105</t>
  </si>
  <si>
    <t>ICICI Bank Ltd - 06/12/2024**</t>
  </si>
  <si>
    <t>INE476A16YR6</t>
  </si>
  <si>
    <t>Canara Bank - 16/12/2024**</t>
  </si>
  <si>
    <t>INE160A16OH8</t>
  </si>
  <si>
    <t>Punjab National Bank - 31/01/2025**</t>
  </si>
  <si>
    <t>INE171A16LK5</t>
  </si>
  <si>
    <t>The Federal Bank Ltd - 29/11/2024**</t>
  </si>
  <si>
    <t>INE556F16AN3</t>
  </si>
  <si>
    <t>Small Industries Development Bank of India - 18/12/2024**</t>
  </si>
  <si>
    <t>INE040A16EK7</t>
  </si>
  <si>
    <t>HDFC Bank Ltd - 09/01/2025**</t>
  </si>
  <si>
    <t>INE261F16777</t>
  </si>
  <si>
    <t>National Bank for Agriculture &amp; Rural Development - 23/01/2025**</t>
  </si>
  <si>
    <t>INE237A160W3</t>
  </si>
  <si>
    <t>Kotak Mahindra Bank Ltd - 05/02/2025**</t>
  </si>
  <si>
    <t>INE160A16OL0</t>
  </si>
  <si>
    <t>Punjab National Bank - 07/02/2025**</t>
  </si>
  <si>
    <t>INE028A16FL7</t>
  </si>
  <si>
    <t>Bank of Baroda - 10/03/2025**</t>
  </si>
  <si>
    <t>INE476A16XV0</t>
  </si>
  <si>
    <t>Canara Bank - 11/03/2025**</t>
  </si>
  <si>
    <t>INE238AD6884</t>
  </si>
  <si>
    <t>Axis Bank Ltd - 22/08/2025**</t>
  </si>
  <si>
    <t>INE095A16X10</t>
  </si>
  <si>
    <t>IndusInd Bank Ltd - 19/08/2025**</t>
  </si>
  <si>
    <t>INE115A14EQ9</t>
  </si>
  <si>
    <t>LIC Housing Finance Ltd - 17/12/2024**</t>
  </si>
  <si>
    <t>INE790I14EV2</t>
  </si>
  <si>
    <t>HSBC InvestDirect Financial Services India Limited - 24/12/2024**</t>
  </si>
  <si>
    <t>INE556F14KG1</t>
  </si>
  <si>
    <t>Small Industries Development Bank of India - 28/02/2025**</t>
  </si>
  <si>
    <t>INE414G14TC1</t>
  </si>
  <si>
    <t>Muthoot Finance Ltd - 25/02/2025**</t>
  </si>
  <si>
    <t>INE477S14CC9</t>
  </si>
  <si>
    <t>Tata Motors Finance Ltd - 11/03/2025**</t>
  </si>
  <si>
    <t>INE115A14EV9</t>
  </si>
  <si>
    <t>LIC Housing Finance Ltd - 04/03/2025**</t>
  </si>
  <si>
    <t>INE417C14710</t>
  </si>
  <si>
    <t>Pilani Investment and Industries Corporation Ltd. - 21/03/2025**</t>
  </si>
  <si>
    <t>IN002023Y524</t>
  </si>
  <si>
    <t>182 Days - T Bill - 12/09/2024</t>
  </si>
  <si>
    <t>IN002023Z299</t>
  </si>
  <si>
    <t>364 Days- T Bill -03/10/2024</t>
  </si>
  <si>
    <t>Sundaram Medium Duration Fund</t>
  </si>
  <si>
    <t>IN0020210186</t>
  </si>
  <si>
    <t>5.74% Central Government Securities 15/11/2026</t>
  </si>
  <si>
    <t>Institutional Plan - Growth</t>
  </si>
  <si>
    <t>Sundaram Conservative Hybrid Fund</t>
  </si>
  <si>
    <t>INE040A01034</t>
  </si>
  <si>
    <t>HDFC Bank Ltd</t>
  </si>
  <si>
    <t>Banks</t>
  </si>
  <si>
    <t>INE002A01018</t>
  </si>
  <si>
    <t>Reliance Industries Ltd</t>
  </si>
  <si>
    <t>Petroleum Products</t>
  </si>
  <si>
    <t>INE090A01021</t>
  </si>
  <si>
    <t>ICICI Bank Ltd</t>
  </si>
  <si>
    <t>INE397D01024</t>
  </si>
  <si>
    <t>Bharti Airtel Ltd</t>
  </si>
  <si>
    <t>Telecom - Services</t>
  </si>
  <si>
    <t>INE018A01030</t>
  </si>
  <si>
    <t>Larsen &amp; Toubro Ltd</t>
  </si>
  <si>
    <t>Construction</t>
  </si>
  <si>
    <t>INE009A01021</t>
  </si>
  <si>
    <t>Infosys Ltd</t>
  </si>
  <si>
    <t>It - Software</t>
  </si>
  <si>
    <t>INE860A01027</t>
  </si>
  <si>
    <t>HCL Technologies Ltd</t>
  </si>
  <si>
    <t>INE062A01020</t>
  </si>
  <si>
    <t>State Bank of India</t>
  </si>
  <si>
    <t>INE154A01025</t>
  </si>
  <si>
    <t>ITC Ltd</t>
  </si>
  <si>
    <t>Diversified Fmcg</t>
  </si>
  <si>
    <t>INE238A01034</t>
  </si>
  <si>
    <t>Axis Bank Ltd</t>
  </si>
  <si>
    <t>INE044A01036</t>
  </si>
  <si>
    <t>Sun Pharmaceutical Industries Ltd</t>
  </si>
  <si>
    <t>Pharmaceuticals &amp; Biotechnology</t>
  </si>
  <si>
    <t>INE917I01010</t>
  </si>
  <si>
    <t>Bajaj Auto Ltd</t>
  </si>
  <si>
    <t>Automobiles</t>
  </si>
  <si>
    <t>INE540L01014</t>
  </si>
  <si>
    <t>Alkem Laboratories Ltd</t>
  </si>
  <si>
    <t>INE029A01011</t>
  </si>
  <si>
    <t>Bharat Petroleum Corporation Ltd</t>
  </si>
  <si>
    <t>INE726G01019</t>
  </si>
  <si>
    <t>ICICI Prudential Life Insurance Company Ltd</t>
  </si>
  <si>
    <t>Insurance</t>
  </si>
  <si>
    <t>INE200M01021</t>
  </si>
  <si>
    <t>Varun Beverages Ltd</t>
  </si>
  <si>
    <t>Beverages</t>
  </si>
  <si>
    <t>INE603J01030</t>
  </si>
  <si>
    <t>PI Industries Ltd</t>
  </si>
  <si>
    <t>Fertilizers &amp; Agrochemicals</t>
  </si>
  <si>
    <t>INE481G01011</t>
  </si>
  <si>
    <t>Ultratech Cement Ltd</t>
  </si>
  <si>
    <t>Cement &amp; Cement Products</t>
  </si>
  <si>
    <t>INE854D01024</t>
  </si>
  <si>
    <t>United Spirits Ltd</t>
  </si>
  <si>
    <t>INE047A01021</t>
  </si>
  <si>
    <t>Grasim Industries Ltd</t>
  </si>
  <si>
    <t>INE438A01022</t>
  </si>
  <si>
    <t>Apollo Tyres Ltd</t>
  </si>
  <si>
    <t>Auto Components</t>
  </si>
  <si>
    <t>INE196A01026</t>
  </si>
  <si>
    <t>Marico Ltd</t>
  </si>
  <si>
    <t>Agricultural Food &amp; Other Products</t>
  </si>
  <si>
    <t>IN9397D01014</t>
  </si>
  <si>
    <t>Sundaram Overnight Fund</t>
  </si>
  <si>
    <t>IN002023Y516</t>
  </si>
  <si>
    <t>182 Days- T Bill-05/09/2024</t>
  </si>
  <si>
    <t>Reverse Repo</t>
  </si>
  <si>
    <t>Unclaimed Plan - Redemption Less than three years</t>
  </si>
  <si>
    <t>Unclaimed Plan - Redemption greater than three years</t>
  </si>
  <si>
    <t>S. No.</t>
  </si>
  <si>
    <t>ACRONYM</t>
  </si>
  <si>
    <t>SCHEME NAME</t>
  </si>
  <si>
    <t>SFRLTP</t>
  </si>
  <si>
    <t>SFRSTP</t>
  </si>
  <si>
    <t>SMMF</t>
  </si>
  <si>
    <t>SPLDF</t>
  </si>
  <si>
    <t>SPMON</t>
  </si>
  <si>
    <t>SPSDF</t>
  </si>
  <si>
    <t>SPUSDF</t>
  </si>
  <si>
    <t>SUNBDS</t>
  </si>
  <si>
    <t>SUNMIA</t>
  </si>
  <si>
    <t>SUNONF</t>
  </si>
  <si>
    <t>Fortnightly Portfolio Statement as on 31 August 2024</t>
  </si>
  <si>
    <t>YTM (%)*</t>
  </si>
  <si>
    <t>At the beginning</t>
  </si>
  <si>
    <t>INE0GGX23010</t>
  </si>
  <si>
    <t>Power Grid Infrastructure Investment Trust(InvIT)</t>
  </si>
  <si>
    <t>Power</t>
  </si>
  <si>
    <t>**Non Traded Securities - Wherever applicable</t>
  </si>
  <si>
    <t>^ Net current assets includes interest accrued on fixed income securities - Wherever applicable</t>
  </si>
  <si>
    <t># percentage to NAV of security is less than 0.01%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</si>
  <si>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</si>
  <si>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 Corporate Debt Market Development Fund</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</si>
  <si>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</si>
  <si>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</si>
  <si>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</si>
  <si>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</si>
  <si>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</si>
  <si>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</si>
  <si>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</si>
  <si>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</si>
  <si>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</si>
  <si>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</si>
  <si>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</si>
  <si>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</si>
  <si>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</si>
  <si>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</si>
  <si>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</si>
  <si>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</si>
  <si>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</si>
  <si>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</si>
  <si>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</si>
  <si>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</si>
  <si>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 to NAV</t>
  </si>
  <si>
    <t>++ Aggregate Investments by Other schemes of Sundaram Mutual Fund - Rs.5589.62 Lakhs</t>
  </si>
  <si>
    <t>Refer below point i)</t>
  </si>
  <si>
    <t>7.72% Central Government Securities_Floating Rate Bond - 04/10/2028 ~</t>
  </si>
  <si>
    <t>Refer below point h)</t>
  </si>
  <si>
    <t>Regular Plan - Quarterly IDCW</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</si>
  <si>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</si>
  <si>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</si>
  <si>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</si>
  <si>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</si>
  <si>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</si>
  <si>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</si>
  <si>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</si>
  <si>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</si>
  <si>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</si>
  <si>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</si>
  <si>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</si>
  <si>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</si>
  <si>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</si>
  <si>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</si>
  <si>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31-Aug-2024</t>
  </si>
  <si>
    <t>i) Exposure to securities classified as below investment grade or default as on 31-Aug-2024:-</t>
  </si>
  <si>
    <t>h) Exposure to securities classified as below investment grade or default as on 31-Aug-2024:-</t>
  </si>
  <si>
    <t>% to AUM as on  31-Aug-2024</t>
  </si>
  <si>
    <t>YTM (%)</t>
  </si>
  <si>
    <t>Total Amount (Principal &amp; Interest)  (Rs. Lakh)</t>
  </si>
  <si>
    <t>Net receivable/ Market value  (Rs. Lakh)</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</si>
  <si>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</si>
  <si>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</si>
  <si>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</si>
  <si>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</si>
  <si>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</si>
  <si>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</si>
  <si>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</si>
  <si>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</si>
  <si>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Direct Plan - Daily IDCW</t>
  </si>
  <si>
    <t>Direct Plan - Weekly IDCW</t>
  </si>
  <si>
    <t>Direct Plan - Fortnightly IDCW</t>
  </si>
  <si>
    <t>Regular Plan - Daily IDCW</t>
  </si>
  <si>
    <t>Regular Plan - Weekly IDCW</t>
  </si>
  <si>
    <t>Regular Plan - Fortnightly IDCW</t>
  </si>
  <si>
    <t>Unclaimed Plan - IDCW greater than three years</t>
  </si>
  <si>
    <t>Unclaimed Plan - IDCW less than three years</t>
  </si>
  <si>
    <t>Index</t>
  </si>
  <si>
    <t>Scheme Riskometer</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</si>
  <si>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</si>
  <si>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</si>
  <si>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</si>
  <si>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</si>
  <si>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</si>
  <si>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</si>
  <si>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</si>
  <si>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</si>
  <si>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</si>
  <si>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</si>
  <si>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</si>
  <si>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</si>
  <si>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</si>
  <si>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</si>
  <si>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</si>
  <si>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</si>
  <si>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</si>
  <si>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</si>
  <si>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</si>
  <si>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Bharti Airtel Ltd - Partly Paid Right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</si>
</sst>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1014009]#,##0;\(#,##0\)"/>
  </numFmts>
  <fonts count="30" x14ac:knownFonts="1">
    <font>
      <sz val="10"/>
      <name val="Arial"/>
      <charset val="1"/>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sz val="10"/>
      <color indexed="8"/>
      <name val="Calibri"/>
      <family val="2"/>
    </font>
    <font>
      <u/>
      <sz val="11"/>
      <color rgb="FF002060"/>
      <name val="Aptos Narrow"/>
      <family val="2"/>
      <scheme val="minor"/>
    </font>
    <font>
      <sz val="10"/>
      <name val="Arial"/>
      <family val="2"/>
    </font>
    <font>
      <b/>
      <sz val="11"/>
      <name val="Aptos Narrow"/>
      <family val="2"/>
      <scheme val="minor"/>
    </font>
    <font>
      <b/>
      <sz val="10"/>
      <color indexed="8"/>
      <name val="Calibri"/>
      <family val="2"/>
    </font>
    <font>
      <b/>
      <i/>
      <sz val="10"/>
      <color indexed="8"/>
      <name val="Calibri"/>
      <family val="2"/>
    </font>
    <font>
      <b/>
      <sz val="10"/>
      <name val="Arial"/>
      <family val="2"/>
    </font>
    <font>
      <sz val="10"/>
      <name val="Calibri"/>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s>
  <fills count="3">
    <fill>
      <patternFill patternType="none"/>
    </fill>
    <fill>
      <patternFill patternType="gray125"/>
    </fill>
    <fill>
      <patternFill patternType="solid">
        <fgColor theme="2" tint="-9.9978637043366805E-2"/>
        <bgColor indexed="64"/>
      </patternFill>
    </fill>
  </fills>
  <borders count="11">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wrapText="1"/>
    </xf>
    <xf numFmtId="164" fontId="6" fillId="0" borderId="0" applyFont="0" applyFill="0" applyBorder="0" applyAlignment="0" applyProtection="0"/>
    <xf numFmtId="0" fontId="1" fillId="0" borderId="0"/>
    <xf numFmtId="0" fontId="1" fillId="0" borderId="0"/>
    <xf numFmtId="0" fontId="13" fillId="0" borderId="0" applyNumberFormat="0" applyFill="0" applyBorder="0" applyAlignment="0" applyProtection="0">
      <alignment wrapText="1"/>
    </xf>
    <xf numFmtId="0" fontId="19" fillId="0" borderId="0">
      <alignment wrapText="1"/>
    </xf>
    <xf numFmtId="164" fontId="19" fillId="0" borderId="0" applyFont="0" applyFill="0" applyBorder="0" applyAlignment="0" applyProtection="0"/>
    <xf numFmtId="9" fontId="19" fillId="0" borderId="0" applyFont="0" applyFill="0" applyBorder="0" applyAlignment="0" applyProtection="0"/>
    <xf numFmtId="0" fontId="1" fillId="0" borderId="0"/>
    <xf numFmtId="9" fontId="29" fillId="0" borderId="0" applyFont="0" applyFill="0" applyBorder="0" applyAlignment="0" applyProtection="0"/>
  </cellStyleXfs>
  <cellXfs count="139">
    <xf numFmtId="0" fontId="0" fillId="0" borderId="0" xfId="0">
      <alignment wrapText="1"/>
    </xf>
    <xf numFmtId="0" fontId="10" fillId="0" borderId="7" xfId="2" applyFont="1" applyBorder="1" applyAlignment="1">
      <alignment horizontal="center"/>
    </xf>
    <xf numFmtId="0" fontId="11" fillId="0" borderId="7" xfId="2" applyFont="1" applyBorder="1" applyAlignment="1">
      <alignment horizontal="center" vertical="center"/>
    </xf>
    <xf numFmtId="0" fontId="12" fillId="0" borderId="0" xfId="3" applyFont="1"/>
    <xf numFmtId="0" fontId="12" fillId="0" borderId="7" xfId="2" applyFont="1" applyBorder="1" applyAlignment="1">
      <alignment horizontal="center"/>
    </xf>
    <xf numFmtId="0" fontId="14" fillId="0" borderId="7" xfId="4" applyFont="1" applyBorder="1" applyAlignment="1">
      <alignment vertical="center"/>
    </xf>
    <xf numFmtId="0" fontId="15" fillId="0" borderId="7" xfId="2" applyFont="1" applyBorder="1" applyAlignment="1">
      <alignment vertical="top"/>
    </xf>
    <xf numFmtId="0" fontId="18" fillId="0" borderId="0" xfId="4" applyFont="1" applyFill="1" applyBorder="1" applyAlignment="1">
      <alignment horizontal="center" vertical="center" wrapText="1"/>
    </xf>
    <xf numFmtId="164" fontId="24" fillId="0" borderId="7" xfId="6" applyFont="1" applyFill="1" applyBorder="1" applyAlignment="1">
      <alignment vertical="center"/>
    </xf>
    <xf numFmtId="164" fontId="27" fillId="0" borderId="7" xfId="6" applyFont="1" applyFill="1" applyBorder="1" applyAlignment="1">
      <alignment vertical="center"/>
    </xf>
    <xf numFmtId="10" fontId="27" fillId="0" borderId="7" xfId="7" applyNumberFormat="1" applyFont="1" applyFill="1" applyBorder="1" applyAlignment="1">
      <alignment vertical="center"/>
    </xf>
    <xf numFmtId="0" fontId="0" fillId="0" borderId="0" xfId="0" applyAlignment="1">
      <alignment horizontal="center" vertical="center" wrapText="1"/>
    </xf>
    <xf numFmtId="0" fontId="16" fillId="0" borderId="1" xfId="0" applyFont="1" applyBorder="1" applyAlignment="1">
      <alignment horizontal="center" vertical="center" wrapText="1" readingOrder="1"/>
    </xf>
    <xf numFmtId="164" fontId="16" fillId="0" borderId="7" xfId="1" applyFont="1" applyFill="1" applyBorder="1" applyAlignment="1">
      <alignment horizontal="center" vertical="center" wrapText="1" readingOrder="1"/>
    </xf>
    <xf numFmtId="0" fontId="2" fillId="0" borderId="1" xfId="0" applyFont="1" applyBorder="1" applyAlignment="1">
      <alignment horizontal="right" vertical="top" wrapText="1" readingOrder="1"/>
    </xf>
    <xf numFmtId="0" fontId="3" fillId="0" borderId="1" xfId="0" applyFont="1" applyBorder="1" applyAlignment="1">
      <alignment horizontal="left" vertical="center" wrapText="1" readingOrder="1"/>
    </xf>
    <xf numFmtId="166" fontId="17" fillId="0" borderId="7" xfId="0" applyNumberFormat="1" applyFont="1" applyBorder="1" applyAlignment="1">
      <alignment horizontal="right" vertical="center" wrapText="1" readingOrder="1"/>
    </xf>
    <xf numFmtId="0" fontId="3" fillId="0" borderId="1" xfId="0" applyFont="1" applyBorder="1" applyAlignment="1">
      <alignment horizontal="right" vertical="center" wrapText="1" readingOrder="1"/>
    </xf>
    <xf numFmtId="165" fontId="3" fillId="0" borderId="1" xfId="0" applyNumberFormat="1" applyFont="1" applyBorder="1" applyAlignment="1">
      <alignment horizontal="right" vertical="center" wrapText="1" readingOrder="1"/>
    </xf>
    <xf numFmtId="0" fontId="4" fillId="0" borderId="1" xfId="0" applyFont="1" applyBorder="1" applyAlignment="1">
      <alignment horizontal="left" vertical="center" wrapText="1" readingOrder="1"/>
    </xf>
    <xf numFmtId="0" fontId="4" fillId="0" borderId="1" xfId="0" applyFont="1" applyBorder="1" applyAlignment="1">
      <alignment horizontal="right" vertical="center" wrapText="1" readingOrder="1"/>
    </xf>
    <xf numFmtId="166" fontId="3" fillId="0" borderId="1" xfId="0" applyNumberFormat="1" applyFont="1" applyBorder="1" applyAlignment="1">
      <alignment horizontal="right" vertical="center" wrapText="1" readingOrder="1"/>
    </xf>
    <xf numFmtId="167" fontId="2" fillId="0" borderId="1" xfId="0" applyNumberFormat="1" applyFont="1" applyBorder="1" applyAlignment="1">
      <alignment horizontal="right" vertical="center" wrapText="1" readingOrder="1"/>
    </xf>
    <xf numFmtId="0" fontId="2" fillId="0" borderId="1" xfId="0" applyFont="1" applyBorder="1" applyAlignment="1">
      <alignment horizontal="left" vertical="center" wrapText="1" readingOrder="1"/>
    </xf>
    <xf numFmtId="168" fontId="2" fillId="0" borderId="1" xfId="0" applyNumberFormat="1" applyFont="1" applyBorder="1" applyAlignment="1">
      <alignment horizontal="right" vertical="center" wrapText="1" readingOrder="1"/>
    </xf>
    <xf numFmtId="166" fontId="2" fillId="0" borderId="1" xfId="0" applyNumberFormat="1" applyFont="1" applyBorder="1" applyAlignment="1">
      <alignment horizontal="right" vertical="center" wrapText="1" readingOrder="1"/>
    </xf>
    <xf numFmtId="165" fontId="2" fillId="0" borderId="1" xfId="0" applyNumberFormat="1" applyFont="1" applyBorder="1" applyAlignment="1">
      <alignment horizontal="right" vertical="center" wrapText="1" readingOrder="1"/>
    </xf>
    <xf numFmtId="0" fontId="2" fillId="0" borderId="1" xfId="0" applyFont="1" applyBorder="1" applyAlignment="1">
      <alignment horizontal="right" vertical="center" wrapText="1" readingOrder="1"/>
    </xf>
    <xf numFmtId="0" fontId="17" fillId="0" borderId="1" xfId="0" applyFont="1" applyBorder="1" applyAlignment="1">
      <alignment horizontal="right" vertical="top" wrapText="1" readingOrder="1"/>
    </xf>
    <xf numFmtId="0" fontId="21" fillId="0" borderId="1" xfId="0" applyFont="1" applyBorder="1" applyAlignment="1">
      <alignment horizontal="left" vertical="center" wrapText="1" readingOrder="1"/>
    </xf>
    <xf numFmtId="0" fontId="22" fillId="0" borderId="1" xfId="0" applyFont="1" applyBorder="1" applyAlignment="1">
      <alignment horizontal="right" vertical="center" wrapText="1" readingOrder="1"/>
    </xf>
    <xf numFmtId="166" fontId="17" fillId="0" borderId="1" xfId="0" applyNumberFormat="1" applyFont="1" applyBorder="1" applyAlignment="1">
      <alignment horizontal="right" vertical="center" wrapText="1" readingOrder="1"/>
    </xf>
    <xf numFmtId="0" fontId="19" fillId="0" borderId="0" xfId="5">
      <alignment wrapText="1"/>
    </xf>
    <xf numFmtId="0" fontId="24" fillId="0" borderId="0" xfId="0" applyFont="1">
      <alignment wrapText="1"/>
    </xf>
    <xf numFmtId="169" fontId="2" fillId="0" borderId="1" xfId="0" applyNumberFormat="1" applyFont="1" applyBorder="1" applyAlignment="1">
      <alignment horizontal="right" vertical="center" wrapText="1" readingOrder="1"/>
    </xf>
    <xf numFmtId="170" fontId="3" fillId="0" borderId="1" xfId="0" applyNumberFormat="1" applyFont="1" applyBorder="1" applyAlignment="1">
      <alignment horizontal="right" vertical="center" wrapText="1" readingOrder="1"/>
    </xf>
    <xf numFmtId="0" fontId="4" fillId="0" borderId="2" xfId="0" applyFont="1" applyBorder="1" applyAlignment="1">
      <alignment horizontal="left" vertical="center" wrapText="1" readingOrder="1"/>
    </xf>
    <xf numFmtId="0" fontId="4" fillId="0" borderId="2" xfId="0" applyFont="1" applyBorder="1" applyAlignment="1">
      <alignment horizontal="right" vertical="center" wrapText="1" readingOrder="1"/>
    </xf>
    <xf numFmtId="0" fontId="22" fillId="0" borderId="0" xfId="0" applyFont="1" applyAlignment="1">
      <alignment horizontal="left" vertical="center" wrapText="1" readingOrder="1"/>
    </xf>
    <xf numFmtId="0" fontId="17" fillId="0" borderId="0" xfId="0" applyFont="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4" fillId="0" borderId="3" xfId="0" applyFont="1" applyBorder="1" applyAlignment="1">
      <alignment horizontal="right" vertical="center" wrapText="1" readingOrder="1"/>
    </xf>
    <xf numFmtId="0" fontId="17" fillId="0" borderId="0" xfId="0" applyFont="1" applyAlignment="1">
      <alignment horizontal="right" vertical="top" wrapText="1" readingOrder="1"/>
    </xf>
    <xf numFmtId="0" fontId="21" fillId="0" borderId="1" xfId="0" applyFont="1" applyBorder="1" applyAlignment="1">
      <alignment horizontal="right" vertical="top" wrapText="1" readingOrder="1"/>
    </xf>
    <xf numFmtId="164" fontId="17" fillId="0" borderId="0" xfId="1" applyFont="1" applyFill="1" applyBorder="1" applyAlignment="1">
      <alignment horizontal="right" vertical="top" wrapText="1" readingOrder="1"/>
    </xf>
    <xf numFmtId="0" fontId="2" fillId="0" borderId="0" xfId="0" applyFont="1" applyAlignment="1">
      <alignment horizontal="right" vertical="top" wrapText="1" readingOrder="1"/>
    </xf>
    <xf numFmtId="0" fontId="3" fillId="0" borderId="1" xfId="0" applyFont="1" applyBorder="1" applyAlignment="1">
      <alignment horizontal="left" vertical="top" wrapText="1" readingOrder="1"/>
    </xf>
    <xf numFmtId="14" fontId="3" fillId="0" borderId="1" xfId="0" applyNumberFormat="1" applyFont="1" applyBorder="1" applyAlignment="1">
      <alignment horizontal="right" vertical="top" wrapText="1" readingOrder="1"/>
    </xf>
    <xf numFmtId="171" fontId="2" fillId="0" borderId="1"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5" fillId="0" borderId="1" xfId="0" applyFont="1" applyBorder="1" applyAlignment="1">
      <alignment horizontal="left" vertical="center" wrapText="1" readingOrder="1"/>
    </xf>
    <xf numFmtId="0" fontId="5" fillId="0" borderId="1" xfId="0" applyFont="1" applyBorder="1" applyAlignment="1">
      <alignment horizontal="right" vertical="center" wrapText="1" readingOrder="1"/>
    </xf>
    <xf numFmtId="172" fontId="2" fillId="0" borderId="1" xfId="0" applyNumberFormat="1" applyFont="1" applyBorder="1" applyAlignment="1">
      <alignment horizontal="right" vertical="center" wrapText="1" readingOrder="1"/>
    </xf>
    <xf numFmtId="0" fontId="2" fillId="0" borderId="2"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17" fillId="0" borderId="3" xfId="0" applyFont="1" applyBorder="1" applyAlignment="1">
      <alignment horizontal="right" vertical="top" wrapText="1" readingOrder="1"/>
    </xf>
    <xf numFmtId="0" fontId="0" fillId="0" borderId="0" xfId="0" applyAlignment="1">
      <alignment horizontal="center" vertical="top" readingOrder="1"/>
    </xf>
    <xf numFmtId="0" fontId="24" fillId="0" borderId="0" xfId="0" applyFont="1" applyAlignment="1">
      <alignment vertical="center" wrapText="1"/>
    </xf>
    <xf numFmtId="0" fontId="25" fillId="0" borderId="7" xfId="0" applyFont="1" applyBorder="1" applyAlignment="1">
      <alignment horizontal="center" vertical="center" wrapText="1"/>
    </xf>
    <xf numFmtId="0" fontId="24" fillId="0" borderId="7" xfId="0" applyFont="1" applyBorder="1" applyAlignment="1">
      <alignment vertical="center" wrapText="1"/>
    </xf>
    <xf numFmtId="0" fontId="24" fillId="0" borderId="7" xfId="0" applyFont="1" applyBorder="1" applyAlignment="1">
      <alignment horizontal="justify" vertical="center" wrapText="1"/>
    </xf>
    <xf numFmtId="173" fontId="21" fillId="0" borderId="1" xfId="0" applyNumberFormat="1" applyFont="1" applyBorder="1" applyAlignment="1">
      <alignment horizontal="left" vertical="center" wrapText="1" readingOrder="1"/>
    </xf>
    <xf numFmtId="14" fontId="24" fillId="0" borderId="7" xfId="0" quotePrefix="1" applyNumberFormat="1" applyFont="1" applyBorder="1" applyAlignment="1">
      <alignment horizontal="justify" vertical="center" wrapText="1"/>
    </xf>
    <xf numFmtId="0" fontId="17" fillId="0" borderId="0" xfId="0" applyFont="1" applyAlignment="1">
      <alignment horizontal="right" vertical="center" wrapText="1" readingOrder="1"/>
    </xf>
    <xf numFmtId="0" fontId="0" fillId="0" borderId="0" xfId="0" applyAlignment="1">
      <alignment vertical="center" wrapText="1"/>
    </xf>
    <xf numFmtId="0" fontId="0" fillId="2" borderId="0" xfId="0" applyFill="1" applyAlignment="1">
      <alignment horizontal="center" vertical="center" wrapText="1"/>
    </xf>
    <xf numFmtId="0" fontId="20" fillId="2" borderId="0" xfId="5" applyFont="1" applyFill="1" applyAlignment="1">
      <alignment horizontal="center" vertical="center" wrapText="1"/>
    </xf>
    <xf numFmtId="0" fontId="8" fillId="2" borderId="0" xfId="0" applyFont="1" applyFill="1" applyAlignment="1">
      <alignment horizontal="center" vertical="center"/>
    </xf>
    <xf numFmtId="0" fontId="23" fillId="2" borderId="0" xfId="0" applyFont="1" applyFill="1" applyAlignment="1">
      <alignment horizontal="center" vertical="center" wrapText="1"/>
    </xf>
    <xf numFmtId="0" fontId="0" fillId="2" borderId="0" xfId="0" applyFill="1">
      <alignment wrapText="1"/>
    </xf>
    <xf numFmtId="0" fontId="25" fillId="0" borderId="0" xfId="0" applyFont="1" applyAlignment="1">
      <alignment vertical="center" readingOrder="1"/>
    </xf>
    <xf numFmtId="0" fontId="25" fillId="0" borderId="0" xfId="0" applyFont="1" applyAlignment="1">
      <alignment horizontal="left" vertical="center" readingOrder="1"/>
    </xf>
    <xf numFmtId="0" fontId="26" fillId="0" borderId="0" xfId="0" applyFont="1" applyAlignment="1">
      <alignment vertical="center" wrapText="1"/>
    </xf>
    <xf numFmtId="0" fontId="26" fillId="0" borderId="7" xfId="0" applyFont="1" applyBorder="1" applyAlignment="1">
      <alignment horizontal="center" vertical="center" wrapText="1"/>
    </xf>
    <xf numFmtId="0" fontId="24" fillId="0" borderId="0" xfId="0" applyFont="1" applyAlignment="1">
      <alignment vertical="center"/>
    </xf>
    <xf numFmtId="0" fontId="24" fillId="0" borderId="7" xfId="0" applyFont="1" applyBorder="1" applyAlignment="1">
      <alignment vertical="center"/>
    </xf>
    <xf numFmtId="4" fontId="24" fillId="0" borderId="7" xfId="0" applyNumberFormat="1" applyFont="1" applyBorder="1" applyAlignment="1">
      <alignment vertical="center"/>
    </xf>
    <xf numFmtId="0" fontId="24" fillId="0" borderId="0" xfId="0" applyFont="1" applyAlignment="1">
      <alignment horizontal="center" vertical="center" readingOrder="1"/>
    </xf>
    <xf numFmtId="0" fontId="1" fillId="0" borderId="0" xfId="2" applyAlignment="1">
      <alignment wrapText="1"/>
    </xf>
    <xf numFmtId="2" fontId="24" fillId="0" borderId="7" xfId="0" applyNumberFormat="1" applyFont="1" applyBorder="1" applyAlignment="1">
      <alignment vertical="center"/>
    </xf>
    <xf numFmtId="0" fontId="22" fillId="0" borderId="0" xfId="2" applyFont="1" applyAlignment="1">
      <alignment horizontal="left" vertical="center" wrapText="1" readingOrder="1"/>
    </xf>
    <xf numFmtId="0" fontId="12" fillId="0" borderId="0" xfId="2" applyFont="1" applyAlignment="1">
      <alignment vertical="center" wrapText="1"/>
    </xf>
    <xf numFmtId="0" fontId="26" fillId="0" borderId="7" xfId="0" applyFont="1" applyBorder="1" applyAlignment="1">
      <alignment vertical="center" wrapText="1"/>
    </xf>
    <xf numFmtId="0" fontId="1" fillId="0" borderId="0" xfId="8" applyAlignment="1">
      <alignment wrapText="1"/>
    </xf>
    <xf numFmtId="0" fontId="7" fillId="0" borderId="0" xfId="8" applyFont="1" applyAlignment="1">
      <alignment horizontal="center" vertical="center"/>
    </xf>
    <xf numFmtId="4" fontId="9" fillId="0" borderId="0" xfId="8" applyNumberFormat="1" applyFont="1"/>
    <xf numFmtId="0" fontId="26" fillId="0" borderId="7" xfId="8" applyFont="1" applyBorder="1" applyAlignment="1">
      <alignment horizontal="center" vertical="center"/>
    </xf>
    <xf numFmtId="0" fontId="26" fillId="0" borderId="0" xfId="8" applyFont="1" applyAlignment="1">
      <alignment horizontal="center" vertical="center"/>
    </xf>
    <xf numFmtId="0" fontId="28" fillId="0" borderId="0" xfId="8" applyFont="1" applyAlignment="1">
      <alignment wrapText="1"/>
    </xf>
    <xf numFmtId="0" fontId="27" fillId="0" borderId="7" xfId="8" applyFont="1" applyBorder="1" applyAlignment="1">
      <alignment vertical="center"/>
    </xf>
    <xf numFmtId="0" fontId="27" fillId="0" borderId="7" xfId="8" applyFont="1" applyBorder="1" applyAlignment="1">
      <alignment vertical="center" wrapText="1"/>
    </xf>
    <xf numFmtId="0" fontId="27" fillId="0" borderId="0" xfId="8" applyFont="1" applyAlignment="1">
      <alignment horizontal="center" vertical="center"/>
    </xf>
    <xf numFmtId="0" fontId="26" fillId="0" borderId="7" xfId="8" applyFont="1" applyBorder="1" applyAlignment="1">
      <alignment horizontal="center" vertical="center" wrapText="1"/>
    </xf>
    <xf numFmtId="0" fontId="20" fillId="0" borderId="0" xfId="8" applyFont="1" applyAlignment="1">
      <alignment horizontal="center" vertical="center"/>
    </xf>
    <xf numFmtId="0" fontId="27" fillId="0" borderId="7" xfId="8" applyFont="1" applyBorder="1" applyAlignment="1">
      <alignment horizontal="left" vertical="center"/>
    </xf>
    <xf numFmtId="4" fontId="27" fillId="0" borderId="7" xfId="8" applyNumberFormat="1" applyFont="1" applyBorder="1" applyAlignment="1">
      <alignment horizontal="right" vertical="center"/>
    </xf>
    <xf numFmtId="10" fontId="27" fillId="0" borderId="7" xfId="9" applyNumberFormat="1" applyFont="1" applyFill="1" applyBorder="1" applyAlignment="1">
      <alignment vertical="center"/>
    </xf>
    <xf numFmtId="164" fontId="28" fillId="0" borderId="0" xfId="6" applyFont="1" applyFill="1" applyAlignment="1">
      <alignment vertical="center"/>
    </xf>
    <xf numFmtId="164" fontId="27" fillId="0" borderId="0" xfId="6" applyFont="1" applyFill="1" applyAlignment="1">
      <alignment horizontal="center" vertical="center"/>
    </xf>
    <xf numFmtId="167" fontId="17" fillId="0" borderId="1" xfId="0" applyNumberFormat="1" applyFont="1" applyBorder="1" applyAlignment="1">
      <alignment horizontal="right" vertical="center" wrapText="1" readingOrder="1"/>
    </xf>
    <xf numFmtId="0" fontId="17" fillId="0" borderId="1" xfId="0" applyFont="1" applyBorder="1" applyAlignment="1">
      <alignment horizontal="left" vertical="center" wrapText="1" readingOrder="1"/>
    </xf>
    <xf numFmtId="168" fontId="17" fillId="0" borderId="1" xfId="0" applyNumberFormat="1" applyFont="1" applyBorder="1" applyAlignment="1">
      <alignment horizontal="right" vertical="center" wrapText="1" readingOrder="1"/>
    </xf>
    <xf numFmtId="165" fontId="17" fillId="0" borderId="1" xfId="0" applyNumberFormat="1" applyFont="1" applyBorder="1" applyAlignment="1">
      <alignment horizontal="right" vertical="center" wrapText="1" readingOrder="1"/>
    </xf>
    <xf numFmtId="174" fontId="21" fillId="0" borderId="1" xfId="0" applyNumberFormat="1" applyFont="1" applyBorder="1" applyAlignment="1">
      <alignment horizontal="left" vertical="center" wrapText="1" readingOrder="1"/>
    </xf>
    <xf numFmtId="0" fontId="17" fillId="0" borderId="4" xfId="0" applyFont="1" applyBorder="1" applyAlignment="1">
      <alignment horizontal="left" vertical="center" wrapText="1" readingOrder="1"/>
    </xf>
    <xf numFmtId="0" fontId="17" fillId="0" borderId="6" xfId="0" applyFont="1" applyBorder="1" applyAlignment="1">
      <alignment horizontal="left" vertical="center" wrapText="1" readingOrder="1"/>
    </xf>
    <xf numFmtId="0" fontId="17" fillId="0" borderId="8" xfId="0" applyFont="1" applyBorder="1" applyAlignment="1">
      <alignment horizontal="left" vertical="center" wrapText="1" readingOrder="1"/>
    </xf>
    <xf numFmtId="0" fontId="17" fillId="0" borderId="10" xfId="0" applyFont="1" applyBorder="1" applyAlignment="1">
      <alignment horizontal="left" vertical="center" wrapText="1" readingOrder="1"/>
    </xf>
    <xf numFmtId="0" fontId="17" fillId="0" borderId="7" xfId="0" applyFont="1" applyBorder="1" applyAlignment="1">
      <alignment horizontal="left" vertical="center" wrapText="1" readingOrder="1"/>
    </xf>
    <xf numFmtId="0" fontId="17" fillId="0" borderId="9" xfId="0" applyFont="1" applyBorder="1" applyAlignment="1">
      <alignment horizontal="left" vertical="center" wrapText="1" readingOrder="1"/>
    </xf>
    <xf numFmtId="0" fontId="17" fillId="0" borderId="0" xfId="0" applyFont="1" applyAlignment="1">
      <alignment horizontal="left" vertical="center" wrapText="1" readingOrder="1"/>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16" fillId="0" borderId="7" xfId="0" applyFont="1" applyBorder="1" applyAlignment="1">
      <alignment horizontal="center" vertical="center" wrapText="1" readingOrder="1"/>
    </xf>
    <xf numFmtId="0" fontId="21" fillId="0" borderId="7" xfId="0" applyFont="1" applyBorder="1" applyAlignment="1">
      <alignment horizontal="center" vertical="center" wrapText="1" readingOrder="1"/>
    </xf>
    <xf numFmtId="0" fontId="3" fillId="0" borderId="4" xfId="0" applyFont="1" applyBorder="1" applyAlignment="1">
      <alignment horizontal="left" vertical="center" wrapText="1" readingOrder="1"/>
    </xf>
    <xf numFmtId="0" fontId="3" fillId="0" borderId="5" xfId="0" applyFont="1" applyBorder="1" applyAlignment="1">
      <alignment horizontal="left" vertical="center" wrapText="1" readingOrder="1"/>
    </xf>
    <xf numFmtId="0" fontId="3" fillId="0" borderId="6" xfId="0" applyFont="1" applyBorder="1" applyAlignment="1">
      <alignment horizontal="left" vertical="center" wrapText="1" readingOrder="1"/>
    </xf>
    <xf numFmtId="0" fontId="2" fillId="0" borderId="4" xfId="0" applyFont="1" applyBorder="1" applyAlignment="1">
      <alignment horizontal="left" vertical="center" wrapText="1" readingOrder="1"/>
    </xf>
    <xf numFmtId="0" fontId="2" fillId="0" borderId="6" xfId="0" applyFont="1" applyBorder="1" applyAlignment="1">
      <alignment horizontal="left" vertical="center" wrapText="1" readingOrder="1"/>
    </xf>
    <xf numFmtId="0" fontId="17" fillId="0" borderId="0" xfId="0" quotePrefix="1" applyFont="1" applyAlignment="1">
      <alignment horizontal="left" vertical="center" wrapText="1" readingOrder="1"/>
    </xf>
    <xf numFmtId="0" fontId="17" fillId="0" borderId="0" xfId="0" applyFont="1" applyAlignment="1">
      <alignment horizontal="justify" vertical="top" wrapText="1" readingOrder="1"/>
    </xf>
    <xf numFmtId="0" fontId="26" fillId="0" borderId="7" xfId="8" applyFont="1" applyBorder="1" applyAlignment="1">
      <alignment horizontal="center" vertical="center"/>
    </xf>
    <xf numFmtId="0" fontId="26" fillId="0" borderId="8" xfId="8" applyFont="1" applyBorder="1" applyAlignment="1">
      <alignment horizontal="center" vertical="center"/>
    </xf>
    <xf numFmtId="0" fontId="26" fillId="0" borderId="9" xfId="8" applyFont="1" applyBorder="1" applyAlignment="1">
      <alignment horizontal="center" vertical="center"/>
    </xf>
    <xf numFmtId="0" fontId="26" fillId="0" borderId="10" xfId="8" applyFont="1" applyBorder="1" applyAlignment="1">
      <alignment horizontal="center" vertical="center"/>
    </xf>
    <xf numFmtId="0" fontId="27" fillId="0" borderId="8" xfId="8" applyFont="1" applyBorder="1" applyAlignment="1">
      <alignment horizontal="left" vertical="center" wrapText="1"/>
    </xf>
    <xf numFmtId="0" fontId="27" fillId="0" borderId="9" xfId="8" applyFont="1" applyBorder="1" applyAlignment="1">
      <alignment horizontal="left" vertical="center" wrapText="1"/>
    </xf>
    <xf numFmtId="0" fontId="27" fillId="0" borderId="10" xfId="8" applyFont="1" applyBorder="1" applyAlignment="1">
      <alignment horizontal="left" vertical="center" wrapText="1"/>
    </xf>
    <xf numFmtId="0" fontId="26" fillId="0" borderId="8" xfId="8" applyFont="1" applyBorder="1" applyAlignment="1">
      <alignment horizontal="center" vertical="center" wrapText="1"/>
    </xf>
    <xf numFmtId="0" fontId="26" fillId="0" borderId="10" xfId="8" applyFont="1" applyBorder="1" applyAlignment="1">
      <alignment horizontal="center" vertical="center" wrapText="1"/>
    </xf>
    <xf numFmtId="164" fontId="27" fillId="0" borderId="8" xfId="6" applyFont="1" applyFill="1" applyBorder="1" applyAlignment="1">
      <alignment horizontal="center" vertical="center"/>
    </xf>
    <xf numFmtId="164" fontId="27" fillId="0" borderId="10" xfId="6" applyFont="1" applyFill="1" applyBorder="1" applyAlignment="1">
      <alignment horizontal="center" vertical="center"/>
    </xf>
    <xf numFmtId="0" fontId="25" fillId="0" borderId="8" xfId="0" applyFont="1" applyBorder="1" applyAlignment="1">
      <alignment horizontal="left" vertical="center" readingOrder="1"/>
    </xf>
    <xf numFmtId="0" fontId="25" fillId="0" borderId="9" xfId="0" applyFont="1" applyBorder="1" applyAlignment="1">
      <alignment horizontal="left" vertical="center" readingOrder="1"/>
    </xf>
    <xf numFmtId="0" fontId="25" fillId="0" borderId="10" xfId="0" applyFont="1" applyBorder="1" applyAlignment="1">
      <alignment horizontal="left" vertical="center" readingOrder="1"/>
    </xf>
  </cellXfs>
  <cellStyles count="10">
    <cellStyle name="Comma" xfId="1" builtinId="3"/>
    <cellStyle name="Comma 2" xfId="6" xr:uid="{DCDB6E08-8378-4365-86C4-F271E872BEBC}"/>
    <cellStyle name="Hyperlink 2" xfId="4" xr:uid="{3A50FEF6-8879-4D1A-9F50-B7DFF0D67843}"/>
    <cellStyle name="Normal" xfId="0" builtinId="0"/>
    <cellStyle name="Normal 2 2 2" xfId="2" xr:uid="{6DFF9A2B-5139-426F-9072-579AB39644C2}"/>
    <cellStyle name="Normal 2 2 3" xfId="8" xr:uid="{7C6D435C-9BCA-479C-856A-AA52D2F6307B}"/>
    <cellStyle name="Normal 2 3" xfId="3" xr:uid="{AD7A1E8A-5BCB-4C64-9254-45F4255D6EA4}"/>
    <cellStyle name="Normal 3" xfId="5" xr:uid="{7B52DAC3-0D3E-4C37-A175-5EE5AEF56B77}"/>
    <cellStyle name="Percent 2" xfId="9" xr:uid="{2C4DC246-4394-40B7-846E-01041092C736}"/>
    <cellStyle name="Percent 3" xfId="7" xr:uid="{DF6AC6A6-487C-4235-89B8-0B611A2B9E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2" name="Picture 1">
          <a:extLst>
            <a:ext uri="{FF2B5EF4-FFF2-40B4-BE49-F238E27FC236}">
              <a16:creationId xmlns:a16="http://schemas.microsoft.com/office/drawing/2014/main" id="{4E379385-0348-46F7-A93F-09F8D2D2F28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162925"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12</xdr:row>
      <xdr:rowOff>0</xdr:rowOff>
    </xdr:to>
    <xdr:pic>
      <xdr:nvPicPr>
        <xdr:cNvPr id="3" name="Picture 2">
          <a:extLst>
            <a:ext uri="{FF2B5EF4-FFF2-40B4-BE49-F238E27FC236}">
              <a16:creationId xmlns:a16="http://schemas.microsoft.com/office/drawing/2014/main" id="{06AA873A-A865-465A-8A34-CB4BF2C22616}"/>
            </a:ext>
          </a:extLst>
        </xdr:cNvPr>
        <xdr:cNvPicPr preferRelativeResize="0">
          <a:picLocks noChangeAspect="1"/>
        </xdr:cNvPicPr>
      </xdr:nvPicPr>
      <xdr:blipFill>
        <a:blip xmlns:r="http://schemas.openxmlformats.org/officeDocument/2006/relationships" r:embed="rId2"/>
        <a:stretch>
          <a:fillRect/>
        </a:stretch>
      </xdr:blipFill>
      <xdr:spPr>
        <a:xfrm>
          <a:off x="8147050" y="49530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34</xdr:row>
      <xdr:rowOff>161925</xdr:rowOff>
    </xdr:to>
    <xdr:pic>
      <xdr:nvPicPr>
        <xdr:cNvPr id="4" name="Picture 3">
          <a:extLst>
            <a:ext uri="{FF2B5EF4-FFF2-40B4-BE49-F238E27FC236}">
              <a16:creationId xmlns:a16="http://schemas.microsoft.com/office/drawing/2014/main" id="{C8AE296E-87BD-4962-AC81-B5321C02F27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191500" y="5248275"/>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219075</xdr:rowOff>
    </xdr:from>
    <xdr:to>
      <xdr:col>9</xdr:col>
      <xdr:colOff>3314700</xdr:colOff>
      <xdr:row>35</xdr:row>
      <xdr:rowOff>19050</xdr:rowOff>
    </xdr:to>
    <xdr:pic>
      <xdr:nvPicPr>
        <xdr:cNvPr id="2" name="Picture 1">
          <a:extLst>
            <a:ext uri="{FF2B5EF4-FFF2-40B4-BE49-F238E27FC236}">
              <a16:creationId xmlns:a16="http://schemas.microsoft.com/office/drawing/2014/main" id="{901690B7-2433-42F2-8A9C-E74D2DBDA57B}"/>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5600700"/>
          <a:ext cx="323850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85726</xdr:rowOff>
    </xdr:from>
    <xdr:to>
      <xdr:col>9</xdr:col>
      <xdr:colOff>3333750</xdr:colOff>
      <xdr:row>26</xdr:row>
      <xdr:rowOff>57150</xdr:rowOff>
    </xdr:to>
    <xdr:pic>
      <xdr:nvPicPr>
        <xdr:cNvPr id="3" name="Picture 2">
          <a:extLst>
            <a:ext uri="{FF2B5EF4-FFF2-40B4-BE49-F238E27FC236}">
              <a16:creationId xmlns:a16="http://schemas.microsoft.com/office/drawing/2014/main" id="{93D6BAA1-DD36-4870-A5F6-30025B6B4C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02891" y="3009901"/>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12</xdr:row>
      <xdr:rowOff>28575</xdr:rowOff>
    </xdr:to>
    <xdr:pic>
      <xdr:nvPicPr>
        <xdr:cNvPr id="4" name="Picture 3">
          <a:extLst>
            <a:ext uri="{FF2B5EF4-FFF2-40B4-BE49-F238E27FC236}">
              <a16:creationId xmlns:a16="http://schemas.microsoft.com/office/drawing/2014/main" id="{E73B3858-AA32-4814-908E-4B064F547DC3}"/>
            </a:ext>
          </a:extLst>
        </xdr:cNvPr>
        <xdr:cNvPicPr>
          <a:picLocks noChangeAspect="1"/>
        </xdr:cNvPicPr>
      </xdr:nvPicPr>
      <xdr:blipFill>
        <a:blip xmlns:r="http://schemas.openxmlformats.org/officeDocument/2006/relationships" r:embed="rId3"/>
        <a:stretch>
          <a:fillRect/>
        </a:stretch>
      </xdr:blipFill>
      <xdr:spPr>
        <a:xfrm>
          <a:off x="8058150" y="47625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8A473533-194D-43B2-B3AB-93D329C75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0"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12</xdr:row>
      <xdr:rowOff>66674</xdr:rowOff>
    </xdr:to>
    <xdr:pic>
      <xdr:nvPicPr>
        <xdr:cNvPr id="3" name="Picture 2">
          <a:extLst>
            <a:ext uri="{FF2B5EF4-FFF2-40B4-BE49-F238E27FC236}">
              <a16:creationId xmlns:a16="http://schemas.microsoft.com/office/drawing/2014/main" id="{55773E24-C5EA-425B-94DF-D4EBC77F0721}"/>
            </a:ext>
          </a:extLst>
        </xdr:cNvPr>
        <xdr:cNvPicPr preferRelativeResize="0">
          <a:picLocks noChangeAspect="1"/>
        </xdr:cNvPicPr>
      </xdr:nvPicPr>
      <xdr:blipFill>
        <a:blip xmlns:r="http://schemas.openxmlformats.org/officeDocument/2006/relationships" r:embed="rId2"/>
        <a:stretch>
          <a:fillRect/>
        </a:stretch>
      </xdr:blipFill>
      <xdr:spPr>
        <a:xfrm>
          <a:off x="8086724"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7DA55707-EA21-4542-BB7E-351E3A7212E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89900"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34</xdr:row>
      <xdr:rowOff>266700</xdr:rowOff>
    </xdr:to>
    <xdr:pic>
      <xdr:nvPicPr>
        <xdr:cNvPr id="2" name="Picture 1">
          <a:extLst>
            <a:ext uri="{FF2B5EF4-FFF2-40B4-BE49-F238E27FC236}">
              <a16:creationId xmlns:a16="http://schemas.microsoft.com/office/drawing/2014/main" id="{202B42B3-7383-4A12-AF05-9C5A3EA11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53400" y="5143501"/>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14</xdr:row>
      <xdr:rowOff>66675</xdr:rowOff>
    </xdr:from>
    <xdr:to>
      <xdr:col>9</xdr:col>
      <xdr:colOff>3324225</xdr:colOff>
      <xdr:row>25</xdr:row>
      <xdr:rowOff>18538</xdr:rowOff>
    </xdr:to>
    <xdr:pic>
      <xdr:nvPicPr>
        <xdr:cNvPr id="3" name="Picture 2">
          <a:extLst>
            <a:ext uri="{FF2B5EF4-FFF2-40B4-BE49-F238E27FC236}">
              <a16:creationId xmlns:a16="http://schemas.microsoft.com/office/drawing/2014/main" id="{302EF2B7-8339-4D96-91CC-079C74B913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6" y="282892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28576</xdr:rowOff>
    </xdr:from>
    <xdr:to>
      <xdr:col>9</xdr:col>
      <xdr:colOff>3333751</xdr:colOff>
      <xdr:row>11</xdr:row>
      <xdr:rowOff>152401</xdr:rowOff>
    </xdr:to>
    <xdr:pic>
      <xdr:nvPicPr>
        <xdr:cNvPr id="4" name="Picture 3">
          <a:extLst>
            <a:ext uri="{FF2B5EF4-FFF2-40B4-BE49-F238E27FC236}">
              <a16:creationId xmlns:a16="http://schemas.microsoft.com/office/drawing/2014/main" id="{7E591471-8F8D-4384-86C4-23421F504855}"/>
            </a:ext>
          </a:extLst>
        </xdr:cNvPr>
        <xdr:cNvPicPr>
          <a:picLocks noChangeAspect="1"/>
        </xdr:cNvPicPr>
      </xdr:nvPicPr>
      <xdr:blipFill>
        <a:blip xmlns:r="http://schemas.openxmlformats.org/officeDocument/2006/relationships" r:embed="rId3"/>
        <a:stretch>
          <a:fillRect/>
        </a:stretch>
      </xdr:blipFill>
      <xdr:spPr>
        <a:xfrm>
          <a:off x="8124826" y="409576"/>
          <a:ext cx="3276600"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39</xdr:row>
      <xdr:rowOff>114300</xdr:rowOff>
    </xdr:to>
    <xdr:pic>
      <xdr:nvPicPr>
        <xdr:cNvPr id="2" name="Picture 1">
          <a:extLst>
            <a:ext uri="{FF2B5EF4-FFF2-40B4-BE49-F238E27FC236}">
              <a16:creationId xmlns:a16="http://schemas.microsoft.com/office/drawing/2014/main" id="{4F450198-CD4D-430D-AD7F-FADF371F2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950" y="507682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17071AB2-DEE7-47A2-8C77-51A6710227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2475"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11</xdr:row>
      <xdr:rowOff>161925</xdr:rowOff>
    </xdr:to>
    <xdr:pic>
      <xdr:nvPicPr>
        <xdr:cNvPr id="4" name="Picture 3">
          <a:extLst>
            <a:ext uri="{FF2B5EF4-FFF2-40B4-BE49-F238E27FC236}">
              <a16:creationId xmlns:a16="http://schemas.microsoft.com/office/drawing/2014/main" id="{A952FB06-AE72-4E64-8002-E384BAB0103B}"/>
            </a:ext>
          </a:extLst>
        </xdr:cNvPr>
        <xdr:cNvPicPr preferRelativeResize="0">
          <a:picLocks noChangeAspect="1"/>
        </xdr:cNvPicPr>
      </xdr:nvPicPr>
      <xdr:blipFill>
        <a:blip xmlns:r="http://schemas.openxmlformats.org/officeDocument/2006/relationships" r:embed="rId3"/>
        <a:stretch>
          <a:fillRect/>
        </a:stretch>
      </xdr:blipFill>
      <xdr:spPr>
        <a:xfrm>
          <a:off x="8353425" y="476250"/>
          <a:ext cx="32766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C7642C5F-3634-4C49-A465-6F6B0101B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72375"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11</xdr:row>
      <xdr:rowOff>155575</xdr:rowOff>
    </xdr:to>
    <xdr:pic>
      <xdr:nvPicPr>
        <xdr:cNvPr id="3" name="Picture 2">
          <a:extLst>
            <a:ext uri="{FF2B5EF4-FFF2-40B4-BE49-F238E27FC236}">
              <a16:creationId xmlns:a16="http://schemas.microsoft.com/office/drawing/2014/main" id="{4E937807-2837-4BB8-8BEF-A39D83AC7F40}"/>
            </a:ext>
          </a:extLst>
        </xdr:cNvPr>
        <xdr:cNvPicPr preferRelativeResize="0">
          <a:picLocks noChangeAspect="1"/>
        </xdr:cNvPicPr>
      </xdr:nvPicPr>
      <xdr:blipFill>
        <a:blip xmlns:r="http://schemas.openxmlformats.org/officeDocument/2006/relationships" r:embed="rId2"/>
        <a:stretch>
          <a:fillRect/>
        </a:stretch>
      </xdr:blipFill>
      <xdr:spPr>
        <a:xfrm>
          <a:off x="7562851" y="400050"/>
          <a:ext cx="3276600" cy="2032000"/>
        </a:xfrm>
        <a:prstGeom prst="rect">
          <a:avLst/>
        </a:prstGeom>
      </xdr:spPr>
    </xdr:pic>
    <xdr:clientData/>
  </xdr:twoCellAnchor>
  <xdr:twoCellAnchor editAs="oneCell">
    <xdr:from>
      <xdr:col>9</xdr:col>
      <xdr:colOff>47626</xdr:colOff>
      <xdr:row>27</xdr:row>
      <xdr:rowOff>66674</xdr:rowOff>
    </xdr:from>
    <xdr:to>
      <xdr:col>9</xdr:col>
      <xdr:colOff>3324224</xdr:colOff>
      <xdr:row>34</xdr:row>
      <xdr:rowOff>244473</xdr:rowOff>
    </xdr:to>
    <xdr:pic>
      <xdr:nvPicPr>
        <xdr:cNvPr id="4" name="Picture 3">
          <a:extLst>
            <a:ext uri="{FF2B5EF4-FFF2-40B4-BE49-F238E27FC236}">
              <a16:creationId xmlns:a16="http://schemas.microsoft.com/office/drawing/2014/main" id="{80BBF333-B7E2-48E2-90F3-7BCFD1070EE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62851" y="5124449"/>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35</xdr:row>
      <xdr:rowOff>168274</xdr:rowOff>
    </xdr:to>
    <xdr:pic>
      <xdr:nvPicPr>
        <xdr:cNvPr id="2" name="Picture 1">
          <a:extLst>
            <a:ext uri="{FF2B5EF4-FFF2-40B4-BE49-F238E27FC236}">
              <a16:creationId xmlns:a16="http://schemas.microsoft.com/office/drawing/2014/main" id="{1598E721-9F71-4DDC-9A3C-64EE49DB0A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24827" y="521017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BB849BEC-5A09-44B7-8082-407798C1BD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38101</xdr:rowOff>
    </xdr:from>
    <xdr:to>
      <xdr:col>9</xdr:col>
      <xdr:colOff>3333750</xdr:colOff>
      <xdr:row>11</xdr:row>
      <xdr:rowOff>104776</xdr:rowOff>
    </xdr:to>
    <xdr:pic>
      <xdr:nvPicPr>
        <xdr:cNvPr id="4" name="Picture 3">
          <a:extLst>
            <a:ext uri="{FF2B5EF4-FFF2-40B4-BE49-F238E27FC236}">
              <a16:creationId xmlns:a16="http://schemas.microsoft.com/office/drawing/2014/main" id="{0963509B-AF43-4A6B-83E0-AEC5C4E909F7}"/>
            </a:ext>
          </a:extLst>
        </xdr:cNvPr>
        <xdr:cNvPicPr preferRelativeResize="0">
          <a:picLocks noChangeAspect="1"/>
        </xdr:cNvPicPr>
      </xdr:nvPicPr>
      <xdr:blipFill>
        <a:blip xmlns:r="http://schemas.openxmlformats.org/officeDocument/2006/relationships" r:embed="rId3"/>
        <a:stretch>
          <a:fillRect/>
        </a:stretch>
      </xdr:blipFill>
      <xdr:spPr>
        <a:xfrm>
          <a:off x="8124825" y="419101"/>
          <a:ext cx="3276600" cy="19621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11</xdr:row>
      <xdr:rowOff>133350</xdr:rowOff>
    </xdr:to>
    <xdr:pic>
      <xdr:nvPicPr>
        <xdr:cNvPr id="2" name="Picture 1">
          <a:extLst>
            <a:ext uri="{FF2B5EF4-FFF2-40B4-BE49-F238E27FC236}">
              <a16:creationId xmlns:a16="http://schemas.microsoft.com/office/drawing/2014/main" id="{548800B9-0FB4-4CD2-A539-296C92BE9485}"/>
            </a:ext>
          </a:extLst>
        </xdr:cNvPr>
        <xdr:cNvPicPr>
          <a:picLocks noChangeAspect="1"/>
        </xdr:cNvPicPr>
      </xdr:nvPicPr>
      <xdr:blipFill>
        <a:blip xmlns:r="http://schemas.openxmlformats.org/officeDocument/2006/relationships" r:embed="rId1"/>
        <a:stretch>
          <a:fillRect/>
        </a:stretch>
      </xdr:blipFill>
      <xdr:spPr>
        <a:xfrm>
          <a:off x="8029576"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F0E66DE2-C940-4E7D-AAD3-5CCDBD9BEB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862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30CBBB64-C2EB-4BD0-99F1-9048730244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58152"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24</xdr:row>
      <xdr:rowOff>141314</xdr:rowOff>
    </xdr:to>
    <xdr:pic>
      <xdr:nvPicPr>
        <xdr:cNvPr id="2" name="Picture 1">
          <a:extLst>
            <a:ext uri="{FF2B5EF4-FFF2-40B4-BE49-F238E27FC236}">
              <a16:creationId xmlns:a16="http://schemas.microsoft.com/office/drawing/2014/main" id="{521CAC04-35F2-48BB-9A42-FF75484C7B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58200" y="3400425"/>
          <a:ext cx="3267076" cy="18367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12</xdr:row>
      <xdr:rowOff>28576</xdr:rowOff>
    </xdr:to>
    <xdr:pic>
      <xdr:nvPicPr>
        <xdr:cNvPr id="3" name="Picture 2">
          <a:extLst>
            <a:ext uri="{FF2B5EF4-FFF2-40B4-BE49-F238E27FC236}">
              <a16:creationId xmlns:a16="http://schemas.microsoft.com/office/drawing/2014/main" id="{A6F453F3-D351-42EF-ADCD-5B30322BC497}"/>
            </a:ext>
          </a:extLst>
        </xdr:cNvPr>
        <xdr:cNvPicPr>
          <a:picLocks/>
        </xdr:cNvPicPr>
      </xdr:nvPicPr>
      <xdr:blipFill>
        <a:blip xmlns:r="http://schemas.openxmlformats.org/officeDocument/2006/relationships" r:embed="rId2"/>
        <a:stretch>
          <a:fillRect/>
        </a:stretch>
      </xdr:blipFill>
      <xdr:spPr>
        <a:xfrm>
          <a:off x="8458200"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CD14CAE4-7D14-42A7-A58D-D9B2EE073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0076"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8EA3ED64-DD9D-44E5-9532-EEE51835A2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4"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11</xdr:row>
      <xdr:rowOff>133350</xdr:rowOff>
    </xdr:to>
    <xdr:pic>
      <xdr:nvPicPr>
        <xdr:cNvPr id="4" name="Picture 3">
          <a:extLst>
            <a:ext uri="{FF2B5EF4-FFF2-40B4-BE49-F238E27FC236}">
              <a16:creationId xmlns:a16="http://schemas.microsoft.com/office/drawing/2014/main" id="{97774A8A-56B6-4899-902F-AAD520F5F7F5}"/>
            </a:ext>
          </a:extLst>
        </xdr:cNvPr>
        <xdr:cNvPicPr>
          <a:picLocks noChangeAspect="1"/>
        </xdr:cNvPicPr>
      </xdr:nvPicPr>
      <xdr:blipFill>
        <a:blip xmlns:r="http://schemas.openxmlformats.org/officeDocument/2006/relationships" r:embed="rId2"/>
        <a:stretch>
          <a:fillRect/>
        </a:stretch>
      </xdr:blipFill>
      <xdr:spPr>
        <a:xfrm>
          <a:off x="8181975" y="42862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8E0F3-753C-4ECB-BFBA-BD8727048042}">
  <dimension ref="A1:C11"/>
  <sheetViews>
    <sheetView tabSelected="1" workbookViewId="0">
      <selection activeCell="E31" sqref="E31"/>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513</v>
      </c>
      <c r="B1" s="2" t="s">
        <v>514</v>
      </c>
      <c r="C1" s="2" t="s">
        <v>515</v>
      </c>
    </row>
    <row r="2" spans="1:3" x14ac:dyDescent="0.25">
      <c r="A2" s="4">
        <v>1</v>
      </c>
      <c r="B2" s="5" t="s">
        <v>516</v>
      </c>
      <c r="C2" s="6" t="s">
        <v>1</v>
      </c>
    </row>
    <row r="3" spans="1:3" x14ac:dyDescent="0.25">
      <c r="A3" s="4">
        <v>2</v>
      </c>
      <c r="B3" s="5" t="s">
        <v>517</v>
      </c>
      <c r="C3" s="6" t="s">
        <v>114</v>
      </c>
    </row>
    <row r="4" spans="1:3" x14ac:dyDescent="0.25">
      <c r="A4" s="4">
        <v>3</v>
      </c>
      <c r="B4" s="5" t="s">
        <v>518</v>
      </c>
      <c r="C4" s="6" t="s">
        <v>141</v>
      </c>
    </row>
    <row r="5" spans="1:3" x14ac:dyDescent="0.25">
      <c r="A5" s="4">
        <v>4</v>
      </c>
      <c r="B5" s="5" t="s">
        <v>519</v>
      </c>
      <c r="C5" s="6" t="s">
        <v>187</v>
      </c>
    </row>
    <row r="6" spans="1:3" x14ac:dyDescent="0.25">
      <c r="A6" s="4">
        <v>5</v>
      </c>
      <c r="B6" s="5" t="s">
        <v>520</v>
      </c>
      <c r="C6" s="6" t="s">
        <v>235</v>
      </c>
    </row>
    <row r="7" spans="1:3" x14ac:dyDescent="0.25">
      <c r="A7" s="4">
        <v>6</v>
      </c>
      <c r="B7" s="5" t="s">
        <v>521</v>
      </c>
      <c r="C7" s="6" t="s">
        <v>372</v>
      </c>
    </row>
    <row r="8" spans="1:3" x14ac:dyDescent="0.25">
      <c r="A8" s="4">
        <v>7</v>
      </c>
      <c r="B8" s="5" t="s">
        <v>522</v>
      </c>
      <c r="C8" s="6" t="s">
        <v>386</v>
      </c>
    </row>
    <row r="9" spans="1:3" x14ac:dyDescent="0.25">
      <c r="A9" s="4">
        <v>8</v>
      </c>
      <c r="B9" s="5" t="s">
        <v>523</v>
      </c>
      <c r="C9" s="6" t="s">
        <v>443</v>
      </c>
    </row>
    <row r="10" spans="1:3" x14ac:dyDescent="0.25">
      <c r="A10" s="4">
        <v>9</v>
      </c>
      <c r="B10" s="5" t="s">
        <v>524</v>
      </c>
      <c r="C10" s="6" t="s">
        <v>447</v>
      </c>
    </row>
    <row r="11" spans="1:3" x14ac:dyDescent="0.25">
      <c r="A11" s="4">
        <v>10</v>
      </c>
      <c r="B11" s="5" t="s">
        <v>525</v>
      </c>
      <c r="C11" s="6" t="s">
        <v>507</v>
      </c>
    </row>
  </sheetData>
  <hyperlinks>
    <hyperlink ref="B3" location="SFRSTP!A1" display="SFRSTP" xr:uid="{A56E4675-A8B2-45CB-B7F4-0C874A206328}"/>
    <hyperlink ref="B4" location="SMMF!A1" display="SMMF" xr:uid="{5A91EF9F-6EFE-40A4-8A71-A7EA9705616F}"/>
    <hyperlink ref="B5" location="SPLDF!A1" display="SPLDF" xr:uid="{E661D843-CE5E-42B7-B7E4-29A5B4104A93}"/>
    <hyperlink ref="B6" location="SPMON!A1" display="SPMON" xr:uid="{812CD6AC-2218-4E97-9680-9C66242765D8}"/>
    <hyperlink ref="B7" location="SPSDF!A1" display="SPSDF" xr:uid="{247E78F1-6A21-4249-A6DA-260328703FBC}"/>
    <hyperlink ref="B8" location="SPUSDF!A1" display="SPUSDF" xr:uid="{93057279-4C82-4738-83B3-EB720DB0A218}"/>
    <hyperlink ref="B9" location="SUNBDS!A1" display="SUNBDS" xr:uid="{D5426356-AF63-4323-8120-25DAB2C1FDA3}"/>
    <hyperlink ref="B10" location="SUNMIA!A1" display="SUNMIA" xr:uid="{FCCA4039-CB0F-45EC-9546-68F3F25E9DE3}"/>
    <hyperlink ref="B11" location="SUNONF!A1" display="SUNONF" xr:uid="{F8E5C459-D317-4E3A-B5D4-0469FA93F36E}"/>
    <hyperlink ref="B2" location="SFRLTP!A1" display="SFRLTP" xr:uid="{1EDC15B7-F2AE-4971-8F8A-8B4529C2B57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20A6B-38BF-482F-B144-24542C22BF9D}">
  <sheetPr>
    <outlinePr summaryBelow="0" summaryRight="0"/>
  </sheetPr>
  <dimension ref="A1:R143"/>
  <sheetViews>
    <sheetView showGridLines="0" workbookViewId="0">
      <selection sqref="A1:H1"/>
    </sheetView>
  </sheetViews>
  <sheetFormatPr defaultRowHeight="12.75" x14ac:dyDescent="0.2"/>
  <cols>
    <col min="1" max="1" width="5.85546875" bestFit="1" customWidth="1"/>
    <col min="2" max="2" width="22.140625" customWidth="1"/>
    <col min="3" max="3" width="43.5703125" customWidth="1"/>
    <col min="4" max="4" width="13.7109375"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16" t="s">
        <v>0</v>
      </c>
      <c r="B1" s="116"/>
      <c r="C1" s="116"/>
      <c r="D1" s="116"/>
      <c r="E1" s="116"/>
      <c r="F1" s="116"/>
      <c r="G1" s="116"/>
      <c r="H1" s="116"/>
      <c r="I1" s="7" t="s">
        <v>600</v>
      </c>
      <c r="J1" s="67"/>
      <c r="K1" s="7"/>
    </row>
    <row r="2" spans="1:11" ht="15" x14ac:dyDescent="0.2">
      <c r="A2" s="116" t="s">
        <v>1</v>
      </c>
      <c r="B2" s="116"/>
      <c r="C2" s="116"/>
      <c r="D2" s="116"/>
      <c r="E2" s="116"/>
      <c r="F2" s="116"/>
      <c r="G2" s="116"/>
      <c r="H2" s="116"/>
      <c r="J2" s="68" t="s">
        <v>601</v>
      </c>
    </row>
    <row r="3" spans="1:11" ht="15" x14ac:dyDescent="0.2">
      <c r="A3" s="116" t="s">
        <v>526</v>
      </c>
      <c r="B3" s="116"/>
      <c r="C3" s="116"/>
      <c r="D3" s="116"/>
      <c r="E3" s="116"/>
      <c r="F3" s="116"/>
      <c r="G3" s="116"/>
      <c r="H3" s="116"/>
      <c r="J3" s="67"/>
    </row>
    <row r="4" spans="1:11" s="11" customFormat="1" ht="30" x14ac:dyDescent="0.2">
      <c r="A4" s="12" t="s">
        <v>2</v>
      </c>
      <c r="B4" s="12" t="s">
        <v>3</v>
      </c>
      <c r="C4" s="12" t="s">
        <v>4</v>
      </c>
      <c r="D4" s="12" t="s">
        <v>5</v>
      </c>
      <c r="E4" s="12" t="s">
        <v>6</v>
      </c>
      <c r="F4" s="12" t="s">
        <v>7</v>
      </c>
      <c r="G4" s="12" t="s">
        <v>8</v>
      </c>
      <c r="H4" s="13" t="s">
        <v>527</v>
      </c>
      <c r="J4" s="67"/>
    </row>
    <row r="5" spans="1:11" x14ac:dyDescent="0.2">
      <c r="A5" s="14"/>
      <c r="B5" s="14"/>
      <c r="C5" s="15" t="s">
        <v>9</v>
      </c>
      <c r="D5" s="14"/>
      <c r="E5" s="14"/>
      <c r="F5" s="14"/>
      <c r="G5" s="14"/>
      <c r="H5" s="16" t="s">
        <v>12</v>
      </c>
      <c r="J5" s="67"/>
    </row>
    <row r="6" spans="1:11" x14ac:dyDescent="0.2">
      <c r="A6" s="14"/>
      <c r="B6" s="14"/>
      <c r="C6" s="15" t="s">
        <v>10</v>
      </c>
      <c r="D6" s="14"/>
      <c r="E6" s="14"/>
      <c r="F6" s="14"/>
      <c r="G6" s="14"/>
      <c r="H6" s="16" t="s">
        <v>12</v>
      </c>
      <c r="J6" s="67"/>
    </row>
    <row r="7" spans="1:11" x14ac:dyDescent="0.2">
      <c r="A7" s="14"/>
      <c r="B7" s="14"/>
      <c r="C7" s="15" t="s">
        <v>11</v>
      </c>
      <c r="D7" s="14"/>
      <c r="E7" s="14" t="s">
        <v>12</v>
      </c>
      <c r="F7" s="17" t="s">
        <v>13</v>
      </c>
      <c r="G7" s="18">
        <v>0</v>
      </c>
      <c r="H7" s="16" t="s">
        <v>12</v>
      </c>
      <c r="J7" s="67"/>
    </row>
    <row r="8" spans="1:11" x14ac:dyDescent="0.2">
      <c r="A8" s="14"/>
      <c r="B8" s="14"/>
      <c r="C8" s="19"/>
      <c r="D8" s="14"/>
      <c r="E8" s="14"/>
      <c r="F8" s="20"/>
      <c r="G8" s="20"/>
      <c r="H8" s="16" t="s">
        <v>12</v>
      </c>
      <c r="J8" s="67"/>
    </row>
    <row r="9" spans="1:11" x14ac:dyDescent="0.2">
      <c r="A9" s="14"/>
      <c r="B9" s="14"/>
      <c r="C9" s="15" t="s">
        <v>14</v>
      </c>
      <c r="D9" s="14"/>
      <c r="E9" s="14"/>
      <c r="F9" s="14"/>
      <c r="G9" s="14"/>
      <c r="H9" s="16" t="s">
        <v>12</v>
      </c>
      <c r="J9" s="67"/>
    </row>
    <row r="10" spans="1:11" x14ac:dyDescent="0.2">
      <c r="A10" s="14"/>
      <c r="B10" s="14"/>
      <c r="C10" s="15" t="s">
        <v>11</v>
      </c>
      <c r="D10" s="14"/>
      <c r="E10" s="14" t="s">
        <v>12</v>
      </c>
      <c r="F10" s="17" t="s">
        <v>13</v>
      </c>
      <c r="G10" s="18">
        <v>0</v>
      </c>
      <c r="H10" s="16" t="s">
        <v>12</v>
      </c>
      <c r="J10" s="67"/>
    </row>
    <row r="11" spans="1:11" x14ac:dyDescent="0.2">
      <c r="A11" s="14"/>
      <c r="B11" s="14"/>
      <c r="C11" s="19"/>
      <c r="D11" s="14"/>
      <c r="E11" s="14"/>
      <c r="F11" s="20"/>
      <c r="G11" s="20"/>
      <c r="H11" s="16" t="s">
        <v>12</v>
      </c>
      <c r="J11" s="67"/>
    </row>
    <row r="12" spans="1:11" ht="15" x14ac:dyDescent="0.2">
      <c r="A12" s="14"/>
      <c r="B12" s="14"/>
      <c r="C12" s="15" t="s">
        <v>15</v>
      </c>
      <c r="D12" s="14"/>
      <c r="E12" s="14"/>
      <c r="F12" s="14"/>
      <c r="G12" s="14"/>
      <c r="H12" s="16" t="s">
        <v>12</v>
      </c>
      <c r="J12" s="69"/>
    </row>
    <row r="13" spans="1:11" x14ac:dyDescent="0.2">
      <c r="A13" s="14"/>
      <c r="B13" s="14"/>
      <c r="C13" s="15" t="s">
        <v>11</v>
      </c>
      <c r="D13" s="14"/>
      <c r="E13" s="14" t="s">
        <v>12</v>
      </c>
      <c r="F13" s="17" t="s">
        <v>13</v>
      </c>
      <c r="G13" s="18">
        <v>0</v>
      </c>
      <c r="H13" s="16" t="s">
        <v>12</v>
      </c>
      <c r="J13" s="70"/>
    </row>
    <row r="14" spans="1:11" x14ac:dyDescent="0.2">
      <c r="A14" s="14"/>
      <c r="B14" s="14"/>
      <c r="C14" s="19"/>
      <c r="D14" s="14"/>
      <c r="E14" s="14"/>
      <c r="F14" s="20"/>
      <c r="G14" s="20"/>
      <c r="H14" s="16" t="s">
        <v>12</v>
      </c>
      <c r="J14" s="70"/>
    </row>
    <row r="15" spans="1:11" ht="25.5" x14ac:dyDescent="0.2">
      <c r="A15" s="14"/>
      <c r="B15" s="14"/>
      <c r="C15" s="15" t="s">
        <v>16</v>
      </c>
      <c r="D15" s="14"/>
      <c r="E15" s="14"/>
      <c r="F15" s="14"/>
      <c r="G15" s="14"/>
      <c r="H15" s="16" t="s">
        <v>12</v>
      </c>
      <c r="J15" s="70" t="s">
        <v>602</v>
      </c>
    </row>
    <row r="16" spans="1:11" x14ac:dyDescent="0.2">
      <c r="A16" s="14"/>
      <c r="B16" s="14"/>
      <c r="C16" s="15" t="s">
        <v>11</v>
      </c>
      <c r="D16" s="14"/>
      <c r="E16" s="14" t="s">
        <v>12</v>
      </c>
      <c r="F16" s="17" t="s">
        <v>13</v>
      </c>
      <c r="G16" s="18">
        <v>0</v>
      </c>
      <c r="H16" s="16" t="s">
        <v>12</v>
      </c>
      <c r="J16" s="67"/>
    </row>
    <row r="17" spans="1:10" x14ac:dyDescent="0.2">
      <c r="A17" s="14"/>
      <c r="B17" s="14"/>
      <c r="C17" s="19"/>
      <c r="D17" s="14"/>
      <c r="E17" s="14"/>
      <c r="F17" s="20"/>
      <c r="G17" s="20"/>
      <c r="H17" s="16" t="s">
        <v>12</v>
      </c>
      <c r="J17" s="67"/>
    </row>
    <row r="18" spans="1:10" x14ac:dyDescent="0.2">
      <c r="A18" s="14"/>
      <c r="B18" s="14"/>
      <c r="C18" s="15" t="s">
        <v>17</v>
      </c>
      <c r="D18" s="14"/>
      <c r="E18" s="14"/>
      <c r="F18" s="20"/>
      <c r="G18" s="20"/>
      <c r="H18" s="16" t="s">
        <v>12</v>
      </c>
      <c r="J18" s="67"/>
    </row>
    <row r="19" spans="1:10" x14ac:dyDescent="0.2">
      <c r="A19" s="14"/>
      <c r="B19" s="14"/>
      <c r="C19" s="15" t="s">
        <v>11</v>
      </c>
      <c r="D19" s="14"/>
      <c r="E19" s="14" t="s">
        <v>12</v>
      </c>
      <c r="F19" s="17" t="s">
        <v>13</v>
      </c>
      <c r="G19" s="18">
        <v>0</v>
      </c>
      <c r="H19" s="16" t="s">
        <v>12</v>
      </c>
      <c r="J19" s="67"/>
    </row>
    <row r="20" spans="1:10" x14ac:dyDescent="0.2">
      <c r="A20" s="14"/>
      <c r="B20" s="14"/>
      <c r="C20" s="19"/>
      <c r="D20" s="14"/>
      <c r="E20" s="14"/>
      <c r="F20" s="20"/>
      <c r="G20" s="20"/>
      <c r="H20" s="16" t="s">
        <v>12</v>
      </c>
      <c r="J20" s="67"/>
    </row>
    <row r="21" spans="1:10" x14ac:dyDescent="0.2">
      <c r="A21" s="14"/>
      <c r="B21" s="14"/>
      <c r="C21" s="15" t="s">
        <v>18</v>
      </c>
      <c r="D21" s="14"/>
      <c r="E21" s="14"/>
      <c r="F21" s="20"/>
      <c r="G21" s="20"/>
      <c r="H21" s="16" t="s">
        <v>12</v>
      </c>
      <c r="J21" s="67"/>
    </row>
    <row r="22" spans="1:10" ht="15" x14ac:dyDescent="0.2">
      <c r="A22" s="14"/>
      <c r="B22" s="14"/>
      <c r="C22" s="15" t="s">
        <v>11</v>
      </c>
      <c r="D22" s="14"/>
      <c r="E22" s="14" t="s">
        <v>12</v>
      </c>
      <c r="F22" s="17" t="s">
        <v>13</v>
      </c>
      <c r="G22" s="18">
        <v>0</v>
      </c>
      <c r="H22" s="16" t="s">
        <v>12</v>
      </c>
      <c r="J22" s="69"/>
    </row>
    <row r="23" spans="1:10" x14ac:dyDescent="0.2">
      <c r="A23" s="14"/>
      <c r="B23" s="14"/>
      <c r="C23" s="19"/>
      <c r="D23" s="14"/>
      <c r="E23" s="14"/>
      <c r="F23" s="20"/>
      <c r="G23" s="20"/>
      <c r="H23" s="16" t="s">
        <v>12</v>
      </c>
      <c r="J23" s="70"/>
    </row>
    <row r="24" spans="1:10" x14ac:dyDescent="0.2">
      <c r="A24" s="14"/>
      <c r="B24" s="14"/>
      <c r="C24" s="15" t="s">
        <v>19</v>
      </c>
      <c r="D24" s="14"/>
      <c r="E24" s="14"/>
      <c r="F24" s="21">
        <v>0</v>
      </c>
      <c r="G24" s="18">
        <v>0</v>
      </c>
      <c r="H24" s="16" t="s">
        <v>12</v>
      </c>
      <c r="J24" s="67"/>
    </row>
    <row r="25" spans="1:10" x14ac:dyDescent="0.2">
      <c r="A25" s="14"/>
      <c r="B25" s="14"/>
      <c r="C25" s="19"/>
      <c r="D25" s="14"/>
      <c r="E25" s="14"/>
      <c r="F25" s="20"/>
      <c r="G25" s="20"/>
      <c r="H25" s="16" t="s">
        <v>12</v>
      </c>
      <c r="J25" s="67"/>
    </row>
    <row r="26" spans="1:10" x14ac:dyDescent="0.2">
      <c r="A26" s="14"/>
      <c r="B26" s="14"/>
      <c r="C26" s="15" t="s">
        <v>20</v>
      </c>
      <c r="D26" s="14"/>
      <c r="E26" s="14"/>
      <c r="F26" s="20"/>
      <c r="G26" s="20"/>
      <c r="H26" s="16" t="s">
        <v>12</v>
      </c>
      <c r="J26" s="67"/>
    </row>
    <row r="27" spans="1:10" x14ac:dyDescent="0.2">
      <c r="A27" s="14"/>
      <c r="B27" s="14"/>
      <c r="C27" s="15" t="s">
        <v>10</v>
      </c>
      <c r="D27" s="14"/>
      <c r="E27" s="14"/>
      <c r="F27" s="20"/>
      <c r="G27" s="20"/>
      <c r="H27" s="16" t="s">
        <v>12</v>
      </c>
      <c r="J27" s="70"/>
    </row>
    <row r="28" spans="1:10" ht="25.5" x14ac:dyDescent="0.2">
      <c r="A28" s="22">
        <v>1</v>
      </c>
      <c r="B28" s="23" t="s">
        <v>21</v>
      </c>
      <c r="C28" s="23" t="s">
        <v>22</v>
      </c>
      <c r="D28" s="23" t="s">
        <v>23</v>
      </c>
      <c r="E28" s="24">
        <v>5000</v>
      </c>
      <c r="F28" s="25">
        <v>5052.96</v>
      </c>
      <c r="G28" s="26">
        <v>7.0950230000000003E-2</v>
      </c>
      <c r="H28" s="16">
        <v>7.5141</v>
      </c>
      <c r="J28" s="70" t="s">
        <v>603</v>
      </c>
    </row>
    <row r="29" spans="1:10" ht="25.5" x14ac:dyDescent="0.2">
      <c r="A29" s="22">
        <v>2</v>
      </c>
      <c r="B29" s="23" t="s">
        <v>24</v>
      </c>
      <c r="C29" s="23" t="s">
        <v>25</v>
      </c>
      <c r="D29" s="23" t="s">
        <v>23</v>
      </c>
      <c r="E29" s="24">
        <v>4000</v>
      </c>
      <c r="F29" s="25">
        <v>4013.9839999999999</v>
      </c>
      <c r="G29" s="26">
        <v>5.6361639999999998E-2</v>
      </c>
      <c r="H29" s="16">
        <v>7.3</v>
      </c>
      <c r="J29" s="70"/>
    </row>
    <row r="30" spans="1:10" x14ac:dyDescent="0.2">
      <c r="A30" s="22">
        <v>3</v>
      </c>
      <c r="B30" s="23" t="s">
        <v>26</v>
      </c>
      <c r="C30" s="23" t="s">
        <v>27</v>
      </c>
      <c r="D30" s="23" t="s">
        <v>23</v>
      </c>
      <c r="E30" s="24">
        <v>4000</v>
      </c>
      <c r="F30" s="25">
        <v>3990.1120000000001</v>
      </c>
      <c r="G30" s="26">
        <v>5.6026439999999997E-2</v>
      </c>
      <c r="H30" s="16">
        <v>7.53</v>
      </c>
      <c r="J30" s="67"/>
    </row>
    <row r="31" spans="1:10" x14ac:dyDescent="0.2">
      <c r="A31" s="22">
        <v>4</v>
      </c>
      <c r="B31" s="23" t="s">
        <v>28</v>
      </c>
      <c r="C31" s="23" t="s">
        <v>29</v>
      </c>
      <c r="D31" s="23" t="s">
        <v>23</v>
      </c>
      <c r="E31" s="24">
        <v>300</v>
      </c>
      <c r="F31" s="25">
        <v>2994.4740000000002</v>
      </c>
      <c r="G31" s="26">
        <v>4.204637E-2</v>
      </c>
      <c r="H31" s="16">
        <v>7.74</v>
      </c>
      <c r="J31" s="67"/>
    </row>
    <row r="32" spans="1:10" ht="25.5" x14ac:dyDescent="0.2">
      <c r="A32" s="22">
        <v>5</v>
      </c>
      <c r="B32" s="23" t="s">
        <v>30</v>
      </c>
      <c r="C32" s="23" t="s">
        <v>31</v>
      </c>
      <c r="D32" s="23" t="s">
        <v>32</v>
      </c>
      <c r="E32" s="24">
        <v>2500</v>
      </c>
      <c r="F32" s="25">
        <v>2516.1799999999998</v>
      </c>
      <c r="G32" s="26">
        <v>3.5330489999999999E-2</v>
      </c>
      <c r="H32" s="16">
        <v>7.4916999999999998</v>
      </c>
      <c r="J32" s="67"/>
    </row>
    <row r="33" spans="1:10" ht="25.5" x14ac:dyDescent="0.2">
      <c r="A33" s="22">
        <v>6</v>
      </c>
      <c r="B33" s="23" t="s">
        <v>33</v>
      </c>
      <c r="C33" s="23" t="s">
        <v>34</v>
      </c>
      <c r="D33" s="23" t="s">
        <v>23</v>
      </c>
      <c r="E33" s="24">
        <v>2500</v>
      </c>
      <c r="F33" s="25">
        <v>2510.9924999999998</v>
      </c>
      <c r="G33" s="26">
        <v>3.5257650000000001E-2</v>
      </c>
      <c r="H33" s="16">
        <v>7.49</v>
      </c>
      <c r="J33" s="67"/>
    </row>
    <row r="34" spans="1:10" ht="25.5" x14ac:dyDescent="0.2">
      <c r="A34" s="22">
        <v>7</v>
      </c>
      <c r="B34" s="23" t="s">
        <v>35</v>
      </c>
      <c r="C34" s="23" t="s">
        <v>36</v>
      </c>
      <c r="D34" s="23" t="s">
        <v>23</v>
      </c>
      <c r="E34" s="24">
        <v>2500</v>
      </c>
      <c r="F34" s="25">
        <v>2505.6774999999998</v>
      </c>
      <c r="G34" s="26">
        <v>3.5183020000000002E-2</v>
      </c>
      <c r="H34" s="16">
        <v>7.6045999999999996</v>
      </c>
      <c r="J34" s="67"/>
    </row>
    <row r="35" spans="1:10" ht="25.5" x14ac:dyDescent="0.2">
      <c r="A35" s="22">
        <v>8</v>
      </c>
      <c r="B35" s="23" t="s">
        <v>37</v>
      </c>
      <c r="C35" s="23" t="s">
        <v>38</v>
      </c>
      <c r="D35" s="23" t="s">
        <v>23</v>
      </c>
      <c r="E35" s="24">
        <v>2500</v>
      </c>
      <c r="F35" s="25">
        <v>2501.8425000000002</v>
      </c>
      <c r="G35" s="26">
        <v>3.5129170000000001E-2</v>
      </c>
      <c r="H35" s="16">
        <v>7.3118999999999996</v>
      </c>
      <c r="J35" s="67"/>
    </row>
    <row r="36" spans="1:10" x14ac:dyDescent="0.2">
      <c r="A36" s="22">
        <v>9</v>
      </c>
      <c r="B36" s="23" t="s">
        <v>39</v>
      </c>
      <c r="C36" s="23" t="s">
        <v>40</v>
      </c>
      <c r="D36" s="23" t="s">
        <v>23</v>
      </c>
      <c r="E36" s="24">
        <v>2500</v>
      </c>
      <c r="F36" s="25">
        <v>2497.6374999999998</v>
      </c>
      <c r="G36" s="26">
        <v>3.5070129999999998E-2</v>
      </c>
      <c r="H36" s="16">
        <v>7.4775</v>
      </c>
      <c r="J36" s="67"/>
    </row>
    <row r="37" spans="1:10" x14ac:dyDescent="0.2">
      <c r="A37" s="22">
        <v>10</v>
      </c>
      <c r="B37" s="23" t="s">
        <v>41</v>
      </c>
      <c r="C37" s="23" t="s">
        <v>42</v>
      </c>
      <c r="D37" s="23" t="s">
        <v>23</v>
      </c>
      <c r="E37" s="24">
        <v>2500</v>
      </c>
      <c r="F37" s="25">
        <v>2494.23</v>
      </c>
      <c r="G37" s="26">
        <v>3.5022280000000003E-2</v>
      </c>
      <c r="H37" s="16">
        <v>7.59</v>
      </c>
      <c r="J37" s="67"/>
    </row>
    <row r="38" spans="1:10" ht="25.5" x14ac:dyDescent="0.2">
      <c r="A38" s="22">
        <v>11</v>
      </c>
      <c r="B38" s="23" t="s">
        <v>43</v>
      </c>
      <c r="C38" s="23" t="s">
        <v>44</v>
      </c>
      <c r="D38" s="23" t="s">
        <v>23</v>
      </c>
      <c r="E38" s="24">
        <v>2500</v>
      </c>
      <c r="F38" s="25">
        <v>2488.0149999999999</v>
      </c>
      <c r="G38" s="26">
        <v>3.4935019999999997E-2</v>
      </c>
      <c r="H38" s="16">
        <v>7.48</v>
      </c>
      <c r="J38" s="67"/>
    </row>
    <row r="39" spans="1:10" x14ac:dyDescent="0.2">
      <c r="A39" s="22">
        <v>12</v>
      </c>
      <c r="B39" s="23" t="s">
        <v>45</v>
      </c>
      <c r="C39" s="23" t="s">
        <v>46</v>
      </c>
      <c r="D39" s="23" t="s">
        <v>23</v>
      </c>
      <c r="E39" s="24">
        <v>2500</v>
      </c>
      <c r="F39" s="25">
        <v>2486.2800000000002</v>
      </c>
      <c r="G39" s="26">
        <v>3.4910650000000001E-2</v>
      </c>
      <c r="H39" s="16">
        <v>7.53</v>
      </c>
      <c r="J39" s="67"/>
    </row>
    <row r="40" spans="1:10" ht="25.5" x14ac:dyDescent="0.2">
      <c r="A40" s="22">
        <v>13</v>
      </c>
      <c r="B40" s="23" t="s">
        <v>47</v>
      </c>
      <c r="C40" s="23" t="s">
        <v>48</v>
      </c>
      <c r="D40" s="23" t="s">
        <v>23</v>
      </c>
      <c r="E40" s="24">
        <v>2000</v>
      </c>
      <c r="F40" s="25">
        <v>2014.444</v>
      </c>
      <c r="G40" s="26">
        <v>2.828545E-2</v>
      </c>
      <c r="H40" s="16">
        <v>7.3977000000000004</v>
      </c>
      <c r="J40" s="67"/>
    </row>
    <row r="41" spans="1:10" x14ac:dyDescent="0.2">
      <c r="A41" s="22">
        <v>14</v>
      </c>
      <c r="B41" s="23" t="s">
        <v>49</v>
      </c>
      <c r="C41" s="23" t="s">
        <v>50</v>
      </c>
      <c r="D41" s="23" t="s">
        <v>32</v>
      </c>
      <c r="E41" s="24">
        <v>200</v>
      </c>
      <c r="F41" s="25">
        <v>2003.79</v>
      </c>
      <c r="G41" s="26">
        <v>2.8135859999999999E-2</v>
      </c>
      <c r="H41" s="16">
        <v>7.3550000000000004</v>
      </c>
      <c r="J41" s="67"/>
    </row>
    <row r="42" spans="1:10" x14ac:dyDescent="0.2">
      <c r="A42" s="22">
        <v>15</v>
      </c>
      <c r="B42" s="23" t="s">
        <v>51</v>
      </c>
      <c r="C42" s="23" t="s">
        <v>52</v>
      </c>
      <c r="D42" s="23" t="s">
        <v>23</v>
      </c>
      <c r="E42" s="24">
        <v>2000</v>
      </c>
      <c r="F42" s="25">
        <v>1998.5740000000001</v>
      </c>
      <c r="G42" s="26">
        <v>2.806262E-2</v>
      </c>
      <c r="H42" s="16">
        <v>7.79</v>
      </c>
      <c r="J42" s="67"/>
    </row>
    <row r="43" spans="1:10" x14ac:dyDescent="0.2">
      <c r="A43" s="22">
        <v>16</v>
      </c>
      <c r="B43" s="23" t="s">
        <v>53</v>
      </c>
      <c r="C43" s="23" t="s">
        <v>54</v>
      </c>
      <c r="D43" s="23" t="s">
        <v>23</v>
      </c>
      <c r="E43" s="24">
        <v>1500</v>
      </c>
      <c r="F43" s="25">
        <v>1517.646</v>
      </c>
      <c r="G43" s="26">
        <v>2.1309749999999999E-2</v>
      </c>
      <c r="H43" s="16">
        <v>7.5995999999999997</v>
      </c>
      <c r="J43" s="67"/>
    </row>
    <row r="44" spans="1:10" x14ac:dyDescent="0.2">
      <c r="A44" s="22">
        <v>17</v>
      </c>
      <c r="B44" s="23" t="s">
        <v>55</v>
      </c>
      <c r="C44" s="23" t="s">
        <v>56</v>
      </c>
      <c r="D44" s="23" t="s">
        <v>23</v>
      </c>
      <c r="E44" s="24">
        <v>1500</v>
      </c>
      <c r="F44" s="25">
        <v>1504.6395</v>
      </c>
      <c r="G44" s="26">
        <v>2.1127130000000001E-2</v>
      </c>
      <c r="H44" s="16">
        <v>7.5949999999999998</v>
      </c>
      <c r="J44" s="67"/>
    </row>
    <row r="45" spans="1:10" ht="25.5" x14ac:dyDescent="0.2">
      <c r="A45" s="22">
        <v>18</v>
      </c>
      <c r="B45" s="23" t="s">
        <v>57</v>
      </c>
      <c r="C45" s="23" t="s">
        <v>58</v>
      </c>
      <c r="D45" s="23" t="s">
        <v>23</v>
      </c>
      <c r="E45" s="24">
        <v>1500</v>
      </c>
      <c r="F45" s="25">
        <v>1497.09</v>
      </c>
      <c r="G45" s="26">
        <v>2.1021120000000001E-2</v>
      </c>
      <c r="H45" s="16">
        <v>7.68</v>
      </c>
      <c r="J45" s="67"/>
    </row>
    <row r="46" spans="1:10" x14ac:dyDescent="0.2">
      <c r="A46" s="22">
        <v>19</v>
      </c>
      <c r="B46" s="23" t="s">
        <v>59</v>
      </c>
      <c r="C46" s="23" t="s">
        <v>60</v>
      </c>
      <c r="D46" s="23" t="s">
        <v>23</v>
      </c>
      <c r="E46" s="24">
        <v>100</v>
      </c>
      <c r="F46" s="25">
        <v>1005.372</v>
      </c>
      <c r="G46" s="26">
        <v>1.4116750000000001E-2</v>
      </c>
      <c r="H46" s="16">
        <v>7.74</v>
      </c>
      <c r="J46" s="67"/>
    </row>
    <row r="47" spans="1:10" x14ac:dyDescent="0.2">
      <c r="A47" s="22">
        <v>20</v>
      </c>
      <c r="B47" s="23" t="s">
        <v>61</v>
      </c>
      <c r="C47" s="23" t="s">
        <v>62</v>
      </c>
      <c r="D47" s="23" t="s">
        <v>23</v>
      </c>
      <c r="E47" s="24">
        <v>1000</v>
      </c>
      <c r="F47" s="25">
        <v>998.72</v>
      </c>
      <c r="G47" s="26">
        <v>1.402335E-2</v>
      </c>
      <c r="H47" s="16">
        <v>8.1850000000000005</v>
      </c>
      <c r="J47" s="67"/>
    </row>
    <row r="48" spans="1:10" ht="25.5" x14ac:dyDescent="0.2">
      <c r="A48" s="22">
        <v>21</v>
      </c>
      <c r="B48" s="23" t="s">
        <v>63</v>
      </c>
      <c r="C48" s="23" t="s">
        <v>64</v>
      </c>
      <c r="D48" s="23" t="s">
        <v>23</v>
      </c>
      <c r="E48" s="24">
        <v>1000</v>
      </c>
      <c r="F48" s="25">
        <v>995.38699999999994</v>
      </c>
      <c r="G48" s="26">
        <v>1.3976550000000001E-2</v>
      </c>
      <c r="H48" s="16">
        <v>7.6875</v>
      </c>
      <c r="J48" s="67"/>
    </row>
    <row r="49" spans="1:10" ht="25.5" x14ac:dyDescent="0.2">
      <c r="A49" s="22">
        <v>22</v>
      </c>
      <c r="B49" s="23" t="s">
        <v>65</v>
      </c>
      <c r="C49" s="23" t="s">
        <v>66</v>
      </c>
      <c r="D49" s="23" t="s">
        <v>32</v>
      </c>
      <c r="E49" s="24">
        <v>50</v>
      </c>
      <c r="F49" s="25">
        <v>496.69499999999999</v>
      </c>
      <c r="G49" s="26">
        <v>6.9742500000000004E-3</v>
      </c>
      <c r="H49" s="16">
        <v>7.5250000000000004</v>
      </c>
      <c r="J49" s="67"/>
    </row>
    <row r="50" spans="1:10" x14ac:dyDescent="0.2">
      <c r="A50" s="14"/>
      <c r="B50" s="14"/>
      <c r="C50" s="15" t="s">
        <v>11</v>
      </c>
      <c r="D50" s="14"/>
      <c r="E50" s="14" t="s">
        <v>12</v>
      </c>
      <c r="F50" s="21">
        <v>50084.7425</v>
      </c>
      <c r="G50" s="18">
        <v>0.70325592000000003</v>
      </c>
      <c r="H50" s="16" t="s">
        <v>12</v>
      </c>
      <c r="J50" s="67"/>
    </row>
    <row r="51" spans="1:10" x14ac:dyDescent="0.2">
      <c r="A51" s="14"/>
      <c r="B51" s="14"/>
      <c r="C51" s="19"/>
      <c r="D51" s="14"/>
      <c r="E51" s="14"/>
      <c r="F51" s="20"/>
      <c r="G51" s="20"/>
      <c r="H51" s="16" t="s">
        <v>12</v>
      </c>
      <c r="J51" s="67"/>
    </row>
    <row r="52" spans="1:10" x14ac:dyDescent="0.2">
      <c r="A52" s="14"/>
      <c r="B52" s="14"/>
      <c r="C52" s="15" t="s">
        <v>67</v>
      </c>
      <c r="D52" s="14"/>
      <c r="E52" s="14"/>
      <c r="F52" s="14"/>
      <c r="G52" s="14"/>
      <c r="H52" s="16" t="s">
        <v>12</v>
      </c>
      <c r="J52" s="67"/>
    </row>
    <row r="53" spans="1:10" x14ac:dyDescent="0.2">
      <c r="A53" s="14"/>
      <c r="B53" s="14"/>
      <c r="C53" s="15" t="s">
        <v>11</v>
      </c>
      <c r="D53" s="14"/>
      <c r="E53" s="14" t="s">
        <v>12</v>
      </c>
      <c r="F53" s="17" t="s">
        <v>13</v>
      </c>
      <c r="G53" s="18">
        <v>0</v>
      </c>
      <c r="H53" s="16" t="s">
        <v>12</v>
      </c>
      <c r="J53" s="67"/>
    </row>
    <row r="54" spans="1:10" x14ac:dyDescent="0.2">
      <c r="A54" s="14"/>
      <c r="B54" s="14"/>
      <c r="C54" s="19"/>
      <c r="D54" s="14"/>
      <c r="E54" s="14"/>
      <c r="F54" s="20"/>
      <c r="G54" s="20"/>
      <c r="H54" s="16" t="s">
        <v>12</v>
      </c>
      <c r="J54" s="67"/>
    </row>
    <row r="55" spans="1:10" x14ac:dyDescent="0.2">
      <c r="A55" s="14"/>
      <c r="B55" s="14"/>
      <c r="C55" s="15" t="s">
        <v>68</v>
      </c>
      <c r="D55" s="14"/>
      <c r="E55" s="14"/>
      <c r="F55" s="14"/>
      <c r="G55" s="14"/>
      <c r="H55" s="16" t="s">
        <v>12</v>
      </c>
      <c r="J55" s="67"/>
    </row>
    <row r="56" spans="1:10" x14ac:dyDescent="0.2">
      <c r="A56" s="22">
        <v>1</v>
      </c>
      <c r="B56" s="23" t="s">
        <v>69</v>
      </c>
      <c r="C56" s="23" t="s">
        <v>70</v>
      </c>
      <c r="D56" s="23" t="s">
        <v>71</v>
      </c>
      <c r="E56" s="24">
        <v>12000000</v>
      </c>
      <c r="F56" s="25">
        <v>12226.08</v>
      </c>
      <c r="G56" s="26">
        <v>0.17167030999999999</v>
      </c>
      <c r="H56" s="16">
        <v>7.0125000000000002</v>
      </c>
      <c r="J56" s="67"/>
    </row>
    <row r="57" spans="1:10" x14ac:dyDescent="0.2">
      <c r="A57" s="22">
        <v>2</v>
      </c>
      <c r="B57" s="23" t="s">
        <v>72</v>
      </c>
      <c r="C57" s="23" t="s">
        <v>73</v>
      </c>
      <c r="D57" s="23" t="s">
        <v>71</v>
      </c>
      <c r="E57" s="24">
        <v>2500000</v>
      </c>
      <c r="F57" s="25">
        <v>2561.7275</v>
      </c>
      <c r="G57" s="26">
        <v>3.5970040000000002E-2</v>
      </c>
      <c r="H57" s="16">
        <v>6.9383999999999997</v>
      </c>
      <c r="J57" s="67"/>
    </row>
    <row r="58" spans="1:10" x14ac:dyDescent="0.2">
      <c r="A58" s="22">
        <v>3</v>
      </c>
      <c r="B58" s="23" t="s">
        <v>74</v>
      </c>
      <c r="C58" s="23" t="s">
        <v>75</v>
      </c>
      <c r="D58" s="23" t="s">
        <v>71</v>
      </c>
      <c r="E58" s="24">
        <v>1500000</v>
      </c>
      <c r="F58" s="25">
        <v>1555.3305</v>
      </c>
      <c r="G58" s="26">
        <v>2.183889E-2</v>
      </c>
      <c r="H58" s="16">
        <v>7.1218000000000004</v>
      </c>
      <c r="J58" s="67"/>
    </row>
    <row r="59" spans="1:10" x14ac:dyDescent="0.2">
      <c r="A59" s="22">
        <v>4</v>
      </c>
      <c r="B59" s="23" t="s">
        <v>76</v>
      </c>
      <c r="C59" s="23" t="s">
        <v>77</v>
      </c>
      <c r="D59" s="23" t="s">
        <v>71</v>
      </c>
      <c r="E59" s="24">
        <v>1000000</v>
      </c>
      <c r="F59" s="25">
        <v>1020.8049999999999</v>
      </c>
      <c r="G59" s="26">
        <v>1.4333449999999999E-2</v>
      </c>
      <c r="H59" s="16">
        <v>6.8971999999999998</v>
      </c>
      <c r="J59" s="67"/>
    </row>
    <row r="60" spans="1:10" x14ac:dyDescent="0.2">
      <c r="A60" s="22">
        <v>5</v>
      </c>
      <c r="B60" s="23" t="s">
        <v>78</v>
      </c>
      <c r="C60" s="23" t="s">
        <v>79</v>
      </c>
      <c r="D60" s="23" t="s">
        <v>71</v>
      </c>
      <c r="E60" s="24">
        <v>1000000</v>
      </c>
      <c r="F60" s="25">
        <v>1016.364</v>
      </c>
      <c r="G60" s="26">
        <v>1.427109E-2</v>
      </c>
      <c r="H60" s="16">
        <v>6.9809000000000001</v>
      </c>
      <c r="J60" s="67"/>
    </row>
    <row r="61" spans="1:10" x14ac:dyDescent="0.2">
      <c r="A61" s="22">
        <v>6</v>
      </c>
      <c r="B61" s="23" t="s">
        <v>80</v>
      </c>
      <c r="C61" s="23" t="s">
        <v>81</v>
      </c>
      <c r="D61" s="23" t="s">
        <v>71</v>
      </c>
      <c r="E61" s="24">
        <v>200000</v>
      </c>
      <c r="F61" s="25">
        <v>208.1628</v>
      </c>
      <c r="G61" s="26">
        <v>2.9228800000000001E-3</v>
      </c>
      <c r="H61" s="16">
        <v>7.1558000000000002</v>
      </c>
      <c r="J61" s="67"/>
    </row>
    <row r="62" spans="1:10" x14ac:dyDescent="0.2">
      <c r="A62" s="14"/>
      <c r="B62" s="14"/>
      <c r="C62" s="15" t="s">
        <v>11</v>
      </c>
      <c r="D62" s="14"/>
      <c r="E62" s="14" t="s">
        <v>12</v>
      </c>
      <c r="F62" s="21">
        <v>18588.469799999999</v>
      </c>
      <c r="G62" s="18">
        <v>0.26100666</v>
      </c>
      <c r="H62" s="16" t="s">
        <v>12</v>
      </c>
      <c r="J62" s="67"/>
    </row>
    <row r="63" spans="1:10" x14ac:dyDescent="0.2">
      <c r="A63" s="14"/>
      <c r="B63" s="14"/>
      <c r="C63" s="19"/>
      <c r="D63" s="14"/>
      <c r="E63" s="14"/>
      <c r="F63" s="20"/>
      <c r="G63" s="20"/>
      <c r="H63" s="16" t="s">
        <v>12</v>
      </c>
      <c r="J63" s="67"/>
    </row>
    <row r="64" spans="1:10" x14ac:dyDescent="0.2">
      <c r="A64" s="14"/>
      <c r="B64" s="14"/>
      <c r="C64" s="15" t="s">
        <v>82</v>
      </c>
      <c r="D64" s="14"/>
      <c r="E64" s="14"/>
      <c r="F64" s="20"/>
      <c r="G64" s="20"/>
      <c r="H64" s="16" t="s">
        <v>12</v>
      </c>
      <c r="J64" s="67"/>
    </row>
    <row r="65" spans="1:10" x14ac:dyDescent="0.2">
      <c r="A65" s="14"/>
      <c r="B65" s="14"/>
      <c r="C65" s="15" t="s">
        <v>11</v>
      </c>
      <c r="D65" s="14"/>
      <c r="E65" s="14" t="s">
        <v>12</v>
      </c>
      <c r="F65" s="17" t="s">
        <v>13</v>
      </c>
      <c r="G65" s="18">
        <v>0</v>
      </c>
      <c r="H65" s="16" t="s">
        <v>12</v>
      </c>
      <c r="J65" s="67"/>
    </row>
    <row r="66" spans="1:10" x14ac:dyDescent="0.2">
      <c r="A66" s="14"/>
      <c r="B66" s="14"/>
      <c r="C66" s="19"/>
      <c r="D66" s="14"/>
      <c r="E66" s="14"/>
      <c r="F66" s="20"/>
      <c r="G66" s="20"/>
      <c r="H66" s="16" t="s">
        <v>12</v>
      </c>
      <c r="J66" s="67"/>
    </row>
    <row r="67" spans="1:10" x14ac:dyDescent="0.2">
      <c r="A67" s="14"/>
      <c r="B67" s="14"/>
      <c r="C67" s="15" t="s">
        <v>83</v>
      </c>
      <c r="D67" s="14"/>
      <c r="E67" s="14"/>
      <c r="F67" s="21">
        <v>68673.212299999999</v>
      </c>
      <c r="G67" s="18">
        <v>0.96426257999999998</v>
      </c>
      <c r="H67" s="16" t="s">
        <v>12</v>
      </c>
      <c r="J67" s="67"/>
    </row>
    <row r="68" spans="1:10" x14ac:dyDescent="0.2">
      <c r="A68" s="14"/>
      <c r="B68" s="14"/>
      <c r="C68" s="19"/>
      <c r="D68" s="14"/>
      <c r="E68" s="14"/>
      <c r="F68" s="20"/>
      <c r="G68" s="20"/>
      <c r="H68" s="16" t="s">
        <v>12</v>
      </c>
      <c r="J68" s="67"/>
    </row>
    <row r="69" spans="1:10" x14ac:dyDescent="0.2">
      <c r="A69" s="14"/>
      <c r="B69" s="14"/>
      <c r="C69" s="15" t="s">
        <v>84</v>
      </c>
      <c r="D69" s="14"/>
      <c r="E69" s="14"/>
      <c r="F69" s="20"/>
      <c r="G69" s="20"/>
      <c r="H69" s="16" t="s">
        <v>12</v>
      </c>
      <c r="J69" s="67"/>
    </row>
    <row r="70" spans="1:10" x14ac:dyDescent="0.2">
      <c r="A70" s="14"/>
      <c r="B70" s="14"/>
      <c r="C70" s="15" t="s">
        <v>85</v>
      </c>
      <c r="D70" s="14"/>
      <c r="E70" s="14"/>
      <c r="F70" s="20"/>
      <c r="G70" s="20"/>
      <c r="H70" s="16" t="s">
        <v>12</v>
      </c>
      <c r="J70" s="67"/>
    </row>
    <row r="71" spans="1:10" x14ac:dyDescent="0.2">
      <c r="A71" s="14"/>
      <c r="B71" s="14"/>
      <c r="C71" s="15" t="s">
        <v>11</v>
      </c>
      <c r="D71" s="14"/>
      <c r="E71" s="14" t="s">
        <v>12</v>
      </c>
      <c r="F71" s="17" t="s">
        <v>13</v>
      </c>
      <c r="G71" s="18">
        <v>0</v>
      </c>
      <c r="H71" s="16" t="s">
        <v>12</v>
      </c>
      <c r="J71" s="67"/>
    </row>
    <row r="72" spans="1:10" x14ac:dyDescent="0.2">
      <c r="A72" s="14"/>
      <c r="B72" s="14"/>
      <c r="C72" s="19"/>
      <c r="D72" s="14"/>
      <c r="E72" s="14"/>
      <c r="F72" s="20"/>
      <c r="G72" s="20"/>
      <c r="H72" s="16" t="s">
        <v>12</v>
      </c>
      <c r="J72" s="67"/>
    </row>
    <row r="73" spans="1:10" x14ac:dyDescent="0.2">
      <c r="A73" s="14"/>
      <c r="B73" s="14"/>
      <c r="C73" s="15" t="s">
        <v>86</v>
      </c>
      <c r="D73" s="14"/>
      <c r="E73" s="14"/>
      <c r="F73" s="20"/>
      <c r="G73" s="20"/>
      <c r="H73" s="16" t="s">
        <v>12</v>
      </c>
      <c r="J73" s="67"/>
    </row>
    <row r="74" spans="1:10" x14ac:dyDescent="0.2">
      <c r="A74" s="14"/>
      <c r="B74" s="14"/>
      <c r="C74" s="15" t="s">
        <v>11</v>
      </c>
      <c r="D74" s="14"/>
      <c r="E74" s="14" t="s">
        <v>12</v>
      </c>
      <c r="F74" s="17" t="s">
        <v>13</v>
      </c>
      <c r="G74" s="18">
        <v>0</v>
      </c>
      <c r="H74" s="16" t="s">
        <v>12</v>
      </c>
      <c r="J74" s="67"/>
    </row>
    <row r="75" spans="1:10" x14ac:dyDescent="0.2">
      <c r="A75" s="14"/>
      <c r="B75" s="14"/>
      <c r="C75" s="19"/>
      <c r="D75" s="14"/>
      <c r="E75" s="14"/>
      <c r="F75" s="20"/>
      <c r="G75" s="20"/>
      <c r="H75" s="16" t="s">
        <v>12</v>
      </c>
      <c r="J75" s="67"/>
    </row>
    <row r="76" spans="1:10" x14ac:dyDescent="0.2">
      <c r="A76" s="14"/>
      <c r="B76" s="14"/>
      <c r="C76" s="15" t="s">
        <v>87</v>
      </c>
      <c r="D76" s="14"/>
      <c r="E76" s="14"/>
      <c r="F76" s="20"/>
      <c r="G76" s="20"/>
      <c r="H76" s="16" t="s">
        <v>12</v>
      </c>
      <c r="J76" s="67"/>
    </row>
    <row r="77" spans="1:10" x14ac:dyDescent="0.2">
      <c r="A77" s="14"/>
      <c r="B77" s="14"/>
      <c r="C77" s="15" t="s">
        <v>11</v>
      </c>
      <c r="D77" s="14"/>
      <c r="E77" s="14" t="s">
        <v>12</v>
      </c>
      <c r="F77" s="17" t="s">
        <v>13</v>
      </c>
      <c r="G77" s="18">
        <v>0</v>
      </c>
      <c r="H77" s="16" t="s">
        <v>12</v>
      </c>
      <c r="J77" s="67"/>
    </row>
    <row r="78" spans="1:10" x14ac:dyDescent="0.2">
      <c r="A78" s="14"/>
      <c r="B78" s="14"/>
      <c r="C78" s="19"/>
      <c r="D78" s="14"/>
      <c r="E78" s="14"/>
      <c r="F78" s="20"/>
      <c r="G78" s="20"/>
      <c r="H78" s="16" t="s">
        <v>12</v>
      </c>
      <c r="J78" s="67"/>
    </row>
    <row r="79" spans="1:10" x14ac:dyDescent="0.2">
      <c r="A79" s="14"/>
      <c r="B79" s="14"/>
      <c r="C79" s="15" t="s">
        <v>88</v>
      </c>
      <c r="D79" s="14"/>
      <c r="E79" s="14"/>
      <c r="F79" s="20"/>
      <c r="G79" s="20"/>
      <c r="H79" s="16" t="s">
        <v>12</v>
      </c>
      <c r="J79" s="67"/>
    </row>
    <row r="80" spans="1:10" x14ac:dyDescent="0.2">
      <c r="A80" s="22">
        <v>1</v>
      </c>
      <c r="B80" s="23"/>
      <c r="C80" s="23" t="s">
        <v>89</v>
      </c>
      <c r="D80" s="23"/>
      <c r="E80" s="27"/>
      <c r="F80" s="25">
        <v>753.06888900199999</v>
      </c>
      <c r="G80" s="26">
        <v>1.057408E-2</v>
      </c>
      <c r="H80" s="16">
        <v>6.62</v>
      </c>
      <c r="J80" s="67"/>
    </row>
    <row r="81" spans="1:18" x14ac:dyDescent="0.2">
      <c r="A81" s="14"/>
      <c r="B81" s="14"/>
      <c r="C81" s="15" t="s">
        <v>11</v>
      </c>
      <c r="D81" s="14"/>
      <c r="E81" s="14" t="s">
        <v>12</v>
      </c>
      <c r="F81" s="21">
        <v>753.06888900199999</v>
      </c>
      <c r="G81" s="18">
        <v>1.057408E-2</v>
      </c>
      <c r="H81" s="16" t="s">
        <v>12</v>
      </c>
      <c r="J81" s="67"/>
    </row>
    <row r="82" spans="1:18" x14ac:dyDescent="0.2">
      <c r="A82" s="14"/>
      <c r="B82" s="14"/>
      <c r="C82" s="19"/>
      <c r="D82" s="14"/>
      <c r="E82" s="14"/>
      <c r="F82" s="20"/>
      <c r="G82" s="20"/>
      <c r="H82" s="16" t="s">
        <v>12</v>
      </c>
      <c r="J82" s="67"/>
    </row>
    <row r="83" spans="1:18" x14ac:dyDescent="0.2">
      <c r="A83" s="14"/>
      <c r="B83" s="14"/>
      <c r="C83" s="15" t="s">
        <v>90</v>
      </c>
      <c r="D83" s="14"/>
      <c r="E83" s="14"/>
      <c r="F83" s="21">
        <v>753.06888900199999</v>
      </c>
      <c r="G83" s="18">
        <v>1.057408E-2</v>
      </c>
      <c r="H83" s="16" t="s">
        <v>12</v>
      </c>
      <c r="J83" s="67"/>
    </row>
    <row r="84" spans="1:18" x14ac:dyDescent="0.2">
      <c r="A84" s="14"/>
      <c r="B84" s="14"/>
      <c r="C84" s="20"/>
      <c r="D84" s="14"/>
      <c r="E84" s="14"/>
      <c r="F84" s="14"/>
      <c r="G84" s="14"/>
      <c r="H84" s="16" t="s">
        <v>12</v>
      </c>
      <c r="J84" s="67"/>
    </row>
    <row r="85" spans="1:18" x14ac:dyDescent="0.2">
      <c r="A85" s="14"/>
      <c r="B85" s="14"/>
      <c r="C85" s="15" t="s">
        <v>91</v>
      </c>
      <c r="D85" s="14"/>
      <c r="E85" s="14"/>
      <c r="F85" s="14"/>
      <c r="G85" s="14"/>
      <c r="H85" s="16" t="s">
        <v>12</v>
      </c>
      <c r="J85" s="67"/>
    </row>
    <row r="86" spans="1:18" x14ac:dyDescent="0.2">
      <c r="A86" s="14"/>
      <c r="B86" s="14"/>
      <c r="C86" s="15" t="s">
        <v>92</v>
      </c>
      <c r="D86" s="14"/>
      <c r="E86" s="14"/>
      <c r="F86" s="14"/>
      <c r="G86" s="14"/>
      <c r="H86" s="16" t="s">
        <v>12</v>
      </c>
      <c r="J86" s="67"/>
    </row>
    <row r="87" spans="1:18" x14ac:dyDescent="0.2">
      <c r="A87" s="14"/>
      <c r="B87" s="14"/>
      <c r="C87" s="15" t="s">
        <v>11</v>
      </c>
      <c r="D87" s="14"/>
      <c r="E87" s="14" t="s">
        <v>12</v>
      </c>
      <c r="F87" s="17" t="s">
        <v>13</v>
      </c>
      <c r="G87" s="18">
        <v>0</v>
      </c>
      <c r="H87" s="16" t="s">
        <v>12</v>
      </c>
      <c r="J87" s="67"/>
    </row>
    <row r="88" spans="1:18" x14ac:dyDescent="0.2">
      <c r="A88" s="14"/>
      <c r="B88" s="14"/>
      <c r="C88" s="19"/>
      <c r="D88" s="14"/>
      <c r="E88" s="14"/>
      <c r="F88" s="20"/>
      <c r="G88" s="20"/>
      <c r="H88" s="16" t="s">
        <v>12</v>
      </c>
      <c r="J88" s="67"/>
    </row>
    <row r="89" spans="1:18" x14ac:dyDescent="0.2">
      <c r="A89" s="28"/>
      <c r="B89" s="28"/>
      <c r="C89" s="29" t="s">
        <v>536</v>
      </c>
      <c r="D89" s="28"/>
      <c r="E89" s="28"/>
      <c r="F89" s="30"/>
      <c r="G89" s="30"/>
      <c r="H89" s="31"/>
      <c r="J89" s="67"/>
      <c r="L89" s="32"/>
      <c r="M89" s="32"/>
      <c r="N89" s="32"/>
      <c r="O89" s="32"/>
      <c r="P89" s="33"/>
      <c r="Q89" s="33"/>
      <c r="R89" s="33"/>
    </row>
    <row r="90" spans="1:18" x14ac:dyDescent="0.2">
      <c r="A90" s="22">
        <v>1</v>
      </c>
      <c r="B90" s="23" t="s">
        <v>93</v>
      </c>
      <c r="C90" s="23" t="s">
        <v>94</v>
      </c>
      <c r="D90" s="23"/>
      <c r="E90" s="34">
        <v>2586.3710000000001</v>
      </c>
      <c r="F90" s="25">
        <v>268.12963246700002</v>
      </c>
      <c r="G90" s="26">
        <v>3.7648899999999999E-3</v>
      </c>
      <c r="H90" s="16"/>
      <c r="J90" s="67"/>
    </row>
    <row r="91" spans="1:18" x14ac:dyDescent="0.2">
      <c r="A91" s="14"/>
      <c r="B91" s="14"/>
      <c r="C91" s="15" t="s">
        <v>11</v>
      </c>
      <c r="D91" s="14"/>
      <c r="E91" s="14" t="s">
        <v>12</v>
      </c>
      <c r="F91" s="21">
        <v>268.12963246700002</v>
      </c>
      <c r="G91" s="18">
        <v>3.7648899999999999E-3</v>
      </c>
      <c r="H91" s="16" t="s">
        <v>12</v>
      </c>
      <c r="J91" s="67"/>
    </row>
    <row r="92" spans="1:18" x14ac:dyDescent="0.2">
      <c r="A92" s="14"/>
      <c r="B92" s="14"/>
      <c r="C92" s="19"/>
      <c r="D92" s="14"/>
      <c r="E92" s="14"/>
      <c r="F92" s="20"/>
      <c r="G92" s="20"/>
      <c r="H92" s="16" t="s">
        <v>12</v>
      </c>
      <c r="J92" s="67"/>
    </row>
    <row r="93" spans="1:18" x14ac:dyDescent="0.2">
      <c r="A93" s="14"/>
      <c r="B93" s="14"/>
      <c r="C93" s="15" t="s">
        <v>95</v>
      </c>
      <c r="D93" s="14"/>
      <c r="E93" s="14"/>
      <c r="F93" s="14"/>
      <c r="G93" s="14"/>
      <c r="H93" s="16" t="s">
        <v>12</v>
      </c>
      <c r="J93" s="67"/>
    </row>
    <row r="94" spans="1:18" x14ac:dyDescent="0.2">
      <c r="A94" s="14"/>
      <c r="B94" s="14"/>
      <c r="C94" s="15" t="s">
        <v>96</v>
      </c>
      <c r="D94" s="14"/>
      <c r="E94" s="14"/>
      <c r="F94" s="14"/>
      <c r="G94" s="14"/>
      <c r="H94" s="16" t="s">
        <v>12</v>
      </c>
      <c r="J94" s="67"/>
    </row>
    <row r="95" spans="1:18" x14ac:dyDescent="0.2">
      <c r="A95" s="14"/>
      <c r="B95" s="14"/>
      <c r="C95" s="15" t="s">
        <v>11</v>
      </c>
      <c r="D95" s="14"/>
      <c r="E95" s="14" t="s">
        <v>12</v>
      </c>
      <c r="F95" s="17" t="s">
        <v>13</v>
      </c>
      <c r="G95" s="18">
        <v>0</v>
      </c>
      <c r="H95" s="16" t="s">
        <v>12</v>
      </c>
      <c r="J95" s="67"/>
    </row>
    <row r="96" spans="1:18" x14ac:dyDescent="0.2">
      <c r="A96" s="14"/>
      <c r="B96" s="14"/>
      <c r="C96" s="19"/>
      <c r="D96" s="14"/>
      <c r="E96" s="14"/>
      <c r="F96" s="20"/>
      <c r="G96" s="20"/>
      <c r="H96" s="16" t="s">
        <v>12</v>
      </c>
      <c r="J96" s="67"/>
    </row>
    <row r="97" spans="1:10" x14ac:dyDescent="0.2">
      <c r="A97" s="14"/>
      <c r="B97" s="14"/>
      <c r="C97" s="15" t="s">
        <v>97</v>
      </c>
      <c r="D97" s="14"/>
      <c r="E97" s="14"/>
      <c r="F97" s="20"/>
      <c r="G97" s="20"/>
      <c r="H97" s="16" t="s">
        <v>12</v>
      </c>
      <c r="J97" s="67"/>
    </row>
    <row r="98" spans="1:10" x14ac:dyDescent="0.2">
      <c r="A98" s="14"/>
      <c r="B98" s="14"/>
      <c r="C98" s="15" t="s">
        <v>11</v>
      </c>
      <c r="D98" s="14"/>
      <c r="E98" s="14" t="s">
        <v>12</v>
      </c>
      <c r="F98" s="17" t="s">
        <v>13</v>
      </c>
      <c r="G98" s="18">
        <v>0</v>
      </c>
      <c r="H98" s="16" t="s">
        <v>12</v>
      </c>
      <c r="J98" s="67"/>
    </row>
    <row r="99" spans="1:10" x14ac:dyDescent="0.2">
      <c r="A99" s="14"/>
      <c r="B99" s="14"/>
      <c r="C99" s="19"/>
      <c r="D99" s="14"/>
      <c r="E99" s="14"/>
      <c r="F99" s="20"/>
      <c r="G99" s="20"/>
      <c r="H99" s="16" t="s">
        <v>12</v>
      </c>
      <c r="J99" s="67"/>
    </row>
    <row r="100" spans="1:10" x14ac:dyDescent="0.2">
      <c r="A100" s="27"/>
      <c r="B100" s="23"/>
      <c r="C100" s="23" t="s">
        <v>98</v>
      </c>
      <c r="D100" s="23"/>
      <c r="E100" s="27"/>
      <c r="F100" s="25">
        <v>1523.9629530899999</v>
      </c>
      <c r="G100" s="26">
        <v>2.1398449999999999E-2</v>
      </c>
      <c r="H100" s="16" t="s">
        <v>12</v>
      </c>
      <c r="J100" s="67"/>
    </row>
    <row r="101" spans="1:10" x14ac:dyDescent="0.2">
      <c r="A101" s="19"/>
      <c r="B101" s="19"/>
      <c r="C101" s="15" t="s">
        <v>99</v>
      </c>
      <c r="D101" s="20"/>
      <c r="E101" s="20"/>
      <c r="F101" s="21">
        <v>71218.373774559004</v>
      </c>
      <c r="G101" s="35">
        <v>1</v>
      </c>
      <c r="H101" s="16" t="s">
        <v>12</v>
      </c>
      <c r="J101" s="67"/>
    </row>
    <row r="102" spans="1:10" x14ac:dyDescent="0.2">
      <c r="A102" s="36"/>
      <c r="B102" s="36"/>
      <c r="C102" s="36"/>
      <c r="D102" s="37"/>
      <c r="E102" s="37"/>
      <c r="F102" s="37"/>
      <c r="G102" s="37"/>
      <c r="J102" s="67"/>
    </row>
    <row r="103" spans="1:10" x14ac:dyDescent="0.2">
      <c r="A103" s="38"/>
      <c r="B103" s="112" t="s">
        <v>532</v>
      </c>
      <c r="C103" s="112"/>
      <c r="D103" s="112"/>
      <c r="E103" s="112"/>
      <c r="F103" s="112"/>
      <c r="G103" s="112"/>
      <c r="H103" s="112"/>
      <c r="J103" s="67"/>
    </row>
    <row r="104" spans="1:10" x14ac:dyDescent="0.2">
      <c r="A104" s="38"/>
      <c r="B104" s="112" t="s">
        <v>533</v>
      </c>
      <c r="C104" s="112"/>
      <c r="D104" s="112"/>
      <c r="E104" s="112"/>
      <c r="F104" s="112"/>
      <c r="G104" s="112"/>
      <c r="H104" s="112"/>
      <c r="J104" s="67"/>
    </row>
    <row r="105" spans="1:10" x14ac:dyDescent="0.2">
      <c r="A105" s="38"/>
      <c r="B105" s="112" t="s">
        <v>534</v>
      </c>
      <c r="C105" s="112"/>
      <c r="D105" s="112"/>
      <c r="E105" s="112"/>
      <c r="F105" s="112"/>
      <c r="G105" s="112"/>
      <c r="H105" s="112"/>
      <c r="J105" s="67"/>
    </row>
    <row r="106" spans="1:10" x14ac:dyDescent="0.2">
      <c r="A106" s="40"/>
      <c r="B106" s="40"/>
      <c r="C106" s="40"/>
      <c r="D106" s="41"/>
      <c r="E106" s="41"/>
      <c r="F106" s="41"/>
      <c r="G106" s="41"/>
      <c r="J106" s="67"/>
    </row>
    <row r="107" spans="1:10" x14ac:dyDescent="0.2">
      <c r="A107" s="40"/>
      <c r="B107" s="118" t="s">
        <v>100</v>
      </c>
      <c r="C107" s="119"/>
      <c r="D107" s="120"/>
      <c r="E107" s="42"/>
      <c r="F107" s="41"/>
      <c r="G107" s="41"/>
      <c r="J107" s="67"/>
    </row>
    <row r="108" spans="1:10" x14ac:dyDescent="0.2">
      <c r="A108" s="40"/>
      <c r="B108" s="121" t="s">
        <v>101</v>
      </c>
      <c r="C108" s="122"/>
      <c r="D108" s="15" t="s">
        <v>102</v>
      </c>
      <c r="E108" s="42"/>
      <c r="F108" s="41"/>
      <c r="G108" s="41"/>
      <c r="J108" s="67"/>
    </row>
    <row r="109" spans="1:10" x14ac:dyDescent="0.2">
      <c r="A109" s="40"/>
      <c r="B109" s="121" t="s">
        <v>103</v>
      </c>
      <c r="C109" s="122"/>
      <c r="D109" s="15" t="s">
        <v>102</v>
      </c>
      <c r="E109" s="42"/>
      <c r="F109" s="41"/>
      <c r="G109" s="41"/>
      <c r="J109" s="67"/>
    </row>
    <row r="110" spans="1:10" x14ac:dyDescent="0.2">
      <c r="A110" s="40"/>
      <c r="B110" s="121" t="s">
        <v>104</v>
      </c>
      <c r="C110" s="122"/>
      <c r="D110" s="20" t="s">
        <v>12</v>
      </c>
      <c r="E110" s="42"/>
      <c r="F110" s="41"/>
      <c r="G110" s="41"/>
      <c r="J110" s="67"/>
    </row>
    <row r="111" spans="1:10" x14ac:dyDescent="0.2">
      <c r="A111" s="43"/>
      <c r="B111" s="44" t="s">
        <v>12</v>
      </c>
      <c r="C111" s="44" t="s">
        <v>528</v>
      </c>
      <c r="D111" s="44" t="s">
        <v>105</v>
      </c>
      <c r="E111" s="43"/>
      <c r="F111" s="43"/>
      <c r="G111" s="43"/>
      <c r="H111" s="45"/>
      <c r="J111" s="67"/>
    </row>
    <row r="112" spans="1:10" x14ac:dyDescent="0.2">
      <c r="A112" s="46"/>
      <c r="B112" s="47" t="s">
        <v>106</v>
      </c>
      <c r="C112" s="48">
        <v>45519</v>
      </c>
      <c r="D112" s="48">
        <v>45535</v>
      </c>
      <c r="E112" s="46"/>
      <c r="F112" s="46"/>
      <c r="G112" s="46"/>
      <c r="J112" s="67"/>
    </row>
    <row r="113" spans="1:10" x14ac:dyDescent="0.2">
      <c r="A113" s="46"/>
      <c r="B113" s="23" t="s">
        <v>107</v>
      </c>
      <c r="C113" s="49">
        <v>38.539299999999997</v>
      </c>
      <c r="D113" s="49">
        <v>38.684800000000003</v>
      </c>
      <c r="E113" s="46"/>
      <c r="F113" s="50"/>
      <c r="G113" s="51"/>
      <c r="J113" s="67"/>
    </row>
    <row r="114" spans="1:10" ht="25.5" x14ac:dyDescent="0.2">
      <c r="A114" s="46"/>
      <c r="B114" s="23" t="s">
        <v>584</v>
      </c>
      <c r="C114" s="49">
        <v>17.150099999999998</v>
      </c>
      <c r="D114" s="49">
        <v>17.194700000000001</v>
      </c>
      <c r="E114" s="46"/>
      <c r="F114" s="50"/>
      <c r="G114" s="51"/>
      <c r="J114" s="67"/>
    </row>
    <row r="115" spans="1:10" ht="25.5" x14ac:dyDescent="0.2">
      <c r="A115" s="46"/>
      <c r="B115" s="23" t="s">
        <v>585</v>
      </c>
      <c r="C115" s="49">
        <v>18.9908</v>
      </c>
      <c r="D115" s="49">
        <v>19.0624</v>
      </c>
      <c r="E115" s="46"/>
      <c r="F115" s="50"/>
      <c r="G115" s="51"/>
      <c r="J115" s="67"/>
    </row>
    <row r="116" spans="1:10" ht="25.5" x14ac:dyDescent="0.2">
      <c r="A116" s="46"/>
      <c r="B116" s="23" t="s">
        <v>586</v>
      </c>
      <c r="C116" s="49">
        <v>17.184799999999999</v>
      </c>
      <c r="D116" s="49">
        <v>17.249600000000001</v>
      </c>
      <c r="E116" s="46"/>
      <c r="F116" s="50"/>
      <c r="G116" s="51"/>
      <c r="J116" s="67"/>
    </row>
    <row r="117" spans="1:10" x14ac:dyDescent="0.2">
      <c r="A117" s="46"/>
      <c r="B117" s="23" t="s">
        <v>587</v>
      </c>
      <c r="C117" s="49">
        <v>17.442299999999999</v>
      </c>
      <c r="D117" s="49">
        <v>17.508199999999999</v>
      </c>
      <c r="E117" s="46"/>
      <c r="F117" s="50"/>
      <c r="G117" s="51"/>
      <c r="J117" s="67"/>
    </row>
    <row r="118" spans="1:10" x14ac:dyDescent="0.2">
      <c r="A118" s="46"/>
      <c r="B118" s="23" t="s">
        <v>108</v>
      </c>
      <c r="C118" s="49">
        <v>37.344299999999997</v>
      </c>
      <c r="D118" s="49">
        <v>37.481400000000001</v>
      </c>
      <c r="E118" s="46"/>
      <c r="F118" s="50"/>
      <c r="G118" s="51"/>
      <c r="J118" s="71"/>
    </row>
    <row r="119" spans="1:10" ht="25.5" x14ac:dyDescent="0.2">
      <c r="A119" s="46"/>
      <c r="B119" s="23" t="s">
        <v>588</v>
      </c>
      <c r="C119" s="49">
        <v>16.223500000000001</v>
      </c>
      <c r="D119" s="49">
        <v>16.263100000000001</v>
      </c>
      <c r="E119" s="46"/>
      <c r="F119" s="50"/>
      <c r="G119" s="51"/>
      <c r="J119" s="71"/>
    </row>
    <row r="120" spans="1:10" ht="25.5" x14ac:dyDescent="0.2">
      <c r="A120" s="46"/>
      <c r="B120" s="23" t="s">
        <v>562</v>
      </c>
      <c r="C120" s="49">
        <v>18.442699999999999</v>
      </c>
      <c r="D120" s="49">
        <v>18.5105</v>
      </c>
      <c r="E120" s="46"/>
      <c r="F120" s="50"/>
      <c r="G120" s="51"/>
      <c r="J120" s="71"/>
    </row>
    <row r="121" spans="1:10" ht="25.5" x14ac:dyDescent="0.2">
      <c r="A121" s="46"/>
      <c r="B121" s="23" t="s">
        <v>589</v>
      </c>
      <c r="C121" s="49">
        <v>17.083600000000001</v>
      </c>
      <c r="D121" s="49">
        <v>17.1464</v>
      </c>
      <c r="E121" s="46"/>
      <c r="F121" s="50"/>
      <c r="G121" s="51"/>
      <c r="J121" s="71"/>
    </row>
    <row r="122" spans="1:10" ht="25.5" x14ac:dyDescent="0.2">
      <c r="A122" s="46"/>
      <c r="B122" s="23" t="s">
        <v>590</v>
      </c>
      <c r="C122" s="49">
        <v>16.945399999999999</v>
      </c>
      <c r="D122" s="49">
        <v>17.0076</v>
      </c>
      <c r="E122" s="46"/>
      <c r="F122" s="50"/>
      <c r="G122" s="51"/>
      <c r="J122" s="71"/>
    </row>
    <row r="123" spans="1:10" x14ac:dyDescent="0.2">
      <c r="A123" s="46"/>
      <c r="B123" s="46"/>
      <c r="C123" s="46"/>
      <c r="D123" s="46"/>
      <c r="E123" s="46"/>
      <c r="F123" s="46"/>
      <c r="G123" s="46"/>
      <c r="J123" s="71"/>
    </row>
    <row r="124" spans="1:10" x14ac:dyDescent="0.2">
      <c r="A124" s="46"/>
      <c r="B124" s="121" t="s">
        <v>591</v>
      </c>
      <c r="C124" s="122"/>
      <c r="D124" s="15" t="s">
        <v>12</v>
      </c>
      <c r="E124" s="46"/>
      <c r="F124" s="46"/>
      <c r="G124" s="46"/>
      <c r="J124" s="71"/>
    </row>
    <row r="125" spans="1:10" x14ac:dyDescent="0.2">
      <c r="A125" s="46"/>
      <c r="B125" s="52" t="s">
        <v>106</v>
      </c>
      <c r="C125" s="53" t="s">
        <v>109</v>
      </c>
      <c r="D125" s="53" t="s">
        <v>110</v>
      </c>
      <c r="E125" s="46"/>
      <c r="F125" s="46"/>
      <c r="G125" s="46"/>
      <c r="J125" s="67"/>
    </row>
    <row r="126" spans="1:10" ht="25.5" x14ac:dyDescent="0.2">
      <c r="A126" s="46"/>
      <c r="B126" s="23" t="s">
        <v>584</v>
      </c>
      <c r="C126" s="54">
        <v>0.02</v>
      </c>
      <c r="D126" s="27" t="s">
        <v>111</v>
      </c>
      <c r="E126" s="46"/>
      <c r="F126" s="50"/>
      <c r="G126" s="51"/>
      <c r="J126" s="67"/>
    </row>
    <row r="127" spans="1:10" ht="25.5" x14ac:dyDescent="0.2">
      <c r="A127" s="46"/>
      <c r="B127" s="23" t="s">
        <v>588</v>
      </c>
      <c r="C127" s="54">
        <v>0.02</v>
      </c>
      <c r="D127" s="27" t="s">
        <v>111</v>
      </c>
      <c r="E127" s="46"/>
      <c r="F127" s="50"/>
      <c r="G127" s="51"/>
      <c r="J127" s="67"/>
    </row>
    <row r="128" spans="1:10" x14ac:dyDescent="0.2">
      <c r="A128" s="46"/>
      <c r="B128" s="55"/>
      <c r="C128" s="55"/>
      <c r="D128" s="56"/>
      <c r="E128" s="46"/>
      <c r="F128" s="50"/>
      <c r="G128" s="51"/>
      <c r="J128" s="71"/>
    </row>
    <row r="129" spans="1:15" x14ac:dyDescent="0.2">
      <c r="A129" s="43"/>
      <c r="B129" s="106" t="s">
        <v>112</v>
      </c>
      <c r="C129" s="107"/>
      <c r="D129" s="29" t="s">
        <v>102</v>
      </c>
      <c r="E129" s="57"/>
      <c r="F129" s="43"/>
      <c r="G129" s="43"/>
      <c r="J129" s="71"/>
    </row>
    <row r="130" spans="1:15" x14ac:dyDescent="0.2">
      <c r="A130" s="43"/>
      <c r="B130" s="106" t="s">
        <v>113</v>
      </c>
      <c r="C130" s="107"/>
      <c r="D130" s="29" t="s">
        <v>102</v>
      </c>
      <c r="E130" s="57"/>
      <c r="F130" s="43"/>
      <c r="G130" s="43"/>
      <c r="J130" s="67"/>
    </row>
    <row r="131" spans="1:15" x14ac:dyDescent="0.2">
      <c r="A131" s="43"/>
      <c r="B131" s="106" t="s">
        <v>537</v>
      </c>
      <c r="C131" s="107"/>
      <c r="D131" s="29" t="s">
        <v>102</v>
      </c>
      <c r="E131" s="57"/>
      <c r="F131" s="43"/>
      <c r="G131" s="43"/>
      <c r="J131" s="67"/>
    </row>
    <row r="132" spans="1:15" x14ac:dyDescent="0.2">
      <c r="A132" s="58"/>
      <c r="B132" s="58"/>
      <c r="C132" s="58"/>
      <c r="D132" s="58"/>
      <c r="E132" s="58"/>
      <c r="F132" s="58"/>
      <c r="G132" s="58"/>
      <c r="J132" s="67"/>
    </row>
    <row r="133" spans="1:15" s="59" customFormat="1" x14ac:dyDescent="0.2">
      <c r="B133" s="113" t="s">
        <v>538</v>
      </c>
      <c r="C133" s="114"/>
      <c r="D133" s="115"/>
      <c r="I133"/>
      <c r="J133" s="67"/>
      <c r="K133" s="32"/>
      <c r="L133" s="32"/>
      <c r="M133" s="32"/>
      <c r="N133" s="32"/>
      <c r="O133" s="32"/>
    </row>
    <row r="134" spans="1:15" s="59" customFormat="1" ht="38.25" x14ac:dyDescent="0.2">
      <c r="B134" s="117" t="s">
        <v>539</v>
      </c>
      <c r="C134" s="117"/>
      <c r="D134" s="60" t="s">
        <v>1</v>
      </c>
      <c r="I134"/>
      <c r="J134" s="67"/>
      <c r="K134" s="32"/>
      <c r="L134" s="32"/>
      <c r="M134" s="32"/>
      <c r="N134" s="32"/>
      <c r="O134" s="32"/>
    </row>
    <row r="135" spans="1:15" s="59" customFormat="1" x14ac:dyDescent="0.2">
      <c r="B135" s="110" t="s">
        <v>540</v>
      </c>
      <c r="C135" s="110"/>
      <c r="D135" s="61"/>
      <c r="I135"/>
      <c r="J135" s="67"/>
      <c r="K135" s="32"/>
      <c r="L135" s="32"/>
      <c r="M135" s="32"/>
      <c r="N135" s="32"/>
      <c r="O135" s="32"/>
    </row>
    <row r="136" spans="1:15" s="59" customFormat="1" x14ac:dyDescent="0.2">
      <c r="B136" s="108"/>
      <c r="C136" s="109"/>
      <c r="D136" s="62"/>
      <c r="I136"/>
      <c r="J136" s="67"/>
      <c r="K136" s="32"/>
      <c r="L136" s="32"/>
      <c r="M136" s="32"/>
      <c r="N136" s="32"/>
      <c r="O136" s="32"/>
    </row>
    <row r="137" spans="1:15" s="59" customFormat="1" x14ac:dyDescent="0.2">
      <c r="B137" s="110" t="s">
        <v>541</v>
      </c>
      <c r="C137" s="110"/>
      <c r="D137" s="63">
        <v>7.3858803449853765</v>
      </c>
      <c r="I137"/>
      <c r="J137" s="67"/>
      <c r="K137" s="32"/>
      <c r="L137" s="32"/>
      <c r="M137" s="32"/>
      <c r="N137" s="32"/>
      <c r="O137" s="32"/>
    </row>
    <row r="138" spans="1:15" s="59" customFormat="1" x14ac:dyDescent="0.2">
      <c r="B138" s="108"/>
      <c r="C138" s="109"/>
      <c r="D138" s="62"/>
      <c r="I138"/>
      <c r="J138" s="67"/>
      <c r="K138" s="32"/>
      <c r="L138" s="32"/>
      <c r="M138" s="32"/>
      <c r="N138" s="32"/>
      <c r="O138" s="32"/>
    </row>
    <row r="139" spans="1:15" s="59" customFormat="1" x14ac:dyDescent="0.2">
      <c r="B139" s="110" t="s">
        <v>542</v>
      </c>
      <c r="C139" s="110"/>
      <c r="D139" s="63">
        <v>4.428649360024802</v>
      </c>
      <c r="I139"/>
      <c r="J139" s="67"/>
      <c r="K139" s="32"/>
      <c r="L139" s="32"/>
      <c r="M139" s="32"/>
      <c r="N139" s="32"/>
      <c r="O139" s="32"/>
    </row>
    <row r="140" spans="1:15" s="59" customFormat="1" x14ac:dyDescent="0.2">
      <c r="B140" s="110" t="s">
        <v>543</v>
      </c>
      <c r="C140" s="110"/>
      <c r="D140" s="63">
        <v>6.0429056523723608</v>
      </c>
      <c r="I140"/>
      <c r="J140" s="67"/>
      <c r="K140" s="32"/>
      <c r="L140" s="32"/>
      <c r="M140" s="32"/>
      <c r="N140" s="32"/>
      <c r="O140" s="32"/>
    </row>
    <row r="141" spans="1:15" s="59" customFormat="1" x14ac:dyDescent="0.2">
      <c r="B141" s="108"/>
      <c r="C141" s="109"/>
      <c r="D141" s="62"/>
      <c r="I141"/>
      <c r="J141" s="67"/>
      <c r="K141" s="32"/>
      <c r="L141" s="32"/>
      <c r="M141" s="32"/>
      <c r="N141" s="32"/>
      <c r="O141" s="32"/>
    </row>
    <row r="142" spans="1:15" s="59" customFormat="1" x14ac:dyDescent="0.2">
      <c r="B142" s="110" t="s">
        <v>544</v>
      </c>
      <c r="C142" s="110"/>
      <c r="D142" s="64" t="s">
        <v>577</v>
      </c>
      <c r="I142"/>
      <c r="J142" s="67"/>
      <c r="K142" s="32"/>
      <c r="L142" s="32"/>
      <c r="M142" s="32"/>
      <c r="N142" s="32"/>
      <c r="O142" s="32"/>
    </row>
    <row r="143" spans="1:15" s="59" customFormat="1" x14ac:dyDescent="0.2">
      <c r="B143" s="108" t="s">
        <v>545</v>
      </c>
      <c r="C143" s="111"/>
      <c r="D143" s="109"/>
      <c r="I143"/>
      <c r="J143" s="67"/>
      <c r="K143" s="32"/>
      <c r="L143" s="32"/>
      <c r="M143" s="32"/>
      <c r="N143" s="32"/>
      <c r="O143" s="32"/>
    </row>
  </sheetData>
  <mergeCells count="25">
    <mergeCell ref="B105:H105"/>
    <mergeCell ref="B129:C129"/>
    <mergeCell ref="B133:D133"/>
    <mergeCell ref="B135:C135"/>
    <mergeCell ref="A1:H1"/>
    <mergeCell ref="A2:H2"/>
    <mergeCell ref="A3:H3"/>
    <mergeCell ref="B103:H103"/>
    <mergeCell ref="B104:H104"/>
    <mergeCell ref="B131:C131"/>
    <mergeCell ref="B134:C134"/>
    <mergeCell ref="B107:D107"/>
    <mergeCell ref="B108:C108"/>
    <mergeCell ref="B109:C109"/>
    <mergeCell ref="B110:C110"/>
    <mergeCell ref="B124:C124"/>
    <mergeCell ref="B130:C130"/>
    <mergeCell ref="B141:C141"/>
    <mergeCell ref="B142:C142"/>
    <mergeCell ref="B143:D143"/>
    <mergeCell ref="B136:C136"/>
    <mergeCell ref="B137:C137"/>
    <mergeCell ref="B138:C138"/>
    <mergeCell ref="B139:C139"/>
    <mergeCell ref="B140:C140"/>
  </mergeCells>
  <hyperlinks>
    <hyperlink ref="I1" location="Index!B2" display="Index" xr:uid="{EA09A4E1-6658-448C-ADD9-090C339CC03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A4B61-DDCB-4B32-9957-4DAF5CA6F421}">
  <sheetPr>
    <outlinePr summaryBelow="0" summaryRight="0"/>
  </sheetPr>
  <dimension ref="A1:R135"/>
  <sheetViews>
    <sheetView showGridLines="0" workbookViewId="0">
      <selection sqref="A1:H1"/>
    </sheetView>
  </sheetViews>
  <sheetFormatPr defaultRowHeight="12.75" x14ac:dyDescent="0.2"/>
  <cols>
    <col min="1" max="1" width="5.85546875" bestFit="1" customWidth="1"/>
    <col min="2" max="2" width="19.28515625" bestFit="1" customWidth="1"/>
    <col min="3" max="3" width="45"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11" customWidth="1"/>
    <col min="11" max="11" width="7.28515625" customWidth="1"/>
  </cols>
  <sheetData>
    <row r="1" spans="1:11" ht="15" x14ac:dyDescent="0.2">
      <c r="A1" s="116" t="s">
        <v>0</v>
      </c>
      <c r="B1" s="116"/>
      <c r="C1" s="116"/>
      <c r="D1" s="116"/>
      <c r="E1" s="116"/>
      <c r="F1" s="116"/>
      <c r="G1" s="116"/>
      <c r="H1" s="116"/>
      <c r="I1" s="7" t="s">
        <v>600</v>
      </c>
      <c r="J1" s="67"/>
      <c r="K1" s="7"/>
    </row>
    <row r="2" spans="1:11" ht="15" x14ac:dyDescent="0.2">
      <c r="A2" s="116" t="s">
        <v>114</v>
      </c>
      <c r="B2" s="116"/>
      <c r="C2" s="116"/>
      <c r="D2" s="116"/>
      <c r="E2" s="116"/>
      <c r="F2" s="116"/>
      <c r="G2" s="116"/>
      <c r="H2" s="116"/>
      <c r="J2" s="68" t="s">
        <v>601</v>
      </c>
    </row>
    <row r="3" spans="1:11" ht="15" x14ac:dyDescent="0.2">
      <c r="A3" s="116" t="s">
        <v>526</v>
      </c>
      <c r="B3" s="116"/>
      <c r="C3" s="116"/>
      <c r="D3" s="116"/>
      <c r="E3" s="116"/>
      <c r="F3" s="116"/>
      <c r="G3" s="116"/>
      <c r="H3" s="116"/>
      <c r="J3" s="67"/>
    </row>
    <row r="4" spans="1:11" s="11" customFormat="1" ht="30" x14ac:dyDescent="0.2">
      <c r="A4" s="12" t="s">
        <v>2</v>
      </c>
      <c r="B4" s="12" t="s">
        <v>3</v>
      </c>
      <c r="C4" s="12" t="s">
        <v>4</v>
      </c>
      <c r="D4" s="12" t="s">
        <v>5</v>
      </c>
      <c r="E4" s="12" t="s">
        <v>6</v>
      </c>
      <c r="F4" s="12" t="s">
        <v>7</v>
      </c>
      <c r="G4" s="12" t="s">
        <v>8</v>
      </c>
      <c r="H4" s="13" t="s">
        <v>527</v>
      </c>
      <c r="J4" s="67"/>
    </row>
    <row r="5" spans="1:11" x14ac:dyDescent="0.2">
      <c r="A5" s="14"/>
      <c r="B5" s="14"/>
      <c r="C5" s="15" t="s">
        <v>9</v>
      </c>
      <c r="D5" s="14"/>
      <c r="E5" s="14"/>
      <c r="F5" s="14"/>
      <c r="G5" s="14"/>
      <c r="H5" s="16" t="s">
        <v>12</v>
      </c>
      <c r="J5" s="67"/>
    </row>
    <row r="6" spans="1:11" x14ac:dyDescent="0.2">
      <c r="A6" s="14"/>
      <c r="B6" s="14"/>
      <c r="C6" s="15" t="s">
        <v>10</v>
      </c>
      <c r="D6" s="14"/>
      <c r="E6" s="14"/>
      <c r="F6" s="14"/>
      <c r="G6" s="14"/>
      <c r="H6" s="16" t="s">
        <v>12</v>
      </c>
      <c r="J6" s="67"/>
    </row>
    <row r="7" spans="1:11" x14ac:dyDescent="0.2">
      <c r="A7" s="14"/>
      <c r="B7" s="14"/>
      <c r="C7" s="15" t="s">
        <v>11</v>
      </c>
      <c r="D7" s="14"/>
      <c r="E7" s="14" t="s">
        <v>12</v>
      </c>
      <c r="F7" s="17" t="s">
        <v>13</v>
      </c>
      <c r="G7" s="18">
        <v>0</v>
      </c>
      <c r="H7" s="16" t="s">
        <v>12</v>
      </c>
      <c r="J7" s="67"/>
    </row>
    <row r="8" spans="1:11" x14ac:dyDescent="0.2">
      <c r="A8" s="14"/>
      <c r="B8" s="14"/>
      <c r="C8" s="19"/>
      <c r="D8" s="14"/>
      <c r="E8" s="14"/>
      <c r="F8" s="20"/>
      <c r="G8" s="20"/>
      <c r="H8" s="16" t="s">
        <v>12</v>
      </c>
      <c r="J8" s="67"/>
    </row>
    <row r="9" spans="1:11" x14ac:dyDescent="0.2">
      <c r="A9" s="14"/>
      <c r="B9" s="14"/>
      <c r="C9" s="15" t="s">
        <v>14</v>
      </c>
      <c r="D9" s="14"/>
      <c r="E9" s="14"/>
      <c r="F9" s="14"/>
      <c r="G9" s="14"/>
      <c r="H9" s="16" t="s">
        <v>12</v>
      </c>
      <c r="J9" s="67"/>
    </row>
    <row r="10" spans="1:11" x14ac:dyDescent="0.2">
      <c r="A10" s="14"/>
      <c r="B10" s="14"/>
      <c r="C10" s="15" t="s">
        <v>11</v>
      </c>
      <c r="D10" s="14"/>
      <c r="E10" s="14" t="s">
        <v>12</v>
      </c>
      <c r="F10" s="17" t="s">
        <v>13</v>
      </c>
      <c r="G10" s="18">
        <v>0</v>
      </c>
      <c r="H10" s="16" t="s">
        <v>12</v>
      </c>
      <c r="J10" s="67"/>
    </row>
    <row r="11" spans="1:11" x14ac:dyDescent="0.2">
      <c r="A11" s="14"/>
      <c r="B11" s="14"/>
      <c r="C11" s="19"/>
      <c r="D11" s="14"/>
      <c r="E11" s="14"/>
      <c r="F11" s="20"/>
      <c r="G11" s="20"/>
      <c r="H11" s="16" t="s">
        <v>12</v>
      </c>
      <c r="J11" s="67"/>
    </row>
    <row r="12" spans="1:11" ht="15" x14ac:dyDescent="0.2">
      <c r="A12" s="14"/>
      <c r="B12" s="14"/>
      <c r="C12" s="15" t="s">
        <v>15</v>
      </c>
      <c r="D12" s="14"/>
      <c r="E12" s="14"/>
      <c r="F12" s="14"/>
      <c r="G12" s="14"/>
      <c r="H12" s="16" t="s">
        <v>12</v>
      </c>
      <c r="J12" s="69"/>
    </row>
    <row r="13" spans="1:11" x14ac:dyDescent="0.2">
      <c r="A13" s="14"/>
      <c r="B13" s="14"/>
      <c r="C13" s="15" t="s">
        <v>11</v>
      </c>
      <c r="D13" s="14"/>
      <c r="E13" s="14" t="s">
        <v>12</v>
      </c>
      <c r="F13" s="17" t="s">
        <v>13</v>
      </c>
      <c r="G13" s="18">
        <v>0</v>
      </c>
      <c r="H13" s="16" t="s">
        <v>12</v>
      </c>
      <c r="J13" s="70"/>
    </row>
    <row r="14" spans="1:11" x14ac:dyDescent="0.2">
      <c r="A14" s="14"/>
      <c r="B14" s="14"/>
      <c r="C14" s="19"/>
      <c r="D14" s="14"/>
      <c r="E14" s="14"/>
      <c r="F14" s="20"/>
      <c r="G14" s="20"/>
      <c r="H14" s="16" t="s">
        <v>12</v>
      </c>
      <c r="J14" s="70"/>
    </row>
    <row r="15" spans="1:11" ht="25.5" x14ac:dyDescent="0.2">
      <c r="A15" s="14"/>
      <c r="B15" s="14"/>
      <c r="C15" s="15" t="s">
        <v>16</v>
      </c>
      <c r="D15" s="14"/>
      <c r="E15" s="14"/>
      <c r="F15" s="14"/>
      <c r="G15" s="14"/>
      <c r="H15" s="16" t="s">
        <v>12</v>
      </c>
      <c r="J15" s="70" t="s">
        <v>604</v>
      </c>
    </row>
    <row r="16" spans="1:11" x14ac:dyDescent="0.2">
      <c r="A16" s="14"/>
      <c r="B16" s="14"/>
      <c r="C16" s="15" t="s">
        <v>11</v>
      </c>
      <c r="D16" s="14"/>
      <c r="E16" s="14" t="s">
        <v>12</v>
      </c>
      <c r="F16" s="17" t="s">
        <v>13</v>
      </c>
      <c r="G16" s="18">
        <v>0</v>
      </c>
      <c r="H16" s="16" t="s">
        <v>12</v>
      </c>
      <c r="J16" s="67"/>
    </row>
    <row r="17" spans="1:10" x14ac:dyDescent="0.2">
      <c r="A17" s="14"/>
      <c r="B17" s="14"/>
      <c r="C17" s="19"/>
      <c r="D17" s="14"/>
      <c r="E17" s="14"/>
      <c r="F17" s="20"/>
      <c r="G17" s="20"/>
      <c r="H17" s="16" t="s">
        <v>12</v>
      </c>
      <c r="J17" s="67"/>
    </row>
    <row r="18" spans="1:10" x14ac:dyDescent="0.2">
      <c r="A18" s="14"/>
      <c r="B18" s="14"/>
      <c r="C18" s="15" t="s">
        <v>17</v>
      </c>
      <c r="D18" s="14"/>
      <c r="E18" s="14"/>
      <c r="F18" s="20"/>
      <c r="G18" s="20"/>
      <c r="H18" s="16" t="s">
        <v>12</v>
      </c>
      <c r="J18" s="67"/>
    </row>
    <row r="19" spans="1:10" x14ac:dyDescent="0.2">
      <c r="A19" s="14"/>
      <c r="B19" s="14"/>
      <c r="C19" s="15" t="s">
        <v>11</v>
      </c>
      <c r="D19" s="14"/>
      <c r="E19" s="14" t="s">
        <v>12</v>
      </c>
      <c r="F19" s="17" t="s">
        <v>13</v>
      </c>
      <c r="G19" s="18">
        <v>0</v>
      </c>
      <c r="H19" s="16" t="s">
        <v>12</v>
      </c>
      <c r="J19" s="67"/>
    </row>
    <row r="20" spans="1:10" x14ac:dyDescent="0.2">
      <c r="A20" s="14"/>
      <c r="B20" s="14"/>
      <c r="C20" s="19"/>
      <c r="D20" s="14"/>
      <c r="E20" s="14"/>
      <c r="F20" s="20"/>
      <c r="G20" s="20"/>
      <c r="H20" s="16" t="s">
        <v>12</v>
      </c>
      <c r="J20" s="67"/>
    </row>
    <row r="21" spans="1:10" x14ac:dyDescent="0.2">
      <c r="A21" s="14"/>
      <c r="B21" s="14"/>
      <c r="C21" s="15" t="s">
        <v>18</v>
      </c>
      <c r="D21" s="14"/>
      <c r="E21" s="14"/>
      <c r="F21" s="20"/>
      <c r="G21" s="20"/>
      <c r="H21" s="16" t="s">
        <v>12</v>
      </c>
      <c r="J21" s="67"/>
    </row>
    <row r="22" spans="1:10" ht="15" x14ac:dyDescent="0.2">
      <c r="A22" s="14"/>
      <c r="B22" s="14"/>
      <c r="C22" s="15" t="s">
        <v>11</v>
      </c>
      <c r="D22" s="14"/>
      <c r="E22" s="14" t="s">
        <v>12</v>
      </c>
      <c r="F22" s="17" t="s">
        <v>13</v>
      </c>
      <c r="G22" s="18">
        <v>0</v>
      </c>
      <c r="H22" s="16" t="s">
        <v>12</v>
      </c>
      <c r="J22" s="69"/>
    </row>
    <row r="23" spans="1:10" x14ac:dyDescent="0.2">
      <c r="A23" s="14"/>
      <c r="B23" s="14"/>
      <c r="C23" s="19"/>
      <c r="D23" s="14"/>
      <c r="E23" s="14"/>
      <c r="F23" s="20"/>
      <c r="G23" s="20"/>
      <c r="H23" s="16" t="s">
        <v>12</v>
      </c>
      <c r="J23" s="70"/>
    </row>
    <row r="24" spans="1:10" x14ac:dyDescent="0.2">
      <c r="A24" s="14"/>
      <c r="B24" s="14"/>
      <c r="C24" s="15" t="s">
        <v>19</v>
      </c>
      <c r="D24" s="14"/>
      <c r="E24" s="14"/>
      <c r="F24" s="21">
        <v>0</v>
      </c>
      <c r="G24" s="18">
        <v>0</v>
      </c>
      <c r="H24" s="16" t="s">
        <v>12</v>
      </c>
      <c r="J24" s="67"/>
    </row>
    <row r="25" spans="1:10" x14ac:dyDescent="0.2">
      <c r="A25" s="14"/>
      <c r="B25" s="14"/>
      <c r="C25" s="19"/>
      <c r="D25" s="14"/>
      <c r="E25" s="14"/>
      <c r="F25" s="20"/>
      <c r="G25" s="20"/>
      <c r="H25" s="16" t="s">
        <v>12</v>
      </c>
      <c r="J25" s="67"/>
    </row>
    <row r="26" spans="1:10" x14ac:dyDescent="0.2">
      <c r="A26" s="14"/>
      <c r="B26" s="14"/>
      <c r="C26" s="15" t="s">
        <v>20</v>
      </c>
      <c r="D26" s="14"/>
      <c r="E26" s="14"/>
      <c r="F26" s="20"/>
      <c r="G26" s="20"/>
      <c r="H26" s="16" t="s">
        <v>12</v>
      </c>
      <c r="J26" s="67"/>
    </row>
    <row r="27" spans="1:10" x14ac:dyDescent="0.2">
      <c r="A27" s="14"/>
      <c r="B27" s="14"/>
      <c r="C27" s="15" t="s">
        <v>10</v>
      </c>
      <c r="D27" s="14"/>
      <c r="E27" s="14"/>
      <c r="F27" s="20"/>
      <c r="G27" s="20"/>
      <c r="H27" s="16" t="s">
        <v>12</v>
      </c>
      <c r="J27" s="70"/>
    </row>
    <row r="28" spans="1:10" ht="25.5" x14ac:dyDescent="0.2">
      <c r="A28" s="22">
        <v>1</v>
      </c>
      <c r="B28" s="23" t="s">
        <v>49</v>
      </c>
      <c r="C28" s="23" t="s">
        <v>50</v>
      </c>
      <c r="D28" s="23" t="s">
        <v>32</v>
      </c>
      <c r="E28" s="24">
        <v>300</v>
      </c>
      <c r="F28" s="25">
        <v>3005.6849999999999</v>
      </c>
      <c r="G28" s="26">
        <v>9.0332229999999999E-2</v>
      </c>
      <c r="H28" s="16">
        <v>7.3550000000000004</v>
      </c>
      <c r="J28" s="70" t="s">
        <v>603</v>
      </c>
    </row>
    <row r="29" spans="1:10" x14ac:dyDescent="0.2">
      <c r="A29" s="22">
        <v>2</v>
      </c>
      <c r="B29" s="23" t="s">
        <v>115</v>
      </c>
      <c r="C29" s="23" t="s">
        <v>116</v>
      </c>
      <c r="D29" s="23" t="s">
        <v>32</v>
      </c>
      <c r="E29" s="24">
        <v>250</v>
      </c>
      <c r="F29" s="25">
        <v>2503.8575000000001</v>
      </c>
      <c r="G29" s="26">
        <v>7.5250410000000004E-2</v>
      </c>
      <c r="H29" s="16">
        <v>7.4775</v>
      </c>
      <c r="J29" s="70"/>
    </row>
    <row r="30" spans="1:10" x14ac:dyDescent="0.2">
      <c r="A30" s="22">
        <v>3</v>
      </c>
      <c r="B30" s="23" t="s">
        <v>117</v>
      </c>
      <c r="C30" s="23" t="s">
        <v>118</v>
      </c>
      <c r="D30" s="23" t="s">
        <v>32</v>
      </c>
      <c r="E30" s="24">
        <v>250</v>
      </c>
      <c r="F30" s="25">
        <v>2457.1824999999999</v>
      </c>
      <c r="G30" s="26">
        <v>7.3847650000000001E-2</v>
      </c>
      <c r="H30" s="16">
        <v>7.6349999999999998</v>
      </c>
      <c r="J30" s="67"/>
    </row>
    <row r="31" spans="1:10" x14ac:dyDescent="0.2">
      <c r="A31" s="22">
        <v>4</v>
      </c>
      <c r="B31" s="23" t="s">
        <v>119</v>
      </c>
      <c r="C31" s="23" t="s">
        <v>120</v>
      </c>
      <c r="D31" s="23" t="s">
        <v>23</v>
      </c>
      <c r="E31" s="24">
        <v>2000</v>
      </c>
      <c r="F31" s="25">
        <v>2006.434</v>
      </c>
      <c r="G31" s="26">
        <v>6.0300949999999999E-2</v>
      </c>
      <c r="H31" s="16">
        <v>7.45</v>
      </c>
      <c r="J31" s="67"/>
    </row>
    <row r="32" spans="1:10" ht="25.5" x14ac:dyDescent="0.2">
      <c r="A32" s="22">
        <v>5</v>
      </c>
      <c r="B32" s="23" t="s">
        <v>121</v>
      </c>
      <c r="C32" s="23" t="s">
        <v>122</v>
      </c>
      <c r="D32" s="23" t="s">
        <v>32</v>
      </c>
      <c r="E32" s="24">
        <v>200</v>
      </c>
      <c r="F32" s="25">
        <v>1995.7239999999999</v>
      </c>
      <c r="G32" s="26">
        <v>5.9979070000000002E-2</v>
      </c>
      <c r="H32" s="16">
        <v>7.6887999999999996</v>
      </c>
      <c r="J32" s="67"/>
    </row>
    <row r="33" spans="1:10" x14ac:dyDescent="0.2">
      <c r="A33" s="22">
        <v>6</v>
      </c>
      <c r="B33" s="23" t="s">
        <v>123</v>
      </c>
      <c r="C33" s="23" t="s">
        <v>124</v>
      </c>
      <c r="D33" s="23" t="s">
        <v>32</v>
      </c>
      <c r="E33" s="24">
        <v>200</v>
      </c>
      <c r="F33" s="25">
        <v>1946.086</v>
      </c>
      <c r="G33" s="26">
        <v>5.8487259999999999E-2</v>
      </c>
      <c r="H33" s="16">
        <v>7.6013999999999999</v>
      </c>
      <c r="J33" s="67"/>
    </row>
    <row r="34" spans="1:10" ht="25.5" x14ac:dyDescent="0.2">
      <c r="A34" s="22">
        <v>7</v>
      </c>
      <c r="B34" s="23" t="s">
        <v>33</v>
      </c>
      <c r="C34" s="23" t="s">
        <v>34</v>
      </c>
      <c r="D34" s="23" t="s">
        <v>23</v>
      </c>
      <c r="E34" s="24">
        <v>1500</v>
      </c>
      <c r="F34" s="25">
        <v>1506.5954999999999</v>
      </c>
      <c r="G34" s="26">
        <v>4.5278909999999999E-2</v>
      </c>
      <c r="H34" s="16">
        <v>7.49</v>
      </c>
      <c r="J34" s="67"/>
    </row>
    <row r="35" spans="1:10" ht="25.5" x14ac:dyDescent="0.2">
      <c r="A35" s="22">
        <v>8</v>
      </c>
      <c r="B35" s="23" t="s">
        <v>125</v>
      </c>
      <c r="C35" s="23" t="s">
        <v>126</v>
      </c>
      <c r="D35" s="23" t="s">
        <v>32</v>
      </c>
      <c r="E35" s="24">
        <v>150</v>
      </c>
      <c r="F35" s="25">
        <v>1493.8679999999999</v>
      </c>
      <c r="G35" s="26">
        <v>4.4896400000000003E-2</v>
      </c>
      <c r="H35" s="16">
        <v>7.665</v>
      </c>
      <c r="J35" s="67"/>
    </row>
    <row r="36" spans="1:10" ht="25.5" x14ac:dyDescent="0.2">
      <c r="A36" s="22">
        <v>9</v>
      </c>
      <c r="B36" s="23" t="s">
        <v>43</v>
      </c>
      <c r="C36" s="23" t="s">
        <v>44</v>
      </c>
      <c r="D36" s="23" t="s">
        <v>23</v>
      </c>
      <c r="E36" s="24">
        <v>1500</v>
      </c>
      <c r="F36" s="25">
        <v>1492.809</v>
      </c>
      <c r="G36" s="26">
        <v>4.4864569999999999E-2</v>
      </c>
      <c r="H36" s="16">
        <v>7.48</v>
      </c>
      <c r="J36" s="67"/>
    </row>
    <row r="37" spans="1:10" ht="25.5" x14ac:dyDescent="0.2">
      <c r="A37" s="22">
        <v>10</v>
      </c>
      <c r="B37" s="23" t="s">
        <v>24</v>
      </c>
      <c r="C37" s="23" t="s">
        <v>25</v>
      </c>
      <c r="D37" s="23" t="s">
        <v>23</v>
      </c>
      <c r="E37" s="24">
        <v>1000</v>
      </c>
      <c r="F37" s="25">
        <v>1003.496</v>
      </c>
      <c r="G37" s="26">
        <v>3.0158859999999999E-2</v>
      </c>
      <c r="H37" s="16">
        <v>7.3</v>
      </c>
      <c r="J37" s="67"/>
    </row>
    <row r="38" spans="1:10" ht="25.5" x14ac:dyDescent="0.2">
      <c r="A38" s="22">
        <v>11</v>
      </c>
      <c r="B38" s="23" t="s">
        <v>127</v>
      </c>
      <c r="C38" s="23" t="s">
        <v>128</v>
      </c>
      <c r="D38" s="23" t="s">
        <v>23</v>
      </c>
      <c r="E38" s="24">
        <v>1000</v>
      </c>
      <c r="F38" s="25">
        <v>1002.244</v>
      </c>
      <c r="G38" s="26">
        <v>3.0121229999999999E-2</v>
      </c>
      <c r="H38" s="16">
        <v>7.31</v>
      </c>
      <c r="J38" s="67"/>
    </row>
    <row r="39" spans="1:10" ht="25.5" x14ac:dyDescent="0.2">
      <c r="A39" s="22">
        <v>12</v>
      </c>
      <c r="B39" s="23" t="s">
        <v>129</v>
      </c>
      <c r="C39" s="23" t="s">
        <v>130</v>
      </c>
      <c r="D39" s="23" t="s">
        <v>23</v>
      </c>
      <c r="E39" s="24">
        <v>500</v>
      </c>
      <c r="F39" s="25">
        <v>503.827</v>
      </c>
      <c r="G39" s="26">
        <v>1.514191E-2</v>
      </c>
      <c r="H39" s="16">
        <v>7.3131000000000004</v>
      </c>
      <c r="J39" s="67"/>
    </row>
    <row r="40" spans="1:10" x14ac:dyDescent="0.2">
      <c r="A40" s="22">
        <v>13</v>
      </c>
      <c r="B40" s="23" t="s">
        <v>47</v>
      </c>
      <c r="C40" s="23" t="s">
        <v>48</v>
      </c>
      <c r="D40" s="23" t="s">
        <v>23</v>
      </c>
      <c r="E40" s="24">
        <v>500</v>
      </c>
      <c r="F40" s="25">
        <v>503.61099999999999</v>
      </c>
      <c r="G40" s="26">
        <v>1.513542E-2</v>
      </c>
      <c r="H40" s="16">
        <v>7.3977000000000004</v>
      </c>
      <c r="J40" s="67"/>
    </row>
    <row r="41" spans="1:10" ht="25.5" x14ac:dyDescent="0.2">
      <c r="A41" s="22">
        <v>14</v>
      </c>
      <c r="B41" s="23" t="s">
        <v>131</v>
      </c>
      <c r="C41" s="23" t="s">
        <v>132</v>
      </c>
      <c r="D41" s="23" t="s">
        <v>23</v>
      </c>
      <c r="E41" s="24">
        <v>500</v>
      </c>
      <c r="F41" s="25">
        <v>501.98849999999999</v>
      </c>
      <c r="G41" s="26">
        <v>1.508666E-2</v>
      </c>
      <c r="H41" s="16">
        <v>7.48</v>
      </c>
      <c r="J41" s="67"/>
    </row>
    <row r="42" spans="1:10" x14ac:dyDescent="0.2">
      <c r="A42" s="22">
        <v>15</v>
      </c>
      <c r="B42" s="23" t="s">
        <v>55</v>
      </c>
      <c r="C42" s="23" t="s">
        <v>56</v>
      </c>
      <c r="D42" s="23" t="s">
        <v>23</v>
      </c>
      <c r="E42" s="24">
        <v>500</v>
      </c>
      <c r="F42" s="25">
        <v>501.54649999999998</v>
      </c>
      <c r="G42" s="26">
        <v>1.5073370000000001E-2</v>
      </c>
      <c r="H42" s="16">
        <v>7.5949999999999998</v>
      </c>
      <c r="J42" s="67"/>
    </row>
    <row r="43" spans="1:10" x14ac:dyDescent="0.2">
      <c r="A43" s="22">
        <v>16</v>
      </c>
      <c r="B43" s="23" t="s">
        <v>37</v>
      </c>
      <c r="C43" s="23" t="s">
        <v>38</v>
      </c>
      <c r="D43" s="23" t="s">
        <v>23</v>
      </c>
      <c r="E43" s="24">
        <v>500</v>
      </c>
      <c r="F43" s="25">
        <v>500.36849999999998</v>
      </c>
      <c r="G43" s="26">
        <v>1.5037969999999999E-2</v>
      </c>
      <c r="H43" s="16">
        <v>7.3118999999999996</v>
      </c>
      <c r="J43" s="67"/>
    </row>
    <row r="44" spans="1:10" x14ac:dyDescent="0.2">
      <c r="A44" s="22">
        <v>17</v>
      </c>
      <c r="B44" s="23" t="s">
        <v>133</v>
      </c>
      <c r="C44" s="23" t="s">
        <v>134</v>
      </c>
      <c r="D44" s="23" t="s">
        <v>23</v>
      </c>
      <c r="E44" s="24">
        <v>500</v>
      </c>
      <c r="F44" s="25">
        <v>499.904</v>
      </c>
      <c r="G44" s="26">
        <v>1.5024010000000001E-2</v>
      </c>
      <c r="H44" s="16">
        <v>8.0749999999999993</v>
      </c>
      <c r="J44" s="67"/>
    </row>
    <row r="45" spans="1:10" ht="25.5" x14ac:dyDescent="0.2">
      <c r="A45" s="22">
        <v>18</v>
      </c>
      <c r="B45" s="23" t="s">
        <v>135</v>
      </c>
      <c r="C45" s="23" t="s">
        <v>136</v>
      </c>
      <c r="D45" s="23" t="s">
        <v>32</v>
      </c>
      <c r="E45" s="24">
        <v>50</v>
      </c>
      <c r="F45" s="25">
        <v>497.77749999999997</v>
      </c>
      <c r="G45" s="26">
        <v>1.49601E-2</v>
      </c>
      <c r="H45" s="16">
        <v>7.8274999999999997</v>
      </c>
      <c r="J45" s="67"/>
    </row>
    <row r="46" spans="1:10" x14ac:dyDescent="0.2">
      <c r="A46" s="14"/>
      <c r="B46" s="14"/>
      <c r="C46" s="15" t="s">
        <v>11</v>
      </c>
      <c r="D46" s="14"/>
      <c r="E46" s="14" t="s">
        <v>12</v>
      </c>
      <c r="F46" s="21">
        <v>23923.004499999999</v>
      </c>
      <c r="G46" s="18">
        <v>0.71897697999999999</v>
      </c>
      <c r="H46" s="16" t="s">
        <v>12</v>
      </c>
      <c r="J46" s="67"/>
    </row>
    <row r="47" spans="1:10" x14ac:dyDescent="0.2">
      <c r="A47" s="14"/>
      <c r="B47" s="14"/>
      <c r="C47" s="19"/>
      <c r="D47" s="14"/>
      <c r="E47" s="14"/>
      <c r="F47" s="20"/>
      <c r="G47" s="20"/>
      <c r="H47" s="16" t="s">
        <v>12</v>
      </c>
      <c r="J47" s="67"/>
    </row>
    <row r="48" spans="1:10" x14ac:dyDescent="0.2">
      <c r="A48" s="14"/>
      <c r="B48" s="14"/>
      <c r="C48" s="15" t="s">
        <v>67</v>
      </c>
      <c r="D48" s="14"/>
      <c r="E48" s="14"/>
      <c r="F48" s="14"/>
      <c r="G48" s="14"/>
      <c r="H48" s="16" t="s">
        <v>12</v>
      </c>
      <c r="J48" s="67"/>
    </row>
    <row r="49" spans="1:10" x14ac:dyDescent="0.2">
      <c r="A49" s="14"/>
      <c r="B49" s="14"/>
      <c r="C49" s="15" t="s">
        <v>11</v>
      </c>
      <c r="D49" s="14"/>
      <c r="E49" s="14" t="s">
        <v>12</v>
      </c>
      <c r="F49" s="17" t="s">
        <v>13</v>
      </c>
      <c r="G49" s="18">
        <v>0</v>
      </c>
      <c r="H49" s="16" t="s">
        <v>12</v>
      </c>
      <c r="J49" s="67"/>
    </row>
    <row r="50" spans="1:10" x14ac:dyDescent="0.2">
      <c r="A50" s="14"/>
      <c r="B50" s="14"/>
      <c r="C50" s="19"/>
      <c r="D50" s="14"/>
      <c r="E50" s="14"/>
      <c r="F50" s="20"/>
      <c r="G50" s="20"/>
      <c r="H50" s="16" t="s">
        <v>12</v>
      </c>
      <c r="J50" s="67"/>
    </row>
    <row r="51" spans="1:10" x14ac:dyDescent="0.2">
      <c r="A51" s="14"/>
      <c r="B51" s="14"/>
      <c r="C51" s="15" t="s">
        <v>68</v>
      </c>
      <c r="D51" s="14"/>
      <c r="E51" s="14"/>
      <c r="F51" s="14"/>
      <c r="G51" s="14"/>
      <c r="H51" s="16" t="s">
        <v>12</v>
      </c>
      <c r="J51" s="67"/>
    </row>
    <row r="52" spans="1:10" x14ac:dyDescent="0.2">
      <c r="A52" s="22">
        <v>1</v>
      </c>
      <c r="B52" s="23" t="s">
        <v>69</v>
      </c>
      <c r="C52" s="23" t="s">
        <v>70</v>
      </c>
      <c r="D52" s="23" t="s">
        <v>71</v>
      </c>
      <c r="E52" s="24">
        <v>4500000</v>
      </c>
      <c r="F52" s="25">
        <v>4584.78</v>
      </c>
      <c r="G52" s="26">
        <v>0.13779002000000001</v>
      </c>
      <c r="H52" s="16">
        <v>7.0125000000000002</v>
      </c>
      <c r="J52" s="67"/>
    </row>
    <row r="53" spans="1:10" x14ac:dyDescent="0.2">
      <c r="A53" s="22">
        <v>2</v>
      </c>
      <c r="B53" s="23" t="s">
        <v>72</v>
      </c>
      <c r="C53" s="23" t="s">
        <v>73</v>
      </c>
      <c r="D53" s="23" t="s">
        <v>71</v>
      </c>
      <c r="E53" s="24">
        <v>1500000</v>
      </c>
      <c r="F53" s="25">
        <v>1537.0364999999999</v>
      </c>
      <c r="G53" s="26">
        <v>4.6193779999999997E-2</v>
      </c>
      <c r="H53" s="16">
        <v>6.9383999999999997</v>
      </c>
      <c r="J53" s="67"/>
    </row>
    <row r="54" spans="1:10" x14ac:dyDescent="0.2">
      <c r="A54" s="22">
        <v>3</v>
      </c>
      <c r="B54" s="23" t="s">
        <v>78</v>
      </c>
      <c r="C54" s="23" t="s">
        <v>79</v>
      </c>
      <c r="D54" s="23" t="s">
        <v>71</v>
      </c>
      <c r="E54" s="24">
        <v>800000</v>
      </c>
      <c r="F54" s="25">
        <v>813.09119999999996</v>
      </c>
      <c r="G54" s="26">
        <v>2.4436469999999998E-2</v>
      </c>
      <c r="H54" s="16">
        <v>6.9809000000000001</v>
      </c>
      <c r="J54" s="67"/>
    </row>
    <row r="55" spans="1:10" x14ac:dyDescent="0.2">
      <c r="A55" s="22">
        <v>4</v>
      </c>
      <c r="B55" s="23" t="s">
        <v>74</v>
      </c>
      <c r="C55" s="23" t="s">
        <v>75</v>
      </c>
      <c r="D55" s="23" t="s">
        <v>71</v>
      </c>
      <c r="E55" s="24">
        <v>500000</v>
      </c>
      <c r="F55" s="25">
        <v>518.44349999999997</v>
      </c>
      <c r="G55" s="26">
        <v>1.558119E-2</v>
      </c>
      <c r="H55" s="16">
        <v>7.1218000000000004</v>
      </c>
      <c r="J55" s="67"/>
    </row>
    <row r="56" spans="1:10" x14ac:dyDescent="0.2">
      <c r="A56" s="22">
        <v>5</v>
      </c>
      <c r="B56" s="23" t="s">
        <v>137</v>
      </c>
      <c r="C56" s="23" t="s">
        <v>138</v>
      </c>
      <c r="D56" s="23" t="s">
        <v>71</v>
      </c>
      <c r="E56" s="24">
        <v>500000</v>
      </c>
      <c r="F56" s="25">
        <v>514.27200000000005</v>
      </c>
      <c r="G56" s="26">
        <v>1.545582E-2</v>
      </c>
      <c r="H56" s="16">
        <v>7.0350000000000001</v>
      </c>
      <c r="J56" s="67"/>
    </row>
    <row r="57" spans="1:10" x14ac:dyDescent="0.2">
      <c r="A57" s="14"/>
      <c r="B57" s="14"/>
      <c r="C57" s="15" t="s">
        <v>11</v>
      </c>
      <c r="D57" s="14"/>
      <c r="E57" s="14" t="s">
        <v>12</v>
      </c>
      <c r="F57" s="21">
        <v>7967.6232</v>
      </c>
      <c r="G57" s="18">
        <v>0.23945727999999999</v>
      </c>
      <c r="H57" s="16" t="s">
        <v>12</v>
      </c>
      <c r="J57" s="67"/>
    </row>
    <row r="58" spans="1:10" x14ac:dyDescent="0.2">
      <c r="A58" s="14"/>
      <c r="B58" s="14"/>
      <c r="C58" s="19"/>
      <c r="D58" s="14"/>
      <c r="E58" s="14"/>
      <c r="F58" s="20"/>
      <c r="G58" s="20"/>
      <c r="H58" s="16" t="s">
        <v>12</v>
      </c>
      <c r="J58" s="67"/>
    </row>
    <row r="59" spans="1:10" x14ac:dyDescent="0.2">
      <c r="A59" s="14"/>
      <c r="B59" s="14"/>
      <c r="C59" s="15" t="s">
        <v>82</v>
      </c>
      <c r="D59" s="14"/>
      <c r="E59" s="14"/>
      <c r="F59" s="20"/>
      <c r="G59" s="20"/>
      <c r="H59" s="16" t="s">
        <v>12</v>
      </c>
      <c r="J59" s="67"/>
    </row>
    <row r="60" spans="1:10" x14ac:dyDescent="0.2">
      <c r="A60" s="14"/>
      <c r="B60" s="14"/>
      <c r="C60" s="15" t="s">
        <v>11</v>
      </c>
      <c r="D60" s="14"/>
      <c r="E60" s="14" t="s">
        <v>12</v>
      </c>
      <c r="F60" s="17" t="s">
        <v>13</v>
      </c>
      <c r="G60" s="18">
        <v>0</v>
      </c>
      <c r="H60" s="16" t="s">
        <v>12</v>
      </c>
      <c r="J60" s="67"/>
    </row>
    <row r="61" spans="1:10" x14ac:dyDescent="0.2">
      <c r="A61" s="14"/>
      <c r="B61" s="14"/>
      <c r="C61" s="19"/>
      <c r="D61" s="14"/>
      <c r="E61" s="14"/>
      <c r="F61" s="20"/>
      <c r="G61" s="20"/>
      <c r="H61" s="16" t="s">
        <v>12</v>
      </c>
      <c r="J61" s="67"/>
    </row>
    <row r="62" spans="1:10" x14ac:dyDescent="0.2">
      <c r="A62" s="14"/>
      <c r="B62" s="14"/>
      <c r="C62" s="15" t="s">
        <v>83</v>
      </c>
      <c r="D62" s="14"/>
      <c r="E62" s="14"/>
      <c r="F62" s="21">
        <v>31890.627700000001</v>
      </c>
      <c r="G62" s="18">
        <v>0.95843425999999998</v>
      </c>
      <c r="H62" s="16" t="s">
        <v>12</v>
      </c>
      <c r="J62" s="67"/>
    </row>
    <row r="63" spans="1:10" x14ac:dyDescent="0.2">
      <c r="A63" s="14"/>
      <c r="B63" s="14"/>
      <c r="C63" s="19"/>
      <c r="D63" s="14"/>
      <c r="E63" s="14"/>
      <c r="F63" s="20"/>
      <c r="G63" s="20"/>
      <c r="H63" s="16" t="s">
        <v>12</v>
      </c>
      <c r="J63" s="67"/>
    </row>
    <row r="64" spans="1:10" x14ac:dyDescent="0.2">
      <c r="A64" s="14"/>
      <c r="B64" s="14"/>
      <c r="C64" s="15" t="s">
        <v>84</v>
      </c>
      <c r="D64" s="14"/>
      <c r="E64" s="14"/>
      <c r="F64" s="20"/>
      <c r="G64" s="20"/>
      <c r="H64" s="16" t="s">
        <v>12</v>
      </c>
      <c r="J64" s="67"/>
    </row>
    <row r="65" spans="1:10" x14ac:dyDescent="0.2">
      <c r="A65" s="14"/>
      <c r="B65" s="14"/>
      <c r="C65" s="15" t="s">
        <v>85</v>
      </c>
      <c r="D65" s="14"/>
      <c r="E65" s="14"/>
      <c r="F65" s="20"/>
      <c r="G65" s="20"/>
      <c r="H65" s="16" t="s">
        <v>12</v>
      </c>
      <c r="J65" s="67"/>
    </row>
    <row r="66" spans="1:10" x14ac:dyDescent="0.2">
      <c r="A66" s="14"/>
      <c r="B66" s="14"/>
      <c r="C66" s="15" t="s">
        <v>11</v>
      </c>
      <c r="D66" s="14"/>
      <c r="E66" s="14" t="s">
        <v>12</v>
      </c>
      <c r="F66" s="17" t="s">
        <v>13</v>
      </c>
      <c r="G66" s="18">
        <v>0</v>
      </c>
      <c r="H66" s="16" t="s">
        <v>12</v>
      </c>
      <c r="J66" s="67"/>
    </row>
    <row r="67" spans="1:10" x14ac:dyDescent="0.2">
      <c r="A67" s="14"/>
      <c r="B67" s="14"/>
      <c r="C67" s="19"/>
      <c r="D67" s="14"/>
      <c r="E67" s="14"/>
      <c r="F67" s="20"/>
      <c r="G67" s="20"/>
      <c r="H67" s="16" t="s">
        <v>12</v>
      </c>
      <c r="J67" s="67"/>
    </row>
    <row r="68" spans="1:10" x14ac:dyDescent="0.2">
      <c r="A68" s="14"/>
      <c r="B68" s="14"/>
      <c r="C68" s="15" t="s">
        <v>86</v>
      </c>
      <c r="D68" s="14"/>
      <c r="E68" s="14"/>
      <c r="F68" s="20"/>
      <c r="G68" s="20"/>
      <c r="H68" s="16" t="s">
        <v>12</v>
      </c>
      <c r="J68" s="67"/>
    </row>
    <row r="69" spans="1:10" x14ac:dyDescent="0.2">
      <c r="A69" s="14"/>
      <c r="B69" s="14"/>
      <c r="C69" s="15" t="s">
        <v>11</v>
      </c>
      <c r="D69" s="14"/>
      <c r="E69" s="14" t="s">
        <v>12</v>
      </c>
      <c r="F69" s="17" t="s">
        <v>13</v>
      </c>
      <c r="G69" s="18">
        <v>0</v>
      </c>
      <c r="H69" s="16" t="s">
        <v>12</v>
      </c>
      <c r="J69" s="67"/>
    </row>
    <row r="70" spans="1:10" x14ac:dyDescent="0.2">
      <c r="A70" s="14"/>
      <c r="B70" s="14"/>
      <c r="C70" s="19"/>
      <c r="D70" s="14"/>
      <c r="E70" s="14"/>
      <c r="F70" s="20"/>
      <c r="G70" s="20"/>
      <c r="H70" s="16" t="s">
        <v>12</v>
      </c>
      <c r="J70" s="67"/>
    </row>
    <row r="71" spans="1:10" x14ac:dyDescent="0.2">
      <c r="A71" s="14"/>
      <c r="B71" s="14"/>
      <c r="C71" s="15" t="s">
        <v>87</v>
      </c>
      <c r="D71" s="14"/>
      <c r="E71" s="14"/>
      <c r="F71" s="20"/>
      <c r="G71" s="20"/>
      <c r="H71" s="16" t="s">
        <v>12</v>
      </c>
      <c r="J71" s="67"/>
    </row>
    <row r="72" spans="1:10" x14ac:dyDescent="0.2">
      <c r="A72" s="14"/>
      <c r="B72" s="14"/>
      <c r="C72" s="15" t="s">
        <v>11</v>
      </c>
      <c r="D72" s="14"/>
      <c r="E72" s="14" t="s">
        <v>12</v>
      </c>
      <c r="F72" s="17" t="s">
        <v>13</v>
      </c>
      <c r="G72" s="18">
        <v>0</v>
      </c>
      <c r="H72" s="16" t="s">
        <v>12</v>
      </c>
      <c r="J72" s="67"/>
    </row>
    <row r="73" spans="1:10" x14ac:dyDescent="0.2">
      <c r="A73" s="14"/>
      <c r="B73" s="14"/>
      <c r="C73" s="19"/>
      <c r="D73" s="14"/>
      <c r="E73" s="14"/>
      <c r="F73" s="20"/>
      <c r="G73" s="20"/>
      <c r="H73" s="16" t="s">
        <v>12</v>
      </c>
      <c r="J73" s="67"/>
    </row>
    <row r="74" spans="1:10" x14ac:dyDescent="0.2">
      <c r="A74" s="14"/>
      <c r="B74" s="14"/>
      <c r="C74" s="15" t="s">
        <v>88</v>
      </c>
      <c r="D74" s="14"/>
      <c r="E74" s="14"/>
      <c r="F74" s="20"/>
      <c r="G74" s="20"/>
      <c r="H74" s="16" t="s">
        <v>12</v>
      </c>
      <c r="J74" s="67"/>
    </row>
    <row r="75" spans="1:10" x14ac:dyDescent="0.2">
      <c r="A75" s="22">
        <v>1</v>
      </c>
      <c r="B75" s="23"/>
      <c r="C75" s="23" t="s">
        <v>89</v>
      </c>
      <c r="D75" s="23"/>
      <c r="E75" s="27"/>
      <c r="F75" s="25">
        <v>277.13097050099998</v>
      </c>
      <c r="G75" s="26">
        <v>8.3288400000000005E-3</v>
      </c>
      <c r="H75" s="16">
        <v>6.62</v>
      </c>
      <c r="J75" s="67"/>
    </row>
    <row r="76" spans="1:10" x14ac:dyDescent="0.2">
      <c r="A76" s="14"/>
      <c r="B76" s="14"/>
      <c r="C76" s="15" t="s">
        <v>11</v>
      </c>
      <c r="D76" s="14"/>
      <c r="E76" s="14" t="s">
        <v>12</v>
      </c>
      <c r="F76" s="21">
        <v>277.13097050099998</v>
      </c>
      <c r="G76" s="18">
        <v>8.3288400000000005E-3</v>
      </c>
      <c r="H76" s="16" t="s">
        <v>12</v>
      </c>
      <c r="J76" s="67"/>
    </row>
    <row r="77" spans="1:10" x14ac:dyDescent="0.2">
      <c r="A77" s="14"/>
      <c r="B77" s="14"/>
      <c r="C77" s="19"/>
      <c r="D77" s="14"/>
      <c r="E77" s="14"/>
      <c r="F77" s="20"/>
      <c r="G77" s="20"/>
      <c r="H77" s="16" t="s">
        <v>12</v>
      </c>
      <c r="J77" s="67"/>
    </row>
    <row r="78" spans="1:10" x14ac:dyDescent="0.2">
      <c r="A78" s="14"/>
      <c r="B78" s="14"/>
      <c r="C78" s="15" t="s">
        <v>90</v>
      </c>
      <c r="D78" s="14"/>
      <c r="E78" s="14"/>
      <c r="F78" s="21">
        <v>277.13097050099998</v>
      </c>
      <c r="G78" s="18">
        <v>8.3288400000000005E-3</v>
      </c>
      <c r="H78" s="16" t="s">
        <v>12</v>
      </c>
      <c r="J78" s="67"/>
    </row>
    <row r="79" spans="1:10" x14ac:dyDescent="0.2">
      <c r="A79" s="14"/>
      <c r="B79" s="14"/>
      <c r="C79" s="20"/>
      <c r="D79" s="14"/>
      <c r="E79" s="14"/>
      <c r="F79" s="14"/>
      <c r="G79" s="14"/>
      <c r="H79" s="16" t="s">
        <v>12</v>
      </c>
      <c r="J79" s="67"/>
    </row>
    <row r="80" spans="1:10" x14ac:dyDescent="0.2">
      <c r="A80" s="14"/>
      <c r="B80" s="14"/>
      <c r="C80" s="15" t="s">
        <v>91</v>
      </c>
      <c r="D80" s="14"/>
      <c r="E80" s="14"/>
      <c r="F80" s="14"/>
      <c r="G80" s="14"/>
      <c r="H80" s="16" t="s">
        <v>12</v>
      </c>
      <c r="J80" s="67"/>
    </row>
    <row r="81" spans="1:18" x14ac:dyDescent="0.2">
      <c r="A81" s="14"/>
      <c r="B81" s="14"/>
      <c r="C81" s="15" t="s">
        <v>92</v>
      </c>
      <c r="D81" s="14"/>
      <c r="E81" s="14"/>
      <c r="F81" s="14"/>
      <c r="G81" s="14"/>
      <c r="H81" s="16" t="s">
        <v>12</v>
      </c>
      <c r="J81" s="67"/>
    </row>
    <row r="82" spans="1:18" x14ac:dyDescent="0.2">
      <c r="A82" s="14"/>
      <c r="B82" s="14"/>
      <c r="C82" s="15" t="s">
        <v>11</v>
      </c>
      <c r="D82" s="14"/>
      <c r="E82" s="14" t="s">
        <v>12</v>
      </c>
      <c r="F82" s="17" t="s">
        <v>13</v>
      </c>
      <c r="G82" s="18">
        <v>0</v>
      </c>
      <c r="H82" s="16" t="s">
        <v>12</v>
      </c>
      <c r="J82" s="67"/>
    </row>
    <row r="83" spans="1:18" x14ac:dyDescent="0.2">
      <c r="A83" s="14"/>
      <c r="B83" s="14"/>
      <c r="C83" s="19"/>
      <c r="D83" s="14"/>
      <c r="E83" s="14"/>
      <c r="F83" s="20"/>
      <c r="G83" s="20"/>
      <c r="H83" s="16" t="s">
        <v>12</v>
      </c>
      <c r="J83" s="67"/>
    </row>
    <row r="84" spans="1:18" x14ac:dyDescent="0.2">
      <c r="A84" s="28"/>
      <c r="B84" s="28"/>
      <c r="C84" s="29" t="s">
        <v>536</v>
      </c>
      <c r="D84" s="28"/>
      <c r="E84" s="28"/>
      <c r="F84" s="30"/>
      <c r="G84" s="30"/>
      <c r="H84" s="31"/>
      <c r="J84" s="67"/>
      <c r="L84" s="32"/>
      <c r="M84" s="32"/>
      <c r="N84" s="32"/>
      <c r="O84" s="32"/>
      <c r="P84" s="33"/>
      <c r="Q84" s="33"/>
      <c r="R84" s="33"/>
    </row>
    <row r="85" spans="1:18" x14ac:dyDescent="0.2">
      <c r="A85" s="22">
        <v>1</v>
      </c>
      <c r="B85" s="23" t="s">
        <v>93</v>
      </c>
      <c r="C85" s="23" t="s">
        <v>94</v>
      </c>
      <c r="D85" s="23"/>
      <c r="E85" s="34">
        <v>1138.2429999999999</v>
      </c>
      <c r="F85" s="25">
        <v>118.001894256</v>
      </c>
      <c r="G85" s="26">
        <v>3.5463999999999999E-3</v>
      </c>
      <c r="H85" s="16"/>
      <c r="J85" s="67"/>
    </row>
    <row r="86" spans="1:18" x14ac:dyDescent="0.2">
      <c r="A86" s="14"/>
      <c r="B86" s="14"/>
      <c r="C86" s="15" t="s">
        <v>11</v>
      </c>
      <c r="D86" s="14"/>
      <c r="E86" s="14" t="s">
        <v>12</v>
      </c>
      <c r="F86" s="21">
        <v>118.001894256</v>
      </c>
      <c r="G86" s="18">
        <v>3.5463999999999999E-3</v>
      </c>
      <c r="H86" s="16" t="s">
        <v>12</v>
      </c>
      <c r="J86" s="67"/>
    </row>
    <row r="87" spans="1:18" x14ac:dyDescent="0.2">
      <c r="A87" s="14"/>
      <c r="B87" s="14"/>
      <c r="C87" s="19"/>
      <c r="D87" s="14"/>
      <c r="E87" s="14"/>
      <c r="F87" s="20"/>
      <c r="G87" s="20"/>
      <c r="H87" s="16" t="s">
        <v>12</v>
      </c>
      <c r="J87" s="67"/>
    </row>
    <row r="88" spans="1:18" x14ac:dyDescent="0.2">
      <c r="A88" s="14"/>
      <c r="B88" s="14"/>
      <c r="C88" s="15" t="s">
        <v>95</v>
      </c>
      <c r="D88" s="14"/>
      <c r="E88" s="14"/>
      <c r="F88" s="14"/>
      <c r="G88" s="14"/>
      <c r="H88" s="16" t="s">
        <v>12</v>
      </c>
      <c r="J88" s="67"/>
    </row>
    <row r="89" spans="1:18" x14ac:dyDescent="0.2">
      <c r="A89" s="14"/>
      <c r="B89" s="14"/>
      <c r="C89" s="15" t="s">
        <v>96</v>
      </c>
      <c r="D89" s="14"/>
      <c r="E89" s="14"/>
      <c r="F89" s="14"/>
      <c r="G89" s="14"/>
      <c r="H89" s="16" t="s">
        <v>12</v>
      </c>
      <c r="J89" s="67"/>
    </row>
    <row r="90" spans="1:18" x14ac:dyDescent="0.2">
      <c r="A90" s="14"/>
      <c r="B90" s="14"/>
      <c r="C90" s="15" t="s">
        <v>11</v>
      </c>
      <c r="D90" s="14"/>
      <c r="E90" s="14" t="s">
        <v>12</v>
      </c>
      <c r="F90" s="17" t="s">
        <v>13</v>
      </c>
      <c r="G90" s="18">
        <v>0</v>
      </c>
      <c r="H90" s="16" t="s">
        <v>12</v>
      </c>
      <c r="J90" s="67"/>
    </row>
    <row r="91" spans="1:18" x14ac:dyDescent="0.2">
      <c r="A91" s="14"/>
      <c r="B91" s="14"/>
      <c r="C91" s="19"/>
      <c r="D91" s="14"/>
      <c r="E91" s="14"/>
      <c r="F91" s="20"/>
      <c r="G91" s="20"/>
      <c r="H91" s="16" t="s">
        <v>12</v>
      </c>
      <c r="J91" s="67"/>
    </row>
    <row r="92" spans="1:18" x14ac:dyDescent="0.2">
      <c r="A92" s="14"/>
      <c r="B92" s="14"/>
      <c r="C92" s="15" t="s">
        <v>97</v>
      </c>
      <c r="D92" s="14"/>
      <c r="E92" s="14"/>
      <c r="F92" s="20"/>
      <c r="G92" s="20"/>
      <c r="H92" s="16" t="s">
        <v>12</v>
      </c>
      <c r="J92" s="67"/>
    </row>
    <row r="93" spans="1:18" x14ac:dyDescent="0.2">
      <c r="A93" s="14"/>
      <c r="B93" s="14"/>
      <c r="C93" s="15" t="s">
        <v>11</v>
      </c>
      <c r="D93" s="14"/>
      <c r="E93" s="14" t="s">
        <v>12</v>
      </c>
      <c r="F93" s="17" t="s">
        <v>13</v>
      </c>
      <c r="G93" s="18">
        <v>0</v>
      </c>
      <c r="H93" s="16" t="s">
        <v>12</v>
      </c>
      <c r="J93" s="67"/>
    </row>
    <row r="94" spans="1:18" x14ac:dyDescent="0.2">
      <c r="A94" s="14"/>
      <c r="B94" s="14"/>
      <c r="C94" s="19"/>
      <c r="D94" s="14"/>
      <c r="E94" s="14"/>
      <c r="F94" s="20"/>
      <c r="G94" s="20"/>
      <c r="H94" s="16" t="s">
        <v>12</v>
      </c>
      <c r="J94" s="67"/>
    </row>
    <row r="95" spans="1:18" x14ac:dyDescent="0.2">
      <c r="A95" s="27"/>
      <c r="B95" s="23"/>
      <c r="C95" s="23" t="s">
        <v>98</v>
      </c>
      <c r="D95" s="23"/>
      <c r="E95" s="27"/>
      <c r="F95" s="25">
        <f>987.91128105-0.00026680700302124</f>
        <v>987.91101424299688</v>
      </c>
      <c r="G95" s="26">
        <v>2.9690480000000002E-2</v>
      </c>
      <c r="H95" s="16" t="s">
        <v>12</v>
      </c>
      <c r="J95" s="67"/>
    </row>
    <row r="96" spans="1:18" x14ac:dyDescent="0.2">
      <c r="A96" s="19"/>
      <c r="B96" s="19"/>
      <c r="C96" s="15" t="s">
        <v>99</v>
      </c>
      <c r="D96" s="20"/>
      <c r="E96" s="20"/>
      <c r="F96" s="21">
        <f>33273.671845807-0.00026680700302124</f>
        <v>33273.671579000002</v>
      </c>
      <c r="G96" s="35">
        <v>0.99999998000000001</v>
      </c>
      <c r="H96" s="16" t="s">
        <v>12</v>
      </c>
      <c r="J96" s="67"/>
    </row>
    <row r="97" spans="1:11" x14ac:dyDescent="0.2">
      <c r="A97" s="36"/>
      <c r="B97" s="36"/>
      <c r="C97" s="36"/>
      <c r="D97" s="37"/>
      <c r="E97" s="37"/>
      <c r="F97" s="37"/>
      <c r="G97" s="37"/>
      <c r="J97" s="67"/>
    </row>
    <row r="98" spans="1:11" x14ac:dyDescent="0.2">
      <c r="A98" s="38"/>
      <c r="B98" s="112" t="s">
        <v>532</v>
      </c>
      <c r="C98" s="112"/>
      <c r="D98" s="112"/>
      <c r="E98" s="112"/>
      <c r="F98" s="112"/>
      <c r="G98" s="112"/>
      <c r="H98" s="112"/>
      <c r="J98" s="67"/>
    </row>
    <row r="99" spans="1:11" x14ac:dyDescent="0.2">
      <c r="A99" s="38"/>
      <c r="B99" s="112" t="s">
        <v>533</v>
      </c>
      <c r="C99" s="112"/>
      <c r="D99" s="112"/>
      <c r="E99" s="112"/>
      <c r="F99" s="112"/>
      <c r="G99" s="112"/>
      <c r="H99" s="112"/>
      <c r="J99" s="67"/>
    </row>
    <row r="100" spans="1:11" x14ac:dyDescent="0.2">
      <c r="A100" s="38"/>
      <c r="B100" s="112" t="s">
        <v>534</v>
      </c>
      <c r="C100" s="112"/>
      <c r="D100" s="112"/>
      <c r="E100" s="112"/>
      <c r="F100" s="112"/>
      <c r="G100" s="112"/>
      <c r="H100" s="112"/>
      <c r="J100" s="67"/>
    </row>
    <row r="101" spans="1:11" x14ac:dyDescent="0.2">
      <c r="A101" s="40"/>
      <c r="B101" s="40"/>
      <c r="C101" s="40"/>
      <c r="D101" s="41"/>
      <c r="E101" s="41"/>
      <c r="F101" s="41"/>
      <c r="G101" s="41"/>
      <c r="J101" s="67"/>
    </row>
    <row r="102" spans="1:11" x14ac:dyDescent="0.2">
      <c r="A102" s="40"/>
      <c r="B102" s="118" t="s">
        <v>100</v>
      </c>
      <c r="C102" s="119"/>
      <c r="D102" s="120"/>
      <c r="E102" s="42"/>
      <c r="F102" s="41"/>
      <c r="G102" s="41"/>
      <c r="J102" s="67"/>
    </row>
    <row r="103" spans="1:11" x14ac:dyDescent="0.2">
      <c r="A103" s="40"/>
      <c r="B103" s="121" t="s">
        <v>101</v>
      </c>
      <c r="C103" s="122"/>
      <c r="D103" s="15" t="s">
        <v>102</v>
      </c>
      <c r="E103" s="42"/>
      <c r="F103" s="41"/>
      <c r="G103" s="41"/>
      <c r="J103" s="67"/>
    </row>
    <row r="104" spans="1:11" x14ac:dyDescent="0.2">
      <c r="A104" s="40"/>
      <c r="B104" s="121" t="s">
        <v>103</v>
      </c>
      <c r="C104" s="122"/>
      <c r="D104" s="15" t="s">
        <v>102</v>
      </c>
      <c r="E104" s="42"/>
      <c r="F104" s="41"/>
      <c r="G104" s="41"/>
      <c r="J104" s="67"/>
    </row>
    <row r="105" spans="1:11" x14ac:dyDescent="0.2">
      <c r="A105" s="40"/>
      <c r="B105" s="121" t="s">
        <v>104</v>
      </c>
      <c r="C105" s="122"/>
      <c r="D105" s="20" t="s">
        <v>12</v>
      </c>
      <c r="E105" s="42"/>
      <c r="F105" s="41"/>
      <c r="G105" s="41"/>
      <c r="J105" s="67"/>
    </row>
    <row r="106" spans="1:11" x14ac:dyDescent="0.2">
      <c r="A106" s="43"/>
      <c r="B106" s="44" t="s">
        <v>12</v>
      </c>
      <c r="C106" s="44" t="s">
        <v>528</v>
      </c>
      <c r="D106" s="44" t="s">
        <v>105</v>
      </c>
      <c r="E106" s="43"/>
      <c r="F106" s="43"/>
      <c r="G106" s="43"/>
      <c r="H106" s="45"/>
      <c r="J106" s="67"/>
    </row>
    <row r="107" spans="1:11" x14ac:dyDescent="0.2">
      <c r="A107" s="46"/>
      <c r="B107" s="47" t="s">
        <v>106</v>
      </c>
      <c r="C107" s="48">
        <v>45519</v>
      </c>
      <c r="D107" s="48">
        <v>45535</v>
      </c>
      <c r="E107" s="46"/>
      <c r="F107" s="46"/>
      <c r="G107" s="46"/>
      <c r="J107" s="67"/>
    </row>
    <row r="108" spans="1:11" x14ac:dyDescent="0.2">
      <c r="A108" s="46"/>
      <c r="B108" s="23" t="s">
        <v>107</v>
      </c>
      <c r="C108" s="49">
        <v>40.563499999999998</v>
      </c>
      <c r="D108" s="49">
        <v>40.7119</v>
      </c>
      <c r="E108" s="51"/>
      <c r="F108" s="50"/>
      <c r="G108" s="51"/>
      <c r="J108" s="67"/>
    </row>
    <row r="109" spans="1:11" x14ac:dyDescent="0.2">
      <c r="A109" s="46"/>
      <c r="B109" s="23" t="s">
        <v>139</v>
      </c>
      <c r="C109" s="49">
        <v>20.2926</v>
      </c>
      <c r="D109" s="49">
        <v>20.366900000000001</v>
      </c>
      <c r="E109" s="51"/>
      <c r="F109" s="50"/>
      <c r="G109" s="51"/>
      <c r="J109" s="67"/>
    </row>
    <row r="110" spans="1:11" ht="25.5" x14ac:dyDescent="0.2">
      <c r="A110" s="46"/>
      <c r="B110" s="23" t="s">
        <v>584</v>
      </c>
      <c r="C110" s="49">
        <v>11.597899999999999</v>
      </c>
      <c r="D110" s="49">
        <v>11.5496</v>
      </c>
      <c r="E110" s="51"/>
      <c r="F110" s="50"/>
      <c r="G110" s="51"/>
      <c r="J110" s="67"/>
    </row>
    <row r="111" spans="1:11" x14ac:dyDescent="0.2">
      <c r="A111" s="46"/>
      <c r="B111" s="23" t="s">
        <v>108</v>
      </c>
      <c r="C111" s="49">
        <v>40.044600000000003</v>
      </c>
      <c r="D111" s="49">
        <v>40.188699999999997</v>
      </c>
      <c r="E111" s="51"/>
      <c r="F111" s="50"/>
      <c r="G111" s="51"/>
      <c r="J111" s="67"/>
      <c r="K111" s="32"/>
    </row>
    <row r="112" spans="1:11" x14ac:dyDescent="0.2">
      <c r="A112" s="46"/>
      <c r="B112" s="23" t="s">
        <v>140</v>
      </c>
      <c r="C112" s="49">
        <v>20.1934</v>
      </c>
      <c r="D112" s="49">
        <v>20.265999999999998</v>
      </c>
      <c r="E112" s="51"/>
      <c r="F112" s="50"/>
      <c r="G112" s="51"/>
      <c r="J112" s="67"/>
      <c r="K112" s="32"/>
    </row>
    <row r="113" spans="1:15" ht="25.5" x14ac:dyDescent="0.2">
      <c r="A113" s="46"/>
      <c r="B113" s="23" t="s">
        <v>588</v>
      </c>
      <c r="C113" s="49">
        <v>11.649900000000001</v>
      </c>
      <c r="D113" s="49">
        <v>11.602</v>
      </c>
      <c r="E113" s="51"/>
      <c r="F113" s="50"/>
      <c r="G113" s="51"/>
      <c r="J113" s="67"/>
      <c r="K113" s="32"/>
    </row>
    <row r="114" spans="1:15" x14ac:dyDescent="0.2">
      <c r="A114" s="46"/>
      <c r="B114" s="46"/>
      <c r="C114" s="46"/>
      <c r="D114" s="46"/>
      <c r="E114" s="46"/>
      <c r="F114" s="46"/>
      <c r="G114" s="46"/>
      <c r="J114" s="67"/>
      <c r="K114" s="32"/>
    </row>
    <row r="115" spans="1:15" x14ac:dyDescent="0.2">
      <c r="A115" s="46"/>
      <c r="B115" s="121" t="s">
        <v>591</v>
      </c>
      <c r="C115" s="122"/>
      <c r="D115" s="15" t="s">
        <v>12</v>
      </c>
      <c r="E115" s="46"/>
      <c r="F115" s="46"/>
      <c r="G115" s="46"/>
      <c r="J115" s="67"/>
      <c r="K115" s="32"/>
    </row>
    <row r="116" spans="1:15" x14ac:dyDescent="0.2">
      <c r="A116" s="46"/>
      <c r="B116" s="52" t="s">
        <v>106</v>
      </c>
      <c r="C116" s="53" t="s">
        <v>109</v>
      </c>
      <c r="D116" s="53" t="s">
        <v>110</v>
      </c>
      <c r="E116" s="46"/>
      <c r="F116" s="46"/>
      <c r="G116" s="46"/>
      <c r="J116" s="67"/>
    </row>
    <row r="117" spans="1:15" ht="25.5" x14ac:dyDescent="0.2">
      <c r="A117" s="46"/>
      <c r="B117" s="23" t="s">
        <v>584</v>
      </c>
      <c r="C117" s="54">
        <v>9.0399999999999994E-2</v>
      </c>
      <c r="D117" s="27" t="s">
        <v>111</v>
      </c>
      <c r="E117" s="46"/>
      <c r="F117" s="50"/>
      <c r="G117" s="51"/>
      <c r="J117" s="67"/>
    </row>
    <row r="118" spans="1:15" ht="25.5" x14ac:dyDescent="0.2">
      <c r="A118" s="46"/>
      <c r="B118" s="23" t="s">
        <v>588</v>
      </c>
      <c r="C118" s="54">
        <v>8.9499999999999996E-2</v>
      </c>
      <c r="D118" s="54">
        <v>8.9499999999999996E-2</v>
      </c>
      <c r="E118" s="46"/>
      <c r="F118" s="50"/>
      <c r="G118" s="51"/>
      <c r="J118" s="71"/>
    </row>
    <row r="119" spans="1:15" x14ac:dyDescent="0.2">
      <c r="A119" s="46"/>
      <c r="B119" s="55"/>
      <c r="C119" s="55"/>
      <c r="D119" s="56"/>
      <c r="E119" s="46"/>
      <c r="F119" s="50"/>
      <c r="G119" s="51"/>
      <c r="J119" s="71"/>
    </row>
    <row r="120" spans="1:15" s="59" customFormat="1" x14ac:dyDescent="0.2">
      <c r="A120" s="65"/>
      <c r="B120" s="106" t="s">
        <v>546</v>
      </c>
      <c r="C120" s="107"/>
      <c r="D120" s="29" t="s">
        <v>102</v>
      </c>
      <c r="E120" s="65"/>
      <c r="F120" s="39"/>
      <c r="G120" s="65"/>
      <c r="I120"/>
      <c r="J120" s="71"/>
      <c r="K120" s="32"/>
      <c r="L120" s="32"/>
      <c r="M120" s="32"/>
      <c r="N120" s="32"/>
      <c r="O120" s="66"/>
    </row>
    <row r="121" spans="1:15" x14ac:dyDescent="0.2">
      <c r="A121" s="43"/>
      <c r="B121" s="106" t="s">
        <v>547</v>
      </c>
      <c r="C121" s="107"/>
      <c r="D121" s="29" t="s">
        <v>102</v>
      </c>
      <c r="E121" s="57"/>
      <c r="F121" s="43"/>
      <c r="G121" s="43"/>
      <c r="J121" s="71"/>
    </row>
    <row r="122" spans="1:15" x14ac:dyDescent="0.2">
      <c r="A122" s="43"/>
      <c r="B122" s="106" t="s">
        <v>548</v>
      </c>
      <c r="C122" s="107"/>
      <c r="D122" s="29" t="s">
        <v>102</v>
      </c>
      <c r="E122" s="57"/>
      <c r="F122" s="43"/>
      <c r="G122" s="43"/>
      <c r="J122" s="71"/>
    </row>
    <row r="123" spans="1:15" x14ac:dyDescent="0.2">
      <c r="A123" s="43"/>
      <c r="B123" s="106" t="s">
        <v>549</v>
      </c>
      <c r="C123" s="107"/>
      <c r="D123" s="29" t="s">
        <v>102</v>
      </c>
      <c r="E123" s="57"/>
      <c r="F123" s="43"/>
      <c r="G123" s="43"/>
      <c r="J123" s="71"/>
    </row>
    <row r="124" spans="1:15" x14ac:dyDescent="0.2">
      <c r="A124" s="58"/>
      <c r="B124" s="58"/>
      <c r="C124" s="58"/>
      <c r="D124" s="58"/>
      <c r="E124" s="58"/>
      <c r="F124" s="58"/>
      <c r="G124" s="58"/>
      <c r="J124" s="71"/>
    </row>
    <row r="125" spans="1:15" s="59" customFormat="1" x14ac:dyDescent="0.2">
      <c r="B125" s="113" t="s">
        <v>538</v>
      </c>
      <c r="C125" s="114"/>
      <c r="D125" s="115"/>
      <c r="I125"/>
      <c r="J125" s="67"/>
      <c r="K125" s="32"/>
      <c r="L125" s="32"/>
      <c r="M125" s="32"/>
      <c r="N125" s="32"/>
      <c r="O125" s="66"/>
    </row>
    <row r="126" spans="1:15" s="59" customFormat="1" ht="38.25" x14ac:dyDescent="0.2">
      <c r="B126" s="117" t="s">
        <v>539</v>
      </c>
      <c r="C126" s="117"/>
      <c r="D126" s="60" t="s">
        <v>114</v>
      </c>
      <c r="I126"/>
      <c r="J126" s="67"/>
      <c r="K126" s="32"/>
      <c r="L126" s="32"/>
      <c r="M126" s="32"/>
      <c r="N126" s="32"/>
      <c r="O126" s="66"/>
    </row>
    <row r="127" spans="1:15" s="59" customFormat="1" x14ac:dyDescent="0.2">
      <c r="B127" s="110" t="s">
        <v>540</v>
      </c>
      <c r="C127" s="110"/>
      <c r="D127" s="61"/>
      <c r="I127"/>
      <c r="J127" s="67"/>
      <c r="K127" s="32"/>
      <c r="L127" s="32"/>
      <c r="M127" s="32"/>
      <c r="N127" s="32"/>
      <c r="O127" s="66"/>
    </row>
    <row r="128" spans="1:15" s="59" customFormat="1" x14ac:dyDescent="0.2">
      <c r="B128" s="110"/>
      <c r="C128" s="110"/>
      <c r="D128" s="62"/>
      <c r="I128"/>
      <c r="J128" s="71"/>
      <c r="K128" s="32"/>
      <c r="L128" s="32"/>
      <c r="M128" s="32"/>
      <c r="N128" s="32"/>
      <c r="O128" s="66"/>
    </row>
    <row r="129" spans="2:18" s="59" customFormat="1" x14ac:dyDescent="0.2">
      <c r="B129" s="110" t="s">
        <v>541</v>
      </c>
      <c r="C129" s="110"/>
      <c r="D129" s="63">
        <v>7.3844317718861987</v>
      </c>
      <c r="I129"/>
      <c r="J129" s="71"/>
      <c r="K129" s="32"/>
      <c r="L129" s="32"/>
      <c r="M129" s="32"/>
      <c r="N129" s="32"/>
      <c r="O129" s="66"/>
    </row>
    <row r="130" spans="2:18" s="59" customFormat="1" x14ac:dyDescent="0.2">
      <c r="B130" s="110"/>
      <c r="C130" s="110"/>
      <c r="D130" s="62"/>
      <c r="I130"/>
      <c r="J130" s="67"/>
      <c r="K130" s="32"/>
      <c r="L130" s="32"/>
      <c r="M130" s="32"/>
      <c r="N130" s="32"/>
      <c r="O130" s="66"/>
    </row>
    <row r="131" spans="2:18" s="59" customFormat="1" x14ac:dyDescent="0.2">
      <c r="B131" s="110" t="s">
        <v>542</v>
      </c>
      <c r="C131" s="110"/>
      <c r="D131" s="63">
        <v>3.7649492186560716</v>
      </c>
      <c r="I131"/>
      <c r="J131" s="67"/>
      <c r="K131" s="32"/>
      <c r="L131" s="32"/>
      <c r="M131" s="32"/>
      <c r="N131" s="32"/>
      <c r="O131" s="66"/>
    </row>
    <row r="132" spans="2:18" s="59" customFormat="1" x14ac:dyDescent="0.2">
      <c r="B132" s="110" t="s">
        <v>543</v>
      </c>
      <c r="C132" s="110"/>
      <c r="D132" s="63">
        <v>4.9250416518972475</v>
      </c>
      <c r="I132"/>
      <c r="J132" s="67"/>
      <c r="K132" s="32"/>
      <c r="L132" s="32"/>
      <c r="M132" s="32"/>
      <c r="N132" s="32"/>
      <c r="O132" s="66"/>
    </row>
    <row r="133" spans="2:18" s="59" customFormat="1" x14ac:dyDescent="0.2">
      <c r="B133" s="110"/>
      <c r="C133" s="110"/>
      <c r="D133" s="62"/>
      <c r="I133"/>
      <c r="J133" s="67"/>
      <c r="K133" s="32"/>
      <c r="L133" s="32"/>
      <c r="M133" s="32"/>
      <c r="N133" s="32"/>
      <c r="O133" s="66"/>
      <c r="R133"/>
    </row>
    <row r="134" spans="2:18" s="59" customFormat="1" ht="25.5" x14ac:dyDescent="0.2">
      <c r="B134" s="110" t="s">
        <v>544</v>
      </c>
      <c r="C134" s="110"/>
      <c r="D134" s="64" t="s">
        <v>577</v>
      </c>
      <c r="I134"/>
      <c r="J134" s="67"/>
      <c r="K134" s="32"/>
      <c r="L134" s="32"/>
      <c r="M134" s="32"/>
      <c r="N134" s="32"/>
      <c r="O134" s="66"/>
      <c r="R134"/>
    </row>
    <row r="135" spans="2:18" s="59" customFormat="1" x14ac:dyDescent="0.2">
      <c r="B135" s="108" t="s">
        <v>545</v>
      </c>
      <c r="C135" s="111"/>
      <c r="D135" s="109"/>
      <c r="I135"/>
      <c r="J135" s="67"/>
      <c r="K135" s="32"/>
      <c r="L135" s="32"/>
      <c r="M135" s="32"/>
      <c r="N135" s="32"/>
      <c r="O135" s="66"/>
      <c r="R135"/>
    </row>
  </sheetData>
  <mergeCells count="26">
    <mergeCell ref="A1:H1"/>
    <mergeCell ref="A2:H2"/>
    <mergeCell ref="A3:H3"/>
    <mergeCell ref="B98:H98"/>
    <mergeCell ref="B99:H99"/>
    <mergeCell ref="B100:H100"/>
    <mergeCell ref="B120:C120"/>
    <mergeCell ref="B125:D125"/>
    <mergeCell ref="B127:C127"/>
    <mergeCell ref="B122:C122"/>
    <mergeCell ref="B123:C123"/>
    <mergeCell ref="B126:C126"/>
    <mergeCell ref="B121:C121"/>
    <mergeCell ref="B102:D102"/>
    <mergeCell ref="B103:C103"/>
    <mergeCell ref="B104:C104"/>
    <mergeCell ref="B105:C105"/>
    <mergeCell ref="B115:C115"/>
    <mergeCell ref="B133:C133"/>
    <mergeCell ref="B134:C134"/>
    <mergeCell ref="B135:D135"/>
    <mergeCell ref="B128:C128"/>
    <mergeCell ref="B129:C129"/>
    <mergeCell ref="B130:C130"/>
    <mergeCell ref="B131:C131"/>
    <mergeCell ref="B132:C132"/>
  </mergeCells>
  <hyperlinks>
    <hyperlink ref="I1" location="Index!B3" display="Index" xr:uid="{B9AE8A9C-1210-4E44-A7B3-ED8B13FDEBE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A3AC-E3E7-4EBA-8553-73ED229DEC11}">
  <sheetPr>
    <outlinePr summaryBelow="0" summaryRight="0"/>
  </sheetPr>
  <dimension ref="A1:R132"/>
  <sheetViews>
    <sheetView showGridLines="0" workbookViewId="0">
      <selection sqref="A1:H1"/>
    </sheetView>
  </sheetViews>
  <sheetFormatPr defaultRowHeight="12.75" x14ac:dyDescent="0.2"/>
  <cols>
    <col min="1" max="1" width="5.85546875" bestFit="1" customWidth="1"/>
    <col min="2" max="2" width="21.5703125" customWidth="1"/>
    <col min="3" max="3" width="44" customWidth="1"/>
    <col min="4" max="4" width="11.85546875"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16" t="s">
        <v>0</v>
      </c>
      <c r="B1" s="116"/>
      <c r="C1" s="116"/>
      <c r="D1" s="116"/>
      <c r="E1" s="116"/>
      <c r="F1" s="116"/>
      <c r="G1" s="116"/>
      <c r="H1" s="116"/>
      <c r="I1" s="7" t="s">
        <v>600</v>
      </c>
      <c r="J1" s="67"/>
      <c r="K1" s="7"/>
    </row>
    <row r="2" spans="1:11" ht="15" x14ac:dyDescent="0.2">
      <c r="A2" s="116" t="s">
        <v>141</v>
      </c>
      <c r="B2" s="116"/>
      <c r="C2" s="116"/>
      <c r="D2" s="116"/>
      <c r="E2" s="116"/>
      <c r="F2" s="116"/>
      <c r="G2" s="116"/>
      <c r="H2" s="116"/>
      <c r="J2" s="68" t="s">
        <v>601</v>
      </c>
    </row>
    <row r="3" spans="1:11" ht="15" x14ac:dyDescent="0.2">
      <c r="A3" s="116" t="s">
        <v>526</v>
      </c>
      <c r="B3" s="116"/>
      <c r="C3" s="116"/>
      <c r="D3" s="116"/>
      <c r="E3" s="116"/>
      <c r="F3" s="116"/>
      <c r="G3" s="116"/>
      <c r="H3" s="116"/>
      <c r="J3" s="67"/>
    </row>
    <row r="4" spans="1:11" s="11" customFormat="1" ht="30" x14ac:dyDescent="0.2">
      <c r="A4" s="12" t="s">
        <v>2</v>
      </c>
      <c r="B4" s="12" t="s">
        <v>3</v>
      </c>
      <c r="C4" s="12" t="s">
        <v>4</v>
      </c>
      <c r="D4" s="12" t="s">
        <v>5</v>
      </c>
      <c r="E4" s="12" t="s">
        <v>6</v>
      </c>
      <c r="F4" s="12" t="s">
        <v>7</v>
      </c>
      <c r="G4" s="12" t="s">
        <v>8</v>
      </c>
      <c r="H4" s="13" t="s">
        <v>581</v>
      </c>
      <c r="J4" s="67"/>
    </row>
    <row r="5" spans="1:11" x14ac:dyDescent="0.2">
      <c r="A5" s="14"/>
      <c r="B5" s="14"/>
      <c r="C5" s="15" t="s">
        <v>9</v>
      </c>
      <c r="D5" s="14"/>
      <c r="E5" s="14"/>
      <c r="F5" s="14"/>
      <c r="G5" s="14"/>
      <c r="H5" s="16" t="s">
        <v>12</v>
      </c>
      <c r="J5" s="67"/>
    </row>
    <row r="6" spans="1:11" x14ac:dyDescent="0.2">
      <c r="A6" s="14"/>
      <c r="B6" s="14"/>
      <c r="C6" s="15" t="s">
        <v>10</v>
      </c>
      <c r="D6" s="14"/>
      <c r="E6" s="14"/>
      <c r="F6" s="14"/>
      <c r="G6" s="14"/>
      <c r="H6" s="16" t="s">
        <v>12</v>
      </c>
      <c r="J6" s="67"/>
    </row>
    <row r="7" spans="1:11" x14ac:dyDescent="0.2">
      <c r="A7" s="14"/>
      <c r="B7" s="14"/>
      <c r="C7" s="15" t="s">
        <v>11</v>
      </c>
      <c r="D7" s="14"/>
      <c r="E7" s="14" t="s">
        <v>12</v>
      </c>
      <c r="F7" s="17" t="s">
        <v>13</v>
      </c>
      <c r="G7" s="18">
        <v>0</v>
      </c>
      <c r="H7" s="16" t="s">
        <v>12</v>
      </c>
      <c r="J7" s="67"/>
    </row>
    <row r="8" spans="1:11" x14ac:dyDescent="0.2">
      <c r="A8" s="14"/>
      <c r="B8" s="14"/>
      <c r="C8" s="19"/>
      <c r="D8" s="14"/>
      <c r="E8" s="14"/>
      <c r="F8" s="20"/>
      <c r="G8" s="20"/>
      <c r="H8" s="16" t="s">
        <v>12</v>
      </c>
      <c r="J8" s="67"/>
    </row>
    <row r="9" spans="1:11" x14ac:dyDescent="0.2">
      <c r="A9" s="14"/>
      <c r="B9" s="14"/>
      <c r="C9" s="15" t="s">
        <v>14</v>
      </c>
      <c r="D9" s="14"/>
      <c r="E9" s="14"/>
      <c r="F9" s="14"/>
      <c r="G9" s="14"/>
      <c r="H9" s="16" t="s">
        <v>12</v>
      </c>
      <c r="J9" s="67"/>
    </row>
    <row r="10" spans="1:11" x14ac:dyDescent="0.2">
      <c r="A10" s="14"/>
      <c r="B10" s="14"/>
      <c r="C10" s="15" t="s">
        <v>11</v>
      </c>
      <c r="D10" s="14"/>
      <c r="E10" s="14" t="s">
        <v>12</v>
      </c>
      <c r="F10" s="17" t="s">
        <v>13</v>
      </c>
      <c r="G10" s="18">
        <v>0</v>
      </c>
      <c r="H10" s="16" t="s">
        <v>12</v>
      </c>
      <c r="J10" s="67"/>
    </row>
    <row r="11" spans="1:11" x14ac:dyDescent="0.2">
      <c r="A11" s="14"/>
      <c r="B11" s="14"/>
      <c r="C11" s="19"/>
      <c r="D11" s="14"/>
      <c r="E11" s="14"/>
      <c r="F11" s="20"/>
      <c r="G11" s="20"/>
      <c r="H11" s="16" t="s">
        <v>12</v>
      </c>
      <c r="J11" s="67"/>
    </row>
    <row r="12" spans="1:11" ht="15" x14ac:dyDescent="0.2">
      <c r="A12" s="14"/>
      <c r="B12" s="14"/>
      <c r="C12" s="15" t="s">
        <v>15</v>
      </c>
      <c r="D12" s="14"/>
      <c r="E12" s="14"/>
      <c r="F12" s="14"/>
      <c r="G12" s="14"/>
      <c r="H12" s="16" t="s">
        <v>12</v>
      </c>
      <c r="J12" s="69"/>
    </row>
    <row r="13" spans="1:11" x14ac:dyDescent="0.2">
      <c r="A13" s="14"/>
      <c r="B13" s="14"/>
      <c r="C13" s="15" t="s">
        <v>11</v>
      </c>
      <c r="D13" s="14"/>
      <c r="E13" s="14" t="s">
        <v>12</v>
      </c>
      <c r="F13" s="17" t="s">
        <v>13</v>
      </c>
      <c r="G13" s="18">
        <v>0</v>
      </c>
      <c r="H13" s="16" t="s">
        <v>12</v>
      </c>
      <c r="J13" s="70"/>
    </row>
    <row r="14" spans="1:11" x14ac:dyDescent="0.2">
      <c r="A14" s="14"/>
      <c r="B14" s="14"/>
      <c r="C14" s="19"/>
      <c r="D14" s="14"/>
      <c r="E14" s="14"/>
      <c r="F14" s="20"/>
      <c r="G14" s="20"/>
      <c r="H14" s="16" t="s">
        <v>12</v>
      </c>
      <c r="J14" s="70"/>
    </row>
    <row r="15" spans="1:11" ht="25.5" x14ac:dyDescent="0.2">
      <c r="A15" s="14"/>
      <c r="B15" s="14"/>
      <c r="C15" s="15" t="s">
        <v>16</v>
      </c>
      <c r="D15" s="14"/>
      <c r="E15" s="14"/>
      <c r="F15" s="14"/>
      <c r="G15" s="14"/>
      <c r="H15" s="16" t="s">
        <v>12</v>
      </c>
      <c r="J15" s="70" t="s">
        <v>605</v>
      </c>
    </row>
    <row r="16" spans="1:11" x14ac:dyDescent="0.2">
      <c r="A16" s="14"/>
      <c r="B16" s="14"/>
      <c r="C16" s="15" t="s">
        <v>11</v>
      </c>
      <c r="D16" s="14"/>
      <c r="E16" s="14" t="s">
        <v>12</v>
      </c>
      <c r="F16" s="17" t="s">
        <v>13</v>
      </c>
      <c r="G16" s="18">
        <v>0</v>
      </c>
      <c r="H16" s="16" t="s">
        <v>12</v>
      </c>
      <c r="J16" s="67"/>
    </row>
    <row r="17" spans="1:10" x14ac:dyDescent="0.2">
      <c r="A17" s="14"/>
      <c r="B17" s="14"/>
      <c r="C17" s="19"/>
      <c r="D17" s="14"/>
      <c r="E17" s="14"/>
      <c r="F17" s="20"/>
      <c r="G17" s="20"/>
      <c r="H17" s="16" t="s">
        <v>12</v>
      </c>
      <c r="J17" s="67"/>
    </row>
    <row r="18" spans="1:10" x14ac:dyDescent="0.2">
      <c r="A18" s="14"/>
      <c r="B18" s="14"/>
      <c r="C18" s="15" t="s">
        <v>17</v>
      </c>
      <c r="D18" s="14"/>
      <c r="E18" s="14"/>
      <c r="F18" s="20"/>
      <c r="G18" s="20"/>
      <c r="H18" s="16" t="s">
        <v>12</v>
      </c>
      <c r="J18" s="67"/>
    </row>
    <row r="19" spans="1:10" x14ac:dyDescent="0.2">
      <c r="A19" s="14"/>
      <c r="B19" s="14"/>
      <c r="C19" s="15" t="s">
        <v>11</v>
      </c>
      <c r="D19" s="14"/>
      <c r="E19" s="14" t="s">
        <v>12</v>
      </c>
      <c r="F19" s="17" t="s">
        <v>13</v>
      </c>
      <c r="G19" s="18">
        <v>0</v>
      </c>
      <c r="H19" s="16" t="s">
        <v>12</v>
      </c>
      <c r="J19" s="67"/>
    </row>
    <row r="20" spans="1:10" x14ac:dyDescent="0.2">
      <c r="A20" s="14"/>
      <c r="B20" s="14"/>
      <c r="C20" s="19"/>
      <c r="D20" s="14"/>
      <c r="E20" s="14"/>
      <c r="F20" s="20"/>
      <c r="G20" s="20"/>
      <c r="H20" s="16" t="s">
        <v>12</v>
      </c>
      <c r="J20" s="67"/>
    </row>
    <row r="21" spans="1:10" x14ac:dyDescent="0.2">
      <c r="A21" s="14"/>
      <c r="B21" s="14"/>
      <c r="C21" s="15" t="s">
        <v>18</v>
      </c>
      <c r="D21" s="14"/>
      <c r="E21" s="14"/>
      <c r="F21" s="20"/>
      <c r="G21" s="20"/>
      <c r="H21" s="16" t="s">
        <v>12</v>
      </c>
      <c r="J21" s="67"/>
    </row>
    <row r="22" spans="1:10" ht="15" x14ac:dyDescent="0.2">
      <c r="A22" s="14"/>
      <c r="B22" s="14"/>
      <c r="C22" s="15" t="s">
        <v>11</v>
      </c>
      <c r="D22" s="14"/>
      <c r="E22" s="14" t="s">
        <v>12</v>
      </c>
      <c r="F22" s="17" t="s">
        <v>13</v>
      </c>
      <c r="G22" s="18">
        <v>0</v>
      </c>
      <c r="H22" s="16" t="s">
        <v>12</v>
      </c>
      <c r="J22" s="69"/>
    </row>
    <row r="23" spans="1:10" x14ac:dyDescent="0.2">
      <c r="A23" s="14"/>
      <c r="B23" s="14"/>
      <c r="C23" s="19"/>
      <c r="D23" s="14"/>
      <c r="E23" s="14"/>
      <c r="F23" s="20"/>
      <c r="G23" s="20"/>
      <c r="H23" s="16" t="s">
        <v>12</v>
      </c>
      <c r="J23" s="70"/>
    </row>
    <row r="24" spans="1:10" x14ac:dyDescent="0.2">
      <c r="A24" s="14"/>
      <c r="B24" s="14"/>
      <c r="C24" s="15" t="s">
        <v>19</v>
      </c>
      <c r="D24" s="14"/>
      <c r="E24" s="14"/>
      <c r="F24" s="21">
        <v>0</v>
      </c>
      <c r="G24" s="18">
        <v>0</v>
      </c>
      <c r="H24" s="16" t="s">
        <v>12</v>
      </c>
      <c r="J24" s="67"/>
    </row>
    <row r="25" spans="1:10" x14ac:dyDescent="0.2">
      <c r="A25" s="14"/>
      <c r="B25" s="14"/>
      <c r="C25" s="19"/>
      <c r="D25" s="14"/>
      <c r="E25" s="14"/>
      <c r="F25" s="20"/>
      <c r="G25" s="20"/>
      <c r="H25" s="16" t="s">
        <v>12</v>
      </c>
      <c r="J25" s="67"/>
    </row>
    <row r="26" spans="1:10" x14ac:dyDescent="0.2">
      <c r="A26" s="14"/>
      <c r="B26" s="14"/>
      <c r="C26" s="15" t="s">
        <v>20</v>
      </c>
      <c r="D26" s="14"/>
      <c r="E26" s="14"/>
      <c r="F26" s="20"/>
      <c r="G26" s="20"/>
      <c r="H26" s="16" t="s">
        <v>12</v>
      </c>
      <c r="J26" s="67"/>
    </row>
    <row r="27" spans="1:10" x14ac:dyDescent="0.2">
      <c r="A27" s="14"/>
      <c r="B27" s="14"/>
      <c r="C27" s="15" t="s">
        <v>10</v>
      </c>
      <c r="D27" s="14"/>
      <c r="E27" s="14"/>
      <c r="F27" s="20"/>
      <c r="G27" s="20"/>
      <c r="H27" s="16" t="s">
        <v>12</v>
      </c>
      <c r="J27" s="70"/>
    </row>
    <row r="28" spans="1:10" ht="25.5" x14ac:dyDescent="0.2">
      <c r="A28" s="14"/>
      <c r="B28" s="14"/>
      <c r="C28" s="15" t="s">
        <v>11</v>
      </c>
      <c r="D28" s="14"/>
      <c r="E28" s="14" t="s">
        <v>12</v>
      </c>
      <c r="F28" s="17" t="s">
        <v>13</v>
      </c>
      <c r="G28" s="18">
        <v>0</v>
      </c>
      <c r="H28" s="16" t="s">
        <v>12</v>
      </c>
      <c r="J28" s="70" t="s">
        <v>606</v>
      </c>
    </row>
    <row r="29" spans="1:10" x14ac:dyDescent="0.2">
      <c r="A29" s="14"/>
      <c r="B29" s="14"/>
      <c r="C29" s="19"/>
      <c r="D29" s="14"/>
      <c r="E29" s="14"/>
      <c r="F29" s="20"/>
      <c r="G29" s="20"/>
      <c r="H29" s="16" t="s">
        <v>12</v>
      </c>
      <c r="J29" s="70"/>
    </row>
    <row r="30" spans="1:10" x14ac:dyDescent="0.2">
      <c r="A30" s="14"/>
      <c r="B30" s="14"/>
      <c r="C30" s="15" t="s">
        <v>67</v>
      </c>
      <c r="D30" s="14"/>
      <c r="E30" s="14"/>
      <c r="F30" s="14"/>
      <c r="G30" s="14"/>
      <c r="H30" s="16" t="s">
        <v>12</v>
      </c>
      <c r="J30" s="67"/>
    </row>
    <row r="31" spans="1:10" x14ac:dyDescent="0.2">
      <c r="A31" s="14"/>
      <c r="B31" s="14"/>
      <c r="C31" s="15" t="s">
        <v>11</v>
      </c>
      <c r="D31" s="14"/>
      <c r="E31" s="14" t="s">
        <v>12</v>
      </c>
      <c r="F31" s="17" t="s">
        <v>13</v>
      </c>
      <c r="G31" s="18">
        <v>0</v>
      </c>
      <c r="H31" s="16" t="s">
        <v>12</v>
      </c>
      <c r="J31" s="67"/>
    </row>
    <row r="32" spans="1:10" x14ac:dyDescent="0.2">
      <c r="A32" s="14"/>
      <c r="B32" s="14"/>
      <c r="C32" s="19"/>
      <c r="D32" s="14"/>
      <c r="E32" s="14"/>
      <c r="F32" s="20"/>
      <c r="G32" s="20"/>
      <c r="H32" s="16" t="s">
        <v>12</v>
      </c>
      <c r="J32" s="67"/>
    </row>
    <row r="33" spans="1:10" x14ac:dyDescent="0.2">
      <c r="A33" s="14"/>
      <c r="B33" s="14"/>
      <c r="C33" s="15" t="s">
        <v>68</v>
      </c>
      <c r="D33" s="14"/>
      <c r="E33" s="14"/>
      <c r="F33" s="14"/>
      <c r="G33" s="14"/>
      <c r="H33" s="16" t="s">
        <v>12</v>
      </c>
      <c r="J33" s="67"/>
    </row>
    <row r="34" spans="1:10" x14ac:dyDescent="0.2">
      <c r="A34" s="14"/>
      <c r="B34" s="14"/>
      <c r="C34" s="15" t="s">
        <v>11</v>
      </c>
      <c r="D34" s="14"/>
      <c r="E34" s="14" t="s">
        <v>12</v>
      </c>
      <c r="F34" s="17" t="s">
        <v>13</v>
      </c>
      <c r="G34" s="18">
        <v>0</v>
      </c>
      <c r="H34" s="16" t="s">
        <v>12</v>
      </c>
      <c r="J34" s="67"/>
    </row>
    <row r="35" spans="1:10" x14ac:dyDescent="0.2">
      <c r="A35" s="14"/>
      <c r="B35" s="14"/>
      <c r="C35" s="19"/>
      <c r="D35" s="14"/>
      <c r="E35" s="14"/>
      <c r="F35" s="20"/>
      <c r="G35" s="20"/>
      <c r="H35" s="16" t="s">
        <v>12</v>
      </c>
      <c r="J35" s="67"/>
    </row>
    <row r="36" spans="1:10" x14ac:dyDescent="0.2">
      <c r="A36" s="14"/>
      <c r="B36" s="14"/>
      <c r="C36" s="15" t="s">
        <v>82</v>
      </c>
      <c r="D36" s="14"/>
      <c r="E36" s="14"/>
      <c r="F36" s="20"/>
      <c r="G36" s="20"/>
      <c r="H36" s="16" t="s">
        <v>12</v>
      </c>
      <c r="J36" s="67"/>
    </row>
    <row r="37" spans="1:10" x14ac:dyDescent="0.2">
      <c r="A37" s="14"/>
      <c r="B37" s="14"/>
      <c r="C37" s="15" t="s">
        <v>11</v>
      </c>
      <c r="D37" s="14"/>
      <c r="E37" s="14" t="s">
        <v>12</v>
      </c>
      <c r="F37" s="17" t="s">
        <v>13</v>
      </c>
      <c r="G37" s="18">
        <v>0</v>
      </c>
      <c r="H37" s="16" t="s">
        <v>12</v>
      </c>
      <c r="J37" s="67"/>
    </row>
    <row r="38" spans="1:10" x14ac:dyDescent="0.2">
      <c r="A38" s="14"/>
      <c r="B38" s="14"/>
      <c r="C38" s="19"/>
      <c r="D38" s="14"/>
      <c r="E38" s="14"/>
      <c r="F38" s="20"/>
      <c r="G38" s="20"/>
      <c r="H38" s="16" t="s">
        <v>12</v>
      </c>
      <c r="J38" s="67"/>
    </row>
    <row r="39" spans="1:10" x14ac:dyDescent="0.2">
      <c r="A39" s="14"/>
      <c r="B39" s="14"/>
      <c r="C39" s="15" t="s">
        <v>83</v>
      </c>
      <c r="D39" s="14"/>
      <c r="E39" s="14"/>
      <c r="F39" s="21">
        <v>0</v>
      </c>
      <c r="G39" s="18">
        <v>0</v>
      </c>
      <c r="H39" s="16" t="s">
        <v>12</v>
      </c>
      <c r="J39" s="67"/>
    </row>
    <row r="40" spans="1:10" x14ac:dyDescent="0.2">
      <c r="A40" s="14"/>
      <c r="B40" s="14"/>
      <c r="C40" s="19"/>
      <c r="D40" s="14"/>
      <c r="E40" s="14"/>
      <c r="F40" s="20"/>
      <c r="G40" s="20"/>
      <c r="H40" s="16" t="s">
        <v>12</v>
      </c>
      <c r="J40" s="67"/>
    </row>
    <row r="41" spans="1:10" x14ac:dyDescent="0.2">
      <c r="A41" s="14"/>
      <c r="B41" s="14"/>
      <c r="C41" s="15" t="s">
        <v>84</v>
      </c>
      <c r="D41" s="14"/>
      <c r="E41" s="14"/>
      <c r="F41" s="20"/>
      <c r="G41" s="20"/>
      <c r="H41" s="16" t="s">
        <v>12</v>
      </c>
      <c r="J41" s="67"/>
    </row>
    <row r="42" spans="1:10" x14ac:dyDescent="0.2">
      <c r="A42" s="14"/>
      <c r="B42" s="14"/>
      <c r="C42" s="15" t="s">
        <v>85</v>
      </c>
      <c r="D42" s="14"/>
      <c r="E42" s="14"/>
      <c r="F42" s="20"/>
      <c r="G42" s="20"/>
      <c r="H42" s="16" t="s">
        <v>12</v>
      </c>
      <c r="J42" s="67"/>
    </row>
    <row r="43" spans="1:10" x14ac:dyDescent="0.2">
      <c r="A43" s="22">
        <v>1</v>
      </c>
      <c r="B43" s="23" t="s">
        <v>142</v>
      </c>
      <c r="C43" s="23" t="s">
        <v>143</v>
      </c>
      <c r="D43" s="23" t="s">
        <v>144</v>
      </c>
      <c r="E43" s="24">
        <v>400</v>
      </c>
      <c r="F43" s="25">
        <v>1930.0840000000001</v>
      </c>
      <c r="G43" s="26">
        <v>8.3969020000000005E-2</v>
      </c>
      <c r="H43" s="16">
        <v>7.47</v>
      </c>
      <c r="J43" s="67"/>
    </row>
    <row r="44" spans="1:10" x14ac:dyDescent="0.2">
      <c r="A44" s="22">
        <v>2</v>
      </c>
      <c r="B44" s="23" t="s">
        <v>145</v>
      </c>
      <c r="C44" s="23" t="s">
        <v>146</v>
      </c>
      <c r="D44" s="23" t="s">
        <v>147</v>
      </c>
      <c r="E44" s="24">
        <v>300</v>
      </c>
      <c r="F44" s="25">
        <v>1449.126</v>
      </c>
      <c r="G44" s="26">
        <v>6.3044760000000005E-2</v>
      </c>
      <c r="H44" s="16">
        <v>7.45</v>
      </c>
      <c r="J44" s="67"/>
    </row>
    <row r="45" spans="1:10" x14ac:dyDescent="0.2">
      <c r="A45" s="22">
        <v>3</v>
      </c>
      <c r="B45" s="23" t="s">
        <v>148</v>
      </c>
      <c r="C45" s="23" t="s">
        <v>149</v>
      </c>
      <c r="D45" s="23" t="s">
        <v>144</v>
      </c>
      <c r="E45" s="24">
        <v>300</v>
      </c>
      <c r="F45" s="25">
        <v>1440.8655000000001</v>
      </c>
      <c r="G45" s="26">
        <v>6.2685389999999994E-2</v>
      </c>
      <c r="H45" s="16">
        <v>7.49</v>
      </c>
      <c r="J45" s="67"/>
    </row>
    <row r="46" spans="1:10" x14ac:dyDescent="0.2">
      <c r="A46" s="22">
        <v>4</v>
      </c>
      <c r="B46" s="23" t="s">
        <v>150</v>
      </c>
      <c r="C46" s="23" t="s">
        <v>151</v>
      </c>
      <c r="D46" s="23" t="s">
        <v>144</v>
      </c>
      <c r="E46" s="24">
        <v>300</v>
      </c>
      <c r="F46" s="25">
        <v>1421.94</v>
      </c>
      <c r="G46" s="26">
        <v>6.1862029999999998E-2</v>
      </c>
      <c r="H46" s="16">
        <v>7.59</v>
      </c>
      <c r="J46" s="67"/>
    </row>
    <row r="47" spans="1:10" x14ac:dyDescent="0.2">
      <c r="A47" s="22">
        <v>5</v>
      </c>
      <c r="B47" s="23" t="s">
        <v>152</v>
      </c>
      <c r="C47" s="23" t="s">
        <v>153</v>
      </c>
      <c r="D47" s="23" t="s">
        <v>144</v>
      </c>
      <c r="E47" s="24">
        <v>200</v>
      </c>
      <c r="F47" s="25">
        <v>979.77599999999995</v>
      </c>
      <c r="G47" s="26">
        <v>4.262552E-2</v>
      </c>
      <c r="H47" s="16">
        <v>7.3150000000000004</v>
      </c>
      <c r="J47" s="67"/>
    </row>
    <row r="48" spans="1:10" ht="25.5" x14ac:dyDescent="0.2">
      <c r="A48" s="22">
        <v>6</v>
      </c>
      <c r="B48" s="23" t="s">
        <v>154</v>
      </c>
      <c r="C48" s="23" t="s">
        <v>155</v>
      </c>
      <c r="D48" s="23" t="s">
        <v>144</v>
      </c>
      <c r="E48" s="24">
        <v>200</v>
      </c>
      <c r="F48" s="25">
        <v>967.30600000000004</v>
      </c>
      <c r="G48" s="26">
        <v>4.2083009999999997E-2</v>
      </c>
      <c r="H48" s="16">
        <v>7.5225</v>
      </c>
      <c r="J48" s="67"/>
    </row>
    <row r="49" spans="1:10" x14ac:dyDescent="0.2">
      <c r="A49" s="22">
        <v>7</v>
      </c>
      <c r="B49" s="23" t="s">
        <v>156</v>
      </c>
      <c r="C49" s="23" t="s">
        <v>157</v>
      </c>
      <c r="D49" s="23" t="s">
        <v>144</v>
      </c>
      <c r="E49" s="24">
        <v>200</v>
      </c>
      <c r="F49" s="25">
        <v>965.83500000000004</v>
      </c>
      <c r="G49" s="26">
        <v>4.2019010000000002E-2</v>
      </c>
      <c r="H49" s="16">
        <v>7.5067000000000004</v>
      </c>
      <c r="J49" s="67"/>
    </row>
    <row r="50" spans="1:10" x14ac:dyDescent="0.2">
      <c r="A50" s="22">
        <v>8</v>
      </c>
      <c r="B50" s="23" t="s">
        <v>158</v>
      </c>
      <c r="C50" s="23" t="s">
        <v>159</v>
      </c>
      <c r="D50" s="23" t="s">
        <v>144</v>
      </c>
      <c r="E50" s="24">
        <v>200</v>
      </c>
      <c r="F50" s="25">
        <v>962.66499999999996</v>
      </c>
      <c r="G50" s="26">
        <v>4.1881099999999997E-2</v>
      </c>
      <c r="H50" s="16">
        <v>7.57</v>
      </c>
      <c r="J50" s="67"/>
    </row>
    <row r="51" spans="1:10" x14ac:dyDescent="0.2">
      <c r="A51" s="22">
        <v>9</v>
      </c>
      <c r="B51" s="23" t="s">
        <v>160</v>
      </c>
      <c r="C51" s="23" t="s">
        <v>161</v>
      </c>
      <c r="D51" s="23" t="s">
        <v>162</v>
      </c>
      <c r="E51" s="24">
        <v>160</v>
      </c>
      <c r="F51" s="25">
        <v>748.90800000000002</v>
      </c>
      <c r="G51" s="26">
        <v>3.2581520000000003E-2</v>
      </c>
      <c r="H51" s="16">
        <v>7.6150000000000002</v>
      </c>
      <c r="J51" s="67"/>
    </row>
    <row r="52" spans="1:10" x14ac:dyDescent="0.2">
      <c r="A52" s="22">
        <v>10</v>
      </c>
      <c r="B52" s="23" t="s">
        <v>163</v>
      </c>
      <c r="C52" s="23" t="s">
        <v>164</v>
      </c>
      <c r="D52" s="23" t="s">
        <v>144</v>
      </c>
      <c r="E52" s="24">
        <v>140</v>
      </c>
      <c r="F52" s="25">
        <v>675.73869999999999</v>
      </c>
      <c r="G52" s="26">
        <v>2.9398259999999999E-2</v>
      </c>
      <c r="H52" s="16">
        <v>7.5750000000000002</v>
      </c>
      <c r="J52" s="67"/>
    </row>
    <row r="53" spans="1:10" x14ac:dyDescent="0.2">
      <c r="A53" s="22">
        <v>11</v>
      </c>
      <c r="B53" s="23" t="s">
        <v>165</v>
      </c>
      <c r="C53" s="23" t="s">
        <v>166</v>
      </c>
      <c r="D53" s="23" t="s">
        <v>144</v>
      </c>
      <c r="E53" s="24">
        <v>140</v>
      </c>
      <c r="F53" s="25">
        <v>675.31730000000005</v>
      </c>
      <c r="G53" s="26">
        <v>2.9379929999999999E-2</v>
      </c>
      <c r="H53" s="16">
        <v>7.58</v>
      </c>
      <c r="J53" s="67"/>
    </row>
    <row r="54" spans="1:10" x14ac:dyDescent="0.2">
      <c r="A54" s="22">
        <v>12</v>
      </c>
      <c r="B54" s="23" t="s">
        <v>167</v>
      </c>
      <c r="C54" s="23" t="s">
        <v>168</v>
      </c>
      <c r="D54" s="23" t="s">
        <v>162</v>
      </c>
      <c r="E54" s="24">
        <v>100</v>
      </c>
      <c r="F54" s="25">
        <v>485.03300000000002</v>
      </c>
      <c r="G54" s="26">
        <v>2.1101539999999998E-2</v>
      </c>
      <c r="H54" s="16">
        <v>7.4100999999999999</v>
      </c>
      <c r="J54" s="67"/>
    </row>
    <row r="55" spans="1:10" x14ac:dyDescent="0.2">
      <c r="A55" s="22">
        <v>13</v>
      </c>
      <c r="B55" s="23" t="s">
        <v>169</v>
      </c>
      <c r="C55" s="23" t="s">
        <v>170</v>
      </c>
      <c r="D55" s="23" t="s">
        <v>144</v>
      </c>
      <c r="E55" s="24">
        <v>100</v>
      </c>
      <c r="F55" s="25">
        <v>484.31</v>
      </c>
      <c r="G55" s="26">
        <v>2.107009E-2</v>
      </c>
      <c r="H55" s="16">
        <v>7.5800999999999998</v>
      </c>
      <c r="J55" s="67"/>
    </row>
    <row r="56" spans="1:10" x14ac:dyDescent="0.2">
      <c r="A56" s="22">
        <v>14</v>
      </c>
      <c r="B56" s="23" t="s">
        <v>171</v>
      </c>
      <c r="C56" s="23" t="s">
        <v>172</v>
      </c>
      <c r="D56" s="23" t="s">
        <v>162</v>
      </c>
      <c r="E56" s="24">
        <v>100</v>
      </c>
      <c r="F56" s="25">
        <v>482.28500000000003</v>
      </c>
      <c r="G56" s="26">
        <v>2.0981989999999999E-2</v>
      </c>
      <c r="H56" s="16">
        <v>7.4901</v>
      </c>
      <c r="J56" s="67"/>
    </row>
    <row r="57" spans="1:10" x14ac:dyDescent="0.2">
      <c r="A57" s="22">
        <v>15</v>
      </c>
      <c r="B57" s="23" t="s">
        <v>173</v>
      </c>
      <c r="C57" s="23" t="s">
        <v>174</v>
      </c>
      <c r="D57" s="23" t="s">
        <v>144</v>
      </c>
      <c r="E57" s="24">
        <v>100</v>
      </c>
      <c r="F57" s="25">
        <v>471.03550000000001</v>
      </c>
      <c r="G57" s="26">
        <v>2.0492570000000002E-2</v>
      </c>
      <c r="H57" s="16">
        <v>7.5824999999999996</v>
      </c>
      <c r="J57" s="67"/>
    </row>
    <row r="58" spans="1:10" x14ac:dyDescent="0.2">
      <c r="A58" s="14"/>
      <c r="B58" s="14"/>
      <c r="C58" s="15" t="s">
        <v>11</v>
      </c>
      <c r="D58" s="14"/>
      <c r="E58" s="14" t="s">
        <v>12</v>
      </c>
      <c r="F58" s="21">
        <v>14140.225</v>
      </c>
      <c r="G58" s="18">
        <v>0.61517573999999997</v>
      </c>
      <c r="H58" s="16" t="s">
        <v>12</v>
      </c>
      <c r="J58" s="67"/>
    </row>
    <row r="59" spans="1:10" x14ac:dyDescent="0.2">
      <c r="A59" s="14"/>
      <c r="B59" s="14"/>
      <c r="C59" s="19"/>
      <c r="D59" s="14"/>
      <c r="E59" s="14"/>
      <c r="F59" s="20"/>
      <c r="G59" s="20"/>
      <c r="H59" s="16" t="s">
        <v>12</v>
      </c>
      <c r="J59" s="67"/>
    </row>
    <row r="60" spans="1:10" x14ac:dyDescent="0.2">
      <c r="A60" s="14"/>
      <c r="B60" s="14"/>
      <c r="C60" s="15" t="s">
        <v>86</v>
      </c>
      <c r="D60" s="14"/>
      <c r="E60" s="14"/>
      <c r="F60" s="20"/>
      <c r="G60" s="20"/>
      <c r="H60" s="16" t="s">
        <v>12</v>
      </c>
      <c r="J60" s="67"/>
    </row>
    <row r="61" spans="1:10" ht="25.5" x14ac:dyDescent="0.2">
      <c r="A61" s="22">
        <v>1</v>
      </c>
      <c r="B61" s="23" t="s">
        <v>175</v>
      </c>
      <c r="C61" s="23" t="s">
        <v>176</v>
      </c>
      <c r="D61" s="23" t="s">
        <v>144</v>
      </c>
      <c r="E61" s="24">
        <v>200</v>
      </c>
      <c r="F61" s="25">
        <v>984.62</v>
      </c>
      <c r="G61" s="26">
        <v>4.2836260000000001E-2</v>
      </c>
      <c r="H61" s="16">
        <v>7.81</v>
      </c>
      <c r="J61" s="67"/>
    </row>
    <row r="62" spans="1:10" ht="25.5" x14ac:dyDescent="0.2">
      <c r="A62" s="22">
        <v>2</v>
      </c>
      <c r="B62" s="23" t="s">
        <v>177</v>
      </c>
      <c r="C62" s="23" t="s">
        <v>178</v>
      </c>
      <c r="D62" s="23" t="s">
        <v>144</v>
      </c>
      <c r="E62" s="24">
        <v>200</v>
      </c>
      <c r="F62" s="25">
        <v>978.87900000000002</v>
      </c>
      <c r="G62" s="26">
        <v>4.2586489999999998E-2</v>
      </c>
      <c r="H62" s="16">
        <v>7.9550000000000001</v>
      </c>
      <c r="J62" s="67"/>
    </row>
    <row r="63" spans="1:10" x14ac:dyDescent="0.2">
      <c r="A63" s="22">
        <v>3</v>
      </c>
      <c r="B63" s="23" t="s">
        <v>179</v>
      </c>
      <c r="C63" s="23" t="s">
        <v>180</v>
      </c>
      <c r="D63" s="23" t="s">
        <v>144</v>
      </c>
      <c r="E63" s="24">
        <v>200</v>
      </c>
      <c r="F63" s="25">
        <v>963.68799999999999</v>
      </c>
      <c r="G63" s="26">
        <v>4.19256E-2</v>
      </c>
      <c r="H63" s="16">
        <v>7.95</v>
      </c>
      <c r="J63" s="67"/>
    </row>
    <row r="64" spans="1:10" x14ac:dyDescent="0.2">
      <c r="A64" s="22">
        <v>4</v>
      </c>
      <c r="B64" s="23" t="s">
        <v>181</v>
      </c>
      <c r="C64" s="23" t="s">
        <v>182</v>
      </c>
      <c r="D64" s="23" t="s">
        <v>144</v>
      </c>
      <c r="E64" s="24">
        <v>200</v>
      </c>
      <c r="F64" s="25">
        <v>960.23500000000001</v>
      </c>
      <c r="G64" s="26">
        <v>4.1775380000000001E-2</v>
      </c>
      <c r="H64" s="16">
        <v>7.52</v>
      </c>
      <c r="J64" s="67"/>
    </row>
    <row r="65" spans="1:10" ht="25.5" x14ac:dyDescent="0.2">
      <c r="A65" s="22">
        <v>5</v>
      </c>
      <c r="B65" s="23" t="s">
        <v>183</v>
      </c>
      <c r="C65" s="23" t="s">
        <v>184</v>
      </c>
      <c r="D65" s="23" t="s">
        <v>144</v>
      </c>
      <c r="E65" s="24">
        <v>200</v>
      </c>
      <c r="F65" s="25">
        <v>946.38199999999995</v>
      </c>
      <c r="G65" s="26">
        <v>4.11727E-2</v>
      </c>
      <c r="H65" s="16">
        <v>7.6875</v>
      </c>
      <c r="J65" s="67"/>
    </row>
    <row r="66" spans="1:10" x14ac:dyDescent="0.2">
      <c r="A66" s="14"/>
      <c r="B66" s="14"/>
      <c r="C66" s="15" t="s">
        <v>11</v>
      </c>
      <c r="D66" s="14"/>
      <c r="E66" s="14" t="s">
        <v>12</v>
      </c>
      <c r="F66" s="21">
        <v>4833.8040000000001</v>
      </c>
      <c r="G66" s="18">
        <v>0.21029643000000001</v>
      </c>
      <c r="H66" s="16" t="s">
        <v>12</v>
      </c>
      <c r="J66" s="67"/>
    </row>
    <row r="67" spans="1:10" x14ac:dyDescent="0.2">
      <c r="A67" s="14"/>
      <c r="B67" s="14"/>
      <c r="C67" s="19"/>
      <c r="D67" s="14"/>
      <c r="E67" s="14"/>
      <c r="F67" s="20"/>
      <c r="G67" s="20"/>
      <c r="H67" s="16" t="s">
        <v>12</v>
      </c>
      <c r="J67" s="67"/>
    </row>
    <row r="68" spans="1:10" x14ac:dyDescent="0.2">
      <c r="A68" s="14"/>
      <c r="B68" s="14"/>
      <c r="C68" s="15" t="s">
        <v>87</v>
      </c>
      <c r="D68" s="14"/>
      <c r="E68" s="14"/>
      <c r="F68" s="20"/>
      <c r="G68" s="20"/>
      <c r="H68" s="16" t="s">
        <v>12</v>
      </c>
      <c r="J68" s="67"/>
    </row>
    <row r="69" spans="1:10" x14ac:dyDescent="0.2">
      <c r="A69" s="22">
        <v>1</v>
      </c>
      <c r="B69" s="23" t="s">
        <v>185</v>
      </c>
      <c r="C69" s="23" t="s">
        <v>186</v>
      </c>
      <c r="D69" s="23" t="s">
        <v>71</v>
      </c>
      <c r="E69" s="24">
        <v>1000000</v>
      </c>
      <c r="F69" s="25">
        <v>955.08500000000004</v>
      </c>
      <c r="G69" s="26">
        <v>4.1551329999999997E-2</v>
      </c>
      <c r="H69" s="16">
        <v>6.7050000000000001</v>
      </c>
      <c r="J69" s="67"/>
    </row>
    <row r="70" spans="1:10" x14ac:dyDescent="0.2">
      <c r="A70" s="14"/>
      <c r="B70" s="14"/>
      <c r="C70" s="15" t="s">
        <v>11</v>
      </c>
      <c r="D70" s="14"/>
      <c r="E70" s="14" t="s">
        <v>12</v>
      </c>
      <c r="F70" s="21">
        <v>955.08500000000004</v>
      </c>
      <c r="G70" s="18">
        <v>4.1551329999999997E-2</v>
      </c>
      <c r="H70" s="16" t="s">
        <v>12</v>
      </c>
      <c r="J70" s="67"/>
    </row>
    <row r="71" spans="1:10" x14ac:dyDescent="0.2">
      <c r="A71" s="14"/>
      <c r="B71" s="14"/>
      <c r="C71" s="19"/>
      <c r="D71" s="14"/>
      <c r="E71" s="14"/>
      <c r="F71" s="20"/>
      <c r="G71" s="20"/>
      <c r="H71" s="16" t="s">
        <v>12</v>
      </c>
      <c r="J71" s="67"/>
    </row>
    <row r="72" spans="1:10" x14ac:dyDescent="0.2">
      <c r="A72" s="14"/>
      <c r="B72" s="14"/>
      <c r="C72" s="15" t="s">
        <v>88</v>
      </c>
      <c r="D72" s="14"/>
      <c r="E72" s="14"/>
      <c r="F72" s="20"/>
      <c r="G72" s="20"/>
      <c r="H72" s="16" t="s">
        <v>12</v>
      </c>
      <c r="J72" s="67"/>
    </row>
    <row r="73" spans="1:10" x14ac:dyDescent="0.2">
      <c r="A73" s="22">
        <v>1</v>
      </c>
      <c r="B73" s="23"/>
      <c r="C73" s="23" t="s">
        <v>89</v>
      </c>
      <c r="D73" s="23"/>
      <c r="E73" s="27"/>
      <c r="F73" s="25">
        <v>2947.1338824019999</v>
      </c>
      <c r="G73" s="26">
        <v>0.12821615</v>
      </c>
      <c r="H73" s="16">
        <v>6.4323820691937481</v>
      </c>
      <c r="J73" s="67"/>
    </row>
    <row r="74" spans="1:10" x14ac:dyDescent="0.2">
      <c r="A74" s="14"/>
      <c r="B74" s="14"/>
      <c r="C74" s="15" t="s">
        <v>11</v>
      </c>
      <c r="D74" s="14"/>
      <c r="E74" s="14" t="s">
        <v>12</v>
      </c>
      <c r="F74" s="21">
        <v>2947.1338824019999</v>
      </c>
      <c r="G74" s="18">
        <v>0.12821615</v>
      </c>
      <c r="H74" s="16" t="s">
        <v>12</v>
      </c>
      <c r="J74" s="67"/>
    </row>
    <row r="75" spans="1:10" x14ac:dyDescent="0.2">
      <c r="A75" s="14"/>
      <c r="B75" s="14"/>
      <c r="C75" s="19"/>
      <c r="D75" s="14"/>
      <c r="E75" s="14"/>
      <c r="F75" s="20"/>
      <c r="G75" s="20"/>
      <c r="H75" s="16" t="s">
        <v>12</v>
      </c>
      <c r="J75" s="67"/>
    </row>
    <row r="76" spans="1:10" x14ac:dyDescent="0.2">
      <c r="A76" s="14"/>
      <c r="B76" s="14"/>
      <c r="C76" s="15" t="s">
        <v>90</v>
      </c>
      <c r="D76" s="14"/>
      <c r="E76" s="14"/>
      <c r="F76" s="21">
        <v>22876.247882402</v>
      </c>
      <c r="G76" s="18">
        <v>0.99523965000000003</v>
      </c>
      <c r="H76" s="16" t="s">
        <v>12</v>
      </c>
      <c r="J76" s="67"/>
    </row>
    <row r="77" spans="1:10" x14ac:dyDescent="0.2">
      <c r="A77" s="14"/>
      <c r="B77" s="14"/>
      <c r="C77" s="20"/>
      <c r="D77" s="14"/>
      <c r="E77" s="14"/>
      <c r="F77" s="14"/>
      <c r="G77" s="14"/>
      <c r="H77" s="16" t="s">
        <v>12</v>
      </c>
      <c r="J77" s="67"/>
    </row>
    <row r="78" spans="1:10" x14ac:dyDescent="0.2">
      <c r="A78" s="14"/>
      <c r="B78" s="14"/>
      <c r="C78" s="15" t="s">
        <v>91</v>
      </c>
      <c r="D78" s="14"/>
      <c r="E78" s="14"/>
      <c r="F78" s="14"/>
      <c r="G78" s="14"/>
      <c r="H78" s="16" t="s">
        <v>12</v>
      </c>
      <c r="J78" s="67"/>
    </row>
    <row r="79" spans="1:10" x14ac:dyDescent="0.2">
      <c r="A79" s="14"/>
      <c r="B79" s="14"/>
      <c r="C79" s="15" t="s">
        <v>92</v>
      </c>
      <c r="D79" s="14"/>
      <c r="E79" s="14"/>
      <c r="F79" s="14"/>
      <c r="G79" s="14"/>
      <c r="H79" s="16" t="s">
        <v>12</v>
      </c>
      <c r="J79" s="67"/>
    </row>
    <row r="80" spans="1:10" x14ac:dyDescent="0.2">
      <c r="A80" s="14"/>
      <c r="B80" s="14"/>
      <c r="C80" s="15" t="s">
        <v>11</v>
      </c>
      <c r="D80" s="14"/>
      <c r="E80" s="14" t="s">
        <v>12</v>
      </c>
      <c r="F80" s="17" t="s">
        <v>13</v>
      </c>
      <c r="G80" s="18">
        <v>0</v>
      </c>
      <c r="H80" s="16" t="s">
        <v>12</v>
      </c>
      <c r="J80" s="67"/>
    </row>
    <row r="81" spans="1:18" x14ac:dyDescent="0.2">
      <c r="A81" s="14"/>
      <c r="B81" s="14"/>
      <c r="C81" s="19"/>
      <c r="D81" s="14"/>
      <c r="E81" s="14"/>
      <c r="F81" s="20"/>
      <c r="G81" s="20"/>
      <c r="H81" s="16" t="s">
        <v>12</v>
      </c>
      <c r="J81" s="67"/>
    </row>
    <row r="82" spans="1:18" x14ac:dyDescent="0.2">
      <c r="A82" s="28"/>
      <c r="B82" s="28"/>
      <c r="C82" s="29" t="s">
        <v>536</v>
      </c>
      <c r="D82" s="28"/>
      <c r="E82" s="28"/>
      <c r="F82" s="30"/>
      <c r="G82" s="30"/>
      <c r="H82" s="31"/>
      <c r="J82" s="67"/>
      <c r="L82" s="32"/>
      <c r="M82" s="32"/>
      <c r="N82" s="32"/>
      <c r="O82" s="32"/>
      <c r="P82" s="33"/>
      <c r="Q82" s="33"/>
      <c r="R82" s="33"/>
    </row>
    <row r="83" spans="1:18" x14ac:dyDescent="0.2">
      <c r="A83" s="22">
        <v>1</v>
      </c>
      <c r="B83" s="23" t="s">
        <v>93</v>
      </c>
      <c r="C83" s="23" t="s">
        <v>94</v>
      </c>
      <c r="D83" s="23"/>
      <c r="E83" s="34">
        <v>649.726</v>
      </c>
      <c r="F83" s="25">
        <v>67.357232812000007</v>
      </c>
      <c r="G83" s="26">
        <v>2.9304000000000001E-3</v>
      </c>
      <c r="H83" s="16"/>
      <c r="J83" s="67"/>
    </row>
    <row r="84" spans="1:18" x14ac:dyDescent="0.2">
      <c r="A84" s="14"/>
      <c r="B84" s="14"/>
      <c r="C84" s="15" t="s">
        <v>11</v>
      </c>
      <c r="D84" s="14"/>
      <c r="E84" s="14" t="s">
        <v>12</v>
      </c>
      <c r="F84" s="21">
        <v>67.357232812000007</v>
      </c>
      <c r="G84" s="18">
        <v>2.9304000000000001E-3</v>
      </c>
      <c r="H84" s="16" t="s">
        <v>12</v>
      </c>
      <c r="J84" s="67"/>
    </row>
    <row r="85" spans="1:18" x14ac:dyDescent="0.2">
      <c r="A85" s="14"/>
      <c r="B85" s="14"/>
      <c r="C85" s="19"/>
      <c r="D85" s="14"/>
      <c r="E85" s="14"/>
      <c r="F85" s="20"/>
      <c r="G85" s="20"/>
      <c r="H85" s="16" t="s">
        <v>12</v>
      </c>
      <c r="J85" s="67"/>
    </row>
    <row r="86" spans="1:18" x14ac:dyDescent="0.2">
      <c r="A86" s="14"/>
      <c r="B86" s="14"/>
      <c r="C86" s="15" t="s">
        <v>95</v>
      </c>
      <c r="D86" s="14"/>
      <c r="E86" s="14"/>
      <c r="F86" s="14"/>
      <c r="G86" s="14"/>
      <c r="H86" s="16" t="s">
        <v>12</v>
      </c>
      <c r="J86" s="67"/>
    </row>
    <row r="87" spans="1:18" x14ac:dyDescent="0.2">
      <c r="A87" s="14"/>
      <c r="B87" s="14"/>
      <c r="C87" s="15" t="s">
        <v>96</v>
      </c>
      <c r="D87" s="14"/>
      <c r="E87" s="14"/>
      <c r="F87" s="14"/>
      <c r="G87" s="14"/>
      <c r="H87" s="16" t="s">
        <v>12</v>
      </c>
      <c r="J87" s="67"/>
    </row>
    <row r="88" spans="1:18" x14ac:dyDescent="0.2">
      <c r="A88" s="14"/>
      <c r="B88" s="14"/>
      <c r="C88" s="15" t="s">
        <v>11</v>
      </c>
      <c r="D88" s="14"/>
      <c r="E88" s="14" t="s">
        <v>12</v>
      </c>
      <c r="F88" s="17" t="s">
        <v>13</v>
      </c>
      <c r="G88" s="18">
        <v>0</v>
      </c>
      <c r="H88" s="16" t="s">
        <v>12</v>
      </c>
      <c r="J88" s="67"/>
    </row>
    <row r="89" spans="1:18" x14ac:dyDescent="0.2">
      <c r="A89" s="14"/>
      <c r="B89" s="14"/>
      <c r="C89" s="19"/>
      <c r="D89" s="14"/>
      <c r="E89" s="14"/>
      <c r="F89" s="20"/>
      <c r="G89" s="20"/>
      <c r="H89" s="16" t="s">
        <v>12</v>
      </c>
      <c r="J89" s="67"/>
    </row>
    <row r="90" spans="1:18" x14ac:dyDescent="0.2">
      <c r="A90" s="14"/>
      <c r="B90" s="14"/>
      <c r="C90" s="15" t="s">
        <v>97</v>
      </c>
      <c r="D90" s="14"/>
      <c r="E90" s="14"/>
      <c r="F90" s="20"/>
      <c r="G90" s="20"/>
      <c r="H90" s="16" t="s">
        <v>12</v>
      </c>
      <c r="J90" s="67"/>
    </row>
    <row r="91" spans="1:18" x14ac:dyDescent="0.2">
      <c r="A91" s="14"/>
      <c r="B91" s="14"/>
      <c r="C91" s="15" t="s">
        <v>11</v>
      </c>
      <c r="D91" s="14"/>
      <c r="E91" s="14" t="s">
        <v>12</v>
      </c>
      <c r="F91" s="17" t="s">
        <v>13</v>
      </c>
      <c r="G91" s="18">
        <v>0</v>
      </c>
      <c r="H91" s="16" t="s">
        <v>12</v>
      </c>
      <c r="J91" s="67"/>
    </row>
    <row r="92" spans="1:18" x14ac:dyDescent="0.2">
      <c r="A92" s="14"/>
      <c r="B92" s="14"/>
      <c r="C92" s="19"/>
      <c r="D92" s="14"/>
      <c r="E92" s="14"/>
      <c r="F92" s="20"/>
      <c r="G92" s="20"/>
      <c r="H92" s="16" t="s">
        <v>12</v>
      </c>
      <c r="J92" s="67"/>
    </row>
    <row r="93" spans="1:18" x14ac:dyDescent="0.2">
      <c r="A93" s="27"/>
      <c r="B93" s="23"/>
      <c r="C93" s="23" t="s">
        <v>98</v>
      </c>
      <c r="D93" s="23"/>
      <c r="E93" s="27"/>
      <c r="F93" s="25">
        <v>42.06282041</v>
      </c>
      <c r="G93" s="26">
        <v>1.8299600000000001E-3</v>
      </c>
      <c r="H93" s="16" t="s">
        <v>12</v>
      </c>
      <c r="J93" s="67"/>
    </row>
    <row r="94" spans="1:18" x14ac:dyDescent="0.2">
      <c r="A94" s="19"/>
      <c r="B94" s="19"/>
      <c r="C94" s="15" t="s">
        <v>99</v>
      </c>
      <c r="D94" s="20"/>
      <c r="E94" s="20"/>
      <c r="F94" s="21">
        <v>22985.667935623998</v>
      </c>
      <c r="G94" s="35">
        <v>1.0000000099999999</v>
      </c>
      <c r="H94" s="16" t="s">
        <v>12</v>
      </c>
      <c r="J94" s="67"/>
    </row>
    <row r="95" spans="1:18" x14ac:dyDescent="0.2">
      <c r="A95" s="36"/>
      <c r="B95" s="36"/>
      <c r="C95" s="36"/>
      <c r="D95" s="37"/>
      <c r="E95" s="37"/>
      <c r="F95" s="37"/>
      <c r="G95" s="37"/>
      <c r="J95" s="67"/>
    </row>
    <row r="96" spans="1:18" x14ac:dyDescent="0.2">
      <c r="A96" s="38"/>
      <c r="B96" s="112" t="s">
        <v>532</v>
      </c>
      <c r="C96" s="112"/>
      <c r="D96" s="112"/>
      <c r="E96" s="112"/>
      <c r="F96" s="112"/>
      <c r="G96" s="112"/>
      <c r="H96" s="112"/>
      <c r="J96" s="67"/>
    </row>
    <row r="97" spans="1:10" x14ac:dyDescent="0.2">
      <c r="A97" s="38"/>
      <c r="B97" s="112" t="s">
        <v>533</v>
      </c>
      <c r="C97" s="112"/>
      <c r="D97" s="112"/>
      <c r="E97" s="112"/>
      <c r="F97" s="112"/>
      <c r="G97" s="112"/>
      <c r="H97" s="112"/>
      <c r="J97" s="67"/>
    </row>
    <row r="98" spans="1:10" x14ac:dyDescent="0.2">
      <c r="A98" s="38"/>
      <c r="B98" s="112" t="s">
        <v>534</v>
      </c>
      <c r="C98" s="112"/>
      <c r="D98" s="112"/>
      <c r="E98" s="112"/>
      <c r="F98" s="112"/>
      <c r="G98" s="112"/>
      <c r="H98" s="112"/>
      <c r="J98" s="67"/>
    </row>
    <row r="99" spans="1:10" x14ac:dyDescent="0.2">
      <c r="A99" s="40"/>
      <c r="B99" s="40"/>
      <c r="C99" s="40"/>
      <c r="D99" s="41"/>
      <c r="E99" s="41"/>
      <c r="F99" s="41"/>
      <c r="G99" s="41"/>
      <c r="J99" s="67"/>
    </row>
    <row r="100" spans="1:10" x14ac:dyDescent="0.2">
      <c r="A100" s="40"/>
      <c r="B100" s="118" t="s">
        <v>100</v>
      </c>
      <c r="C100" s="119"/>
      <c r="D100" s="120"/>
      <c r="E100" s="42"/>
      <c r="F100" s="41"/>
      <c r="G100" s="41"/>
      <c r="J100" s="67"/>
    </row>
    <row r="101" spans="1:10" x14ac:dyDescent="0.2">
      <c r="A101" s="40"/>
      <c r="B101" s="121" t="s">
        <v>101</v>
      </c>
      <c r="C101" s="122"/>
      <c r="D101" s="15" t="s">
        <v>102</v>
      </c>
      <c r="E101" s="42"/>
      <c r="F101" s="41"/>
      <c r="G101" s="41"/>
      <c r="J101" s="67"/>
    </row>
    <row r="102" spans="1:10" x14ac:dyDescent="0.2">
      <c r="A102" s="40"/>
      <c r="B102" s="121" t="s">
        <v>103</v>
      </c>
      <c r="C102" s="122"/>
      <c r="D102" s="15" t="s">
        <v>102</v>
      </c>
      <c r="E102" s="42"/>
      <c r="F102" s="41"/>
      <c r="G102" s="41"/>
      <c r="J102" s="67"/>
    </row>
    <row r="103" spans="1:10" x14ac:dyDescent="0.2">
      <c r="A103" s="40"/>
      <c r="B103" s="121" t="s">
        <v>104</v>
      </c>
      <c r="C103" s="122"/>
      <c r="D103" s="20" t="s">
        <v>12</v>
      </c>
      <c r="E103" s="42"/>
      <c r="F103" s="41"/>
      <c r="G103" s="41"/>
      <c r="J103" s="67"/>
    </row>
    <row r="104" spans="1:10" x14ac:dyDescent="0.2">
      <c r="A104" s="43"/>
      <c r="B104" s="44" t="s">
        <v>12</v>
      </c>
      <c r="C104" s="44" t="s">
        <v>528</v>
      </c>
      <c r="D104" s="44" t="s">
        <v>105</v>
      </c>
      <c r="E104" s="43"/>
      <c r="F104" s="43"/>
      <c r="G104" s="43"/>
      <c r="H104" s="45"/>
      <c r="J104" s="67"/>
    </row>
    <row r="105" spans="1:10" x14ac:dyDescent="0.2">
      <c r="A105" s="46"/>
      <c r="B105" s="47" t="s">
        <v>106</v>
      </c>
      <c r="C105" s="48">
        <v>45519</v>
      </c>
      <c r="D105" s="48">
        <v>45535</v>
      </c>
      <c r="E105" s="46"/>
      <c r="F105" s="46"/>
      <c r="G105" s="46"/>
      <c r="J105" s="67"/>
    </row>
    <row r="106" spans="1:10" x14ac:dyDescent="0.2">
      <c r="A106" s="46"/>
      <c r="B106" s="23" t="s">
        <v>107</v>
      </c>
      <c r="C106" s="49">
        <v>14.114100000000001</v>
      </c>
      <c r="D106" s="49">
        <v>14.1579</v>
      </c>
      <c r="E106" s="46"/>
      <c r="F106" s="50"/>
      <c r="G106" s="51"/>
      <c r="J106" s="67"/>
    </row>
    <row r="107" spans="1:10" ht="25.5" x14ac:dyDescent="0.2">
      <c r="A107" s="46"/>
      <c r="B107" s="23" t="s">
        <v>584</v>
      </c>
      <c r="C107" s="49">
        <v>11.2133</v>
      </c>
      <c r="D107" s="49">
        <v>11.1843</v>
      </c>
      <c r="E107" s="46"/>
      <c r="F107" s="50"/>
      <c r="G107" s="51"/>
      <c r="J107" s="67"/>
    </row>
    <row r="108" spans="1:10" ht="25.5" x14ac:dyDescent="0.2">
      <c r="A108" s="46"/>
      <c r="B108" s="23" t="s">
        <v>585</v>
      </c>
      <c r="C108" s="49">
        <v>12.2941</v>
      </c>
      <c r="D108" s="49">
        <v>12.3322</v>
      </c>
      <c r="E108" s="46"/>
      <c r="F108" s="50"/>
      <c r="G108" s="51"/>
      <c r="J108" s="67"/>
    </row>
    <row r="109" spans="1:10" x14ac:dyDescent="0.2">
      <c r="A109" s="46"/>
      <c r="B109" s="23" t="s">
        <v>108</v>
      </c>
      <c r="C109" s="49">
        <v>14.039</v>
      </c>
      <c r="D109" s="49">
        <v>14.081899999999999</v>
      </c>
      <c r="E109" s="46"/>
      <c r="F109" s="50"/>
      <c r="G109" s="51"/>
      <c r="J109" s="67"/>
    </row>
    <row r="110" spans="1:10" ht="25.5" x14ac:dyDescent="0.2">
      <c r="A110" s="46"/>
      <c r="B110" s="23" t="s">
        <v>588</v>
      </c>
      <c r="C110" s="49">
        <v>11.191800000000001</v>
      </c>
      <c r="D110" s="49">
        <v>11.1632</v>
      </c>
      <c r="E110" s="46"/>
      <c r="F110" s="50"/>
      <c r="G110" s="51"/>
      <c r="J110" s="67"/>
    </row>
    <row r="111" spans="1:10" ht="25.5" x14ac:dyDescent="0.2">
      <c r="A111" s="46"/>
      <c r="B111" s="23" t="s">
        <v>562</v>
      </c>
      <c r="C111" s="49">
        <v>12.2271</v>
      </c>
      <c r="D111" s="49">
        <v>12.2645</v>
      </c>
      <c r="E111" s="46"/>
      <c r="F111" s="50"/>
      <c r="G111" s="51"/>
      <c r="J111" s="67"/>
    </row>
    <row r="112" spans="1:10" x14ac:dyDescent="0.2">
      <c r="A112" s="46"/>
      <c r="B112" s="46"/>
      <c r="C112" s="46"/>
      <c r="D112" s="46"/>
      <c r="E112" s="46"/>
      <c r="F112" s="46"/>
      <c r="G112" s="46"/>
      <c r="J112" s="67"/>
    </row>
    <row r="113" spans="1:15" x14ac:dyDescent="0.2">
      <c r="A113" s="46"/>
      <c r="B113" s="121" t="s">
        <v>591</v>
      </c>
      <c r="C113" s="122"/>
      <c r="D113" s="15" t="s">
        <v>12</v>
      </c>
      <c r="E113" s="46"/>
      <c r="F113" s="46"/>
      <c r="G113" s="46"/>
      <c r="J113" s="67"/>
    </row>
    <row r="114" spans="1:15" x14ac:dyDescent="0.2">
      <c r="A114" s="46"/>
      <c r="B114" s="52" t="s">
        <v>106</v>
      </c>
      <c r="C114" s="53" t="s">
        <v>109</v>
      </c>
      <c r="D114" s="53" t="s">
        <v>110</v>
      </c>
      <c r="E114" s="46"/>
      <c r="F114" s="46"/>
      <c r="G114" s="46"/>
      <c r="J114" s="67"/>
    </row>
    <row r="115" spans="1:15" ht="25.5" x14ac:dyDescent="0.2">
      <c r="A115" s="46"/>
      <c r="B115" s="23" t="s">
        <v>584</v>
      </c>
      <c r="C115" s="54">
        <v>6.3700000000000007E-2</v>
      </c>
      <c r="D115" s="27" t="s">
        <v>111</v>
      </c>
      <c r="E115" s="46"/>
      <c r="F115" s="50"/>
      <c r="G115" s="51"/>
      <c r="J115" s="67"/>
    </row>
    <row r="116" spans="1:15" ht="25.5" x14ac:dyDescent="0.2">
      <c r="A116" s="46"/>
      <c r="B116" s="23" t="s">
        <v>588</v>
      </c>
      <c r="C116" s="54">
        <v>6.2600000000000003E-2</v>
      </c>
      <c r="D116" s="27" t="s">
        <v>111</v>
      </c>
      <c r="E116" s="46"/>
      <c r="F116" s="50"/>
      <c r="G116" s="51"/>
      <c r="J116" s="67"/>
    </row>
    <row r="117" spans="1:15" x14ac:dyDescent="0.2">
      <c r="A117" s="46"/>
      <c r="B117" s="55"/>
      <c r="C117" s="55"/>
      <c r="D117" s="56"/>
      <c r="E117" s="46"/>
      <c r="F117" s="50"/>
      <c r="G117" s="51"/>
      <c r="J117" s="67"/>
    </row>
    <row r="118" spans="1:15" x14ac:dyDescent="0.2">
      <c r="A118" s="43"/>
      <c r="B118" s="106" t="s">
        <v>112</v>
      </c>
      <c r="C118" s="107"/>
      <c r="D118" s="29" t="s">
        <v>102</v>
      </c>
      <c r="E118" s="57"/>
      <c r="F118" s="43"/>
      <c r="G118" s="43"/>
      <c r="J118" s="71"/>
    </row>
    <row r="119" spans="1:15" x14ac:dyDescent="0.2">
      <c r="A119" s="43"/>
      <c r="B119" s="106" t="s">
        <v>113</v>
      </c>
      <c r="C119" s="107"/>
      <c r="D119" s="29" t="s">
        <v>102</v>
      </c>
      <c r="E119" s="57"/>
      <c r="F119" s="43"/>
      <c r="G119" s="43"/>
      <c r="J119" s="71"/>
    </row>
    <row r="120" spans="1:15" x14ac:dyDescent="0.2">
      <c r="A120" s="43"/>
      <c r="B120" s="106" t="s">
        <v>537</v>
      </c>
      <c r="C120" s="107"/>
      <c r="D120" s="29" t="s">
        <v>102</v>
      </c>
      <c r="E120" s="57"/>
      <c r="F120" s="43"/>
      <c r="G120" s="43"/>
      <c r="J120" s="71"/>
    </row>
    <row r="121" spans="1:15" x14ac:dyDescent="0.2">
      <c r="A121" s="58"/>
      <c r="B121" s="58"/>
      <c r="C121" s="58"/>
      <c r="D121" s="58"/>
      <c r="E121" s="58"/>
      <c r="F121" s="58"/>
      <c r="G121" s="58"/>
      <c r="J121" s="71"/>
    </row>
    <row r="122" spans="1:15" s="59" customFormat="1" x14ac:dyDescent="0.2">
      <c r="B122" s="113" t="s">
        <v>538</v>
      </c>
      <c r="C122" s="114"/>
      <c r="D122" s="115"/>
      <c r="I122"/>
      <c r="J122" s="71"/>
      <c r="K122" s="32"/>
      <c r="L122" s="32"/>
      <c r="M122" s="32"/>
      <c r="N122" s="32"/>
      <c r="O122" s="66"/>
    </row>
    <row r="123" spans="1:15" s="59" customFormat="1" ht="38.25" x14ac:dyDescent="0.2">
      <c r="B123" s="117" t="s">
        <v>539</v>
      </c>
      <c r="C123" s="117"/>
      <c r="D123" s="60" t="s">
        <v>141</v>
      </c>
      <c r="I123"/>
      <c r="J123" s="71"/>
      <c r="K123" s="32"/>
      <c r="L123" s="32"/>
      <c r="M123" s="32"/>
      <c r="N123" s="32"/>
      <c r="O123" s="66"/>
    </row>
    <row r="124" spans="1:15" s="59" customFormat="1" x14ac:dyDescent="0.2">
      <c r="B124" s="110" t="s">
        <v>540</v>
      </c>
      <c r="C124" s="110"/>
      <c r="D124" s="61"/>
      <c r="I124"/>
      <c r="J124" s="71"/>
      <c r="K124" s="32"/>
      <c r="L124" s="32"/>
      <c r="M124" s="32"/>
      <c r="N124" s="32"/>
      <c r="O124" s="66"/>
    </row>
    <row r="125" spans="1:15" s="59" customFormat="1" x14ac:dyDescent="0.2">
      <c r="B125" s="110"/>
      <c r="C125" s="110"/>
      <c r="D125" s="62"/>
      <c r="I125"/>
      <c r="J125" s="67"/>
      <c r="K125" s="32"/>
      <c r="L125" s="32"/>
      <c r="M125" s="32"/>
      <c r="N125" s="32"/>
      <c r="O125" s="66"/>
    </row>
    <row r="126" spans="1:15" s="59" customFormat="1" x14ac:dyDescent="0.2">
      <c r="B126" s="110" t="s">
        <v>541</v>
      </c>
      <c r="C126" s="110"/>
      <c r="D126" s="63">
        <v>7.4201487242607103</v>
      </c>
      <c r="I126"/>
      <c r="J126" s="67"/>
      <c r="K126" s="32"/>
      <c r="L126" s="32"/>
      <c r="M126" s="32"/>
      <c r="N126" s="32"/>
      <c r="O126" s="66"/>
    </row>
    <row r="127" spans="1:15" s="59" customFormat="1" x14ac:dyDescent="0.2">
      <c r="B127" s="110"/>
      <c r="C127" s="110"/>
      <c r="D127" s="62"/>
      <c r="I127"/>
      <c r="J127" s="67"/>
      <c r="K127" s="32"/>
      <c r="L127" s="32"/>
      <c r="M127" s="32"/>
      <c r="N127" s="32"/>
      <c r="O127" s="66"/>
    </row>
    <row r="128" spans="1:15" s="59" customFormat="1" x14ac:dyDescent="0.2">
      <c r="B128" s="110" t="s">
        <v>542</v>
      </c>
      <c r="C128" s="110"/>
      <c r="D128" s="63">
        <v>0.44918792722110507</v>
      </c>
      <c r="I128"/>
      <c r="J128" s="71"/>
      <c r="K128" s="32"/>
      <c r="L128" s="32"/>
      <c r="M128" s="32"/>
      <c r="N128" s="32"/>
      <c r="O128" s="66"/>
    </row>
    <row r="129" spans="2:17" s="59" customFormat="1" x14ac:dyDescent="0.2">
      <c r="B129" s="110" t="s">
        <v>543</v>
      </c>
      <c r="C129" s="110"/>
      <c r="D129" s="63">
        <v>0.44918792722110507</v>
      </c>
      <c r="I129"/>
      <c r="J129" s="71"/>
      <c r="K129" s="32"/>
      <c r="L129" s="32"/>
      <c r="M129" s="32"/>
      <c r="N129" s="32"/>
      <c r="O129" s="66"/>
    </row>
    <row r="130" spans="2:17" s="59" customFormat="1" x14ac:dyDescent="0.2">
      <c r="B130" s="110"/>
      <c r="C130" s="110"/>
      <c r="D130" s="62"/>
      <c r="I130"/>
      <c r="J130" s="67"/>
      <c r="K130" s="32"/>
      <c r="L130" s="32"/>
      <c r="M130" s="32"/>
      <c r="N130" s="32"/>
      <c r="O130" s="66"/>
    </row>
    <row r="131" spans="2:17" s="59" customFormat="1" x14ac:dyDescent="0.2">
      <c r="B131" s="110" t="s">
        <v>544</v>
      </c>
      <c r="C131" s="110"/>
      <c r="D131" s="64" t="s">
        <v>577</v>
      </c>
      <c r="I131"/>
      <c r="J131" s="67"/>
      <c r="K131" s="32"/>
      <c r="L131" s="32"/>
      <c r="M131" s="32"/>
      <c r="N131" s="32"/>
      <c r="O131" s="66"/>
    </row>
    <row r="132" spans="2:17" s="59" customFormat="1" x14ac:dyDescent="0.2">
      <c r="B132" s="108" t="s">
        <v>545</v>
      </c>
      <c r="C132" s="111"/>
      <c r="D132" s="109"/>
      <c r="I132"/>
      <c r="J132" s="67"/>
      <c r="K132" s="32"/>
      <c r="L132" s="32"/>
      <c r="M132" s="32"/>
      <c r="N132" s="32"/>
      <c r="O132" s="66"/>
      <c r="P132"/>
      <c r="Q132"/>
    </row>
  </sheetData>
  <mergeCells count="25">
    <mergeCell ref="B98:H98"/>
    <mergeCell ref="B118:C118"/>
    <mergeCell ref="B122:D122"/>
    <mergeCell ref="B124:C124"/>
    <mergeCell ref="A1:H1"/>
    <mergeCell ref="A2:H2"/>
    <mergeCell ref="A3:H3"/>
    <mergeCell ref="B96:H96"/>
    <mergeCell ref="B97:H97"/>
    <mergeCell ref="B120:C120"/>
    <mergeCell ref="B123:C123"/>
    <mergeCell ref="B100:D100"/>
    <mergeCell ref="B101:C101"/>
    <mergeCell ref="B102:C102"/>
    <mergeCell ref="B103:C103"/>
    <mergeCell ref="B113:C113"/>
    <mergeCell ref="B119:C119"/>
    <mergeCell ref="B130:C130"/>
    <mergeCell ref="B131:C131"/>
    <mergeCell ref="B132:D132"/>
    <mergeCell ref="B125:C125"/>
    <mergeCell ref="B126:C126"/>
    <mergeCell ref="B127:C127"/>
    <mergeCell ref="B128:C128"/>
    <mergeCell ref="B129:C129"/>
  </mergeCells>
  <hyperlinks>
    <hyperlink ref="I1" location="Index!B4" display="Index" xr:uid="{5064477D-FA7A-40E6-9703-4D29395678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F261-1BFD-41B7-9564-69AC435AFD06}">
  <sheetPr>
    <outlinePr summaryBelow="0" summaryRight="0"/>
  </sheetPr>
  <dimension ref="A1:T164"/>
  <sheetViews>
    <sheetView showGridLines="0" workbookViewId="0">
      <selection sqref="A1:H1"/>
    </sheetView>
  </sheetViews>
  <sheetFormatPr defaultRowHeight="12.75" x14ac:dyDescent="0.2"/>
  <cols>
    <col min="1" max="1" width="5.85546875" bestFit="1" customWidth="1"/>
    <col min="2" max="2" width="24.7109375" customWidth="1"/>
    <col min="3" max="3" width="40.5703125" customWidth="1"/>
    <col min="4" max="4" width="14.28515625"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16" t="s">
        <v>0</v>
      </c>
      <c r="B1" s="116"/>
      <c r="C1" s="116"/>
      <c r="D1" s="116"/>
      <c r="E1" s="116"/>
      <c r="F1" s="116"/>
      <c r="G1" s="116"/>
      <c r="H1" s="116"/>
      <c r="I1" s="7" t="s">
        <v>600</v>
      </c>
      <c r="J1" s="67"/>
      <c r="K1" s="7"/>
    </row>
    <row r="2" spans="1:11" ht="15" x14ac:dyDescent="0.2">
      <c r="A2" s="116" t="s">
        <v>187</v>
      </c>
      <c r="B2" s="116"/>
      <c r="C2" s="116"/>
      <c r="D2" s="116"/>
      <c r="E2" s="116"/>
      <c r="F2" s="116"/>
      <c r="G2" s="116"/>
      <c r="H2" s="116"/>
      <c r="J2" s="68" t="s">
        <v>601</v>
      </c>
    </row>
    <row r="3" spans="1:11" ht="15" x14ac:dyDescent="0.2">
      <c r="A3" s="116" t="s">
        <v>526</v>
      </c>
      <c r="B3" s="116"/>
      <c r="C3" s="116"/>
      <c r="D3" s="116"/>
      <c r="E3" s="116"/>
      <c r="F3" s="116"/>
      <c r="G3" s="116"/>
      <c r="H3" s="116"/>
      <c r="J3" s="67"/>
    </row>
    <row r="4" spans="1:11" s="11" customFormat="1" ht="30" x14ac:dyDescent="0.2">
      <c r="A4" s="12" t="s">
        <v>2</v>
      </c>
      <c r="B4" s="12" t="s">
        <v>3</v>
      </c>
      <c r="C4" s="12" t="s">
        <v>4</v>
      </c>
      <c r="D4" s="12" t="s">
        <v>5</v>
      </c>
      <c r="E4" s="12" t="s">
        <v>6</v>
      </c>
      <c r="F4" s="12" t="s">
        <v>7</v>
      </c>
      <c r="G4" s="12" t="s">
        <v>8</v>
      </c>
      <c r="H4" s="13" t="s">
        <v>527</v>
      </c>
      <c r="J4" s="67"/>
    </row>
    <row r="5" spans="1:11" x14ac:dyDescent="0.2">
      <c r="A5" s="14"/>
      <c r="B5" s="14"/>
      <c r="C5" s="15" t="s">
        <v>9</v>
      </c>
      <c r="D5" s="14"/>
      <c r="E5" s="14"/>
      <c r="F5" s="14"/>
      <c r="G5" s="14"/>
      <c r="H5" s="16" t="s">
        <v>12</v>
      </c>
      <c r="J5" s="67"/>
    </row>
    <row r="6" spans="1:11" x14ac:dyDescent="0.2">
      <c r="A6" s="14"/>
      <c r="B6" s="14"/>
      <c r="C6" s="15" t="s">
        <v>10</v>
      </c>
      <c r="D6" s="14"/>
      <c r="E6" s="14"/>
      <c r="F6" s="14"/>
      <c r="G6" s="14"/>
      <c r="H6" s="16" t="s">
        <v>12</v>
      </c>
      <c r="J6" s="67"/>
    </row>
    <row r="7" spans="1:11" x14ac:dyDescent="0.2">
      <c r="A7" s="14"/>
      <c r="B7" s="14"/>
      <c r="C7" s="15" t="s">
        <v>11</v>
      </c>
      <c r="D7" s="14"/>
      <c r="E7" s="14" t="s">
        <v>12</v>
      </c>
      <c r="F7" s="17" t="s">
        <v>13</v>
      </c>
      <c r="G7" s="18">
        <v>0</v>
      </c>
      <c r="H7" s="16" t="s">
        <v>12</v>
      </c>
      <c r="J7" s="67"/>
    </row>
    <row r="8" spans="1:11" x14ac:dyDescent="0.2">
      <c r="A8" s="14"/>
      <c r="B8" s="14"/>
      <c r="C8" s="19"/>
      <c r="D8" s="14"/>
      <c r="E8" s="14"/>
      <c r="F8" s="20"/>
      <c r="G8" s="20"/>
      <c r="H8" s="16" t="s">
        <v>12</v>
      </c>
      <c r="J8" s="67"/>
    </row>
    <row r="9" spans="1:11" x14ac:dyDescent="0.2">
      <c r="A9" s="14"/>
      <c r="B9" s="14"/>
      <c r="C9" s="15" t="s">
        <v>14</v>
      </c>
      <c r="D9" s="14"/>
      <c r="E9" s="14"/>
      <c r="F9" s="14"/>
      <c r="G9" s="14"/>
      <c r="H9" s="16" t="s">
        <v>12</v>
      </c>
      <c r="J9" s="67"/>
    </row>
    <row r="10" spans="1:11" x14ac:dyDescent="0.2">
      <c r="A10" s="14"/>
      <c r="B10" s="14"/>
      <c r="C10" s="15" t="s">
        <v>11</v>
      </c>
      <c r="D10" s="14"/>
      <c r="E10" s="14" t="s">
        <v>12</v>
      </c>
      <c r="F10" s="17" t="s">
        <v>13</v>
      </c>
      <c r="G10" s="18">
        <v>0</v>
      </c>
      <c r="H10" s="16" t="s">
        <v>12</v>
      </c>
      <c r="J10" s="67"/>
    </row>
    <row r="11" spans="1:11" x14ac:dyDescent="0.2">
      <c r="A11" s="14"/>
      <c r="B11" s="14"/>
      <c r="C11" s="19"/>
      <c r="D11" s="14"/>
      <c r="E11" s="14"/>
      <c r="F11" s="20"/>
      <c r="G11" s="20"/>
      <c r="H11" s="16" t="s">
        <v>12</v>
      </c>
      <c r="J11" s="67"/>
    </row>
    <row r="12" spans="1:11" ht="15" x14ac:dyDescent="0.2">
      <c r="A12" s="14"/>
      <c r="B12" s="14"/>
      <c r="C12" s="15" t="s">
        <v>15</v>
      </c>
      <c r="D12" s="14"/>
      <c r="E12" s="14"/>
      <c r="F12" s="14"/>
      <c r="G12" s="14"/>
      <c r="H12" s="16" t="s">
        <v>12</v>
      </c>
      <c r="J12" s="69"/>
    </row>
    <row r="13" spans="1:11" x14ac:dyDescent="0.2">
      <c r="A13" s="14"/>
      <c r="B13" s="14"/>
      <c r="C13" s="15" t="s">
        <v>11</v>
      </c>
      <c r="D13" s="14"/>
      <c r="E13" s="14" t="s">
        <v>12</v>
      </c>
      <c r="F13" s="17" t="s">
        <v>13</v>
      </c>
      <c r="G13" s="18">
        <v>0</v>
      </c>
      <c r="H13" s="16" t="s">
        <v>12</v>
      </c>
      <c r="J13" s="70"/>
    </row>
    <row r="14" spans="1:11" ht="25.5" x14ac:dyDescent="0.2">
      <c r="A14" s="14"/>
      <c r="B14" s="14"/>
      <c r="C14" s="19"/>
      <c r="D14" s="14"/>
      <c r="E14" s="14"/>
      <c r="F14" s="20"/>
      <c r="G14" s="20"/>
      <c r="H14" s="16" t="s">
        <v>12</v>
      </c>
      <c r="J14" s="70" t="s">
        <v>607</v>
      </c>
    </row>
    <row r="15" spans="1:11" x14ac:dyDescent="0.2">
      <c r="A15" s="14"/>
      <c r="B15" s="14"/>
      <c r="C15" s="15" t="s">
        <v>16</v>
      </c>
      <c r="D15" s="14"/>
      <c r="E15" s="14"/>
      <c r="F15" s="14"/>
      <c r="G15" s="14"/>
      <c r="H15" s="16" t="s">
        <v>12</v>
      </c>
      <c r="J15" s="70"/>
    </row>
    <row r="16" spans="1:11" x14ac:dyDescent="0.2">
      <c r="A16" s="14"/>
      <c r="B16" s="14"/>
      <c r="C16" s="15" t="s">
        <v>11</v>
      </c>
      <c r="D16" s="14"/>
      <c r="E16" s="14" t="s">
        <v>12</v>
      </c>
      <c r="F16" s="17" t="s">
        <v>13</v>
      </c>
      <c r="G16" s="18">
        <v>0</v>
      </c>
      <c r="H16" s="16" t="s">
        <v>12</v>
      </c>
      <c r="J16" s="67"/>
    </row>
    <row r="17" spans="1:10" x14ac:dyDescent="0.2">
      <c r="A17" s="14"/>
      <c r="B17" s="14"/>
      <c r="C17" s="19"/>
      <c r="D17" s="14"/>
      <c r="E17" s="14"/>
      <c r="F17" s="20"/>
      <c r="G17" s="20"/>
      <c r="H17" s="16" t="s">
        <v>12</v>
      </c>
      <c r="J17" s="67"/>
    </row>
    <row r="18" spans="1:10" x14ac:dyDescent="0.2">
      <c r="A18" s="14"/>
      <c r="B18" s="14"/>
      <c r="C18" s="15" t="s">
        <v>17</v>
      </c>
      <c r="D18" s="14"/>
      <c r="E18" s="14"/>
      <c r="F18" s="20"/>
      <c r="G18" s="20"/>
      <c r="H18" s="16" t="s">
        <v>12</v>
      </c>
      <c r="J18" s="67"/>
    </row>
    <row r="19" spans="1:10" x14ac:dyDescent="0.2">
      <c r="A19" s="14"/>
      <c r="B19" s="14"/>
      <c r="C19" s="15" t="s">
        <v>11</v>
      </c>
      <c r="D19" s="14"/>
      <c r="E19" s="14" t="s">
        <v>12</v>
      </c>
      <c r="F19" s="17" t="s">
        <v>13</v>
      </c>
      <c r="G19" s="18">
        <v>0</v>
      </c>
      <c r="H19" s="16" t="s">
        <v>12</v>
      </c>
      <c r="J19" s="67"/>
    </row>
    <row r="20" spans="1:10" x14ac:dyDescent="0.2">
      <c r="A20" s="14"/>
      <c r="B20" s="14"/>
      <c r="C20" s="19"/>
      <c r="D20" s="14"/>
      <c r="E20" s="14"/>
      <c r="F20" s="20"/>
      <c r="G20" s="20"/>
      <c r="H20" s="16" t="s">
        <v>12</v>
      </c>
      <c r="J20" s="67"/>
    </row>
    <row r="21" spans="1:10" x14ac:dyDescent="0.2">
      <c r="A21" s="14"/>
      <c r="B21" s="14"/>
      <c r="C21" s="15" t="s">
        <v>18</v>
      </c>
      <c r="D21" s="14"/>
      <c r="E21" s="14"/>
      <c r="F21" s="20"/>
      <c r="G21" s="20"/>
      <c r="H21" s="16" t="s">
        <v>12</v>
      </c>
      <c r="J21" s="67"/>
    </row>
    <row r="22" spans="1:10" ht="15" x14ac:dyDescent="0.2">
      <c r="A22" s="14"/>
      <c r="B22" s="14"/>
      <c r="C22" s="15" t="s">
        <v>11</v>
      </c>
      <c r="D22" s="14"/>
      <c r="E22" s="14" t="s">
        <v>12</v>
      </c>
      <c r="F22" s="17" t="s">
        <v>13</v>
      </c>
      <c r="G22" s="18">
        <v>0</v>
      </c>
      <c r="H22" s="16" t="s">
        <v>12</v>
      </c>
      <c r="J22" s="69"/>
    </row>
    <row r="23" spans="1:10" x14ac:dyDescent="0.2">
      <c r="A23" s="14"/>
      <c r="B23" s="14"/>
      <c r="C23" s="19"/>
      <c r="D23" s="14"/>
      <c r="E23" s="14"/>
      <c r="F23" s="20"/>
      <c r="G23" s="20"/>
      <c r="H23" s="16" t="s">
        <v>12</v>
      </c>
      <c r="J23" s="70"/>
    </row>
    <row r="24" spans="1:10" x14ac:dyDescent="0.2">
      <c r="A24" s="14"/>
      <c r="B24" s="14"/>
      <c r="C24" s="15" t="s">
        <v>19</v>
      </c>
      <c r="D24" s="14"/>
      <c r="E24" s="14"/>
      <c r="F24" s="21">
        <v>0</v>
      </c>
      <c r="G24" s="18">
        <v>0</v>
      </c>
      <c r="H24" s="16" t="s">
        <v>12</v>
      </c>
      <c r="J24" s="67"/>
    </row>
    <row r="25" spans="1:10" x14ac:dyDescent="0.2">
      <c r="A25" s="14"/>
      <c r="B25" s="14"/>
      <c r="C25" s="19"/>
      <c r="D25" s="14"/>
      <c r="E25" s="14"/>
      <c r="F25" s="20"/>
      <c r="G25" s="20"/>
      <c r="H25" s="16" t="s">
        <v>12</v>
      </c>
      <c r="J25" s="67"/>
    </row>
    <row r="26" spans="1:10" x14ac:dyDescent="0.2">
      <c r="A26" s="14"/>
      <c r="B26" s="14"/>
      <c r="C26" s="15" t="s">
        <v>20</v>
      </c>
      <c r="D26" s="14"/>
      <c r="E26" s="14"/>
      <c r="F26" s="20"/>
      <c r="G26" s="20"/>
      <c r="H26" s="16" t="s">
        <v>12</v>
      </c>
      <c r="J26" s="67"/>
    </row>
    <row r="27" spans="1:10" ht="25.5" x14ac:dyDescent="0.2">
      <c r="A27" s="14"/>
      <c r="B27" s="14"/>
      <c r="C27" s="15" t="s">
        <v>10</v>
      </c>
      <c r="D27" s="14"/>
      <c r="E27" s="14"/>
      <c r="F27" s="20"/>
      <c r="G27" s="20"/>
      <c r="H27" s="16" t="s">
        <v>12</v>
      </c>
      <c r="J27" s="70" t="s">
        <v>608</v>
      </c>
    </row>
    <row r="28" spans="1:10" ht="25.5" x14ac:dyDescent="0.2">
      <c r="A28" s="22">
        <v>1</v>
      </c>
      <c r="B28" s="23" t="s">
        <v>188</v>
      </c>
      <c r="C28" s="23" t="s">
        <v>189</v>
      </c>
      <c r="D28" s="23" t="s">
        <v>23</v>
      </c>
      <c r="E28" s="24">
        <v>250</v>
      </c>
      <c r="F28" s="25">
        <v>2487.9749999999999</v>
      </c>
      <c r="G28" s="26">
        <v>7.3812719999999998E-2</v>
      </c>
      <c r="H28" s="16">
        <v>7.72</v>
      </c>
      <c r="J28" s="70"/>
    </row>
    <row r="29" spans="1:10" x14ac:dyDescent="0.2">
      <c r="A29" s="22">
        <v>2</v>
      </c>
      <c r="B29" s="23" t="s">
        <v>190</v>
      </c>
      <c r="C29" s="23" t="s">
        <v>191</v>
      </c>
      <c r="D29" s="23" t="s">
        <v>192</v>
      </c>
      <c r="E29" s="24">
        <v>2000</v>
      </c>
      <c r="F29" s="25">
        <v>2000.866</v>
      </c>
      <c r="G29" s="26">
        <v>5.9361270000000001E-2</v>
      </c>
      <c r="H29" s="16">
        <v>7.5650000000000004</v>
      </c>
      <c r="J29" s="70"/>
    </row>
    <row r="30" spans="1:10" x14ac:dyDescent="0.2">
      <c r="A30" s="22">
        <v>3</v>
      </c>
      <c r="B30" s="23" t="s">
        <v>193</v>
      </c>
      <c r="C30" s="23" t="s">
        <v>194</v>
      </c>
      <c r="D30" s="23" t="s">
        <v>195</v>
      </c>
      <c r="E30" s="24">
        <v>1700</v>
      </c>
      <c r="F30" s="25">
        <v>1706.6113</v>
      </c>
      <c r="G30" s="26">
        <v>5.0631379999999997E-2</v>
      </c>
      <c r="H30" s="16">
        <v>8.5</v>
      </c>
      <c r="J30" s="67"/>
    </row>
    <row r="31" spans="1:10" x14ac:dyDescent="0.2">
      <c r="A31" s="22">
        <v>4</v>
      </c>
      <c r="B31" s="23" t="s">
        <v>196</v>
      </c>
      <c r="C31" s="23" t="s">
        <v>197</v>
      </c>
      <c r="D31" s="23" t="s">
        <v>198</v>
      </c>
      <c r="E31" s="24">
        <v>1500</v>
      </c>
      <c r="F31" s="25">
        <v>1505.8724999999999</v>
      </c>
      <c r="G31" s="26">
        <v>4.4675909999999999E-2</v>
      </c>
      <c r="H31" s="16">
        <v>8.1793999999999993</v>
      </c>
      <c r="J31" s="67"/>
    </row>
    <row r="32" spans="1:10" x14ac:dyDescent="0.2">
      <c r="A32" s="22">
        <v>5</v>
      </c>
      <c r="B32" s="23" t="s">
        <v>199</v>
      </c>
      <c r="C32" s="23" t="s">
        <v>200</v>
      </c>
      <c r="D32" s="23" t="s">
        <v>195</v>
      </c>
      <c r="E32" s="24">
        <v>1500</v>
      </c>
      <c r="F32" s="25">
        <v>1500.2235000000001</v>
      </c>
      <c r="G32" s="26">
        <v>4.4508319999999997E-2</v>
      </c>
      <c r="H32" s="16">
        <v>9.1377000000000006</v>
      </c>
      <c r="J32" s="67"/>
    </row>
    <row r="33" spans="1:10" x14ac:dyDescent="0.2">
      <c r="A33" s="22">
        <v>6</v>
      </c>
      <c r="B33" s="23" t="s">
        <v>201</v>
      </c>
      <c r="C33" s="23" t="s">
        <v>202</v>
      </c>
      <c r="D33" s="23" t="s">
        <v>23</v>
      </c>
      <c r="E33" s="24">
        <v>140</v>
      </c>
      <c r="F33" s="25">
        <v>1372.2226000000001</v>
      </c>
      <c r="G33" s="26">
        <v>4.071081E-2</v>
      </c>
      <c r="H33" s="16">
        <v>7.8550000000000004</v>
      </c>
      <c r="J33" s="67"/>
    </row>
    <row r="34" spans="1:10" ht="25.5" x14ac:dyDescent="0.2">
      <c r="A34" s="22">
        <v>7</v>
      </c>
      <c r="B34" s="23" t="s">
        <v>203</v>
      </c>
      <c r="C34" s="23" t="s">
        <v>204</v>
      </c>
      <c r="D34" s="23" t="s">
        <v>23</v>
      </c>
      <c r="E34" s="24">
        <v>100</v>
      </c>
      <c r="F34" s="25">
        <v>996.09699999999998</v>
      </c>
      <c r="G34" s="26">
        <v>2.9551999999999998E-2</v>
      </c>
      <c r="H34" s="16">
        <v>7.74</v>
      </c>
      <c r="J34" s="67"/>
    </row>
    <row r="35" spans="1:10" ht="25.5" x14ac:dyDescent="0.2">
      <c r="A35" s="22">
        <v>8</v>
      </c>
      <c r="B35" s="23" t="s">
        <v>43</v>
      </c>
      <c r="C35" s="23" t="s">
        <v>44</v>
      </c>
      <c r="D35" s="23" t="s">
        <v>23</v>
      </c>
      <c r="E35" s="24">
        <v>1000</v>
      </c>
      <c r="F35" s="25">
        <v>995.20600000000002</v>
      </c>
      <c r="G35" s="26">
        <v>2.9525559999999999E-2</v>
      </c>
      <c r="H35" s="16">
        <v>7.48</v>
      </c>
      <c r="J35" s="67"/>
    </row>
    <row r="36" spans="1:10" x14ac:dyDescent="0.2">
      <c r="A36" s="22">
        <v>9</v>
      </c>
      <c r="B36" s="23" t="s">
        <v>205</v>
      </c>
      <c r="C36" s="23" t="s">
        <v>206</v>
      </c>
      <c r="D36" s="23" t="s">
        <v>195</v>
      </c>
      <c r="E36" s="24">
        <v>100</v>
      </c>
      <c r="F36" s="25">
        <v>992.85699999999997</v>
      </c>
      <c r="G36" s="26">
        <v>2.9455869999999999E-2</v>
      </c>
      <c r="H36" s="16">
        <v>8.82</v>
      </c>
      <c r="J36" s="67"/>
    </row>
    <row r="37" spans="1:10" ht="25.5" x14ac:dyDescent="0.2">
      <c r="A37" s="22">
        <v>10</v>
      </c>
      <c r="B37" s="23" t="s">
        <v>207</v>
      </c>
      <c r="C37" s="23" t="s">
        <v>208</v>
      </c>
      <c r="D37" s="23" t="s">
        <v>209</v>
      </c>
      <c r="E37" s="24">
        <v>1000</v>
      </c>
      <c r="F37" s="25">
        <v>989.04100000000005</v>
      </c>
      <c r="G37" s="26">
        <v>2.934266E-2</v>
      </c>
      <c r="H37" s="16">
        <v>9.89</v>
      </c>
      <c r="J37" s="67"/>
    </row>
    <row r="38" spans="1:10" x14ac:dyDescent="0.2">
      <c r="A38" s="22">
        <v>11</v>
      </c>
      <c r="B38" s="23" t="s">
        <v>210</v>
      </c>
      <c r="C38" s="23" t="s">
        <v>211</v>
      </c>
      <c r="D38" s="23" t="s">
        <v>209</v>
      </c>
      <c r="E38" s="24">
        <v>900</v>
      </c>
      <c r="F38" s="25">
        <v>901.3356</v>
      </c>
      <c r="G38" s="26">
        <v>2.674064E-2</v>
      </c>
      <c r="H38" s="16">
        <v>8.2750000000000004</v>
      </c>
      <c r="J38" s="67"/>
    </row>
    <row r="39" spans="1:10" x14ac:dyDescent="0.2">
      <c r="A39" s="22">
        <v>12</v>
      </c>
      <c r="B39" s="23" t="s">
        <v>55</v>
      </c>
      <c r="C39" s="23" t="s">
        <v>56</v>
      </c>
      <c r="D39" s="23" t="s">
        <v>23</v>
      </c>
      <c r="E39" s="24">
        <v>500</v>
      </c>
      <c r="F39" s="25">
        <v>501.54649999999998</v>
      </c>
      <c r="G39" s="26">
        <v>1.487978E-2</v>
      </c>
      <c r="H39" s="16">
        <v>7.5949999999999998</v>
      </c>
      <c r="J39" s="67"/>
    </row>
    <row r="40" spans="1:10" x14ac:dyDescent="0.2">
      <c r="A40" s="22">
        <v>13</v>
      </c>
      <c r="B40" s="23" t="s">
        <v>212</v>
      </c>
      <c r="C40" s="23" t="s">
        <v>213</v>
      </c>
      <c r="D40" s="23" t="s">
        <v>195</v>
      </c>
      <c r="E40" s="24">
        <v>500</v>
      </c>
      <c r="F40" s="25">
        <v>500.90199999999999</v>
      </c>
      <c r="G40" s="26">
        <v>1.4860659999999999E-2</v>
      </c>
      <c r="H40" s="16">
        <v>9.0250000000000004</v>
      </c>
      <c r="J40" s="67"/>
    </row>
    <row r="41" spans="1:10" x14ac:dyDescent="0.2">
      <c r="A41" s="22">
        <v>14</v>
      </c>
      <c r="B41" s="23" t="s">
        <v>214</v>
      </c>
      <c r="C41" s="23" t="s">
        <v>215</v>
      </c>
      <c r="D41" s="23" t="s">
        <v>32</v>
      </c>
      <c r="E41" s="24">
        <v>500</v>
      </c>
      <c r="F41" s="25">
        <v>500.87349999999998</v>
      </c>
      <c r="G41" s="26">
        <v>1.4859809999999999E-2</v>
      </c>
      <c r="H41" s="16">
        <v>7.4924999999999997</v>
      </c>
      <c r="J41" s="67"/>
    </row>
    <row r="42" spans="1:10" ht="25.5" x14ac:dyDescent="0.2">
      <c r="A42" s="22">
        <v>15</v>
      </c>
      <c r="B42" s="23" t="s">
        <v>216</v>
      </c>
      <c r="C42" s="23" t="s">
        <v>217</v>
      </c>
      <c r="D42" s="23" t="s">
        <v>218</v>
      </c>
      <c r="E42" s="24">
        <v>50</v>
      </c>
      <c r="F42" s="25">
        <v>499.98349999999999</v>
      </c>
      <c r="G42" s="26">
        <v>1.483341E-2</v>
      </c>
      <c r="H42" s="16">
        <v>8.4</v>
      </c>
      <c r="J42" s="67"/>
    </row>
    <row r="43" spans="1:10" ht="25.5" x14ac:dyDescent="0.2">
      <c r="A43" s="22">
        <v>16</v>
      </c>
      <c r="B43" s="23" t="s">
        <v>61</v>
      </c>
      <c r="C43" s="23" t="s">
        <v>62</v>
      </c>
      <c r="D43" s="23" t="s">
        <v>23</v>
      </c>
      <c r="E43" s="24">
        <v>500</v>
      </c>
      <c r="F43" s="25">
        <v>499.36</v>
      </c>
      <c r="G43" s="26">
        <v>1.4814910000000001E-2</v>
      </c>
      <c r="H43" s="16">
        <v>8.1850000000000005</v>
      </c>
      <c r="J43" s="67"/>
    </row>
    <row r="44" spans="1:10" x14ac:dyDescent="0.2">
      <c r="A44" s="14"/>
      <c r="B44" s="14"/>
      <c r="C44" s="15" t="s">
        <v>11</v>
      </c>
      <c r="D44" s="14"/>
      <c r="E44" s="14" t="s">
        <v>12</v>
      </c>
      <c r="F44" s="21">
        <v>17950.973000000002</v>
      </c>
      <c r="G44" s="18">
        <v>0.53256570999999997</v>
      </c>
      <c r="H44" s="16" t="s">
        <v>12</v>
      </c>
      <c r="J44" s="67"/>
    </row>
    <row r="45" spans="1:10" x14ac:dyDescent="0.2">
      <c r="A45" s="14"/>
      <c r="B45" s="14"/>
      <c r="C45" s="19"/>
      <c r="D45" s="14"/>
      <c r="E45" s="14"/>
      <c r="F45" s="20"/>
      <c r="G45" s="20"/>
      <c r="H45" s="16" t="s">
        <v>12</v>
      </c>
      <c r="J45" s="67"/>
    </row>
    <row r="46" spans="1:10" x14ac:dyDescent="0.2">
      <c r="A46" s="14"/>
      <c r="B46" s="14"/>
      <c r="C46" s="15" t="s">
        <v>67</v>
      </c>
      <c r="D46" s="14"/>
      <c r="E46" s="14"/>
      <c r="F46" s="14"/>
      <c r="G46" s="14"/>
      <c r="H46" s="16" t="s">
        <v>12</v>
      </c>
      <c r="J46" s="67"/>
    </row>
    <row r="47" spans="1:10" x14ac:dyDescent="0.2">
      <c r="A47" s="14"/>
      <c r="B47" s="14"/>
      <c r="C47" s="15" t="s">
        <v>11</v>
      </c>
      <c r="D47" s="14"/>
      <c r="E47" s="14" t="s">
        <v>12</v>
      </c>
      <c r="F47" s="17" t="s">
        <v>13</v>
      </c>
      <c r="G47" s="18">
        <v>0</v>
      </c>
      <c r="H47" s="16" t="s">
        <v>12</v>
      </c>
      <c r="J47" s="67"/>
    </row>
    <row r="48" spans="1:10" x14ac:dyDescent="0.2">
      <c r="A48" s="14"/>
      <c r="B48" s="14"/>
      <c r="C48" s="19"/>
      <c r="D48" s="14"/>
      <c r="E48" s="14"/>
      <c r="F48" s="20"/>
      <c r="G48" s="20"/>
      <c r="H48" s="16" t="s">
        <v>12</v>
      </c>
      <c r="J48" s="67"/>
    </row>
    <row r="49" spans="1:10" x14ac:dyDescent="0.2">
      <c r="A49" s="14"/>
      <c r="B49" s="14"/>
      <c r="C49" s="15" t="s">
        <v>68</v>
      </c>
      <c r="D49" s="14"/>
      <c r="E49" s="14"/>
      <c r="F49" s="14"/>
      <c r="G49" s="14"/>
      <c r="H49" s="16" t="s">
        <v>12</v>
      </c>
      <c r="J49" s="67"/>
    </row>
    <row r="50" spans="1:10" x14ac:dyDescent="0.2">
      <c r="A50" s="22">
        <v>1</v>
      </c>
      <c r="B50" s="23" t="s">
        <v>76</v>
      </c>
      <c r="C50" s="23" t="s">
        <v>77</v>
      </c>
      <c r="D50" s="23" t="s">
        <v>71</v>
      </c>
      <c r="E50" s="24">
        <v>1000000</v>
      </c>
      <c r="F50" s="25">
        <v>1020.8049999999999</v>
      </c>
      <c r="G50" s="26">
        <v>3.0285030000000001E-2</v>
      </c>
      <c r="H50" s="16">
        <v>6.8971999999999998</v>
      </c>
      <c r="J50" s="67"/>
    </row>
    <row r="51" spans="1:10" ht="25.5" x14ac:dyDescent="0.2">
      <c r="A51" s="22">
        <v>2</v>
      </c>
      <c r="B51" s="23" t="s">
        <v>219</v>
      </c>
      <c r="C51" s="23" t="s">
        <v>220</v>
      </c>
      <c r="D51" s="23" t="s">
        <v>71</v>
      </c>
      <c r="E51" s="24">
        <v>1000000</v>
      </c>
      <c r="F51" s="25">
        <v>1015.705</v>
      </c>
      <c r="G51" s="26">
        <v>3.0133719999999999E-2</v>
      </c>
      <c r="H51" s="16">
        <v>6.8636999999999997</v>
      </c>
      <c r="J51" s="67"/>
    </row>
    <row r="52" spans="1:10" x14ac:dyDescent="0.2">
      <c r="A52" s="14"/>
      <c r="B52" s="14"/>
      <c r="C52" s="15" t="s">
        <v>11</v>
      </c>
      <c r="D52" s="14"/>
      <c r="E52" s="14" t="s">
        <v>12</v>
      </c>
      <c r="F52" s="21">
        <v>2036.51</v>
      </c>
      <c r="G52" s="18">
        <v>6.041875E-2</v>
      </c>
      <c r="H52" s="16" t="s">
        <v>12</v>
      </c>
      <c r="J52" s="67"/>
    </row>
    <row r="53" spans="1:10" x14ac:dyDescent="0.2">
      <c r="A53" s="14"/>
      <c r="B53" s="14"/>
      <c r="C53" s="19"/>
      <c r="D53" s="14"/>
      <c r="E53" s="14"/>
      <c r="F53" s="20"/>
      <c r="G53" s="20"/>
      <c r="H53" s="16" t="s">
        <v>12</v>
      </c>
      <c r="J53" s="67"/>
    </row>
    <row r="54" spans="1:10" x14ac:dyDescent="0.2">
      <c r="A54" s="14"/>
      <c r="B54" s="14"/>
      <c r="C54" s="15" t="s">
        <v>82</v>
      </c>
      <c r="D54" s="14"/>
      <c r="E54" s="14"/>
      <c r="F54" s="20"/>
      <c r="G54" s="20"/>
      <c r="H54" s="16" t="s">
        <v>12</v>
      </c>
      <c r="J54" s="67"/>
    </row>
    <row r="55" spans="1:10" x14ac:dyDescent="0.2">
      <c r="A55" s="14"/>
      <c r="B55" s="14"/>
      <c r="C55" s="15" t="s">
        <v>11</v>
      </c>
      <c r="D55" s="14"/>
      <c r="E55" s="14" t="s">
        <v>12</v>
      </c>
      <c r="F55" s="17" t="s">
        <v>13</v>
      </c>
      <c r="G55" s="18">
        <v>0</v>
      </c>
      <c r="H55" s="16" t="s">
        <v>12</v>
      </c>
      <c r="J55" s="67"/>
    </row>
    <row r="56" spans="1:10" x14ac:dyDescent="0.2">
      <c r="A56" s="14"/>
      <c r="B56" s="14"/>
      <c r="C56" s="19"/>
      <c r="D56" s="14"/>
      <c r="E56" s="14"/>
      <c r="F56" s="20"/>
      <c r="G56" s="20"/>
      <c r="H56" s="16" t="s">
        <v>12</v>
      </c>
      <c r="J56" s="67"/>
    </row>
    <row r="57" spans="1:10" x14ac:dyDescent="0.2">
      <c r="A57" s="14"/>
      <c r="B57" s="14"/>
      <c r="C57" s="15" t="s">
        <v>83</v>
      </c>
      <c r="D57" s="14"/>
      <c r="E57" s="14"/>
      <c r="F57" s="21">
        <v>19987.483</v>
      </c>
      <c r="G57" s="18">
        <v>0.59298446000000005</v>
      </c>
      <c r="H57" s="16" t="s">
        <v>12</v>
      </c>
      <c r="J57" s="67"/>
    </row>
    <row r="58" spans="1:10" x14ac:dyDescent="0.2">
      <c r="A58" s="14"/>
      <c r="B58" s="14"/>
      <c r="C58" s="19"/>
      <c r="D58" s="14"/>
      <c r="E58" s="14"/>
      <c r="F58" s="20"/>
      <c r="G58" s="20"/>
      <c r="H58" s="16" t="s">
        <v>12</v>
      </c>
      <c r="J58" s="67"/>
    </row>
    <row r="59" spans="1:10" x14ac:dyDescent="0.2">
      <c r="A59" s="14"/>
      <c r="B59" s="14"/>
      <c r="C59" s="15" t="s">
        <v>84</v>
      </c>
      <c r="D59" s="14"/>
      <c r="E59" s="14"/>
      <c r="F59" s="20"/>
      <c r="G59" s="20"/>
      <c r="H59" s="16" t="s">
        <v>12</v>
      </c>
      <c r="J59" s="67"/>
    </row>
    <row r="60" spans="1:10" x14ac:dyDescent="0.2">
      <c r="A60" s="14"/>
      <c r="B60" s="14"/>
      <c r="C60" s="15" t="s">
        <v>85</v>
      </c>
      <c r="D60" s="14"/>
      <c r="E60" s="14"/>
      <c r="F60" s="20"/>
      <c r="G60" s="20"/>
      <c r="H60" s="16" t="s">
        <v>12</v>
      </c>
      <c r="J60" s="67"/>
    </row>
    <row r="61" spans="1:10" ht="25.5" x14ac:dyDescent="0.2">
      <c r="A61" s="22">
        <v>1</v>
      </c>
      <c r="B61" s="23" t="s">
        <v>221</v>
      </c>
      <c r="C61" s="23" t="s">
        <v>222</v>
      </c>
      <c r="D61" s="23" t="s">
        <v>144</v>
      </c>
      <c r="E61" s="24">
        <v>300</v>
      </c>
      <c r="F61" s="25">
        <v>1469.9565</v>
      </c>
      <c r="G61" s="26">
        <v>4.3610360000000001E-2</v>
      </c>
      <c r="H61" s="16">
        <v>7.3861999999999997</v>
      </c>
      <c r="J61" s="67"/>
    </row>
    <row r="62" spans="1:10" x14ac:dyDescent="0.2">
      <c r="A62" s="22">
        <v>2</v>
      </c>
      <c r="B62" s="23" t="s">
        <v>223</v>
      </c>
      <c r="C62" s="23" t="s">
        <v>224</v>
      </c>
      <c r="D62" s="23" t="s">
        <v>144</v>
      </c>
      <c r="E62" s="24">
        <v>200</v>
      </c>
      <c r="F62" s="25">
        <v>982.66899999999998</v>
      </c>
      <c r="G62" s="26">
        <v>2.9153620000000002E-2</v>
      </c>
      <c r="H62" s="16">
        <v>7.2328999999999999</v>
      </c>
      <c r="J62" s="67"/>
    </row>
    <row r="63" spans="1:10" x14ac:dyDescent="0.2">
      <c r="A63" s="22">
        <v>3</v>
      </c>
      <c r="B63" s="23" t="s">
        <v>225</v>
      </c>
      <c r="C63" s="23" t="s">
        <v>226</v>
      </c>
      <c r="D63" s="23" t="s">
        <v>144</v>
      </c>
      <c r="E63" s="24">
        <v>200</v>
      </c>
      <c r="F63" s="25">
        <v>981.24199999999996</v>
      </c>
      <c r="G63" s="26">
        <v>2.911128E-2</v>
      </c>
      <c r="H63" s="16">
        <v>7.3451000000000004</v>
      </c>
      <c r="J63" s="67"/>
    </row>
    <row r="64" spans="1:10" x14ac:dyDescent="0.2">
      <c r="A64" s="22">
        <v>4</v>
      </c>
      <c r="B64" s="23" t="s">
        <v>167</v>
      </c>
      <c r="C64" s="23" t="s">
        <v>168</v>
      </c>
      <c r="D64" s="23" t="s">
        <v>162</v>
      </c>
      <c r="E64" s="24">
        <v>200</v>
      </c>
      <c r="F64" s="25">
        <v>970.06600000000003</v>
      </c>
      <c r="G64" s="26">
        <v>2.877971E-2</v>
      </c>
      <c r="H64" s="16">
        <v>7.4100999999999999</v>
      </c>
      <c r="J64" s="67"/>
    </row>
    <row r="65" spans="1:10" ht="25.5" x14ac:dyDescent="0.2">
      <c r="A65" s="22">
        <v>5</v>
      </c>
      <c r="B65" s="23" t="s">
        <v>227</v>
      </c>
      <c r="C65" s="23" t="s">
        <v>228</v>
      </c>
      <c r="D65" s="23" t="s">
        <v>144</v>
      </c>
      <c r="E65" s="24">
        <v>200</v>
      </c>
      <c r="F65" s="25">
        <v>968.26</v>
      </c>
      <c r="G65" s="26">
        <v>2.8726129999999999E-2</v>
      </c>
      <c r="H65" s="16">
        <v>7.5250000000000004</v>
      </c>
      <c r="J65" s="67"/>
    </row>
    <row r="66" spans="1:10" x14ac:dyDescent="0.2">
      <c r="A66" s="22">
        <v>6</v>
      </c>
      <c r="B66" s="23" t="s">
        <v>163</v>
      </c>
      <c r="C66" s="23" t="s">
        <v>164</v>
      </c>
      <c r="D66" s="23" t="s">
        <v>144</v>
      </c>
      <c r="E66" s="24">
        <v>200</v>
      </c>
      <c r="F66" s="25">
        <v>965.34100000000001</v>
      </c>
      <c r="G66" s="26">
        <v>2.863953E-2</v>
      </c>
      <c r="H66" s="16">
        <v>7.5750000000000002</v>
      </c>
      <c r="J66" s="67"/>
    </row>
    <row r="67" spans="1:10" x14ac:dyDescent="0.2">
      <c r="A67" s="22">
        <v>7</v>
      </c>
      <c r="B67" s="23" t="s">
        <v>165</v>
      </c>
      <c r="C67" s="23" t="s">
        <v>166</v>
      </c>
      <c r="D67" s="23" t="s">
        <v>144</v>
      </c>
      <c r="E67" s="24">
        <v>200</v>
      </c>
      <c r="F67" s="25">
        <v>964.73900000000003</v>
      </c>
      <c r="G67" s="26">
        <v>2.8621669999999998E-2</v>
      </c>
      <c r="H67" s="16">
        <v>7.58</v>
      </c>
      <c r="J67" s="67"/>
    </row>
    <row r="68" spans="1:10" ht="25.5" x14ac:dyDescent="0.2">
      <c r="A68" s="22">
        <v>8</v>
      </c>
      <c r="B68" s="23" t="s">
        <v>229</v>
      </c>
      <c r="C68" s="23" t="s">
        <v>230</v>
      </c>
      <c r="D68" s="23" t="s">
        <v>144</v>
      </c>
      <c r="E68" s="24">
        <v>200</v>
      </c>
      <c r="F68" s="25">
        <v>964.61300000000006</v>
      </c>
      <c r="G68" s="26">
        <v>2.8617940000000001E-2</v>
      </c>
      <c r="H68" s="16">
        <v>7.5225</v>
      </c>
      <c r="J68" s="67"/>
    </row>
    <row r="69" spans="1:10" x14ac:dyDescent="0.2">
      <c r="A69" s="22">
        <v>9</v>
      </c>
      <c r="B69" s="23" t="s">
        <v>148</v>
      </c>
      <c r="C69" s="23" t="s">
        <v>149</v>
      </c>
      <c r="D69" s="23" t="s">
        <v>144</v>
      </c>
      <c r="E69" s="24">
        <v>200</v>
      </c>
      <c r="F69" s="25">
        <v>960.577</v>
      </c>
      <c r="G69" s="26">
        <v>2.8498200000000001E-2</v>
      </c>
      <c r="H69" s="16">
        <v>7.49</v>
      </c>
      <c r="J69" s="67"/>
    </row>
    <row r="70" spans="1:10" x14ac:dyDescent="0.2">
      <c r="A70" s="22">
        <v>10</v>
      </c>
      <c r="B70" s="23" t="s">
        <v>150</v>
      </c>
      <c r="C70" s="23" t="s">
        <v>151</v>
      </c>
      <c r="D70" s="23" t="s">
        <v>144</v>
      </c>
      <c r="E70" s="24">
        <v>200</v>
      </c>
      <c r="F70" s="25">
        <v>947.96</v>
      </c>
      <c r="G70" s="26">
        <v>2.812388E-2</v>
      </c>
      <c r="H70" s="16">
        <v>7.59</v>
      </c>
      <c r="J70" s="67"/>
    </row>
    <row r="71" spans="1:10" ht="25.5" x14ac:dyDescent="0.2">
      <c r="A71" s="22">
        <v>11</v>
      </c>
      <c r="B71" s="23" t="s">
        <v>231</v>
      </c>
      <c r="C71" s="23" t="s">
        <v>232</v>
      </c>
      <c r="D71" s="23" t="s">
        <v>144</v>
      </c>
      <c r="E71" s="24">
        <v>100</v>
      </c>
      <c r="F71" s="25">
        <v>486.80900000000003</v>
      </c>
      <c r="G71" s="26">
        <v>1.444255E-2</v>
      </c>
      <c r="H71" s="16">
        <v>7.5499000000000001</v>
      </c>
      <c r="J71" s="67"/>
    </row>
    <row r="72" spans="1:10" x14ac:dyDescent="0.2">
      <c r="A72" s="14"/>
      <c r="B72" s="14"/>
      <c r="C72" s="15" t="s">
        <v>11</v>
      </c>
      <c r="D72" s="14"/>
      <c r="E72" s="14" t="s">
        <v>12</v>
      </c>
      <c r="F72" s="21">
        <v>10662.2325</v>
      </c>
      <c r="G72" s="18">
        <v>0.31632486999999998</v>
      </c>
      <c r="H72" s="16" t="s">
        <v>12</v>
      </c>
      <c r="J72" s="67"/>
    </row>
    <row r="73" spans="1:10" x14ac:dyDescent="0.2">
      <c r="A73" s="14"/>
      <c r="B73" s="14"/>
      <c r="C73" s="19"/>
      <c r="D73" s="14"/>
      <c r="E73" s="14"/>
      <c r="F73" s="20"/>
      <c r="G73" s="20"/>
      <c r="H73" s="16" t="s">
        <v>12</v>
      </c>
      <c r="J73" s="67"/>
    </row>
    <row r="74" spans="1:10" x14ac:dyDescent="0.2">
      <c r="A74" s="14"/>
      <c r="B74" s="14"/>
      <c r="C74" s="15" t="s">
        <v>86</v>
      </c>
      <c r="D74" s="14"/>
      <c r="E74" s="14"/>
      <c r="F74" s="20"/>
      <c r="G74" s="20"/>
      <c r="H74" s="16" t="s">
        <v>12</v>
      </c>
      <c r="J74" s="67"/>
    </row>
    <row r="75" spans="1:10" ht="25.5" x14ac:dyDescent="0.2">
      <c r="A75" s="22">
        <v>1</v>
      </c>
      <c r="B75" s="23" t="s">
        <v>233</v>
      </c>
      <c r="C75" s="23" t="s">
        <v>234</v>
      </c>
      <c r="D75" s="23" t="s">
        <v>144</v>
      </c>
      <c r="E75" s="24">
        <v>300</v>
      </c>
      <c r="F75" s="25">
        <v>1433.1945000000001</v>
      </c>
      <c r="G75" s="26">
        <v>4.2519710000000002E-2</v>
      </c>
      <c r="H75" s="16">
        <v>8.77</v>
      </c>
      <c r="J75" s="67"/>
    </row>
    <row r="76" spans="1:10" x14ac:dyDescent="0.2">
      <c r="A76" s="14"/>
      <c r="B76" s="14"/>
      <c r="C76" s="15" t="s">
        <v>11</v>
      </c>
      <c r="D76" s="14"/>
      <c r="E76" s="14" t="s">
        <v>12</v>
      </c>
      <c r="F76" s="21">
        <v>1433.1945000000001</v>
      </c>
      <c r="G76" s="18">
        <v>4.2519710000000002E-2</v>
      </c>
      <c r="H76" s="16" t="s">
        <v>12</v>
      </c>
      <c r="J76" s="67"/>
    </row>
    <row r="77" spans="1:10" x14ac:dyDescent="0.2">
      <c r="A77" s="14"/>
      <c r="B77" s="14"/>
      <c r="C77" s="19"/>
      <c r="D77" s="14"/>
      <c r="E77" s="14"/>
      <c r="F77" s="20"/>
      <c r="G77" s="20"/>
      <c r="H77" s="16" t="s">
        <v>12</v>
      </c>
      <c r="J77" s="67"/>
    </row>
    <row r="78" spans="1:10" x14ac:dyDescent="0.2">
      <c r="A78" s="14"/>
      <c r="B78" s="14"/>
      <c r="C78" s="15" t="s">
        <v>87</v>
      </c>
      <c r="D78" s="14"/>
      <c r="E78" s="14"/>
      <c r="F78" s="20"/>
      <c r="G78" s="20"/>
      <c r="H78" s="16" t="s">
        <v>12</v>
      </c>
      <c r="J78" s="67"/>
    </row>
    <row r="79" spans="1:10" x14ac:dyDescent="0.2">
      <c r="A79" s="14"/>
      <c r="B79" s="14"/>
      <c r="C79" s="15" t="s">
        <v>11</v>
      </c>
      <c r="D79" s="14"/>
      <c r="E79" s="14" t="s">
        <v>12</v>
      </c>
      <c r="F79" s="17" t="s">
        <v>13</v>
      </c>
      <c r="G79" s="18">
        <v>0</v>
      </c>
      <c r="H79" s="16" t="s">
        <v>12</v>
      </c>
      <c r="J79" s="67"/>
    </row>
    <row r="80" spans="1:10" x14ac:dyDescent="0.2">
      <c r="A80" s="14"/>
      <c r="B80" s="14"/>
      <c r="C80" s="19"/>
      <c r="D80" s="14"/>
      <c r="E80" s="14"/>
      <c r="F80" s="20"/>
      <c r="G80" s="20"/>
      <c r="H80" s="16" t="s">
        <v>12</v>
      </c>
      <c r="J80" s="67"/>
    </row>
    <row r="81" spans="1:18" x14ac:dyDescent="0.2">
      <c r="A81" s="14"/>
      <c r="B81" s="14"/>
      <c r="C81" s="15" t="s">
        <v>88</v>
      </c>
      <c r="D81" s="14"/>
      <c r="E81" s="14"/>
      <c r="F81" s="20"/>
      <c r="G81" s="20"/>
      <c r="H81" s="16" t="s">
        <v>12</v>
      </c>
      <c r="J81" s="67"/>
    </row>
    <row r="82" spans="1:18" x14ac:dyDescent="0.2">
      <c r="A82" s="22">
        <v>1</v>
      </c>
      <c r="B82" s="23"/>
      <c r="C82" s="23" t="s">
        <v>89</v>
      </c>
      <c r="D82" s="23"/>
      <c r="E82" s="27"/>
      <c r="F82" s="25">
        <v>680.75597629699996</v>
      </c>
      <c r="G82" s="26">
        <v>2.0196530000000001E-2</v>
      </c>
      <c r="H82" s="16">
        <v>6.62</v>
      </c>
      <c r="J82" s="67"/>
    </row>
    <row r="83" spans="1:18" x14ac:dyDescent="0.2">
      <c r="A83" s="14"/>
      <c r="B83" s="14"/>
      <c r="C83" s="15" t="s">
        <v>11</v>
      </c>
      <c r="D83" s="14"/>
      <c r="E83" s="14" t="s">
        <v>12</v>
      </c>
      <c r="F83" s="21">
        <v>680.75597629699996</v>
      </c>
      <c r="G83" s="18">
        <v>2.0196530000000001E-2</v>
      </c>
      <c r="H83" s="16" t="s">
        <v>12</v>
      </c>
      <c r="J83" s="67"/>
    </row>
    <row r="84" spans="1:18" x14ac:dyDescent="0.2">
      <c r="A84" s="14"/>
      <c r="B84" s="14"/>
      <c r="C84" s="19"/>
      <c r="D84" s="14"/>
      <c r="E84" s="14"/>
      <c r="F84" s="20"/>
      <c r="G84" s="20"/>
      <c r="H84" s="16" t="s">
        <v>12</v>
      </c>
      <c r="J84" s="67"/>
    </row>
    <row r="85" spans="1:18" x14ac:dyDescent="0.2">
      <c r="A85" s="14"/>
      <c r="B85" s="14"/>
      <c r="C85" s="15" t="s">
        <v>90</v>
      </c>
      <c r="D85" s="14"/>
      <c r="E85" s="14"/>
      <c r="F85" s="21">
        <v>12776.182976296999</v>
      </c>
      <c r="G85" s="18">
        <v>0.37904111000000001</v>
      </c>
      <c r="H85" s="16" t="s">
        <v>12</v>
      </c>
      <c r="J85" s="67"/>
    </row>
    <row r="86" spans="1:18" x14ac:dyDescent="0.2">
      <c r="A86" s="14"/>
      <c r="B86" s="14"/>
      <c r="C86" s="20"/>
      <c r="D86" s="14"/>
      <c r="E86" s="14"/>
      <c r="F86" s="14"/>
      <c r="G86" s="14"/>
      <c r="H86" s="16" t="s">
        <v>12</v>
      </c>
      <c r="J86" s="67"/>
    </row>
    <row r="87" spans="1:18" x14ac:dyDescent="0.2">
      <c r="A87" s="14"/>
      <c r="B87" s="14"/>
      <c r="C87" s="15" t="s">
        <v>91</v>
      </c>
      <c r="D87" s="14"/>
      <c r="E87" s="14"/>
      <c r="F87" s="14"/>
      <c r="G87" s="14"/>
      <c r="H87" s="16" t="s">
        <v>12</v>
      </c>
      <c r="J87" s="67"/>
    </row>
    <row r="88" spans="1:18" x14ac:dyDescent="0.2">
      <c r="A88" s="14"/>
      <c r="B88" s="14"/>
      <c r="C88" s="15" t="s">
        <v>92</v>
      </c>
      <c r="D88" s="14"/>
      <c r="E88" s="14"/>
      <c r="F88" s="14"/>
      <c r="G88" s="14"/>
      <c r="H88" s="16" t="s">
        <v>12</v>
      </c>
      <c r="J88" s="67"/>
    </row>
    <row r="89" spans="1:18" x14ac:dyDescent="0.2">
      <c r="A89" s="14"/>
      <c r="B89" s="14"/>
      <c r="C89" s="15" t="s">
        <v>11</v>
      </c>
      <c r="D89" s="14"/>
      <c r="E89" s="14" t="s">
        <v>12</v>
      </c>
      <c r="F89" s="17" t="s">
        <v>13</v>
      </c>
      <c r="G89" s="18">
        <v>0</v>
      </c>
      <c r="H89" s="16" t="s">
        <v>12</v>
      </c>
      <c r="J89" s="67"/>
    </row>
    <row r="90" spans="1:18" x14ac:dyDescent="0.2">
      <c r="A90" s="14"/>
      <c r="B90" s="14"/>
      <c r="C90" s="19"/>
      <c r="D90" s="14"/>
      <c r="E90" s="14"/>
      <c r="F90" s="20"/>
      <c r="G90" s="20"/>
      <c r="H90" s="16" t="s">
        <v>12</v>
      </c>
      <c r="J90" s="67"/>
    </row>
    <row r="91" spans="1:18" x14ac:dyDescent="0.2">
      <c r="A91" s="28"/>
      <c r="B91" s="28"/>
      <c r="C91" s="29" t="s">
        <v>536</v>
      </c>
      <c r="D91" s="28"/>
      <c r="E91" s="28"/>
      <c r="F91" s="30"/>
      <c r="G91" s="30"/>
      <c r="H91" s="31"/>
      <c r="J91" s="67"/>
      <c r="L91" s="32"/>
      <c r="M91" s="32"/>
      <c r="N91" s="32"/>
      <c r="O91" s="32"/>
      <c r="P91" s="33"/>
      <c r="Q91" s="33"/>
      <c r="R91" s="33"/>
    </row>
    <row r="92" spans="1:18" ht="25.5" x14ac:dyDescent="0.2">
      <c r="A92" s="22">
        <v>1</v>
      </c>
      <c r="B92" s="23" t="s">
        <v>93</v>
      </c>
      <c r="C92" s="23" t="s">
        <v>94</v>
      </c>
      <c r="D92" s="23"/>
      <c r="E92" s="34">
        <v>1043.4449999999999</v>
      </c>
      <c r="F92" s="25">
        <v>108.17416540399999</v>
      </c>
      <c r="G92" s="26">
        <v>3.2092900000000001E-3</v>
      </c>
      <c r="H92" s="16"/>
      <c r="J92" s="67"/>
    </row>
    <row r="93" spans="1:18" x14ac:dyDescent="0.2">
      <c r="A93" s="14"/>
      <c r="B93" s="14"/>
      <c r="C93" s="15" t="s">
        <v>11</v>
      </c>
      <c r="D93" s="14"/>
      <c r="E93" s="14" t="s">
        <v>12</v>
      </c>
      <c r="F93" s="21">
        <v>108.17416540399999</v>
      </c>
      <c r="G93" s="18">
        <v>3.2092900000000001E-3</v>
      </c>
      <c r="H93" s="16" t="s">
        <v>12</v>
      </c>
      <c r="J93" s="67"/>
    </row>
    <row r="94" spans="1:18" x14ac:dyDescent="0.2">
      <c r="A94" s="14"/>
      <c r="B94" s="14"/>
      <c r="C94" s="19"/>
      <c r="D94" s="14"/>
      <c r="E94" s="14"/>
      <c r="F94" s="20"/>
      <c r="G94" s="20"/>
      <c r="H94" s="16" t="s">
        <v>12</v>
      </c>
      <c r="J94" s="67"/>
    </row>
    <row r="95" spans="1:18" x14ac:dyDescent="0.2">
      <c r="A95" s="14"/>
      <c r="B95" s="14"/>
      <c r="C95" s="15" t="s">
        <v>95</v>
      </c>
      <c r="D95" s="14"/>
      <c r="E95" s="14"/>
      <c r="F95" s="14"/>
      <c r="G95" s="14"/>
      <c r="H95" s="16" t="s">
        <v>12</v>
      </c>
      <c r="J95" s="67"/>
    </row>
    <row r="96" spans="1:18" x14ac:dyDescent="0.2">
      <c r="A96" s="14"/>
      <c r="B96" s="14"/>
      <c r="C96" s="15" t="s">
        <v>96</v>
      </c>
      <c r="D96" s="14"/>
      <c r="E96" s="14"/>
      <c r="F96" s="14"/>
      <c r="G96" s="14"/>
      <c r="H96" s="16" t="s">
        <v>12</v>
      </c>
      <c r="J96" s="67"/>
    </row>
    <row r="97" spans="1:10" x14ac:dyDescent="0.2">
      <c r="A97" s="14"/>
      <c r="B97" s="14"/>
      <c r="C97" s="15" t="s">
        <v>11</v>
      </c>
      <c r="D97" s="14"/>
      <c r="E97" s="14" t="s">
        <v>12</v>
      </c>
      <c r="F97" s="17" t="s">
        <v>13</v>
      </c>
      <c r="G97" s="18">
        <v>0</v>
      </c>
      <c r="H97" s="16" t="s">
        <v>12</v>
      </c>
      <c r="J97" s="67"/>
    </row>
    <row r="98" spans="1:10" x14ac:dyDescent="0.2">
      <c r="A98" s="14"/>
      <c r="B98" s="14"/>
      <c r="C98" s="19"/>
      <c r="D98" s="14"/>
      <c r="E98" s="14"/>
      <c r="F98" s="20"/>
      <c r="G98" s="20"/>
      <c r="H98" s="16" t="s">
        <v>12</v>
      </c>
      <c r="J98" s="67"/>
    </row>
    <row r="99" spans="1:10" x14ac:dyDescent="0.2">
      <c r="A99" s="14"/>
      <c r="B99" s="14"/>
      <c r="C99" s="15" t="s">
        <v>97</v>
      </c>
      <c r="D99" s="14"/>
      <c r="E99" s="14"/>
      <c r="F99" s="20"/>
      <c r="G99" s="20"/>
      <c r="H99" s="16" t="s">
        <v>12</v>
      </c>
      <c r="J99" s="67"/>
    </row>
    <row r="100" spans="1:10" x14ac:dyDescent="0.2">
      <c r="A100" s="14"/>
      <c r="B100" s="14"/>
      <c r="C100" s="15" t="s">
        <v>11</v>
      </c>
      <c r="D100" s="14"/>
      <c r="E100" s="14" t="s">
        <v>12</v>
      </c>
      <c r="F100" s="17" t="s">
        <v>13</v>
      </c>
      <c r="G100" s="18">
        <v>0</v>
      </c>
      <c r="H100" s="16" t="s">
        <v>12</v>
      </c>
      <c r="J100" s="67"/>
    </row>
    <row r="101" spans="1:10" x14ac:dyDescent="0.2">
      <c r="A101" s="14"/>
      <c r="B101" s="14"/>
      <c r="C101" s="19"/>
      <c r="D101" s="14"/>
      <c r="E101" s="14"/>
      <c r="F101" s="20"/>
      <c r="G101" s="20"/>
      <c r="H101" s="16" t="s">
        <v>12</v>
      </c>
      <c r="J101" s="67"/>
    </row>
    <row r="102" spans="1:10" x14ac:dyDescent="0.2">
      <c r="A102" s="27"/>
      <c r="B102" s="23"/>
      <c r="C102" s="23" t="s">
        <v>98</v>
      </c>
      <c r="D102" s="23"/>
      <c r="E102" s="27"/>
      <c r="F102" s="25">
        <f>834.74959298+0.000024579005241394</f>
        <v>834.74961755900517</v>
      </c>
      <c r="G102" s="26">
        <v>2.4765180000000001E-2</v>
      </c>
      <c r="H102" s="16" t="s">
        <v>12</v>
      </c>
      <c r="J102" s="67"/>
    </row>
    <row r="103" spans="1:10" x14ac:dyDescent="0.2">
      <c r="A103" s="19"/>
      <c r="B103" s="19"/>
      <c r="C103" s="15" t="s">
        <v>99</v>
      </c>
      <c r="D103" s="20"/>
      <c r="E103" s="20"/>
      <c r="F103" s="21">
        <f>33706.589734681+0.000024579005241394</f>
        <v>33706.589759260009</v>
      </c>
      <c r="G103" s="35">
        <v>1.00000004</v>
      </c>
      <c r="H103" s="16" t="s">
        <v>12</v>
      </c>
      <c r="J103" s="67"/>
    </row>
    <row r="104" spans="1:10" x14ac:dyDescent="0.2">
      <c r="A104" s="36"/>
      <c r="B104" s="36"/>
      <c r="C104" s="36"/>
      <c r="D104" s="37"/>
      <c r="E104" s="37"/>
      <c r="F104" s="37"/>
      <c r="G104" s="37"/>
      <c r="J104" s="67"/>
    </row>
    <row r="105" spans="1:10" x14ac:dyDescent="0.2">
      <c r="A105" s="38"/>
      <c r="B105" s="112" t="s">
        <v>532</v>
      </c>
      <c r="C105" s="112"/>
      <c r="D105" s="112"/>
      <c r="E105" s="112"/>
      <c r="F105" s="112"/>
      <c r="G105" s="112"/>
      <c r="H105" s="112"/>
      <c r="J105" s="67"/>
    </row>
    <row r="106" spans="1:10" x14ac:dyDescent="0.2">
      <c r="A106" s="38"/>
      <c r="B106" s="112" t="s">
        <v>533</v>
      </c>
      <c r="C106" s="112"/>
      <c r="D106" s="112"/>
      <c r="E106" s="112"/>
      <c r="F106" s="112"/>
      <c r="G106" s="112"/>
      <c r="H106" s="112"/>
      <c r="J106" s="67"/>
    </row>
    <row r="107" spans="1:10" x14ac:dyDescent="0.2">
      <c r="A107" s="38"/>
      <c r="B107" s="112" t="s">
        <v>534</v>
      </c>
      <c r="C107" s="112"/>
      <c r="D107" s="112"/>
      <c r="E107" s="112"/>
      <c r="F107" s="112"/>
      <c r="G107" s="112"/>
      <c r="H107" s="112"/>
      <c r="J107" s="67"/>
    </row>
    <row r="108" spans="1:10" x14ac:dyDescent="0.2">
      <c r="A108" s="40"/>
      <c r="B108" s="40"/>
      <c r="C108" s="40"/>
      <c r="D108" s="41"/>
      <c r="E108" s="41"/>
      <c r="F108" s="41"/>
      <c r="G108" s="41"/>
      <c r="J108" s="67"/>
    </row>
    <row r="109" spans="1:10" x14ac:dyDescent="0.2">
      <c r="A109" s="40"/>
      <c r="B109" s="118" t="s">
        <v>100</v>
      </c>
      <c r="C109" s="119"/>
      <c r="D109" s="120"/>
      <c r="E109" s="42"/>
      <c r="F109" s="41"/>
      <c r="G109" s="41"/>
      <c r="J109" s="67"/>
    </row>
    <row r="110" spans="1:10" ht="25.5" x14ac:dyDescent="0.2">
      <c r="A110" s="40"/>
      <c r="B110" s="121" t="s">
        <v>101</v>
      </c>
      <c r="C110" s="122"/>
      <c r="D110" s="29" t="s">
        <v>559</v>
      </c>
      <c r="E110" s="42"/>
      <c r="F110" s="41"/>
      <c r="G110" s="41"/>
      <c r="J110" s="67"/>
    </row>
    <row r="111" spans="1:10" x14ac:dyDescent="0.2">
      <c r="A111" s="40"/>
      <c r="B111" s="121" t="s">
        <v>103</v>
      </c>
      <c r="C111" s="122"/>
      <c r="D111" s="15" t="s">
        <v>102</v>
      </c>
      <c r="E111" s="42"/>
      <c r="F111" s="41"/>
      <c r="G111" s="41"/>
      <c r="J111" s="67"/>
    </row>
    <row r="112" spans="1:10" x14ac:dyDescent="0.2">
      <c r="A112" s="40"/>
      <c r="B112" s="121" t="s">
        <v>104</v>
      </c>
      <c r="C112" s="122"/>
      <c r="D112" s="20" t="s">
        <v>12</v>
      </c>
      <c r="E112" s="42"/>
      <c r="F112" s="41"/>
      <c r="G112" s="41"/>
      <c r="J112" s="67"/>
    </row>
    <row r="113" spans="1:15" x14ac:dyDescent="0.2">
      <c r="A113" s="43"/>
      <c r="B113" s="44" t="s">
        <v>12</v>
      </c>
      <c r="C113" s="44" t="s">
        <v>528</v>
      </c>
      <c r="D113" s="44" t="s">
        <v>105</v>
      </c>
      <c r="E113" s="43"/>
      <c r="F113" s="43"/>
      <c r="G113" s="43"/>
      <c r="H113" s="45"/>
      <c r="J113" s="67"/>
    </row>
    <row r="114" spans="1:15" x14ac:dyDescent="0.2">
      <c r="A114" s="46"/>
      <c r="B114" s="47" t="s">
        <v>106</v>
      </c>
      <c r="C114" s="48">
        <v>45519</v>
      </c>
      <c r="D114" s="48">
        <v>45535</v>
      </c>
      <c r="E114" s="46"/>
      <c r="F114" s="46"/>
      <c r="G114" s="46"/>
      <c r="J114" s="67"/>
    </row>
    <row r="115" spans="1:15" x14ac:dyDescent="0.2">
      <c r="A115" s="46"/>
      <c r="B115" s="23" t="s">
        <v>107</v>
      </c>
      <c r="C115" s="49">
        <v>3455.8427999999999</v>
      </c>
      <c r="D115" s="49">
        <v>3466.3681000000001</v>
      </c>
      <c r="E115" s="46"/>
      <c r="F115" s="50"/>
      <c r="G115" s="51"/>
      <c r="J115" s="67"/>
    </row>
    <row r="116" spans="1:15" x14ac:dyDescent="0.2">
      <c r="A116" s="46"/>
      <c r="B116" s="23" t="s">
        <v>584</v>
      </c>
      <c r="C116" s="49">
        <v>1101.6551999999999</v>
      </c>
      <c r="D116" s="49">
        <v>1098.1411000000001</v>
      </c>
      <c r="E116" s="46"/>
      <c r="F116" s="50"/>
      <c r="G116" s="51"/>
      <c r="J116" s="67"/>
    </row>
    <row r="117" spans="1:15" x14ac:dyDescent="0.2">
      <c r="A117" s="46"/>
      <c r="B117" s="23" t="s">
        <v>585</v>
      </c>
      <c r="C117" s="49">
        <v>1210.0456999999999</v>
      </c>
      <c r="D117" s="49">
        <v>1213.7309</v>
      </c>
      <c r="E117" s="46"/>
      <c r="F117" s="50"/>
      <c r="G117" s="51"/>
      <c r="J117" s="67"/>
    </row>
    <row r="118" spans="1:15" x14ac:dyDescent="0.2">
      <c r="A118" s="46"/>
      <c r="B118" s="23" t="s">
        <v>108</v>
      </c>
      <c r="C118" s="49">
        <v>3244.6568000000002</v>
      </c>
      <c r="D118" s="49">
        <v>3253.4836</v>
      </c>
      <c r="E118" s="46"/>
      <c r="F118" s="50"/>
      <c r="G118" s="51"/>
      <c r="J118" s="71"/>
    </row>
    <row r="119" spans="1:15" x14ac:dyDescent="0.2">
      <c r="A119" s="46"/>
      <c r="B119" s="23" t="s">
        <v>140</v>
      </c>
      <c r="C119" s="49">
        <v>1256.5668000000001</v>
      </c>
      <c r="D119" s="49">
        <v>1259.9851000000001</v>
      </c>
      <c r="E119" s="46"/>
      <c r="F119" s="50"/>
      <c r="G119" s="51"/>
      <c r="J119" s="71"/>
    </row>
    <row r="120" spans="1:15" x14ac:dyDescent="0.2">
      <c r="A120" s="46"/>
      <c r="B120" s="23" t="s">
        <v>588</v>
      </c>
      <c r="C120" s="49">
        <v>1091.2361000000001</v>
      </c>
      <c r="D120" s="49">
        <v>1088.0823</v>
      </c>
      <c r="E120" s="46"/>
      <c r="F120" s="50"/>
      <c r="G120" s="51"/>
      <c r="J120" s="71"/>
    </row>
    <row r="121" spans="1:15" ht="25.5" x14ac:dyDescent="0.2">
      <c r="A121" s="46"/>
      <c r="B121" s="23" t="s">
        <v>562</v>
      </c>
      <c r="C121" s="49">
        <v>1175.143</v>
      </c>
      <c r="D121" s="49">
        <v>1178.3397</v>
      </c>
      <c r="E121" s="46"/>
      <c r="F121" s="50"/>
      <c r="G121" s="51"/>
      <c r="J121" s="71"/>
    </row>
    <row r="122" spans="1:15" x14ac:dyDescent="0.2">
      <c r="A122" s="46"/>
      <c r="B122" s="46"/>
      <c r="C122" s="46"/>
      <c r="D122" s="46"/>
      <c r="E122" s="46"/>
      <c r="F122" s="46"/>
      <c r="G122" s="46"/>
      <c r="J122" s="71"/>
    </row>
    <row r="123" spans="1:15" x14ac:dyDescent="0.2">
      <c r="A123" s="46"/>
      <c r="B123" s="121" t="s">
        <v>591</v>
      </c>
      <c r="C123" s="122"/>
      <c r="D123" s="15" t="s">
        <v>12</v>
      </c>
      <c r="E123" s="46"/>
      <c r="F123" s="46"/>
      <c r="G123" s="46"/>
      <c r="J123" s="71"/>
    </row>
    <row r="124" spans="1:15" x14ac:dyDescent="0.2">
      <c r="A124" s="46"/>
      <c r="B124" s="52" t="s">
        <v>106</v>
      </c>
      <c r="C124" s="53" t="s">
        <v>109</v>
      </c>
      <c r="D124" s="53" t="s">
        <v>110</v>
      </c>
      <c r="E124" s="46"/>
      <c r="F124" s="46"/>
      <c r="G124" s="46"/>
      <c r="J124" s="71"/>
    </row>
    <row r="125" spans="1:15" x14ac:dyDescent="0.2">
      <c r="A125" s="46"/>
      <c r="B125" s="23" t="s">
        <v>584</v>
      </c>
      <c r="C125" s="54">
        <v>6.8510999999999997</v>
      </c>
      <c r="D125" s="54">
        <v>6.8510999999999997</v>
      </c>
      <c r="E125" s="46"/>
      <c r="F125" s="50"/>
      <c r="G125" s="51"/>
      <c r="J125" s="67"/>
    </row>
    <row r="126" spans="1:15" x14ac:dyDescent="0.2">
      <c r="A126" s="46"/>
      <c r="B126" s="23" t="s">
        <v>588</v>
      </c>
      <c r="C126" s="54">
        <v>6.1078999999999999</v>
      </c>
      <c r="D126" s="54">
        <v>6.1078999999999999</v>
      </c>
      <c r="E126" s="46"/>
      <c r="F126" s="50"/>
      <c r="G126" s="51"/>
      <c r="J126" s="67"/>
    </row>
    <row r="127" spans="1:15" x14ac:dyDescent="0.2">
      <c r="A127" s="46"/>
      <c r="B127" s="55"/>
      <c r="C127" s="55"/>
      <c r="D127" s="56"/>
      <c r="E127" s="46"/>
      <c r="F127" s="50"/>
      <c r="G127" s="51"/>
      <c r="J127" s="67"/>
    </row>
    <row r="128" spans="1:15" s="59" customFormat="1" x14ac:dyDescent="0.2">
      <c r="A128" s="65"/>
      <c r="B128" s="106" t="s">
        <v>546</v>
      </c>
      <c r="C128" s="107"/>
      <c r="D128" s="29" t="s">
        <v>102</v>
      </c>
      <c r="G128" s="65"/>
      <c r="I128"/>
      <c r="J128" s="71"/>
      <c r="K128" s="32"/>
      <c r="L128" s="32"/>
      <c r="M128" s="32"/>
      <c r="N128" s="32"/>
      <c r="O128" s="66"/>
    </row>
    <row r="129" spans="1:17" x14ac:dyDescent="0.2">
      <c r="A129" s="43"/>
      <c r="B129" s="106" t="s">
        <v>547</v>
      </c>
      <c r="C129" s="107"/>
      <c r="D129" s="29" t="s">
        <v>102</v>
      </c>
      <c r="E129" s="57"/>
      <c r="F129" s="43"/>
      <c r="G129" s="43"/>
      <c r="J129" s="71"/>
    </row>
    <row r="130" spans="1:17" x14ac:dyDescent="0.2">
      <c r="A130" s="43"/>
      <c r="B130" s="106" t="s">
        <v>548</v>
      </c>
      <c r="C130" s="107"/>
      <c r="D130" s="29" t="s">
        <v>102</v>
      </c>
      <c r="E130" s="57"/>
      <c r="F130" s="43"/>
      <c r="G130" s="43"/>
      <c r="J130" s="67"/>
    </row>
    <row r="131" spans="1:17" x14ac:dyDescent="0.2">
      <c r="A131" s="43"/>
      <c r="B131" s="106" t="s">
        <v>549</v>
      </c>
      <c r="C131" s="107"/>
      <c r="D131" s="29" t="s">
        <v>102</v>
      </c>
      <c r="E131" s="57"/>
      <c r="F131" s="43"/>
      <c r="G131" s="43"/>
      <c r="J131" s="67"/>
    </row>
    <row r="132" spans="1:17" x14ac:dyDescent="0.2">
      <c r="A132" s="58"/>
      <c r="B132" s="58"/>
      <c r="C132" s="58"/>
      <c r="D132" s="58"/>
      <c r="E132" s="58"/>
      <c r="F132" s="58"/>
      <c r="G132" s="58"/>
      <c r="J132" s="67"/>
    </row>
    <row r="133" spans="1:17" s="59" customFormat="1" x14ac:dyDescent="0.2">
      <c r="B133" s="72" t="s">
        <v>578</v>
      </c>
      <c r="C133" s="72"/>
      <c r="D133" s="72"/>
      <c r="E133" s="72"/>
      <c r="F133" s="72"/>
      <c r="G133" s="72"/>
      <c r="H133" s="72"/>
      <c r="I133"/>
      <c r="J133" s="67"/>
      <c r="K133" s="32"/>
      <c r="L133" s="32"/>
      <c r="M133" s="32"/>
      <c r="N133" s="32"/>
      <c r="O133" s="66"/>
    </row>
    <row r="134" spans="1:17" s="59" customFormat="1" x14ac:dyDescent="0.2">
      <c r="B134" s="73"/>
      <c r="C134" s="73"/>
      <c r="D134" s="73"/>
      <c r="E134" s="73"/>
      <c r="F134" s="73"/>
      <c r="G134" s="73"/>
      <c r="H134" s="73"/>
      <c r="I134"/>
      <c r="J134" s="67"/>
      <c r="K134" s="32"/>
      <c r="L134" s="32"/>
      <c r="M134" s="32"/>
      <c r="N134" s="32"/>
      <c r="O134" s="66"/>
    </row>
    <row r="135" spans="1:17" s="59" customFormat="1" ht="63.75" x14ac:dyDescent="0.2">
      <c r="A135" s="74"/>
      <c r="B135" s="75" t="s">
        <v>550</v>
      </c>
      <c r="C135" s="75" t="s">
        <v>551</v>
      </c>
      <c r="D135" s="75" t="s">
        <v>552</v>
      </c>
      <c r="E135" s="75" t="s">
        <v>553</v>
      </c>
      <c r="F135" s="75" t="s">
        <v>582</v>
      </c>
      <c r="G135" s="73"/>
      <c r="H135" s="73"/>
      <c r="I135"/>
      <c r="J135" s="67"/>
      <c r="K135" s="32"/>
      <c r="L135" s="32"/>
      <c r="M135" s="32"/>
      <c r="N135" s="32"/>
      <c r="O135" s="66"/>
    </row>
    <row r="136" spans="1:17" s="59" customFormat="1" x14ac:dyDescent="0.2">
      <c r="A136" s="76"/>
      <c r="B136" s="77" t="s">
        <v>555</v>
      </c>
      <c r="C136" s="77" t="s">
        <v>556</v>
      </c>
      <c r="D136" s="8">
        <v>0</v>
      </c>
      <c r="E136" s="9">
        <v>0</v>
      </c>
      <c r="F136" s="78">
        <v>300</v>
      </c>
      <c r="G136" s="73"/>
      <c r="H136" s="73"/>
      <c r="I136"/>
      <c r="J136" s="67"/>
      <c r="K136" s="32"/>
      <c r="L136" s="32"/>
      <c r="M136" s="32"/>
      <c r="N136" s="32"/>
      <c r="O136" s="66"/>
    </row>
    <row r="137" spans="1:17" s="59" customFormat="1" x14ac:dyDescent="0.2">
      <c r="A137" s="79"/>
      <c r="B137" s="79"/>
      <c r="C137" s="79"/>
      <c r="D137" s="79"/>
      <c r="E137" s="79"/>
      <c r="F137" s="79"/>
      <c r="G137" s="79"/>
      <c r="I137"/>
      <c r="J137" s="67"/>
      <c r="K137" s="32"/>
      <c r="L137" s="32"/>
      <c r="M137" s="32"/>
      <c r="N137" s="32"/>
      <c r="O137" s="66"/>
    </row>
    <row r="138" spans="1:17" s="59" customFormat="1" x14ac:dyDescent="0.2">
      <c r="B138" s="113" t="s">
        <v>538</v>
      </c>
      <c r="C138" s="114"/>
      <c r="D138" s="115"/>
      <c r="I138"/>
      <c r="J138" s="67"/>
      <c r="K138" s="32"/>
      <c r="L138" s="32"/>
      <c r="M138" s="32"/>
      <c r="N138" s="32"/>
      <c r="O138" s="66"/>
    </row>
    <row r="139" spans="1:17" s="59" customFormat="1" ht="25.5" x14ac:dyDescent="0.2">
      <c r="B139" s="117" t="s">
        <v>539</v>
      </c>
      <c r="C139" s="117"/>
      <c r="D139" s="60" t="s">
        <v>187</v>
      </c>
      <c r="I139"/>
      <c r="J139" s="67"/>
      <c r="K139" s="32"/>
      <c r="L139" s="32"/>
      <c r="M139" s="32"/>
      <c r="N139" s="32"/>
      <c r="O139" s="66"/>
    </row>
    <row r="140" spans="1:17" s="59" customFormat="1" x14ac:dyDescent="0.2">
      <c r="B140" s="110" t="s">
        <v>540</v>
      </c>
      <c r="C140" s="110"/>
      <c r="D140" s="61"/>
      <c r="I140"/>
      <c r="J140" s="67"/>
      <c r="K140" s="32"/>
      <c r="L140" s="32"/>
      <c r="M140" s="32"/>
      <c r="N140" s="32"/>
      <c r="O140" s="66"/>
    </row>
    <row r="141" spans="1:17" s="59" customFormat="1" x14ac:dyDescent="0.2">
      <c r="B141" s="110"/>
      <c r="C141" s="110"/>
      <c r="D141" s="62"/>
      <c r="I141"/>
      <c r="J141" s="67"/>
      <c r="K141" s="32"/>
      <c r="L141" s="32"/>
      <c r="M141" s="32"/>
      <c r="N141" s="32"/>
      <c r="O141" s="66"/>
    </row>
    <row r="142" spans="1:17" s="59" customFormat="1" x14ac:dyDescent="0.2">
      <c r="B142" s="110" t="s">
        <v>541</v>
      </c>
      <c r="C142" s="110"/>
      <c r="D142" s="63">
        <v>7.8691720225784429</v>
      </c>
      <c r="I142"/>
      <c r="J142" s="67"/>
      <c r="K142" s="32"/>
      <c r="L142" s="32"/>
      <c r="M142" s="32"/>
      <c r="N142" s="32"/>
      <c r="O142" s="66"/>
    </row>
    <row r="143" spans="1:17" s="59" customFormat="1" x14ac:dyDescent="0.2">
      <c r="B143" s="110"/>
      <c r="C143" s="110"/>
      <c r="D143" s="62"/>
      <c r="I143"/>
      <c r="J143" s="67"/>
      <c r="K143" s="32"/>
      <c r="L143" s="32"/>
      <c r="M143" s="32"/>
      <c r="N143" s="32"/>
      <c r="O143" s="66"/>
      <c r="P143"/>
      <c r="Q143"/>
    </row>
    <row r="144" spans="1:17" s="59" customFormat="1" x14ac:dyDescent="0.2">
      <c r="B144" s="110" t="s">
        <v>542</v>
      </c>
      <c r="C144" s="110"/>
      <c r="D144" s="63">
        <v>1.0411967389523313</v>
      </c>
      <c r="I144"/>
      <c r="J144" s="67"/>
      <c r="K144" s="32"/>
      <c r="L144" s="32"/>
      <c r="M144" s="32"/>
      <c r="N144" s="32"/>
      <c r="O144" s="66"/>
      <c r="P144"/>
      <c r="Q144"/>
    </row>
    <row r="145" spans="2:20" s="59" customFormat="1" x14ac:dyDescent="0.2">
      <c r="B145" s="110" t="s">
        <v>543</v>
      </c>
      <c r="C145" s="110"/>
      <c r="D145" s="63">
        <v>1.2438304696388303</v>
      </c>
      <c r="I145"/>
      <c r="J145" s="67"/>
      <c r="K145" s="32"/>
      <c r="L145" s="32"/>
      <c r="M145" s="32"/>
      <c r="N145" s="32"/>
      <c r="O145"/>
      <c r="P145"/>
      <c r="Q145"/>
    </row>
    <row r="146" spans="2:20" s="59" customFormat="1" x14ac:dyDescent="0.2">
      <c r="B146" s="110"/>
      <c r="C146" s="110"/>
      <c r="D146" s="62"/>
      <c r="I146"/>
      <c r="J146" s="67"/>
      <c r="K146" s="32"/>
      <c r="L146" s="32"/>
      <c r="M146" s="32"/>
      <c r="N146" s="32"/>
      <c r="O146"/>
      <c r="P146"/>
      <c r="Q146"/>
    </row>
    <row r="147" spans="2:20" s="59" customFormat="1" x14ac:dyDescent="0.2">
      <c r="B147" s="110" t="s">
        <v>544</v>
      </c>
      <c r="C147" s="110"/>
      <c r="D147" s="64" t="s">
        <v>577</v>
      </c>
      <c r="I147"/>
      <c r="J147" s="67"/>
      <c r="K147" s="32"/>
      <c r="L147" s="32"/>
      <c r="M147" s="32"/>
      <c r="N147" s="32"/>
      <c r="O147"/>
      <c r="P147"/>
      <c r="Q147"/>
    </row>
    <row r="148" spans="2:20" s="59" customFormat="1" x14ac:dyDescent="0.2">
      <c r="B148" s="108" t="s">
        <v>545</v>
      </c>
      <c r="C148" s="111"/>
      <c r="D148" s="109"/>
      <c r="I148"/>
      <c r="J148" s="67"/>
      <c r="K148" s="32"/>
      <c r="L148" s="32"/>
      <c r="M148" s="32"/>
      <c r="N148" s="32"/>
      <c r="O148"/>
      <c r="P148"/>
      <c r="Q148"/>
      <c r="R148"/>
      <c r="S148"/>
      <c r="T148"/>
    </row>
    <row r="151" spans="2:20" x14ac:dyDescent="0.2">
      <c r="I151" s="32"/>
    </row>
    <row r="153" spans="2:20" x14ac:dyDescent="0.2">
      <c r="I153" s="32"/>
    </row>
    <row r="157" spans="2:20" ht="15" x14ac:dyDescent="0.25">
      <c r="I157" s="80"/>
    </row>
    <row r="160" spans="2:20" x14ac:dyDescent="0.2">
      <c r="I160" s="32"/>
    </row>
    <row r="161" spans="9:9" x14ac:dyDescent="0.2">
      <c r="I161" s="32"/>
    </row>
    <row r="162" spans="9:9" x14ac:dyDescent="0.2">
      <c r="I162" s="32"/>
    </row>
    <row r="163" spans="9:9" x14ac:dyDescent="0.2">
      <c r="I163" s="32"/>
    </row>
    <row r="164" spans="9:9" x14ac:dyDescent="0.2">
      <c r="I164" s="32"/>
    </row>
  </sheetData>
  <mergeCells count="26">
    <mergeCell ref="B107:H107"/>
    <mergeCell ref="B128:C128"/>
    <mergeCell ref="A1:H1"/>
    <mergeCell ref="A2:H2"/>
    <mergeCell ref="A3:H3"/>
    <mergeCell ref="B105:H105"/>
    <mergeCell ref="B106:H106"/>
    <mergeCell ref="B130:C130"/>
    <mergeCell ref="B131:C131"/>
    <mergeCell ref="B109:D109"/>
    <mergeCell ref="B110:C110"/>
    <mergeCell ref="B111:C111"/>
    <mergeCell ref="B112:C112"/>
    <mergeCell ref="B123:C123"/>
    <mergeCell ref="B129:C129"/>
    <mergeCell ref="B138:D138"/>
    <mergeCell ref="B139:C139"/>
    <mergeCell ref="B140:C140"/>
    <mergeCell ref="B141:C141"/>
    <mergeCell ref="B142:C142"/>
    <mergeCell ref="B148:D148"/>
    <mergeCell ref="B143:C143"/>
    <mergeCell ref="B144:C144"/>
    <mergeCell ref="B145:C145"/>
    <mergeCell ref="B146:C146"/>
    <mergeCell ref="B147:C147"/>
  </mergeCells>
  <hyperlinks>
    <hyperlink ref="I1" location="Index!B5" display="Index" xr:uid="{E6C04E72-5B83-4CD0-AB70-79BD8BD53BD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D108D-6D16-482F-B0FB-604CA611F886}">
  <sheetPr>
    <outlinePr summaryBelow="0" summaryRight="0"/>
  </sheetPr>
  <dimension ref="A1:R201"/>
  <sheetViews>
    <sheetView showGridLines="0" workbookViewId="0">
      <selection sqref="A1:H1"/>
    </sheetView>
  </sheetViews>
  <sheetFormatPr defaultRowHeight="12.75" x14ac:dyDescent="0.2"/>
  <cols>
    <col min="1" max="1" width="5.85546875" bestFit="1" customWidth="1"/>
    <col min="2" max="2" width="23.140625" customWidth="1"/>
    <col min="3" max="3" width="41.85546875" customWidth="1"/>
    <col min="4" max="4" width="13.85546875" customWidth="1"/>
    <col min="5" max="5" width="10.42578125" bestFit="1" customWidth="1"/>
    <col min="6" max="6" width="10.140625" bestFit="1" customWidth="1"/>
    <col min="7" max="7" width="14" bestFit="1" customWidth="1"/>
    <col min="8" max="8" width="5.42578125" bestFit="1" customWidth="1"/>
    <col min="9" max="9" width="8.42578125" customWidth="1"/>
    <col min="10" max="10" width="50.7109375" style="11" customWidth="1"/>
  </cols>
  <sheetData>
    <row r="1" spans="1:11" ht="15" x14ac:dyDescent="0.2">
      <c r="A1" s="116" t="s">
        <v>0</v>
      </c>
      <c r="B1" s="116"/>
      <c r="C1" s="116"/>
      <c r="D1" s="116"/>
      <c r="E1" s="116"/>
      <c r="F1" s="116"/>
      <c r="G1" s="116"/>
      <c r="H1" s="116"/>
      <c r="I1" s="7" t="s">
        <v>600</v>
      </c>
      <c r="J1" s="67"/>
      <c r="K1" s="7"/>
    </row>
    <row r="2" spans="1:11" ht="15" x14ac:dyDescent="0.2">
      <c r="A2" s="116" t="s">
        <v>235</v>
      </c>
      <c r="B2" s="116"/>
      <c r="C2" s="116"/>
      <c r="D2" s="116"/>
      <c r="E2" s="116"/>
      <c r="F2" s="116"/>
      <c r="G2" s="116"/>
      <c r="H2" s="116"/>
      <c r="J2" s="68" t="s">
        <v>601</v>
      </c>
    </row>
    <row r="3" spans="1:11" ht="15" x14ac:dyDescent="0.2">
      <c r="A3" s="116" t="s">
        <v>526</v>
      </c>
      <c r="B3" s="116"/>
      <c r="C3" s="116"/>
      <c r="D3" s="116"/>
      <c r="E3" s="116"/>
      <c r="F3" s="116"/>
      <c r="G3" s="116"/>
      <c r="H3" s="116"/>
      <c r="J3" s="67"/>
    </row>
    <row r="4" spans="1:11" s="11" customFormat="1" ht="30" x14ac:dyDescent="0.2">
      <c r="A4" s="12" t="s">
        <v>2</v>
      </c>
      <c r="B4" s="12" t="s">
        <v>3</v>
      </c>
      <c r="C4" s="12" t="s">
        <v>4</v>
      </c>
      <c r="D4" s="12" t="s">
        <v>5</v>
      </c>
      <c r="E4" s="12" t="s">
        <v>6</v>
      </c>
      <c r="F4" s="12" t="s">
        <v>7</v>
      </c>
      <c r="G4" s="12" t="s">
        <v>8</v>
      </c>
      <c r="H4" s="13" t="s">
        <v>581</v>
      </c>
      <c r="J4" s="67"/>
    </row>
    <row r="5" spans="1:11" x14ac:dyDescent="0.2">
      <c r="A5" s="14"/>
      <c r="B5" s="14"/>
      <c r="C5" s="15" t="s">
        <v>9</v>
      </c>
      <c r="D5" s="14"/>
      <c r="E5" s="14"/>
      <c r="F5" s="14"/>
      <c r="G5" s="14"/>
      <c r="H5" s="16" t="s">
        <v>12</v>
      </c>
      <c r="J5" s="67"/>
    </row>
    <row r="6" spans="1:11" x14ac:dyDescent="0.2">
      <c r="A6" s="14"/>
      <c r="B6" s="14"/>
      <c r="C6" s="15" t="s">
        <v>10</v>
      </c>
      <c r="D6" s="14"/>
      <c r="E6" s="14"/>
      <c r="F6" s="14"/>
      <c r="G6" s="14"/>
      <c r="H6" s="16" t="s">
        <v>12</v>
      </c>
      <c r="J6" s="67"/>
    </row>
    <row r="7" spans="1:11" x14ac:dyDescent="0.2">
      <c r="A7" s="14"/>
      <c r="B7" s="14"/>
      <c r="C7" s="15" t="s">
        <v>11</v>
      </c>
      <c r="D7" s="14"/>
      <c r="E7" s="14" t="s">
        <v>12</v>
      </c>
      <c r="F7" s="17" t="s">
        <v>13</v>
      </c>
      <c r="G7" s="18">
        <v>0</v>
      </c>
      <c r="H7" s="16" t="s">
        <v>12</v>
      </c>
      <c r="J7" s="67"/>
    </row>
    <row r="8" spans="1:11" x14ac:dyDescent="0.2">
      <c r="A8" s="14"/>
      <c r="B8" s="14"/>
      <c r="C8" s="19"/>
      <c r="D8" s="14"/>
      <c r="E8" s="14"/>
      <c r="F8" s="20"/>
      <c r="G8" s="20"/>
      <c r="H8" s="16" t="s">
        <v>12</v>
      </c>
      <c r="J8" s="67"/>
    </row>
    <row r="9" spans="1:11" x14ac:dyDescent="0.2">
      <c r="A9" s="14"/>
      <c r="B9" s="14"/>
      <c r="C9" s="15" t="s">
        <v>14</v>
      </c>
      <c r="D9" s="14"/>
      <c r="E9" s="14"/>
      <c r="F9" s="14"/>
      <c r="G9" s="14"/>
      <c r="H9" s="16" t="s">
        <v>12</v>
      </c>
      <c r="J9" s="67"/>
    </row>
    <row r="10" spans="1:11" x14ac:dyDescent="0.2">
      <c r="A10" s="14"/>
      <c r="B10" s="14"/>
      <c r="C10" s="15" t="s">
        <v>11</v>
      </c>
      <c r="D10" s="14"/>
      <c r="E10" s="14" t="s">
        <v>12</v>
      </c>
      <c r="F10" s="17" t="s">
        <v>13</v>
      </c>
      <c r="G10" s="18">
        <v>0</v>
      </c>
      <c r="H10" s="16" t="s">
        <v>12</v>
      </c>
      <c r="J10" s="67"/>
    </row>
    <row r="11" spans="1:11" x14ac:dyDescent="0.2">
      <c r="A11" s="14"/>
      <c r="B11" s="14"/>
      <c r="C11" s="19"/>
      <c r="D11" s="14"/>
      <c r="E11" s="14"/>
      <c r="F11" s="20"/>
      <c r="G11" s="20"/>
      <c r="H11" s="16" t="s">
        <v>12</v>
      </c>
      <c r="J11" s="67"/>
    </row>
    <row r="12" spans="1:11" ht="15" x14ac:dyDescent="0.2">
      <c r="A12" s="14"/>
      <c r="B12" s="14"/>
      <c r="C12" s="15" t="s">
        <v>15</v>
      </c>
      <c r="D12" s="14"/>
      <c r="E12" s="14"/>
      <c r="F12" s="14"/>
      <c r="G12" s="14"/>
      <c r="H12" s="16" t="s">
        <v>12</v>
      </c>
      <c r="J12" s="69"/>
    </row>
    <row r="13" spans="1:11" x14ac:dyDescent="0.2">
      <c r="A13" s="14"/>
      <c r="B13" s="14"/>
      <c r="C13" s="15" t="s">
        <v>11</v>
      </c>
      <c r="D13" s="14"/>
      <c r="E13" s="14" t="s">
        <v>12</v>
      </c>
      <c r="F13" s="17" t="s">
        <v>13</v>
      </c>
      <c r="G13" s="18">
        <v>0</v>
      </c>
      <c r="H13" s="16" t="s">
        <v>12</v>
      </c>
      <c r="J13" s="70"/>
    </row>
    <row r="14" spans="1:11" x14ac:dyDescent="0.2">
      <c r="A14" s="14"/>
      <c r="B14" s="14"/>
      <c r="C14" s="19"/>
      <c r="D14" s="14"/>
      <c r="E14" s="14"/>
      <c r="F14" s="20"/>
      <c r="G14" s="20"/>
      <c r="H14" s="16" t="s">
        <v>12</v>
      </c>
      <c r="J14" s="70"/>
    </row>
    <row r="15" spans="1:11" x14ac:dyDescent="0.2">
      <c r="A15" s="14"/>
      <c r="B15" s="14"/>
      <c r="C15" s="15" t="s">
        <v>16</v>
      </c>
      <c r="D15" s="14"/>
      <c r="E15" s="14"/>
      <c r="F15" s="14"/>
      <c r="G15" s="14"/>
      <c r="H15" s="16" t="s">
        <v>12</v>
      </c>
      <c r="J15" s="70" t="s">
        <v>609</v>
      </c>
    </row>
    <row r="16" spans="1:11" x14ac:dyDescent="0.2">
      <c r="A16" s="14"/>
      <c r="B16" s="14"/>
      <c r="C16" s="15" t="s">
        <v>11</v>
      </c>
      <c r="D16" s="14"/>
      <c r="E16" s="14" t="s">
        <v>12</v>
      </c>
      <c r="F16" s="17" t="s">
        <v>13</v>
      </c>
      <c r="G16" s="18">
        <v>0</v>
      </c>
      <c r="H16" s="16" t="s">
        <v>12</v>
      </c>
      <c r="J16" s="67"/>
    </row>
    <row r="17" spans="1:10" x14ac:dyDescent="0.2">
      <c r="A17" s="14"/>
      <c r="B17" s="14"/>
      <c r="C17" s="19"/>
      <c r="D17" s="14"/>
      <c r="E17" s="14"/>
      <c r="F17" s="20"/>
      <c r="G17" s="20"/>
      <c r="H17" s="16" t="s">
        <v>12</v>
      </c>
      <c r="J17" s="67"/>
    </row>
    <row r="18" spans="1:10" x14ac:dyDescent="0.2">
      <c r="A18" s="14"/>
      <c r="B18" s="14"/>
      <c r="C18" s="15" t="s">
        <v>17</v>
      </c>
      <c r="D18" s="14"/>
      <c r="E18" s="14"/>
      <c r="F18" s="20"/>
      <c r="G18" s="20"/>
      <c r="H18" s="16" t="s">
        <v>12</v>
      </c>
      <c r="J18" s="67"/>
    </row>
    <row r="19" spans="1:10" x14ac:dyDescent="0.2">
      <c r="A19" s="14"/>
      <c r="B19" s="14"/>
      <c r="C19" s="15" t="s">
        <v>11</v>
      </c>
      <c r="D19" s="14"/>
      <c r="E19" s="14" t="s">
        <v>12</v>
      </c>
      <c r="F19" s="17" t="s">
        <v>13</v>
      </c>
      <c r="G19" s="18">
        <v>0</v>
      </c>
      <c r="H19" s="16" t="s">
        <v>12</v>
      </c>
      <c r="J19" s="67"/>
    </row>
    <row r="20" spans="1:10" x14ac:dyDescent="0.2">
      <c r="A20" s="14"/>
      <c r="B20" s="14"/>
      <c r="C20" s="19"/>
      <c r="D20" s="14"/>
      <c r="E20" s="14"/>
      <c r="F20" s="20"/>
      <c r="G20" s="20"/>
      <c r="H20" s="16" t="s">
        <v>12</v>
      </c>
      <c r="J20" s="67"/>
    </row>
    <row r="21" spans="1:10" x14ac:dyDescent="0.2">
      <c r="A21" s="14"/>
      <c r="B21" s="14"/>
      <c r="C21" s="15" t="s">
        <v>18</v>
      </c>
      <c r="D21" s="14"/>
      <c r="E21" s="14"/>
      <c r="F21" s="20"/>
      <c r="G21" s="20"/>
      <c r="H21" s="16" t="s">
        <v>12</v>
      </c>
      <c r="J21" s="67"/>
    </row>
    <row r="22" spans="1:10" ht="15" x14ac:dyDescent="0.2">
      <c r="A22" s="14"/>
      <c r="B22" s="14"/>
      <c r="C22" s="15" t="s">
        <v>11</v>
      </c>
      <c r="D22" s="14"/>
      <c r="E22" s="14" t="s">
        <v>12</v>
      </c>
      <c r="F22" s="17" t="s">
        <v>13</v>
      </c>
      <c r="G22" s="18">
        <v>0</v>
      </c>
      <c r="H22" s="16" t="s">
        <v>12</v>
      </c>
      <c r="J22" s="69"/>
    </row>
    <row r="23" spans="1:10" x14ac:dyDescent="0.2">
      <c r="A23" s="14"/>
      <c r="B23" s="14"/>
      <c r="C23" s="19"/>
      <c r="D23" s="14"/>
      <c r="E23" s="14"/>
      <c r="F23" s="20"/>
      <c r="G23" s="20"/>
      <c r="H23" s="16" t="s">
        <v>12</v>
      </c>
      <c r="J23" s="70"/>
    </row>
    <row r="24" spans="1:10" x14ac:dyDescent="0.2">
      <c r="A24" s="14"/>
      <c r="B24" s="14"/>
      <c r="C24" s="15" t="s">
        <v>19</v>
      </c>
      <c r="D24" s="14"/>
      <c r="E24" s="14"/>
      <c r="F24" s="21">
        <v>0</v>
      </c>
      <c r="G24" s="18">
        <v>0</v>
      </c>
      <c r="H24" s="16" t="s">
        <v>12</v>
      </c>
      <c r="J24" s="67"/>
    </row>
    <row r="25" spans="1:10" x14ac:dyDescent="0.2">
      <c r="A25" s="14"/>
      <c r="B25" s="14"/>
      <c r="C25" s="19"/>
      <c r="D25" s="14"/>
      <c r="E25" s="14"/>
      <c r="F25" s="20"/>
      <c r="G25" s="20"/>
      <c r="H25" s="16" t="s">
        <v>12</v>
      </c>
      <c r="J25" s="67"/>
    </row>
    <row r="26" spans="1:10" x14ac:dyDescent="0.2">
      <c r="A26" s="14"/>
      <c r="B26" s="14"/>
      <c r="C26" s="15" t="s">
        <v>20</v>
      </c>
      <c r="D26" s="14"/>
      <c r="E26" s="14"/>
      <c r="F26" s="20"/>
      <c r="G26" s="20"/>
      <c r="H26" s="16" t="s">
        <v>12</v>
      </c>
      <c r="J26" s="67"/>
    </row>
    <row r="27" spans="1:10" x14ac:dyDescent="0.2">
      <c r="A27" s="14"/>
      <c r="B27" s="14"/>
      <c r="C27" s="15" t="s">
        <v>10</v>
      </c>
      <c r="D27" s="14"/>
      <c r="E27" s="14"/>
      <c r="F27" s="20"/>
      <c r="G27" s="20"/>
      <c r="H27" s="16" t="s">
        <v>12</v>
      </c>
      <c r="J27" s="70"/>
    </row>
    <row r="28" spans="1:10" ht="25.5" x14ac:dyDescent="0.2">
      <c r="A28" s="22">
        <v>1</v>
      </c>
      <c r="B28" s="23" t="s">
        <v>236</v>
      </c>
      <c r="C28" s="23" t="s">
        <v>237</v>
      </c>
      <c r="D28" s="23" t="s">
        <v>23</v>
      </c>
      <c r="E28" s="24">
        <v>500</v>
      </c>
      <c r="F28" s="25">
        <v>4996.6000000000004</v>
      </c>
      <c r="G28" s="26">
        <v>9.2597500000000006E-3</v>
      </c>
      <c r="H28" s="16">
        <v>7.375</v>
      </c>
      <c r="J28" s="70" t="s">
        <v>610</v>
      </c>
    </row>
    <row r="29" spans="1:10" x14ac:dyDescent="0.2">
      <c r="A29" s="14"/>
      <c r="B29" s="14"/>
      <c r="C29" s="15" t="s">
        <v>11</v>
      </c>
      <c r="D29" s="14"/>
      <c r="E29" s="14" t="s">
        <v>12</v>
      </c>
      <c r="F29" s="21">
        <v>4996.6000000000004</v>
      </c>
      <c r="G29" s="18">
        <v>9.2597500000000006E-3</v>
      </c>
      <c r="H29" s="16" t="s">
        <v>12</v>
      </c>
      <c r="J29" s="70"/>
    </row>
    <row r="30" spans="1:10" x14ac:dyDescent="0.2">
      <c r="A30" s="14"/>
      <c r="B30" s="14"/>
      <c r="C30" s="19"/>
      <c r="D30" s="14"/>
      <c r="E30" s="14"/>
      <c r="F30" s="20"/>
      <c r="G30" s="20"/>
      <c r="H30" s="16" t="s">
        <v>12</v>
      </c>
      <c r="J30" s="67"/>
    </row>
    <row r="31" spans="1:10" x14ac:dyDescent="0.2">
      <c r="A31" s="14"/>
      <c r="B31" s="14"/>
      <c r="C31" s="15" t="s">
        <v>67</v>
      </c>
      <c r="D31" s="14"/>
      <c r="E31" s="14"/>
      <c r="F31" s="14"/>
      <c r="G31" s="14"/>
      <c r="H31" s="16" t="s">
        <v>12</v>
      </c>
      <c r="J31" s="67"/>
    </row>
    <row r="32" spans="1:10" x14ac:dyDescent="0.2">
      <c r="A32" s="14"/>
      <c r="B32" s="14"/>
      <c r="C32" s="15" t="s">
        <v>11</v>
      </c>
      <c r="D32" s="14"/>
      <c r="E32" s="14" t="s">
        <v>12</v>
      </c>
      <c r="F32" s="17" t="s">
        <v>13</v>
      </c>
      <c r="G32" s="18">
        <v>0</v>
      </c>
      <c r="H32" s="16" t="s">
        <v>12</v>
      </c>
      <c r="J32" s="67"/>
    </row>
    <row r="33" spans="1:10" x14ac:dyDescent="0.2">
      <c r="A33" s="14"/>
      <c r="B33" s="14"/>
      <c r="C33" s="19"/>
      <c r="D33" s="14"/>
      <c r="E33" s="14"/>
      <c r="F33" s="20"/>
      <c r="G33" s="20"/>
      <c r="H33" s="16" t="s">
        <v>12</v>
      </c>
      <c r="J33" s="67"/>
    </row>
    <row r="34" spans="1:10" x14ac:dyDescent="0.2">
      <c r="A34" s="14"/>
      <c r="B34" s="14"/>
      <c r="C34" s="15" t="s">
        <v>68</v>
      </c>
      <c r="D34" s="14"/>
      <c r="E34" s="14"/>
      <c r="F34" s="14"/>
      <c r="G34" s="14"/>
      <c r="H34" s="16" t="s">
        <v>12</v>
      </c>
      <c r="J34" s="67"/>
    </row>
    <row r="35" spans="1:10" x14ac:dyDescent="0.2">
      <c r="A35" s="14"/>
      <c r="B35" s="14"/>
      <c r="C35" s="15" t="s">
        <v>11</v>
      </c>
      <c r="D35" s="14"/>
      <c r="E35" s="14" t="s">
        <v>12</v>
      </c>
      <c r="F35" s="17" t="s">
        <v>13</v>
      </c>
      <c r="G35" s="18">
        <v>0</v>
      </c>
      <c r="H35" s="16" t="s">
        <v>12</v>
      </c>
      <c r="J35" s="67"/>
    </row>
    <row r="36" spans="1:10" x14ac:dyDescent="0.2">
      <c r="A36" s="14"/>
      <c r="B36" s="14"/>
      <c r="C36" s="19"/>
      <c r="D36" s="14"/>
      <c r="E36" s="14"/>
      <c r="F36" s="20"/>
      <c r="G36" s="20"/>
      <c r="H36" s="16" t="s">
        <v>12</v>
      </c>
      <c r="J36" s="67"/>
    </row>
    <row r="37" spans="1:10" x14ac:dyDescent="0.2">
      <c r="A37" s="14"/>
      <c r="B37" s="14"/>
      <c r="C37" s="15" t="s">
        <v>82</v>
      </c>
      <c r="D37" s="14"/>
      <c r="E37" s="14"/>
      <c r="F37" s="20"/>
      <c r="G37" s="20"/>
      <c r="H37" s="16" t="s">
        <v>12</v>
      </c>
      <c r="J37" s="67"/>
    </row>
    <row r="38" spans="1:10" x14ac:dyDescent="0.2">
      <c r="A38" s="14"/>
      <c r="B38" s="14"/>
      <c r="C38" s="15" t="s">
        <v>11</v>
      </c>
      <c r="D38" s="14"/>
      <c r="E38" s="14" t="s">
        <v>12</v>
      </c>
      <c r="F38" s="17" t="s">
        <v>13</v>
      </c>
      <c r="G38" s="18">
        <v>0</v>
      </c>
      <c r="H38" s="16" t="s">
        <v>12</v>
      </c>
      <c r="J38" s="67"/>
    </row>
    <row r="39" spans="1:10" x14ac:dyDescent="0.2">
      <c r="A39" s="14"/>
      <c r="B39" s="14"/>
      <c r="C39" s="19"/>
      <c r="D39" s="14"/>
      <c r="E39" s="14"/>
      <c r="F39" s="20"/>
      <c r="G39" s="20"/>
      <c r="H39" s="16" t="s">
        <v>12</v>
      </c>
      <c r="J39" s="67"/>
    </row>
    <row r="40" spans="1:10" x14ac:dyDescent="0.2">
      <c r="A40" s="14"/>
      <c r="B40" s="14"/>
      <c r="C40" s="15" t="s">
        <v>83</v>
      </c>
      <c r="D40" s="14"/>
      <c r="E40" s="14"/>
      <c r="F40" s="21">
        <v>4996.6000000000004</v>
      </c>
      <c r="G40" s="18">
        <v>9.2597500000000006E-3</v>
      </c>
      <c r="H40" s="16" t="s">
        <v>12</v>
      </c>
      <c r="J40" s="67"/>
    </row>
    <row r="41" spans="1:10" x14ac:dyDescent="0.2">
      <c r="A41" s="14"/>
      <c r="B41" s="14"/>
      <c r="C41" s="19"/>
      <c r="D41" s="14"/>
      <c r="E41" s="14"/>
      <c r="F41" s="20"/>
      <c r="G41" s="20"/>
      <c r="H41" s="16" t="s">
        <v>12</v>
      </c>
      <c r="J41" s="67"/>
    </row>
    <row r="42" spans="1:10" x14ac:dyDescent="0.2">
      <c r="A42" s="14"/>
      <c r="B42" s="14"/>
      <c r="C42" s="15" t="s">
        <v>84</v>
      </c>
      <c r="D42" s="14"/>
      <c r="E42" s="14"/>
      <c r="F42" s="20"/>
      <c r="G42" s="20"/>
      <c r="H42" s="16" t="s">
        <v>12</v>
      </c>
      <c r="J42" s="67"/>
    </row>
    <row r="43" spans="1:10" x14ac:dyDescent="0.2">
      <c r="A43" s="14"/>
      <c r="B43" s="14"/>
      <c r="C43" s="15" t="s">
        <v>85</v>
      </c>
      <c r="D43" s="14"/>
      <c r="E43" s="14"/>
      <c r="F43" s="20"/>
      <c r="G43" s="20"/>
      <c r="H43" s="16" t="s">
        <v>12</v>
      </c>
      <c r="J43" s="67"/>
    </row>
    <row r="44" spans="1:10" x14ac:dyDescent="0.2">
      <c r="A44" s="22">
        <v>1</v>
      </c>
      <c r="B44" s="23" t="s">
        <v>238</v>
      </c>
      <c r="C44" s="23" t="s">
        <v>239</v>
      </c>
      <c r="D44" s="23" t="s">
        <v>144</v>
      </c>
      <c r="E44" s="24">
        <v>3000</v>
      </c>
      <c r="F44" s="25">
        <v>14971.35</v>
      </c>
      <c r="G44" s="26">
        <v>2.774505E-2</v>
      </c>
      <c r="H44" s="16">
        <v>6.9852999999999996</v>
      </c>
      <c r="J44" s="67"/>
    </row>
    <row r="45" spans="1:10" x14ac:dyDescent="0.2">
      <c r="A45" s="22">
        <v>2</v>
      </c>
      <c r="B45" s="23" t="s">
        <v>240</v>
      </c>
      <c r="C45" s="23" t="s">
        <v>241</v>
      </c>
      <c r="D45" s="23" t="s">
        <v>144</v>
      </c>
      <c r="E45" s="24">
        <v>3000</v>
      </c>
      <c r="F45" s="25">
        <v>14965.815000000001</v>
      </c>
      <c r="G45" s="26">
        <v>2.7734789999999999E-2</v>
      </c>
      <c r="H45" s="16">
        <v>6.9490999999999996</v>
      </c>
      <c r="J45" s="67"/>
    </row>
    <row r="46" spans="1:10" x14ac:dyDescent="0.2">
      <c r="A46" s="22">
        <v>3</v>
      </c>
      <c r="B46" s="23" t="s">
        <v>242</v>
      </c>
      <c r="C46" s="23" t="s">
        <v>243</v>
      </c>
      <c r="D46" s="23" t="s">
        <v>162</v>
      </c>
      <c r="E46" s="24">
        <v>3000</v>
      </c>
      <c r="F46" s="25">
        <v>14965.545</v>
      </c>
      <c r="G46" s="26">
        <v>2.7734290000000002E-2</v>
      </c>
      <c r="H46" s="16">
        <v>7.0052000000000003</v>
      </c>
      <c r="J46" s="67"/>
    </row>
    <row r="47" spans="1:10" x14ac:dyDescent="0.2">
      <c r="A47" s="22">
        <v>4</v>
      </c>
      <c r="B47" s="23" t="s">
        <v>244</v>
      </c>
      <c r="C47" s="23" t="s">
        <v>245</v>
      </c>
      <c r="D47" s="23" t="s">
        <v>144</v>
      </c>
      <c r="E47" s="24">
        <v>3000</v>
      </c>
      <c r="F47" s="25">
        <v>14948.4</v>
      </c>
      <c r="G47" s="26">
        <v>2.7702520000000001E-2</v>
      </c>
      <c r="H47" s="16">
        <v>7.0000999999999998</v>
      </c>
      <c r="J47" s="67"/>
    </row>
    <row r="48" spans="1:10" x14ac:dyDescent="0.2">
      <c r="A48" s="22">
        <v>5</v>
      </c>
      <c r="B48" s="23" t="s">
        <v>246</v>
      </c>
      <c r="C48" s="23" t="s">
        <v>247</v>
      </c>
      <c r="D48" s="23" t="s">
        <v>144</v>
      </c>
      <c r="E48" s="24">
        <v>2500</v>
      </c>
      <c r="F48" s="25">
        <v>12321.5875</v>
      </c>
      <c r="G48" s="26">
        <v>2.2834489999999999E-2</v>
      </c>
      <c r="H48" s="16">
        <v>7.24</v>
      </c>
      <c r="J48" s="67"/>
    </row>
    <row r="49" spans="1:10" x14ac:dyDescent="0.2">
      <c r="A49" s="22">
        <v>6</v>
      </c>
      <c r="B49" s="23" t="s">
        <v>248</v>
      </c>
      <c r="C49" s="23" t="s">
        <v>249</v>
      </c>
      <c r="D49" s="23" t="s">
        <v>144</v>
      </c>
      <c r="E49" s="24">
        <v>2000</v>
      </c>
      <c r="F49" s="25">
        <v>9984.7900000000009</v>
      </c>
      <c r="G49" s="26">
        <v>1.8503909999999998E-2</v>
      </c>
      <c r="H49" s="16">
        <v>6.9481999999999999</v>
      </c>
      <c r="J49" s="67"/>
    </row>
    <row r="50" spans="1:10" x14ac:dyDescent="0.2">
      <c r="A50" s="22">
        <v>7</v>
      </c>
      <c r="B50" s="23" t="s">
        <v>250</v>
      </c>
      <c r="C50" s="23" t="s">
        <v>251</v>
      </c>
      <c r="D50" s="23" t="s">
        <v>144</v>
      </c>
      <c r="E50" s="24">
        <v>2000</v>
      </c>
      <c r="F50" s="25">
        <v>9894.89</v>
      </c>
      <c r="G50" s="26">
        <v>1.8337309999999999E-2</v>
      </c>
      <c r="H50" s="16">
        <v>7.1801000000000004</v>
      </c>
      <c r="J50" s="67"/>
    </row>
    <row r="51" spans="1:10" x14ac:dyDescent="0.2">
      <c r="A51" s="22">
        <v>8</v>
      </c>
      <c r="B51" s="23" t="s">
        <v>252</v>
      </c>
      <c r="C51" s="23" t="s">
        <v>253</v>
      </c>
      <c r="D51" s="23" t="s">
        <v>144</v>
      </c>
      <c r="E51" s="24">
        <v>2000</v>
      </c>
      <c r="F51" s="25">
        <v>9841.8700000000008</v>
      </c>
      <c r="G51" s="26">
        <v>1.823905E-2</v>
      </c>
      <c r="H51" s="16">
        <v>7.2401</v>
      </c>
      <c r="J51" s="67"/>
    </row>
    <row r="52" spans="1:10" x14ac:dyDescent="0.2">
      <c r="A52" s="22">
        <v>9</v>
      </c>
      <c r="B52" s="23" t="s">
        <v>254</v>
      </c>
      <c r="C52" s="23" t="s">
        <v>255</v>
      </c>
      <c r="D52" s="23" t="s">
        <v>144</v>
      </c>
      <c r="E52" s="24">
        <v>2000</v>
      </c>
      <c r="F52" s="25">
        <v>9841.8700000000008</v>
      </c>
      <c r="G52" s="26">
        <v>1.823905E-2</v>
      </c>
      <c r="H52" s="16">
        <v>7.24</v>
      </c>
      <c r="J52" s="67"/>
    </row>
    <row r="53" spans="1:10" x14ac:dyDescent="0.2">
      <c r="A53" s="22">
        <v>10</v>
      </c>
      <c r="B53" s="23" t="s">
        <v>256</v>
      </c>
      <c r="C53" s="23" t="s">
        <v>257</v>
      </c>
      <c r="D53" s="23" t="s">
        <v>162</v>
      </c>
      <c r="E53" s="24">
        <v>1500</v>
      </c>
      <c r="F53" s="25">
        <v>7465.44</v>
      </c>
      <c r="G53" s="26">
        <v>1.383503E-2</v>
      </c>
      <c r="H53" s="16">
        <v>7.0403000000000002</v>
      </c>
      <c r="J53" s="67"/>
    </row>
    <row r="54" spans="1:10" x14ac:dyDescent="0.2">
      <c r="A54" s="22">
        <v>11</v>
      </c>
      <c r="B54" s="23" t="s">
        <v>258</v>
      </c>
      <c r="C54" s="23" t="s">
        <v>259</v>
      </c>
      <c r="D54" s="23" t="s">
        <v>144</v>
      </c>
      <c r="E54" s="24">
        <v>1500</v>
      </c>
      <c r="F54" s="25">
        <v>7422.1875</v>
      </c>
      <c r="G54" s="26">
        <v>1.3754870000000001E-2</v>
      </c>
      <c r="H54" s="16">
        <v>7.2201000000000004</v>
      </c>
      <c r="J54" s="67"/>
    </row>
    <row r="55" spans="1:10" x14ac:dyDescent="0.2">
      <c r="A55" s="22">
        <v>12</v>
      </c>
      <c r="B55" s="23" t="s">
        <v>260</v>
      </c>
      <c r="C55" s="23" t="s">
        <v>261</v>
      </c>
      <c r="D55" s="23" t="s">
        <v>144</v>
      </c>
      <c r="E55" s="24">
        <v>1500</v>
      </c>
      <c r="F55" s="25">
        <v>7420.7325000000001</v>
      </c>
      <c r="G55" s="26">
        <v>1.3752169999999999E-2</v>
      </c>
      <c r="H55" s="16">
        <v>7.22</v>
      </c>
      <c r="J55" s="67"/>
    </row>
    <row r="56" spans="1:10" x14ac:dyDescent="0.2">
      <c r="A56" s="22">
        <v>13</v>
      </c>
      <c r="B56" s="23" t="s">
        <v>262</v>
      </c>
      <c r="C56" s="23" t="s">
        <v>263</v>
      </c>
      <c r="D56" s="23" t="s">
        <v>147</v>
      </c>
      <c r="E56" s="24">
        <v>1500</v>
      </c>
      <c r="F56" s="25">
        <v>7393.3874999999998</v>
      </c>
      <c r="G56" s="26">
        <v>1.37015E-2</v>
      </c>
      <c r="H56" s="16">
        <v>7.21</v>
      </c>
      <c r="J56" s="67"/>
    </row>
    <row r="57" spans="1:10" x14ac:dyDescent="0.2">
      <c r="A57" s="22">
        <v>14</v>
      </c>
      <c r="B57" s="23" t="s">
        <v>264</v>
      </c>
      <c r="C57" s="23" t="s">
        <v>265</v>
      </c>
      <c r="D57" s="23" t="s">
        <v>144</v>
      </c>
      <c r="E57" s="24">
        <v>1000</v>
      </c>
      <c r="F57" s="25">
        <v>4983.75</v>
      </c>
      <c r="G57" s="26">
        <v>9.2359299999999998E-3</v>
      </c>
      <c r="H57" s="16">
        <v>7.0007999999999999</v>
      </c>
      <c r="J57" s="67"/>
    </row>
    <row r="58" spans="1:10" x14ac:dyDescent="0.2">
      <c r="A58" s="22">
        <v>15</v>
      </c>
      <c r="B58" s="23" t="s">
        <v>266</v>
      </c>
      <c r="C58" s="23" t="s">
        <v>267</v>
      </c>
      <c r="D58" s="23" t="s">
        <v>147</v>
      </c>
      <c r="E58" s="24">
        <v>1000</v>
      </c>
      <c r="F58" s="25">
        <v>4979.1049999999996</v>
      </c>
      <c r="G58" s="26">
        <v>9.2273300000000006E-3</v>
      </c>
      <c r="H58" s="16">
        <v>6.9641000000000002</v>
      </c>
      <c r="J58" s="67"/>
    </row>
    <row r="59" spans="1:10" x14ac:dyDescent="0.2">
      <c r="A59" s="22">
        <v>16</v>
      </c>
      <c r="B59" s="23" t="s">
        <v>268</v>
      </c>
      <c r="C59" s="23" t="s">
        <v>269</v>
      </c>
      <c r="D59" s="23" t="s">
        <v>144</v>
      </c>
      <c r="E59" s="24">
        <v>1000</v>
      </c>
      <c r="F59" s="25">
        <v>4976.1949999999997</v>
      </c>
      <c r="G59" s="26">
        <v>9.2219299999999997E-3</v>
      </c>
      <c r="H59" s="16">
        <v>6.9851000000000001</v>
      </c>
      <c r="J59" s="67"/>
    </row>
    <row r="60" spans="1:10" x14ac:dyDescent="0.2">
      <c r="A60" s="22">
        <v>17</v>
      </c>
      <c r="B60" s="23" t="s">
        <v>270</v>
      </c>
      <c r="C60" s="23" t="s">
        <v>271</v>
      </c>
      <c r="D60" s="23" t="s">
        <v>144</v>
      </c>
      <c r="E60" s="24">
        <v>1000</v>
      </c>
      <c r="F60" s="25">
        <v>4975.1949999999997</v>
      </c>
      <c r="G60" s="26">
        <v>9.2200800000000003E-3</v>
      </c>
      <c r="H60" s="16">
        <v>6.9997999999999996</v>
      </c>
      <c r="J60" s="67"/>
    </row>
    <row r="61" spans="1:10" x14ac:dyDescent="0.2">
      <c r="A61" s="22">
        <v>18</v>
      </c>
      <c r="B61" s="23" t="s">
        <v>272</v>
      </c>
      <c r="C61" s="23" t="s">
        <v>273</v>
      </c>
      <c r="D61" s="23" t="s">
        <v>147</v>
      </c>
      <c r="E61" s="24">
        <v>1000</v>
      </c>
      <c r="F61" s="25">
        <v>4951.03</v>
      </c>
      <c r="G61" s="26">
        <v>9.1753000000000008E-3</v>
      </c>
      <c r="H61" s="16">
        <v>7.22</v>
      </c>
      <c r="J61" s="67"/>
    </row>
    <row r="62" spans="1:10" x14ac:dyDescent="0.2">
      <c r="A62" s="22">
        <v>19</v>
      </c>
      <c r="B62" s="23" t="s">
        <v>274</v>
      </c>
      <c r="C62" s="23" t="s">
        <v>275</v>
      </c>
      <c r="D62" s="23" t="s">
        <v>144</v>
      </c>
      <c r="E62" s="24">
        <v>1000</v>
      </c>
      <c r="F62" s="25">
        <v>4937.32</v>
      </c>
      <c r="G62" s="26">
        <v>9.1498900000000008E-3</v>
      </c>
      <c r="H62" s="16">
        <v>7.24</v>
      </c>
      <c r="J62" s="67"/>
    </row>
    <row r="63" spans="1:10" x14ac:dyDescent="0.2">
      <c r="A63" s="22">
        <v>20</v>
      </c>
      <c r="B63" s="23" t="s">
        <v>276</v>
      </c>
      <c r="C63" s="23" t="s">
        <v>277</v>
      </c>
      <c r="D63" s="23" t="s">
        <v>147</v>
      </c>
      <c r="E63" s="24">
        <v>1000</v>
      </c>
      <c r="F63" s="25">
        <v>4915.41</v>
      </c>
      <c r="G63" s="26">
        <v>9.1092900000000008E-3</v>
      </c>
      <c r="H63" s="16">
        <v>7.3040000000000003</v>
      </c>
      <c r="J63" s="67"/>
    </row>
    <row r="64" spans="1:10" x14ac:dyDescent="0.2">
      <c r="A64" s="22">
        <v>21</v>
      </c>
      <c r="B64" s="23" t="s">
        <v>278</v>
      </c>
      <c r="C64" s="23" t="s">
        <v>279</v>
      </c>
      <c r="D64" s="23" t="s">
        <v>144</v>
      </c>
      <c r="E64" s="24">
        <v>900</v>
      </c>
      <c r="F64" s="25">
        <v>4498.2629999999999</v>
      </c>
      <c r="G64" s="26">
        <v>8.3362200000000001E-3</v>
      </c>
      <c r="H64" s="16">
        <v>7.0547000000000004</v>
      </c>
      <c r="J64" s="67"/>
    </row>
    <row r="65" spans="1:10" x14ac:dyDescent="0.2">
      <c r="A65" s="22">
        <v>22</v>
      </c>
      <c r="B65" s="23" t="s">
        <v>280</v>
      </c>
      <c r="C65" s="23" t="s">
        <v>281</v>
      </c>
      <c r="D65" s="23" t="s">
        <v>144</v>
      </c>
      <c r="E65" s="24">
        <v>500</v>
      </c>
      <c r="F65" s="25">
        <v>2497.6224999999999</v>
      </c>
      <c r="G65" s="26">
        <v>4.62862E-3</v>
      </c>
      <c r="H65" s="16">
        <v>6.9494999999999996</v>
      </c>
      <c r="J65" s="67"/>
    </row>
    <row r="66" spans="1:10" x14ac:dyDescent="0.2">
      <c r="A66" s="22">
        <v>23</v>
      </c>
      <c r="B66" s="23" t="s">
        <v>282</v>
      </c>
      <c r="C66" s="23" t="s">
        <v>283</v>
      </c>
      <c r="D66" s="23" t="s">
        <v>162</v>
      </c>
      <c r="E66" s="24">
        <v>500</v>
      </c>
      <c r="F66" s="25">
        <v>2492.895</v>
      </c>
      <c r="G66" s="26">
        <v>4.6198599999999999E-3</v>
      </c>
      <c r="H66" s="16">
        <v>6.9349999999999996</v>
      </c>
      <c r="J66" s="67"/>
    </row>
    <row r="67" spans="1:10" x14ac:dyDescent="0.2">
      <c r="A67" s="14"/>
      <c r="B67" s="14"/>
      <c r="C67" s="15" t="s">
        <v>11</v>
      </c>
      <c r="D67" s="14"/>
      <c r="E67" s="14" t="s">
        <v>12</v>
      </c>
      <c r="F67" s="21">
        <v>185644.65049999999</v>
      </c>
      <c r="G67" s="18">
        <v>0.34403847999999998</v>
      </c>
      <c r="H67" s="16" t="s">
        <v>12</v>
      </c>
      <c r="J67" s="67"/>
    </row>
    <row r="68" spans="1:10" x14ac:dyDescent="0.2">
      <c r="A68" s="14"/>
      <c r="B68" s="14"/>
      <c r="C68" s="19"/>
      <c r="D68" s="14"/>
      <c r="E68" s="14"/>
      <c r="F68" s="20"/>
      <c r="G68" s="20"/>
      <c r="H68" s="16" t="s">
        <v>12</v>
      </c>
      <c r="J68" s="67"/>
    </row>
    <row r="69" spans="1:10" x14ac:dyDescent="0.2">
      <c r="A69" s="14"/>
      <c r="B69" s="14"/>
      <c r="C69" s="15" t="s">
        <v>86</v>
      </c>
      <c r="D69" s="14"/>
      <c r="E69" s="14"/>
      <c r="F69" s="20"/>
      <c r="G69" s="20"/>
      <c r="H69" s="16" t="s">
        <v>12</v>
      </c>
      <c r="J69" s="67"/>
    </row>
    <row r="70" spans="1:10" x14ac:dyDescent="0.2">
      <c r="A70" s="22">
        <v>1</v>
      </c>
      <c r="B70" s="23" t="s">
        <v>284</v>
      </c>
      <c r="C70" s="23" t="s">
        <v>285</v>
      </c>
      <c r="D70" s="23" t="s">
        <v>144</v>
      </c>
      <c r="E70" s="24">
        <v>3000</v>
      </c>
      <c r="F70" s="25">
        <v>14977.02</v>
      </c>
      <c r="G70" s="26">
        <v>2.7755559999999999E-2</v>
      </c>
      <c r="H70" s="16">
        <v>7.0000999999999998</v>
      </c>
      <c r="J70" s="67"/>
    </row>
    <row r="71" spans="1:10" x14ac:dyDescent="0.2">
      <c r="A71" s="22">
        <v>2</v>
      </c>
      <c r="B71" s="23" t="s">
        <v>286</v>
      </c>
      <c r="C71" s="23" t="s">
        <v>287</v>
      </c>
      <c r="D71" s="23" t="s">
        <v>144</v>
      </c>
      <c r="E71" s="24">
        <v>3000</v>
      </c>
      <c r="F71" s="25">
        <v>14799.555</v>
      </c>
      <c r="G71" s="26">
        <v>2.7426679999999998E-2</v>
      </c>
      <c r="H71" s="16">
        <v>7.27</v>
      </c>
      <c r="J71" s="67"/>
    </row>
    <row r="72" spans="1:10" x14ac:dyDescent="0.2">
      <c r="A72" s="22">
        <v>3</v>
      </c>
      <c r="B72" s="23" t="s">
        <v>288</v>
      </c>
      <c r="C72" s="23" t="s">
        <v>289</v>
      </c>
      <c r="D72" s="23" t="s">
        <v>144</v>
      </c>
      <c r="E72" s="24">
        <v>2000</v>
      </c>
      <c r="F72" s="25">
        <v>9981.35</v>
      </c>
      <c r="G72" s="26">
        <v>1.8497530000000002E-2</v>
      </c>
      <c r="H72" s="16">
        <v>7.58</v>
      </c>
      <c r="J72" s="67"/>
    </row>
    <row r="73" spans="1:10" x14ac:dyDescent="0.2">
      <c r="A73" s="22">
        <v>4</v>
      </c>
      <c r="B73" s="23" t="s">
        <v>290</v>
      </c>
      <c r="C73" s="23" t="s">
        <v>291</v>
      </c>
      <c r="D73" s="23" t="s">
        <v>147</v>
      </c>
      <c r="E73" s="24">
        <v>2000</v>
      </c>
      <c r="F73" s="25">
        <v>9981.14</v>
      </c>
      <c r="G73" s="26">
        <v>1.849715E-2</v>
      </c>
      <c r="H73" s="16">
        <v>7.665</v>
      </c>
      <c r="J73" s="67"/>
    </row>
    <row r="74" spans="1:10" ht="25.5" x14ac:dyDescent="0.2">
      <c r="A74" s="22">
        <v>5</v>
      </c>
      <c r="B74" s="23" t="s">
        <v>292</v>
      </c>
      <c r="C74" s="23" t="s">
        <v>293</v>
      </c>
      <c r="D74" s="23" t="s">
        <v>144</v>
      </c>
      <c r="E74" s="24">
        <v>2000</v>
      </c>
      <c r="F74" s="25">
        <v>9980.86</v>
      </c>
      <c r="G74" s="26">
        <v>1.849663E-2</v>
      </c>
      <c r="H74" s="16">
        <v>6.9996999999999998</v>
      </c>
      <c r="J74" s="67"/>
    </row>
    <row r="75" spans="1:10" x14ac:dyDescent="0.2">
      <c r="A75" s="22">
        <v>6</v>
      </c>
      <c r="B75" s="23" t="s">
        <v>294</v>
      </c>
      <c r="C75" s="23" t="s">
        <v>295</v>
      </c>
      <c r="D75" s="23" t="s">
        <v>144</v>
      </c>
      <c r="E75" s="24">
        <v>2000</v>
      </c>
      <c r="F75" s="25">
        <v>9978.2199999999993</v>
      </c>
      <c r="G75" s="26">
        <v>1.8491730000000001E-2</v>
      </c>
      <c r="H75" s="16">
        <v>7.2451999999999996</v>
      </c>
      <c r="J75" s="67"/>
    </row>
    <row r="76" spans="1:10" x14ac:dyDescent="0.2">
      <c r="A76" s="22">
        <v>7</v>
      </c>
      <c r="B76" s="23" t="s">
        <v>296</v>
      </c>
      <c r="C76" s="23" t="s">
        <v>297</v>
      </c>
      <c r="D76" s="23" t="s">
        <v>144</v>
      </c>
      <c r="E76" s="24">
        <v>2000</v>
      </c>
      <c r="F76" s="25">
        <v>9964.66</v>
      </c>
      <c r="G76" s="26">
        <v>1.84666E-2</v>
      </c>
      <c r="H76" s="16">
        <v>7.6150000000000002</v>
      </c>
      <c r="J76" s="67"/>
    </row>
    <row r="77" spans="1:10" x14ac:dyDescent="0.2">
      <c r="A77" s="22">
        <v>8</v>
      </c>
      <c r="B77" s="23" t="s">
        <v>298</v>
      </c>
      <c r="C77" s="23" t="s">
        <v>299</v>
      </c>
      <c r="D77" s="23" t="s">
        <v>144</v>
      </c>
      <c r="E77" s="24">
        <v>2000</v>
      </c>
      <c r="F77" s="25">
        <v>9890.7800000000007</v>
      </c>
      <c r="G77" s="26">
        <v>1.8329689999999999E-2</v>
      </c>
      <c r="H77" s="16">
        <v>7.6050000000000004</v>
      </c>
      <c r="J77" s="67"/>
    </row>
    <row r="78" spans="1:10" x14ac:dyDescent="0.2">
      <c r="A78" s="22">
        <v>9</v>
      </c>
      <c r="B78" s="23" t="s">
        <v>300</v>
      </c>
      <c r="C78" s="23" t="s">
        <v>301</v>
      </c>
      <c r="D78" s="23" t="s">
        <v>144</v>
      </c>
      <c r="E78" s="24">
        <v>2000</v>
      </c>
      <c r="F78" s="25">
        <v>9836.91</v>
      </c>
      <c r="G78" s="26">
        <v>1.8229860000000001E-2</v>
      </c>
      <c r="H78" s="16">
        <v>7.38</v>
      </c>
      <c r="J78" s="67"/>
    </row>
    <row r="79" spans="1:10" x14ac:dyDescent="0.2">
      <c r="A79" s="22">
        <v>10</v>
      </c>
      <c r="B79" s="23" t="s">
        <v>302</v>
      </c>
      <c r="C79" s="23" t="s">
        <v>303</v>
      </c>
      <c r="D79" s="23" t="s">
        <v>144</v>
      </c>
      <c r="E79" s="24">
        <v>1500</v>
      </c>
      <c r="F79" s="25">
        <v>7492.665</v>
      </c>
      <c r="G79" s="26">
        <v>1.388548E-2</v>
      </c>
      <c r="H79" s="16">
        <v>7.15</v>
      </c>
      <c r="J79" s="67"/>
    </row>
    <row r="80" spans="1:10" x14ac:dyDescent="0.2">
      <c r="A80" s="22">
        <v>11</v>
      </c>
      <c r="B80" s="23" t="s">
        <v>304</v>
      </c>
      <c r="C80" s="23" t="s">
        <v>305</v>
      </c>
      <c r="D80" s="23" t="s">
        <v>144</v>
      </c>
      <c r="E80" s="24">
        <v>1500</v>
      </c>
      <c r="F80" s="25">
        <v>7486.5974999999999</v>
      </c>
      <c r="G80" s="26">
        <v>1.3874239999999999E-2</v>
      </c>
      <c r="H80" s="16">
        <v>7.26</v>
      </c>
      <c r="J80" s="67"/>
    </row>
    <row r="81" spans="1:10" ht="25.5" x14ac:dyDescent="0.2">
      <c r="A81" s="22">
        <v>12</v>
      </c>
      <c r="B81" s="23" t="s">
        <v>306</v>
      </c>
      <c r="C81" s="23" t="s">
        <v>307</v>
      </c>
      <c r="D81" s="23" t="s">
        <v>144</v>
      </c>
      <c r="E81" s="24">
        <v>1500</v>
      </c>
      <c r="F81" s="25">
        <v>7472.85</v>
      </c>
      <c r="G81" s="26">
        <v>1.384876E-2</v>
      </c>
      <c r="H81" s="16">
        <v>6.9802999999999997</v>
      </c>
      <c r="J81" s="67"/>
    </row>
    <row r="82" spans="1:10" ht="25.5" x14ac:dyDescent="0.2">
      <c r="A82" s="22">
        <v>13</v>
      </c>
      <c r="B82" s="23" t="s">
        <v>308</v>
      </c>
      <c r="C82" s="23" t="s">
        <v>309</v>
      </c>
      <c r="D82" s="23" t="s">
        <v>144</v>
      </c>
      <c r="E82" s="24">
        <v>1500</v>
      </c>
      <c r="F82" s="25">
        <v>7464.06</v>
      </c>
      <c r="G82" s="26">
        <v>1.3832469999999999E-2</v>
      </c>
      <c r="H82" s="16">
        <v>7.0301999999999998</v>
      </c>
      <c r="J82" s="67"/>
    </row>
    <row r="83" spans="1:10" ht="25.5" x14ac:dyDescent="0.2">
      <c r="A83" s="22">
        <v>14</v>
      </c>
      <c r="B83" s="23" t="s">
        <v>310</v>
      </c>
      <c r="C83" s="23" t="s">
        <v>311</v>
      </c>
      <c r="D83" s="23" t="s">
        <v>144</v>
      </c>
      <c r="E83" s="24">
        <v>1500</v>
      </c>
      <c r="F83" s="25">
        <v>7454.8950000000004</v>
      </c>
      <c r="G83" s="26">
        <v>1.381548E-2</v>
      </c>
      <c r="H83" s="16">
        <v>7.6150000000000002</v>
      </c>
      <c r="J83" s="67"/>
    </row>
    <row r="84" spans="1:10" ht="25.5" x14ac:dyDescent="0.2">
      <c r="A84" s="22">
        <v>15</v>
      </c>
      <c r="B84" s="23" t="s">
        <v>312</v>
      </c>
      <c r="C84" s="23" t="s">
        <v>313</v>
      </c>
      <c r="D84" s="23" t="s">
        <v>144</v>
      </c>
      <c r="E84" s="24">
        <v>1500</v>
      </c>
      <c r="F84" s="25">
        <v>7424.7674999999999</v>
      </c>
      <c r="G84" s="26">
        <v>1.375965E-2</v>
      </c>
      <c r="H84" s="16">
        <v>8.0399999999999991</v>
      </c>
      <c r="J84" s="67"/>
    </row>
    <row r="85" spans="1:10" x14ac:dyDescent="0.2">
      <c r="A85" s="22">
        <v>16</v>
      </c>
      <c r="B85" s="23" t="s">
        <v>314</v>
      </c>
      <c r="C85" s="23" t="s">
        <v>315</v>
      </c>
      <c r="D85" s="23" t="s">
        <v>144</v>
      </c>
      <c r="E85" s="24">
        <v>1500</v>
      </c>
      <c r="F85" s="25">
        <v>7391.3625000000002</v>
      </c>
      <c r="G85" s="26">
        <v>1.369774E-2</v>
      </c>
      <c r="H85" s="16">
        <v>7.25</v>
      </c>
      <c r="J85" s="67"/>
    </row>
    <row r="86" spans="1:10" x14ac:dyDescent="0.2">
      <c r="A86" s="22">
        <v>17</v>
      </c>
      <c r="B86" s="23" t="s">
        <v>316</v>
      </c>
      <c r="C86" s="23" t="s">
        <v>317</v>
      </c>
      <c r="D86" s="23" t="s">
        <v>162</v>
      </c>
      <c r="E86" s="24">
        <v>1500</v>
      </c>
      <c r="F86" s="25">
        <v>7383.1049999999996</v>
      </c>
      <c r="G86" s="26">
        <v>1.3682440000000001E-2</v>
      </c>
      <c r="H86" s="16">
        <v>7.3151000000000002</v>
      </c>
      <c r="J86" s="67"/>
    </row>
    <row r="87" spans="1:10" ht="25.5" x14ac:dyDescent="0.2">
      <c r="A87" s="22">
        <v>18</v>
      </c>
      <c r="B87" s="23" t="s">
        <v>318</v>
      </c>
      <c r="C87" s="23" t="s">
        <v>319</v>
      </c>
      <c r="D87" s="23" t="s">
        <v>144</v>
      </c>
      <c r="E87" s="24">
        <v>1500</v>
      </c>
      <c r="F87" s="25">
        <v>7361.04</v>
      </c>
      <c r="G87" s="26">
        <v>1.3641550000000001E-2</v>
      </c>
      <c r="H87" s="16">
        <v>7.92</v>
      </c>
      <c r="J87" s="67"/>
    </row>
    <row r="88" spans="1:10" ht="25.5" x14ac:dyDescent="0.2">
      <c r="A88" s="22">
        <v>19</v>
      </c>
      <c r="B88" s="23" t="s">
        <v>320</v>
      </c>
      <c r="C88" s="23" t="s">
        <v>321</v>
      </c>
      <c r="D88" s="23" t="s">
        <v>144</v>
      </c>
      <c r="E88" s="24">
        <v>1000</v>
      </c>
      <c r="F88" s="25">
        <v>4997.9350000000004</v>
      </c>
      <c r="G88" s="26">
        <v>9.2622199999999998E-3</v>
      </c>
      <c r="H88" s="16">
        <v>7.54</v>
      </c>
      <c r="J88" s="67"/>
    </row>
    <row r="89" spans="1:10" x14ac:dyDescent="0.2">
      <c r="A89" s="22">
        <v>20</v>
      </c>
      <c r="B89" s="23" t="s">
        <v>322</v>
      </c>
      <c r="C89" s="23" t="s">
        <v>323</v>
      </c>
      <c r="D89" s="23" t="s">
        <v>144</v>
      </c>
      <c r="E89" s="24">
        <v>1000</v>
      </c>
      <c r="F89" s="25">
        <v>4989.08</v>
      </c>
      <c r="G89" s="26">
        <v>9.2458100000000001E-3</v>
      </c>
      <c r="H89" s="16">
        <v>7.2649999999999997</v>
      </c>
      <c r="J89" s="67"/>
    </row>
    <row r="90" spans="1:10" x14ac:dyDescent="0.2">
      <c r="A90" s="22">
        <v>21</v>
      </c>
      <c r="B90" s="23" t="s">
        <v>324</v>
      </c>
      <c r="C90" s="23" t="s">
        <v>325</v>
      </c>
      <c r="D90" s="23" t="s">
        <v>144</v>
      </c>
      <c r="E90" s="24">
        <v>1000</v>
      </c>
      <c r="F90" s="25">
        <v>4988.12</v>
      </c>
      <c r="G90" s="26">
        <v>9.2440300000000003E-3</v>
      </c>
      <c r="H90" s="16">
        <v>7.2451999999999996</v>
      </c>
      <c r="J90" s="67"/>
    </row>
    <row r="91" spans="1:10" x14ac:dyDescent="0.2">
      <c r="A91" s="22">
        <v>22</v>
      </c>
      <c r="B91" s="23" t="s">
        <v>326</v>
      </c>
      <c r="C91" s="23" t="s">
        <v>327</v>
      </c>
      <c r="D91" s="23" t="s">
        <v>144</v>
      </c>
      <c r="E91" s="24">
        <v>1000</v>
      </c>
      <c r="F91" s="25">
        <v>4987.7849999999999</v>
      </c>
      <c r="G91" s="26">
        <v>9.2434100000000005E-3</v>
      </c>
      <c r="H91" s="16">
        <v>7.45</v>
      </c>
      <c r="J91" s="67"/>
    </row>
    <row r="92" spans="1:10" ht="25.5" x14ac:dyDescent="0.2">
      <c r="A92" s="22">
        <v>23</v>
      </c>
      <c r="B92" s="23" t="s">
        <v>328</v>
      </c>
      <c r="C92" s="23" t="s">
        <v>329</v>
      </c>
      <c r="D92" s="23" t="s">
        <v>144</v>
      </c>
      <c r="E92" s="24">
        <v>1000</v>
      </c>
      <c r="F92" s="25">
        <v>4987.3900000000003</v>
      </c>
      <c r="G92" s="26">
        <v>9.2426799999999996E-3</v>
      </c>
      <c r="H92" s="16">
        <v>7.69</v>
      </c>
      <c r="J92" s="67"/>
    </row>
    <row r="93" spans="1:10" x14ac:dyDescent="0.2">
      <c r="A93" s="22">
        <v>24</v>
      </c>
      <c r="B93" s="23" t="s">
        <v>330</v>
      </c>
      <c r="C93" s="23" t="s">
        <v>331</v>
      </c>
      <c r="D93" s="23" t="s">
        <v>144</v>
      </c>
      <c r="E93" s="24">
        <v>1000</v>
      </c>
      <c r="F93" s="25">
        <v>4981.8450000000003</v>
      </c>
      <c r="G93" s="26">
        <v>9.2324E-3</v>
      </c>
      <c r="H93" s="16">
        <v>7.0004999999999997</v>
      </c>
      <c r="J93" s="67"/>
    </row>
    <row r="94" spans="1:10" x14ac:dyDescent="0.2">
      <c r="A94" s="22">
        <v>25</v>
      </c>
      <c r="B94" s="23" t="s">
        <v>332</v>
      </c>
      <c r="C94" s="23" t="s">
        <v>333</v>
      </c>
      <c r="D94" s="23" t="s">
        <v>144</v>
      </c>
      <c r="E94" s="24">
        <v>1000</v>
      </c>
      <c r="F94" s="25">
        <v>4976.16</v>
      </c>
      <c r="G94" s="26">
        <v>9.2218700000000001E-3</v>
      </c>
      <c r="H94" s="16">
        <v>6.9947999999999997</v>
      </c>
      <c r="J94" s="67"/>
    </row>
    <row r="95" spans="1:10" ht="25.5" x14ac:dyDescent="0.2">
      <c r="A95" s="22">
        <v>26</v>
      </c>
      <c r="B95" s="23" t="s">
        <v>334</v>
      </c>
      <c r="C95" s="23" t="s">
        <v>335</v>
      </c>
      <c r="D95" s="23" t="s">
        <v>162</v>
      </c>
      <c r="E95" s="24">
        <v>1000</v>
      </c>
      <c r="F95" s="25">
        <v>4941.8100000000004</v>
      </c>
      <c r="G95" s="26">
        <v>9.15821E-3</v>
      </c>
      <c r="H95" s="16">
        <v>7.2850000000000001</v>
      </c>
      <c r="J95" s="67"/>
    </row>
    <row r="96" spans="1:10" x14ac:dyDescent="0.2">
      <c r="A96" s="22">
        <v>27</v>
      </c>
      <c r="B96" s="23" t="s">
        <v>336</v>
      </c>
      <c r="C96" s="23" t="s">
        <v>337</v>
      </c>
      <c r="D96" s="23" t="s">
        <v>144</v>
      </c>
      <c r="E96" s="24">
        <v>1000</v>
      </c>
      <c r="F96" s="25">
        <v>4924.76</v>
      </c>
      <c r="G96" s="26">
        <v>9.1266100000000003E-3</v>
      </c>
      <c r="H96" s="16">
        <v>7.7450000000000001</v>
      </c>
      <c r="J96" s="67"/>
    </row>
    <row r="97" spans="1:10" ht="25.5" x14ac:dyDescent="0.2">
      <c r="A97" s="22">
        <v>28</v>
      </c>
      <c r="B97" s="23" t="s">
        <v>175</v>
      </c>
      <c r="C97" s="23" t="s">
        <v>176</v>
      </c>
      <c r="D97" s="23" t="s">
        <v>144</v>
      </c>
      <c r="E97" s="24">
        <v>1000</v>
      </c>
      <c r="F97" s="25">
        <v>4923.1000000000004</v>
      </c>
      <c r="G97" s="26">
        <v>9.1235399999999994E-3</v>
      </c>
      <c r="H97" s="16">
        <v>7.81</v>
      </c>
      <c r="J97" s="67"/>
    </row>
    <row r="98" spans="1:10" x14ac:dyDescent="0.2">
      <c r="A98" s="22">
        <v>29</v>
      </c>
      <c r="B98" s="23" t="s">
        <v>338</v>
      </c>
      <c r="C98" s="23" t="s">
        <v>339</v>
      </c>
      <c r="D98" s="23" t="s">
        <v>144</v>
      </c>
      <c r="E98" s="24">
        <v>1000</v>
      </c>
      <c r="F98" s="25">
        <v>4915.125</v>
      </c>
      <c r="G98" s="26">
        <v>9.1087600000000005E-3</v>
      </c>
      <c r="H98" s="16">
        <v>7.2450000000000001</v>
      </c>
      <c r="J98" s="67"/>
    </row>
    <row r="99" spans="1:10" x14ac:dyDescent="0.2">
      <c r="A99" s="22">
        <v>30</v>
      </c>
      <c r="B99" s="23" t="s">
        <v>340</v>
      </c>
      <c r="C99" s="23" t="s">
        <v>341</v>
      </c>
      <c r="D99" s="23" t="s">
        <v>144</v>
      </c>
      <c r="E99" s="24">
        <v>1000</v>
      </c>
      <c r="F99" s="25">
        <v>4915</v>
      </c>
      <c r="G99" s="26">
        <v>9.1085300000000001E-3</v>
      </c>
      <c r="H99" s="16">
        <v>7.34</v>
      </c>
      <c r="J99" s="67"/>
    </row>
    <row r="100" spans="1:10" x14ac:dyDescent="0.2">
      <c r="A100" s="22">
        <v>31</v>
      </c>
      <c r="B100" s="23" t="s">
        <v>342</v>
      </c>
      <c r="C100" s="23" t="s">
        <v>343</v>
      </c>
      <c r="D100" s="23" t="s">
        <v>144</v>
      </c>
      <c r="E100" s="24">
        <v>1000</v>
      </c>
      <c r="F100" s="25">
        <v>4913.97</v>
      </c>
      <c r="G100" s="26">
        <v>9.1066199999999993E-3</v>
      </c>
      <c r="H100" s="16">
        <v>7.3449999999999998</v>
      </c>
      <c r="J100" s="67"/>
    </row>
    <row r="101" spans="1:10" x14ac:dyDescent="0.2">
      <c r="A101" s="22">
        <v>32</v>
      </c>
      <c r="B101" s="23" t="s">
        <v>344</v>
      </c>
      <c r="C101" s="23" t="s">
        <v>345</v>
      </c>
      <c r="D101" s="23" t="s">
        <v>144</v>
      </c>
      <c r="E101" s="24">
        <v>1000</v>
      </c>
      <c r="F101" s="25">
        <v>4906.09</v>
      </c>
      <c r="G101" s="26">
        <v>9.0920099999999993E-3</v>
      </c>
      <c r="H101" s="16">
        <v>7.85</v>
      </c>
      <c r="J101" s="67"/>
    </row>
    <row r="102" spans="1:10" x14ac:dyDescent="0.2">
      <c r="A102" s="22">
        <v>33</v>
      </c>
      <c r="B102" s="23" t="s">
        <v>346</v>
      </c>
      <c r="C102" s="23" t="s">
        <v>347</v>
      </c>
      <c r="D102" s="23"/>
      <c r="E102" s="24">
        <v>1000</v>
      </c>
      <c r="F102" s="25">
        <v>4902.585</v>
      </c>
      <c r="G102" s="26">
        <v>9.0855199999999997E-3</v>
      </c>
      <c r="H102" s="16">
        <v>0</v>
      </c>
      <c r="J102" s="67"/>
    </row>
    <row r="103" spans="1:10" x14ac:dyDescent="0.2">
      <c r="A103" s="22">
        <v>34</v>
      </c>
      <c r="B103" s="23" t="s">
        <v>348</v>
      </c>
      <c r="C103" s="23" t="s">
        <v>349</v>
      </c>
      <c r="D103" s="23" t="s">
        <v>144</v>
      </c>
      <c r="E103" s="24">
        <v>900</v>
      </c>
      <c r="F103" s="25">
        <v>4431.357</v>
      </c>
      <c r="G103" s="26">
        <v>8.2122299999999992E-3</v>
      </c>
      <c r="H103" s="16">
        <v>7.7450000000000001</v>
      </c>
      <c r="J103" s="67"/>
    </row>
    <row r="104" spans="1:10" ht="25.5" x14ac:dyDescent="0.2">
      <c r="A104" s="22">
        <v>35</v>
      </c>
      <c r="B104" s="23" t="s">
        <v>350</v>
      </c>
      <c r="C104" s="23" t="s">
        <v>351</v>
      </c>
      <c r="D104" s="23" t="s">
        <v>144</v>
      </c>
      <c r="E104" s="24">
        <v>800</v>
      </c>
      <c r="F104" s="25">
        <v>3930.0720000000001</v>
      </c>
      <c r="G104" s="26">
        <v>7.2832499999999998E-3</v>
      </c>
      <c r="H104" s="16">
        <v>7.92</v>
      </c>
      <c r="J104" s="67"/>
    </row>
    <row r="105" spans="1:10" ht="25.5" x14ac:dyDescent="0.2">
      <c r="A105" s="22">
        <v>36</v>
      </c>
      <c r="B105" s="23" t="s">
        <v>352</v>
      </c>
      <c r="C105" s="23" t="s">
        <v>353</v>
      </c>
      <c r="D105" s="23" t="s">
        <v>144</v>
      </c>
      <c r="E105" s="24">
        <v>500</v>
      </c>
      <c r="F105" s="25">
        <v>2495.1824999999999</v>
      </c>
      <c r="G105" s="26">
        <v>4.6240999999999999E-3</v>
      </c>
      <c r="H105" s="16">
        <v>7.0486000000000004</v>
      </c>
      <c r="J105" s="67"/>
    </row>
    <row r="106" spans="1:10" x14ac:dyDescent="0.2">
      <c r="A106" s="22">
        <v>37</v>
      </c>
      <c r="B106" s="23" t="s">
        <v>354</v>
      </c>
      <c r="C106" s="23" t="s">
        <v>355</v>
      </c>
      <c r="D106" s="23" t="s">
        <v>144</v>
      </c>
      <c r="E106" s="24">
        <v>500</v>
      </c>
      <c r="F106" s="25">
        <v>2490.7325000000001</v>
      </c>
      <c r="G106" s="26">
        <v>4.6158500000000003E-3</v>
      </c>
      <c r="H106" s="16">
        <v>7.5449999999999999</v>
      </c>
      <c r="J106" s="67"/>
    </row>
    <row r="107" spans="1:10" x14ac:dyDescent="0.2">
      <c r="A107" s="14"/>
      <c r="B107" s="14"/>
      <c r="C107" s="15" t="s">
        <v>11</v>
      </c>
      <c r="D107" s="14"/>
      <c r="E107" s="14" t="s">
        <v>12</v>
      </c>
      <c r="F107" s="21">
        <v>253919.93650000001</v>
      </c>
      <c r="G107" s="18">
        <v>0.47056689000000002</v>
      </c>
      <c r="H107" s="16" t="s">
        <v>12</v>
      </c>
      <c r="J107" s="67"/>
    </row>
    <row r="108" spans="1:10" x14ac:dyDescent="0.2">
      <c r="A108" s="14"/>
      <c r="B108" s="14"/>
      <c r="C108" s="19"/>
      <c r="D108" s="14"/>
      <c r="E108" s="14"/>
      <c r="F108" s="20"/>
      <c r="G108" s="20"/>
      <c r="H108" s="16" t="s">
        <v>12</v>
      </c>
      <c r="J108" s="67"/>
    </row>
    <row r="109" spans="1:10" x14ac:dyDescent="0.2">
      <c r="A109" s="14"/>
      <c r="B109" s="14"/>
      <c r="C109" s="15" t="s">
        <v>87</v>
      </c>
      <c r="D109" s="14"/>
      <c r="E109" s="14"/>
      <c r="F109" s="20"/>
      <c r="G109" s="20"/>
      <c r="H109" s="16" t="s">
        <v>12</v>
      </c>
      <c r="J109" s="67"/>
    </row>
    <row r="110" spans="1:10" x14ac:dyDescent="0.2">
      <c r="A110" s="22">
        <v>1</v>
      </c>
      <c r="B110" s="23" t="s">
        <v>356</v>
      </c>
      <c r="C110" s="23" t="s">
        <v>357</v>
      </c>
      <c r="D110" s="23" t="s">
        <v>71</v>
      </c>
      <c r="E110" s="24">
        <v>27500000</v>
      </c>
      <c r="F110" s="25">
        <v>27377.185000000001</v>
      </c>
      <c r="G110" s="26">
        <v>5.0735660000000002E-2</v>
      </c>
      <c r="H110" s="16">
        <v>6.55</v>
      </c>
      <c r="J110" s="67"/>
    </row>
    <row r="111" spans="1:10" x14ac:dyDescent="0.2">
      <c r="A111" s="22">
        <v>2</v>
      </c>
      <c r="B111" s="23" t="s">
        <v>358</v>
      </c>
      <c r="C111" s="23" t="s">
        <v>359</v>
      </c>
      <c r="D111" s="23" t="s">
        <v>71</v>
      </c>
      <c r="E111" s="24">
        <v>11300000</v>
      </c>
      <c r="F111" s="25">
        <v>11291.954400000001</v>
      </c>
      <c r="G111" s="26">
        <v>2.0926360000000001E-2</v>
      </c>
      <c r="H111" s="16">
        <v>6.5003000000000002</v>
      </c>
      <c r="J111" s="67"/>
    </row>
    <row r="112" spans="1:10" x14ac:dyDescent="0.2">
      <c r="A112" s="22">
        <v>3</v>
      </c>
      <c r="B112" s="23" t="s">
        <v>360</v>
      </c>
      <c r="C112" s="23" t="s">
        <v>361</v>
      </c>
      <c r="D112" s="23" t="s">
        <v>71</v>
      </c>
      <c r="E112" s="24">
        <v>10000000</v>
      </c>
      <c r="F112" s="25">
        <v>9980.41</v>
      </c>
      <c r="G112" s="26">
        <v>1.8495790000000002E-2</v>
      </c>
      <c r="H112" s="16">
        <v>6.5128000000000004</v>
      </c>
      <c r="J112" s="67"/>
    </row>
    <row r="113" spans="1:10" x14ac:dyDescent="0.2">
      <c r="A113" s="22">
        <v>4</v>
      </c>
      <c r="B113" s="23" t="s">
        <v>362</v>
      </c>
      <c r="C113" s="23" t="s">
        <v>363</v>
      </c>
      <c r="D113" s="23" t="s">
        <v>71</v>
      </c>
      <c r="E113" s="24">
        <v>10000000</v>
      </c>
      <c r="F113" s="25">
        <v>9915.66</v>
      </c>
      <c r="G113" s="26">
        <v>1.8375800000000001E-2</v>
      </c>
      <c r="H113" s="16">
        <v>6.6059000000000001</v>
      </c>
      <c r="J113" s="67"/>
    </row>
    <row r="114" spans="1:10" x14ac:dyDescent="0.2">
      <c r="A114" s="22">
        <v>5</v>
      </c>
      <c r="B114" s="23" t="s">
        <v>364</v>
      </c>
      <c r="C114" s="23" t="s">
        <v>365</v>
      </c>
      <c r="D114" s="23" t="s">
        <v>71</v>
      </c>
      <c r="E114" s="24">
        <v>10000000</v>
      </c>
      <c r="F114" s="25">
        <v>9892.5400000000009</v>
      </c>
      <c r="G114" s="26">
        <v>1.8332950000000001E-2</v>
      </c>
      <c r="H114" s="16">
        <v>6.5</v>
      </c>
      <c r="J114" s="67"/>
    </row>
    <row r="115" spans="1:10" x14ac:dyDescent="0.2">
      <c r="A115" s="22">
        <v>6</v>
      </c>
      <c r="B115" s="23" t="s">
        <v>366</v>
      </c>
      <c r="C115" s="23" t="s">
        <v>367</v>
      </c>
      <c r="D115" s="23" t="s">
        <v>71</v>
      </c>
      <c r="E115" s="24">
        <v>10000000</v>
      </c>
      <c r="F115" s="25">
        <v>9880.2999999999993</v>
      </c>
      <c r="G115" s="26">
        <v>1.831027E-2</v>
      </c>
      <c r="H115" s="16">
        <v>6.6</v>
      </c>
      <c r="J115" s="67"/>
    </row>
    <row r="116" spans="1:10" x14ac:dyDescent="0.2">
      <c r="A116" s="22">
        <v>7</v>
      </c>
      <c r="B116" s="23" t="s">
        <v>368</v>
      </c>
      <c r="C116" s="23" t="s">
        <v>369</v>
      </c>
      <c r="D116" s="23" t="s">
        <v>71</v>
      </c>
      <c r="E116" s="24">
        <v>10000000</v>
      </c>
      <c r="F116" s="25">
        <v>9867.7099999999991</v>
      </c>
      <c r="G116" s="26">
        <v>1.8286940000000002E-2</v>
      </c>
      <c r="H116" s="16">
        <v>6.5244</v>
      </c>
      <c r="J116" s="67"/>
    </row>
    <row r="117" spans="1:10" x14ac:dyDescent="0.2">
      <c r="A117" s="22">
        <v>8</v>
      </c>
      <c r="B117" s="23" t="s">
        <v>370</v>
      </c>
      <c r="C117" s="23" t="s">
        <v>371</v>
      </c>
      <c r="D117" s="23" t="s">
        <v>71</v>
      </c>
      <c r="E117" s="24">
        <v>10000000</v>
      </c>
      <c r="F117" s="25">
        <v>9855.65</v>
      </c>
      <c r="G117" s="26">
        <v>1.8264590000000001E-2</v>
      </c>
      <c r="H117" s="16">
        <v>6.6</v>
      </c>
      <c r="J117" s="67"/>
    </row>
    <row r="118" spans="1:10" x14ac:dyDescent="0.2">
      <c r="A118" s="14"/>
      <c r="B118" s="14"/>
      <c r="C118" s="15" t="s">
        <v>11</v>
      </c>
      <c r="D118" s="14"/>
      <c r="E118" s="14" t="s">
        <v>12</v>
      </c>
      <c r="F118" s="21">
        <v>98061.409400000004</v>
      </c>
      <c r="G118" s="18">
        <v>0.18172836000000001</v>
      </c>
      <c r="H118" s="16" t="s">
        <v>12</v>
      </c>
      <c r="J118" s="71"/>
    </row>
    <row r="119" spans="1:10" x14ac:dyDescent="0.2">
      <c r="A119" s="14"/>
      <c r="B119" s="14"/>
      <c r="C119" s="19"/>
      <c r="D119" s="14"/>
      <c r="E119" s="14"/>
      <c r="F119" s="20"/>
      <c r="G119" s="20"/>
      <c r="H119" s="16" t="s">
        <v>12</v>
      </c>
      <c r="J119" s="71"/>
    </row>
    <row r="120" spans="1:10" x14ac:dyDescent="0.2">
      <c r="A120" s="14"/>
      <c r="B120" s="14"/>
      <c r="C120" s="15" t="s">
        <v>88</v>
      </c>
      <c r="D120" s="14"/>
      <c r="E120" s="14"/>
      <c r="F120" s="20"/>
      <c r="G120" s="20"/>
      <c r="H120" s="16" t="s">
        <v>12</v>
      </c>
      <c r="J120" s="71"/>
    </row>
    <row r="121" spans="1:10" x14ac:dyDescent="0.2">
      <c r="A121" s="22">
        <v>1</v>
      </c>
      <c r="B121" s="23"/>
      <c r="C121" s="23" t="s">
        <v>89</v>
      </c>
      <c r="D121" s="23"/>
      <c r="E121" s="27"/>
      <c r="F121" s="25">
        <v>255.549330201</v>
      </c>
      <c r="G121" s="26">
        <v>4.7359000000000002E-4</v>
      </c>
      <c r="H121" s="16">
        <v>6.62</v>
      </c>
      <c r="J121" s="71"/>
    </row>
    <row r="122" spans="1:10" x14ac:dyDescent="0.2">
      <c r="A122" s="14"/>
      <c r="B122" s="14"/>
      <c r="C122" s="15" t="s">
        <v>11</v>
      </c>
      <c r="D122" s="14"/>
      <c r="E122" s="14" t="s">
        <v>12</v>
      </c>
      <c r="F122" s="21">
        <v>255.549330201</v>
      </c>
      <c r="G122" s="18">
        <v>4.7359000000000002E-4</v>
      </c>
      <c r="H122" s="16" t="s">
        <v>12</v>
      </c>
      <c r="J122" s="71"/>
    </row>
    <row r="123" spans="1:10" x14ac:dyDescent="0.2">
      <c r="A123" s="14"/>
      <c r="B123" s="14"/>
      <c r="C123" s="19"/>
      <c r="D123" s="14"/>
      <c r="E123" s="14"/>
      <c r="F123" s="20"/>
      <c r="G123" s="20"/>
      <c r="H123" s="16" t="s">
        <v>12</v>
      </c>
      <c r="J123" s="71"/>
    </row>
    <row r="124" spans="1:10" x14ac:dyDescent="0.2">
      <c r="A124" s="14"/>
      <c r="B124" s="14"/>
      <c r="C124" s="15" t="s">
        <v>90</v>
      </c>
      <c r="D124" s="14"/>
      <c r="E124" s="14"/>
      <c r="F124" s="21">
        <v>537881.54573020095</v>
      </c>
      <c r="G124" s="18">
        <v>0.99680732000000005</v>
      </c>
      <c r="H124" s="16" t="s">
        <v>12</v>
      </c>
      <c r="J124" s="71"/>
    </row>
    <row r="125" spans="1:10" x14ac:dyDescent="0.2">
      <c r="A125" s="14"/>
      <c r="B125" s="14"/>
      <c r="C125" s="20"/>
      <c r="D125" s="14"/>
      <c r="E125" s="14"/>
      <c r="F125" s="14"/>
      <c r="G125" s="14"/>
      <c r="H125" s="16" t="s">
        <v>12</v>
      </c>
      <c r="J125" s="67"/>
    </row>
    <row r="126" spans="1:10" x14ac:dyDescent="0.2">
      <c r="A126" s="14"/>
      <c r="B126" s="14"/>
      <c r="C126" s="15" t="s">
        <v>91</v>
      </c>
      <c r="D126" s="14"/>
      <c r="E126" s="14"/>
      <c r="F126" s="14"/>
      <c r="G126" s="14"/>
      <c r="H126" s="16" t="s">
        <v>12</v>
      </c>
      <c r="J126" s="67"/>
    </row>
    <row r="127" spans="1:10" x14ac:dyDescent="0.2">
      <c r="A127" s="14"/>
      <c r="B127" s="14"/>
      <c r="C127" s="15" t="s">
        <v>92</v>
      </c>
      <c r="D127" s="14"/>
      <c r="E127" s="14"/>
      <c r="F127" s="14"/>
      <c r="G127" s="14"/>
      <c r="H127" s="16" t="s">
        <v>12</v>
      </c>
      <c r="J127" s="67"/>
    </row>
    <row r="128" spans="1:10" x14ac:dyDescent="0.2">
      <c r="A128" s="14"/>
      <c r="B128" s="14"/>
      <c r="C128" s="15" t="s">
        <v>11</v>
      </c>
      <c r="D128" s="14"/>
      <c r="E128" s="14" t="s">
        <v>12</v>
      </c>
      <c r="F128" s="17" t="s">
        <v>13</v>
      </c>
      <c r="G128" s="18">
        <v>0</v>
      </c>
      <c r="H128" s="16" t="s">
        <v>12</v>
      </c>
      <c r="J128" s="71"/>
    </row>
    <row r="129" spans="1:18" x14ac:dyDescent="0.2">
      <c r="A129" s="14"/>
      <c r="B129" s="14"/>
      <c r="C129" s="19"/>
      <c r="D129" s="14"/>
      <c r="E129" s="14"/>
      <c r="F129" s="20"/>
      <c r="G129" s="20"/>
      <c r="H129" s="16" t="s">
        <v>12</v>
      </c>
      <c r="J129" s="71"/>
    </row>
    <row r="130" spans="1:18" x14ac:dyDescent="0.2">
      <c r="A130" s="28"/>
      <c r="B130" s="28"/>
      <c r="C130" s="29" t="s">
        <v>536</v>
      </c>
      <c r="D130" s="28"/>
      <c r="E130" s="28"/>
      <c r="F130" s="30"/>
      <c r="G130" s="30"/>
      <c r="H130" s="31"/>
      <c r="J130" s="67"/>
      <c r="L130" s="32"/>
      <c r="M130" s="32"/>
      <c r="N130" s="32"/>
      <c r="O130" s="32"/>
      <c r="P130" s="33"/>
      <c r="Q130" s="33"/>
      <c r="R130" s="33"/>
    </row>
    <row r="131" spans="1:18" ht="25.5" x14ac:dyDescent="0.2">
      <c r="A131" s="22">
        <v>1</v>
      </c>
      <c r="B131" s="23" t="s">
        <v>93</v>
      </c>
      <c r="C131" s="23" t="s">
        <v>94</v>
      </c>
      <c r="D131" s="23"/>
      <c r="E131" s="34">
        <v>13479.374400000001</v>
      </c>
      <c r="F131" s="25">
        <v>1397.409615155</v>
      </c>
      <c r="G131" s="26">
        <v>2.58969E-3</v>
      </c>
      <c r="H131" s="16"/>
      <c r="J131" s="67"/>
    </row>
    <row r="132" spans="1:18" x14ac:dyDescent="0.2">
      <c r="A132" s="14"/>
      <c r="B132" s="14"/>
      <c r="C132" s="15" t="s">
        <v>11</v>
      </c>
      <c r="D132" s="14"/>
      <c r="E132" s="14" t="s">
        <v>12</v>
      </c>
      <c r="F132" s="21">
        <v>1397.409615155</v>
      </c>
      <c r="G132" s="18">
        <v>2.58969E-3</v>
      </c>
      <c r="H132" s="16" t="s">
        <v>12</v>
      </c>
      <c r="J132" s="67"/>
    </row>
    <row r="133" spans="1:18" x14ac:dyDescent="0.2">
      <c r="A133" s="14"/>
      <c r="B133" s="14"/>
      <c r="C133" s="19"/>
      <c r="D133" s="14"/>
      <c r="E133" s="14"/>
      <c r="F133" s="20"/>
      <c r="G133" s="20"/>
      <c r="H133" s="16" t="s">
        <v>12</v>
      </c>
      <c r="J133" s="67"/>
    </row>
    <row r="134" spans="1:18" x14ac:dyDescent="0.2">
      <c r="A134" s="14"/>
      <c r="B134" s="14"/>
      <c r="C134" s="15" t="s">
        <v>95</v>
      </c>
      <c r="D134" s="14"/>
      <c r="E134" s="14"/>
      <c r="F134" s="14"/>
      <c r="G134" s="14"/>
      <c r="H134" s="16" t="s">
        <v>12</v>
      </c>
      <c r="J134" s="67"/>
    </row>
    <row r="135" spans="1:18" x14ac:dyDescent="0.2">
      <c r="A135" s="14"/>
      <c r="B135" s="14"/>
      <c r="C135" s="15" t="s">
        <v>96</v>
      </c>
      <c r="D135" s="14"/>
      <c r="E135" s="14"/>
      <c r="F135" s="14"/>
      <c r="G135" s="14"/>
      <c r="H135" s="16" t="s">
        <v>12</v>
      </c>
      <c r="J135" s="67"/>
    </row>
    <row r="136" spans="1:18" x14ac:dyDescent="0.2">
      <c r="A136" s="14"/>
      <c r="B136" s="14"/>
      <c r="C136" s="15" t="s">
        <v>11</v>
      </c>
      <c r="D136" s="14"/>
      <c r="E136" s="14" t="s">
        <v>12</v>
      </c>
      <c r="F136" s="17" t="s">
        <v>13</v>
      </c>
      <c r="G136" s="18">
        <v>0</v>
      </c>
      <c r="H136" s="16" t="s">
        <v>12</v>
      </c>
      <c r="J136" s="67"/>
    </row>
    <row r="137" spans="1:18" x14ac:dyDescent="0.2">
      <c r="A137" s="14"/>
      <c r="B137" s="14"/>
      <c r="C137" s="19"/>
      <c r="D137" s="14"/>
      <c r="E137" s="14"/>
      <c r="F137" s="20"/>
      <c r="G137" s="20"/>
      <c r="H137" s="16" t="s">
        <v>12</v>
      </c>
      <c r="J137" s="67"/>
    </row>
    <row r="138" spans="1:18" x14ac:dyDescent="0.2">
      <c r="A138" s="14"/>
      <c r="B138" s="14"/>
      <c r="C138" s="15" t="s">
        <v>97</v>
      </c>
      <c r="D138" s="14"/>
      <c r="E138" s="14"/>
      <c r="F138" s="20"/>
      <c r="G138" s="20"/>
      <c r="H138" s="16" t="s">
        <v>12</v>
      </c>
      <c r="J138" s="67"/>
    </row>
    <row r="139" spans="1:18" x14ac:dyDescent="0.2">
      <c r="A139" s="14"/>
      <c r="B139" s="14"/>
      <c r="C139" s="15" t="s">
        <v>11</v>
      </c>
      <c r="D139" s="14"/>
      <c r="E139" s="14" t="s">
        <v>12</v>
      </c>
      <c r="F139" s="17" t="s">
        <v>13</v>
      </c>
      <c r="G139" s="18">
        <v>0</v>
      </c>
      <c r="H139" s="16" t="s">
        <v>12</v>
      </c>
      <c r="J139" s="67"/>
    </row>
    <row r="140" spans="1:18" x14ac:dyDescent="0.2">
      <c r="A140" s="14"/>
      <c r="B140" s="14"/>
      <c r="C140" s="19"/>
      <c r="D140" s="14"/>
      <c r="E140" s="14"/>
      <c r="F140" s="20"/>
      <c r="G140" s="20"/>
      <c r="H140" s="16" t="s">
        <v>12</v>
      </c>
      <c r="J140" s="67"/>
    </row>
    <row r="141" spans="1:18" x14ac:dyDescent="0.2">
      <c r="A141" s="27"/>
      <c r="B141" s="23"/>
      <c r="C141" s="23" t="s">
        <v>98</v>
      </c>
      <c r="D141" s="23"/>
      <c r="E141" s="27"/>
      <c r="F141" s="25">
        <f>-4671.19203932-0.000858255844116211</f>
        <v>-4671.1928975758437</v>
      </c>
      <c r="G141" s="26">
        <v>-8.6566999999999998E-3</v>
      </c>
      <c r="H141" s="16" t="s">
        <v>12</v>
      </c>
      <c r="J141" s="67"/>
    </row>
    <row r="142" spans="1:18" x14ac:dyDescent="0.2">
      <c r="A142" s="19"/>
      <c r="B142" s="19"/>
      <c r="C142" s="15" t="s">
        <v>99</v>
      </c>
      <c r="D142" s="20"/>
      <c r="E142" s="20"/>
      <c r="F142" s="21">
        <f>539604.363306036-0.000858255844116211</f>
        <v>539604.36244778009</v>
      </c>
      <c r="G142" s="35">
        <v>1.0000000600000001</v>
      </c>
      <c r="H142" s="16" t="s">
        <v>12</v>
      </c>
      <c r="J142" s="67"/>
    </row>
    <row r="143" spans="1:18" x14ac:dyDescent="0.2">
      <c r="A143" s="36"/>
      <c r="B143" s="36"/>
      <c r="C143" s="36"/>
      <c r="D143" s="37"/>
      <c r="E143" s="37"/>
      <c r="F143" s="37"/>
      <c r="G143" s="37"/>
      <c r="J143" s="67"/>
    </row>
    <row r="144" spans="1:18" x14ac:dyDescent="0.2">
      <c r="A144" s="38"/>
      <c r="B144" s="112" t="s">
        <v>532</v>
      </c>
      <c r="C144" s="112"/>
      <c r="D144" s="112"/>
      <c r="E144" s="112"/>
      <c r="F144" s="112"/>
      <c r="G144" s="112"/>
      <c r="H144" s="112"/>
      <c r="J144" s="67"/>
    </row>
    <row r="145" spans="1:10" x14ac:dyDescent="0.2">
      <c r="A145" s="38"/>
      <c r="B145" s="112" t="s">
        <v>533</v>
      </c>
      <c r="C145" s="112"/>
      <c r="D145" s="112"/>
      <c r="E145" s="112"/>
      <c r="F145" s="112"/>
      <c r="G145" s="112"/>
      <c r="H145" s="112"/>
      <c r="J145" s="67"/>
    </row>
    <row r="146" spans="1:10" x14ac:dyDescent="0.2">
      <c r="A146" s="38"/>
      <c r="B146" s="112" t="s">
        <v>534</v>
      </c>
      <c r="C146" s="112"/>
      <c r="D146" s="112"/>
      <c r="E146" s="112"/>
      <c r="F146" s="112"/>
      <c r="G146" s="112"/>
      <c r="H146" s="112"/>
      <c r="J146" s="67"/>
    </row>
    <row r="147" spans="1:10" x14ac:dyDescent="0.2">
      <c r="A147" s="38"/>
      <c r="B147" s="123" t="s">
        <v>558</v>
      </c>
      <c r="C147" s="112"/>
      <c r="D147" s="112"/>
      <c r="E147" s="112"/>
      <c r="F147" s="112"/>
      <c r="G147" s="112"/>
      <c r="H147" s="112"/>
      <c r="J147" s="67"/>
    </row>
    <row r="148" spans="1:10" x14ac:dyDescent="0.2">
      <c r="A148" s="40"/>
      <c r="B148" s="40"/>
      <c r="C148" s="40"/>
      <c r="D148" s="41"/>
      <c r="E148" s="41"/>
      <c r="F148" s="41"/>
      <c r="G148" s="41"/>
      <c r="J148" s="67"/>
    </row>
    <row r="149" spans="1:10" x14ac:dyDescent="0.2">
      <c r="A149" s="40"/>
      <c r="B149" s="118" t="s">
        <v>100</v>
      </c>
      <c r="C149" s="119"/>
      <c r="D149" s="120"/>
      <c r="E149" s="42"/>
      <c r="F149" s="41"/>
      <c r="G149" s="41"/>
      <c r="J149" s="67"/>
    </row>
    <row r="150" spans="1:10" ht="25.5" x14ac:dyDescent="0.2">
      <c r="A150" s="40"/>
      <c r="B150" s="121" t="s">
        <v>101</v>
      </c>
      <c r="C150" s="122"/>
      <c r="D150" s="29" t="s">
        <v>559</v>
      </c>
      <c r="E150" s="42"/>
      <c r="F150" s="41"/>
      <c r="G150" s="41"/>
      <c r="J150" s="67"/>
    </row>
    <row r="151" spans="1:10" x14ac:dyDescent="0.2">
      <c r="A151" s="40"/>
      <c r="B151" s="121" t="s">
        <v>103</v>
      </c>
      <c r="C151" s="122"/>
      <c r="D151" s="15" t="s">
        <v>102</v>
      </c>
      <c r="E151" s="42"/>
      <c r="F151" s="41"/>
      <c r="G151" s="41"/>
      <c r="J151" s="67"/>
    </row>
    <row r="152" spans="1:10" x14ac:dyDescent="0.2">
      <c r="A152" s="40"/>
      <c r="B152" s="121" t="s">
        <v>104</v>
      </c>
      <c r="C152" s="122"/>
      <c r="D152" s="20" t="s">
        <v>12</v>
      </c>
      <c r="E152" s="42"/>
      <c r="F152" s="41"/>
      <c r="G152" s="41"/>
      <c r="J152" s="67"/>
    </row>
    <row r="153" spans="1:10" x14ac:dyDescent="0.2">
      <c r="A153" s="43"/>
      <c r="B153" s="44" t="s">
        <v>12</v>
      </c>
      <c r="C153" s="44" t="s">
        <v>528</v>
      </c>
      <c r="D153" s="44" t="s">
        <v>105</v>
      </c>
      <c r="E153" s="43"/>
      <c r="F153" s="43"/>
      <c r="G153" s="43"/>
      <c r="H153" s="45"/>
      <c r="J153" s="67"/>
    </row>
    <row r="154" spans="1:10" x14ac:dyDescent="0.2">
      <c r="A154" s="46"/>
      <c r="B154" s="47" t="s">
        <v>106</v>
      </c>
      <c r="C154" s="48">
        <v>45519</v>
      </c>
      <c r="D154" s="48">
        <v>45535</v>
      </c>
      <c r="E154" s="46"/>
      <c r="F154" s="46"/>
      <c r="G154" s="46"/>
      <c r="J154" s="67"/>
    </row>
    <row r="155" spans="1:10" x14ac:dyDescent="0.2">
      <c r="A155" s="46"/>
      <c r="B155" s="23" t="s">
        <v>107</v>
      </c>
      <c r="C155" s="49">
        <v>2190.8471</v>
      </c>
      <c r="D155" s="49">
        <v>2197.4576999999999</v>
      </c>
      <c r="E155" s="46"/>
      <c r="F155" s="50"/>
      <c r="G155" s="51"/>
      <c r="J155" s="67"/>
    </row>
    <row r="156" spans="1:10" x14ac:dyDescent="0.2">
      <c r="A156" s="46"/>
      <c r="B156" s="23" t="s">
        <v>139</v>
      </c>
      <c r="C156" s="49">
        <v>1204.7659000000001</v>
      </c>
      <c r="D156" s="49">
        <v>1208.4002</v>
      </c>
      <c r="E156" s="46"/>
      <c r="F156" s="50"/>
      <c r="G156" s="51"/>
      <c r="J156" s="67"/>
    </row>
    <row r="157" spans="1:10" x14ac:dyDescent="0.2">
      <c r="A157" s="46"/>
      <c r="B157" s="23" t="s">
        <v>592</v>
      </c>
      <c r="C157" s="49">
        <v>1000.6367</v>
      </c>
      <c r="D157" s="49">
        <v>1000.827</v>
      </c>
      <c r="E157" s="46"/>
      <c r="F157" s="50"/>
      <c r="G157" s="51"/>
      <c r="J157" s="67"/>
    </row>
    <row r="158" spans="1:10" x14ac:dyDescent="0.2">
      <c r="A158" s="46"/>
      <c r="B158" s="23" t="s">
        <v>593</v>
      </c>
      <c r="C158" s="49">
        <v>1008.1801</v>
      </c>
      <c r="D158" s="49">
        <v>1007.2203</v>
      </c>
      <c r="E158" s="46"/>
      <c r="F158" s="50"/>
      <c r="G158" s="51"/>
      <c r="J158" s="67"/>
    </row>
    <row r="159" spans="1:10" ht="25.5" x14ac:dyDescent="0.2">
      <c r="A159" s="46"/>
      <c r="B159" s="23" t="s">
        <v>594</v>
      </c>
      <c r="C159" s="49">
        <v>1025.3479</v>
      </c>
      <c r="D159" s="49">
        <v>1025.7035000000001</v>
      </c>
      <c r="E159" s="46"/>
      <c r="F159" s="50"/>
      <c r="G159" s="51"/>
      <c r="J159" s="67"/>
    </row>
    <row r="160" spans="1:10" x14ac:dyDescent="0.2">
      <c r="A160" s="46"/>
      <c r="B160" s="23" t="s">
        <v>584</v>
      </c>
      <c r="C160" s="49">
        <v>1030.0389</v>
      </c>
      <c r="D160" s="49">
        <v>1027.0649000000001</v>
      </c>
      <c r="E160" s="46"/>
      <c r="F160" s="50"/>
      <c r="G160" s="51"/>
      <c r="J160" s="67"/>
    </row>
    <row r="161" spans="1:10" ht="25.5" x14ac:dyDescent="0.2">
      <c r="A161" s="46"/>
      <c r="B161" s="23" t="s">
        <v>585</v>
      </c>
      <c r="C161" s="49">
        <v>1122.7662</v>
      </c>
      <c r="D161" s="49">
        <v>1126.1541</v>
      </c>
      <c r="E161" s="46"/>
      <c r="F161" s="50"/>
      <c r="G161" s="51"/>
      <c r="J161" s="67"/>
    </row>
    <row r="162" spans="1:10" x14ac:dyDescent="0.2">
      <c r="A162" s="46"/>
      <c r="B162" s="23" t="s">
        <v>108</v>
      </c>
      <c r="C162" s="49">
        <v>2169.3706999999999</v>
      </c>
      <c r="D162" s="49">
        <v>2175.7543000000001</v>
      </c>
      <c r="E162" s="46"/>
      <c r="F162" s="50"/>
      <c r="G162" s="51"/>
      <c r="J162" s="67"/>
    </row>
    <row r="163" spans="1:10" x14ac:dyDescent="0.2">
      <c r="A163" s="46"/>
      <c r="B163" s="23" t="s">
        <v>140</v>
      </c>
      <c r="C163" s="49">
        <v>1200.8123000000001</v>
      </c>
      <c r="D163" s="49">
        <v>1204.3459</v>
      </c>
      <c r="E163" s="46"/>
      <c r="F163" s="50"/>
      <c r="G163" s="51"/>
      <c r="J163" s="67"/>
    </row>
    <row r="164" spans="1:10" x14ac:dyDescent="0.2">
      <c r="A164" s="46"/>
      <c r="B164" s="23" t="s">
        <v>595</v>
      </c>
      <c r="C164" s="49">
        <v>1000.8893</v>
      </c>
      <c r="D164" s="49">
        <v>1001.075</v>
      </c>
      <c r="E164" s="46"/>
      <c r="F164" s="50"/>
      <c r="G164" s="51"/>
      <c r="J164" s="67"/>
    </row>
    <row r="165" spans="1:10" ht="25.5" x14ac:dyDescent="0.2">
      <c r="A165" s="46"/>
      <c r="B165" s="23" t="s">
        <v>596</v>
      </c>
      <c r="C165" s="49">
        <v>1007.6917</v>
      </c>
      <c r="D165" s="49">
        <v>1006.7612</v>
      </c>
      <c r="E165" s="46"/>
      <c r="F165" s="50"/>
      <c r="G165" s="51"/>
      <c r="J165" s="67"/>
    </row>
    <row r="166" spans="1:10" ht="25.5" x14ac:dyDescent="0.2">
      <c r="A166" s="46"/>
      <c r="B166" s="23" t="s">
        <v>597</v>
      </c>
      <c r="C166" s="49">
        <v>1025.2621999999999</v>
      </c>
      <c r="D166" s="49">
        <v>1025.6066000000001</v>
      </c>
      <c r="E166" s="46"/>
      <c r="F166" s="50"/>
      <c r="G166" s="51"/>
      <c r="J166" s="67"/>
    </row>
    <row r="167" spans="1:10" ht="25.5" x14ac:dyDescent="0.2">
      <c r="A167" s="46"/>
      <c r="B167" s="23" t="s">
        <v>588</v>
      </c>
      <c r="C167" s="49">
        <v>1029.8448000000001</v>
      </c>
      <c r="D167" s="49">
        <v>1026.9380000000001</v>
      </c>
      <c r="E167" s="46"/>
      <c r="F167" s="50"/>
      <c r="G167" s="51"/>
      <c r="J167" s="67"/>
    </row>
    <row r="168" spans="1:10" ht="25.5" x14ac:dyDescent="0.2">
      <c r="A168" s="46"/>
      <c r="B168" s="23" t="s">
        <v>562</v>
      </c>
      <c r="C168" s="49">
        <v>1119.3302000000001</v>
      </c>
      <c r="D168" s="49">
        <v>1122.624</v>
      </c>
      <c r="E168" s="46"/>
      <c r="F168" s="50"/>
      <c r="G168" s="51"/>
      <c r="J168" s="67"/>
    </row>
    <row r="169" spans="1:10" x14ac:dyDescent="0.2">
      <c r="A169" s="46"/>
      <c r="B169" s="46"/>
      <c r="C169" s="46"/>
      <c r="D169" s="46"/>
      <c r="E169" s="46"/>
      <c r="F169" s="46"/>
      <c r="G169" s="46"/>
      <c r="J169" s="67"/>
    </row>
    <row r="170" spans="1:10" x14ac:dyDescent="0.2">
      <c r="A170" s="46"/>
      <c r="B170" s="121" t="s">
        <v>591</v>
      </c>
      <c r="C170" s="122"/>
      <c r="D170" s="15" t="s">
        <v>12</v>
      </c>
      <c r="E170" s="46"/>
      <c r="F170" s="46"/>
      <c r="G170" s="46"/>
      <c r="J170" s="67"/>
    </row>
    <row r="171" spans="1:10" x14ac:dyDescent="0.2">
      <c r="A171" s="46"/>
      <c r="B171" s="52" t="s">
        <v>106</v>
      </c>
      <c r="C171" s="53" t="s">
        <v>109</v>
      </c>
      <c r="D171" s="53" t="s">
        <v>110</v>
      </c>
      <c r="E171" s="46"/>
      <c r="F171" s="46"/>
      <c r="G171" s="46"/>
      <c r="J171" s="67"/>
    </row>
    <row r="172" spans="1:10" x14ac:dyDescent="0.2">
      <c r="A172" s="46"/>
      <c r="B172" s="23" t="s">
        <v>592</v>
      </c>
      <c r="C172" s="54">
        <v>2.8260100000000001</v>
      </c>
      <c r="D172" s="54">
        <v>2.8260100000000001</v>
      </c>
      <c r="E172" s="46"/>
      <c r="F172" s="50"/>
      <c r="G172" s="51"/>
      <c r="J172" s="67"/>
    </row>
    <row r="173" spans="1:10" x14ac:dyDescent="0.2">
      <c r="A173" s="46"/>
      <c r="B173" s="23" t="s">
        <v>593</v>
      </c>
      <c r="C173" s="54">
        <v>3.9944999999999999</v>
      </c>
      <c r="D173" s="27" t="s">
        <v>111</v>
      </c>
      <c r="E173" s="46"/>
      <c r="F173" s="50"/>
      <c r="G173" s="51"/>
      <c r="J173" s="67"/>
    </row>
    <row r="174" spans="1:10" ht="25.5" x14ac:dyDescent="0.2">
      <c r="A174" s="46"/>
      <c r="B174" s="23" t="s">
        <v>594</v>
      </c>
      <c r="C174" s="54">
        <v>2.7391000000000001</v>
      </c>
      <c r="D174" s="27" t="s">
        <v>111</v>
      </c>
      <c r="E174" s="46"/>
      <c r="F174" s="50"/>
      <c r="G174" s="51"/>
      <c r="J174" s="67"/>
    </row>
    <row r="175" spans="1:10" x14ac:dyDescent="0.2">
      <c r="A175" s="46"/>
      <c r="B175" s="23" t="s">
        <v>584</v>
      </c>
      <c r="C175" s="54">
        <v>6.0659000000000001</v>
      </c>
      <c r="D175" s="27" t="s">
        <v>111</v>
      </c>
      <c r="E175" s="46"/>
      <c r="F175" s="50"/>
      <c r="G175" s="51"/>
      <c r="J175" s="67"/>
    </row>
    <row r="176" spans="1:10" x14ac:dyDescent="0.2">
      <c r="A176" s="46"/>
      <c r="B176" s="23" t="s">
        <v>595</v>
      </c>
      <c r="C176" s="54">
        <v>2.757015</v>
      </c>
      <c r="D176" s="54">
        <v>2.757015</v>
      </c>
      <c r="E176" s="46"/>
      <c r="F176" s="50"/>
      <c r="G176" s="51"/>
      <c r="J176" s="67"/>
    </row>
    <row r="177" spans="1:18" ht="25.5" x14ac:dyDescent="0.2">
      <c r="A177" s="46"/>
      <c r="B177" s="23" t="s">
        <v>596</v>
      </c>
      <c r="C177" s="54">
        <v>3.8936999999999999</v>
      </c>
      <c r="D177" s="54">
        <v>3.8936999999999999</v>
      </c>
      <c r="E177" s="46"/>
      <c r="F177" s="50"/>
      <c r="G177" s="51"/>
      <c r="J177" s="67"/>
    </row>
    <row r="178" spans="1:18" ht="25.5" x14ac:dyDescent="0.2">
      <c r="A178" s="46"/>
      <c r="B178" s="23" t="s">
        <v>597</v>
      </c>
      <c r="C178" s="54">
        <v>2.6696</v>
      </c>
      <c r="D178" s="27" t="s">
        <v>111</v>
      </c>
      <c r="E178" s="46"/>
      <c r="F178" s="50"/>
      <c r="G178" s="51"/>
      <c r="J178" s="67"/>
    </row>
    <row r="179" spans="1:18" ht="25.5" x14ac:dyDescent="0.2">
      <c r="A179" s="46"/>
      <c r="B179" s="23" t="s">
        <v>588</v>
      </c>
      <c r="C179" s="54">
        <v>5.9223999999999997</v>
      </c>
      <c r="D179" s="27" t="s">
        <v>111</v>
      </c>
      <c r="E179" s="46"/>
      <c r="F179" s="50"/>
      <c r="G179" s="51"/>
      <c r="J179" s="67"/>
    </row>
    <row r="180" spans="1:18" x14ac:dyDescent="0.2">
      <c r="A180" s="46"/>
      <c r="B180" s="55"/>
      <c r="C180" s="55"/>
      <c r="D180" s="56"/>
      <c r="E180" s="46"/>
      <c r="F180" s="50"/>
      <c r="G180" s="51"/>
      <c r="J180" s="67"/>
    </row>
    <row r="181" spans="1:18" s="59" customFormat="1" x14ac:dyDescent="0.2">
      <c r="A181" s="65"/>
      <c r="B181" s="106" t="s">
        <v>546</v>
      </c>
      <c r="C181" s="107"/>
      <c r="D181" s="29" t="s">
        <v>102</v>
      </c>
      <c r="E181" s="65"/>
      <c r="F181" s="65"/>
      <c r="G181" s="65"/>
      <c r="I181"/>
      <c r="J181" s="67"/>
      <c r="K181" s="32"/>
      <c r="L181" s="32"/>
      <c r="M181" s="32"/>
      <c r="N181" s="32"/>
      <c r="O181" s="66"/>
      <c r="P181"/>
      <c r="Q181"/>
    </row>
    <row r="182" spans="1:18" x14ac:dyDescent="0.2">
      <c r="A182" s="43"/>
      <c r="B182" s="106" t="s">
        <v>547</v>
      </c>
      <c r="C182" s="107"/>
      <c r="D182" s="29" t="s">
        <v>102</v>
      </c>
      <c r="E182" s="57"/>
      <c r="F182" s="43"/>
      <c r="G182" s="43"/>
      <c r="J182" s="67"/>
    </row>
    <row r="183" spans="1:18" x14ac:dyDescent="0.2">
      <c r="A183" s="43"/>
      <c r="B183" s="106" t="s">
        <v>548</v>
      </c>
      <c r="C183" s="107"/>
      <c r="D183" s="29" t="s">
        <v>102</v>
      </c>
      <c r="E183" s="57"/>
      <c r="F183" s="43"/>
      <c r="G183" s="43"/>
      <c r="J183" s="67"/>
    </row>
    <row r="184" spans="1:18" x14ac:dyDescent="0.2">
      <c r="A184" s="43"/>
      <c r="B184" s="106" t="s">
        <v>549</v>
      </c>
      <c r="C184" s="107"/>
      <c r="D184" s="29" t="s">
        <v>102</v>
      </c>
      <c r="E184" s="57"/>
      <c r="F184" s="43"/>
      <c r="G184" s="43"/>
      <c r="J184" s="67"/>
    </row>
    <row r="185" spans="1:18" x14ac:dyDescent="0.2">
      <c r="A185" s="58"/>
      <c r="B185" s="58"/>
      <c r="C185" s="58"/>
      <c r="D185" s="58"/>
      <c r="E185" s="58"/>
      <c r="F185" s="58"/>
      <c r="G185" s="58"/>
      <c r="J185" s="67"/>
    </row>
    <row r="186" spans="1:18" s="59" customFormat="1" x14ac:dyDescent="0.2">
      <c r="B186" s="72" t="s">
        <v>578</v>
      </c>
      <c r="C186" s="72"/>
      <c r="D186" s="72"/>
      <c r="E186" s="72"/>
      <c r="F186" s="72"/>
      <c r="G186" s="72"/>
      <c r="I186"/>
      <c r="J186" s="67"/>
      <c r="K186" s="32"/>
      <c r="L186" s="32"/>
      <c r="M186" s="32"/>
      <c r="N186" s="32"/>
      <c r="O186"/>
    </row>
    <row r="187" spans="1:18" s="59" customFormat="1" x14ac:dyDescent="0.2">
      <c r="B187" s="72"/>
      <c r="C187" s="72"/>
      <c r="D187" s="72"/>
      <c r="E187" s="72"/>
      <c r="F187" s="72"/>
      <c r="G187" s="72"/>
      <c r="I187"/>
      <c r="J187" s="67"/>
      <c r="K187" s="32"/>
      <c r="L187" s="32"/>
      <c r="M187" s="32"/>
      <c r="N187" s="32"/>
      <c r="O187"/>
    </row>
    <row r="188" spans="1:18" s="59" customFormat="1" ht="63.75" x14ac:dyDescent="0.2">
      <c r="B188" s="75" t="s">
        <v>551</v>
      </c>
      <c r="C188" s="75" t="s">
        <v>550</v>
      </c>
      <c r="D188" s="75" t="s">
        <v>583</v>
      </c>
      <c r="E188" s="75" t="s">
        <v>557</v>
      </c>
      <c r="F188" s="75" t="s">
        <v>582</v>
      </c>
      <c r="I188"/>
      <c r="J188" s="67"/>
      <c r="K188" s="32"/>
      <c r="L188" s="32"/>
      <c r="M188" s="32"/>
      <c r="N188" s="32"/>
      <c r="O188"/>
    </row>
    <row r="189" spans="1:18" s="59" customFormat="1" ht="25.5" x14ac:dyDescent="0.2">
      <c r="B189" s="61" t="s">
        <v>556</v>
      </c>
      <c r="C189" s="77" t="s">
        <v>555</v>
      </c>
      <c r="D189" s="81">
        <v>0</v>
      </c>
      <c r="E189" s="10">
        <v>0</v>
      </c>
      <c r="F189" s="78">
        <v>5650</v>
      </c>
      <c r="I189"/>
      <c r="J189" s="67"/>
      <c r="K189" s="32"/>
      <c r="L189" s="32"/>
      <c r="M189" s="32"/>
      <c r="N189" s="32"/>
      <c r="O189"/>
      <c r="R189"/>
    </row>
    <row r="190" spans="1:18" s="59" customFormat="1" x14ac:dyDescent="0.2">
      <c r="I190"/>
      <c r="J190" s="67"/>
      <c r="K190" s="32"/>
      <c r="L190" s="32"/>
      <c r="M190" s="32"/>
      <c r="N190" s="32"/>
      <c r="O190"/>
      <c r="R190"/>
    </row>
    <row r="191" spans="1:18" s="59" customFormat="1" x14ac:dyDescent="0.2">
      <c r="B191" s="113" t="s">
        <v>538</v>
      </c>
      <c r="C191" s="114"/>
      <c r="D191" s="115"/>
      <c r="I191"/>
      <c r="J191" s="67"/>
      <c r="K191" s="32"/>
      <c r="L191" s="32"/>
      <c r="M191" s="32"/>
      <c r="N191" s="32"/>
      <c r="O191"/>
      <c r="R191"/>
    </row>
    <row r="192" spans="1:18" s="59" customFormat="1" ht="25.5" x14ac:dyDescent="0.2">
      <c r="B192" s="117" t="s">
        <v>539</v>
      </c>
      <c r="C192" s="117"/>
      <c r="D192" s="60" t="s">
        <v>235</v>
      </c>
      <c r="I192"/>
      <c r="J192" s="67"/>
      <c r="K192" s="32"/>
      <c r="L192" s="32"/>
      <c r="M192" s="32"/>
      <c r="N192" s="32"/>
      <c r="O192"/>
      <c r="R192"/>
    </row>
    <row r="193" spans="2:18" s="59" customFormat="1" x14ac:dyDescent="0.2">
      <c r="B193" s="110" t="s">
        <v>540</v>
      </c>
      <c r="C193" s="110"/>
      <c r="D193" s="61"/>
      <c r="I193"/>
      <c r="J193" s="67"/>
      <c r="K193" s="32"/>
      <c r="L193" s="32"/>
      <c r="M193" s="32"/>
      <c r="N193" s="32"/>
      <c r="O193"/>
      <c r="R193"/>
    </row>
    <row r="194" spans="2:18" s="59" customFormat="1" x14ac:dyDescent="0.2">
      <c r="B194" s="110"/>
      <c r="C194" s="110"/>
      <c r="D194" s="62"/>
      <c r="I194"/>
      <c r="J194" s="67"/>
      <c r="K194" s="32"/>
      <c r="L194" s="32"/>
      <c r="M194" s="32"/>
      <c r="N194" s="32"/>
      <c r="O194"/>
      <c r="R194"/>
    </row>
    <row r="195" spans="2:18" s="59" customFormat="1" x14ac:dyDescent="0.2">
      <c r="B195" s="110" t="s">
        <v>541</v>
      </c>
      <c r="C195" s="110"/>
      <c r="D195" s="63">
        <v>7.0741890142566275</v>
      </c>
      <c r="I195"/>
      <c r="J195" s="67"/>
      <c r="K195" s="32"/>
      <c r="L195" s="32"/>
      <c r="M195" s="32"/>
      <c r="N195" s="32"/>
      <c r="O195"/>
      <c r="R195"/>
    </row>
    <row r="196" spans="2:18" s="59" customFormat="1" x14ac:dyDescent="0.2">
      <c r="B196" s="110"/>
      <c r="C196" s="110"/>
      <c r="D196" s="62"/>
      <c r="I196"/>
      <c r="J196" s="67"/>
      <c r="K196" s="32"/>
      <c r="L196" s="32"/>
      <c r="M196" s="32"/>
      <c r="N196" s="32"/>
      <c r="O196"/>
      <c r="R196"/>
    </row>
    <row r="197" spans="2:18" s="59" customFormat="1" x14ac:dyDescent="0.2">
      <c r="B197" s="110" t="s">
        <v>542</v>
      </c>
      <c r="C197" s="110"/>
      <c r="D197" s="63">
        <v>0.11028662431402307</v>
      </c>
      <c r="I197"/>
      <c r="J197" s="67"/>
      <c r="K197" s="32"/>
      <c r="L197" s="32"/>
      <c r="M197" s="32"/>
      <c r="N197" s="32"/>
      <c r="O197"/>
      <c r="R197"/>
    </row>
    <row r="198" spans="2:18" s="59" customFormat="1" x14ac:dyDescent="0.2">
      <c r="B198" s="110" t="s">
        <v>543</v>
      </c>
      <c r="C198" s="110"/>
      <c r="D198" s="63">
        <v>0.11028662431402307</v>
      </c>
      <c r="I198"/>
      <c r="J198" s="67"/>
      <c r="K198" s="32"/>
      <c r="L198" s="32"/>
      <c r="M198" s="32"/>
      <c r="N198" s="32"/>
      <c r="O198"/>
      <c r="R198"/>
    </row>
    <row r="199" spans="2:18" s="59" customFormat="1" x14ac:dyDescent="0.2">
      <c r="B199" s="110"/>
      <c r="C199" s="110"/>
      <c r="D199" s="62"/>
      <c r="I199"/>
      <c r="J199" s="67"/>
      <c r="K199" s="32"/>
      <c r="L199" s="32"/>
      <c r="M199" s="32"/>
      <c r="N199" s="32"/>
      <c r="O199"/>
      <c r="P199"/>
      <c r="Q199"/>
      <c r="R199"/>
    </row>
    <row r="200" spans="2:18" s="59" customFormat="1" x14ac:dyDescent="0.2">
      <c r="B200" s="110" t="s">
        <v>544</v>
      </c>
      <c r="C200" s="110"/>
      <c r="D200" s="63" t="s">
        <v>577</v>
      </c>
      <c r="I200"/>
      <c r="J200" s="67"/>
      <c r="K200" s="32"/>
      <c r="L200" s="32"/>
      <c r="M200" s="32"/>
      <c r="N200" s="32"/>
      <c r="O200"/>
      <c r="R200"/>
    </row>
    <row r="201" spans="2:18" s="59" customFormat="1" x14ac:dyDescent="0.2">
      <c r="B201" s="108" t="s">
        <v>545</v>
      </c>
      <c r="C201" s="111"/>
      <c r="D201" s="109"/>
      <c r="I201"/>
      <c r="J201" s="67"/>
      <c r="K201" s="32"/>
      <c r="L201" s="32"/>
      <c r="M201" s="32"/>
      <c r="N201" s="32"/>
      <c r="O201"/>
      <c r="P201"/>
      <c r="Q201"/>
      <c r="R201"/>
    </row>
  </sheetData>
  <mergeCells count="27">
    <mergeCell ref="B146:H146"/>
    <mergeCell ref="B147:H147"/>
    <mergeCell ref="B181:C181"/>
    <mergeCell ref="A1:H1"/>
    <mergeCell ref="A2:H2"/>
    <mergeCell ref="A3:H3"/>
    <mergeCell ref="B144:H144"/>
    <mergeCell ref="B145:H145"/>
    <mergeCell ref="B183:C183"/>
    <mergeCell ref="B184:C184"/>
    <mergeCell ref="B149:D149"/>
    <mergeCell ref="B150:C150"/>
    <mergeCell ref="B151:C151"/>
    <mergeCell ref="B152:C152"/>
    <mergeCell ref="B170:C170"/>
    <mergeCell ref="B182:C182"/>
    <mergeCell ref="B191:D191"/>
    <mergeCell ref="B192:C192"/>
    <mergeCell ref="B193:C193"/>
    <mergeCell ref="B194:C194"/>
    <mergeCell ref="B195:C195"/>
    <mergeCell ref="B201:D201"/>
    <mergeCell ref="B196:C196"/>
    <mergeCell ref="B197:C197"/>
    <mergeCell ref="B198:C198"/>
    <mergeCell ref="B199:C199"/>
    <mergeCell ref="B200:C200"/>
  </mergeCells>
  <hyperlinks>
    <hyperlink ref="I1" location="Index!B6" display="Index" xr:uid="{0D4B82BB-2D5B-4AD6-A73A-EB735FBCBF1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CECE-A7C3-4B8C-804B-E291FD33604B}">
  <sheetPr>
    <outlinePr summaryBelow="0" summaryRight="0"/>
  </sheetPr>
  <dimension ref="A1:S140"/>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16" t="s">
        <v>0</v>
      </c>
      <c r="B1" s="116"/>
      <c r="C1" s="116"/>
      <c r="D1" s="116"/>
      <c r="E1" s="116"/>
      <c r="F1" s="116"/>
      <c r="G1" s="116"/>
      <c r="H1" s="116"/>
      <c r="I1" s="7" t="s">
        <v>600</v>
      </c>
      <c r="J1" s="67"/>
      <c r="K1" s="7"/>
    </row>
    <row r="2" spans="1:11" ht="15" x14ac:dyDescent="0.2">
      <c r="A2" s="116" t="s">
        <v>372</v>
      </c>
      <c r="B2" s="116"/>
      <c r="C2" s="116"/>
      <c r="D2" s="116"/>
      <c r="E2" s="116"/>
      <c r="F2" s="116"/>
      <c r="G2" s="116"/>
      <c r="H2" s="116"/>
      <c r="J2" s="68" t="s">
        <v>601</v>
      </c>
    </row>
    <row r="3" spans="1:11" ht="15" x14ac:dyDescent="0.2">
      <c r="A3" s="116" t="s">
        <v>526</v>
      </c>
      <c r="B3" s="116"/>
      <c r="C3" s="116"/>
      <c r="D3" s="116"/>
      <c r="E3" s="116"/>
      <c r="F3" s="116"/>
      <c r="G3" s="116"/>
      <c r="H3" s="116" t="s">
        <v>527</v>
      </c>
      <c r="J3" s="67"/>
    </row>
    <row r="4" spans="1:11" s="11" customFormat="1" ht="30" x14ac:dyDescent="0.2">
      <c r="A4" s="12" t="s">
        <v>2</v>
      </c>
      <c r="B4" s="12" t="s">
        <v>3</v>
      </c>
      <c r="C4" s="12" t="s">
        <v>4</v>
      </c>
      <c r="D4" s="12" t="s">
        <v>5</v>
      </c>
      <c r="E4" s="12" t="s">
        <v>6</v>
      </c>
      <c r="F4" s="12" t="s">
        <v>7</v>
      </c>
      <c r="G4" s="12" t="s">
        <v>8</v>
      </c>
      <c r="H4" s="13" t="s">
        <v>527</v>
      </c>
      <c r="J4" s="67"/>
    </row>
    <row r="5" spans="1:11" x14ac:dyDescent="0.2">
      <c r="A5" s="14"/>
      <c r="B5" s="14"/>
      <c r="C5" s="15" t="s">
        <v>9</v>
      </c>
      <c r="D5" s="14"/>
      <c r="E5" s="14"/>
      <c r="F5" s="14"/>
      <c r="G5" s="14"/>
      <c r="H5" s="16" t="s">
        <v>12</v>
      </c>
      <c r="J5" s="67"/>
    </row>
    <row r="6" spans="1:11" x14ac:dyDescent="0.2">
      <c r="A6" s="14"/>
      <c r="B6" s="14"/>
      <c r="C6" s="15" t="s">
        <v>10</v>
      </c>
      <c r="D6" s="14"/>
      <c r="E6" s="14"/>
      <c r="F6" s="14"/>
      <c r="G6" s="14"/>
      <c r="H6" s="16" t="s">
        <v>12</v>
      </c>
      <c r="J6" s="67"/>
    </row>
    <row r="7" spans="1:11" x14ac:dyDescent="0.2">
      <c r="A7" s="14"/>
      <c r="B7" s="14"/>
      <c r="C7" s="15" t="s">
        <v>11</v>
      </c>
      <c r="D7" s="14"/>
      <c r="E7" s="14" t="s">
        <v>12</v>
      </c>
      <c r="F7" s="17" t="s">
        <v>13</v>
      </c>
      <c r="G7" s="18">
        <v>0</v>
      </c>
      <c r="H7" s="16" t="s">
        <v>12</v>
      </c>
      <c r="J7" s="67"/>
    </row>
    <row r="8" spans="1:11" x14ac:dyDescent="0.2">
      <c r="A8" s="14"/>
      <c r="B8" s="14"/>
      <c r="C8" s="19"/>
      <c r="D8" s="14"/>
      <c r="E8" s="14"/>
      <c r="F8" s="20"/>
      <c r="G8" s="20"/>
      <c r="H8" s="16" t="s">
        <v>12</v>
      </c>
      <c r="J8" s="67"/>
    </row>
    <row r="9" spans="1:11" x14ac:dyDescent="0.2">
      <c r="A9" s="14"/>
      <c r="B9" s="14"/>
      <c r="C9" s="15" t="s">
        <v>14</v>
      </c>
      <c r="D9" s="14"/>
      <c r="E9" s="14"/>
      <c r="F9" s="14"/>
      <c r="G9" s="14"/>
      <c r="H9" s="16" t="s">
        <v>12</v>
      </c>
      <c r="J9" s="67"/>
    </row>
    <row r="10" spans="1:11" x14ac:dyDescent="0.2">
      <c r="A10" s="14"/>
      <c r="B10" s="14"/>
      <c r="C10" s="15" t="s">
        <v>11</v>
      </c>
      <c r="D10" s="14"/>
      <c r="E10" s="14" t="s">
        <v>12</v>
      </c>
      <c r="F10" s="17" t="s">
        <v>13</v>
      </c>
      <c r="G10" s="18">
        <v>0</v>
      </c>
      <c r="H10" s="16" t="s">
        <v>12</v>
      </c>
      <c r="J10" s="67"/>
    </row>
    <row r="11" spans="1:11" x14ac:dyDescent="0.2">
      <c r="A11" s="14"/>
      <c r="B11" s="14"/>
      <c r="C11" s="19"/>
      <c r="D11" s="14"/>
      <c r="E11" s="14"/>
      <c r="F11" s="20"/>
      <c r="G11" s="20"/>
      <c r="H11" s="16" t="s">
        <v>12</v>
      </c>
      <c r="J11" s="67"/>
    </row>
    <row r="12" spans="1:11" ht="15" x14ac:dyDescent="0.2">
      <c r="A12" s="14"/>
      <c r="B12" s="14"/>
      <c r="C12" s="15" t="s">
        <v>15</v>
      </c>
      <c r="D12" s="14"/>
      <c r="E12" s="14"/>
      <c r="F12" s="14"/>
      <c r="G12" s="14"/>
      <c r="H12" s="16" t="s">
        <v>12</v>
      </c>
      <c r="J12" s="69"/>
    </row>
    <row r="13" spans="1:11" x14ac:dyDescent="0.2">
      <c r="A13" s="14"/>
      <c r="B13" s="14"/>
      <c r="C13" s="15" t="s">
        <v>11</v>
      </c>
      <c r="D13" s="14"/>
      <c r="E13" s="14" t="s">
        <v>12</v>
      </c>
      <c r="F13" s="17" t="s">
        <v>13</v>
      </c>
      <c r="G13" s="18">
        <v>0</v>
      </c>
      <c r="H13" s="16" t="s">
        <v>12</v>
      </c>
      <c r="J13" s="70"/>
    </row>
    <row r="14" spans="1:11" ht="25.5" x14ac:dyDescent="0.2">
      <c r="A14" s="14"/>
      <c r="B14" s="14"/>
      <c r="C14" s="19"/>
      <c r="D14" s="14"/>
      <c r="E14" s="14"/>
      <c r="F14" s="20"/>
      <c r="G14" s="20"/>
      <c r="H14" s="16" t="s">
        <v>12</v>
      </c>
      <c r="J14" s="70" t="s">
        <v>611</v>
      </c>
    </row>
    <row r="15" spans="1:11" x14ac:dyDescent="0.2">
      <c r="A15" s="14"/>
      <c r="B15" s="14"/>
      <c r="C15" s="15" t="s">
        <v>16</v>
      </c>
      <c r="D15" s="14"/>
      <c r="E15" s="14"/>
      <c r="F15" s="14"/>
      <c r="G15" s="14"/>
      <c r="H15" s="16" t="s">
        <v>12</v>
      </c>
      <c r="J15" s="70"/>
    </row>
    <row r="16" spans="1:11" x14ac:dyDescent="0.2">
      <c r="A16" s="14"/>
      <c r="B16" s="14"/>
      <c r="C16" s="15" t="s">
        <v>11</v>
      </c>
      <c r="D16" s="14"/>
      <c r="E16" s="14" t="s">
        <v>12</v>
      </c>
      <c r="F16" s="17" t="s">
        <v>13</v>
      </c>
      <c r="G16" s="18">
        <v>0</v>
      </c>
      <c r="H16" s="16" t="s">
        <v>12</v>
      </c>
      <c r="J16" s="67"/>
    </row>
    <row r="17" spans="1:10" x14ac:dyDescent="0.2">
      <c r="A17" s="14"/>
      <c r="B17" s="14"/>
      <c r="C17" s="19"/>
      <c r="D17" s="14"/>
      <c r="E17" s="14"/>
      <c r="F17" s="20"/>
      <c r="G17" s="20"/>
      <c r="H17" s="16" t="s">
        <v>12</v>
      </c>
      <c r="J17" s="67"/>
    </row>
    <row r="18" spans="1:10" x14ac:dyDescent="0.2">
      <c r="A18" s="14"/>
      <c r="B18" s="14"/>
      <c r="C18" s="15" t="s">
        <v>17</v>
      </c>
      <c r="D18" s="14"/>
      <c r="E18" s="14"/>
      <c r="F18" s="20"/>
      <c r="G18" s="20"/>
      <c r="H18" s="16" t="s">
        <v>12</v>
      </c>
      <c r="J18" s="67"/>
    </row>
    <row r="19" spans="1:10" x14ac:dyDescent="0.2">
      <c r="A19" s="14"/>
      <c r="B19" s="14"/>
      <c r="C19" s="15" t="s">
        <v>11</v>
      </c>
      <c r="D19" s="14"/>
      <c r="E19" s="14" t="s">
        <v>12</v>
      </c>
      <c r="F19" s="17" t="s">
        <v>13</v>
      </c>
      <c r="G19" s="18">
        <v>0</v>
      </c>
      <c r="H19" s="16" t="s">
        <v>12</v>
      </c>
      <c r="J19" s="67"/>
    </row>
    <row r="20" spans="1:10" x14ac:dyDescent="0.2">
      <c r="A20" s="14"/>
      <c r="B20" s="14"/>
      <c r="C20" s="19"/>
      <c r="D20" s="14"/>
      <c r="E20" s="14"/>
      <c r="F20" s="20"/>
      <c r="G20" s="20"/>
      <c r="H20" s="16" t="s">
        <v>12</v>
      </c>
      <c r="J20" s="67"/>
    </row>
    <row r="21" spans="1:10" x14ac:dyDescent="0.2">
      <c r="A21" s="14"/>
      <c r="B21" s="14"/>
      <c r="C21" s="15" t="s">
        <v>18</v>
      </c>
      <c r="D21" s="14"/>
      <c r="E21" s="14"/>
      <c r="F21" s="20"/>
      <c r="G21" s="20"/>
      <c r="H21" s="16" t="s">
        <v>12</v>
      </c>
      <c r="J21" s="67"/>
    </row>
    <row r="22" spans="1:10" ht="15" x14ac:dyDescent="0.2">
      <c r="A22" s="14"/>
      <c r="B22" s="14"/>
      <c r="C22" s="15" t="s">
        <v>11</v>
      </c>
      <c r="D22" s="14"/>
      <c r="E22" s="14" t="s">
        <v>12</v>
      </c>
      <c r="F22" s="17" t="s">
        <v>13</v>
      </c>
      <c r="G22" s="18">
        <v>0</v>
      </c>
      <c r="H22" s="16" t="s">
        <v>12</v>
      </c>
      <c r="J22" s="69"/>
    </row>
    <row r="23" spans="1:10" x14ac:dyDescent="0.2">
      <c r="A23" s="14"/>
      <c r="B23" s="14"/>
      <c r="C23" s="19"/>
      <c r="D23" s="14"/>
      <c r="E23" s="14"/>
      <c r="F23" s="20"/>
      <c r="G23" s="20"/>
      <c r="H23" s="16" t="s">
        <v>12</v>
      </c>
      <c r="J23" s="70"/>
    </row>
    <row r="24" spans="1:10" x14ac:dyDescent="0.2">
      <c r="A24" s="14"/>
      <c r="B24" s="14"/>
      <c r="C24" s="15" t="s">
        <v>19</v>
      </c>
      <c r="D24" s="14"/>
      <c r="E24" s="14"/>
      <c r="F24" s="21">
        <v>0</v>
      </c>
      <c r="G24" s="18">
        <v>0</v>
      </c>
      <c r="H24" s="16" t="s">
        <v>12</v>
      </c>
      <c r="J24" s="67"/>
    </row>
    <row r="25" spans="1:10" x14ac:dyDescent="0.2">
      <c r="A25" s="14"/>
      <c r="B25" s="14"/>
      <c r="C25" s="19"/>
      <c r="D25" s="14"/>
      <c r="E25" s="14"/>
      <c r="F25" s="20"/>
      <c r="G25" s="20"/>
      <c r="H25" s="16" t="s">
        <v>12</v>
      </c>
      <c r="J25" s="67"/>
    </row>
    <row r="26" spans="1:10" x14ac:dyDescent="0.2">
      <c r="A26" s="14"/>
      <c r="B26" s="14"/>
      <c r="C26" s="15" t="s">
        <v>20</v>
      </c>
      <c r="D26" s="14"/>
      <c r="E26" s="14"/>
      <c r="F26" s="20"/>
      <c r="G26" s="20"/>
      <c r="H26" s="16" t="s">
        <v>12</v>
      </c>
      <c r="J26" s="67"/>
    </row>
    <row r="27" spans="1:10" ht="25.5" x14ac:dyDescent="0.2">
      <c r="A27" s="14"/>
      <c r="B27" s="14"/>
      <c r="C27" s="15" t="s">
        <v>10</v>
      </c>
      <c r="D27" s="14"/>
      <c r="E27" s="14"/>
      <c r="F27" s="20"/>
      <c r="G27" s="20"/>
      <c r="H27" s="16" t="s">
        <v>12</v>
      </c>
      <c r="J27" s="70" t="s">
        <v>612</v>
      </c>
    </row>
    <row r="28" spans="1:10" ht="25.5" x14ac:dyDescent="0.2">
      <c r="A28" s="22">
        <v>1</v>
      </c>
      <c r="B28" s="23" t="s">
        <v>373</v>
      </c>
      <c r="C28" s="23" t="s">
        <v>374</v>
      </c>
      <c r="D28" s="23" t="s">
        <v>23</v>
      </c>
      <c r="E28" s="24">
        <v>1000</v>
      </c>
      <c r="F28" s="25">
        <v>1008.504</v>
      </c>
      <c r="G28" s="26">
        <v>5.5300170000000003E-2</v>
      </c>
      <c r="H28" s="16">
        <v>7.4737999999999998</v>
      </c>
      <c r="J28" s="70"/>
    </row>
    <row r="29" spans="1:10" ht="25.5" x14ac:dyDescent="0.2">
      <c r="A29" s="22">
        <v>2</v>
      </c>
      <c r="B29" s="23" t="s">
        <v>33</v>
      </c>
      <c r="C29" s="23" t="s">
        <v>34</v>
      </c>
      <c r="D29" s="23" t="s">
        <v>23</v>
      </c>
      <c r="E29" s="24">
        <v>1000</v>
      </c>
      <c r="F29" s="25">
        <v>1004.397</v>
      </c>
      <c r="G29" s="26">
        <v>5.5074970000000001E-2</v>
      </c>
      <c r="H29" s="16">
        <v>7.49</v>
      </c>
      <c r="J29" s="70"/>
    </row>
    <row r="30" spans="1:10" ht="25.5" x14ac:dyDescent="0.2">
      <c r="A30" s="22">
        <v>3</v>
      </c>
      <c r="B30" s="23" t="s">
        <v>135</v>
      </c>
      <c r="C30" s="23" t="s">
        <v>136</v>
      </c>
      <c r="D30" s="23" t="s">
        <v>32</v>
      </c>
      <c r="E30" s="24">
        <v>100</v>
      </c>
      <c r="F30" s="25">
        <v>995.55499999999995</v>
      </c>
      <c r="G30" s="26">
        <v>5.4590130000000001E-2</v>
      </c>
      <c r="H30" s="16">
        <v>7.8274999999999997</v>
      </c>
      <c r="J30" s="67"/>
    </row>
    <row r="31" spans="1:10" x14ac:dyDescent="0.2">
      <c r="A31" s="22">
        <v>4</v>
      </c>
      <c r="B31" s="23" t="s">
        <v>193</v>
      </c>
      <c r="C31" s="23" t="s">
        <v>194</v>
      </c>
      <c r="D31" s="23" t="s">
        <v>195</v>
      </c>
      <c r="E31" s="24">
        <v>700</v>
      </c>
      <c r="F31" s="25">
        <v>702.72230000000002</v>
      </c>
      <c r="G31" s="26">
        <v>3.8532980000000001E-2</v>
      </c>
      <c r="H31" s="16">
        <v>8.5</v>
      </c>
      <c r="J31" s="67"/>
    </row>
    <row r="32" spans="1:10" x14ac:dyDescent="0.2">
      <c r="A32" s="22">
        <v>5</v>
      </c>
      <c r="B32" s="23" t="s">
        <v>59</v>
      </c>
      <c r="C32" s="23" t="s">
        <v>60</v>
      </c>
      <c r="D32" s="23" t="s">
        <v>23</v>
      </c>
      <c r="E32" s="24">
        <v>50</v>
      </c>
      <c r="F32" s="25">
        <v>502.68599999999998</v>
      </c>
      <c r="G32" s="26">
        <v>2.7564209999999999E-2</v>
      </c>
      <c r="H32" s="16">
        <v>7.74</v>
      </c>
      <c r="J32" s="67"/>
    </row>
    <row r="33" spans="1:10" x14ac:dyDescent="0.2">
      <c r="A33" s="22">
        <v>6</v>
      </c>
      <c r="B33" s="23" t="s">
        <v>119</v>
      </c>
      <c r="C33" s="23" t="s">
        <v>120</v>
      </c>
      <c r="D33" s="23" t="s">
        <v>23</v>
      </c>
      <c r="E33" s="24">
        <v>500</v>
      </c>
      <c r="F33" s="25">
        <v>501.60849999999999</v>
      </c>
      <c r="G33" s="26">
        <v>2.7505129999999999E-2</v>
      </c>
      <c r="H33" s="16">
        <v>7.45</v>
      </c>
      <c r="J33" s="67"/>
    </row>
    <row r="34" spans="1:10" x14ac:dyDescent="0.2">
      <c r="A34" s="22">
        <v>7</v>
      </c>
      <c r="B34" s="23" t="s">
        <v>190</v>
      </c>
      <c r="C34" s="23" t="s">
        <v>191</v>
      </c>
      <c r="D34" s="23" t="s">
        <v>192</v>
      </c>
      <c r="E34" s="24">
        <v>500</v>
      </c>
      <c r="F34" s="25">
        <v>500.2165</v>
      </c>
      <c r="G34" s="26">
        <v>2.74288E-2</v>
      </c>
      <c r="H34" s="16">
        <v>7.5650000000000004</v>
      </c>
      <c r="J34" s="67"/>
    </row>
    <row r="35" spans="1:10" ht="25.5" x14ac:dyDescent="0.2">
      <c r="A35" s="22">
        <v>8</v>
      </c>
      <c r="B35" s="23" t="s">
        <v>61</v>
      </c>
      <c r="C35" s="23" t="s">
        <v>62</v>
      </c>
      <c r="D35" s="23" t="s">
        <v>23</v>
      </c>
      <c r="E35" s="24">
        <v>500</v>
      </c>
      <c r="F35" s="25">
        <v>499.36</v>
      </c>
      <c r="G35" s="26">
        <v>2.7381840000000001E-2</v>
      </c>
      <c r="H35" s="16">
        <v>8.1850000000000005</v>
      </c>
      <c r="J35" s="67"/>
    </row>
    <row r="36" spans="1:10" x14ac:dyDescent="0.2">
      <c r="A36" s="22">
        <v>9</v>
      </c>
      <c r="B36" s="23" t="s">
        <v>375</v>
      </c>
      <c r="C36" s="23" t="s">
        <v>376</v>
      </c>
      <c r="D36" s="23" t="s">
        <v>23</v>
      </c>
      <c r="E36" s="24">
        <v>500</v>
      </c>
      <c r="F36" s="25">
        <v>499.16</v>
      </c>
      <c r="G36" s="26">
        <v>2.7370869999999999E-2</v>
      </c>
      <c r="H36" s="16">
        <v>7.5949999999999998</v>
      </c>
      <c r="J36" s="67"/>
    </row>
    <row r="37" spans="1:10" ht="25.5" x14ac:dyDescent="0.2">
      <c r="A37" s="22">
        <v>10</v>
      </c>
      <c r="B37" s="23" t="s">
        <v>377</v>
      </c>
      <c r="C37" s="23" t="s">
        <v>378</v>
      </c>
      <c r="D37" s="23" t="s">
        <v>23</v>
      </c>
      <c r="E37" s="24">
        <v>50</v>
      </c>
      <c r="F37" s="25">
        <v>496.11750000000001</v>
      </c>
      <c r="G37" s="26">
        <v>2.7204039999999999E-2</v>
      </c>
      <c r="H37" s="16">
        <v>7.6013999999999999</v>
      </c>
      <c r="J37" s="67"/>
    </row>
    <row r="38" spans="1:10" x14ac:dyDescent="0.2">
      <c r="A38" s="22">
        <v>11</v>
      </c>
      <c r="B38" s="23" t="s">
        <v>379</v>
      </c>
      <c r="C38" s="23" t="s">
        <v>380</v>
      </c>
      <c r="D38" s="23" t="s">
        <v>23</v>
      </c>
      <c r="E38" s="24">
        <v>50</v>
      </c>
      <c r="F38" s="25">
        <v>484.94549999999998</v>
      </c>
      <c r="G38" s="26">
        <v>2.6591429999999999E-2</v>
      </c>
      <c r="H38" s="16">
        <v>7.85</v>
      </c>
      <c r="J38" s="67"/>
    </row>
    <row r="39" spans="1:10" x14ac:dyDescent="0.2">
      <c r="A39" s="22">
        <v>12</v>
      </c>
      <c r="B39" s="23" t="s">
        <v>196</v>
      </c>
      <c r="C39" s="23" t="s">
        <v>197</v>
      </c>
      <c r="D39" s="23" t="s">
        <v>198</v>
      </c>
      <c r="E39" s="24">
        <v>300</v>
      </c>
      <c r="F39" s="25">
        <v>301.17450000000002</v>
      </c>
      <c r="G39" s="26">
        <v>1.6514560000000001E-2</v>
      </c>
      <c r="H39" s="16">
        <v>8.1793999999999993</v>
      </c>
      <c r="J39" s="67"/>
    </row>
    <row r="40" spans="1:10" x14ac:dyDescent="0.2">
      <c r="A40" s="14"/>
      <c r="B40" s="14"/>
      <c r="C40" s="15" t="s">
        <v>11</v>
      </c>
      <c r="D40" s="14"/>
      <c r="E40" s="14" t="s">
        <v>12</v>
      </c>
      <c r="F40" s="21">
        <v>7496.4467999999997</v>
      </c>
      <c r="G40" s="18">
        <v>0.41105912999999999</v>
      </c>
      <c r="H40" s="16" t="s">
        <v>12</v>
      </c>
      <c r="J40" s="67"/>
    </row>
    <row r="41" spans="1:10" x14ac:dyDescent="0.2">
      <c r="A41" s="14"/>
      <c r="B41" s="14"/>
      <c r="C41" s="19"/>
      <c r="D41" s="14"/>
      <c r="E41" s="14"/>
      <c r="F41" s="20"/>
      <c r="G41" s="20"/>
      <c r="H41" s="16" t="s">
        <v>12</v>
      </c>
      <c r="J41" s="67"/>
    </row>
    <row r="42" spans="1:10" x14ac:dyDescent="0.2">
      <c r="A42" s="14"/>
      <c r="B42" s="14"/>
      <c r="C42" s="15" t="s">
        <v>67</v>
      </c>
      <c r="D42" s="14"/>
      <c r="E42" s="14"/>
      <c r="F42" s="14"/>
      <c r="G42" s="14"/>
      <c r="H42" s="16" t="s">
        <v>12</v>
      </c>
      <c r="J42" s="67"/>
    </row>
    <row r="43" spans="1:10" x14ac:dyDescent="0.2">
      <c r="A43" s="14"/>
      <c r="B43" s="14"/>
      <c r="C43" s="15" t="s">
        <v>11</v>
      </c>
      <c r="D43" s="14"/>
      <c r="E43" s="14" t="s">
        <v>12</v>
      </c>
      <c r="F43" s="17" t="s">
        <v>13</v>
      </c>
      <c r="G43" s="18">
        <v>0</v>
      </c>
      <c r="H43" s="16" t="s">
        <v>12</v>
      </c>
      <c r="J43" s="67"/>
    </row>
    <row r="44" spans="1:10" x14ac:dyDescent="0.2">
      <c r="A44" s="14"/>
      <c r="B44" s="14"/>
      <c r="C44" s="19"/>
      <c r="D44" s="14"/>
      <c r="E44" s="14"/>
      <c r="F44" s="20"/>
      <c r="G44" s="20"/>
      <c r="H44" s="16" t="s">
        <v>12</v>
      </c>
      <c r="J44" s="67"/>
    </row>
    <row r="45" spans="1:10" x14ac:dyDescent="0.2">
      <c r="A45" s="14"/>
      <c r="B45" s="14"/>
      <c r="C45" s="15" t="s">
        <v>68</v>
      </c>
      <c r="D45" s="14"/>
      <c r="E45" s="14"/>
      <c r="F45" s="14"/>
      <c r="G45" s="14"/>
      <c r="H45" s="16" t="s">
        <v>12</v>
      </c>
      <c r="J45" s="67"/>
    </row>
    <row r="46" spans="1:10" x14ac:dyDescent="0.2">
      <c r="A46" s="22">
        <v>1</v>
      </c>
      <c r="B46" s="23" t="s">
        <v>69</v>
      </c>
      <c r="C46" s="23" t="s">
        <v>70</v>
      </c>
      <c r="D46" s="23" t="s">
        <v>71</v>
      </c>
      <c r="E46" s="24">
        <v>2900000</v>
      </c>
      <c r="F46" s="25">
        <v>2954.636</v>
      </c>
      <c r="G46" s="26">
        <v>0.16201409999999999</v>
      </c>
      <c r="H46" s="16">
        <v>7.0125000000000002</v>
      </c>
      <c r="J46" s="67"/>
    </row>
    <row r="47" spans="1:10" x14ac:dyDescent="0.2">
      <c r="A47" s="22">
        <v>2</v>
      </c>
      <c r="B47" s="23" t="s">
        <v>76</v>
      </c>
      <c r="C47" s="23" t="s">
        <v>77</v>
      </c>
      <c r="D47" s="23" t="s">
        <v>71</v>
      </c>
      <c r="E47" s="24">
        <v>1500000</v>
      </c>
      <c r="F47" s="25">
        <v>1531.2075</v>
      </c>
      <c r="G47" s="26">
        <v>8.3962019999999998E-2</v>
      </c>
      <c r="H47" s="16">
        <v>6.8971999999999998</v>
      </c>
      <c r="J47" s="67"/>
    </row>
    <row r="48" spans="1:10" ht="25.5" x14ac:dyDescent="0.2">
      <c r="A48" s="22">
        <v>3</v>
      </c>
      <c r="B48" s="23" t="s">
        <v>219</v>
      </c>
      <c r="C48" s="23" t="s">
        <v>220</v>
      </c>
      <c r="D48" s="23" t="s">
        <v>71</v>
      </c>
      <c r="E48" s="24">
        <v>1000000</v>
      </c>
      <c r="F48" s="25">
        <v>1015.705</v>
      </c>
      <c r="G48" s="26">
        <v>5.569503E-2</v>
      </c>
      <c r="H48" s="16">
        <v>6.8636999999999997</v>
      </c>
      <c r="J48" s="67"/>
    </row>
    <row r="49" spans="1:10" ht="25.5" x14ac:dyDescent="0.2">
      <c r="A49" s="22">
        <v>4</v>
      </c>
      <c r="B49" s="23" t="s">
        <v>78</v>
      </c>
      <c r="C49" s="23" t="s">
        <v>79</v>
      </c>
      <c r="D49" s="23" t="s">
        <v>71</v>
      </c>
      <c r="E49" s="24">
        <v>700000</v>
      </c>
      <c r="F49" s="25">
        <v>711.45479999999998</v>
      </c>
      <c r="G49" s="26">
        <v>3.9011810000000001E-2</v>
      </c>
      <c r="H49" s="16">
        <v>6.9809000000000001</v>
      </c>
      <c r="J49" s="67"/>
    </row>
    <row r="50" spans="1:10" ht="25.5" x14ac:dyDescent="0.2">
      <c r="A50" s="22">
        <v>5</v>
      </c>
      <c r="B50" s="23" t="s">
        <v>381</v>
      </c>
      <c r="C50" s="23" t="s">
        <v>382</v>
      </c>
      <c r="D50" s="23" t="s">
        <v>71</v>
      </c>
      <c r="E50" s="24">
        <v>500000</v>
      </c>
      <c r="F50" s="25">
        <v>507.70949999999999</v>
      </c>
      <c r="G50" s="26">
        <v>2.783967E-2</v>
      </c>
      <c r="H50" s="16">
        <v>7.3430999999999997</v>
      </c>
      <c r="J50" s="67"/>
    </row>
    <row r="51" spans="1:10" ht="25.5" x14ac:dyDescent="0.2">
      <c r="A51" s="22">
        <v>6</v>
      </c>
      <c r="B51" s="23" t="s">
        <v>383</v>
      </c>
      <c r="C51" s="23" t="s">
        <v>560</v>
      </c>
      <c r="D51" s="23" t="s">
        <v>71</v>
      </c>
      <c r="E51" s="24">
        <v>500000</v>
      </c>
      <c r="F51" s="25">
        <v>503.00650000000002</v>
      </c>
      <c r="G51" s="26">
        <v>2.7581789999999998E-2</v>
      </c>
      <c r="H51" s="16">
        <v>7.440703281395125</v>
      </c>
      <c r="J51" s="67"/>
    </row>
    <row r="52" spans="1:10" x14ac:dyDescent="0.2">
      <c r="A52" s="14"/>
      <c r="B52" s="14"/>
      <c r="C52" s="15" t="s">
        <v>11</v>
      </c>
      <c r="D52" s="14"/>
      <c r="E52" s="14" t="s">
        <v>12</v>
      </c>
      <c r="F52" s="21">
        <v>7223.7192999999997</v>
      </c>
      <c r="G52" s="18">
        <v>0.39610442000000001</v>
      </c>
      <c r="H52" s="16" t="s">
        <v>12</v>
      </c>
      <c r="J52" s="67"/>
    </row>
    <row r="53" spans="1:10" x14ac:dyDescent="0.2">
      <c r="A53" s="14"/>
      <c r="B53" s="14"/>
      <c r="C53" s="19"/>
      <c r="D53" s="14"/>
      <c r="E53" s="14"/>
      <c r="F53" s="20"/>
      <c r="G53" s="20"/>
      <c r="H53" s="16" t="s">
        <v>12</v>
      </c>
      <c r="J53" s="67"/>
    </row>
    <row r="54" spans="1:10" x14ac:dyDescent="0.2">
      <c r="A54" s="14"/>
      <c r="B54" s="14"/>
      <c r="C54" s="15" t="s">
        <v>82</v>
      </c>
      <c r="D54" s="14"/>
      <c r="E54" s="14"/>
      <c r="F54" s="20"/>
      <c r="G54" s="20"/>
      <c r="H54" s="16" t="s">
        <v>12</v>
      </c>
      <c r="J54" s="67"/>
    </row>
    <row r="55" spans="1:10" x14ac:dyDescent="0.2">
      <c r="A55" s="14"/>
      <c r="B55" s="14"/>
      <c r="C55" s="15" t="s">
        <v>11</v>
      </c>
      <c r="D55" s="14"/>
      <c r="E55" s="14" t="s">
        <v>12</v>
      </c>
      <c r="F55" s="17" t="s">
        <v>13</v>
      </c>
      <c r="G55" s="18">
        <v>0</v>
      </c>
      <c r="H55" s="16" t="s">
        <v>12</v>
      </c>
      <c r="J55" s="67"/>
    </row>
    <row r="56" spans="1:10" x14ac:dyDescent="0.2">
      <c r="A56" s="14"/>
      <c r="B56" s="14"/>
      <c r="C56" s="19"/>
      <c r="D56" s="14"/>
      <c r="E56" s="14"/>
      <c r="F56" s="20"/>
      <c r="G56" s="20"/>
      <c r="H56" s="16" t="s">
        <v>12</v>
      </c>
      <c r="J56" s="67"/>
    </row>
    <row r="57" spans="1:10" x14ac:dyDescent="0.2">
      <c r="A57" s="14"/>
      <c r="B57" s="14"/>
      <c r="C57" s="15" t="s">
        <v>83</v>
      </c>
      <c r="D57" s="14"/>
      <c r="E57" s="14"/>
      <c r="F57" s="21">
        <v>14720.1661</v>
      </c>
      <c r="G57" s="18">
        <v>0.80716354999999995</v>
      </c>
      <c r="H57" s="16" t="s">
        <v>12</v>
      </c>
      <c r="J57" s="67"/>
    </row>
    <row r="58" spans="1:10" x14ac:dyDescent="0.2">
      <c r="A58" s="14"/>
      <c r="B58" s="14"/>
      <c r="C58" s="19"/>
      <c r="D58" s="14"/>
      <c r="E58" s="14"/>
      <c r="F58" s="20"/>
      <c r="G58" s="20"/>
      <c r="H58" s="16" t="s">
        <v>12</v>
      </c>
      <c r="J58" s="67"/>
    </row>
    <row r="59" spans="1:10" x14ac:dyDescent="0.2">
      <c r="A59" s="14"/>
      <c r="B59" s="14"/>
      <c r="C59" s="15" t="s">
        <v>84</v>
      </c>
      <c r="D59" s="14"/>
      <c r="E59" s="14"/>
      <c r="F59" s="20"/>
      <c r="G59" s="20"/>
      <c r="H59" s="16" t="s">
        <v>12</v>
      </c>
      <c r="J59" s="67"/>
    </row>
    <row r="60" spans="1:10" x14ac:dyDescent="0.2">
      <c r="A60" s="14"/>
      <c r="B60" s="14"/>
      <c r="C60" s="15" t="s">
        <v>85</v>
      </c>
      <c r="D60" s="14"/>
      <c r="E60" s="14"/>
      <c r="F60" s="20"/>
      <c r="G60" s="20"/>
      <c r="H60" s="16" t="s">
        <v>12</v>
      </c>
      <c r="J60" s="67"/>
    </row>
    <row r="61" spans="1:10" x14ac:dyDescent="0.2">
      <c r="A61" s="22">
        <v>1</v>
      </c>
      <c r="B61" s="23" t="s">
        <v>384</v>
      </c>
      <c r="C61" s="23" t="s">
        <v>385</v>
      </c>
      <c r="D61" s="23" t="s">
        <v>144</v>
      </c>
      <c r="E61" s="24">
        <v>100</v>
      </c>
      <c r="F61" s="25">
        <v>490.51749999999998</v>
      </c>
      <c r="G61" s="26">
        <v>2.6896969999999999E-2</v>
      </c>
      <c r="H61" s="16">
        <v>7.35</v>
      </c>
      <c r="J61" s="67"/>
    </row>
    <row r="62" spans="1:10" ht="25.5" x14ac:dyDescent="0.2">
      <c r="A62" s="22">
        <v>2</v>
      </c>
      <c r="B62" s="23" t="s">
        <v>231</v>
      </c>
      <c r="C62" s="23" t="s">
        <v>232</v>
      </c>
      <c r="D62" s="23" t="s">
        <v>144</v>
      </c>
      <c r="E62" s="24">
        <v>100</v>
      </c>
      <c r="F62" s="25">
        <v>486.80900000000003</v>
      </c>
      <c r="G62" s="26">
        <v>2.6693620000000001E-2</v>
      </c>
      <c r="H62" s="16">
        <v>7.5499000000000001</v>
      </c>
      <c r="J62" s="67"/>
    </row>
    <row r="63" spans="1:10" x14ac:dyDescent="0.2">
      <c r="A63" s="22">
        <v>3</v>
      </c>
      <c r="B63" s="23" t="s">
        <v>167</v>
      </c>
      <c r="C63" s="23" t="s">
        <v>168</v>
      </c>
      <c r="D63" s="23" t="s">
        <v>162</v>
      </c>
      <c r="E63" s="24">
        <v>100</v>
      </c>
      <c r="F63" s="25">
        <v>485.03300000000002</v>
      </c>
      <c r="G63" s="26">
        <v>2.6596229999999998E-2</v>
      </c>
      <c r="H63" s="16">
        <v>7.4100999999999999</v>
      </c>
      <c r="J63" s="67"/>
    </row>
    <row r="64" spans="1:10" x14ac:dyDescent="0.2">
      <c r="A64" s="22">
        <v>4</v>
      </c>
      <c r="B64" s="23" t="s">
        <v>171</v>
      </c>
      <c r="C64" s="23" t="s">
        <v>172</v>
      </c>
      <c r="D64" s="23" t="s">
        <v>162</v>
      </c>
      <c r="E64" s="24">
        <v>100</v>
      </c>
      <c r="F64" s="25">
        <v>482.28500000000003</v>
      </c>
      <c r="G64" s="26">
        <v>2.6445550000000002E-2</v>
      </c>
      <c r="H64" s="16">
        <v>7.4901</v>
      </c>
      <c r="J64" s="67"/>
    </row>
    <row r="65" spans="1:10" x14ac:dyDescent="0.2">
      <c r="A65" s="14"/>
      <c r="B65" s="14"/>
      <c r="C65" s="15" t="s">
        <v>11</v>
      </c>
      <c r="D65" s="14"/>
      <c r="E65" s="14" t="s">
        <v>12</v>
      </c>
      <c r="F65" s="21">
        <v>1944.6445000000001</v>
      </c>
      <c r="G65" s="18">
        <v>0.10663237</v>
      </c>
      <c r="H65" s="16" t="s">
        <v>12</v>
      </c>
      <c r="J65" s="67"/>
    </row>
    <row r="66" spans="1:10" x14ac:dyDescent="0.2">
      <c r="A66" s="14"/>
      <c r="B66" s="14"/>
      <c r="C66" s="19"/>
      <c r="D66" s="14"/>
      <c r="E66" s="14"/>
      <c r="F66" s="20"/>
      <c r="G66" s="20"/>
      <c r="H66" s="16" t="s">
        <v>12</v>
      </c>
      <c r="J66" s="67"/>
    </row>
    <row r="67" spans="1:10" x14ac:dyDescent="0.2">
      <c r="A67" s="14"/>
      <c r="B67" s="14"/>
      <c r="C67" s="15" t="s">
        <v>86</v>
      </c>
      <c r="D67" s="14"/>
      <c r="E67" s="14"/>
      <c r="F67" s="20"/>
      <c r="G67" s="20"/>
      <c r="H67" s="16" t="s">
        <v>12</v>
      </c>
      <c r="J67" s="67"/>
    </row>
    <row r="68" spans="1:10" x14ac:dyDescent="0.2">
      <c r="A68" s="14"/>
      <c r="B68" s="14"/>
      <c r="C68" s="15" t="s">
        <v>11</v>
      </c>
      <c r="D68" s="14"/>
      <c r="E68" s="14" t="s">
        <v>12</v>
      </c>
      <c r="F68" s="17" t="s">
        <v>13</v>
      </c>
      <c r="G68" s="18">
        <v>0</v>
      </c>
      <c r="H68" s="16" t="s">
        <v>12</v>
      </c>
      <c r="J68" s="67"/>
    </row>
    <row r="69" spans="1:10" x14ac:dyDescent="0.2">
      <c r="A69" s="14"/>
      <c r="B69" s="14"/>
      <c r="C69" s="19"/>
      <c r="D69" s="14"/>
      <c r="E69" s="14"/>
      <c r="F69" s="20"/>
      <c r="G69" s="20"/>
      <c r="H69" s="16" t="s">
        <v>12</v>
      </c>
      <c r="J69" s="67"/>
    </row>
    <row r="70" spans="1:10" x14ac:dyDescent="0.2">
      <c r="A70" s="14"/>
      <c r="B70" s="14"/>
      <c r="C70" s="15" t="s">
        <v>87</v>
      </c>
      <c r="D70" s="14"/>
      <c r="E70" s="14"/>
      <c r="F70" s="20"/>
      <c r="G70" s="20"/>
      <c r="H70" s="16" t="s">
        <v>12</v>
      </c>
      <c r="J70" s="67"/>
    </row>
    <row r="71" spans="1:10" x14ac:dyDescent="0.2">
      <c r="A71" s="14"/>
      <c r="B71" s="14"/>
      <c r="C71" s="15" t="s">
        <v>11</v>
      </c>
      <c r="D71" s="14"/>
      <c r="E71" s="14" t="s">
        <v>12</v>
      </c>
      <c r="F71" s="17" t="s">
        <v>13</v>
      </c>
      <c r="G71" s="18">
        <v>0</v>
      </c>
      <c r="H71" s="16" t="s">
        <v>12</v>
      </c>
      <c r="J71" s="67"/>
    </row>
    <row r="72" spans="1:10" x14ac:dyDescent="0.2">
      <c r="A72" s="14"/>
      <c r="B72" s="14"/>
      <c r="C72" s="19"/>
      <c r="D72" s="14"/>
      <c r="E72" s="14"/>
      <c r="F72" s="20"/>
      <c r="G72" s="20"/>
      <c r="H72" s="16" t="s">
        <v>12</v>
      </c>
      <c r="J72" s="67"/>
    </row>
    <row r="73" spans="1:10" x14ac:dyDescent="0.2">
      <c r="A73" s="14"/>
      <c r="B73" s="14"/>
      <c r="C73" s="15" t="s">
        <v>88</v>
      </c>
      <c r="D73" s="14"/>
      <c r="E73" s="14"/>
      <c r="F73" s="20"/>
      <c r="G73" s="20"/>
      <c r="H73" s="16" t="s">
        <v>12</v>
      </c>
      <c r="J73" s="67"/>
    </row>
    <row r="74" spans="1:10" x14ac:dyDescent="0.2">
      <c r="A74" s="22">
        <v>1</v>
      </c>
      <c r="B74" s="23"/>
      <c r="C74" s="23" t="s">
        <v>89</v>
      </c>
      <c r="D74" s="23"/>
      <c r="E74" s="27"/>
      <c r="F74" s="25">
        <v>1140.2667376970001</v>
      </c>
      <c r="G74" s="26">
        <v>6.2525230000000001E-2</v>
      </c>
      <c r="H74" s="16">
        <v>6.62</v>
      </c>
      <c r="J74" s="67"/>
    </row>
    <row r="75" spans="1:10" x14ac:dyDescent="0.2">
      <c r="A75" s="14"/>
      <c r="B75" s="14"/>
      <c r="C75" s="15" t="s">
        <v>11</v>
      </c>
      <c r="D75" s="14"/>
      <c r="E75" s="14" t="s">
        <v>12</v>
      </c>
      <c r="F75" s="21">
        <v>1140.2667376970001</v>
      </c>
      <c r="G75" s="18">
        <v>6.2525230000000001E-2</v>
      </c>
      <c r="H75" s="16" t="s">
        <v>12</v>
      </c>
      <c r="J75" s="67"/>
    </row>
    <row r="76" spans="1:10" x14ac:dyDescent="0.2">
      <c r="A76" s="14"/>
      <c r="B76" s="14"/>
      <c r="C76" s="19"/>
      <c r="D76" s="14"/>
      <c r="E76" s="14"/>
      <c r="F76" s="20"/>
      <c r="G76" s="20"/>
      <c r="H76" s="16" t="s">
        <v>12</v>
      </c>
      <c r="J76" s="67"/>
    </row>
    <row r="77" spans="1:10" x14ac:dyDescent="0.2">
      <c r="A77" s="14"/>
      <c r="B77" s="14"/>
      <c r="C77" s="15" t="s">
        <v>90</v>
      </c>
      <c r="D77" s="14"/>
      <c r="E77" s="14"/>
      <c r="F77" s="21">
        <v>3084.9112376970002</v>
      </c>
      <c r="G77" s="18">
        <v>0.16915759999999999</v>
      </c>
      <c r="H77" s="16" t="s">
        <v>12</v>
      </c>
      <c r="J77" s="67"/>
    </row>
    <row r="78" spans="1:10" x14ac:dyDescent="0.2">
      <c r="A78" s="14"/>
      <c r="B78" s="14"/>
      <c r="C78" s="20"/>
      <c r="D78" s="14"/>
      <c r="E78" s="14"/>
      <c r="F78" s="14"/>
      <c r="G78" s="14"/>
      <c r="H78" s="16" t="s">
        <v>12</v>
      </c>
      <c r="J78" s="67"/>
    </row>
    <row r="79" spans="1:10" x14ac:dyDescent="0.2">
      <c r="A79" s="14"/>
      <c r="B79" s="14"/>
      <c r="C79" s="15" t="s">
        <v>91</v>
      </c>
      <c r="D79" s="14"/>
      <c r="E79" s="14"/>
      <c r="F79" s="14"/>
      <c r="G79" s="14"/>
      <c r="H79" s="16" t="s">
        <v>12</v>
      </c>
      <c r="J79" s="67"/>
    </row>
    <row r="80" spans="1:10" x14ac:dyDescent="0.2">
      <c r="A80" s="14"/>
      <c r="B80" s="14"/>
      <c r="C80" s="15" t="s">
        <v>92</v>
      </c>
      <c r="D80" s="14"/>
      <c r="E80" s="14"/>
      <c r="F80" s="14"/>
      <c r="G80" s="14"/>
      <c r="H80" s="16" t="s">
        <v>12</v>
      </c>
      <c r="J80" s="67"/>
    </row>
    <row r="81" spans="1:18" x14ac:dyDescent="0.2">
      <c r="A81" s="14"/>
      <c r="B81" s="14"/>
      <c r="C81" s="15" t="s">
        <v>11</v>
      </c>
      <c r="D81" s="14"/>
      <c r="E81" s="14" t="s">
        <v>12</v>
      </c>
      <c r="F81" s="17" t="s">
        <v>13</v>
      </c>
      <c r="G81" s="18">
        <v>0</v>
      </c>
      <c r="H81" s="16" t="s">
        <v>12</v>
      </c>
      <c r="J81" s="67"/>
    </row>
    <row r="82" spans="1:18" x14ac:dyDescent="0.2">
      <c r="A82" s="14"/>
      <c r="B82" s="14"/>
      <c r="C82" s="19"/>
      <c r="D82" s="14"/>
      <c r="E82" s="14"/>
      <c r="F82" s="20"/>
      <c r="G82" s="20"/>
      <c r="H82" s="16" t="s">
        <v>12</v>
      </c>
      <c r="J82" s="67"/>
    </row>
    <row r="83" spans="1:18" x14ac:dyDescent="0.2">
      <c r="A83" s="28"/>
      <c r="B83" s="28"/>
      <c r="C83" s="29" t="s">
        <v>536</v>
      </c>
      <c r="D83" s="28"/>
      <c r="E83" s="28"/>
      <c r="F83" s="30"/>
      <c r="G83" s="30"/>
      <c r="H83" s="31"/>
      <c r="J83" s="67"/>
      <c r="L83" s="32"/>
      <c r="M83" s="32"/>
      <c r="N83" s="32"/>
      <c r="O83" s="32"/>
      <c r="P83" s="33"/>
      <c r="Q83" s="33"/>
      <c r="R83" s="33"/>
    </row>
    <row r="84" spans="1:18" ht="25.5" x14ac:dyDescent="0.2">
      <c r="A84" s="22">
        <v>1</v>
      </c>
      <c r="B84" s="23" t="s">
        <v>93</v>
      </c>
      <c r="C84" s="23" t="s">
        <v>94</v>
      </c>
      <c r="D84" s="23"/>
      <c r="E84" s="34">
        <v>511.47399999999999</v>
      </c>
      <c r="F84" s="25">
        <v>53.024618523999997</v>
      </c>
      <c r="G84" s="26">
        <v>2.9075500000000001E-3</v>
      </c>
      <c r="H84" s="16"/>
      <c r="J84" s="67"/>
    </row>
    <row r="85" spans="1:18" x14ac:dyDescent="0.2">
      <c r="A85" s="14"/>
      <c r="B85" s="14"/>
      <c r="C85" s="15" t="s">
        <v>11</v>
      </c>
      <c r="D85" s="14"/>
      <c r="E85" s="14" t="s">
        <v>12</v>
      </c>
      <c r="F85" s="21">
        <v>53.024618523999997</v>
      </c>
      <c r="G85" s="18">
        <v>2.9075500000000001E-3</v>
      </c>
      <c r="H85" s="16" t="s">
        <v>12</v>
      </c>
      <c r="J85" s="67"/>
    </row>
    <row r="86" spans="1:18" x14ac:dyDescent="0.2">
      <c r="A86" s="14"/>
      <c r="B86" s="14"/>
      <c r="C86" s="19"/>
      <c r="D86" s="14"/>
      <c r="E86" s="14"/>
      <c r="F86" s="20"/>
      <c r="G86" s="20"/>
      <c r="H86" s="16" t="s">
        <v>12</v>
      </c>
      <c r="J86" s="67"/>
    </row>
    <row r="87" spans="1:18" x14ac:dyDescent="0.2">
      <c r="A87" s="14"/>
      <c r="B87" s="14"/>
      <c r="C87" s="15" t="s">
        <v>95</v>
      </c>
      <c r="D87" s="14"/>
      <c r="E87" s="14"/>
      <c r="F87" s="14"/>
      <c r="G87" s="14"/>
      <c r="H87" s="16" t="s">
        <v>12</v>
      </c>
      <c r="J87" s="67"/>
    </row>
    <row r="88" spans="1:18" x14ac:dyDescent="0.2">
      <c r="A88" s="14"/>
      <c r="B88" s="14"/>
      <c r="C88" s="15" t="s">
        <v>96</v>
      </c>
      <c r="D88" s="14"/>
      <c r="E88" s="14"/>
      <c r="F88" s="14"/>
      <c r="G88" s="14"/>
      <c r="H88" s="16" t="s">
        <v>12</v>
      </c>
      <c r="J88" s="67"/>
    </row>
    <row r="89" spans="1:18" x14ac:dyDescent="0.2">
      <c r="A89" s="14"/>
      <c r="B89" s="14"/>
      <c r="C89" s="15" t="s">
        <v>11</v>
      </c>
      <c r="D89" s="14"/>
      <c r="E89" s="14" t="s">
        <v>12</v>
      </c>
      <c r="F89" s="17" t="s">
        <v>13</v>
      </c>
      <c r="G89" s="18">
        <v>0</v>
      </c>
      <c r="H89" s="16" t="s">
        <v>12</v>
      </c>
      <c r="J89" s="67"/>
    </row>
    <row r="90" spans="1:18" x14ac:dyDescent="0.2">
      <c r="A90" s="14"/>
      <c r="B90" s="14"/>
      <c r="C90" s="19"/>
      <c r="D90" s="14"/>
      <c r="E90" s="14"/>
      <c r="F90" s="20"/>
      <c r="G90" s="20"/>
      <c r="H90" s="16" t="s">
        <v>12</v>
      </c>
      <c r="J90" s="67"/>
    </row>
    <row r="91" spans="1:18" x14ac:dyDescent="0.2">
      <c r="A91" s="14"/>
      <c r="B91" s="14"/>
      <c r="C91" s="15" t="s">
        <v>97</v>
      </c>
      <c r="D91" s="14"/>
      <c r="E91" s="14"/>
      <c r="F91" s="20"/>
      <c r="G91" s="20"/>
      <c r="H91" s="16" t="s">
        <v>12</v>
      </c>
      <c r="J91" s="67"/>
    </row>
    <row r="92" spans="1:18" x14ac:dyDescent="0.2">
      <c r="A92" s="14"/>
      <c r="B92" s="14"/>
      <c r="C92" s="15" t="s">
        <v>11</v>
      </c>
      <c r="D92" s="14"/>
      <c r="E92" s="14" t="s">
        <v>12</v>
      </c>
      <c r="F92" s="17" t="s">
        <v>13</v>
      </c>
      <c r="G92" s="18">
        <v>0</v>
      </c>
      <c r="H92" s="16" t="s">
        <v>12</v>
      </c>
      <c r="J92" s="67"/>
    </row>
    <row r="93" spans="1:18" x14ac:dyDescent="0.2">
      <c r="A93" s="14"/>
      <c r="B93" s="14"/>
      <c r="C93" s="19"/>
      <c r="D93" s="14"/>
      <c r="E93" s="14"/>
      <c r="F93" s="20"/>
      <c r="G93" s="20"/>
      <c r="H93" s="16" t="s">
        <v>12</v>
      </c>
      <c r="J93" s="67"/>
    </row>
    <row r="94" spans="1:18" x14ac:dyDescent="0.2">
      <c r="A94" s="27"/>
      <c r="B94" s="23"/>
      <c r="C94" s="23" t="s">
        <v>98</v>
      </c>
      <c r="D94" s="23"/>
      <c r="E94" s="27"/>
      <c r="F94" s="25">
        <f>378.80458029+0.0000486890029907227</f>
        <v>378.80462897900298</v>
      </c>
      <c r="G94" s="26">
        <v>2.0771319999999999E-2</v>
      </c>
      <c r="H94" s="16" t="s">
        <v>12</v>
      </c>
      <c r="J94" s="67"/>
    </row>
    <row r="95" spans="1:18" x14ac:dyDescent="0.2">
      <c r="A95" s="19"/>
      <c r="B95" s="19"/>
      <c r="C95" s="15" t="s">
        <v>99</v>
      </c>
      <c r="D95" s="20"/>
      <c r="E95" s="20"/>
      <c r="F95" s="21">
        <f>18236.906536511+0.0000486890029907227</f>
        <v>18236.906585200002</v>
      </c>
      <c r="G95" s="35">
        <v>1.0000000200000001</v>
      </c>
      <c r="H95" s="16" t="s">
        <v>12</v>
      </c>
      <c r="J95" s="67"/>
    </row>
    <row r="96" spans="1:18" x14ac:dyDescent="0.2">
      <c r="A96" s="36"/>
      <c r="B96" s="36"/>
      <c r="C96" s="36"/>
      <c r="D96" s="37"/>
      <c r="E96" s="37"/>
      <c r="F96" s="37"/>
      <c r="G96" s="37"/>
      <c r="J96" s="67"/>
    </row>
    <row r="97" spans="1:10" x14ac:dyDescent="0.2">
      <c r="A97" s="38"/>
      <c r="B97" s="112" t="s">
        <v>532</v>
      </c>
      <c r="C97" s="112"/>
      <c r="D97" s="112"/>
      <c r="E97" s="112"/>
      <c r="F97" s="112"/>
      <c r="G97" s="112"/>
      <c r="H97" s="112"/>
      <c r="J97" s="67"/>
    </row>
    <row r="98" spans="1:10" x14ac:dyDescent="0.2">
      <c r="A98" s="38"/>
      <c r="B98" s="112" t="s">
        <v>533</v>
      </c>
      <c r="C98" s="112"/>
      <c r="D98" s="112"/>
      <c r="E98" s="112"/>
      <c r="F98" s="112"/>
      <c r="G98" s="112"/>
      <c r="H98" s="112"/>
      <c r="J98" s="67"/>
    </row>
    <row r="99" spans="1:10" x14ac:dyDescent="0.2">
      <c r="A99" s="38"/>
      <c r="B99" s="112" t="s">
        <v>534</v>
      </c>
      <c r="C99" s="112"/>
      <c r="D99" s="112"/>
      <c r="E99" s="112"/>
      <c r="F99" s="112"/>
      <c r="G99" s="112"/>
      <c r="H99" s="112"/>
      <c r="J99" s="67"/>
    </row>
    <row r="100" spans="1:10" s="83" customFormat="1" ht="15" x14ac:dyDescent="0.2">
      <c r="A100" s="82"/>
      <c r="B100" s="124" t="s">
        <v>535</v>
      </c>
      <c r="C100" s="124"/>
      <c r="D100" s="124"/>
      <c r="E100" s="124"/>
      <c r="F100" s="124"/>
      <c r="G100" s="124"/>
      <c r="H100" s="124"/>
      <c r="I100"/>
      <c r="J100" s="67"/>
    </row>
    <row r="101" spans="1:10" x14ac:dyDescent="0.2">
      <c r="A101" s="40"/>
      <c r="B101" s="40"/>
      <c r="C101" s="40"/>
      <c r="D101" s="41"/>
      <c r="E101" s="41"/>
      <c r="F101" s="41"/>
      <c r="G101" s="41"/>
      <c r="J101" s="67"/>
    </row>
    <row r="102" spans="1:10" x14ac:dyDescent="0.2">
      <c r="A102" s="40"/>
      <c r="B102" s="118" t="s">
        <v>100</v>
      </c>
      <c r="C102" s="119"/>
      <c r="D102" s="120"/>
      <c r="E102" s="42"/>
      <c r="F102" s="41"/>
      <c r="G102" s="41"/>
      <c r="J102" s="67"/>
    </row>
    <row r="103" spans="1:10" x14ac:dyDescent="0.2">
      <c r="A103" s="40"/>
      <c r="B103" s="121" t="s">
        <v>101</v>
      </c>
      <c r="C103" s="122"/>
      <c r="D103" s="15" t="s">
        <v>102</v>
      </c>
      <c r="E103" s="42"/>
      <c r="F103" s="41"/>
      <c r="G103" s="41"/>
      <c r="J103" s="67"/>
    </row>
    <row r="104" spans="1:10" x14ac:dyDescent="0.2">
      <c r="A104" s="40"/>
      <c r="B104" s="121" t="s">
        <v>103</v>
      </c>
      <c r="C104" s="122"/>
      <c r="D104" s="15" t="s">
        <v>102</v>
      </c>
      <c r="E104" s="42"/>
      <c r="F104" s="41"/>
      <c r="G104" s="41"/>
      <c r="J104" s="67"/>
    </row>
    <row r="105" spans="1:10" x14ac:dyDescent="0.2">
      <c r="A105" s="40"/>
      <c r="B105" s="121" t="s">
        <v>104</v>
      </c>
      <c r="C105" s="122"/>
      <c r="D105" s="20" t="s">
        <v>12</v>
      </c>
      <c r="E105" s="42"/>
      <c r="F105" s="41"/>
      <c r="G105" s="41"/>
      <c r="J105" s="67"/>
    </row>
    <row r="106" spans="1:10" x14ac:dyDescent="0.2">
      <c r="A106" s="43"/>
      <c r="B106" s="44" t="s">
        <v>12</v>
      </c>
      <c r="C106" s="44" t="s">
        <v>528</v>
      </c>
      <c r="D106" s="44" t="s">
        <v>105</v>
      </c>
      <c r="E106" s="43"/>
      <c r="F106" s="43"/>
      <c r="G106" s="43"/>
      <c r="H106" s="45"/>
      <c r="J106" s="67"/>
    </row>
    <row r="107" spans="1:10" x14ac:dyDescent="0.2">
      <c r="A107" s="46"/>
      <c r="B107" s="47" t="s">
        <v>106</v>
      </c>
      <c r="C107" s="48">
        <v>45519</v>
      </c>
      <c r="D107" s="48">
        <v>45535</v>
      </c>
      <c r="E107" s="46"/>
      <c r="F107" s="46"/>
      <c r="G107" s="46"/>
      <c r="J107" s="67"/>
    </row>
    <row r="108" spans="1:10" x14ac:dyDescent="0.2">
      <c r="A108" s="46"/>
      <c r="B108" s="23" t="s">
        <v>107</v>
      </c>
      <c r="C108" s="49">
        <v>44.369599999999998</v>
      </c>
      <c r="D108" s="49">
        <v>44.507399999999997</v>
      </c>
      <c r="E108" s="46"/>
      <c r="F108" s="50"/>
      <c r="G108" s="51"/>
      <c r="J108" s="67"/>
    </row>
    <row r="109" spans="1:10" ht="25.5" x14ac:dyDescent="0.2">
      <c r="A109" s="46"/>
      <c r="B109" s="23" t="s">
        <v>584</v>
      </c>
      <c r="C109" s="49">
        <v>12.9872</v>
      </c>
      <c r="D109" s="49">
        <v>12.923500000000001</v>
      </c>
      <c r="E109" s="46"/>
      <c r="F109" s="50"/>
      <c r="G109" s="51"/>
      <c r="J109" s="67"/>
    </row>
    <row r="110" spans="1:10" ht="25.5" x14ac:dyDescent="0.2">
      <c r="A110" s="46"/>
      <c r="B110" s="23" t="s">
        <v>585</v>
      </c>
      <c r="C110" s="49">
        <v>14.417</v>
      </c>
      <c r="D110" s="49">
        <v>14.4618</v>
      </c>
      <c r="E110" s="46"/>
      <c r="F110" s="50"/>
      <c r="G110" s="51"/>
      <c r="J110" s="67"/>
    </row>
    <row r="111" spans="1:10" ht="25.5" x14ac:dyDescent="0.2">
      <c r="A111" s="46"/>
      <c r="B111" s="23" t="s">
        <v>586</v>
      </c>
      <c r="C111" s="49">
        <v>14.3239</v>
      </c>
      <c r="D111" s="49">
        <v>14.368399999999999</v>
      </c>
      <c r="E111" s="46"/>
      <c r="F111" s="50"/>
      <c r="G111" s="51"/>
      <c r="J111" s="67"/>
    </row>
    <row r="112" spans="1:10" ht="25.5" x14ac:dyDescent="0.2">
      <c r="A112" s="46"/>
      <c r="B112" s="23" t="s">
        <v>587</v>
      </c>
      <c r="C112" s="49">
        <v>14.472099999999999</v>
      </c>
      <c r="D112" s="49">
        <v>14.517300000000001</v>
      </c>
      <c r="E112" s="46"/>
      <c r="F112" s="50"/>
      <c r="G112" s="51"/>
      <c r="J112" s="67"/>
    </row>
    <row r="113" spans="1:17" x14ac:dyDescent="0.2">
      <c r="A113" s="46"/>
      <c r="B113" s="23" t="s">
        <v>108</v>
      </c>
      <c r="C113" s="49">
        <v>41.217500000000001</v>
      </c>
      <c r="D113" s="49">
        <v>41.335500000000003</v>
      </c>
      <c r="E113" s="46"/>
      <c r="F113" s="50"/>
      <c r="G113" s="51"/>
      <c r="J113" s="67"/>
    </row>
    <row r="114" spans="1:17" x14ac:dyDescent="0.2">
      <c r="A114" s="46"/>
      <c r="B114" s="23" t="s">
        <v>140</v>
      </c>
      <c r="C114" s="49">
        <v>14.8888</v>
      </c>
      <c r="D114" s="49">
        <v>14.9314</v>
      </c>
      <c r="E114" s="46"/>
      <c r="F114" s="50"/>
      <c r="G114" s="51"/>
      <c r="J114" s="67"/>
    </row>
    <row r="115" spans="1:17" ht="25.5" x14ac:dyDescent="0.2">
      <c r="A115" s="46"/>
      <c r="B115" s="23" t="s">
        <v>588</v>
      </c>
      <c r="C115" s="49">
        <v>12.946400000000001</v>
      </c>
      <c r="D115" s="49">
        <v>12.8857</v>
      </c>
      <c r="E115" s="46"/>
      <c r="F115" s="50"/>
      <c r="G115" s="51"/>
      <c r="J115" s="67"/>
    </row>
    <row r="116" spans="1:17" ht="25.5" x14ac:dyDescent="0.2">
      <c r="A116" s="46"/>
      <c r="B116" s="23" t="s">
        <v>562</v>
      </c>
      <c r="C116" s="49">
        <v>14.157500000000001</v>
      </c>
      <c r="D116" s="49">
        <v>14.198</v>
      </c>
      <c r="E116" s="46"/>
      <c r="F116" s="50"/>
      <c r="G116" s="51"/>
      <c r="J116" s="67"/>
    </row>
    <row r="117" spans="1:17" ht="25.5" x14ac:dyDescent="0.2">
      <c r="A117" s="46"/>
      <c r="B117" s="23" t="s">
        <v>589</v>
      </c>
      <c r="C117" s="49">
        <v>14.0646</v>
      </c>
      <c r="D117" s="49">
        <v>14.104900000000001</v>
      </c>
      <c r="E117" s="46"/>
      <c r="F117" s="50"/>
      <c r="G117" s="51"/>
      <c r="J117" s="67"/>
    </row>
    <row r="118" spans="1:17" ht="25.5" x14ac:dyDescent="0.2">
      <c r="A118" s="46"/>
      <c r="B118" s="23" t="s">
        <v>590</v>
      </c>
      <c r="C118" s="49">
        <v>14.211600000000001</v>
      </c>
      <c r="D118" s="49">
        <v>14.2523</v>
      </c>
      <c r="E118" s="46"/>
      <c r="F118" s="50"/>
      <c r="G118" s="51"/>
      <c r="J118" s="71"/>
    </row>
    <row r="119" spans="1:17" x14ac:dyDescent="0.2">
      <c r="A119" s="46"/>
      <c r="B119" s="46"/>
      <c r="C119" s="46"/>
      <c r="D119" s="46"/>
      <c r="E119" s="46"/>
      <c r="F119" s="46"/>
      <c r="G119" s="46"/>
      <c r="J119" s="71"/>
    </row>
    <row r="120" spans="1:17" x14ac:dyDescent="0.2">
      <c r="A120" s="46"/>
      <c r="B120" s="121" t="s">
        <v>591</v>
      </c>
      <c r="C120" s="122"/>
      <c r="D120" s="15" t="s">
        <v>12</v>
      </c>
      <c r="E120" s="46"/>
      <c r="F120" s="46"/>
      <c r="G120" s="46"/>
      <c r="J120" s="71"/>
    </row>
    <row r="121" spans="1:17" x14ac:dyDescent="0.2">
      <c r="A121" s="46"/>
      <c r="B121" s="52" t="s">
        <v>106</v>
      </c>
      <c r="C121" s="53" t="s">
        <v>109</v>
      </c>
      <c r="D121" s="53" t="s">
        <v>110</v>
      </c>
      <c r="E121" s="46"/>
      <c r="F121" s="46"/>
      <c r="G121" s="46"/>
      <c r="J121" s="71"/>
    </row>
    <row r="122" spans="1:17" ht="25.5" x14ac:dyDescent="0.2">
      <c r="A122" s="46"/>
      <c r="B122" s="23" t="s">
        <v>584</v>
      </c>
      <c r="C122" s="54">
        <v>0.1038</v>
      </c>
      <c r="D122" s="27" t="s">
        <v>111</v>
      </c>
      <c r="E122" s="46"/>
      <c r="F122" s="50"/>
      <c r="G122" s="51"/>
      <c r="J122" s="71"/>
    </row>
    <row r="123" spans="1:17" ht="25.5" x14ac:dyDescent="0.2">
      <c r="A123" s="46"/>
      <c r="B123" s="23" t="s">
        <v>588</v>
      </c>
      <c r="C123" s="54">
        <v>9.7500000000000003E-2</v>
      </c>
      <c r="D123" s="54">
        <v>9.7500000000000003E-2</v>
      </c>
      <c r="E123" s="46"/>
      <c r="F123" s="50"/>
      <c r="G123" s="51"/>
      <c r="J123" s="71"/>
    </row>
    <row r="124" spans="1:17" x14ac:dyDescent="0.2">
      <c r="A124" s="46"/>
      <c r="B124" s="55"/>
      <c r="C124" s="55"/>
      <c r="D124" s="56"/>
      <c r="E124" s="46"/>
      <c r="F124" s="50"/>
      <c r="G124" s="51"/>
      <c r="J124" s="71"/>
    </row>
    <row r="125" spans="1:17" s="59" customFormat="1" x14ac:dyDescent="0.2">
      <c r="A125" s="65"/>
      <c r="B125" s="106" t="s">
        <v>546</v>
      </c>
      <c r="C125" s="107"/>
      <c r="D125" s="29" t="s">
        <v>102</v>
      </c>
      <c r="E125" s="65"/>
      <c r="F125" s="65"/>
      <c r="G125" s="65"/>
      <c r="I125"/>
      <c r="J125" s="67"/>
      <c r="K125" s="32"/>
      <c r="L125" s="32"/>
      <c r="M125" s="32"/>
      <c r="N125" s="32"/>
      <c r="O125" s="66"/>
      <c r="P125"/>
      <c r="Q125"/>
    </row>
    <row r="126" spans="1:17" x14ac:dyDescent="0.2">
      <c r="A126" s="43"/>
      <c r="B126" s="106" t="s">
        <v>547</v>
      </c>
      <c r="C126" s="107"/>
      <c r="D126" s="29" t="s">
        <v>102</v>
      </c>
      <c r="E126" s="57"/>
      <c r="F126" s="43"/>
      <c r="G126" s="43"/>
      <c r="J126" s="67"/>
    </row>
    <row r="127" spans="1:17" x14ac:dyDescent="0.2">
      <c r="A127" s="43"/>
      <c r="B127" s="106" t="s">
        <v>548</v>
      </c>
      <c r="C127" s="107"/>
      <c r="D127" s="29" t="s">
        <v>102</v>
      </c>
      <c r="E127" s="57"/>
      <c r="F127" s="43"/>
      <c r="G127" s="43"/>
      <c r="J127" s="67"/>
    </row>
    <row r="128" spans="1:17" x14ac:dyDescent="0.2">
      <c r="A128" s="43"/>
      <c r="B128" s="106" t="s">
        <v>549</v>
      </c>
      <c r="C128" s="107"/>
      <c r="D128" s="29" t="s">
        <v>102</v>
      </c>
      <c r="E128" s="57"/>
      <c r="F128" s="43"/>
      <c r="G128" s="43"/>
      <c r="J128" s="71"/>
    </row>
    <row r="129" spans="1:19" x14ac:dyDescent="0.2">
      <c r="A129" s="58"/>
      <c r="B129" s="58"/>
      <c r="C129" s="58"/>
      <c r="D129" s="58"/>
      <c r="E129" s="58"/>
      <c r="F129" s="58"/>
      <c r="G129" s="58"/>
      <c r="J129" s="71"/>
    </row>
    <row r="130" spans="1:19" s="59" customFormat="1" x14ac:dyDescent="0.2">
      <c r="B130" s="113" t="s">
        <v>538</v>
      </c>
      <c r="C130" s="114"/>
      <c r="D130" s="115"/>
      <c r="I130"/>
      <c r="J130" s="67"/>
      <c r="K130" s="32"/>
      <c r="L130" s="32"/>
      <c r="M130" s="32"/>
      <c r="N130" s="32"/>
      <c r="O130" s="66"/>
      <c r="R130"/>
      <c r="S130"/>
    </row>
    <row r="131" spans="1:19" s="59" customFormat="1" ht="51" x14ac:dyDescent="0.2">
      <c r="B131" s="117" t="s">
        <v>539</v>
      </c>
      <c r="C131" s="117"/>
      <c r="D131" s="60" t="s">
        <v>372</v>
      </c>
      <c r="I131"/>
      <c r="J131" s="67"/>
      <c r="K131" s="32"/>
      <c r="L131" s="32"/>
      <c r="M131" s="32"/>
      <c r="N131" s="32"/>
      <c r="O131" s="66"/>
      <c r="R131"/>
      <c r="S131"/>
    </row>
    <row r="132" spans="1:19" s="59" customFormat="1" x14ac:dyDescent="0.2">
      <c r="B132" s="110" t="s">
        <v>540</v>
      </c>
      <c r="C132" s="110"/>
      <c r="D132" s="61"/>
      <c r="I132"/>
      <c r="J132" s="67"/>
      <c r="K132" s="32"/>
      <c r="L132" s="32"/>
      <c r="M132" s="32"/>
      <c r="N132" s="32"/>
      <c r="O132" s="66"/>
      <c r="R132"/>
      <c r="S132"/>
    </row>
    <row r="133" spans="1:19" s="59" customFormat="1" x14ac:dyDescent="0.2">
      <c r="B133" s="110"/>
      <c r="C133" s="110"/>
      <c r="D133" s="62"/>
      <c r="I133"/>
      <c r="J133" s="67"/>
      <c r="K133" s="32"/>
      <c r="L133" s="32"/>
      <c r="M133" s="32"/>
      <c r="N133" s="32"/>
      <c r="O133" s="66"/>
      <c r="R133"/>
      <c r="S133"/>
    </row>
    <row r="134" spans="1:19" s="59" customFormat="1" x14ac:dyDescent="0.2">
      <c r="B134" s="110" t="s">
        <v>541</v>
      </c>
      <c r="C134" s="110"/>
      <c r="D134" s="63">
        <v>7.3571351455036371</v>
      </c>
      <c r="I134"/>
      <c r="J134" s="67"/>
      <c r="K134" s="32"/>
      <c r="L134" s="32"/>
      <c r="M134" s="32"/>
      <c r="N134" s="32"/>
      <c r="O134" s="66"/>
    </row>
    <row r="135" spans="1:19" s="59" customFormat="1" x14ac:dyDescent="0.2">
      <c r="B135" s="110"/>
      <c r="C135" s="110"/>
      <c r="D135" s="62"/>
      <c r="I135"/>
      <c r="J135" s="67"/>
      <c r="K135" s="32"/>
      <c r="L135" s="32"/>
      <c r="M135" s="32"/>
      <c r="N135" s="32"/>
      <c r="O135" s="66"/>
    </row>
    <row r="136" spans="1:19" s="59" customFormat="1" x14ac:dyDescent="0.2">
      <c r="B136" s="110" t="s">
        <v>542</v>
      </c>
      <c r="C136" s="110"/>
      <c r="D136" s="63">
        <v>2.976915783279575</v>
      </c>
      <c r="I136"/>
      <c r="J136" s="67"/>
      <c r="K136" s="32"/>
      <c r="L136" s="32"/>
      <c r="M136" s="32"/>
      <c r="N136" s="32"/>
      <c r="O136" s="66"/>
    </row>
    <row r="137" spans="1:19" s="59" customFormat="1" x14ac:dyDescent="0.2">
      <c r="B137" s="110" t="s">
        <v>543</v>
      </c>
      <c r="C137" s="110"/>
      <c r="D137" s="63">
        <v>3.8616115313516741</v>
      </c>
      <c r="I137"/>
      <c r="J137" s="67"/>
      <c r="K137" s="32"/>
      <c r="L137" s="32"/>
      <c r="M137" s="32"/>
      <c r="N137" s="32"/>
      <c r="O137" s="66"/>
    </row>
    <row r="138" spans="1:19" s="59" customFormat="1" x14ac:dyDescent="0.2">
      <c r="B138" s="110"/>
      <c r="C138" s="110"/>
      <c r="D138" s="62"/>
      <c r="I138"/>
      <c r="J138" s="67"/>
      <c r="K138" s="32"/>
      <c r="L138" s="32"/>
      <c r="M138" s="32"/>
      <c r="N138" s="32"/>
      <c r="O138" s="66"/>
    </row>
    <row r="139" spans="1:19" s="59" customFormat="1" ht="25.5" x14ac:dyDescent="0.2">
      <c r="B139" s="110" t="s">
        <v>544</v>
      </c>
      <c r="C139" s="110"/>
      <c r="D139" s="64" t="s">
        <v>577</v>
      </c>
      <c r="I139"/>
      <c r="J139" s="67"/>
      <c r="K139" s="32"/>
      <c r="L139" s="32"/>
      <c r="M139" s="32"/>
      <c r="N139" s="32"/>
      <c r="O139" s="66"/>
    </row>
    <row r="140" spans="1:19" s="59" customFormat="1" x14ac:dyDescent="0.2">
      <c r="B140" s="108" t="s">
        <v>545</v>
      </c>
      <c r="C140" s="111"/>
      <c r="D140" s="109"/>
      <c r="I140"/>
      <c r="J140" s="67"/>
      <c r="K140" s="32"/>
      <c r="L140" s="32"/>
      <c r="M140" s="32"/>
      <c r="N140" s="32"/>
      <c r="O140" s="66"/>
    </row>
  </sheetData>
  <mergeCells count="27">
    <mergeCell ref="A1:H1"/>
    <mergeCell ref="A2:H2"/>
    <mergeCell ref="A3:H3"/>
    <mergeCell ref="B97:H97"/>
    <mergeCell ref="B98:H98"/>
    <mergeCell ref="B99:H99"/>
    <mergeCell ref="B100:H100"/>
    <mergeCell ref="B125:C125"/>
    <mergeCell ref="B130:D130"/>
    <mergeCell ref="B131:C131"/>
    <mergeCell ref="B127:C127"/>
    <mergeCell ref="B128:C128"/>
    <mergeCell ref="B102:D102"/>
    <mergeCell ref="B103:C103"/>
    <mergeCell ref="B104:C104"/>
    <mergeCell ref="B105:C105"/>
    <mergeCell ref="B120:C120"/>
    <mergeCell ref="B126:C126"/>
    <mergeCell ref="B137:C137"/>
    <mergeCell ref="B138:C138"/>
    <mergeCell ref="B139:C139"/>
    <mergeCell ref="B140:D140"/>
    <mergeCell ref="B132:C132"/>
    <mergeCell ref="B133:C133"/>
    <mergeCell ref="B134:C134"/>
    <mergeCell ref="B135:C135"/>
    <mergeCell ref="B136:C136"/>
  </mergeCells>
  <hyperlinks>
    <hyperlink ref="I1" location="Index!B7" display="Index" xr:uid="{002F92D3-E60D-443B-BF79-FF3FFBF590B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E335-20B9-4668-896F-64BB37DD4A14}">
  <sheetPr>
    <outlinePr summaryBelow="0" summaryRight="0"/>
  </sheetPr>
  <dimension ref="A1:R176"/>
  <sheetViews>
    <sheetView showGridLines="0" workbookViewId="0">
      <selection sqref="A1:H1"/>
    </sheetView>
  </sheetViews>
  <sheetFormatPr defaultRowHeight="12.75" x14ac:dyDescent="0.2"/>
  <cols>
    <col min="1" max="1" width="5.85546875" bestFit="1" customWidth="1"/>
    <col min="2" max="2" width="21.140625" customWidth="1"/>
    <col min="3" max="3" width="43.85546875" customWidth="1"/>
    <col min="4" max="4" width="14.7109375"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16" t="s">
        <v>0</v>
      </c>
      <c r="B1" s="116"/>
      <c r="C1" s="116"/>
      <c r="D1" s="116"/>
      <c r="E1" s="116"/>
      <c r="F1" s="116"/>
      <c r="G1" s="116"/>
      <c r="H1" s="116"/>
      <c r="I1" s="7" t="s">
        <v>600</v>
      </c>
      <c r="J1" s="67"/>
      <c r="K1" s="7"/>
    </row>
    <row r="2" spans="1:11" ht="15" x14ac:dyDescent="0.2">
      <c r="A2" s="116" t="s">
        <v>386</v>
      </c>
      <c r="B2" s="116"/>
      <c r="C2" s="116"/>
      <c r="D2" s="116"/>
      <c r="E2" s="116"/>
      <c r="F2" s="116"/>
      <c r="G2" s="116"/>
      <c r="H2" s="116"/>
      <c r="J2" s="68" t="s">
        <v>613</v>
      </c>
    </row>
    <row r="3" spans="1:11" ht="15" x14ac:dyDescent="0.2">
      <c r="A3" s="116" t="s">
        <v>526</v>
      </c>
      <c r="B3" s="116"/>
      <c r="C3" s="116"/>
      <c r="D3" s="116"/>
      <c r="E3" s="116"/>
      <c r="F3" s="116"/>
      <c r="G3" s="116"/>
      <c r="H3" s="116"/>
      <c r="J3" s="67"/>
    </row>
    <row r="4" spans="1:11" s="11" customFormat="1" ht="30" x14ac:dyDescent="0.2">
      <c r="A4" s="12" t="s">
        <v>2</v>
      </c>
      <c r="B4" s="12" t="s">
        <v>3</v>
      </c>
      <c r="C4" s="12" t="s">
        <v>4</v>
      </c>
      <c r="D4" s="12" t="s">
        <v>5</v>
      </c>
      <c r="E4" s="12" t="s">
        <v>6</v>
      </c>
      <c r="F4" s="12" t="s">
        <v>7</v>
      </c>
      <c r="G4" s="12" t="s">
        <v>8</v>
      </c>
      <c r="H4" s="13" t="s">
        <v>581</v>
      </c>
      <c r="J4" s="67"/>
    </row>
    <row r="5" spans="1:11" x14ac:dyDescent="0.2">
      <c r="A5" s="14"/>
      <c r="B5" s="14"/>
      <c r="C5" s="15" t="s">
        <v>9</v>
      </c>
      <c r="D5" s="14"/>
      <c r="E5" s="14"/>
      <c r="F5" s="14"/>
      <c r="G5" s="14"/>
      <c r="H5" s="16" t="s">
        <v>12</v>
      </c>
      <c r="J5" s="67"/>
    </row>
    <row r="6" spans="1:11" x14ac:dyDescent="0.2">
      <c r="A6" s="14"/>
      <c r="B6" s="14"/>
      <c r="C6" s="15" t="s">
        <v>10</v>
      </c>
      <c r="D6" s="14"/>
      <c r="E6" s="14"/>
      <c r="F6" s="14"/>
      <c r="G6" s="14"/>
      <c r="H6" s="16" t="s">
        <v>12</v>
      </c>
      <c r="J6" s="67"/>
    </row>
    <row r="7" spans="1:11" x14ac:dyDescent="0.2">
      <c r="A7" s="14"/>
      <c r="B7" s="14"/>
      <c r="C7" s="15" t="s">
        <v>11</v>
      </c>
      <c r="D7" s="14"/>
      <c r="E7" s="14" t="s">
        <v>12</v>
      </c>
      <c r="F7" s="17" t="s">
        <v>13</v>
      </c>
      <c r="G7" s="18">
        <v>0</v>
      </c>
      <c r="H7" s="16" t="s">
        <v>12</v>
      </c>
      <c r="J7" s="67"/>
    </row>
    <row r="8" spans="1:11" x14ac:dyDescent="0.2">
      <c r="A8" s="14"/>
      <c r="B8" s="14"/>
      <c r="C8" s="19"/>
      <c r="D8" s="14"/>
      <c r="E8" s="14"/>
      <c r="F8" s="20"/>
      <c r="G8" s="20"/>
      <c r="H8" s="16" t="s">
        <v>12</v>
      </c>
      <c r="J8" s="67"/>
    </row>
    <row r="9" spans="1:11" x14ac:dyDescent="0.2">
      <c r="A9" s="14"/>
      <c r="B9" s="14"/>
      <c r="C9" s="15" t="s">
        <v>14</v>
      </c>
      <c r="D9" s="14"/>
      <c r="E9" s="14"/>
      <c r="F9" s="14"/>
      <c r="G9" s="14"/>
      <c r="H9" s="16" t="s">
        <v>12</v>
      </c>
      <c r="J9" s="67"/>
    </row>
    <row r="10" spans="1:11" x14ac:dyDescent="0.2">
      <c r="A10" s="14"/>
      <c r="B10" s="14"/>
      <c r="C10" s="15" t="s">
        <v>11</v>
      </c>
      <c r="D10" s="14"/>
      <c r="E10" s="14" t="s">
        <v>12</v>
      </c>
      <c r="F10" s="17" t="s">
        <v>13</v>
      </c>
      <c r="G10" s="18">
        <v>0</v>
      </c>
      <c r="H10" s="16" t="s">
        <v>12</v>
      </c>
      <c r="J10" s="67"/>
    </row>
    <row r="11" spans="1:11" x14ac:dyDescent="0.2">
      <c r="A11" s="14"/>
      <c r="B11" s="14"/>
      <c r="C11" s="19"/>
      <c r="D11" s="14"/>
      <c r="E11" s="14"/>
      <c r="F11" s="20"/>
      <c r="G11" s="20"/>
      <c r="H11" s="16" t="s">
        <v>12</v>
      </c>
      <c r="J11" s="67"/>
    </row>
    <row r="12" spans="1:11" ht="15" x14ac:dyDescent="0.2">
      <c r="A12" s="14"/>
      <c r="B12" s="14"/>
      <c r="C12" s="15" t="s">
        <v>15</v>
      </c>
      <c r="D12" s="14"/>
      <c r="E12" s="14"/>
      <c r="F12" s="14"/>
      <c r="G12" s="14"/>
      <c r="H12" s="16" t="s">
        <v>12</v>
      </c>
      <c r="J12" s="69"/>
    </row>
    <row r="13" spans="1:11" x14ac:dyDescent="0.2">
      <c r="A13" s="14"/>
      <c r="B13" s="14"/>
      <c r="C13" s="15" t="s">
        <v>11</v>
      </c>
      <c r="D13" s="14"/>
      <c r="E13" s="14" t="s">
        <v>12</v>
      </c>
      <c r="F13" s="17" t="s">
        <v>13</v>
      </c>
      <c r="G13" s="18">
        <v>0</v>
      </c>
      <c r="H13" s="16" t="s">
        <v>12</v>
      </c>
      <c r="J13" s="70"/>
    </row>
    <row r="14" spans="1:11" x14ac:dyDescent="0.2">
      <c r="A14" s="14"/>
      <c r="B14" s="14"/>
      <c r="C14" s="19"/>
      <c r="D14" s="14"/>
      <c r="E14" s="14"/>
      <c r="F14" s="20"/>
      <c r="G14" s="20"/>
      <c r="H14" s="16" t="s">
        <v>12</v>
      </c>
      <c r="J14" s="70"/>
    </row>
    <row r="15" spans="1:11" ht="25.5" x14ac:dyDescent="0.2">
      <c r="A15" s="14"/>
      <c r="B15" s="14"/>
      <c r="C15" s="15" t="s">
        <v>16</v>
      </c>
      <c r="D15" s="14"/>
      <c r="E15" s="14"/>
      <c r="F15" s="14"/>
      <c r="G15" s="14"/>
      <c r="H15" s="16" t="s">
        <v>12</v>
      </c>
      <c r="J15" s="70" t="s">
        <v>614</v>
      </c>
    </row>
    <row r="16" spans="1:11" x14ac:dyDescent="0.2">
      <c r="A16" s="14"/>
      <c r="B16" s="14"/>
      <c r="C16" s="15" t="s">
        <v>11</v>
      </c>
      <c r="D16" s="14"/>
      <c r="E16" s="14" t="s">
        <v>12</v>
      </c>
      <c r="F16" s="17" t="s">
        <v>13</v>
      </c>
      <c r="G16" s="18">
        <v>0</v>
      </c>
      <c r="H16" s="16" t="s">
        <v>12</v>
      </c>
      <c r="J16" s="67"/>
    </row>
    <row r="17" spans="1:10" x14ac:dyDescent="0.2">
      <c r="A17" s="14"/>
      <c r="B17" s="14"/>
      <c r="C17" s="19"/>
      <c r="D17" s="14"/>
      <c r="E17" s="14"/>
      <c r="F17" s="20"/>
      <c r="G17" s="20"/>
      <c r="H17" s="16" t="s">
        <v>12</v>
      </c>
      <c r="J17" s="67"/>
    </row>
    <row r="18" spans="1:10" x14ac:dyDescent="0.2">
      <c r="A18" s="14"/>
      <c r="B18" s="14"/>
      <c r="C18" s="15" t="s">
        <v>17</v>
      </c>
      <c r="D18" s="14"/>
      <c r="E18" s="14"/>
      <c r="F18" s="20"/>
      <c r="G18" s="20"/>
      <c r="H18" s="16" t="s">
        <v>12</v>
      </c>
      <c r="J18" s="67"/>
    </row>
    <row r="19" spans="1:10" x14ac:dyDescent="0.2">
      <c r="A19" s="14"/>
      <c r="B19" s="14"/>
      <c r="C19" s="15" t="s">
        <v>11</v>
      </c>
      <c r="D19" s="14"/>
      <c r="E19" s="14" t="s">
        <v>12</v>
      </c>
      <c r="F19" s="17" t="s">
        <v>13</v>
      </c>
      <c r="G19" s="18">
        <v>0</v>
      </c>
      <c r="H19" s="16" t="s">
        <v>12</v>
      </c>
      <c r="J19" s="67"/>
    </row>
    <row r="20" spans="1:10" x14ac:dyDescent="0.2">
      <c r="A20" s="14"/>
      <c r="B20" s="14"/>
      <c r="C20" s="19"/>
      <c r="D20" s="14"/>
      <c r="E20" s="14"/>
      <c r="F20" s="20"/>
      <c r="G20" s="20"/>
      <c r="H20" s="16" t="s">
        <v>12</v>
      </c>
      <c r="J20" s="67"/>
    </row>
    <row r="21" spans="1:10" x14ac:dyDescent="0.2">
      <c r="A21" s="14"/>
      <c r="B21" s="14"/>
      <c r="C21" s="15" t="s">
        <v>18</v>
      </c>
      <c r="D21" s="14"/>
      <c r="E21" s="14"/>
      <c r="F21" s="20"/>
      <c r="G21" s="20"/>
      <c r="H21" s="16" t="s">
        <v>12</v>
      </c>
      <c r="J21" s="67"/>
    </row>
    <row r="22" spans="1:10" ht="15" x14ac:dyDescent="0.2">
      <c r="A22" s="14"/>
      <c r="B22" s="14"/>
      <c r="C22" s="15" t="s">
        <v>11</v>
      </c>
      <c r="D22" s="14"/>
      <c r="E22" s="14" t="s">
        <v>12</v>
      </c>
      <c r="F22" s="17" t="s">
        <v>13</v>
      </c>
      <c r="G22" s="18">
        <v>0</v>
      </c>
      <c r="H22" s="16" t="s">
        <v>12</v>
      </c>
      <c r="J22" s="69"/>
    </row>
    <row r="23" spans="1:10" x14ac:dyDescent="0.2">
      <c r="A23" s="14"/>
      <c r="B23" s="14"/>
      <c r="C23" s="19"/>
      <c r="D23" s="14"/>
      <c r="E23" s="14"/>
      <c r="F23" s="20"/>
      <c r="G23" s="20"/>
      <c r="H23" s="16" t="s">
        <v>12</v>
      </c>
      <c r="J23" s="70"/>
    </row>
    <row r="24" spans="1:10" x14ac:dyDescent="0.2">
      <c r="A24" s="14"/>
      <c r="B24" s="14"/>
      <c r="C24" s="15" t="s">
        <v>19</v>
      </c>
      <c r="D24" s="14"/>
      <c r="E24" s="14"/>
      <c r="F24" s="21">
        <v>0</v>
      </c>
      <c r="G24" s="18">
        <v>0</v>
      </c>
      <c r="H24" s="16" t="s">
        <v>12</v>
      </c>
      <c r="J24" s="67"/>
    </row>
    <row r="25" spans="1:10" x14ac:dyDescent="0.2">
      <c r="A25" s="14"/>
      <c r="B25" s="14"/>
      <c r="C25" s="19"/>
      <c r="D25" s="14"/>
      <c r="E25" s="14"/>
      <c r="F25" s="20"/>
      <c r="G25" s="20"/>
      <c r="H25" s="16" t="s">
        <v>12</v>
      </c>
      <c r="J25" s="67"/>
    </row>
    <row r="26" spans="1:10" x14ac:dyDescent="0.2">
      <c r="A26" s="14"/>
      <c r="B26" s="14"/>
      <c r="C26" s="15" t="s">
        <v>20</v>
      </c>
      <c r="D26" s="14"/>
      <c r="E26" s="14"/>
      <c r="F26" s="20"/>
      <c r="G26" s="20"/>
      <c r="H26" s="16" t="s">
        <v>12</v>
      </c>
      <c r="J26" s="67"/>
    </row>
    <row r="27" spans="1:10" ht="25.5" x14ac:dyDescent="0.2">
      <c r="A27" s="14"/>
      <c r="B27" s="14"/>
      <c r="C27" s="15" t="s">
        <v>10</v>
      </c>
      <c r="D27" s="14"/>
      <c r="E27" s="14"/>
      <c r="F27" s="20"/>
      <c r="G27" s="20"/>
      <c r="H27" s="16" t="s">
        <v>12</v>
      </c>
      <c r="J27" s="70" t="s">
        <v>615</v>
      </c>
    </row>
    <row r="28" spans="1:10" x14ac:dyDescent="0.2">
      <c r="A28" s="22">
        <v>1</v>
      </c>
      <c r="B28" s="23" t="s">
        <v>193</v>
      </c>
      <c r="C28" s="23" t="s">
        <v>194</v>
      </c>
      <c r="D28" s="23" t="s">
        <v>195</v>
      </c>
      <c r="E28" s="24">
        <v>5000</v>
      </c>
      <c r="F28" s="25">
        <v>5019.4449999999997</v>
      </c>
      <c r="G28" s="26">
        <v>2.6298129999999999E-2</v>
      </c>
      <c r="H28" s="16">
        <v>8.5</v>
      </c>
      <c r="J28" s="70"/>
    </row>
    <row r="29" spans="1:10" x14ac:dyDescent="0.2">
      <c r="A29" s="22">
        <v>2</v>
      </c>
      <c r="B29" s="23" t="s">
        <v>387</v>
      </c>
      <c r="C29" s="23" t="s">
        <v>388</v>
      </c>
      <c r="D29" s="23" t="s">
        <v>23</v>
      </c>
      <c r="E29" s="24">
        <v>300</v>
      </c>
      <c r="F29" s="25">
        <v>2971.5839999999998</v>
      </c>
      <c r="G29" s="26">
        <v>1.556887E-2</v>
      </c>
      <c r="H29" s="16">
        <v>7.65</v>
      </c>
      <c r="J29" s="70"/>
    </row>
    <row r="30" spans="1:10" ht="25.5" x14ac:dyDescent="0.2">
      <c r="A30" s="22">
        <v>3</v>
      </c>
      <c r="B30" s="23" t="s">
        <v>389</v>
      </c>
      <c r="C30" s="23" t="s">
        <v>390</v>
      </c>
      <c r="D30" s="23" t="s">
        <v>218</v>
      </c>
      <c r="E30" s="24">
        <v>250000</v>
      </c>
      <c r="F30" s="25">
        <v>2497.7275</v>
      </c>
      <c r="G30" s="26">
        <v>1.3086220000000001E-2</v>
      </c>
      <c r="H30" s="16">
        <v>8.2149999999999999</v>
      </c>
      <c r="J30" s="67"/>
    </row>
    <row r="31" spans="1:10" ht="25.5" x14ac:dyDescent="0.2">
      <c r="A31" s="22">
        <v>4</v>
      </c>
      <c r="B31" s="23" t="s">
        <v>57</v>
      </c>
      <c r="C31" s="23" t="s">
        <v>58</v>
      </c>
      <c r="D31" s="23" t="s">
        <v>23</v>
      </c>
      <c r="E31" s="24">
        <v>2500</v>
      </c>
      <c r="F31" s="25">
        <v>2495.15</v>
      </c>
      <c r="G31" s="26">
        <v>1.307271E-2</v>
      </c>
      <c r="H31" s="16">
        <v>7.68</v>
      </c>
      <c r="J31" s="67"/>
    </row>
    <row r="32" spans="1:10" x14ac:dyDescent="0.2">
      <c r="A32" s="22">
        <v>5</v>
      </c>
      <c r="B32" s="23" t="s">
        <v>391</v>
      </c>
      <c r="C32" s="23" t="s">
        <v>392</v>
      </c>
      <c r="D32" s="23" t="s">
        <v>23</v>
      </c>
      <c r="E32" s="24">
        <v>250</v>
      </c>
      <c r="F32" s="25">
        <v>2483.3674999999998</v>
      </c>
      <c r="G32" s="26">
        <v>1.301098E-2</v>
      </c>
      <c r="H32" s="16">
        <v>7.5049999999999999</v>
      </c>
      <c r="J32" s="67"/>
    </row>
    <row r="33" spans="1:10" x14ac:dyDescent="0.2">
      <c r="A33" s="22">
        <v>6</v>
      </c>
      <c r="B33" s="23" t="s">
        <v>393</v>
      </c>
      <c r="C33" s="23" t="s">
        <v>394</v>
      </c>
      <c r="D33" s="23" t="s">
        <v>23</v>
      </c>
      <c r="E33" s="24">
        <v>250</v>
      </c>
      <c r="F33" s="25">
        <v>2482.585</v>
      </c>
      <c r="G33" s="26">
        <v>1.300688E-2</v>
      </c>
      <c r="H33" s="16">
        <v>8.1953999999999994</v>
      </c>
      <c r="J33" s="67"/>
    </row>
    <row r="34" spans="1:10" ht="25.5" x14ac:dyDescent="0.2">
      <c r="A34" s="22">
        <v>7</v>
      </c>
      <c r="B34" s="23" t="s">
        <v>395</v>
      </c>
      <c r="C34" s="23" t="s">
        <v>396</v>
      </c>
      <c r="D34" s="23" t="s">
        <v>23</v>
      </c>
      <c r="E34" s="24">
        <v>250</v>
      </c>
      <c r="F34" s="25">
        <v>2455.7175000000002</v>
      </c>
      <c r="G34" s="26">
        <v>1.286612E-2</v>
      </c>
      <c r="H34" s="16">
        <v>7.74</v>
      </c>
      <c r="J34" s="67"/>
    </row>
    <row r="35" spans="1:10" x14ac:dyDescent="0.2">
      <c r="A35" s="22">
        <v>8</v>
      </c>
      <c r="B35" s="23" t="s">
        <v>199</v>
      </c>
      <c r="C35" s="23" t="s">
        <v>200</v>
      </c>
      <c r="D35" s="23" t="s">
        <v>195</v>
      </c>
      <c r="E35" s="24">
        <v>2000</v>
      </c>
      <c r="F35" s="25">
        <v>2000.298</v>
      </c>
      <c r="G35" s="26">
        <v>1.0480059999999999E-2</v>
      </c>
      <c r="H35" s="16">
        <v>9.1377000000000006</v>
      </c>
      <c r="J35" s="67"/>
    </row>
    <row r="36" spans="1:10" ht="25.5" x14ac:dyDescent="0.2">
      <c r="A36" s="22">
        <v>9</v>
      </c>
      <c r="B36" s="23" t="s">
        <v>216</v>
      </c>
      <c r="C36" s="23" t="s">
        <v>217</v>
      </c>
      <c r="D36" s="23" t="s">
        <v>218</v>
      </c>
      <c r="E36" s="24">
        <v>200</v>
      </c>
      <c r="F36" s="25">
        <v>1999.934</v>
      </c>
      <c r="G36" s="26">
        <v>1.047815E-2</v>
      </c>
      <c r="H36" s="16">
        <v>8.4</v>
      </c>
      <c r="J36" s="67"/>
    </row>
    <row r="37" spans="1:10" x14ac:dyDescent="0.2">
      <c r="A37" s="22">
        <v>10</v>
      </c>
      <c r="B37" s="23" t="s">
        <v>196</v>
      </c>
      <c r="C37" s="23" t="s">
        <v>197</v>
      </c>
      <c r="D37" s="23" t="s">
        <v>198</v>
      </c>
      <c r="E37" s="24">
        <v>1600</v>
      </c>
      <c r="F37" s="25">
        <v>1606.2639999999999</v>
      </c>
      <c r="G37" s="26">
        <v>8.4156200000000004E-3</v>
      </c>
      <c r="H37" s="16">
        <v>8.1793999999999993</v>
      </c>
      <c r="J37" s="67"/>
    </row>
    <row r="38" spans="1:10" x14ac:dyDescent="0.2">
      <c r="A38" s="22">
        <v>11</v>
      </c>
      <c r="B38" s="23" t="s">
        <v>61</v>
      </c>
      <c r="C38" s="23" t="s">
        <v>62</v>
      </c>
      <c r="D38" s="23" t="s">
        <v>23</v>
      </c>
      <c r="E38" s="24">
        <v>1500</v>
      </c>
      <c r="F38" s="25">
        <v>1498.08</v>
      </c>
      <c r="G38" s="26">
        <v>7.8488199999999994E-3</v>
      </c>
      <c r="H38" s="16">
        <v>8.1850000000000005</v>
      </c>
      <c r="J38" s="67"/>
    </row>
    <row r="39" spans="1:10" x14ac:dyDescent="0.2">
      <c r="A39" s="22">
        <v>12</v>
      </c>
      <c r="B39" s="23" t="s">
        <v>212</v>
      </c>
      <c r="C39" s="23" t="s">
        <v>213</v>
      </c>
      <c r="D39" s="23" t="s">
        <v>195</v>
      </c>
      <c r="E39" s="24">
        <v>1000</v>
      </c>
      <c r="F39" s="25">
        <v>1001.804</v>
      </c>
      <c r="G39" s="26">
        <v>5.2487000000000002E-3</v>
      </c>
      <c r="H39" s="16">
        <v>9.0250000000000004</v>
      </c>
      <c r="J39" s="67"/>
    </row>
    <row r="40" spans="1:10" x14ac:dyDescent="0.2">
      <c r="A40" s="14"/>
      <c r="B40" s="14"/>
      <c r="C40" s="15" t="s">
        <v>11</v>
      </c>
      <c r="D40" s="14"/>
      <c r="E40" s="14" t="s">
        <v>12</v>
      </c>
      <c r="F40" s="21">
        <v>28511.9565</v>
      </c>
      <c r="G40" s="18">
        <v>0.14938125999999999</v>
      </c>
      <c r="H40" s="16" t="s">
        <v>12</v>
      </c>
      <c r="J40" s="67"/>
    </row>
    <row r="41" spans="1:10" x14ac:dyDescent="0.2">
      <c r="A41" s="14"/>
      <c r="B41" s="14"/>
      <c r="C41" s="19"/>
      <c r="D41" s="14"/>
      <c r="E41" s="14"/>
      <c r="F41" s="20"/>
      <c r="G41" s="20"/>
      <c r="H41" s="16" t="s">
        <v>12</v>
      </c>
      <c r="J41" s="67"/>
    </row>
    <row r="42" spans="1:10" x14ac:dyDescent="0.2">
      <c r="A42" s="14"/>
      <c r="B42" s="14"/>
      <c r="C42" s="15" t="s">
        <v>67</v>
      </c>
      <c r="D42" s="14"/>
      <c r="E42" s="14"/>
      <c r="F42" s="14"/>
      <c r="G42" s="14"/>
      <c r="H42" s="16" t="s">
        <v>12</v>
      </c>
      <c r="J42" s="67"/>
    </row>
    <row r="43" spans="1:10" x14ac:dyDescent="0.2">
      <c r="A43" s="14"/>
      <c r="B43" s="14"/>
      <c r="C43" s="15" t="s">
        <v>11</v>
      </c>
      <c r="D43" s="14"/>
      <c r="E43" s="14" t="s">
        <v>12</v>
      </c>
      <c r="F43" s="17" t="s">
        <v>13</v>
      </c>
      <c r="G43" s="18">
        <v>0</v>
      </c>
      <c r="H43" s="16" t="s">
        <v>12</v>
      </c>
      <c r="J43" s="67"/>
    </row>
    <row r="44" spans="1:10" x14ac:dyDescent="0.2">
      <c r="A44" s="14"/>
      <c r="B44" s="14"/>
      <c r="C44" s="19"/>
      <c r="D44" s="14"/>
      <c r="E44" s="14"/>
      <c r="F44" s="20"/>
      <c r="G44" s="20"/>
      <c r="H44" s="16" t="s">
        <v>12</v>
      </c>
      <c r="J44" s="67"/>
    </row>
    <row r="45" spans="1:10" x14ac:dyDescent="0.2">
      <c r="A45" s="14"/>
      <c r="B45" s="14"/>
      <c r="C45" s="15" t="s">
        <v>68</v>
      </c>
      <c r="D45" s="14"/>
      <c r="E45" s="14"/>
      <c r="F45" s="14"/>
      <c r="G45" s="14"/>
      <c r="H45" s="16" t="s">
        <v>12</v>
      </c>
      <c r="J45" s="67"/>
    </row>
    <row r="46" spans="1:10" x14ac:dyDescent="0.2">
      <c r="A46" s="14"/>
      <c r="B46" s="14"/>
      <c r="C46" s="15" t="s">
        <v>11</v>
      </c>
      <c r="D46" s="14"/>
      <c r="E46" s="14" t="s">
        <v>12</v>
      </c>
      <c r="F46" s="17" t="s">
        <v>13</v>
      </c>
      <c r="G46" s="18">
        <v>0</v>
      </c>
      <c r="H46" s="16" t="s">
        <v>12</v>
      </c>
      <c r="J46" s="67"/>
    </row>
    <row r="47" spans="1:10" x14ac:dyDescent="0.2">
      <c r="A47" s="14"/>
      <c r="B47" s="14"/>
      <c r="C47" s="19"/>
      <c r="D47" s="14"/>
      <c r="E47" s="14"/>
      <c r="F47" s="20"/>
      <c r="G47" s="20"/>
      <c r="H47" s="16" t="s">
        <v>12</v>
      </c>
      <c r="J47" s="67"/>
    </row>
    <row r="48" spans="1:10" x14ac:dyDescent="0.2">
      <c r="A48" s="14"/>
      <c r="B48" s="14"/>
      <c r="C48" s="15" t="s">
        <v>82</v>
      </c>
      <c r="D48" s="14"/>
      <c r="E48" s="14"/>
      <c r="F48" s="20"/>
      <c r="G48" s="20"/>
      <c r="H48" s="16" t="s">
        <v>12</v>
      </c>
      <c r="J48" s="67"/>
    </row>
    <row r="49" spans="1:10" x14ac:dyDescent="0.2">
      <c r="A49" s="14"/>
      <c r="B49" s="14"/>
      <c r="C49" s="15" t="s">
        <v>11</v>
      </c>
      <c r="D49" s="14"/>
      <c r="E49" s="14" t="s">
        <v>12</v>
      </c>
      <c r="F49" s="17" t="s">
        <v>13</v>
      </c>
      <c r="G49" s="18">
        <v>0</v>
      </c>
      <c r="H49" s="16" t="s">
        <v>12</v>
      </c>
      <c r="J49" s="67"/>
    </row>
    <row r="50" spans="1:10" x14ac:dyDescent="0.2">
      <c r="A50" s="14"/>
      <c r="B50" s="14"/>
      <c r="C50" s="19"/>
      <c r="D50" s="14"/>
      <c r="E50" s="14"/>
      <c r="F50" s="20"/>
      <c r="G50" s="20"/>
      <c r="H50" s="16" t="s">
        <v>12</v>
      </c>
      <c r="J50" s="67"/>
    </row>
    <row r="51" spans="1:10" x14ac:dyDescent="0.2">
      <c r="A51" s="14"/>
      <c r="B51" s="14"/>
      <c r="C51" s="15" t="s">
        <v>83</v>
      </c>
      <c r="D51" s="14"/>
      <c r="E51" s="14"/>
      <c r="F51" s="21">
        <v>28511.9565</v>
      </c>
      <c r="G51" s="18">
        <v>0.14938125999999999</v>
      </c>
      <c r="H51" s="16" t="s">
        <v>12</v>
      </c>
      <c r="J51" s="67"/>
    </row>
    <row r="52" spans="1:10" x14ac:dyDescent="0.2">
      <c r="A52" s="14"/>
      <c r="B52" s="14"/>
      <c r="C52" s="19"/>
      <c r="D52" s="14"/>
      <c r="E52" s="14"/>
      <c r="F52" s="20"/>
      <c r="G52" s="20"/>
      <c r="H52" s="16" t="s">
        <v>12</v>
      </c>
      <c r="J52" s="67"/>
    </row>
    <row r="53" spans="1:10" x14ac:dyDescent="0.2">
      <c r="A53" s="14"/>
      <c r="B53" s="14"/>
      <c r="C53" s="15" t="s">
        <v>84</v>
      </c>
      <c r="D53" s="14"/>
      <c r="E53" s="14"/>
      <c r="F53" s="20"/>
      <c r="G53" s="20"/>
      <c r="H53" s="16" t="s">
        <v>12</v>
      </c>
      <c r="J53" s="67"/>
    </row>
    <row r="54" spans="1:10" x14ac:dyDescent="0.2">
      <c r="A54" s="14"/>
      <c r="B54" s="14"/>
      <c r="C54" s="15" t="s">
        <v>85</v>
      </c>
      <c r="D54" s="14"/>
      <c r="E54" s="14"/>
      <c r="F54" s="20"/>
      <c r="G54" s="20"/>
      <c r="H54" s="16" t="s">
        <v>12</v>
      </c>
      <c r="J54" s="67"/>
    </row>
    <row r="55" spans="1:10" x14ac:dyDescent="0.2">
      <c r="A55" s="22">
        <v>1</v>
      </c>
      <c r="B55" s="23" t="s">
        <v>384</v>
      </c>
      <c r="C55" s="23" t="s">
        <v>385</v>
      </c>
      <c r="D55" s="23" t="s">
        <v>144</v>
      </c>
      <c r="E55" s="24">
        <v>1700</v>
      </c>
      <c r="F55" s="25">
        <v>8338.7975000000006</v>
      </c>
      <c r="G55" s="26">
        <v>4.3689039999999998E-2</v>
      </c>
      <c r="H55" s="16">
        <v>7.35</v>
      </c>
      <c r="J55" s="67"/>
    </row>
    <row r="56" spans="1:10" x14ac:dyDescent="0.2">
      <c r="A56" s="22">
        <v>2</v>
      </c>
      <c r="B56" s="23" t="s">
        <v>225</v>
      </c>
      <c r="C56" s="23" t="s">
        <v>226</v>
      </c>
      <c r="D56" s="23" t="s">
        <v>144</v>
      </c>
      <c r="E56" s="24">
        <v>1300</v>
      </c>
      <c r="F56" s="25">
        <v>6378.0730000000003</v>
      </c>
      <c r="G56" s="26">
        <v>3.3416319999999999E-2</v>
      </c>
      <c r="H56" s="16">
        <v>7.3451000000000004</v>
      </c>
      <c r="J56" s="67"/>
    </row>
    <row r="57" spans="1:10" x14ac:dyDescent="0.2">
      <c r="A57" s="22">
        <v>3</v>
      </c>
      <c r="B57" s="23" t="s">
        <v>152</v>
      </c>
      <c r="C57" s="23" t="s">
        <v>153</v>
      </c>
      <c r="D57" s="23" t="s">
        <v>144</v>
      </c>
      <c r="E57" s="24">
        <v>1300</v>
      </c>
      <c r="F57" s="25">
        <v>6368.5439999999999</v>
      </c>
      <c r="G57" s="26">
        <v>3.3366390000000003E-2</v>
      </c>
      <c r="H57" s="16">
        <v>7.3150000000000004</v>
      </c>
      <c r="J57" s="67"/>
    </row>
    <row r="58" spans="1:10" x14ac:dyDescent="0.2">
      <c r="A58" s="22">
        <v>4</v>
      </c>
      <c r="B58" s="23" t="s">
        <v>397</v>
      </c>
      <c r="C58" s="23" t="s">
        <v>398</v>
      </c>
      <c r="D58" s="23" t="s">
        <v>147</v>
      </c>
      <c r="E58" s="24">
        <v>1000</v>
      </c>
      <c r="F58" s="25">
        <v>4917.4350000000004</v>
      </c>
      <c r="G58" s="26">
        <v>2.5763669999999999E-2</v>
      </c>
      <c r="H58" s="16">
        <v>7.21</v>
      </c>
      <c r="J58" s="67"/>
    </row>
    <row r="59" spans="1:10" x14ac:dyDescent="0.2">
      <c r="A59" s="22">
        <v>5</v>
      </c>
      <c r="B59" s="23" t="s">
        <v>399</v>
      </c>
      <c r="C59" s="23" t="s">
        <v>400</v>
      </c>
      <c r="D59" s="23" t="s">
        <v>162</v>
      </c>
      <c r="E59" s="24">
        <v>1000</v>
      </c>
      <c r="F59" s="25">
        <v>4906</v>
      </c>
      <c r="G59" s="26">
        <v>2.5703759999999999E-2</v>
      </c>
      <c r="H59" s="16">
        <v>7.2850000000000001</v>
      </c>
      <c r="J59" s="67"/>
    </row>
    <row r="60" spans="1:10" x14ac:dyDescent="0.2">
      <c r="A60" s="22">
        <v>6</v>
      </c>
      <c r="B60" s="23" t="s">
        <v>401</v>
      </c>
      <c r="C60" s="23" t="s">
        <v>402</v>
      </c>
      <c r="D60" s="23" t="s">
        <v>144</v>
      </c>
      <c r="E60" s="24">
        <v>1000</v>
      </c>
      <c r="F60" s="25">
        <v>4895.92</v>
      </c>
      <c r="G60" s="26">
        <v>2.5650949999999999E-2</v>
      </c>
      <c r="H60" s="16">
        <v>7.32</v>
      </c>
      <c r="J60" s="67"/>
    </row>
    <row r="61" spans="1:10" x14ac:dyDescent="0.2">
      <c r="A61" s="22">
        <v>7</v>
      </c>
      <c r="B61" s="23" t="s">
        <v>403</v>
      </c>
      <c r="C61" s="23" t="s">
        <v>404</v>
      </c>
      <c r="D61" s="23" t="s">
        <v>144</v>
      </c>
      <c r="E61" s="24">
        <v>1000</v>
      </c>
      <c r="F61" s="25">
        <v>4849.5450000000001</v>
      </c>
      <c r="G61" s="26">
        <v>2.540798E-2</v>
      </c>
      <c r="H61" s="16">
        <v>7.45</v>
      </c>
      <c r="J61" s="67"/>
    </row>
    <row r="62" spans="1:10" x14ac:dyDescent="0.2">
      <c r="A62" s="22">
        <v>8</v>
      </c>
      <c r="B62" s="23" t="s">
        <v>223</v>
      </c>
      <c r="C62" s="23" t="s">
        <v>224</v>
      </c>
      <c r="D62" s="23" t="s">
        <v>144</v>
      </c>
      <c r="E62" s="24">
        <v>900</v>
      </c>
      <c r="F62" s="25">
        <v>4422.0105000000003</v>
      </c>
      <c r="G62" s="26">
        <v>2.3168020000000001E-2</v>
      </c>
      <c r="H62" s="16">
        <v>7.2328999999999999</v>
      </c>
      <c r="J62" s="67"/>
    </row>
    <row r="63" spans="1:10" x14ac:dyDescent="0.2">
      <c r="A63" s="22">
        <v>9</v>
      </c>
      <c r="B63" s="23" t="s">
        <v>160</v>
      </c>
      <c r="C63" s="23" t="s">
        <v>161</v>
      </c>
      <c r="D63" s="23" t="s">
        <v>162</v>
      </c>
      <c r="E63" s="24">
        <v>840</v>
      </c>
      <c r="F63" s="25">
        <v>3931.7669999999998</v>
      </c>
      <c r="G63" s="26">
        <v>2.0599510000000001E-2</v>
      </c>
      <c r="H63" s="16">
        <v>7.6150000000000002</v>
      </c>
      <c r="J63" s="67"/>
    </row>
    <row r="64" spans="1:10" ht="25.5" x14ac:dyDescent="0.2">
      <c r="A64" s="22">
        <v>10</v>
      </c>
      <c r="B64" s="23" t="s">
        <v>231</v>
      </c>
      <c r="C64" s="23" t="s">
        <v>232</v>
      </c>
      <c r="D64" s="23" t="s">
        <v>144</v>
      </c>
      <c r="E64" s="24">
        <v>800</v>
      </c>
      <c r="F64" s="25">
        <v>3894.4720000000002</v>
      </c>
      <c r="G64" s="26">
        <v>2.040411E-2</v>
      </c>
      <c r="H64" s="16">
        <v>7.5499000000000001</v>
      </c>
      <c r="J64" s="67"/>
    </row>
    <row r="65" spans="1:10" ht="25.5" x14ac:dyDescent="0.2">
      <c r="A65" s="22">
        <v>11</v>
      </c>
      <c r="B65" s="23" t="s">
        <v>227</v>
      </c>
      <c r="C65" s="23" t="s">
        <v>228</v>
      </c>
      <c r="D65" s="23" t="s">
        <v>144</v>
      </c>
      <c r="E65" s="24">
        <v>800</v>
      </c>
      <c r="F65" s="25">
        <v>3873.04</v>
      </c>
      <c r="G65" s="26">
        <v>2.0291819999999999E-2</v>
      </c>
      <c r="H65" s="16">
        <v>7.5250000000000004</v>
      </c>
      <c r="J65" s="67"/>
    </row>
    <row r="66" spans="1:10" x14ac:dyDescent="0.2">
      <c r="A66" s="22">
        <v>12</v>
      </c>
      <c r="B66" s="23" t="s">
        <v>171</v>
      </c>
      <c r="C66" s="23" t="s">
        <v>172</v>
      </c>
      <c r="D66" s="23" t="s">
        <v>162</v>
      </c>
      <c r="E66" s="24">
        <v>800</v>
      </c>
      <c r="F66" s="25">
        <v>3858.28</v>
      </c>
      <c r="G66" s="26">
        <v>2.0214490000000002E-2</v>
      </c>
      <c r="H66" s="16">
        <v>7.4901</v>
      </c>
      <c r="J66" s="67"/>
    </row>
    <row r="67" spans="1:10" ht="25.5" x14ac:dyDescent="0.2">
      <c r="A67" s="22">
        <v>13</v>
      </c>
      <c r="B67" s="23" t="s">
        <v>221</v>
      </c>
      <c r="C67" s="23" t="s">
        <v>222</v>
      </c>
      <c r="D67" s="23" t="s">
        <v>144</v>
      </c>
      <c r="E67" s="24">
        <v>700</v>
      </c>
      <c r="F67" s="25">
        <v>3429.8984999999998</v>
      </c>
      <c r="G67" s="26">
        <v>1.7970099999999999E-2</v>
      </c>
      <c r="H67" s="16">
        <v>7.3861999999999997</v>
      </c>
      <c r="J67" s="67"/>
    </row>
    <row r="68" spans="1:10" x14ac:dyDescent="0.2">
      <c r="A68" s="22">
        <v>14</v>
      </c>
      <c r="B68" s="23" t="s">
        <v>163</v>
      </c>
      <c r="C68" s="23" t="s">
        <v>164</v>
      </c>
      <c r="D68" s="23" t="s">
        <v>144</v>
      </c>
      <c r="E68" s="24">
        <v>660</v>
      </c>
      <c r="F68" s="25">
        <v>3185.6253000000002</v>
      </c>
      <c r="G68" s="26">
        <v>1.669029E-2</v>
      </c>
      <c r="H68" s="16">
        <v>7.5750000000000002</v>
      </c>
      <c r="J68" s="67"/>
    </row>
    <row r="69" spans="1:10" x14ac:dyDescent="0.2">
      <c r="A69" s="22">
        <v>15</v>
      </c>
      <c r="B69" s="23" t="s">
        <v>165</v>
      </c>
      <c r="C69" s="23" t="s">
        <v>166</v>
      </c>
      <c r="D69" s="23" t="s">
        <v>144</v>
      </c>
      <c r="E69" s="24">
        <v>660</v>
      </c>
      <c r="F69" s="25">
        <v>3183.6387</v>
      </c>
      <c r="G69" s="26">
        <v>1.6679880000000001E-2</v>
      </c>
      <c r="H69" s="16">
        <v>7.58</v>
      </c>
      <c r="J69" s="67"/>
    </row>
    <row r="70" spans="1:10" x14ac:dyDescent="0.2">
      <c r="A70" s="22">
        <v>16</v>
      </c>
      <c r="B70" s="23" t="s">
        <v>167</v>
      </c>
      <c r="C70" s="23" t="s">
        <v>168</v>
      </c>
      <c r="D70" s="23" t="s">
        <v>162</v>
      </c>
      <c r="E70" s="24">
        <v>600</v>
      </c>
      <c r="F70" s="25">
        <v>2910.1979999999999</v>
      </c>
      <c r="G70" s="26">
        <v>1.524725E-2</v>
      </c>
      <c r="H70" s="16">
        <v>7.4100999999999999</v>
      </c>
      <c r="J70" s="67"/>
    </row>
    <row r="71" spans="1:10" x14ac:dyDescent="0.2">
      <c r="A71" s="22">
        <v>17</v>
      </c>
      <c r="B71" s="23" t="s">
        <v>405</v>
      </c>
      <c r="C71" s="23" t="s">
        <v>406</v>
      </c>
      <c r="D71" s="23" t="s">
        <v>144</v>
      </c>
      <c r="E71" s="24">
        <v>500</v>
      </c>
      <c r="F71" s="25">
        <v>2456.19</v>
      </c>
      <c r="G71" s="26">
        <v>1.2868589999999999E-2</v>
      </c>
      <c r="H71" s="16">
        <v>7.3150000000000004</v>
      </c>
      <c r="J71" s="67"/>
    </row>
    <row r="72" spans="1:10" ht="25.5" x14ac:dyDescent="0.2">
      <c r="A72" s="22">
        <v>18</v>
      </c>
      <c r="B72" s="23" t="s">
        <v>407</v>
      </c>
      <c r="C72" s="23" t="s">
        <v>408</v>
      </c>
      <c r="D72" s="23" t="s">
        <v>144</v>
      </c>
      <c r="E72" s="24">
        <v>500</v>
      </c>
      <c r="F72" s="25">
        <v>2446.5324999999998</v>
      </c>
      <c r="G72" s="26">
        <v>1.2818E-2</v>
      </c>
      <c r="H72" s="16">
        <v>7.3861999999999997</v>
      </c>
      <c r="J72" s="67"/>
    </row>
    <row r="73" spans="1:10" x14ac:dyDescent="0.2">
      <c r="A73" s="22">
        <v>19</v>
      </c>
      <c r="B73" s="23" t="s">
        <v>409</v>
      </c>
      <c r="C73" s="23" t="s">
        <v>410</v>
      </c>
      <c r="D73" s="23" t="s">
        <v>144</v>
      </c>
      <c r="E73" s="24">
        <v>500</v>
      </c>
      <c r="F73" s="25">
        <v>2435.125</v>
      </c>
      <c r="G73" s="26">
        <v>1.2758230000000001E-2</v>
      </c>
      <c r="H73" s="16">
        <v>7.4801000000000002</v>
      </c>
      <c r="J73" s="67"/>
    </row>
    <row r="74" spans="1:10" ht="25.5" x14ac:dyDescent="0.2">
      <c r="A74" s="22">
        <v>20</v>
      </c>
      <c r="B74" s="23" t="s">
        <v>411</v>
      </c>
      <c r="C74" s="23" t="s">
        <v>412</v>
      </c>
      <c r="D74" s="23" t="s">
        <v>144</v>
      </c>
      <c r="E74" s="24">
        <v>500</v>
      </c>
      <c r="F74" s="25">
        <v>2428.1774999999998</v>
      </c>
      <c r="G74" s="26">
        <v>1.272183E-2</v>
      </c>
      <c r="H74" s="16">
        <v>7.4974999999999996</v>
      </c>
      <c r="J74" s="67"/>
    </row>
    <row r="75" spans="1:10" x14ac:dyDescent="0.2">
      <c r="A75" s="22">
        <v>21</v>
      </c>
      <c r="B75" s="23" t="s">
        <v>413</v>
      </c>
      <c r="C75" s="23" t="s">
        <v>414</v>
      </c>
      <c r="D75" s="23" t="s">
        <v>144</v>
      </c>
      <c r="E75" s="24">
        <v>500</v>
      </c>
      <c r="F75" s="25">
        <v>2422.1725000000001</v>
      </c>
      <c r="G75" s="26">
        <v>1.2690369999999999E-2</v>
      </c>
      <c r="H75" s="16">
        <v>7.47</v>
      </c>
      <c r="J75" s="67"/>
    </row>
    <row r="76" spans="1:10" x14ac:dyDescent="0.2">
      <c r="A76" s="22">
        <v>22</v>
      </c>
      <c r="B76" s="23" t="s">
        <v>415</v>
      </c>
      <c r="C76" s="23" t="s">
        <v>416</v>
      </c>
      <c r="D76" s="23" t="s">
        <v>144</v>
      </c>
      <c r="E76" s="24">
        <v>500</v>
      </c>
      <c r="F76" s="25">
        <v>2421.2125000000001</v>
      </c>
      <c r="G76" s="26">
        <v>1.268534E-2</v>
      </c>
      <c r="H76" s="16">
        <v>7.47</v>
      </c>
      <c r="J76" s="67"/>
    </row>
    <row r="77" spans="1:10" x14ac:dyDescent="0.2">
      <c r="A77" s="22">
        <v>23</v>
      </c>
      <c r="B77" s="23" t="s">
        <v>417</v>
      </c>
      <c r="C77" s="23" t="s">
        <v>418</v>
      </c>
      <c r="D77" s="23" t="s">
        <v>147</v>
      </c>
      <c r="E77" s="24">
        <v>500</v>
      </c>
      <c r="F77" s="25">
        <v>2406.6675</v>
      </c>
      <c r="G77" s="26">
        <v>1.260913E-2</v>
      </c>
      <c r="H77" s="16">
        <v>7.45</v>
      </c>
      <c r="J77" s="67"/>
    </row>
    <row r="78" spans="1:10" x14ac:dyDescent="0.2">
      <c r="A78" s="22">
        <v>24</v>
      </c>
      <c r="B78" s="23" t="s">
        <v>419</v>
      </c>
      <c r="C78" s="23" t="s">
        <v>420</v>
      </c>
      <c r="D78" s="23" t="s">
        <v>144</v>
      </c>
      <c r="E78" s="24">
        <v>500</v>
      </c>
      <c r="F78" s="25">
        <v>2405.71</v>
      </c>
      <c r="G78" s="26">
        <v>1.260412E-2</v>
      </c>
      <c r="H78" s="16">
        <v>7.49</v>
      </c>
      <c r="J78" s="67"/>
    </row>
    <row r="79" spans="1:10" x14ac:dyDescent="0.2">
      <c r="A79" s="22">
        <v>25</v>
      </c>
      <c r="B79" s="23" t="s">
        <v>150</v>
      </c>
      <c r="C79" s="23" t="s">
        <v>151</v>
      </c>
      <c r="D79" s="23" t="s">
        <v>144</v>
      </c>
      <c r="E79" s="24">
        <v>500</v>
      </c>
      <c r="F79" s="25">
        <v>2369.9</v>
      </c>
      <c r="G79" s="26">
        <v>1.24165E-2</v>
      </c>
      <c r="H79" s="16">
        <v>7.59</v>
      </c>
      <c r="J79" s="67"/>
    </row>
    <row r="80" spans="1:10" x14ac:dyDescent="0.2">
      <c r="A80" s="22">
        <v>26</v>
      </c>
      <c r="B80" s="23" t="s">
        <v>421</v>
      </c>
      <c r="C80" s="23" t="s">
        <v>422</v>
      </c>
      <c r="D80" s="23" t="s">
        <v>144</v>
      </c>
      <c r="E80" s="24">
        <v>500</v>
      </c>
      <c r="F80" s="25">
        <v>2326.3975</v>
      </c>
      <c r="G80" s="26">
        <v>1.2188579999999999E-2</v>
      </c>
      <c r="H80" s="16">
        <v>7.6725000000000003</v>
      </c>
      <c r="J80" s="67"/>
    </row>
    <row r="81" spans="1:10" x14ac:dyDescent="0.2">
      <c r="A81" s="22">
        <v>27</v>
      </c>
      <c r="B81" s="23" t="s">
        <v>423</v>
      </c>
      <c r="C81" s="23" t="s">
        <v>424</v>
      </c>
      <c r="D81" s="23" t="s">
        <v>144</v>
      </c>
      <c r="E81" s="24">
        <v>500</v>
      </c>
      <c r="F81" s="25">
        <v>2325.2049999999999</v>
      </c>
      <c r="G81" s="26">
        <v>1.218233E-2</v>
      </c>
      <c r="H81" s="16">
        <v>7.7949999999999999</v>
      </c>
      <c r="J81" s="67"/>
    </row>
    <row r="82" spans="1:10" x14ac:dyDescent="0.2">
      <c r="A82" s="22">
        <v>28</v>
      </c>
      <c r="B82" s="23" t="s">
        <v>169</v>
      </c>
      <c r="C82" s="23" t="s">
        <v>170</v>
      </c>
      <c r="D82" s="23" t="s">
        <v>144</v>
      </c>
      <c r="E82" s="24">
        <v>400</v>
      </c>
      <c r="F82" s="25">
        <v>1937.24</v>
      </c>
      <c r="G82" s="26">
        <v>1.0149679999999999E-2</v>
      </c>
      <c r="H82" s="16">
        <v>7.5800999999999998</v>
      </c>
      <c r="J82" s="67"/>
    </row>
    <row r="83" spans="1:10" ht="25.5" x14ac:dyDescent="0.2">
      <c r="A83" s="22">
        <v>29</v>
      </c>
      <c r="B83" s="23" t="s">
        <v>154</v>
      </c>
      <c r="C83" s="23" t="s">
        <v>155</v>
      </c>
      <c r="D83" s="23" t="s">
        <v>144</v>
      </c>
      <c r="E83" s="24">
        <v>300</v>
      </c>
      <c r="F83" s="25">
        <v>1450.9590000000001</v>
      </c>
      <c r="G83" s="26">
        <v>7.6019399999999997E-3</v>
      </c>
      <c r="H83" s="16">
        <v>7.5225</v>
      </c>
      <c r="J83" s="67"/>
    </row>
    <row r="84" spans="1:10" x14ac:dyDescent="0.2">
      <c r="A84" s="22">
        <v>30</v>
      </c>
      <c r="B84" s="23" t="s">
        <v>156</v>
      </c>
      <c r="C84" s="23" t="s">
        <v>157</v>
      </c>
      <c r="D84" s="23" t="s">
        <v>144</v>
      </c>
      <c r="E84" s="24">
        <v>300</v>
      </c>
      <c r="F84" s="25">
        <v>1448.7525000000001</v>
      </c>
      <c r="G84" s="26">
        <v>7.5903799999999999E-3</v>
      </c>
      <c r="H84" s="16">
        <v>7.5067000000000004</v>
      </c>
      <c r="J84" s="67"/>
    </row>
    <row r="85" spans="1:10" ht="25.5" x14ac:dyDescent="0.2">
      <c r="A85" s="22">
        <v>31</v>
      </c>
      <c r="B85" s="23" t="s">
        <v>229</v>
      </c>
      <c r="C85" s="23" t="s">
        <v>230</v>
      </c>
      <c r="D85" s="23" t="s">
        <v>144</v>
      </c>
      <c r="E85" s="24">
        <v>300</v>
      </c>
      <c r="F85" s="25">
        <v>1446.9195</v>
      </c>
      <c r="G85" s="26">
        <v>7.5807699999999997E-3</v>
      </c>
      <c r="H85" s="16">
        <v>7.5225</v>
      </c>
      <c r="J85" s="67"/>
    </row>
    <row r="86" spans="1:10" x14ac:dyDescent="0.2">
      <c r="A86" s="22">
        <v>32</v>
      </c>
      <c r="B86" s="23" t="s">
        <v>158</v>
      </c>
      <c r="C86" s="23" t="s">
        <v>159</v>
      </c>
      <c r="D86" s="23" t="s">
        <v>144</v>
      </c>
      <c r="E86" s="24">
        <v>300</v>
      </c>
      <c r="F86" s="25">
        <v>1443.9974999999999</v>
      </c>
      <c r="G86" s="26">
        <v>7.5654600000000004E-3</v>
      </c>
      <c r="H86" s="16">
        <v>7.57</v>
      </c>
      <c r="J86" s="67"/>
    </row>
    <row r="87" spans="1:10" x14ac:dyDescent="0.2">
      <c r="A87" s="22">
        <v>33</v>
      </c>
      <c r="B87" s="23" t="s">
        <v>145</v>
      </c>
      <c r="C87" s="23" t="s">
        <v>146</v>
      </c>
      <c r="D87" s="23" t="s">
        <v>147</v>
      </c>
      <c r="E87" s="24">
        <v>200</v>
      </c>
      <c r="F87" s="25">
        <v>966.08399999999995</v>
      </c>
      <c r="G87" s="26">
        <v>5.0615599999999997E-3</v>
      </c>
      <c r="H87" s="16">
        <v>7.45</v>
      </c>
      <c r="J87" s="67"/>
    </row>
    <row r="88" spans="1:10" x14ac:dyDescent="0.2">
      <c r="A88" s="22">
        <v>34</v>
      </c>
      <c r="B88" s="23" t="s">
        <v>142</v>
      </c>
      <c r="C88" s="23" t="s">
        <v>143</v>
      </c>
      <c r="D88" s="23" t="s">
        <v>144</v>
      </c>
      <c r="E88" s="24">
        <v>100</v>
      </c>
      <c r="F88" s="25">
        <v>482.52100000000002</v>
      </c>
      <c r="G88" s="26">
        <v>2.52805E-3</v>
      </c>
      <c r="H88" s="16">
        <v>7.47</v>
      </c>
      <c r="J88" s="67"/>
    </row>
    <row r="89" spans="1:10" x14ac:dyDescent="0.2">
      <c r="A89" s="14"/>
      <c r="B89" s="14"/>
      <c r="C89" s="15" t="s">
        <v>11</v>
      </c>
      <c r="D89" s="14"/>
      <c r="E89" s="14" t="s">
        <v>12</v>
      </c>
      <c r="F89" s="21">
        <v>108963.008</v>
      </c>
      <c r="G89" s="18">
        <v>0.57088444000000005</v>
      </c>
      <c r="H89" s="16" t="s">
        <v>12</v>
      </c>
      <c r="J89" s="67"/>
    </row>
    <row r="90" spans="1:10" x14ac:dyDescent="0.2">
      <c r="A90" s="14"/>
      <c r="B90" s="14"/>
      <c r="C90" s="19"/>
      <c r="D90" s="14"/>
      <c r="E90" s="14"/>
      <c r="F90" s="20"/>
      <c r="G90" s="20"/>
      <c r="H90" s="16" t="s">
        <v>12</v>
      </c>
      <c r="J90" s="67"/>
    </row>
    <row r="91" spans="1:10" x14ac:dyDescent="0.2">
      <c r="A91" s="14"/>
      <c r="B91" s="14"/>
      <c r="C91" s="15" t="s">
        <v>86</v>
      </c>
      <c r="D91" s="14"/>
      <c r="E91" s="14"/>
      <c r="F91" s="20"/>
      <c r="G91" s="20"/>
      <c r="H91" s="16" t="s">
        <v>12</v>
      </c>
      <c r="J91" s="67"/>
    </row>
    <row r="92" spans="1:10" x14ac:dyDescent="0.2">
      <c r="A92" s="22">
        <v>1</v>
      </c>
      <c r="B92" s="23" t="s">
        <v>425</v>
      </c>
      <c r="C92" s="23" t="s">
        <v>426</v>
      </c>
      <c r="D92" s="23" t="s">
        <v>144</v>
      </c>
      <c r="E92" s="24">
        <v>1000</v>
      </c>
      <c r="F92" s="25">
        <v>4893.835</v>
      </c>
      <c r="G92" s="26">
        <v>2.5640019999999999E-2</v>
      </c>
      <c r="H92" s="16">
        <v>7.4</v>
      </c>
      <c r="J92" s="67"/>
    </row>
    <row r="93" spans="1:10" ht="25.5" x14ac:dyDescent="0.2">
      <c r="A93" s="22">
        <v>2</v>
      </c>
      <c r="B93" s="23" t="s">
        <v>427</v>
      </c>
      <c r="C93" s="23" t="s">
        <v>428</v>
      </c>
      <c r="D93" s="23" t="s">
        <v>144</v>
      </c>
      <c r="E93" s="24">
        <v>1000</v>
      </c>
      <c r="F93" s="25">
        <v>4880.4949999999999</v>
      </c>
      <c r="G93" s="26">
        <v>2.557013E-2</v>
      </c>
      <c r="H93" s="16">
        <v>7.84</v>
      </c>
      <c r="J93" s="67"/>
    </row>
    <row r="94" spans="1:10" ht="25.5" x14ac:dyDescent="0.2">
      <c r="A94" s="22">
        <v>3</v>
      </c>
      <c r="B94" s="23" t="s">
        <v>429</v>
      </c>
      <c r="C94" s="23" t="s">
        <v>430</v>
      </c>
      <c r="D94" s="23" t="s">
        <v>144</v>
      </c>
      <c r="E94" s="24">
        <v>1000</v>
      </c>
      <c r="F94" s="25">
        <v>4820.29</v>
      </c>
      <c r="G94" s="26">
        <v>2.5254700000000001E-2</v>
      </c>
      <c r="H94" s="16">
        <v>7.56</v>
      </c>
      <c r="J94" s="67"/>
    </row>
    <row r="95" spans="1:10" x14ac:dyDescent="0.2">
      <c r="A95" s="22">
        <v>4</v>
      </c>
      <c r="B95" s="23" t="s">
        <v>431</v>
      </c>
      <c r="C95" s="23" t="s">
        <v>432</v>
      </c>
      <c r="D95" s="23" t="s">
        <v>144</v>
      </c>
      <c r="E95" s="24">
        <v>1000</v>
      </c>
      <c r="F95" s="25">
        <v>4807.38</v>
      </c>
      <c r="G95" s="26">
        <v>2.5187069999999999E-2</v>
      </c>
      <c r="H95" s="16">
        <v>8.2624999999999993</v>
      </c>
      <c r="J95" s="67"/>
    </row>
    <row r="96" spans="1:10" x14ac:dyDescent="0.2">
      <c r="A96" s="22">
        <v>5</v>
      </c>
      <c r="B96" s="23" t="s">
        <v>433</v>
      </c>
      <c r="C96" s="23" t="s">
        <v>434</v>
      </c>
      <c r="D96" s="23" t="s">
        <v>144</v>
      </c>
      <c r="E96" s="24">
        <v>1000</v>
      </c>
      <c r="F96" s="25">
        <v>4800.3649999999998</v>
      </c>
      <c r="G96" s="26">
        <v>2.5150309999999999E-2</v>
      </c>
      <c r="H96" s="16">
        <v>7.9474999999999998</v>
      </c>
      <c r="J96" s="67"/>
    </row>
    <row r="97" spans="1:10" ht="25.5" x14ac:dyDescent="0.2">
      <c r="A97" s="22">
        <v>6</v>
      </c>
      <c r="B97" s="23" t="s">
        <v>177</v>
      </c>
      <c r="C97" s="23" t="s">
        <v>178</v>
      </c>
      <c r="D97" s="23" t="s">
        <v>144</v>
      </c>
      <c r="E97" s="24">
        <v>800</v>
      </c>
      <c r="F97" s="25">
        <v>3915.5160000000001</v>
      </c>
      <c r="G97" s="26">
        <v>2.0514370000000001E-2</v>
      </c>
      <c r="H97" s="16">
        <v>7.9550000000000001</v>
      </c>
      <c r="J97" s="67"/>
    </row>
    <row r="98" spans="1:10" x14ac:dyDescent="0.2">
      <c r="A98" s="22">
        <v>7</v>
      </c>
      <c r="B98" s="23" t="s">
        <v>435</v>
      </c>
      <c r="C98" s="23" t="s">
        <v>436</v>
      </c>
      <c r="D98" s="23" t="s">
        <v>144</v>
      </c>
      <c r="E98" s="24">
        <v>500</v>
      </c>
      <c r="F98" s="25">
        <v>2408.69</v>
      </c>
      <c r="G98" s="26">
        <v>1.2619729999999999E-2</v>
      </c>
      <c r="H98" s="16">
        <v>7.52</v>
      </c>
      <c r="J98" s="67"/>
    </row>
    <row r="99" spans="1:10" ht="25.5" x14ac:dyDescent="0.2">
      <c r="A99" s="22">
        <v>8</v>
      </c>
      <c r="B99" s="23" t="s">
        <v>437</v>
      </c>
      <c r="C99" s="23" t="s">
        <v>438</v>
      </c>
      <c r="D99" s="23" t="s">
        <v>144</v>
      </c>
      <c r="E99" s="24">
        <v>500</v>
      </c>
      <c r="F99" s="25">
        <v>2390.6025</v>
      </c>
      <c r="G99" s="26">
        <v>1.252496E-2</v>
      </c>
      <c r="H99" s="16">
        <v>8.31</v>
      </c>
      <c r="J99" s="67"/>
    </row>
    <row r="100" spans="1:10" x14ac:dyDescent="0.2">
      <c r="A100" s="22">
        <v>9</v>
      </c>
      <c r="B100" s="23" t="s">
        <v>179</v>
      </c>
      <c r="C100" s="23" t="s">
        <v>180</v>
      </c>
      <c r="D100" s="23" t="s">
        <v>144</v>
      </c>
      <c r="E100" s="24">
        <v>300</v>
      </c>
      <c r="F100" s="25">
        <v>1445.5319999999999</v>
      </c>
      <c r="G100" s="26">
        <v>7.5735000000000004E-3</v>
      </c>
      <c r="H100" s="16">
        <v>7.95</v>
      </c>
      <c r="J100" s="67"/>
    </row>
    <row r="101" spans="1:10" ht="25.5" x14ac:dyDescent="0.2">
      <c r="A101" s="22">
        <v>10</v>
      </c>
      <c r="B101" s="23" t="s">
        <v>183</v>
      </c>
      <c r="C101" s="23" t="s">
        <v>184</v>
      </c>
      <c r="D101" s="23" t="s">
        <v>144</v>
      </c>
      <c r="E101" s="24">
        <v>300</v>
      </c>
      <c r="F101" s="25">
        <v>1419.5730000000001</v>
      </c>
      <c r="G101" s="26">
        <v>7.4374999999999997E-3</v>
      </c>
      <c r="H101" s="16">
        <v>7.6875</v>
      </c>
      <c r="J101" s="67"/>
    </row>
    <row r="102" spans="1:10" x14ac:dyDescent="0.2">
      <c r="A102" s="14"/>
      <c r="B102" s="14"/>
      <c r="C102" s="15" t="s">
        <v>11</v>
      </c>
      <c r="D102" s="14"/>
      <c r="E102" s="14" t="s">
        <v>12</v>
      </c>
      <c r="F102" s="21">
        <v>35782.2785</v>
      </c>
      <c r="G102" s="18">
        <v>0.18747229000000001</v>
      </c>
      <c r="H102" s="16" t="s">
        <v>12</v>
      </c>
      <c r="J102" s="67"/>
    </row>
    <row r="103" spans="1:10" x14ac:dyDescent="0.2">
      <c r="A103" s="14"/>
      <c r="B103" s="14"/>
      <c r="C103" s="19"/>
      <c r="D103" s="14"/>
      <c r="E103" s="14"/>
      <c r="F103" s="20"/>
      <c r="G103" s="20"/>
      <c r="H103" s="16" t="s">
        <v>12</v>
      </c>
      <c r="J103" s="67"/>
    </row>
    <row r="104" spans="1:10" x14ac:dyDescent="0.2">
      <c r="A104" s="14"/>
      <c r="B104" s="14"/>
      <c r="C104" s="15" t="s">
        <v>87</v>
      </c>
      <c r="D104" s="14"/>
      <c r="E104" s="14"/>
      <c r="F104" s="20"/>
      <c r="G104" s="20"/>
      <c r="H104" s="16" t="s">
        <v>12</v>
      </c>
      <c r="J104" s="67"/>
    </row>
    <row r="105" spans="1:10" x14ac:dyDescent="0.2">
      <c r="A105" s="22">
        <v>1</v>
      </c>
      <c r="B105" s="23" t="s">
        <v>360</v>
      </c>
      <c r="C105" s="23" t="s">
        <v>361</v>
      </c>
      <c r="D105" s="23" t="s">
        <v>71</v>
      </c>
      <c r="E105" s="24">
        <v>5000000</v>
      </c>
      <c r="F105" s="25">
        <v>4990.2049999999999</v>
      </c>
      <c r="G105" s="26">
        <v>2.614493E-2</v>
      </c>
      <c r="H105" s="16">
        <v>6.5128000000000004</v>
      </c>
      <c r="J105" s="67"/>
    </row>
    <row r="106" spans="1:10" x14ac:dyDescent="0.2">
      <c r="A106" s="22">
        <v>2</v>
      </c>
      <c r="B106" s="23" t="s">
        <v>439</v>
      </c>
      <c r="C106" s="23" t="s">
        <v>440</v>
      </c>
      <c r="D106" s="23" t="s">
        <v>71</v>
      </c>
      <c r="E106" s="24">
        <v>5000000</v>
      </c>
      <c r="F106" s="25">
        <v>4990.1750000000002</v>
      </c>
      <c r="G106" s="26">
        <v>2.6144770000000001E-2</v>
      </c>
      <c r="H106" s="16">
        <v>6.5346000000000002</v>
      </c>
      <c r="J106" s="67"/>
    </row>
    <row r="107" spans="1:10" x14ac:dyDescent="0.2">
      <c r="A107" s="22">
        <v>3</v>
      </c>
      <c r="B107" s="23" t="s">
        <v>358</v>
      </c>
      <c r="C107" s="23" t="s">
        <v>359</v>
      </c>
      <c r="D107" s="23" t="s">
        <v>71</v>
      </c>
      <c r="E107" s="24">
        <v>3700000</v>
      </c>
      <c r="F107" s="25">
        <v>3697.3656000000001</v>
      </c>
      <c r="G107" s="26">
        <v>1.937142E-2</v>
      </c>
      <c r="H107" s="16">
        <v>6.5003000000000002</v>
      </c>
      <c r="J107" s="67"/>
    </row>
    <row r="108" spans="1:10" x14ac:dyDescent="0.2">
      <c r="A108" s="22">
        <v>4</v>
      </c>
      <c r="B108" s="23" t="s">
        <v>441</v>
      </c>
      <c r="C108" s="23" t="s">
        <v>442</v>
      </c>
      <c r="D108" s="23" t="s">
        <v>71</v>
      </c>
      <c r="E108" s="24">
        <v>500000</v>
      </c>
      <c r="F108" s="25">
        <v>497.11599999999999</v>
      </c>
      <c r="G108" s="26">
        <v>2.6045199999999999E-3</v>
      </c>
      <c r="H108" s="16">
        <v>6.6172000000000004</v>
      </c>
      <c r="J108" s="67"/>
    </row>
    <row r="109" spans="1:10" x14ac:dyDescent="0.2">
      <c r="A109" s="14"/>
      <c r="B109" s="14"/>
      <c r="C109" s="15" t="s">
        <v>11</v>
      </c>
      <c r="D109" s="14"/>
      <c r="E109" s="14" t="s">
        <v>12</v>
      </c>
      <c r="F109" s="21">
        <v>14174.8616</v>
      </c>
      <c r="G109" s="18">
        <v>7.4265639999999994E-2</v>
      </c>
      <c r="H109" s="16" t="s">
        <v>12</v>
      </c>
      <c r="J109" s="67"/>
    </row>
    <row r="110" spans="1:10" x14ac:dyDescent="0.2">
      <c r="A110" s="14"/>
      <c r="B110" s="14"/>
      <c r="C110" s="19"/>
      <c r="D110" s="14"/>
      <c r="E110" s="14"/>
      <c r="F110" s="20"/>
      <c r="G110" s="20"/>
      <c r="H110" s="16" t="s">
        <v>12</v>
      </c>
      <c r="J110" s="67"/>
    </row>
    <row r="111" spans="1:10" x14ac:dyDescent="0.2">
      <c r="A111" s="14"/>
      <c r="B111" s="14"/>
      <c r="C111" s="15" t="s">
        <v>88</v>
      </c>
      <c r="D111" s="14"/>
      <c r="E111" s="14"/>
      <c r="F111" s="20"/>
      <c r="G111" s="20"/>
      <c r="H111" s="16" t="s">
        <v>12</v>
      </c>
      <c r="J111" s="67"/>
    </row>
    <row r="112" spans="1:10" x14ac:dyDescent="0.2">
      <c r="A112" s="22">
        <v>1</v>
      </c>
      <c r="B112" s="23"/>
      <c r="C112" s="23" t="s">
        <v>89</v>
      </c>
      <c r="D112" s="23"/>
      <c r="E112" s="27"/>
      <c r="F112" s="25">
        <v>2145.99028481</v>
      </c>
      <c r="G112" s="26">
        <v>1.1243380000000001E-2</v>
      </c>
      <c r="H112" s="16">
        <v>6.62</v>
      </c>
      <c r="J112" s="67"/>
    </row>
    <row r="113" spans="1:18" x14ac:dyDescent="0.2">
      <c r="A113" s="14"/>
      <c r="B113" s="14"/>
      <c r="C113" s="15" t="s">
        <v>11</v>
      </c>
      <c r="D113" s="14"/>
      <c r="E113" s="14" t="s">
        <v>12</v>
      </c>
      <c r="F113" s="21">
        <v>2145.99028481</v>
      </c>
      <c r="G113" s="18">
        <v>1.1243380000000001E-2</v>
      </c>
      <c r="H113" s="16" t="s">
        <v>12</v>
      </c>
      <c r="J113" s="67"/>
    </row>
    <row r="114" spans="1:18" x14ac:dyDescent="0.2">
      <c r="A114" s="14"/>
      <c r="B114" s="14"/>
      <c r="C114" s="19"/>
      <c r="D114" s="14"/>
      <c r="E114" s="14"/>
      <c r="F114" s="20"/>
      <c r="G114" s="20"/>
      <c r="H114" s="16" t="s">
        <v>12</v>
      </c>
      <c r="J114" s="67"/>
    </row>
    <row r="115" spans="1:18" x14ac:dyDescent="0.2">
      <c r="A115" s="14"/>
      <c r="B115" s="14"/>
      <c r="C115" s="15" t="s">
        <v>90</v>
      </c>
      <c r="D115" s="14"/>
      <c r="E115" s="14"/>
      <c r="F115" s="21">
        <v>161066.13838481001</v>
      </c>
      <c r="G115" s="18">
        <v>0.84386574999999997</v>
      </c>
      <c r="H115" s="16" t="s">
        <v>12</v>
      </c>
      <c r="J115" s="67"/>
    </row>
    <row r="116" spans="1:18" x14ac:dyDescent="0.2">
      <c r="A116" s="14"/>
      <c r="B116" s="14"/>
      <c r="C116" s="20"/>
      <c r="D116" s="14"/>
      <c r="E116" s="14"/>
      <c r="F116" s="14"/>
      <c r="G116" s="14"/>
      <c r="H116" s="16" t="s">
        <v>12</v>
      </c>
      <c r="J116" s="67"/>
    </row>
    <row r="117" spans="1:18" x14ac:dyDescent="0.2">
      <c r="A117" s="14"/>
      <c r="B117" s="14"/>
      <c r="C117" s="15" t="s">
        <v>91</v>
      </c>
      <c r="D117" s="14"/>
      <c r="E117" s="14"/>
      <c r="F117" s="14"/>
      <c r="G117" s="14"/>
      <c r="H117" s="16" t="s">
        <v>12</v>
      </c>
      <c r="J117" s="67"/>
    </row>
    <row r="118" spans="1:18" x14ac:dyDescent="0.2">
      <c r="A118" s="14"/>
      <c r="B118" s="14"/>
      <c r="C118" s="15" t="s">
        <v>92</v>
      </c>
      <c r="D118" s="14"/>
      <c r="E118" s="14"/>
      <c r="F118" s="14"/>
      <c r="G118" s="14"/>
      <c r="H118" s="16" t="s">
        <v>12</v>
      </c>
      <c r="J118" s="71"/>
    </row>
    <row r="119" spans="1:18" x14ac:dyDescent="0.2">
      <c r="A119" s="14"/>
      <c r="B119" s="14"/>
      <c r="C119" s="15" t="s">
        <v>11</v>
      </c>
      <c r="D119" s="14"/>
      <c r="E119" s="14" t="s">
        <v>12</v>
      </c>
      <c r="F119" s="17" t="s">
        <v>13</v>
      </c>
      <c r="G119" s="18">
        <v>0</v>
      </c>
      <c r="H119" s="16" t="s">
        <v>12</v>
      </c>
      <c r="J119" s="71"/>
    </row>
    <row r="120" spans="1:18" x14ac:dyDescent="0.2">
      <c r="A120" s="14"/>
      <c r="B120" s="14"/>
      <c r="C120" s="19"/>
      <c r="D120" s="14"/>
      <c r="E120" s="14"/>
      <c r="F120" s="20"/>
      <c r="G120" s="20"/>
      <c r="H120" s="16" t="s">
        <v>12</v>
      </c>
      <c r="J120" s="71"/>
    </row>
    <row r="121" spans="1:18" x14ac:dyDescent="0.2">
      <c r="A121" s="28"/>
      <c r="B121" s="28"/>
      <c r="C121" s="29" t="s">
        <v>536</v>
      </c>
      <c r="D121" s="28"/>
      <c r="E121" s="28"/>
      <c r="F121" s="30"/>
      <c r="G121" s="30"/>
      <c r="H121" s="31"/>
      <c r="J121" s="71"/>
      <c r="L121" s="32"/>
      <c r="M121" s="32"/>
      <c r="N121" s="32"/>
      <c r="O121" s="32"/>
      <c r="P121" s="33"/>
      <c r="Q121" s="33"/>
      <c r="R121" s="33"/>
    </row>
    <row r="122" spans="1:18" x14ac:dyDescent="0.2">
      <c r="A122" s="22">
        <v>1</v>
      </c>
      <c r="B122" s="23" t="s">
        <v>93</v>
      </c>
      <c r="C122" s="23" t="s">
        <v>94</v>
      </c>
      <c r="D122" s="23"/>
      <c r="E122" s="34">
        <v>4528.5039999999999</v>
      </c>
      <c r="F122" s="25">
        <v>469.47097425099997</v>
      </c>
      <c r="G122" s="26">
        <v>2.4596800000000001E-3</v>
      </c>
      <c r="H122" s="16"/>
      <c r="J122" s="71"/>
    </row>
    <row r="123" spans="1:18" x14ac:dyDescent="0.2">
      <c r="A123" s="14"/>
      <c r="B123" s="14"/>
      <c r="C123" s="15" t="s">
        <v>11</v>
      </c>
      <c r="D123" s="14"/>
      <c r="E123" s="14" t="s">
        <v>12</v>
      </c>
      <c r="F123" s="21">
        <v>469.47097425099997</v>
      </c>
      <c r="G123" s="18">
        <v>2.4596800000000001E-3</v>
      </c>
      <c r="H123" s="16" t="s">
        <v>12</v>
      </c>
      <c r="J123" s="71"/>
    </row>
    <row r="124" spans="1:18" x14ac:dyDescent="0.2">
      <c r="A124" s="14"/>
      <c r="B124" s="14"/>
      <c r="C124" s="19"/>
      <c r="D124" s="14"/>
      <c r="E124" s="14"/>
      <c r="F124" s="20"/>
      <c r="G124" s="20"/>
      <c r="H124" s="16" t="s">
        <v>12</v>
      </c>
      <c r="J124" s="71"/>
    </row>
    <row r="125" spans="1:18" x14ac:dyDescent="0.2">
      <c r="A125" s="14"/>
      <c r="B125" s="14"/>
      <c r="C125" s="15" t="s">
        <v>95</v>
      </c>
      <c r="D125" s="14"/>
      <c r="E125" s="14"/>
      <c r="F125" s="14"/>
      <c r="G125" s="14"/>
      <c r="H125" s="16" t="s">
        <v>12</v>
      </c>
      <c r="J125" s="67"/>
    </row>
    <row r="126" spans="1:18" x14ac:dyDescent="0.2">
      <c r="A126" s="14"/>
      <c r="B126" s="14"/>
      <c r="C126" s="15" t="s">
        <v>96</v>
      </c>
      <c r="D126" s="14"/>
      <c r="E126" s="14"/>
      <c r="F126" s="14"/>
      <c r="G126" s="14"/>
      <c r="H126" s="16" t="s">
        <v>12</v>
      </c>
      <c r="J126" s="67"/>
    </row>
    <row r="127" spans="1:18" x14ac:dyDescent="0.2">
      <c r="A127" s="14"/>
      <c r="B127" s="14"/>
      <c r="C127" s="15" t="s">
        <v>11</v>
      </c>
      <c r="D127" s="14"/>
      <c r="E127" s="14" t="s">
        <v>12</v>
      </c>
      <c r="F127" s="17" t="s">
        <v>13</v>
      </c>
      <c r="G127" s="18">
        <v>0</v>
      </c>
      <c r="H127" s="16" t="s">
        <v>12</v>
      </c>
      <c r="J127" s="67"/>
    </row>
    <row r="128" spans="1:18" x14ac:dyDescent="0.2">
      <c r="A128" s="14"/>
      <c r="B128" s="14"/>
      <c r="C128" s="19"/>
      <c r="D128" s="14"/>
      <c r="E128" s="14"/>
      <c r="F128" s="20"/>
      <c r="G128" s="20"/>
      <c r="H128" s="16" t="s">
        <v>12</v>
      </c>
      <c r="J128" s="71"/>
    </row>
    <row r="129" spans="1:10" x14ac:dyDescent="0.2">
      <c r="A129" s="14"/>
      <c r="B129" s="14"/>
      <c r="C129" s="15" t="s">
        <v>97</v>
      </c>
      <c r="D129" s="14"/>
      <c r="E129" s="14"/>
      <c r="F129" s="20"/>
      <c r="G129" s="20"/>
      <c r="H129" s="16" t="s">
        <v>12</v>
      </c>
      <c r="J129" s="71"/>
    </row>
    <row r="130" spans="1:10" x14ac:dyDescent="0.2">
      <c r="A130" s="14"/>
      <c r="B130" s="14"/>
      <c r="C130" s="15" t="s">
        <v>11</v>
      </c>
      <c r="D130" s="14"/>
      <c r="E130" s="14" t="s">
        <v>12</v>
      </c>
      <c r="F130" s="17" t="s">
        <v>13</v>
      </c>
      <c r="G130" s="18">
        <v>0</v>
      </c>
      <c r="H130" s="16" t="s">
        <v>12</v>
      </c>
      <c r="J130" s="67"/>
    </row>
    <row r="131" spans="1:10" x14ac:dyDescent="0.2">
      <c r="A131" s="14"/>
      <c r="B131" s="14"/>
      <c r="C131" s="19"/>
      <c r="D131" s="14"/>
      <c r="E131" s="14"/>
      <c r="F131" s="20"/>
      <c r="G131" s="20"/>
      <c r="H131" s="16" t="s">
        <v>12</v>
      </c>
      <c r="J131" s="67"/>
    </row>
    <row r="132" spans="1:10" x14ac:dyDescent="0.2">
      <c r="A132" s="27"/>
      <c r="B132" s="23"/>
      <c r="C132" s="23" t="s">
        <v>98</v>
      </c>
      <c r="D132" s="23"/>
      <c r="E132" s="27"/>
      <c r="F132" s="25">
        <f>819.4545432+0.0000159589767456055</f>
        <v>819.45455915897674</v>
      </c>
      <c r="G132" s="26">
        <v>4.2933299999999997E-3</v>
      </c>
      <c r="H132" s="16" t="s">
        <v>12</v>
      </c>
      <c r="J132" s="67"/>
    </row>
    <row r="133" spans="1:10" x14ac:dyDescent="0.2">
      <c r="A133" s="19"/>
      <c r="B133" s="19"/>
      <c r="C133" s="15" t="s">
        <v>99</v>
      </c>
      <c r="D133" s="20"/>
      <c r="E133" s="20"/>
      <c r="F133" s="21">
        <f>190867.020402261+0.0000159589767456055</f>
        <v>190867.02041821997</v>
      </c>
      <c r="G133" s="35">
        <v>1.0000000200000001</v>
      </c>
      <c r="H133" s="16" t="s">
        <v>12</v>
      </c>
      <c r="J133" s="67"/>
    </row>
    <row r="134" spans="1:10" x14ac:dyDescent="0.2">
      <c r="A134" s="36"/>
      <c r="B134" s="36"/>
      <c r="C134" s="36"/>
      <c r="D134" s="37"/>
      <c r="E134" s="37"/>
      <c r="F134" s="37"/>
      <c r="G134" s="37"/>
      <c r="J134" s="67"/>
    </row>
    <row r="135" spans="1:10" x14ac:dyDescent="0.2">
      <c r="A135" s="38"/>
      <c r="B135" s="112" t="s">
        <v>532</v>
      </c>
      <c r="C135" s="112"/>
      <c r="D135" s="112"/>
      <c r="E135" s="112"/>
      <c r="F135" s="112"/>
      <c r="G135" s="112"/>
      <c r="H135" s="112"/>
      <c r="J135" s="67"/>
    </row>
    <row r="136" spans="1:10" x14ac:dyDescent="0.2">
      <c r="A136" s="38"/>
      <c r="B136" s="112" t="s">
        <v>533</v>
      </c>
      <c r="C136" s="112"/>
      <c r="D136" s="112"/>
      <c r="E136" s="112"/>
      <c r="F136" s="112"/>
      <c r="G136" s="112"/>
      <c r="H136" s="112"/>
      <c r="J136" s="67"/>
    </row>
    <row r="137" spans="1:10" x14ac:dyDescent="0.2">
      <c r="A137" s="38"/>
      <c r="B137" s="112" t="s">
        <v>534</v>
      </c>
      <c r="C137" s="112"/>
      <c r="D137" s="112"/>
      <c r="E137" s="112"/>
      <c r="F137" s="112"/>
      <c r="G137" s="112"/>
      <c r="H137" s="112"/>
      <c r="J137" s="67"/>
    </row>
    <row r="138" spans="1:10" x14ac:dyDescent="0.2">
      <c r="A138" s="40"/>
      <c r="B138" s="40"/>
      <c r="C138" s="40"/>
      <c r="D138" s="41"/>
      <c r="E138" s="41"/>
      <c r="F138" s="41"/>
      <c r="G138" s="41"/>
      <c r="J138" s="67"/>
    </row>
    <row r="139" spans="1:10" x14ac:dyDescent="0.2">
      <c r="A139" s="40"/>
      <c r="B139" s="118" t="s">
        <v>100</v>
      </c>
      <c r="C139" s="119"/>
      <c r="D139" s="120"/>
      <c r="E139" s="42"/>
      <c r="F139" s="41"/>
      <c r="G139" s="41"/>
      <c r="J139" s="67"/>
    </row>
    <row r="140" spans="1:10" ht="25.5" x14ac:dyDescent="0.2">
      <c r="A140" s="40"/>
      <c r="B140" s="121" t="s">
        <v>101</v>
      </c>
      <c r="C140" s="122"/>
      <c r="D140" s="29" t="s">
        <v>561</v>
      </c>
      <c r="E140" s="42"/>
      <c r="F140" s="41"/>
      <c r="G140" s="41"/>
      <c r="J140" s="67"/>
    </row>
    <row r="141" spans="1:10" x14ac:dyDescent="0.2">
      <c r="A141" s="40"/>
      <c r="B141" s="121" t="s">
        <v>103</v>
      </c>
      <c r="C141" s="122"/>
      <c r="D141" s="15" t="s">
        <v>102</v>
      </c>
      <c r="E141" s="42"/>
      <c r="F141" s="41"/>
      <c r="G141" s="41"/>
      <c r="J141" s="67"/>
    </row>
    <row r="142" spans="1:10" x14ac:dyDescent="0.2">
      <c r="A142" s="40"/>
      <c r="B142" s="121" t="s">
        <v>104</v>
      </c>
      <c r="C142" s="122"/>
      <c r="D142" s="20" t="s">
        <v>12</v>
      </c>
      <c r="E142" s="42"/>
      <c r="F142" s="41"/>
      <c r="G142" s="41"/>
      <c r="J142" s="67"/>
    </row>
    <row r="143" spans="1:10" x14ac:dyDescent="0.2">
      <c r="A143" s="43"/>
      <c r="B143" s="44" t="s">
        <v>12</v>
      </c>
      <c r="C143" s="44" t="s">
        <v>528</v>
      </c>
      <c r="D143" s="44" t="s">
        <v>105</v>
      </c>
      <c r="E143" s="43"/>
      <c r="F143" s="43"/>
      <c r="G143" s="43"/>
      <c r="H143" s="45"/>
      <c r="J143" s="67"/>
    </row>
    <row r="144" spans="1:10" x14ac:dyDescent="0.2">
      <c r="A144" s="46"/>
      <c r="B144" s="47" t="s">
        <v>106</v>
      </c>
      <c r="C144" s="48">
        <v>45519</v>
      </c>
      <c r="D144" s="48">
        <v>45535</v>
      </c>
      <c r="E144" s="46"/>
      <c r="F144" s="46"/>
      <c r="G144" s="46"/>
      <c r="J144" s="67"/>
    </row>
    <row r="145" spans="1:10" x14ac:dyDescent="0.2">
      <c r="A145" s="46"/>
      <c r="B145" s="23" t="s">
        <v>107</v>
      </c>
      <c r="C145" s="49">
        <v>2740.8771999999999</v>
      </c>
      <c r="D145" s="49">
        <v>2749.4688000000001</v>
      </c>
      <c r="E145" s="46"/>
      <c r="F145" s="50"/>
      <c r="G145" s="51"/>
      <c r="J145" s="67"/>
    </row>
    <row r="146" spans="1:10" ht="25.5" x14ac:dyDescent="0.2">
      <c r="A146" s="46"/>
      <c r="B146" s="23" t="s">
        <v>584</v>
      </c>
      <c r="C146" s="49">
        <v>1066.3732</v>
      </c>
      <c r="D146" s="49">
        <v>1063.4879000000001</v>
      </c>
      <c r="E146" s="46"/>
      <c r="F146" s="50"/>
      <c r="G146" s="51"/>
      <c r="J146" s="67"/>
    </row>
    <row r="147" spans="1:10" ht="25.5" x14ac:dyDescent="0.2">
      <c r="A147" s="46"/>
      <c r="B147" s="23" t="s">
        <v>585</v>
      </c>
      <c r="C147" s="49">
        <v>1170.0533</v>
      </c>
      <c r="D147" s="49">
        <v>1173.7237</v>
      </c>
      <c r="E147" s="46"/>
      <c r="F147" s="50"/>
      <c r="G147" s="51"/>
      <c r="J147" s="67"/>
    </row>
    <row r="148" spans="1:10" x14ac:dyDescent="0.2">
      <c r="A148" s="46"/>
      <c r="B148" s="23" t="s">
        <v>108</v>
      </c>
      <c r="C148" s="49">
        <v>2540.5441000000001</v>
      </c>
      <c r="D148" s="49">
        <v>2547.1228999999998</v>
      </c>
      <c r="E148" s="46"/>
      <c r="F148" s="50"/>
      <c r="G148" s="51"/>
      <c r="J148" s="67"/>
    </row>
    <row r="149" spans="1:10" ht="25.5" x14ac:dyDescent="0.2">
      <c r="A149" s="46"/>
      <c r="B149" s="23" t="s">
        <v>588</v>
      </c>
      <c r="C149" s="49">
        <v>1064.8861999999999</v>
      </c>
      <c r="D149" s="49">
        <v>1062.5482</v>
      </c>
      <c r="E149" s="46"/>
      <c r="F149" s="50"/>
      <c r="G149" s="51"/>
      <c r="J149" s="67"/>
    </row>
    <row r="150" spans="1:10" ht="25.5" x14ac:dyDescent="0.2">
      <c r="A150" s="46"/>
      <c r="B150" s="23" t="s">
        <v>562</v>
      </c>
      <c r="C150" s="49">
        <v>1131.5757000000001</v>
      </c>
      <c r="D150" s="49">
        <v>1134.5051000000001</v>
      </c>
      <c r="E150" s="46"/>
      <c r="F150" s="50"/>
      <c r="G150" s="51"/>
      <c r="J150" s="67"/>
    </row>
    <row r="151" spans="1:10" x14ac:dyDescent="0.2">
      <c r="A151" s="46"/>
      <c r="B151" s="46"/>
      <c r="C151" s="46"/>
      <c r="D151" s="46"/>
      <c r="E151" s="46"/>
      <c r="F151" s="46"/>
      <c r="G151" s="46"/>
      <c r="J151" s="67"/>
    </row>
    <row r="152" spans="1:10" x14ac:dyDescent="0.2">
      <c r="A152" s="46"/>
      <c r="B152" s="121" t="s">
        <v>591</v>
      </c>
      <c r="C152" s="122"/>
      <c r="D152" s="15" t="s">
        <v>12</v>
      </c>
      <c r="E152" s="46"/>
      <c r="F152" s="46"/>
      <c r="G152" s="46"/>
      <c r="J152" s="67"/>
    </row>
    <row r="153" spans="1:10" x14ac:dyDescent="0.2">
      <c r="A153" s="46"/>
      <c r="B153" s="52" t="s">
        <v>106</v>
      </c>
      <c r="C153" s="53" t="s">
        <v>109</v>
      </c>
      <c r="D153" s="53" t="s">
        <v>110</v>
      </c>
      <c r="E153" s="46"/>
      <c r="F153" s="46"/>
      <c r="G153" s="46"/>
      <c r="J153" s="67"/>
    </row>
    <row r="154" spans="1:10" ht="25.5" x14ac:dyDescent="0.2">
      <c r="A154" s="46"/>
      <c r="B154" s="23" t="s">
        <v>584</v>
      </c>
      <c r="C154" s="54">
        <v>6.2089999999999996</v>
      </c>
      <c r="D154" s="27" t="s">
        <v>111</v>
      </c>
      <c r="E154" s="46"/>
      <c r="F154" s="50"/>
      <c r="G154" s="51"/>
      <c r="J154" s="67"/>
    </row>
    <row r="155" spans="1:10" ht="25.5" x14ac:dyDescent="0.2">
      <c r="A155" s="46"/>
      <c r="B155" s="23" t="s">
        <v>588</v>
      </c>
      <c r="C155" s="54">
        <v>5.0842000000000001</v>
      </c>
      <c r="D155" s="54">
        <v>5.0842000000000001</v>
      </c>
      <c r="E155" s="46"/>
      <c r="F155" s="50"/>
      <c r="G155" s="51"/>
      <c r="J155" s="67"/>
    </row>
    <row r="156" spans="1:10" x14ac:dyDescent="0.2">
      <c r="A156" s="46"/>
      <c r="B156" s="55"/>
      <c r="C156" s="55"/>
      <c r="D156" s="56"/>
      <c r="E156" s="46"/>
      <c r="F156" s="50"/>
      <c r="G156" s="51"/>
      <c r="J156" s="67"/>
    </row>
    <row r="157" spans="1:10" x14ac:dyDescent="0.2">
      <c r="A157" s="43"/>
      <c r="B157" s="106" t="s">
        <v>112</v>
      </c>
      <c r="C157" s="107"/>
      <c r="D157" s="29" t="s">
        <v>102</v>
      </c>
      <c r="E157" s="57"/>
      <c r="F157" s="43"/>
      <c r="G157" s="43"/>
      <c r="J157" s="67"/>
    </row>
    <row r="158" spans="1:10" x14ac:dyDescent="0.2">
      <c r="A158" s="43"/>
      <c r="B158" s="106" t="s">
        <v>113</v>
      </c>
      <c r="C158" s="107"/>
      <c r="D158" s="29" t="s">
        <v>102</v>
      </c>
      <c r="E158" s="57"/>
      <c r="F158" s="43"/>
      <c r="G158" s="43"/>
      <c r="J158" s="67"/>
    </row>
    <row r="159" spans="1:10" x14ac:dyDescent="0.2">
      <c r="A159" s="43"/>
      <c r="B159" s="106" t="s">
        <v>537</v>
      </c>
      <c r="C159" s="107"/>
      <c r="D159" s="29" t="s">
        <v>102</v>
      </c>
      <c r="E159" s="57"/>
      <c r="F159" s="43"/>
      <c r="G159" s="43"/>
      <c r="J159" s="67"/>
    </row>
    <row r="160" spans="1:10" x14ac:dyDescent="0.2">
      <c r="A160" s="58"/>
      <c r="B160" s="58"/>
      <c r="C160" s="58"/>
      <c r="D160" s="58"/>
      <c r="E160" s="58"/>
      <c r="F160" s="58"/>
      <c r="G160" s="58"/>
      <c r="J160" s="67"/>
    </row>
    <row r="161" spans="2:17" s="59" customFormat="1" x14ac:dyDescent="0.2">
      <c r="B161" s="72" t="s">
        <v>579</v>
      </c>
      <c r="C161" s="72"/>
      <c r="D161" s="72"/>
      <c r="E161" s="72"/>
      <c r="F161" s="72"/>
      <c r="G161" s="72"/>
      <c r="I161"/>
      <c r="J161" s="67"/>
      <c r="K161" s="32"/>
      <c r="L161" s="32"/>
      <c r="M161" s="32"/>
      <c r="N161" s="32"/>
      <c r="O161" s="66"/>
    </row>
    <row r="162" spans="2:17" s="59" customFormat="1" x14ac:dyDescent="0.2">
      <c r="B162" s="73"/>
      <c r="C162" s="73"/>
      <c r="D162" s="73"/>
      <c r="E162" s="73"/>
      <c r="F162" s="73"/>
      <c r="G162" s="73"/>
      <c r="I162"/>
      <c r="J162" s="67"/>
      <c r="K162" s="32"/>
      <c r="L162" s="32"/>
      <c r="M162" s="32"/>
      <c r="N162" s="32"/>
      <c r="O162" s="66"/>
    </row>
    <row r="163" spans="2:17" s="59" customFormat="1" ht="63.75" x14ac:dyDescent="0.2">
      <c r="B163" s="84" t="s">
        <v>550</v>
      </c>
      <c r="C163" s="84" t="s">
        <v>551</v>
      </c>
      <c r="D163" s="75" t="s">
        <v>552</v>
      </c>
      <c r="E163" s="84" t="s">
        <v>553</v>
      </c>
      <c r="F163" s="75" t="s">
        <v>554</v>
      </c>
      <c r="G163" s="73"/>
      <c r="I163"/>
      <c r="J163" s="67"/>
      <c r="K163" s="32"/>
      <c r="L163" s="32"/>
      <c r="M163" s="32"/>
      <c r="N163" s="32"/>
      <c r="O163" s="66"/>
    </row>
    <row r="164" spans="2:17" s="59" customFormat="1" x14ac:dyDescent="0.2">
      <c r="B164" s="77" t="s">
        <v>555</v>
      </c>
      <c r="C164" s="77" t="s">
        <v>556</v>
      </c>
      <c r="D164" s="8">
        <v>0</v>
      </c>
      <c r="E164" s="9">
        <v>0</v>
      </c>
      <c r="F164" s="78">
        <v>500</v>
      </c>
      <c r="G164" s="73"/>
      <c r="I164"/>
      <c r="J164" s="67"/>
      <c r="K164" s="32"/>
      <c r="L164" s="32"/>
      <c r="M164" s="32"/>
      <c r="N164" s="32"/>
      <c r="O164" s="66"/>
    </row>
    <row r="165" spans="2:17" s="59" customFormat="1" x14ac:dyDescent="0.2">
      <c r="I165"/>
      <c r="J165" s="67"/>
      <c r="K165" s="32"/>
      <c r="L165" s="32"/>
      <c r="M165" s="32"/>
      <c r="N165" s="32"/>
      <c r="O165" s="66"/>
    </row>
    <row r="166" spans="2:17" s="59" customFormat="1" x14ac:dyDescent="0.2">
      <c r="B166" s="113" t="s">
        <v>538</v>
      </c>
      <c r="C166" s="114"/>
      <c r="D166" s="115"/>
      <c r="I166"/>
      <c r="J166" s="67"/>
      <c r="K166" s="32"/>
      <c r="L166" s="32"/>
      <c r="M166" s="32"/>
      <c r="N166" s="32"/>
      <c r="O166" s="66"/>
    </row>
    <row r="167" spans="2:17" s="59" customFormat="1" ht="38.25" x14ac:dyDescent="0.2">
      <c r="B167" s="117" t="s">
        <v>539</v>
      </c>
      <c r="C167" s="117"/>
      <c r="D167" s="60" t="s">
        <v>386</v>
      </c>
      <c r="I167"/>
      <c r="J167" s="67"/>
      <c r="K167" s="32"/>
      <c r="L167" s="32"/>
      <c r="M167" s="32"/>
      <c r="N167" s="32"/>
      <c r="O167" s="66"/>
    </row>
    <row r="168" spans="2:17" s="59" customFormat="1" x14ac:dyDescent="0.2">
      <c r="B168" s="110" t="s">
        <v>540</v>
      </c>
      <c r="C168" s="110"/>
      <c r="D168" s="61"/>
      <c r="I168"/>
      <c r="J168" s="67"/>
      <c r="K168" s="32"/>
      <c r="L168" s="32"/>
      <c r="M168" s="32"/>
      <c r="N168" s="32"/>
      <c r="O168" s="66"/>
    </row>
    <row r="169" spans="2:17" s="59" customFormat="1" x14ac:dyDescent="0.2">
      <c r="B169" s="110"/>
      <c r="C169" s="110"/>
      <c r="D169" s="62"/>
      <c r="I169"/>
      <c r="J169" s="67"/>
      <c r="K169" s="32"/>
      <c r="L169" s="32"/>
      <c r="M169" s="32"/>
      <c r="N169" s="32"/>
      <c r="O169" s="66"/>
    </row>
    <row r="170" spans="2:17" s="59" customFormat="1" x14ac:dyDescent="0.2">
      <c r="B170" s="110" t="s">
        <v>541</v>
      </c>
      <c r="C170" s="110"/>
      <c r="D170" s="63">
        <v>7.5471087079062515</v>
      </c>
      <c r="I170"/>
      <c r="J170" s="67"/>
      <c r="K170" s="32"/>
      <c r="L170" s="32"/>
      <c r="M170" s="32"/>
      <c r="N170" s="32"/>
      <c r="O170" s="66"/>
    </row>
    <row r="171" spans="2:17" s="59" customFormat="1" x14ac:dyDescent="0.2">
      <c r="B171" s="110"/>
      <c r="C171" s="110"/>
      <c r="D171" s="62"/>
      <c r="I171"/>
      <c r="J171" s="67"/>
      <c r="K171" s="32"/>
      <c r="L171" s="32"/>
      <c r="M171" s="32"/>
      <c r="N171" s="32"/>
      <c r="O171" s="66"/>
    </row>
    <row r="172" spans="2:17" s="59" customFormat="1" x14ac:dyDescent="0.2">
      <c r="B172" s="110" t="s">
        <v>542</v>
      </c>
      <c r="C172" s="110"/>
      <c r="D172" s="63">
        <v>0.48004929498899901</v>
      </c>
      <c r="I172"/>
      <c r="J172" s="67"/>
      <c r="K172" s="32"/>
      <c r="L172" s="32"/>
      <c r="M172" s="32"/>
      <c r="N172" s="32"/>
      <c r="O172" s="66"/>
    </row>
    <row r="173" spans="2:17" s="59" customFormat="1" x14ac:dyDescent="0.2">
      <c r="B173" s="110" t="s">
        <v>543</v>
      </c>
      <c r="C173" s="110"/>
      <c r="D173" s="63">
        <v>0.48820618524120685</v>
      </c>
      <c r="I173"/>
      <c r="J173" s="67"/>
      <c r="K173" s="32"/>
      <c r="L173" s="32"/>
      <c r="M173" s="32"/>
      <c r="N173" s="32"/>
      <c r="O173" s="66"/>
    </row>
    <row r="174" spans="2:17" s="59" customFormat="1" x14ac:dyDescent="0.2">
      <c r="B174" s="110"/>
      <c r="C174" s="110"/>
      <c r="D174" s="62"/>
      <c r="I174"/>
      <c r="J174" s="67"/>
      <c r="K174" s="32"/>
      <c r="L174" s="32"/>
      <c r="M174" s="32"/>
      <c r="N174" s="32"/>
      <c r="O174" s="66"/>
    </row>
    <row r="175" spans="2:17" s="59" customFormat="1" x14ac:dyDescent="0.2">
      <c r="B175" s="110" t="s">
        <v>544</v>
      </c>
      <c r="C175" s="110"/>
      <c r="D175" s="64" t="s">
        <v>577</v>
      </c>
      <c r="I175"/>
      <c r="J175" s="67"/>
      <c r="K175" s="32"/>
      <c r="L175" s="32"/>
      <c r="M175" s="32"/>
      <c r="N175" s="32"/>
      <c r="O175" s="66"/>
    </row>
    <row r="176" spans="2:17" s="59" customFormat="1" x14ac:dyDescent="0.2">
      <c r="B176" s="108" t="s">
        <v>545</v>
      </c>
      <c r="C176" s="111"/>
      <c r="D176" s="109"/>
      <c r="I176"/>
      <c r="J176" s="67"/>
      <c r="K176" s="32"/>
      <c r="L176" s="32"/>
      <c r="M176" s="32"/>
      <c r="N176" s="32"/>
      <c r="O176" s="66"/>
      <c r="P176"/>
      <c r="Q176"/>
    </row>
  </sheetData>
  <mergeCells count="25">
    <mergeCell ref="B137:H137"/>
    <mergeCell ref="B157:C157"/>
    <mergeCell ref="A1:H1"/>
    <mergeCell ref="A2:H2"/>
    <mergeCell ref="A3:H3"/>
    <mergeCell ref="B135:H135"/>
    <mergeCell ref="B136:H136"/>
    <mergeCell ref="B159:C159"/>
    <mergeCell ref="B139:D139"/>
    <mergeCell ref="B140:C140"/>
    <mergeCell ref="B141:C141"/>
    <mergeCell ref="B142:C142"/>
    <mergeCell ref="B152:C152"/>
    <mergeCell ref="B158:C158"/>
    <mergeCell ref="B166:D166"/>
    <mergeCell ref="B167:C167"/>
    <mergeCell ref="B168:C168"/>
    <mergeCell ref="B169:C169"/>
    <mergeCell ref="B170:C170"/>
    <mergeCell ref="B176:D176"/>
    <mergeCell ref="B171:C171"/>
    <mergeCell ref="B172:C172"/>
    <mergeCell ref="B173:C173"/>
    <mergeCell ref="B174:C174"/>
    <mergeCell ref="B175:C175"/>
  </mergeCells>
  <hyperlinks>
    <hyperlink ref="I1" location="Index!B8" display="Index" xr:uid="{A46E17A7-8EE9-439E-A469-BD444BD4D32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8213E-F7C4-432C-AD07-2903BC8840B5}">
  <sheetPr>
    <outlinePr summaryBelow="0" summaryRight="0"/>
  </sheetPr>
  <dimension ref="A1:R129"/>
  <sheetViews>
    <sheetView showGridLines="0" workbookViewId="0">
      <selection sqref="A1:H1"/>
    </sheetView>
  </sheetViews>
  <sheetFormatPr defaultRowHeight="12.75" x14ac:dyDescent="0.2"/>
  <cols>
    <col min="1" max="1" width="5.85546875" bestFit="1" customWidth="1"/>
    <col min="2" max="2" width="19" bestFit="1" customWidth="1"/>
    <col min="3" max="3" width="44.42578125" customWidth="1"/>
    <col min="4" max="4" width="12.85546875"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16" t="s">
        <v>0</v>
      </c>
      <c r="B1" s="116"/>
      <c r="C1" s="116"/>
      <c r="D1" s="116"/>
      <c r="E1" s="116"/>
      <c r="F1" s="116"/>
      <c r="G1" s="116"/>
      <c r="H1" s="116"/>
      <c r="I1" s="7" t="s">
        <v>600</v>
      </c>
      <c r="J1" s="67"/>
      <c r="K1" s="7"/>
    </row>
    <row r="2" spans="1:11" ht="15" x14ac:dyDescent="0.2">
      <c r="A2" s="116" t="s">
        <v>443</v>
      </c>
      <c r="B2" s="116"/>
      <c r="C2" s="116"/>
      <c r="D2" s="116"/>
      <c r="E2" s="116"/>
      <c r="F2" s="116"/>
      <c r="G2" s="116"/>
      <c r="H2" s="116"/>
      <c r="J2" s="68" t="s">
        <v>601</v>
      </c>
    </row>
    <row r="3" spans="1:11" ht="15" x14ac:dyDescent="0.2">
      <c r="A3" s="116" t="s">
        <v>526</v>
      </c>
      <c r="B3" s="116"/>
      <c r="C3" s="116"/>
      <c r="D3" s="116"/>
      <c r="E3" s="116"/>
      <c r="F3" s="116"/>
      <c r="G3" s="116"/>
      <c r="H3" s="116"/>
      <c r="J3" s="67"/>
    </row>
    <row r="4" spans="1:11" s="11" customFormat="1" ht="30" x14ac:dyDescent="0.2">
      <c r="A4" s="12" t="s">
        <v>2</v>
      </c>
      <c r="B4" s="12" t="s">
        <v>3</v>
      </c>
      <c r="C4" s="12" t="s">
        <v>4</v>
      </c>
      <c r="D4" s="12" t="s">
        <v>5</v>
      </c>
      <c r="E4" s="12" t="s">
        <v>6</v>
      </c>
      <c r="F4" s="12" t="s">
        <v>7</v>
      </c>
      <c r="G4" s="12" t="s">
        <v>8</v>
      </c>
      <c r="H4" s="13" t="s">
        <v>527</v>
      </c>
      <c r="I4"/>
      <c r="J4" s="67"/>
    </row>
    <row r="5" spans="1:11" x14ac:dyDescent="0.2">
      <c r="A5" s="14"/>
      <c r="B5" s="14"/>
      <c r="C5" s="15" t="s">
        <v>9</v>
      </c>
      <c r="D5" s="14"/>
      <c r="E5" s="14"/>
      <c r="F5" s="14"/>
      <c r="G5" s="14"/>
      <c r="H5" s="16" t="s">
        <v>12</v>
      </c>
      <c r="J5" s="67"/>
    </row>
    <row r="6" spans="1:11" x14ac:dyDescent="0.2">
      <c r="A6" s="14"/>
      <c r="B6" s="14"/>
      <c r="C6" s="15" t="s">
        <v>10</v>
      </c>
      <c r="D6" s="14"/>
      <c r="E6" s="14"/>
      <c r="F6" s="14"/>
      <c r="G6" s="14"/>
      <c r="H6" s="16" t="s">
        <v>12</v>
      </c>
      <c r="J6" s="67"/>
    </row>
    <row r="7" spans="1:11" x14ac:dyDescent="0.2">
      <c r="A7" s="14"/>
      <c r="B7" s="14"/>
      <c r="C7" s="15" t="s">
        <v>11</v>
      </c>
      <c r="D7" s="14"/>
      <c r="E7" s="14" t="s">
        <v>12</v>
      </c>
      <c r="F7" s="17" t="s">
        <v>13</v>
      </c>
      <c r="G7" s="18">
        <v>0</v>
      </c>
      <c r="H7" s="16" t="s">
        <v>12</v>
      </c>
      <c r="J7" s="67"/>
    </row>
    <row r="8" spans="1:11" x14ac:dyDescent="0.2">
      <c r="A8" s="14"/>
      <c r="B8" s="14"/>
      <c r="C8" s="19"/>
      <c r="D8" s="14"/>
      <c r="E8" s="14"/>
      <c r="F8" s="20"/>
      <c r="G8" s="20"/>
      <c r="H8" s="16" t="s">
        <v>12</v>
      </c>
      <c r="J8" s="67"/>
    </row>
    <row r="9" spans="1:11" x14ac:dyDescent="0.2">
      <c r="A9" s="14"/>
      <c r="B9" s="14"/>
      <c r="C9" s="15" t="s">
        <v>14</v>
      </c>
      <c r="D9" s="14"/>
      <c r="E9" s="14"/>
      <c r="F9" s="14"/>
      <c r="G9" s="14"/>
      <c r="H9" s="16" t="s">
        <v>12</v>
      </c>
      <c r="J9" s="67"/>
    </row>
    <row r="10" spans="1:11" x14ac:dyDescent="0.2">
      <c r="A10" s="14"/>
      <c r="B10" s="14"/>
      <c r="C10" s="15" t="s">
        <v>11</v>
      </c>
      <c r="D10" s="14"/>
      <c r="E10" s="14" t="s">
        <v>12</v>
      </c>
      <c r="F10" s="17" t="s">
        <v>13</v>
      </c>
      <c r="G10" s="18">
        <v>0</v>
      </c>
      <c r="H10" s="16" t="s">
        <v>12</v>
      </c>
      <c r="J10" s="67"/>
    </row>
    <row r="11" spans="1:11" x14ac:dyDescent="0.2">
      <c r="A11" s="14"/>
      <c r="B11" s="14"/>
      <c r="C11" s="19"/>
      <c r="D11" s="14"/>
      <c r="E11" s="14"/>
      <c r="F11" s="20"/>
      <c r="G11" s="20"/>
      <c r="H11" s="16" t="s">
        <v>12</v>
      </c>
      <c r="J11" s="67"/>
    </row>
    <row r="12" spans="1:11" ht="15" x14ac:dyDescent="0.2">
      <c r="A12" s="14"/>
      <c r="B12" s="14"/>
      <c r="C12" s="15" t="s">
        <v>15</v>
      </c>
      <c r="D12" s="14"/>
      <c r="E12" s="14"/>
      <c r="F12" s="14"/>
      <c r="G12" s="14"/>
      <c r="H12" s="16" t="s">
        <v>12</v>
      </c>
      <c r="J12" s="69"/>
    </row>
    <row r="13" spans="1:11" x14ac:dyDescent="0.2">
      <c r="A13" s="14"/>
      <c r="B13" s="14"/>
      <c r="C13" s="15" t="s">
        <v>11</v>
      </c>
      <c r="D13" s="14"/>
      <c r="E13" s="14" t="s">
        <v>12</v>
      </c>
      <c r="F13" s="17" t="s">
        <v>13</v>
      </c>
      <c r="G13" s="18">
        <v>0</v>
      </c>
      <c r="H13" s="16" t="s">
        <v>12</v>
      </c>
      <c r="J13" s="70"/>
    </row>
    <row r="14" spans="1:11" ht="25.5" x14ac:dyDescent="0.2">
      <c r="A14" s="14"/>
      <c r="B14" s="14"/>
      <c r="C14" s="19"/>
      <c r="D14" s="14"/>
      <c r="E14" s="14"/>
      <c r="F14" s="20"/>
      <c r="G14" s="20"/>
      <c r="H14" s="16" t="s">
        <v>12</v>
      </c>
      <c r="J14" s="70" t="s">
        <v>616</v>
      </c>
    </row>
    <row r="15" spans="1:11" x14ac:dyDescent="0.2">
      <c r="A15" s="14"/>
      <c r="B15" s="14"/>
      <c r="C15" s="15" t="s">
        <v>16</v>
      </c>
      <c r="D15" s="14"/>
      <c r="E15" s="14"/>
      <c r="F15" s="14"/>
      <c r="G15" s="14"/>
      <c r="H15" s="16" t="s">
        <v>12</v>
      </c>
      <c r="J15" s="70"/>
    </row>
    <row r="16" spans="1:11" x14ac:dyDescent="0.2">
      <c r="A16" s="14"/>
      <c r="B16" s="14"/>
      <c r="C16" s="15" t="s">
        <v>11</v>
      </c>
      <c r="D16" s="14"/>
      <c r="E16" s="14" t="s">
        <v>12</v>
      </c>
      <c r="F16" s="17" t="s">
        <v>13</v>
      </c>
      <c r="G16" s="18">
        <v>0</v>
      </c>
      <c r="H16" s="16" t="s">
        <v>12</v>
      </c>
      <c r="J16" s="67"/>
    </row>
    <row r="17" spans="1:10" x14ac:dyDescent="0.2">
      <c r="A17" s="14"/>
      <c r="B17" s="14"/>
      <c r="C17" s="19"/>
      <c r="D17" s="14"/>
      <c r="E17" s="14"/>
      <c r="F17" s="20"/>
      <c r="G17" s="20"/>
      <c r="H17" s="16" t="s">
        <v>12</v>
      </c>
      <c r="J17" s="67"/>
    </row>
    <row r="18" spans="1:10" x14ac:dyDescent="0.2">
      <c r="A18" s="14"/>
      <c r="B18" s="14"/>
      <c r="C18" s="15" t="s">
        <v>17</v>
      </c>
      <c r="D18" s="14"/>
      <c r="E18" s="14"/>
      <c r="F18" s="20"/>
      <c r="G18" s="20"/>
      <c r="H18" s="16" t="s">
        <v>12</v>
      </c>
      <c r="J18" s="67"/>
    </row>
    <row r="19" spans="1:10" x14ac:dyDescent="0.2">
      <c r="A19" s="14"/>
      <c r="B19" s="14"/>
      <c r="C19" s="15" t="s">
        <v>11</v>
      </c>
      <c r="D19" s="14"/>
      <c r="E19" s="14" t="s">
        <v>12</v>
      </c>
      <c r="F19" s="17" t="s">
        <v>13</v>
      </c>
      <c r="G19" s="18">
        <v>0</v>
      </c>
      <c r="H19" s="16" t="s">
        <v>12</v>
      </c>
      <c r="J19" s="67"/>
    </row>
    <row r="20" spans="1:10" x14ac:dyDescent="0.2">
      <c r="A20" s="14"/>
      <c r="B20" s="14"/>
      <c r="C20" s="19"/>
      <c r="D20" s="14"/>
      <c r="E20" s="14"/>
      <c r="F20" s="20"/>
      <c r="G20" s="20"/>
      <c r="H20" s="16" t="s">
        <v>12</v>
      </c>
      <c r="J20" s="67"/>
    </row>
    <row r="21" spans="1:10" x14ac:dyDescent="0.2">
      <c r="A21" s="14"/>
      <c r="B21" s="14"/>
      <c r="C21" s="15" t="s">
        <v>18</v>
      </c>
      <c r="D21" s="14"/>
      <c r="E21" s="14"/>
      <c r="F21" s="20"/>
      <c r="G21" s="20"/>
      <c r="H21" s="16" t="s">
        <v>12</v>
      </c>
      <c r="J21" s="67"/>
    </row>
    <row r="22" spans="1:10" ht="15" x14ac:dyDescent="0.2">
      <c r="A22" s="14"/>
      <c r="B22" s="14"/>
      <c r="C22" s="15" t="s">
        <v>11</v>
      </c>
      <c r="D22" s="14"/>
      <c r="E22" s="14" t="s">
        <v>12</v>
      </c>
      <c r="F22" s="17" t="s">
        <v>13</v>
      </c>
      <c r="G22" s="18">
        <v>0</v>
      </c>
      <c r="H22" s="16" t="s">
        <v>12</v>
      </c>
      <c r="J22" s="69"/>
    </row>
    <row r="23" spans="1:10" x14ac:dyDescent="0.2">
      <c r="A23" s="14"/>
      <c r="B23" s="14"/>
      <c r="C23" s="19"/>
      <c r="D23" s="14"/>
      <c r="E23" s="14"/>
      <c r="F23" s="20"/>
      <c r="G23" s="20"/>
      <c r="H23" s="16" t="s">
        <v>12</v>
      </c>
      <c r="J23" s="70"/>
    </row>
    <row r="24" spans="1:10" x14ac:dyDescent="0.2">
      <c r="A24" s="14"/>
      <c r="B24" s="14"/>
      <c r="C24" s="15" t="s">
        <v>19</v>
      </c>
      <c r="D24" s="14"/>
      <c r="E24" s="14"/>
      <c r="F24" s="21">
        <v>0</v>
      </c>
      <c r="G24" s="18">
        <v>0</v>
      </c>
      <c r="H24" s="16" t="s">
        <v>12</v>
      </c>
      <c r="J24" s="67"/>
    </row>
    <row r="25" spans="1:10" x14ac:dyDescent="0.2">
      <c r="A25" s="14"/>
      <c r="B25" s="14"/>
      <c r="C25" s="19"/>
      <c r="D25" s="14"/>
      <c r="E25" s="14"/>
      <c r="F25" s="20"/>
      <c r="G25" s="20"/>
      <c r="H25" s="16" t="s">
        <v>12</v>
      </c>
      <c r="J25" s="67"/>
    </row>
    <row r="26" spans="1:10" x14ac:dyDescent="0.2">
      <c r="A26" s="14"/>
      <c r="B26" s="14"/>
      <c r="C26" s="15" t="s">
        <v>20</v>
      </c>
      <c r="D26" s="14"/>
      <c r="E26" s="14"/>
      <c r="F26" s="20"/>
      <c r="G26" s="20"/>
      <c r="H26" s="16" t="s">
        <v>12</v>
      </c>
      <c r="J26" s="67"/>
    </row>
    <row r="27" spans="1:10" ht="25.5" x14ac:dyDescent="0.2">
      <c r="A27" s="14"/>
      <c r="B27" s="14"/>
      <c r="C27" s="15" t="s">
        <v>10</v>
      </c>
      <c r="D27" s="14"/>
      <c r="E27" s="14"/>
      <c r="F27" s="20"/>
      <c r="G27" s="20"/>
      <c r="H27" s="16" t="s">
        <v>12</v>
      </c>
      <c r="J27" s="70" t="s">
        <v>617</v>
      </c>
    </row>
    <row r="28" spans="1:10" x14ac:dyDescent="0.2">
      <c r="A28" s="22">
        <v>1</v>
      </c>
      <c r="B28" s="23" t="s">
        <v>196</v>
      </c>
      <c r="C28" s="23" t="s">
        <v>197</v>
      </c>
      <c r="D28" s="23" t="s">
        <v>198</v>
      </c>
      <c r="E28" s="24">
        <v>100</v>
      </c>
      <c r="F28" s="25">
        <v>100.39149999999999</v>
      </c>
      <c r="G28" s="26">
        <v>2.33207E-2</v>
      </c>
      <c r="H28" s="16">
        <v>8.1793999999999993</v>
      </c>
      <c r="J28" s="70"/>
    </row>
    <row r="29" spans="1:10" x14ac:dyDescent="0.2">
      <c r="A29" s="22">
        <v>2</v>
      </c>
      <c r="B29" s="23" t="s">
        <v>193</v>
      </c>
      <c r="C29" s="23" t="s">
        <v>194</v>
      </c>
      <c r="D29" s="23" t="s">
        <v>195</v>
      </c>
      <c r="E29" s="24">
        <v>100</v>
      </c>
      <c r="F29" s="25">
        <v>100.38890000000001</v>
      </c>
      <c r="G29" s="26">
        <v>2.33201E-2</v>
      </c>
      <c r="H29" s="16">
        <v>8.5</v>
      </c>
      <c r="J29" s="70"/>
    </row>
    <row r="30" spans="1:10" x14ac:dyDescent="0.2">
      <c r="A30" s="22">
        <v>3</v>
      </c>
      <c r="B30" s="23" t="s">
        <v>210</v>
      </c>
      <c r="C30" s="23" t="s">
        <v>211</v>
      </c>
      <c r="D30" s="23" t="s">
        <v>209</v>
      </c>
      <c r="E30" s="24">
        <v>100</v>
      </c>
      <c r="F30" s="25">
        <v>100.1484</v>
      </c>
      <c r="G30" s="26">
        <v>2.326423E-2</v>
      </c>
      <c r="H30" s="16">
        <v>8.2750000000000004</v>
      </c>
      <c r="J30" s="67"/>
    </row>
    <row r="31" spans="1:10" x14ac:dyDescent="0.2">
      <c r="A31" s="22">
        <v>4</v>
      </c>
      <c r="B31" s="23" t="s">
        <v>201</v>
      </c>
      <c r="C31" s="23" t="s">
        <v>202</v>
      </c>
      <c r="D31" s="23" t="s">
        <v>23</v>
      </c>
      <c r="E31" s="24">
        <v>10</v>
      </c>
      <c r="F31" s="25">
        <v>98.015900000000002</v>
      </c>
      <c r="G31" s="26">
        <v>2.2768859999999998E-2</v>
      </c>
      <c r="H31" s="16">
        <v>7.8550000000000004</v>
      </c>
      <c r="J31" s="67"/>
    </row>
    <row r="32" spans="1:10" x14ac:dyDescent="0.2">
      <c r="A32" s="14"/>
      <c r="B32" s="14"/>
      <c r="C32" s="15" t="s">
        <v>11</v>
      </c>
      <c r="D32" s="14"/>
      <c r="E32" s="14" t="s">
        <v>12</v>
      </c>
      <c r="F32" s="21">
        <v>398.94470000000001</v>
      </c>
      <c r="G32" s="18">
        <v>9.2673889999999995E-2</v>
      </c>
      <c r="H32" s="16" t="s">
        <v>12</v>
      </c>
      <c r="J32" s="67"/>
    </row>
    <row r="33" spans="1:10" x14ac:dyDescent="0.2">
      <c r="A33" s="14"/>
      <c r="B33" s="14"/>
      <c r="C33" s="19"/>
      <c r="D33" s="14"/>
      <c r="E33" s="14"/>
      <c r="F33" s="20"/>
      <c r="G33" s="20"/>
      <c r="H33" s="16" t="s">
        <v>12</v>
      </c>
      <c r="J33" s="67"/>
    </row>
    <row r="34" spans="1:10" x14ac:dyDescent="0.2">
      <c r="A34" s="14"/>
      <c r="B34" s="14"/>
      <c r="C34" s="15" t="s">
        <v>67</v>
      </c>
      <c r="D34" s="14"/>
      <c r="E34" s="14"/>
      <c r="F34" s="14"/>
      <c r="G34" s="14"/>
      <c r="H34" s="16" t="s">
        <v>12</v>
      </c>
      <c r="J34" s="67"/>
    </row>
    <row r="35" spans="1:10" x14ac:dyDescent="0.2">
      <c r="A35" s="14"/>
      <c r="B35" s="14"/>
      <c r="C35" s="15" t="s">
        <v>11</v>
      </c>
      <c r="D35" s="14"/>
      <c r="E35" s="14" t="s">
        <v>12</v>
      </c>
      <c r="F35" s="17" t="s">
        <v>13</v>
      </c>
      <c r="G35" s="18">
        <v>0</v>
      </c>
      <c r="H35" s="16" t="s">
        <v>12</v>
      </c>
      <c r="J35" s="67"/>
    </row>
    <row r="36" spans="1:10" x14ac:dyDescent="0.2">
      <c r="A36" s="14"/>
      <c r="B36" s="14"/>
      <c r="C36" s="19"/>
      <c r="D36" s="14"/>
      <c r="E36" s="14"/>
      <c r="F36" s="20"/>
      <c r="G36" s="20"/>
      <c r="H36" s="16" t="s">
        <v>12</v>
      </c>
      <c r="J36" s="67"/>
    </row>
    <row r="37" spans="1:10" x14ac:dyDescent="0.2">
      <c r="A37" s="14"/>
      <c r="B37" s="14"/>
      <c r="C37" s="15" t="s">
        <v>68</v>
      </c>
      <c r="D37" s="14"/>
      <c r="E37" s="14"/>
      <c r="F37" s="14"/>
      <c r="G37" s="14"/>
      <c r="H37" s="16" t="s">
        <v>12</v>
      </c>
      <c r="J37" s="67"/>
    </row>
    <row r="38" spans="1:10" x14ac:dyDescent="0.2">
      <c r="A38" s="22">
        <v>1</v>
      </c>
      <c r="B38" s="23" t="s">
        <v>69</v>
      </c>
      <c r="C38" s="23" t="s">
        <v>70</v>
      </c>
      <c r="D38" s="23" t="s">
        <v>71</v>
      </c>
      <c r="E38" s="24">
        <v>1500000</v>
      </c>
      <c r="F38" s="25">
        <v>1528.26</v>
      </c>
      <c r="G38" s="26">
        <v>0.35501108999999997</v>
      </c>
      <c r="H38" s="16">
        <v>7.0125000000000002</v>
      </c>
      <c r="J38" s="67"/>
    </row>
    <row r="39" spans="1:10" x14ac:dyDescent="0.2">
      <c r="A39" s="22">
        <v>2</v>
      </c>
      <c r="B39" s="23" t="s">
        <v>444</v>
      </c>
      <c r="C39" s="23" t="s">
        <v>445</v>
      </c>
      <c r="D39" s="23" t="s">
        <v>71</v>
      </c>
      <c r="E39" s="24">
        <v>1000000</v>
      </c>
      <c r="F39" s="25">
        <v>979.27499999999998</v>
      </c>
      <c r="G39" s="26">
        <v>0.22748320999999999</v>
      </c>
      <c r="H39" s="16">
        <v>6.8757999999999999</v>
      </c>
      <c r="J39" s="67"/>
    </row>
    <row r="40" spans="1:10" x14ac:dyDescent="0.2">
      <c r="A40" s="22">
        <v>3</v>
      </c>
      <c r="B40" s="23" t="s">
        <v>76</v>
      </c>
      <c r="C40" s="23" t="s">
        <v>77</v>
      </c>
      <c r="D40" s="23" t="s">
        <v>71</v>
      </c>
      <c r="E40" s="24">
        <v>500000</v>
      </c>
      <c r="F40" s="25">
        <v>510.40249999999997</v>
      </c>
      <c r="G40" s="26">
        <v>0.11856526000000001</v>
      </c>
      <c r="H40" s="16">
        <v>6.8971999999999998</v>
      </c>
      <c r="J40" s="67"/>
    </row>
    <row r="41" spans="1:10" ht="25.5" x14ac:dyDescent="0.2">
      <c r="A41" s="22">
        <v>4</v>
      </c>
      <c r="B41" s="23" t="s">
        <v>381</v>
      </c>
      <c r="C41" s="23" t="s">
        <v>382</v>
      </c>
      <c r="D41" s="23" t="s">
        <v>71</v>
      </c>
      <c r="E41" s="24">
        <v>230000</v>
      </c>
      <c r="F41" s="25">
        <v>233.54637</v>
      </c>
      <c r="G41" s="26">
        <v>5.4252259999999997E-2</v>
      </c>
      <c r="H41" s="16">
        <v>7.3430999999999997</v>
      </c>
      <c r="J41" s="67"/>
    </row>
    <row r="42" spans="1:10" x14ac:dyDescent="0.2">
      <c r="A42" s="14"/>
      <c r="B42" s="14"/>
      <c r="C42" s="15" t="s">
        <v>11</v>
      </c>
      <c r="D42" s="14"/>
      <c r="E42" s="14" t="s">
        <v>12</v>
      </c>
      <c r="F42" s="21">
        <v>3251.48387</v>
      </c>
      <c r="G42" s="18">
        <v>0.75531181999999997</v>
      </c>
      <c r="H42" s="16" t="s">
        <v>12</v>
      </c>
      <c r="J42" s="67"/>
    </row>
    <row r="43" spans="1:10" x14ac:dyDescent="0.2">
      <c r="A43" s="14"/>
      <c r="B43" s="14"/>
      <c r="C43" s="19"/>
      <c r="D43" s="14"/>
      <c r="E43" s="14"/>
      <c r="F43" s="20"/>
      <c r="G43" s="20"/>
      <c r="H43" s="16" t="s">
        <v>12</v>
      </c>
      <c r="J43" s="67"/>
    </row>
    <row r="44" spans="1:10" x14ac:dyDescent="0.2">
      <c r="A44" s="14"/>
      <c r="B44" s="14"/>
      <c r="C44" s="15" t="s">
        <v>82</v>
      </c>
      <c r="D44" s="14"/>
      <c r="E44" s="14"/>
      <c r="F44" s="20"/>
      <c r="G44" s="20"/>
      <c r="H44" s="16" t="s">
        <v>12</v>
      </c>
      <c r="J44" s="67"/>
    </row>
    <row r="45" spans="1:10" x14ac:dyDescent="0.2">
      <c r="A45" s="14"/>
      <c r="B45" s="14"/>
      <c r="C45" s="15" t="s">
        <v>11</v>
      </c>
      <c r="D45" s="14"/>
      <c r="E45" s="14" t="s">
        <v>12</v>
      </c>
      <c r="F45" s="17" t="s">
        <v>13</v>
      </c>
      <c r="G45" s="18">
        <v>0</v>
      </c>
      <c r="H45" s="16" t="s">
        <v>12</v>
      </c>
      <c r="J45" s="67"/>
    </row>
    <row r="46" spans="1:10" x14ac:dyDescent="0.2">
      <c r="A46" s="14"/>
      <c r="B46" s="14"/>
      <c r="C46" s="19"/>
      <c r="D46" s="14"/>
      <c r="E46" s="14"/>
      <c r="F46" s="20"/>
      <c r="G46" s="20"/>
      <c r="H46" s="16" t="s">
        <v>12</v>
      </c>
      <c r="J46" s="67"/>
    </row>
    <row r="47" spans="1:10" x14ac:dyDescent="0.2">
      <c r="A47" s="14"/>
      <c r="B47" s="14"/>
      <c r="C47" s="15" t="s">
        <v>83</v>
      </c>
      <c r="D47" s="14"/>
      <c r="E47" s="14"/>
      <c r="F47" s="21">
        <v>3650.42857</v>
      </c>
      <c r="G47" s="18">
        <v>0.84798571</v>
      </c>
      <c r="H47" s="16" t="s">
        <v>12</v>
      </c>
      <c r="J47" s="67"/>
    </row>
    <row r="48" spans="1:10" x14ac:dyDescent="0.2">
      <c r="A48" s="14"/>
      <c r="B48" s="14"/>
      <c r="C48" s="19"/>
      <c r="D48" s="14"/>
      <c r="E48" s="14"/>
      <c r="F48" s="20"/>
      <c r="G48" s="20"/>
      <c r="H48" s="16" t="s">
        <v>12</v>
      </c>
      <c r="J48" s="67"/>
    </row>
    <row r="49" spans="1:10" x14ac:dyDescent="0.2">
      <c r="A49" s="14"/>
      <c r="B49" s="14"/>
      <c r="C49" s="15" t="s">
        <v>84</v>
      </c>
      <c r="D49" s="14"/>
      <c r="E49" s="14"/>
      <c r="F49" s="20"/>
      <c r="G49" s="20"/>
      <c r="H49" s="16" t="s">
        <v>12</v>
      </c>
      <c r="J49" s="67"/>
    </row>
    <row r="50" spans="1:10" x14ac:dyDescent="0.2">
      <c r="A50" s="14"/>
      <c r="B50" s="14"/>
      <c r="C50" s="15" t="s">
        <v>85</v>
      </c>
      <c r="D50" s="14"/>
      <c r="E50" s="14"/>
      <c r="F50" s="20"/>
      <c r="G50" s="20"/>
      <c r="H50" s="16" t="s">
        <v>12</v>
      </c>
      <c r="J50" s="67"/>
    </row>
    <row r="51" spans="1:10" x14ac:dyDescent="0.2">
      <c r="A51" s="14"/>
      <c r="B51" s="14"/>
      <c r="C51" s="15" t="s">
        <v>11</v>
      </c>
      <c r="D51" s="14"/>
      <c r="E51" s="14" t="s">
        <v>12</v>
      </c>
      <c r="F51" s="17" t="s">
        <v>13</v>
      </c>
      <c r="G51" s="18">
        <v>0</v>
      </c>
      <c r="H51" s="16" t="s">
        <v>12</v>
      </c>
      <c r="J51" s="67"/>
    </row>
    <row r="52" spans="1:10" x14ac:dyDescent="0.2">
      <c r="A52" s="14"/>
      <c r="B52" s="14"/>
      <c r="C52" s="19"/>
      <c r="D52" s="14"/>
      <c r="E52" s="14"/>
      <c r="F52" s="20"/>
      <c r="G52" s="20"/>
      <c r="H52" s="16" t="s">
        <v>12</v>
      </c>
      <c r="J52" s="67"/>
    </row>
    <row r="53" spans="1:10" x14ac:dyDescent="0.2">
      <c r="A53" s="14"/>
      <c r="B53" s="14"/>
      <c r="C53" s="15" t="s">
        <v>86</v>
      </c>
      <c r="D53" s="14"/>
      <c r="E53" s="14"/>
      <c r="F53" s="20"/>
      <c r="G53" s="20"/>
      <c r="H53" s="16" t="s">
        <v>12</v>
      </c>
      <c r="J53" s="67"/>
    </row>
    <row r="54" spans="1:10" x14ac:dyDescent="0.2">
      <c r="A54" s="14"/>
      <c r="B54" s="14"/>
      <c r="C54" s="15" t="s">
        <v>11</v>
      </c>
      <c r="D54" s="14"/>
      <c r="E54" s="14" t="s">
        <v>12</v>
      </c>
      <c r="F54" s="17" t="s">
        <v>13</v>
      </c>
      <c r="G54" s="18">
        <v>0</v>
      </c>
      <c r="H54" s="16" t="s">
        <v>12</v>
      </c>
      <c r="J54" s="67"/>
    </row>
    <row r="55" spans="1:10" x14ac:dyDescent="0.2">
      <c r="A55" s="14"/>
      <c r="B55" s="14"/>
      <c r="C55" s="19"/>
      <c r="D55" s="14"/>
      <c r="E55" s="14"/>
      <c r="F55" s="20"/>
      <c r="G55" s="20"/>
      <c r="H55" s="16" t="s">
        <v>12</v>
      </c>
      <c r="J55" s="67"/>
    </row>
    <row r="56" spans="1:10" x14ac:dyDescent="0.2">
      <c r="A56" s="14"/>
      <c r="B56" s="14"/>
      <c r="C56" s="15" t="s">
        <v>87</v>
      </c>
      <c r="D56" s="14"/>
      <c r="E56" s="14"/>
      <c r="F56" s="20"/>
      <c r="G56" s="20"/>
      <c r="H56" s="16" t="s">
        <v>12</v>
      </c>
      <c r="J56" s="67"/>
    </row>
    <row r="57" spans="1:10" x14ac:dyDescent="0.2">
      <c r="A57" s="14"/>
      <c r="B57" s="14"/>
      <c r="C57" s="15" t="s">
        <v>11</v>
      </c>
      <c r="D57" s="14"/>
      <c r="E57" s="14" t="s">
        <v>12</v>
      </c>
      <c r="F57" s="17" t="s">
        <v>13</v>
      </c>
      <c r="G57" s="18">
        <v>0</v>
      </c>
      <c r="H57" s="16" t="s">
        <v>12</v>
      </c>
      <c r="J57" s="67"/>
    </row>
    <row r="58" spans="1:10" x14ac:dyDescent="0.2">
      <c r="A58" s="14"/>
      <c r="B58" s="14"/>
      <c r="C58" s="19"/>
      <c r="D58" s="14"/>
      <c r="E58" s="14"/>
      <c r="F58" s="20"/>
      <c r="G58" s="20"/>
      <c r="H58" s="16" t="s">
        <v>12</v>
      </c>
      <c r="J58" s="67"/>
    </row>
    <row r="59" spans="1:10" x14ac:dyDescent="0.2">
      <c r="A59" s="14"/>
      <c r="B59" s="14"/>
      <c r="C59" s="15" t="s">
        <v>88</v>
      </c>
      <c r="D59" s="14"/>
      <c r="E59" s="14"/>
      <c r="F59" s="20"/>
      <c r="G59" s="20"/>
      <c r="H59" s="16" t="s">
        <v>12</v>
      </c>
      <c r="J59" s="67"/>
    </row>
    <row r="60" spans="1:10" x14ac:dyDescent="0.2">
      <c r="A60" s="22">
        <v>1</v>
      </c>
      <c r="B60" s="23"/>
      <c r="C60" s="23" t="s">
        <v>89</v>
      </c>
      <c r="D60" s="23"/>
      <c r="E60" s="27"/>
      <c r="F60" s="25">
        <v>588.66201589800005</v>
      </c>
      <c r="G60" s="26">
        <v>0.13674475999999999</v>
      </c>
      <c r="H60" s="16">
        <v>6.62</v>
      </c>
      <c r="J60" s="67"/>
    </row>
    <row r="61" spans="1:10" x14ac:dyDescent="0.2">
      <c r="A61" s="14"/>
      <c r="B61" s="14"/>
      <c r="C61" s="15" t="s">
        <v>11</v>
      </c>
      <c r="D61" s="14"/>
      <c r="E61" s="14" t="s">
        <v>12</v>
      </c>
      <c r="F61" s="21">
        <v>588.66201589800005</v>
      </c>
      <c r="G61" s="18">
        <v>0.13674475999999999</v>
      </c>
      <c r="H61" s="16" t="s">
        <v>12</v>
      </c>
      <c r="J61" s="67"/>
    </row>
    <row r="62" spans="1:10" x14ac:dyDescent="0.2">
      <c r="A62" s="14"/>
      <c r="B62" s="14"/>
      <c r="C62" s="19"/>
      <c r="D62" s="14"/>
      <c r="E62" s="14"/>
      <c r="F62" s="20"/>
      <c r="G62" s="20"/>
      <c r="H62" s="16" t="s">
        <v>12</v>
      </c>
      <c r="J62" s="67"/>
    </row>
    <row r="63" spans="1:10" x14ac:dyDescent="0.2">
      <c r="A63" s="14"/>
      <c r="B63" s="14"/>
      <c r="C63" s="15" t="s">
        <v>90</v>
      </c>
      <c r="D63" s="14"/>
      <c r="E63" s="14"/>
      <c r="F63" s="21">
        <v>588.66201589800005</v>
      </c>
      <c r="G63" s="18">
        <v>0.13674475999999999</v>
      </c>
      <c r="H63" s="16" t="s">
        <v>12</v>
      </c>
      <c r="J63" s="67"/>
    </row>
    <row r="64" spans="1:10" x14ac:dyDescent="0.2">
      <c r="A64" s="14"/>
      <c r="B64" s="14"/>
      <c r="C64" s="20"/>
      <c r="D64" s="14"/>
      <c r="E64" s="14"/>
      <c r="F64" s="14"/>
      <c r="G64" s="14"/>
      <c r="H64" s="16" t="s">
        <v>12</v>
      </c>
      <c r="J64" s="67"/>
    </row>
    <row r="65" spans="1:18" x14ac:dyDescent="0.2">
      <c r="A65" s="14"/>
      <c r="B65" s="14"/>
      <c r="C65" s="15" t="s">
        <v>91</v>
      </c>
      <c r="D65" s="14"/>
      <c r="E65" s="14"/>
      <c r="F65" s="14"/>
      <c r="G65" s="14"/>
      <c r="H65" s="16" t="s">
        <v>12</v>
      </c>
      <c r="J65" s="67"/>
    </row>
    <row r="66" spans="1:18" x14ac:dyDescent="0.2">
      <c r="A66" s="14"/>
      <c r="B66" s="14"/>
      <c r="C66" s="15" t="s">
        <v>92</v>
      </c>
      <c r="D66" s="14"/>
      <c r="E66" s="14"/>
      <c r="F66" s="14"/>
      <c r="G66" s="14"/>
      <c r="H66" s="16" t="s">
        <v>12</v>
      </c>
      <c r="J66" s="67"/>
    </row>
    <row r="67" spans="1:18" x14ac:dyDescent="0.2">
      <c r="A67" s="14"/>
      <c r="B67" s="14"/>
      <c r="C67" s="15" t="s">
        <v>11</v>
      </c>
      <c r="D67" s="14"/>
      <c r="E67" s="14" t="s">
        <v>12</v>
      </c>
      <c r="F67" s="17" t="s">
        <v>13</v>
      </c>
      <c r="G67" s="18">
        <v>0</v>
      </c>
      <c r="H67" s="16" t="s">
        <v>12</v>
      </c>
      <c r="J67" s="67"/>
    </row>
    <row r="68" spans="1:18" x14ac:dyDescent="0.2">
      <c r="A68" s="14"/>
      <c r="B68" s="14"/>
      <c r="C68" s="19"/>
      <c r="D68" s="14"/>
      <c r="E68" s="14"/>
      <c r="F68" s="20"/>
      <c r="G68" s="20"/>
      <c r="H68" s="16" t="s">
        <v>12</v>
      </c>
      <c r="J68" s="67"/>
    </row>
    <row r="69" spans="1:18" x14ac:dyDescent="0.2">
      <c r="A69" s="28"/>
      <c r="B69" s="28"/>
      <c r="C69" s="29" t="s">
        <v>536</v>
      </c>
      <c r="D69" s="28"/>
      <c r="E69" s="28"/>
      <c r="F69" s="30"/>
      <c r="G69" s="30"/>
      <c r="H69" s="31"/>
      <c r="J69" s="67"/>
      <c r="L69" s="32"/>
      <c r="M69" s="32"/>
      <c r="N69" s="32"/>
      <c r="O69" s="32"/>
      <c r="P69" s="33"/>
      <c r="Q69" s="33"/>
      <c r="R69" s="33"/>
    </row>
    <row r="70" spans="1:18" x14ac:dyDescent="0.2">
      <c r="A70" s="22">
        <v>1</v>
      </c>
      <c r="B70" s="23" t="s">
        <v>93</v>
      </c>
      <c r="C70" s="23" t="s">
        <v>94</v>
      </c>
      <c r="D70" s="23"/>
      <c r="E70" s="34">
        <v>112.994</v>
      </c>
      <c r="F70" s="25">
        <v>11.714112048</v>
      </c>
      <c r="G70" s="26">
        <v>2.7211599999999998E-3</v>
      </c>
      <c r="H70" s="16"/>
      <c r="J70" s="67"/>
    </row>
    <row r="71" spans="1:18" x14ac:dyDescent="0.2">
      <c r="A71" s="14"/>
      <c r="B71" s="14"/>
      <c r="C71" s="15" t="s">
        <v>11</v>
      </c>
      <c r="D71" s="14"/>
      <c r="E71" s="14" t="s">
        <v>12</v>
      </c>
      <c r="F71" s="21">
        <v>11.714112048</v>
      </c>
      <c r="G71" s="18">
        <v>2.7211599999999998E-3</v>
      </c>
      <c r="H71" s="16" t="s">
        <v>12</v>
      </c>
      <c r="J71" s="67"/>
    </row>
    <row r="72" spans="1:18" x14ac:dyDescent="0.2">
      <c r="A72" s="14"/>
      <c r="B72" s="14"/>
      <c r="C72" s="19"/>
      <c r="D72" s="14"/>
      <c r="E72" s="14"/>
      <c r="F72" s="20"/>
      <c r="G72" s="20"/>
      <c r="H72" s="16" t="s">
        <v>12</v>
      </c>
      <c r="J72" s="67"/>
    </row>
    <row r="73" spans="1:18" x14ac:dyDescent="0.2">
      <c r="A73" s="14"/>
      <c r="B73" s="14"/>
      <c r="C73" s="15" t="s">
        <v>95</v>
      </c>
      <c r="D73" s="14"/>
      <c r="E73" s="14"/>
      <c r="F73" s="14"/>
      <c r="G73" s="14"/>
      <c r="H73" s="16" t="s">
        <v>12</v>
      </c>
      <c r="J73" s="67"/>
    </row>
    <row r="74" spans="1:18" x14ac:dyDescent="0.2">
      <c r="A74" s="14"/>
      <c r="B74" s="14"/>
      <c r="C74" s="15" t="s">
        <v>96</v>
      </c>
      <c r="D74" s="14"/>
      <c r="E74" s="14"/>
      <c r="F74" s="14"/>
      <c r="G74" s="14"/>
      <c r="H74" s="16" t="s">
        <v>12</v>
      </c>
      <c r="J74" s="67"/>
    </row>
    <row r="75" spans="1:18" x14ac:dyDescent="0.2">
      <c r="A75" s="14"/>
      <c r="B75" s="14"/>
      <c r="C75" s="15" t="s">
        <v>11</v>
      </c>
      <c r="D75" s="14"/>
      <c r="E75" s="14" t="s">
        <v>12</v>
      </c>
      <c r="F75" s="17" t="s">
        <v>13</v>
      </c>
      <c r="G75" s="18">
        <v>0</v>
      </c>
      <c r="H75" s="16" t="s">
        <v>12</v>
      </c>
      <c r="J75" s="67"/>
    </row>
    <row r="76" spans="1:18" x14ac:dyDescent="0.2">
      <c r="A76" s="14"/>
      <c r="B76" s="14"/>
      <c r="C76" s="19"/>
      <c r="D76" s="14"/>
      <c r="E76" s="14"/>
      <c r="F76" s="20"/>
      <c r="G76" s="20"/>
      <c r="H76" s="16" t="s">
        <v>12</v>
      </c>
      <c r="J76" s="67"/>
    </row>
    <row r="77" spans="1:18" x14ac:dyDescent="0.2">
      <c r="A77" s="14"/>
      <c r="B77" s="14"/>
      <c r="C77" s="15" t="s">
        <v>97</v>
      </c>
      <c r="D77" s="14"/>
      <c r="E77" s="14"/>
      <c r="F77" s="20"/>
      <c r="G77" s="20"/>
      <c r="H77" s="16" t="s">
        <v>12</v>
      </c>
      <c r="J77" s="67"/>
    </row>
    <row r="78" spans="1:18" x14ac:dyDescent="0.2">
      <c r="A78" s="14"/>
      <c r="B78" s="14"/>
      <c r="C78" s="15" t="s">
        <v>11</v>
      </c>
      <c r="D78" s="14"/>
      <c r="E78" s="14" t="s">
        <v>12</v>
      </c>
      <c r="F78" s="17" t="s">
        <v>13</v>
      </c>
      <c r="G78" s="18">
        <v>0</v>
      </c>
      <c r="H78" s="16" t="s">
        <v>12</v>
      </c>
      <c r="J78" s="67"/>
    </row>
    <row r="79" spans="1:18" x14ac:dyDescent="0.2">
      <c r="A79" s="14"/>
      <c r="B79" s="14"/>
      <c r="C79" s="19"/>
      <c r="D79" s="14"/>
      <c r="E79" s="14"/>
      <c r="F79" s="20"/>
      <c r="G79" s="20"/>
      <c r="H79" s="16" t="s">
        <v>12</v>
      </c>
      <c r="J79" s="67"/>
    </row>
    <row r="80" spans="1:18" x14ac:dyDescent="0.2">
      <c r="A80" s="27"/>
      <c r="B80" s="23"/>
      <c r="C80" s="23" t="s">
        <v>98</v>
      </c>
      <c r="D80" s="23"/>
      <c r="E80" s="27"/>
      <c r="F80" s="25">
        <f>54.01855514+0.00102119400024414</f>
        <v>54.019576334000242</v>
      </c>
      <c r="G80" s="26">
        <v>1.254838E-2</v>
      </c>
      <c r="H80" s="16" t="s">
        <v>12</v>
      </c>
      <c r="J80" s="67"/>
    </row>
    <row r="81" spans="1:10" x14ac:dyDescent="0.2">
      <c r="A81" s="19"/>
      <c r="B81" s="19"/>
      <c r="C81" s="15" t="s">
        <v>99</v>
      </c>
      <c r="D81" s="20"/>
      <c r="E81" s="20"/>
      <c r="F81" s="21">
        <f>4304.823253086+0.00102119400024414</f>
        <v>4304.8242742799994</v>
      </c>
      <c r="G81" s="35">
        <v>1.0000000099999999</v>
      </c>
      <c r="H81" s="16" t="s">
        <v>12</v>
      </c>
      <c r="J81" s="67"/>
    </row>
    <row r="82" spans="1:10" x14ac:dyDescent="0.2">
      <c r="A82" s="36"/>
      <c r="B82" s="36"/>
      <c r="C82" s="36"/>
      <c r="D82" s="37"/>
      <c r="E82" s="37"/>
      <c r="F82" s="37"/>
      <c r="G82" s="37"/>
      <c r="J82" s="67"/>
    </row>
    <row r="83" spans="1:10" x14ac:dyDescent="0.2">
      <c r="A83" s="38"/>
      <c r="B83" s="112" t="s">
        <v>532</v>
      </c>
      <c r="C83" s="112"/>
      <c r="D83" s="112"/>
      <c r="E83" s="112"/>
      <c r="F83" s="112"/>
      <c r="G83" s="112"/>
      <c r="H83" s="112"/>
      <c r="J83" s="67"/>
    </row>
    <row r="84" spans="1:10" x14ac:dyDescent="0.2">
      <c r="A84" s="38"/>
      <c r="B84" s="112" t="s">
        <v>533</v>
      </c>
      <c r="C84" s="112"/>
      <c r="D84" s="112"/>
      <c r="E84" s="112"/>
      <c r="F84" s="112"/>
      <c r="G84" s="112"/>
      <c r="H84" s="112"/>
      <c r="J84" s="67"/>
    </row>
    <row r="85" spans="1:10" x14ac:dyDescent="0.2">
      <c r="A85" s="38"/>
      <c r="B85" s="112" t="s">
        <v>534</v>
      </c>
      <c r="C85" s="112"/>
      <c r="D85" s="112"/>
      <c r="E85" s="112"/>
      <c r="F85" s="112"/>
      <c r="G85" s="112"/>
      <c r="H85" s="112"/>
      <c r="J85" s="67"/>
    </row>
    <row r="86" spans="1:10" x14ac:dyDescent="0.2">
      <c r="A86" s="40"/>
      <c r="B86" s="40"/>
      <c r="C86" s="40"/>
      <c r="D86" s="41"/>
      <c r="E86" s="41"/>
      <c r="F86" s="41"/>
      <c r="G86" s="41"/>
      <c r="J86" s="67"/>
    </row>
    <row r="87" spans="1:10" x14ac:dyDescent="0.2">
      <c r="A87" s="40"/>
      <c r="B87" s="118" t="s">
        <v>100</v>
      </c>
      <c r="C87" s="119"/>
      <c r="D87" s="120"/>
      <c r="E87" s="42"/>
      <c r="F87" s="41"/>
      <c r="G87" s="41"/>
      <c r="J87" s="67"/>
    </row>
    <row r="88" spans="1:10" ht="25.5" x14ac:dyDescent="0.2">
      <c r="A88" s="40"/>
      <c r="B88" s="121" t="s">
        <v>101</v>
      </c>
      <c r="C88" s="122"/>
      <c r="D88" s="29" t="s">
        <v>559</v>
      </c>
      <c r="E88" s="42"/>
      <c r="F88" s="41"/>
      <c r="G88" s="41"/>
      <c r="J88" s="67"/>
    </row>
    <row r="89" spans="1:10" x14ac:dyDescent="0.2">
      <c r="A89" s="40"/>
      <c r="B89" s="121" t="s">
        <v>103</v>
      </c>
      <c r="C89" s="122"/>
      <c r="D89" s="15" t="s">
        <v>102</v>
      </c>
      <c r="E89" s="42"/>
      <c r="F89" s="41"/>
      <c r="G89" s="41"/>
      <c r="J89" s="67"/>
    </row>
    <row r="90" spans="1:10" x14ac:dyDescent="0.2">
      <c r="A90" s="40"/>
      <c r="B90" s="121" t="s">
        <v>104</v>
      </c>
      <c r="C90" s="122"/>
      <c r="D90" s="20" t="s">
        <v>12</v>
      </c>
      <c r="E90" s="42"/>
      <c r="F90" s="41"/>
      <c r="G90" s="41"/>
      <c r="J90" s="67"/>
    </row>
    <row r="91" spans="1:10" x14ac:dyDescent="0.2">
      <c r="A91" s="43"/>
      <c r="B91" s="44" t="s">
        <v>12</v>
      </c>
      <c r="C91" s="44" t="s">
        <v>528</v>
      </c>
      <c r="D91" s="44" t="s">
        <v>105</v>
      </c>
      <c r="E91" s="43"/>
      <c r="F91" s="43"/>
      <c r="G91" s="43"/>
      <c r="H91" s="45"/>
      <c r="J91" s="67"/>
    </row>
    <row r="92" spans="1:10" x14ac:dyDescent="0.2">
      <c r="A92" s="46"/>
      <c r="B92" s="47" t="s">
        <v>106</v>
      </c>
      <c r="C92" s="48">
        <v>45519</v>
      </c>
      <c r="D92" s="48">
        <v>45535</v>
      </c>
      <c r="E92" s="46"/>
      <c r="F92" s="46"/>
      <c r="G92" s="46"/>
      <c r="J92" s="67"/>
    </row>
    <row r="93" spans="1:10" x14ac:dyDescent="0.2">
      <c r="A93" s="46"/>
      <c r="B93" s="23" t="s">
        <v>107</v>
      </c>
      <c r="C93" s="49">
        <v>72.203999999999994</v>
      </c>
      <c r="D93" s="49">
        <v>72.370800000000003</v>
      </c>
      <c r="E93" s="46"/>
      <c r="F93" s="50"/>
      <c r="G93" s="51"/>
      <c r="J93" s="67"/>
    </row>
    <row r="94" spans="1:10" ht="25.5" x14ac:dyDescent="0.2">
      <c r="A94" s="46"/>
      <c r="B94" s="23" t="s">
        <v>585</v>
      </c>
      <c r="C94" s="49">
        <v>25.992799999999999</v>
      </c>
      <c r="D94" s="49">
        <v>26.052800000000001</v>
      </c>
      <c r="E94" s="46"/>
      <c r="F94" s="50"/>
      <c r="G94" s="51"/>
      <c r="J94" s="67"/>
    </row>
    <row r="95" spans="1:10" ht="25.5" x14ac:dyDescent="0.2">
      <c r="A95" s="46"/>
      <c r="B95" s="23" t="s">
        <v>587</v>
      </c>
      <c r="C95" s="49">
        <v>14.885199999999999</v>
      </c>
      <c r="D95" s="49">
        <v>14.919600000000001</v>
      </c>
      <c r="E95" s="46"/>
      <c r="F95" s="50"/>
      <c r="G95" s="51"/>
      <c r="J95" s="67"/>
    </row>
    <row r="96" spans="1:10" ht="25.5" x14ac:dyDescent="0.2">
      <c r="A96" s="46"/>
      <c r="B96" s="23" t="s">
        <v>446</v>
      </c>
      <c r="C96" s="49">
        <v>73.621600000000001</v>
      </c>
      <c r="D96" s="49">
        <v>73.762100000000004</v>
      </c>
      <c r="E96" s="46"/>
      <c r="F96" s="50"/>
      <c r="G96" s="51"/>
      <c r="J96" s="67"/>
    </row>
    <row r="97" spans="1:15" x14ac:dyDescent="0.2">
      <c r="A97" s="46"/>
      <c r="B97" s="23" t="s">
        <v>108</v>
      </c>
      <c r="C97" s="49">
        <v>65.1511</v>
      </c>
      <c r="D97" s="49">
        <v>65.275499999999994</v>
      </c>
      <c r="E97" s="46"/>
      <c r="F97" s="50"/>
      <c r="G97" s="51"/>
      <c r="J97" s="67"/>
    </row>
    <row r="98" spans="1:15" x14ac:dyDescent="0.2">
      <c r="A98" s="46"/>
      <c r="B98" s="23" t="s">
        <v>140</v>
      </c>
      <c r="C98" s="49">
        <v>22.252700000000001</v>
      </c>
      <c r="D98" s="49">
        <v>22.295200000000001</v>
      </c>
      <c r="E98" s="46"/>
      <c r="F98" s="50"/>
      <c r="G98" s="51"/>
      <c r="J98" s="67"/>
    </row>
    <row r="99" spans="1:15" ht="25.5" x14ac:dyDescent="0.2">
      <c r="A99" s="46"/>
      <c r="B99" s="23" t="s">
        <v>562</v>
      </c>
      <c r="C99" s="49">
        <v>12.986800000000001</v>
      </c>
      <c r="D99" s="49">
        <v>13.0116</v>
      </c>
      <c r="E99" s="46"/>
      <c r="F99" s="50"/>
      <c r="G99" s="51"/>
      <c r="J99" s="67"/>
    </row>
    <row r="100" spans="1:15" ht="25.5" x14ac:dyDescent="0.2">
      <c r="A100" s="46"/>
      <c r="B100" s="23" t="s">
        <v>589</v>
      </c>
      <c r="C100" s="49">
        <v>13.345499999999999</v>
      </c>
      <c r="D100" s="49">
        <v>13.371</v>
      </c>
      <c r="E100" s="46"/>
      <c r="F100" s="50"/>
      <c r="G100" s="51"/>
      <c r="J100" s="67"/>
    </row>
    <row r="101" spans="1:15" ht="25.5" x14ac:dyDescent="0.2">
      <c r="A101" s="46"/>
      <c r="B101" s="23" t="s">
        <v>590</v>
      </c>
      <c r="C101" s="49">
        <v>13.2416</v>
      </c>
      <c r="D101" s="49">
        <v>13.2669</v>
      </c>
      <c r="E101" s="46"/>
      <c r="F101" s="50"/>
      <c r="G101" s="51"/>
      <c r="J101" s="67"/>
    </row>
    <row r="102" spans="1:15" ht="15" x14ac:dyDescent="0.25">
      <c r="A102" s="46"/>
      <c r="B102" s="46"/>
      <c r="C102" s="46"/>
      <c r="D102" s="46"/>
      <c r="E102" s="46"/>
      <c r="F102" s="46"/>
      <c r="G102" s="46"/>
      <c r="I102" s="85"/>
      <c r="J102" s="67"/>
    </row>
    <row r="103" spans="1:15" x14ac:dyDescent="0.2">
      <c r="A103" s="46"/>
      <c r="B103" s="121" t="s">
        <v>591</v>
      </c>
      <c r="C103" s="122"/>
      <c r="D103" s="15" t="s">
        <v>102</v>
      </c>
      <c r="E103" s="46"/>
      <c r="F103" s="46"/>
      <c r="G103" s="46"/>
      <c r="J103" s="67"/>
    </row>
    <row r="104" spans="1:15" x14ac:dyDescent="0.2">
      <c r="A104" s="46"/>
      <c r="B104" s="58"/>
      <c r="C104" s="58"/>
      <c r="D104" s="58"/>
      <c r="E104" s="46"/>
      <c r="F104" s="46"/>
      <c r="G104" s="46"/>
      <c r="J104" s="67"/>
    </row>
    <row r="105" spans="1:15" s="59" customFormat="1" ht="15" x14ac:dyDescent="0.25">
      <c r="A105" s="65"/>
      <c r="B105" s="106" t="s">
        <v>546</v>
      </c>
      <c r="C105" s="107"/>
      <c r="D105" s="29" t="s">
        <v>102</v>
      </c>
      <c r="E105" s="65"/>
      <c r="F105" s="39"/>
      <c r="G105" s="65"/>
      <c r="I105" s="85"/>
      <c r="J105" s="67"/>
      <c r="K105" s="85"/>
      <c r="L105" s="85"/>
      <c r="M105" s="85"/>
      <c r="N105" s="85"/>
      <c r="O105"/>
    </row>
    <row r="106" spans="1:15" x14ac:dyDescent="0.2">
      <c r="A106" s="43"/>
      <c r="B106" s="106" t="s">
        <v>547</v>
      </c>
      <c r="C106" s="107"/>
      <c r="D106" s="29" t="s">
        <v>102</v>
      </c>
      <c r="E106" s="57"/>
      <c r="F106" s="43"/>
      <c r="G106" s="43"/>
      <c r="J106" s="67"/>
    </row>
    <row r="107" spans="1:15" x14ac:dyDescent="0.2">
      <c r="A107" s="43"/>
      <c r="B107" s="106" t="s">
        <v>548</v>
      </c>
      <c r="C107" s="107"/>
      <c r="D107" s="29" t="s">
        <v>102</v>
      </c>
      <c r="E107" s="57"/>
      <c r="F107" s="43"/>
      <c r="G107" s="43"/>
      <c r="J107" s="67"/>
    </row>
    <row r="108" spans="1:15" ht="15" x14ac:dyDescent="0.25">
      <c r="A108" s="43"/>
      <c r="B108" s="106" t="s">
        <v>549</v>
      </c>
      <c r="C108" s="107"/>
      <c r="D108" s="29" t="s">
        <v>102</v>
      </c>
      <c r="E108" s="57"/>
      <c r="F108" s="43"/>
      <c r="G108" s="43"/>
      <c r="I108" s="85"/>
      <c r="J108" s="67"/>
    </row>
    <row r="109" spans="1:15" ht="15" x14ac:dyDescent="0.2">
      <c r="A109" s="58"/>
      <c r="B109" s="58"/>
      <c r="C109" s="58"/>
      <c r="D109" s="58"/>
      <c r="E109" s="58"/>
      <c r="F109" s="58"/>
      <c r="G109" s="58"/>
      <c r="I109" s="86"/>
      <c r="J109" s="67"/>
    </row>
    <row r="110" spans="1:15" s="59" customFormat="1" ht="15" x14ac:dyDescent="0.25">
      <c r="B110" s="136" t="s">
        <v>578</v>
      </c>
      <c r="C110" s="137"/>
      <c r="D110" s="137"/>
      <c r="E110" s="137"/>
      <c r="F110" s="137"/>
      <c r="G110" s="138"/>
      <c r="I110" s="87"/>
      <c r="J110" s="67"/>
      <c r="K110" s="85"/>
      <c r="L110" s="85"/>
      <c r="M110" s="85"/>
      <c r="N110" s="85"/>
      <c r="O110"/>
    </row>
    <row r="111" spans="1:15" s="59" customFormat="1" ht="15" x14ac:dyDescent="0.25">
      <c r="B111" s="88" t="s">
        <v>563</v>
      </c>
      <c r="C111" s="88" t="s">
        <v>564</v>
      </c>
      <c r="D111" s="132" t="s">
        <v>552</v>
      </c>
      <c r="E111" s="133"/>
      <c r="F111" s="125" t="s">
        <v>553</v>
      </c>
      <c r="G111" s="125"/>
      <c r="H111" s="89"/>
      <c r="I111" s="90"/>
      <c r="J111" s="67"/>
      <c r="K111" s="85"/>
      <c r="L111" s="85"/>
      <c r="M111" s="85"/>
      <c r="N111" s="85"/>
      <c r="O111"/>
    </row>
    <row r="112" spans="1:15" s="59" customFormat="1" ht="25.5" x14ac:dyDescent="0.25">
      <c r="B112" s="91" t="s">
        <v>565</v>
      </c>
      <c r="C112" s="92" t="s">
        <v>566</v>
      </c>
      <c r="D112" s="134">
        <v>0</v>
      </c>
      <c r="E112" s="135"/>
      <c r="F112" s="134">
        <v>0</v>
      </c>
      <c r="G112" s="135"/>
      <c r="H112" s="93"/>
      <c r="I112"/>
      <c r="J112" s="67"/>
      <c r="K112" s="85"/>
      <c r="L112" s="85"/>
      <c r="M112" s="85"/>
      <c r="N112" s="85"/>
      <c r="O112"/>
    </row>
    <row r="113" spans="2:15" s="59" customFormat="1" ht="15" x14ac:dyDescent="0.25">
      <c r="B113" s="126" t="s">
        <v>567</v>
      </c>
      <c r="C113" s="127"/>
      <c r="D113" s="127"/>
      <c r="E113" s="127"/>
      <c r="F113" s="127"/>
      <c r="G113" s="128"/>
      <c r="H113" s="93"/>
      <c r="I113"/>
      <c r="J113" s="67"/>
      <c r="K113" s="90"/>
      <c r="L113" s="90"/>
      <c r="M113" s="90"/>
      <c r="N113" s="85"/>
      <c r="O113"/>
    </row>
    <row r="114" spans="2:15" s="59" customFormat="1" ht="15" x14ac:dyDescent="0.25">
      <c r="B114" s="125" t="s">
        <v>563</v>
      </c>
      <c r="C114" s="125" t="s">
        <v>564</v>
      </c>
      <c r="D114" s="126" t="s">
        <v>568</v>
      </c>
      <c r="E114" s="127"/>
      <c r="F114" s="128"/>
      <c r="G114" s="91"/>
      <c r="H114" s="93"/>
      <c r="I114"/>
      <c r="J114" s="67"/>
      <c r="K114" s="90"/>
      <c r="L114" s="90"/>
      <c r="M114" s="90"/>
      <c r="N114" s="85"/>
      <c r="O114"/>
    </row>
    <row r="115" spans="2:15" s="59" customFormat="1" ht="76.5" x14ac:dyDescent="0.25">
      <c r="B115" s="125"/>
      <c r="C115" s="125"/>
      <c r="D115" s="94" t="s">
        <v>569</v>
      </c>
      <c r="E115" s="94" t="s">
        <v>570</v>
      </c>
      <c r="F115" s="94" t="s">
        <v>571</v>
      </c>
      <c r="G115" s="94" t="s">
        <v>580</v>
      </c>
      <c r="H115" s="95"/>
      <c r="I115"/>
      <c r="J115" s="67"/>
      <c r="K115" s="90"/>
      <c r="L115" s="90"/>
      <c r="M115" s="90"/>
      <c r="N115" s="85"/>
      <c r="O115"/>
    </row>
    <row r="116" spans="2:15" s="59" customFormat="1" ht="25.5" x14ac:dyDescent="0.2">
      <c r="B116" s="96" t="s">
        <v>565</v>
      </c>
      <c r="C116" s="92" t="s">
        <v>566</v>
      </c>
      <c r="D116" s="97">
        <v>200</v>
      </c>
      <c r="E116" s="97">
        <v>6.8852450999999997</v>
      </c>
      <c r="F116" s="97">
        <v>206.88524509999999</v>
      </c>
      <c r="G116" s="98">
        <f>F116/F81</f>
        <v>4.8058929219498156E-2</v>
      </c>
      <c r="H116" s="99"/>
      <c r="I116"/>
      <c r="J116" s="67"/>
      <c r="K116"/>
      <c r="L116"/>
      <c r="M116"/>
      <c r="N116"/>
      <c r="O116"/>
    </row>
    <row r="117" spans="2:15" s="59" customFormat="1" ht="36.75" customHeight="1" x14ac:dyDescent="0.2">
      <c r="B117" s="129" t="s">
        <v>572</v>
      </c>
      <c r="C117" s="130"/>
      <c r="D117" s="130"/>
      <c r="E117" s="130"/>
      <c r="F117" s="130"/>
      <c r="G117" s="131"/>
      <c r="H117" s="100"/>
      <c r="I117"/>
      <c r="J117" s="67"/>
      <c r="K117"/>
      <c r="L117"/>
      <c r="M117"/>
      <c r="N117"/>
      <c r="O117"/>
    </row>
    <row r="118" spans="2:15" s="59" customFormat="1" x14ac:dyDescent="0.2">
      <c r="H118" s="100"/>
      <c r="I118"/>
      <c r="J118" s="71"/>
      <c r="K118"/>
      <c r="L118"/>
      <c r="M118"/>
      <c r="N118"/>
      <c r="O118"/>
    </row>
    <row r="119" spans="2:15" s="59" customFormat="1" x14ac:dyDescent="0.2">
      <c r="B119" s="113" t="s">
        <v>538</v>
      </c>
      <c r="C119" s="114"/>
      <c r="D119" s="115"/>
      <c r="I119"/>
      <c r="J119" s="71"/>
      <c r="K119"/>
      <c r="L119"/>
      <c r="M119"/>
      <c r="N119"/>
      <c r="O119"/>
    </row>
    <row r="120" spans="2:15" s="59" customFormat="1" ht="38.25" x14ac:dyDescent="0.2">
      <c r="B120" s="117" t="s">
        <v>539</v>
      </c>
      <c r="C120" s="117"/>
      <c r="D120" s="60" t="s">
        <v>443</v>
      </c>
      <c r="I120"/>
      <c r="J120" s="71"/>
      <c r="K120"/>
      <c r="L120"/>
      <c r="M120"/>
      <c r="N120"/>
      <c r="O120"/>
    </row>
    <row r="121" spans="2:15" s="59" customFormat="1" x14ac:dyDescent="0.2">
      <c r="B121" s="110" t="s">
        <v>540</v>
      </c>
      <c r="C121" s="110"/>
      <c r="D121" s="61"/>
      <c r="I121"/>
      <c r="J121" s="71"/>
      <c r="K121"/>
      <c r="L121"/>
      <c r="M121"/>
      <c r="N121"/>
      <c r="O121"/>
    </row>
    <row r="122" spans="2:15" s="59" customFormat="1" x14ac:dyDescent="0.2">
      <c r="B122" s="110"/>
      <c r="C122" s="110"/>
      <c r="D122" s="62"/>
      <c r="I122"/>
      <c r="J122" s="71"/>
      <c r="K122"/>
      <c r="L122"/>
      <c r="M122"/>
      <c r="N122"/>
      <c r="O122"/>
    </row>
    <row r="123" spans="2:15" s="59" customFormat="1" x14ac:dyDescent="0.2">
      <c r="B123" s="110" t="s">
        <v>541</v>
      </c>
      <c r="C123" s="110"/>
      <c r="D123" s="63">
        <v>7.0502114272137018</v>
      </c>
      <c r="I123"/>
      <c r="J123" s="71"/>
      <c r="K123"/>
      <c r="L123"/>
      <c r="M123"/>
      <c r="N123"/>
      <c r="O123"/>
    </row>
    <row r="124" spans="2:15" s="59" customFormat="1" x14ac:dyDescent="0.2">
      <c r="B124" s="110"/>
      <c r="C124" s="110"/>
      <c r="D124" s="62"/>
      <c r="I124"/>
      <c r="J124" s="71"/>
      <c r="K124"/>
      <c r="L124"/>
      <c r="M124"/>
      <c r="N124"/>
      <c r="O124"/>
    </row>
    <row r="125" spans="2:15" s="59" customFormat="1" x14ac:dyDescent="0.2">
      <c r="B125" s="110" t="s">
        <v>542</v>
      </c>
      <c r="C125" s="110"/>
      <c r="D125" s="63">
        <v>3.8471908022308998</v>
      </c>
      <c r="I125"/>
      <c r="J125" s="67"/>
      <c r="K125"/>
      <c r="L125"/>
      <c r="M125"/>
      <c r="N125"/>
      <c r="O125"/>
    </row>
    <row r="126" spans="2:15" s="59" customFormat="1" x14ac:dyDescent="0.2">
      <c r="B126" s="110" t="s">
        <v>543</v>
      </c>
      <c r="C126" s="110"/>
      <c r="D126" s="63">
        <v>4.9013265111193229</v>
      </c>
      <c r="I126"/>
      <c r="J126" s="67"/>
      <c r="K126"/>
      <c r="L126"/>
      <c r="M126"/>
      <c r="N126"/>
      <c r="O126"/>
    </row>
    <row r="127" spans="2:15" s="59" customFormat="1" x14ac:dyDescent="0.2">
      <c r="B127" s="110"/>
      <c r="C127" s="110"/>
      <c r="D127" s="62"/>
      <c r="I127"/>
      <c r="J127" s="67"/>
      <c r="K127"/>
      <c r="L127"/>
      <c r="M127"/>
      <c r="N127"/>
      <c r="O127"/>
    </row>
    <row r="128" spans="2:15" s="59" customFormat="1" x14ac:dyDescent="0.2">
      <c r="B128" s="110" t="s">
        <v>544</v>
      </c>
      <c r="C128" s="110"/>
      <c r="D128" s="64" t="s">
        <v>577</v>
      </c>
      <c r="I128"/>
      <c r="J128" s="71"/>
      <c r="K128"/>
      <c r="L128"/>
      <c r="M128"/>
      <c r="N128"/>
      <c r="O128"/>
    </row>
    <row r="129" spans="2:17" s="59" customFormat="1" x14ac:dyDescent="0.2">
      <c r="B129" s="108" t="s">
        <v>545</v>
      </c>
      <c r="C129" s="111"/>
      <c r="D129" s="109"/>
      <c r="I129"/>
      <c r="J129" s="71"/>
      <c r="K129"/>
      <c r="L129"/>
      <c r="M129"/>
      <c r="N129"/>
      <c r="O129"/>
      <c r="P129"/>
      <c r="Q129"/>
    </row>
  </sheetData>
  <mergeCells count="36">
    <mergeCell ref="A1:H1"/>
    <mergeCell ref="A2:H2"/>
    <mergeCell ref="A3:H3"/>
    <mergeCell ref="B83:H83"/>
    <mergeCell ref="B84:H84"/>
    <mergeCell ref="B85:H85"/>
    <mergeCell ref="B105:C105"/>
    <mergeCell ref="B106:C106"/>
    <mergeCell ref="B110:G110"/>
    <mergeCell ref="B108:C108"/>
    <mergeCell ref="B107:C107"/>
    <mergeCell ref="B87:D87"/>
    <mergeCell ref="B88:C88"/>
    <mergeCell ref="B89:C89"/>
    <mergeCell ref="B90:C90"/>
    <mergeCell ref="B103:C103"/>
    <mergeCell ref="D111:E111"/>
    <mergeCell ref="F111:G111"/>
    <mergeCell ref="D112:E112"/>
    <mergeCell ref="F112:G112"/>
    <mergeCell ref="B113:G113"/>
    <mergeCell ref="B114:B115"/>
    <mergeCell ref="C114:C115"/>
    <mergeCell ref="D114:F114"/>
    <mergeCell ref="B117:G117"/>
    <mergeCell ref="B119:D119"/>
    <mergeCell ref="B120:C120"/>
    <mergeCell ref="B121:C121"/>
    <mergeCell ref="B122:C122"/>
    <mergeCell ref="B123:C123"/>
    <mergeCell ref="B124:C124"/>
    <mergeCell ref="B125:C125"/>
    <mergeCell ref="B126:C126"/>
    <mergeCell ref="B127:C127"/>
    <mergeCell ref="B128:C128"/>
    <mergeCell ref="B129:D129"/>
  </mergeCells>
  <hyperlinks>
    <hyperlink ref="I1" location="Index!B9" display="Index" xr:uid="{2F82165A-B8D3-4021-954B-D67E815ECE5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22473-E059-45F2-BC42-460882CD54EB}">
  <sheetPr>
    <outlinePr summaryBelow="0" summaryRight="0"/>
  </sheetPr>
  <dimension ref="A1:R139"/>
  <sheetViews>
    <sheetView showGridLines="0" workbookViewId="0">
      <selection sqref="A1:H1"/>
    </sheetView>
  </sheetViews>
  <sheetFormatPr defaultRowHeight="12.75" x14ac:dyDescent="0.2"/>
  <cols>
    <col min="1" max="1" width="5.85546875" bestFit="1" customWidth="1"/>
    <col min="2" max="2" width="20.28515625" bestFit="1" customWidth="1"/>
    <col min="3" max="3" width="43.7109375" customWidth="1"/>
    <col min="4" max="4" width="16.570312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16" t="s">
        <v>0</v>
      </c>
      <c r="B1" s="116"/>
      <c r="C1" s="116"/>
      <c r="D1" s="116"/>
      <c r="E1" s="116"/>
      <c r="F1" s="116"/>
      <c r="G1" s="116"/>
      <c r="H1" s="116"/>
      <c r="I1" s="7" t="s">
        <v>600</v>
      </c>
      <c r="J1" s="67"/>
      <c r="K1" s="7"/>
    </row>
    <row r="2" spans="1:11" ht="15" x14ac:dyDescent="0.2">
      <c r="A2" s="116" t="s">
        <v>447</v>
      </c>
      <c r="B2" s="116"/>
      <c r="C2" s="116"/>
      <c r="D2" s="116"/>
      <c r="E2" s="116"/>
      <c r="F2" s="116"/>
      <c r="G2" s="116"/>
      <c r="H2" s="116"/>
      <c r="J2" s="68" t="s">
        <v>601</v>
      </c>
    </row>
    <row r="3" spans="1:11" ht="15" x14ac:dyDescent="0.2">
      <c r="A3" s="116" t="s">
        <v>526</v>
      </c>
      <c r="B3" s="116"/>
      <c r="C3" s="116"/>
      <c r="D3" s="116"/>
      <c r="E3" s="116"/>
      <c r="F3" s="116"/>
      <c r="G3" s="116"/>
      <c r="H3" s="116"/>
      <c r="J3" s="67"/>
    </row>
    <row r="4" spans="1:11" s="11" customFormat="1" ht="30" x14ac:dyDescent="0.2">
      <c r="A4" s="12" t="s">
        <v>2</v>
      </c>
      <c r="B4" s="12" t="s">
        <v>3</v>
      </c>
      <c r="C4" s="12" t="s">
        <v>4</v>
      </c>
      <c r="D4" s="12" t="s">
        <v>5</v>
      </c>
      <c r="E4" s="12" t="s">
        <v>6</v>
      </c>
      <c r="F4" s="12" t="s">
        <v>7</v>
      </c>
      <c r="G4" s="12" t="s">
        <v>8</v>
      </c>
      <c r="H4" s="13" t="s">
        <v>527</v>
      </c>
      <c r="J4" s="67"/>
    </row>
    <row r="5" spans="1:11" x14ac:dyDescent="0.2">
      <c r="A5" s="14"/>
      <c r="B5" s="14"/>
      <c r="C5" s="15" t="s">
        <v>9</v>
      </c>
      <c r="D5" s="14"/>
      <c r="E5" s="14"/>
      <c r="F5" s="14"/>
      <c r="G5" s="14"/>
      <c r="H5" s="16" t="s">
        <v>12</v>
      </c>
      <c r="J5" s="67"/>
    </row>
    <row r="6" spans="1:11" x14ac:dyDescent="0.2">
      <c r="A6" s="14"/>
      <c r="B6" s="14"/>
      <c r="C6" s="15" t="s">
        <v>10</v>
      </c>
      <c r="D6" s="14"/>
      <c r="E6" s="14"/>
      <c r="F6" s="14"/>
      <c r="G6" s="14"/>
      <c r="H6" s="16" t="s">
        <v>12</v>
      </c>
      <c r="J6" s="67"/>
    </row>
    <row r="7" spans="1:11" x14ac:dyDescent="0.2">
      <c r="A7" s="22">
        <v>1</v>
      </c>
      <c r="B7" s="23" t="s">
        <v>448</v>
      </c>
      <c r="C7" s="23" t="s">
        <v>449</v>
      </c>
      <c r="D7" s="23" t="s">
        <v>450</v>
      </c>
      <c r="E7" s="24">
        <v>4400</v>
      </c>
      <c r="F7" s="25">
        <v>72.023600000000002</v>
      </c>
      <c r="G7" s="26">
        <v>2.6444059999999998E-2</v>
      </c>
      <c r="H7" s="16" t="s">
        <v>12</v>
      </c>
      <c r="J7" s="67"/>
    </row>
    <row r="8" spans="1:11" x14ac:dyDescent="0.2">
      <c r="A8" s="22">
        <v>2</v>
      </c>
      <c r="B8" s="23" t="s">
        <v>451</v>
      </c>
      <c r="C8" s="23" t="s">
        <v>452</v>
      </c>
      <c r="D8" s="23" t="s">
        <v>453</v>
      </c>
      <c r="E8" s="24">
        <v>2000</v>
      </c>
      <c r="F8" s="25">
        <v>60.384999999999998</v>
      </c>
      <c r="G8" s="26">
        <v>2.2170849999999999E-2</v>
      </c>
      <c r="H8" s="16" t="s">
        <v>12</v>
      </c>
      <c r="J8" s="67"/>
    </row>
    <row r="9" spans="1:11" x14ac:dyDescent="0.2">
      <c r="A9" s="22">
        <v>3</v>
      </c>
      <c r="B9" s="23" t="s">
        <v>454</v>
      </c>
      <c r="C9" s="23" t="s">
        <v>455</v>
      </c>
      <c r="D9" s="23" t="s">
        <v>450</v>
      </c>
      <c r="E9" s="24">
        <v>4400</v>
      </c>
      <c r="F9" s="25">
        <v>54.084800000000001</v>
      </c>
      <c r="G9" s="26">
        <v>1.9857679999999999E-2</v>
      </c>
      <c r="H9" s="16" t="s">
        <v>12</v>
      </c>
      <c r="J9" s="67"/>
    </row>
    <row r="10" spans="1:11" x14ac:dyDescent="0.2">
      <c r="A10" s="22">
        <v>4</v>
      </c>
      <c r="B10" s="23" t="s">
        <v>456</v>
      </c>
      <c r="C10" s="23" t="s">
        <v>457</v>
      </c>
      <c r="D10" s="23" t="s">
        <v>458</v>
      </c>
      <c r="E10" s="24">
        <v>3000</v>
      </c>
      <c r="F10" s="25">
        <v>47.671500000000002</v>
      </c>
      <c r="G10" s="26">
        <v>1.7502980000000001E-2</v>
      </c>
      <c r="H10" s="16" t="s">
        <v>12</v>
      </c>
      <c r="J10" s="67"/>
    </row>
    <row r="11" spans="1:11" x14ac:dyDescent="0.2">
      <c r="A11" s="22">
        <v>5</v>
      </c>
      <c r="B11" s="23" t="s">
        <v>459</v>
      </c>
      <c r="C11" s="23" t="s">
        <v>460</v>
      </c>
      <c r="D11" s="23" t="s">
        <v>461</v>
      </c>
      <c r="E11" s="24">
        <v>1200</v>
      </c>
      <c r="F11" s="25">
        <v>44.455800000000004</v>
      </c>
      <c r="G11" s="26">
        <v>1.632231E-2</v>
      </c>
      <c r="H11" s="16" t="s">
        <v>12</v>
      </c>
      <c r="J11" s="67"/>
    </row>
    <row r="12" spans="1:11" ht="15" x14ac:dyDescent="0.2">
      <c r="A12" s="22">
        <v>6</v>
      </c>
      <c r="B12" s="23" t="s">
        <v>462</v>
      </c>
      <c r="C12" s="23" t="s">
        <v>463</v>
      </c>
      <c r="D12" s="23" t="s">
        <v>464</v>
      </c>
      <c r="E12" s="24">
        <v>1750</v>
      </c>
      <c r="F12" s="25">
        <v>34.014749999999999</v>
      </c>
      <c r="G12" s="26">
        <v>1.24888E-2</v>
      </c>
      <c r="H12" s="16" t="s">
        <v>12</v>
      </c>
      <c r="J12" s="69"/>
    </row>
    <row r="13" spans="1:11" x14ac:dyDescent="0.2">
      <c r="A13" s="22">
        <v>7</v>
      </c>
      <c r="B13" s="23" t="s">
        <v>465</v>
      </c>
      <c r="C13" s="23" t="s">
        <v>466</v>
      </c>
      <c r="D13" s="23" t="s">
        <v>464</v>
      </c>
      <c r="E13" s="24">
        <v>1848</v>
      </c>
      <c r="F13" s="25">
        <v>32.400060000000003</v>
      </c>
      <c r="G13" s="26">
        <v>1.1895950000000001E-2</v>
      </c>
      <c r="H13" s="16" t="s">
        <v>12</v>
      </c>
      <c r="J13" s="70"/>
    </row>
    <row r="14" spans="1:11" x14ac:dyDescent="0.2">
      <c r="A14" s="101">
        <v>8</v>
      </c>
      <c r="B14" s="102" t="s">
        <v>529</v>
      </c>
      <c r="C14" s="102" t="s">
        <v>530</v>
      </c>
      <c r="D14" s="102" t="s">
        <v>531</v>
      </c>
      <c r="E14" s="103">
        <v>30000</v>
      </c>
      <c r="F14" s="31">
        <v>27.558</v>
      </c>
      <c r="G14" s="104">
        <v>1.01E-2</v>
      </c>
      <c r="H14" s="16"/>
      <c r="J14" s="70"/>
    </row>
    <row r="15" spans="1:11" x14ac:dyDescent="0.2">
      <c r="A15" s="22">
        <v>9</v>
      </c>
      <c r="B15" s="23" t="s">
        <v>467</v>
      </c>
      <c r="C15" s="23" t="s">
        <v>468</v>
      </c>
      <c r="D15" s="23" t="s">
        <v>450</v>
      </c>
      <c r="E15" s="24">
        <v>2600</v>
      </c>
      <c r="F15" s="25">
        <v>21.2056</v>
      </c>
      <c r="G15" s="26">
        <v>7.7858099999999998E-3</v>
      </c>
      <c r="H15" s="16" t="s">
        <v>12</v>
      </c>
      <c r="J15" s="70"/>
    </row>
    <row r="16" spans="1:11" ht="25.5" x14ac:dyDescent="0.2">
      <c r="A16" s="22">
        <v>10</v>
      </c>
      <c r="B16" s="23" t="s">
        <v>469</v>
      </c>
      <c r="C16" s="23" t="s">
        <v>470</v>
      </c>
      <c r="D16" s="23" t="s">
        <v>471</v>
      </c>
      <c r="E16" s="24">
        <v>4000</v>
      </c>
      <c r="F16" s="25">
        <v>20.076000000000001</v>
      </c>
      <c r="G16" s="26">
        <v>7.3710700000000004E-3</v>
      </c>
      <c r="H16" s="16" t="s">
        <v>12</v>
      </c>
      <c r="J16" s="67" t="s">
        <v>618</v>
      </c>
    </row>
    <row r="17" spans="1:10" x14ac:dyDescent="0.2">
      <c r="A17" s="22">
        <v>11</v>
      </c>
      <c r="B17" s="23" t="s">
        <v>472</v>
      </c>
      <c r="C17" s="23" t="s">
        <v>473</v>
      </c>
      <c r="D17" s="23" t="s">
        <v>450</v>
      </c>
      <c r="E17" s="24">
        <v>1600</v>
      </c>
      <c r="F17" s="25">
        <v>18.803999999999998</v>
      </c>
      <c r="G17" s="26">
        <v>6.9040400000000002E-3</v>
      </c>
      <c r="H17" s="16" t="s">
        <v>12</v>
      </c>
      <c r="J17" s="67"/>
    </row>
    <row r="18" spans="1:10" ht="25.5" x14ac:dyDescent="0.2">
      <c r="A18" s="22">
        <v>12</v>
      </c>
      <c r="B18" s="23" t="s">
        <v>474</v>
      </c>
      <c r="C18" s="23" t="s">
        <v>475</v>
      </c>
      <c r="D18" s="23" t="s">
        <v>476</v>
      </c>
      <c r="E18" s="24">
        <v>1000</v>
      </c>
      <c r="F18" s="25">
        <v>18.2165</v>
      </c>
      <c r="G18" s="26">
        <v>6.6883400000000001E-3</v>
      </c>
      <c r="H18" s="16" t="s">
        <v>12</v>
      </c>
      <c r="J18" s="67"/>
    </row>
    <row r="19" spans="1:10" x14ac:dyDescent="0.2">
      <c r="A19" s="22">
        <v>13</v>
      </c>
      <c r="B19" s="23" t="s">
        <v>477</v>
      </c>
      <c r="C19" s="23" t="s">
        <v>478</v>
      </c>
      <c r="D19" s="23" t="s">
        <v>479</v>
      </c>
      <c r="E19" s="24">
        <v>160</v>
      </c>
      <c r="F19" s="25">
        <v>17.426480000000002</v>
      </c>
      <c r="G19" s="26">
        <v>6.3982800000000001E-3</v>
      </c>
      <c r="H19" s="16" t="s">
        <v>12</v>
      </c>
      <c r="J19" s="67"/>
    </row>
    <row r="20" spans="1:10" ht="25.5" x14ac:dyDescent="0.2">
      <c r="A20" s="22">
        <v>14</v>
      </c>
      <c r="B20" s="23" t="s">
        <v>480</v>
      </c>
      <c r="C20" s="23" t="s">
        <v>481</v>
      </c>
      <c r="D20" s="23" t="s">
        <v>476</v>
      </c>
      <c r="E20" s="24">
        <v>250</v>
      </c>
      <c r="F20" s="25">
        <v>15.425875</v>
      </c>
      <c r="G20" s="26">
        <v>5.6637399999999996E-3</v>
      </c>
      <c r="H20" s="16" t="s">
        <v>12</v>
      </c>
      <c r="J20" s="67"/>
    </row>
    <row r="21" spans="1:10" x14ac:dyDescent="0.2">
      <c r="A21" s="22">
        <v>15</v>
      </c>
      <c r="B21" s="23" t="s">
        <v>482</v>
      </c>
      <c r="C21" s="23" t="s">
        <v>483</v>
      </c>
      <c r="D21" s="23" t="s">
        <v>453</v>
      </c>
      <c r="E21" s="24">
        <v>4250</v>
      </c>
      <c r="F21" s="25">
        <v>15.200125</v>
      </c>
      <c r="G21" s="26">
        <v>5.58085E-3</v>
      </c>
      <c r="H21" s="16" t="s">
        <v>12</v>
      </c>
      <c r="J21" s="67"/>
    </row>
    <row r="22" spans="1:10" ht="15" x14ac:dyDescent="0.2">
      <c r="A22" s="22">
        <v>16</v>
      </c>
      <c r="B22" s="23" t="s">
        <v>484</v>
      </c>
      <c r="C22" s="23" t="s">
        <v>485</v>
      </c>
      <c r="D22" s="23" t="s">
        <v>486</v>
      </c>
      <c r="E22" s="24">
        <v>2000</v>
      </c>
      <c r="F22" s="25">
        <v>15.063000000000001</v>
      </c>
      <c r="G22" s="26">
        <v>5.5305099999999998E-3</v>
      </c>
      <c r="H22" s="16" t="s">
        <v>12</v>
      </c>
      <c r="J22" s="69"/>
    </row>
    <row r="23" spans="1:10" x14ac:dyDescent="0.2">
      <c r="A23" s="22">
        <v>17</v>
      </c>
      <c r="B23" s="23" t="s">
        <v>487</v>
      </c>
      <c r="C23" s="23" t="s">
        <v>488</v>
      </c>
      <c r="D23" s="23" t="s">
        <v>489</v>
      </c>
      <c r="E23" s="24">
        <v>1000</v>
      </c>
      <c r="F23" s="25">
        <v>15.009</v>
      </c>
      <c r="G23" s="26">
        <v>5.5106799999999996E-3</v>
      </c>
      <c r="H23" s="16" t="s">
        <v>12</v>
      </c>
      <c r="J23" s="70"/>
    </row>
    <row r="24" spans="1:10" ht="25.5" x14ac:dyDescent="0.2">
      <c r="A24" s="22">
        <v>18</v>
      </c>
      <c r="B24" s="23" t="s">
        <v>490</v>
      </c>
      <c r="C24" s="23" t="s">
        <v>491</v>
      </c>
      <c r="D24" s="23" t="s">
        <v>492</v>
      </c>
      <c r="E24" s="24">
        <v>320</v>
      </c>
      <c r="F24" s="25">
        <v>14.385439999999999</v>
      </c>
      <c r="G24" s="26">
        <v>5.2817300000000001E-3</v>
      </c>
      <c r="H24" s="16" t="s">
        <v>12</v>
      </c>
      <c r="J24" s="67"/>
    </row>
    <row r="25" spans="1:10" ht="25.5" x14ac:dyDescent="0.2">
      <c r="A25" s="22">
        <v>19</v>
      </c>
      <c r="B25" s="23" t="s">
        <v>493</v>
      </c>
      <c r="C25" s="23" t="s">
        <v>494</v>
      </c>
      <c r="D25" s="23" t="s">
        <v>495</v>
      </c>
      <c r="E25" s="24">
        <v>125</v>
      </c>
      <c r="F25" s="25">
        <v>14.127375000000001</v>
      </c>
      <c r="G25" s="26">
        <v>5.1869799999999999E-3</v>
      </c>
      <c r="H25" s="16" t="s">
        <v>12</v>
      </c>
      <c r="J25" s="67"/>
    </row>
    <row r="26" spans="1:10" x14ac:dyDescent="0.2">
      <c r="A26" s="22">
        <v>20</v>
      </c>
      <c r="B26" s="23" t="s">
        <v>496</v>
      </c>
      <c r="C26" s="23" t="s">
        <v>497</v>
      </c>
      <c r="D26" s="23" t="s">
        <v>489</v>
      </c>
      <c r="E26" s="24">
        <v>900</v>
      </c>
      <c r="F26" s="25">
        <v>13.26915</v>
      </c>
      <c r="G26" s="26">
        <v>4.8718800000000003E-3</v>
      </c>
      <c r="H26" s="16" t="s">
        <v>12</v>
      </c>
      <c r="J26" s="67"/>
    </row>
    <row r="27" spans="1:10" ht="25.5" x14ac:dyDescent="0.2">
      <c r="A27" s="22">
        <v>21</v>
      </c>
      <c r="B27" s="23" t="s">
        <v>498</v>
      </c>
      <c r="C27" s="23" t="s">
        <v>499</v>
      </c>
      <c r="D27" s="23" t="s">
        <v>495</v>
      </c>
      <c r="E27" s="24">
        <v>450</v>
      </c>
      <c r="F27" s="25">
        <v>12.144825000000001</v>
      </c>
      <c r="G27" s="26">
        <v>4.4590699999999999E-3</v>
      </c>
      <c r="H27" s="16" t="s">
        <v>12</v>
      </c>
      <c r="J27" s="70"/>
    </row>
    <row r="28" spans="1:10" x14ac:dyDescent="0.2">
      <c r="A28" s="22">
        <v>22</v>
      </c>
      <c r="B28" s="23" t="s">
        <v>500</v>
      </c>
      <c r="C28" s="23" t="s">
        <v>501</v>
      </c>
      <c r="D28" s="23" t="s">
        <v>502</v>
      </c>
      <c r="E28" s="24">
        <v>2000</v>
      </c>
      <c r="F28" s="25">
        <v>9.8580000000000005</v>
      </c>
      <c r="G28" s="26">
        <v>3.6194500000000002E-3</v>
      </c>
      <c r="H28" s="16" t="s">
        <v>12</v>
      </c>
      <c r="J28" s="70"/>
    </row>
    <row r="29" spans="1:10" ht="25.5" x14ac:dyDescent="0.2">
      <c r="A29" s="22">
        <v>23</v>
      </c>
      <c r="B29" s="23" t="s">
        <v>503</v>
      </c>
      <c r="C29" s="23" t="s">
        <v>504</v>
      </c>
      <c r="D29" s="23" t="s">
        <v>505</v>
      </c>
      <c r="E29" s="24">
        <v>1500</v>
      </c>
      <c r="F29" s="25">
        <v>9.7072500000000002</v>
      </c>
      <c r="G29" s="26">
        <v>3.5641000000000002E-3</v>
      </c>
      <c r="H29" s="16" t="s">
        <v>12</v>
      </c>
      <c r="J29" s="70"/>
    </row>
    <row r="30" spans="1:10" x14ac:dyDescent="0.2">
      <c r="A30" s="22">
        <v>24</v>
      </c>
      <c r="B30" s="23" t="s">
        <v>506</v>
      </c>
      <c r="C30" s="23" t="s">
        <v>621</v>
      </c>
      <c r="D30" s="23" t="s">
        <v>458</v>
      </c>
      <c r="E30" s="24">
        <v>218</v>
      </c>
      <c r="F30" s="25">
        <v>2.6012849999999998</v>
      </c>
      <c r="G30" s="26">
        <v>9.5507999999999997E-4</v>
      </c>
      <c r="H30" s="16" t="s">
        <v>12</v>
      </c>
      <c r="J30" s="67"/>
    </row>
    <row r="31" spans="1:10" x14ac:dyDescent="0.2">
      <c r="A31" s="14"/>
      <c r="B31" s="14"/>
      <c r="C31" s="15" t="s">
        <v>11</v>
      </c>
      <c r="D31" s="14"/>
      <c r="E31" s="14" t="s">
        <v>12</v>
      </c>
      <c r="F31" s="21">
        <f>SUM(F7:F30)</f>
        <v>605.11341500000003</v>
      </c>
      <c r="G31" s="18">
        <f>SUM(G7:G30)</f>
        <v>0.22215423999999998</v>
      </c>
      <c r="H31" s="16" t="s">
        <v>12</v>
      </c>
      <c r="J31" s="67"/>
    </row>
    <row r="32" spans="1:10" x14ac:dyDescent="0.2">
      <c r="A32" s="14"/>
      <c r="B32" s="14"/>
      <c r="C32" s="19"/>
      <c r="D32" s="14"/>
      <c r="E32" s="14"/>
      <c r="F32" s="20"/>
      <c r="G32" s="20"/>
      <c r="H32" s="16" t="s">
        <v>12</v>
      </c>
      <c r="J32" s="67"/>
    </row>
    <row r="33" spans="1:10" x14ac:dyDescent="0.2">
      <c r="A33" s="14"/>
      <c r="B33" s="14"/>
      <c r="C33" s="15" t="s">
        <v>14</v>
      </c>
      <c r="D33" s="14"/>
      <c r="E33" s="14"/>
      <c r="F33" s="14"/>
      <c r="G33" s="14"/>
      <c r="H33" s="16" t="s">
        <v>12</v>
      </c>
      <c r="J33" s="67"/>
    </row>
    <row r="34" spans="1:10" x14ac:dyDescent="0.2">
      <c r="A34" s="14"/>
      <c r="B34" s="14"/>
      <c r="C34" s="15" t="s">
        <v>11</v>
      </c>
      <c r="D34" s="14"/>
      <c r="E34" s="14" t="s">
        <v>12</v>
      </c>
      <c r="F34" s="17" t="s">
        <v>13</v>
      </c>
      <c r="G34" s="18">
        <v>0</v>
      </c>
      <c r="H34" s="16" t="s">
        <v>12</v>
      </c>
      <c r="J34" s="67"/>
    </row>
    <row r="35" spans="1:10" x14ac:dyDescent="0.2">
      <c r="A35" s="14"/>
      <c r="B35" s="14"/>
      <c r="C35" s="19"/>
      <c r="D35" s="14"/>
      <c r="E35" s="14"/>
      <c r="F35" s="20"/>
      <c r="G35" s="20"/>
      <c r="H35" s="16" t="s">
        <v>12</v>
      </c>
      <c r="J35" s="67"/>
    </row>
    <row r="36" spans="1:10" x14ac:dyDescent="0.2">
      <c r="A36" s="14"/>
      <c r="B36" s="14"/>
      <c r="C36" s="15" t="s">
        <v>15</v>
      </c>
      <c r="D36" s="14"/>
      <c r="E36" s="14"/>
      <c r="F36" s="14"/>
      <c r="G36" s="14"/>
      <c r="H36" s="16" t="s">
        <v>12</v>
      </c>
      <c r="J36" s="67"/>
    </row>
    <row r="37" spans="1:10" x14ac:dyDescent="0.2">
      <c r="A37" s="14"/>
      <c r="B37" s="14"/>
      <c r="C37" s="15" t="s">
        <v>11</v>
      </c>
      <c r="D37" s="14"/>
      <c r="E37" s="14" t="s">
        <v>12</v>
      </c>
      <c r="F37" s="17" t="s">
        <v>13</v>
      </c>
      <c r="G37" s="18">
        <v>0</v>
      </c>
      <c r="H37" s="16" t="s">
        <v>12</v>
      </c>
      <c r="J37" s="67"/>
    </row>
    <row r="38" spans="1:10" x14ac:dyDescent="0.2">
      <c r="A38" s="14"/>
      <c r="B38" s="14"/>
      <c r="C38" s="19"/>
      <c r="D38" s="14"/>
      <c r="E38" s="14"/>
      <c r="F38" s="20"/>
      <c r="G38" s="20"/>
      <c r="H38" s="16" t="s">
        <v>12</v>
      </c>
      <c r="J38" s="67"/>
    </row>
    <row r="39" spans="1:10" x14ac:dyDescent="0.2">
      <c r="A39" s="14"/>
      <c r="B39" s="14"/>
      <c r="C39" s="15" t="s">
        <v>16</v>
      </c>
      <c r="D39" s="14"/>
      <c r="E39" s="14"/>
      <c r="F39" s="14"/>
      <c r="G39" s="14"/>
      <c r="H39" s="16" t="s">
        <v>12</v>
      </c>
      <c r="J39" s="67"/>
    </row>
    <row r="40" spans="1:10" x14ac:dyDescent="0.2">
      <c r="A40" s="14"/>
      <c r="B40" s="14"/>
      <c r="C40" s="15" t="s">
        <v>11</v>
      </c>
      <c r="D40" s="14"/>
      <c r="E40" s="14" t="s">
        <v>12</v>
      </c>
      <c r="F40" s="17" t="s">
        <v>13</v>
      </c>
      <c r="G40" s="18">
        <v>0</v>
      </c>
      <c r="H40" s="16" t="s">
        <v>12</v>
      </c>
      <c r="J40" s="67"/>
    </row>
    <row r="41" spans="1:10" x14ac:dyDescent="0.2">
      <c r="A41" s="14"/>
      <c r="B41" s="14"/>
      <c r="C41" s="19"/>
      <c r="D41" s="14"/>
      <c r="E41" s="14"/>
      <c r="F41" s="20"/>
      <c r="G41" s="20"/>
      <c r="H41" s="16" t="s">
        <v>12</v>
      </c>
      <c r="J41" s="67"/>
    </row>
    <row r="42" spans="1:10" x14ac:dyDescent="0.2">
      <c r="A42" s="14"/>
      <c r="B42" s="14"/>
      <c r="C42" s="15" t="s">
        <v>17</v>
      </c>
      <c r="D42" s="14"/>
      <c r="E42" s="14"/>
      <c r="F42" s="20"/>
      <c r="G42" s="20"/>
      <c r="H42" s="16" t="s">
        <v>12</v>
      </c>
      <c r="J42" s="67"/>
    </row>
    <row r="43" spans="1:10" x14ac:dyDescent="0.2">
      <c r="A43" s="14"/>
      <c r="B43" s="14"/>
      <c r="C43" s="15" t="s">
        <v>11</v>
      </c>
      <c r="D43" s="14"/>
      <c r="E43" s="14" t="s">
        <v>12</v>
      </c>
      <c r="F43" s="17" t="s">
        <v>13</v>
      </c>
      <c r="G43" s="18">
        <v>0</v>
      </c>
      <c r="H43" s="16" t="s">
        <v>12</v>
      </c>
      <c r="J43" s="67"/>
    </row>
    <row r="44" spans="1:10" x14ac:dyDescent="0.2">
      <c r="A44" s="14"/>
      <c r="B44" s="14"/>
      <c r="C44" s="19"/>
      <c r="D44" s="14"/>
      <c r="E44" s="14"/>
      <c r="F44" s="20"/>
      <c r="G44" s="20"/>
      <c r="H44" s="16" t="s">
        <v>12</v>
      </c>
      <c r="J44" s="67"/>
    </row>
    <row r="45" spans="1:10" x14ac:dyDescent="0.2">
      <c r="A45" s="14"/>
      <c r="B45" s="14"/>
      <c r="C45" s="15" t="s">
        <v>18</v>
      </c>
      <c r="D45" s="14"/>
      <c r="E45" s="14"/>
      <c r="F45" s="20"/>
      <c r="G45" s="20"/>
      <c r="H45" s="16" t="s">
        <v>12</v>
      </c>
      <c r="J45" s="67"/>
    </row>
    <row r="46" spans="1:10" x14ac:dyDescent="0.2">
      <c r="A46" s="14"/>
      <c r="B46" s="14"/>
      <c r="C46" s="15" t="s">
        <v>11</v>
      </c>
      <c r="D46" s="14"/>
      <c r="E46" s="14" t="s">
        <v>12</v>
      </c>
      <c r="F46" s="17" t="s">
        <v>13</v>
      </c>
      <c r="G46" s="18">
        <v>0</v>
      </c>
      <c r="H46" s="16" t="s">
        <v>12</v>
      </c>
      <c r="J46" s="67"/>
    </row>
    <row r="47" spans="1:10" x14ac:dyDescent="0.2">
      <c r="A47" s="14"/>
      <c r="B47" s="14"/>
      <c r="C47" s="19"/>
      <c r="D47" s="14"/>
      <c r="E47" s="14"/>
      <c r="F47" s="20"/>
      <c r="G47" s="20"/>
      <c r="H47" s="16" t="s">
        <v>12</v>
      </c>
      <c r="J47" s="67"/>
    </row>
    <row r="48" spans="1:10" x14ac:dyDescent="0.2">
      <c r="A48" s="14"/>
      <c r="B48" s="14"/>
      <c r="C48" s="15" t="s">
        <v>19</v>
      </c>
      <c r="D48" s="14"/>
      <c r="E48" s="14"/>
      <c r="F48" s="21">
        <f>F40+F31</f>
        <v>605.11341500000003</v>
      </c>
      <c r="G48" s="18">
        <f>G40+G31</f>
        <v>0.22215423999999998</v>
      </c>
      <c r="H48" s="16" t="s">
        <v>12</v>
      </c>
      <c r="J48" s="67"/>
    </row>
    <row r="49" spans="1:10" x14ac:dyDescent="0.2">
      <c r="A49" s="14"/>
      <c r="B49" s="14"/>
      <c r="C49" s="19"/>
      <c r="D49" s="14"/>
      <c r="E49" s="14"/>
      <c r="F49" s="20"/>
      <c r="G49" s="20"/>
      <c r="H49" s="16" t="s">
        <v>12</v>
      </c>
      <c r="J49" s="67"/>
    </row>
    <row r="50" spans="1:10" x14ac:dyDescent="0.2">
      <c r="A50" s="14"/>
      <c r="B50" s="14"/>
      <c r="C50" s="15" t="s">
        <v>20</v>
      </c>
      <c r="D50" s="14"/>
      <c r="E50" s="14"/>
      <c r="F50" s="20"/>
      <c r="G50" s="20"/>
      <c r="H50" s="16" t="s">
        <v>12</v>
      </c>
      <c r="J50" s="67"/>
    </row>
    <row r="51" spans="1:10" x14ac:dyDescent="0.2">
      <c r="A51" s="14"/>
      <c r="B51" s="14"/>
      <c r="C51" s="15" t="s">
        <v>10</v>
      </c>
      <c r="D51" s="14"/>
      <c r="E51" s="14"/>
      <c r="F51" s="20"/>
      <c r="G51" s="20"/>
      <c r="H51" s="16" t="s">
        <v>12</v>
      </c>
      <c r="J51" s="67"/>
    </row>
    <row r="52" spans="1:10" x14ac:dyDescent="0.2">
      <c r="A52" s="14"/>
      <c r="B52" s="14"/>
      <c r="C52" s="15" t="s">
        <v>11</v>
      </c>
      <c r="D52" s="14"/>
      <c r="E52" s="14" t="s">
        <v>12</v>
      </c>
      <c r="F52" s="17" t="s">
        <v>13</v>
      </c>
      <c r="G52" s="18">
        <v>0</v>
      </c>
      <c r="H52" s="16" t="s">
        <v>12</v>
      </c>
      <c r="J52" s="67"/>
    </row>
    <row r="53" spans="1:10" x14ac:dyDescent="0.2">
      <c r="A53" s="14"/>
      <c r="B53" s="14"/>
      <c r="C53" s="19"/>
      <c r="D53" s="14"/>
      <c r="E53" s="14"/>
      <c r="F53" s="20"/>
      <c r="G53" s="20"/>
      <c r="H53" s="16" t="s">
        <v>12</v>
      </c>
      <c r="J53" s="67"/>
    </row>
    <row r="54" spans="1:10" x14ac:dyDescent="0.2">
      <c r="A54" s="14"/>
      <c r="B54" s="14"/>
      <c r="C54" s="15" t="s">
        <v>67</v>
      </c>
      <c r="D54" s="14"/>
      <c r="E54" s="14"/>
      <c r="F54" s="14"/>
      <c r="G54" s="14"/>
      <c r="H54" s="16" t="s">
        <v>12</v>
      </c>
      <c r="J54" s="67"/>
    </row>
    <row r="55" spans="1:10" x14ac:dyDescent="0.2">
      <c r="A55" s="14"/>
      <c r="B55" s="14"/>
      <c r="C55" s="15" t="s">
        <v>11</v>
      </c>
      <c r="D55" s="14"/>
      <c r="E55" s="14" t="s">
        <v>12</v>
      </c>
      <c r="F55" s="17" t="s">
        <v>13</v>
      </c>
      <c r="G55" s="18">
        <v>0</v>
      </c>
      <c r="H55" s="16" t="s">
        <v>12</v>
      </c>
      <c r="J55" s="67"/>
    </row>
    <row r="56" spans="1:10" x14ac:dyDescent="0.2">
      <c r="A56" s="14"/>
      <c r="B56" s="14"/>
      <c r="C56" s="19"/>
      <c r="D56" s="14"/>
      <c r="E56" s="14"/>
      <c r="F56" s="20"/>
      <c r="G56" s="20"/>
      <c r="H56" s="16" t="s">
        <v>12</v>
      </c>
      <c r="J56" s="67"/>
    </row>
    <row r="57" spans="1:10" x14ac:dyDescent="0.2">
      <c r="A57" s="14"/>
      <c r="B57" s="14"/>
      <c r="C57" s="15" t="s">
        <v>68</v>
      </c>
      <c r="D57" s="14"/>
      <c r="E57" s="14"/>
      <c r="F57" s="14"/>
      <c r="G57" s="14"/>
      <c r="H57" s="16" t="s">
        <v>12</v>
      </c>
      <c r="J57" s="67"/>
    </row>
    <row r="58" spans="1:10" x14ac:dyDescent="0.2">
      <c r="A58" s="22">
        <v>1</v>
      </c>
      <c r="B58" s="23" t="s">
        <v>69</v>
      </c>
      <c r="C58" s="23" t="s">
        <v>70</v>
      </c>
      <c r="D58" s="23" t="s">
        <v>71</v>
      </c>
      <c r="E58" s="24">
        <v>1100000</v>
      </c>
      <c r="F58" s="25">
        <v>1120.7239999999999</v>
      </c>
      <c r="G58" s="26">
        <v>0.41148305000000002</v>
      </c>
      <c r="H58" s="16">
        <v>7.0125000000000002</v>
      </c>
      <c r="J58" s="67"/>
    </row>
    <row r="59" spans="1:10" x14ac:dyDescent="0.2">
      <c r="A59" s="22">
        <v>2</v>
      </c>
      <c r="B59" s="23" t="s">
        <v>74</v>
      </c>
      <c r="C59" s="23" t="s">
        <v>75</v>
      </c>
      <c r="D59" s="23" t="s">
        <v>71</v>
      </c>
      <c r="E59" s="24">
        <v>500000</v>
      </c>
      <c r="F59" s="25">
        <v>518.44349999999997</v>
      </c>
      <c r="G59" s="26">
        <v>0.19035079999999999</v>
      </c>
      <c r="H59" s="16">
        <v>7.1218000000000004</v>
      </c>
      <c r="J59" s="67"/>
    </row>
    <row r="60" spans="1:10" x14ac:dyDescent="0.2">
      <c r="A60" s="14"/>
      <c r="B60" s="14"/>
      <c r="C60" s="15" t="s">
        <v>11</v>
      </c>
      <c r="D60" s="14"/>
      <c r="E60" s="14" t="s">
        <v>12</v>
      </c>
      <c r="F60" s="21">
        <v>1639.1675</v>
      </c>
      <c r="G60" s="18">
        <v>0.60183385</v>
      </c>
      <c r="H60" s="16" t="s">
        <v>12</v>
      </c>
      <c r="J60" s="67"/>
    </row>
    <row r="61" spans="1:10" x14ac:dyDescent="0.2">
      <c r="A61" s="14"/>
      <c r="B61" s="14"/>
      <c r="C61" s="19"/>
      <c r="D61" s="14"/>
      <c r="E61" s="14"/>
      <c r="F61" s="20"/>
      <c r="G61" s="20"/>
      <c r="H61" s="16" t="s">
        <v>12</v>
      </c>
      <c r="J61" s="67"/>
    </row>
    <row r="62" spans="1:10" x14ac:dyDescent="0.2">
      <c r="A62" s="14"/>
      <c r="B62" s="14"/>
      <c r="C62" s="15" t="s">
        <v>82</v>
      </c>
      <c r="D62" s="14"/>
      <c r="E62" s="14"/>
      <c r="F62" s="20"/>
      <c r="G62" s="20"/>
      <c r="H62" s="16" t="s">
        <v>12</v>
      </c>
      <c r="J62" s="67"/>
    </row>
    <row r="63" spans="1:10" x14ac:dyDescent="0.2">
      <c r="A63" s="14"/>
      <c r="B63" s="14"/>
      <c r="C63" s="15" t="s">
        <v>11</v>
      </c>
      <c r="D63" s="14"/>
      <c r="E63" s="14" t="s">
        <v>12</v>
      </c>
      <c r="F63" s="17" t="s">
        <v>13</v>
      </c>
      <c r="G63" s="18">
        <v>0</v>
      </c>
      <c r="H63" s="16" t="s">
        <v>12</v>
      </c>
      <c r="J63" s="67"/>
    </row>
    <row r="64" spans="1:10" x14ac:dyDescent="0.2">
      <c r="A64" s="14"/>
      <c r="B64" s="14"/>
      <c r="C64" s="19"/>
      <c r="D64" s="14"/>
      <c r="E64" s="14"/>
      <c r="F64" s="20"/>
      <c r="G64" s="20"/>
      <c r="H64" s="16" t="s">
        <v>12</v>
      </c>
      <c r="J64" s="67"/>
    </row>
    <row r="65" spans="1:10" x14ac:dyDescent="0.2">
      <c r="A65" s="14"/>
      <c r="B65" s="14"/>
      <c r="C65" s="15" t="s">
        <v>83</v>
      </c>
      <c r="D65" s="14"/>
      <c r="E65" s="14"/>
      <c r="F65" s="21">
        <v>1639.1675</v>
      </c>
      <c r="G65" s="18">
        <v>0.60183385</v>
      </c>
      <c r="H65" s="16" t="s">
        <v>12</v>
      </c>
      <c r="J65" s="67"/>
    </row>
    <row r="66" spans="1:10" x14ac:dyDescent="0.2">
      <c r="A66" s="14"/>
      <c r="B66" s="14"/>
      <c r="C66" s="19"/>
      <c r="D66" s="14"/>
      <c r="E66" s="14"/>
      <c r="F66" s="20"/>
      <c r="G66" s="20"/>
      <c r="H66" s="16" t="s">
        <v>12</v>
      </c>
      <c r="J66" s="67"/>
    </row>
    <row r="67" spans="1:10" x14ac:dyDescent="0.2">
      <c r="A67" s="14"/>
      <c r="B67" s="14"/>
      <c r="C67" s="15" t="s">
        <v>84</v>
      </c>
      <c r="D67" s="14"/>
      <c r="E67" s="14"/>
      <c r="F67" s="20"/>
      <c r="G67" s="20"/>
      <c r="H67" s="16" t="s">
        <v>12</v>
      </c>
      <c r="J67" s="67"/>
    </row>
    <row r="68" spans="1:10" x14ac:dyDescent="0.2">
      <c r="A68" s="14"/>
      <c r="B68" s="14"/>
      <c r="C68" s="15" t="s">
        <v>85</v>
      </c>
      <c r="D68" s="14"/>
      <c r="E68" s="14"/>
      <c r="F68" s="20"/>
      <c r="G68" s="20"/>
      <c r="H68" s="16" t="s">
        <v>12</v>
      </c>
      <c r="J68" s="67"/>
    </row>
    <row r="69" spans="1:10" x14ac:dyDescent="0.2">
      <c r="A69" s="14"/>
      <c r="B69" s="14"/>
      <c r="C69" s="15" t="s">
        <v>11</v>
      </c>
      <c r="D69" s="14"/>
      <c r="E69" s="14" t="s">
        <v>12</v>
      </c>
      <c r="F69" s="17" t="s">
        <v>13</v>
      </c>
      <c r="G69" s="18">
        <v>0</v>
      </c>
      <c r="H69" s="16" t="s">
        <v>12</v>
      </c>
      <c r="J69" s="67"/>
    </row>
    <row r="70" spans="1:10" x14ac:dyDescent="0.2">
      <c r="A70" s="14"/>
      <c r="B70" s="14"/>
      <c r="C70" s="19"/>
      <c r="D70" s="14"/>
      <c r="E70" s="14"/>
      <c r="F70" s="20"/>
      <c r="G70" s="20"/>
      <c r="H70" s="16" t="s">
        <v>12</v>
      </c>
      <c r="J70" s="67"/>
    </row>
    <row r="71" spans="1:10" x14ac:dyDescent="0.2">
      <c r="A71" s="14"/>
      <c r="B71" s="14"/>
      <c r="C71" s="15" t="s">
        <v>86</v>
      </c>
      <c r="D71" s="14"/>
      <c r="E71" s="14"/>
      <c r="F71" s="20"/>
      <c r="G71" s="20"/>
      <c r="H71" s="16" t="s">
        <v>12</v>
      </c>
      <c r="J71" s="67"/>
    </row>
    <row r="72" spans="1:10" x14ac:dyDescent="0.2">
      <c r="A72" s="14"/>
      <c r="B72" s="14"/>
      <c r="C72" s="15" t="s">
        <v>11</v>
      </c>
      <c r="D72" s="14"/>
      <c r="E72" s="14" t="s">
        <v>12</v>
      </c>
      <c r="F72" s="17" t="s">
        <v>13</v>
      </c>
      <c r="G72" s="18">
        <v>0</v>
      </c>
      <c r="H72" s="16" t="s">
        <v>12</v>
      </c>
      <c r="J72" s="67"/>
    </row>
    <row r="73" spans="1:10" x14ac:dyDescent="0.2">
      <c r="A73" s="14"/>
      <c r="B73" s="14"/>
      <c r="C73" s="19"/>
      <c r="D73" s="14"/>
      <c r="E73" s="14"/>
      <c r="F73" s="20"/>
      <c r="G73" s="20"/>
      <c r="H73" s="16" t="s">
        <v>12</v>
      </c>
      <c r="J73" s="67"/>
    </row>
    <row r="74" spans="1:10" x14ac:dyDescent="0.2">
      <c r="A74" s="14"/>
      <c r="B74" s="14"/>
      <c r="C74" s="15" t="s">
        <v>87</v>
      </c>
      <c r="D74" s="14"/>
      <c r="E74" s="14"/>
      <c r="F74" s="20"/>
      <c r="G74" s="20"/>
      <c r="H74" s="16" t="s">
        <v>12</v>
      </c>
      <c r="J74" s="67"/>
    </row>
    <row r="75" spans="1:10" x14ac:dyDescent="0.2">
      <c r="A75" s="14"/>
      <c r="B75" s="14"/>
      <c r="C75" s="15" t="s">
        <v>11</v>
      </c>
      <c r="D75" s="14"/>
      <c r="E75" s="14" t="s">
        <v>12</v>
      </c>
      <c r="F75" s="17" t="s">
        <v>13</v>
      </c>
      <c r="G75" s="18">
        <v>0</v>
      </c>
      <c r="H75" s="16" t="s">
        <v>12</v>
      </c>
      <c r="J75" s="67"/>
    </row>
    <row r="76" spans="1:10" x14ac:dyDescent="0.2">
      <c r="A76" s="14"/>
      <c r="B76" s="14"/>
      <c r="C76" s="19"/>
      <c r="D76" s="14"/>
      <c r="E76" s="14"/>
      <c r="F76" s="20"/>
      <c r="G76" s="20"/>
      <c r="H76" s="16" t="s">
        <v>12</v>
      </c>
      <c r="J76" s="67"/>
    </row>
    <row r="77" spans="1:10" x14ac:dyDescent="0.2">
      <c r="A77" s="14"/>
      <c r="B77" s="14"/>
      <c r="C77" s="15" t="s">
        <v>88</v>
      </c>
      <c r="D77" s="14"/>
      <c r="E77" s="14"/>
      <c r="F77" s="20"/>
      <c r="G77" s="20"/>
      <c r="H77" s="16" t="s">
        <v>12</v>
      </c>
      <c r="J77" s="67"/>
    </row>
    <row r="78" spans="1:10" x14ac:dyDescent="0.2">
      <c r="A78" s="22">
        <v>1</v>
      </c>
      <c r="B78" s="23"/>
      <c r="C78" s="23" t="s">
        <v>89</v>
      </c>
      <c r="D78" s="23"/>
      <c r="E78" s="27"/>
      <c r="F78" s="25">
        <v>456.69315740100001</v>
      </c>
      <c r="G78" s="26">
        <v>0.16767865000000001</v>
      </c>
      <c r="H78" s="16">
        <v>6.62</v>
      </c>
      <c r="J78" s="67"/>
    </row>
    <row r="79" spans="1:10" x14ac:dyDescent="0.2">
      <c r="A79" s="14"/>
      <c r="B79" s="14"/>
      <c r="C79" s="15" t="s">
        <v>11</v>
      </c>
      <c r="D79" s="14"/>
      <c r="E79" s="14" t="s">
        <v>12</v>
      </c>
      <c r="F79" s="21">
        <v>456.69315740100001</v>
      </c>
      <c r="G79" s="18">
        <v>0.16767865000000001</v>
      </c>
      <c r="H79" s="16" t="s">
        <v>12</v>
      </c>
      <c r="J79" s="67"/>
    </row>
    <row r="80" spans="1:10" x14ac:dyDescent="0.2">
      <c r="A80" s="14"/>
      <c r="B80" s="14"/>
      <c r="C80" s="19"/>
      <c r="D80" s="14"/>
      <c r="E80" s="14"/>
      <c r="F80" s="20"/>
      <c r="G80" s="20"/>
      <c r="H80" s="16" t="s">
        <v>12</v>
      </c>
      <c r="J80" s="67"/>
    </row>
    <row r="81" spans="1:18" x14ac:dyDescent="0.2">
      <c r="A81" s="14"/>
      <c r="B81" s="14"/>
      <c r="C81" s="15" t="s">
        <v>90</v>
      </c>
      <c r="D81" s="14"/>
      <c r="E81" s="14"/>
      <c r="F81" s="21">
        <v>456.69315740100001</v>
      </c>
      <c r="G81" s="18">
        <v>0.16767865000000001</v>
      </c>
      <c r="H81" s="16" t="s">
        <v>12</v>
      </c>
      <c r="J81" s="67"/>
    </row>
    <row r="82" spans="1:18" x14ac:dyDescent="0.2">
      <c r="A82" s="14"/>
      <c r="B82" s="14"/>
      <c r="C82" s="20"/>
      <c r="D82" s="14"/>
      <c r="E82" s="14"/>
      <c r="F82" s="14"/>
      <c r="G82" s="14"/>
      <c r="H82" s="16" t="s">
        <v>12</v>
      </c>
      <c r="J82" s="67"/>
    </row>
    <row r="83" spans="1:18" x14ac:dyDescent="0.2">
      <c r="A83" s="14"/>
      <c r="B83" s="14"/>
      <c r="C83" s="15" t="s">
        <v>91</v>
      </c>
      <c r="D83" s="14"/>
      <c r="E83" s="14"/>
      <c r="F83" s="14"/>
      <c r="G83" s="14"/>
      <c r="H83" s="16" t="s">
        <v>12</v>
      </c>
      <c r="J83" s="67"/>
    </row>
    <row r="84" spans="1:18" x14ac:dyDescent="0.2">
      <c r="A84" s="14"/>
      <c r="B84" s="14"/>
      <c r="C84" s="15" t="s">
        <v>92</v>
      </c>
      <c r="D84" s="14"/>
      <c r="E84" s="14"/>
      <c r="F84" s="14"/>
      <c r="G84" s="14"/>
      <c r="H84" s="16" t="s">
        <v>12</v>
      </c>
      <c r="J84" s="67"/>
    </row>
    <row r="85" spans="1:18" x14ac:dyDescent="0.2">
      <c r="A85" s="14"/>
      <c r="B85" s="14"/>
      <c r="C85" s="15" t="s">
        <v>11</v>
      </c>
      <c r="D85" s="14"/>
      <c r="E85" s="14" t="s">
        <v>12</v>
      </c>
      <c r="F85" s="17" t="s">
        <v>13</v>
      </c>
      <c r="G85" s="18">
        <v>0</v>
      </c>
      <c r="H85" s="16" t="s">
        <v>12</v>
      </c>
      <c r="J85" s="67"/>
    </row>
    <row r="86" spans="1:18" x14ac:dyDescent="0.2">
      <c r="A86" s="14"/>
      <c r="B86" s="14"/>
      <c r="C86" s="19"/>
      <c r="D86" s="14"/>
      <c r="E86" s="14"/>
      <c r="F86" s="20"/>
      <c r="G86" s="20"/>
      <c r="H86" s="16" t="s">
        <v>12</v>
      </c>
      <c r="J86" s="67"/>
    </row>
    <row r="87" spans="1:18" x14ac:dyDescent="0.2">
      <c r="A87" s="28"/>
      <c r="B87" s="28"/>
      <c r="C87" s="29" t="s">
        <v>536</v>
      </c>
      <c r="D87" s="28"/>
      <c r="E87" s="28"/>
      <c r="F87" s="30"/>
      <c r="G87" s="30"/>
      <c r="H87" s="31"/>
      <c r="J87" s="67"/>
      <c r="L87" s="32"/>
      <c r="M87" s="32"/>
      <c r="N87" s="32"/>
      <c r="O87" s="32"/>
      <c r="P87" s="33"/>
      <c r="Q87" s="33"/>
      <c r="R87" s="33"/>
    </row>
    <row r="88" spans="1:18" x14ac:dyDescent="0.2">
      <c r="A88" s="22">
        <v>1</v>
      </c>
      <c r="B88" s="23" t="s">
        <v>93</v>
      </c>
      <c r="C88" s="23" t="s">
        <v>94</v>
      </c>
      <c r="D88" s="23"/>
      <c r="E88" s="34">
        <v>76.796000000000006</v>
      </c>
      <c r="F88" s="25">
        <v>7.9614576780000004</v>
      </c>
      <c r="G88" s="26">
        <v>2.92312E-3</v>
      </c>
      <c r="H88" s="16"/>
      <c r="J88" s="67"/>
    </row>
    <row r="89" spans="1:18" x14ac:dyDescent="0.2">
      <c r="A89" s="14"/>
      <c r="B89" s="14"/>
      <c r="C89" s="15" t="s">
        <v>11</v>
      </c>
      <c r="D89" s="14"/>
      <c r="E89" s="14" t="s">
        <v>12</v>
      </c>
      <c r="F89" s="21">
        <v>7.9614576780000004</v>
      </c>
      <c r="G89" s="18">
        <v>2.92312E-3</v>
      </c>
      <c r="H89" s="16" t="s">
        <v>12</v>
      </c>
      <c r="J89" s="67"/>
    </row>
    <row r="90" spans="1:18" x14ac:dyDescent="0.2">
      <c r="A90" s="14"/>
      <c r="B90" s="14"/>
      <c r="C90" s="19"/>
      <c r="D90" s="14"/>
      <c r="E90" s="14"/>
      <c r="F90" s="20"/>
      <c r="G90" s="20"/>
      <c r="H90" s="16" t="s">
        <v>12</v>
      </c>
      <c r="J90" s="67"/>
    </row>
    <row r="91" spans="1:18" x14ac:dyDescent="0.2">
      <c r="A91" s="14"/>
      <c r="B91" s="14"/>
      <c r="C91" s="15" t="s">
        <v>95</v>
      </c>
      <c r="D91" s="14"/>
      <c r="E91" s="14"/>
      <c r="F91" s="14"/>
      <c r="G91" s="14"/>
      <c r="H91" s="16" t="s">
        <v>12</v>
      </c>
      <c r="J91" s="67"/>
    </row>
    <row r="92" spans="1:18" x14ac:dyDescent="0.2">
      <c r="A92" s="14"/>
      <c r="B92" s="14"/>
      <c r="C92" s="15" t="s">
        <v>96</v>
      </c>
      <c r="D92" s="14"/>
      <c r="E92" s="14"/>
      <c r="F92" s="14"/>
      <c r="G92" s="14"/>
      <c r="H92" s="16" t="s">
        <v>12</v>
      </c>
      <c r="J92" s="67"/>
    </row>
    <row r="93" spans="1:18" x14ac:dyDescent="0.2">
      <c r="A93" s="14"/>
      <c r="B93" s="14"/>
      <c r="C93" s="15" t="s">
        <v>11</v>
      </c>
      <c r="D93" s="14"/>
      <c r="E93" s="14" t="s">
        <v>12</v>
      </c>
      <c r="F93" s="17" t="s">
        <v>13</v>
      </c>
      <c r="G93" s="18">
        <v>0</v>
      </c>
      <c r="H93" s="16" t="s">
        <v>12</v>
      </c>
      <c r="J93" s="67"/>
    </row>
    <row r="94" spans="1:18" x14ac:dyDescent="0.2">
      <c r="A94" s="14"/>
      <c r="B94" s="14"/>
      <c r="C94" s="19"/>
      <c r="D94" s="14"/>
      <c r="E94" s="14"/>
      <c r="F94" s="20"/>
      <c r="G94" s="20"/>
      <c r="H94" s="16" t="s">
        <v>12</v>
      </c>
      <c r="J94" s="67"/>
    </row>
    <row r="95" spans="1:18" x14ac:dyDescent="0.2">
      <c r="A95" s="14"/>
      <c r="B95" s="14"/>
      <c r="C95" s="15" t="s">
        <v>97</v>
      </c>
      <c r="D95" s="14"/>
      <c r="E95" s="14"/>
      <c r="F95" s="20"/>
      <c r="G95" s="20"/>
      <c r="H95" s="16" t="s">
        <v>12</v>
      </c>
      <c r="J95" s="67"/>
    </row>
    <row r="96" spans="1:18" x14ac:dyDescent="0.2">
      <c r="A96" s="14"/>
      <c r="B96" s="14"/>
      <c r="C96" s="15" t="s">
        <v>11</v>
      </c>
      <c r="D96" s="14"/>
      <c r="E96" s="14" t="s">
        <v>12</v>
      </c>
      <c r="F96" s="17" t="s">
        <v>13</v>
      </c>
      <c r="G96" s="18">
        <v>0</v>
      </c>
      <c r="H96" s="16" t="s">
        <v>12</v>
      </c>
      <c r="J96" s="67"/>
    </row>
    <row r="97" spans="1:10" x14ac:dyDescent="0.2">
      <c r="A97" s="14"/>
      <c r="B97" s="14"/>
      <c r="C97" s="19"/>
      <c r="D97" s="14"/>
      <c r="E97" s="14"/>
      <c r="F97" s="20"/>
      <c r="G97" s="20"/>
      <c r="H97" s="16" t="s">
        <v>12</v>
      </c>
      <c r="J97" s="67"/>
    </row>
    <row r="98" spans="1:10" x14ac:dyDescent="0.2">
      <c r="A98" s="27"/>
      <c r="B98" s="23"/>
      <c r="C98" s="23" t="s">
        <v>98</v>
      </c>
      <c r="D98" s="23"/>
      <c r="E98" s="27"/>
      <c r="F98" s="25">
        <v>14.68578815</v>
      </c>
      <c r="G98" s="26">
        <v>5.39201E-3</v>
      </c>
      <c r="H98" s="16" t="s">
        <v>12</v>
      </c>
      <c r="J98" s="67"/>
    </row>
    <row r="99" spans="1:10" x14ac:dyDescent="0.2">
      <c r="A99" s="19"/>
      <c r="B99" s="19"/>
      <c r="C99" s="15" t="s">
        <v>99</v>
      </c>
      <c r="D99" s="20"/>
      <c r="E99" s="20"/>
      <c r="F99" s="21">
        <f>F98+F85+F81+F65+F48+F89</f>
        <v>2723.6213182289998</v>
      </c>
      <c r="G99" s="35">
        <f>G98+G85+G81+G65+G48+G89</f>
        <v>0.99998186999999994</v>
      </c>
      <c r="H99" s="16" t="s">
        <v>12</v>
      </c>
      <c r="J99" s="67"/>
    </row>
    <row r="100" spans="1:10" x14ac:dyDescent="0.2">
      <c r="A100" s="36"/>
      <c r="B100" s="36"/>
      <c r="C100" s="36"/>
      <c r="D100" s="37"/>
      <c r="E100" s="37"/>
      <c r="F100" s="37"/>
      <c r="G100" s="37"/>
      <c r="J100" s="67"/>
    </row>
    <row r="101" spans="1:10" x14ac:dyDescent="0.2">
      <c r="A101" s="38"/>
      <c r="B101" s="112" t="s">
        <v>532</v>
      </c>
      <c r="C101" s="112"/>
      <c r="D101" s="112"/>
      <c r="E101" s="112"/>
      <c r="F101" s="112"/>
      <c r="G101" s="112"/>
      <c r="H101" s="112"/>
      <c r="J101" s="67"/>
    </row>
    <row r="102" spans="1:10" x14ac:dyDescent="0.2">
      <c r="A102" s="38"/>
      <c r="B102" s="112" t="s">
        <v>533</v>
      </c>
      <c r="C102" s="112"/>
      <c r="D102" s="112"/>
      <c r="E102" s="112"/>
      <c r="F102" s="112"/>
      <c r="G102" s="112"/>
      <c r="H102" s="112"/>
      <c r="J102" s="67"/>
    </row>
    <row r="103" spans="1:10" x14ac:dyDescent="0.2">
      <c r="A103" s="38"/>
      <c r="B103" s="112" t="s">
        <v>534</v>
      </c>
      <c r="C103" s="112"/>
      <c r="D103" s="112"/>
      <c r="E103" s="112"/>
      <c r="F103" s="112"/>
      <c r="G103" s="112"/>
      <c r="H103" s="112"/>
      <c r="J103" s="67"/>
    </row>
    <row r="104" spans="1:10" x14ac:dyDescent="0.2">
      <c r="A104" s="40"/>
      <c r="B104" s="40"/>
      <c r="C104" s="40"/>
      <c r="D104" s="41"/>
      <c r="E104" s="41"/>
      <c r="F104" s="41"/>
      <c r="G104" s="41"/>
      <c r="J104" s="67"/>
    </row>
    <row r="105" spans="1:10" x14ac:dyDescent="0.2">
      <c r="A105" s="40"/>
      <c r="B105" s="118" t="s">
        <v>100</v>
      </c>
      <c r="C105" s="119"/>
      <c r="D105" s="120"/>
      <c r="E105" s="42"/>
      <c r="F105" s="41"/>
      <c r="G105" s="41"/>
      <c r="J105" s="67"/>
    </row>
    <row r="106" spans="1:10" x14ac:dyDescent="0.2">
      <c r="A106" s="40"/>
      <c r="B106" s="121" t="s">
        <v>101</v>
      </c>
      <c r="C106" s="122"/>
      <c r="D106" s="15" t="s">
        <v>102</v>
      </c>
      <c r="E106" s="42"/>
      <c r="F106" s="41"/>
      <c r="G106" s="41"/>
      <c r="J106" s="67"/>
    </row>
    <row r="107" spans="1:10" x14ac:dyDescent="0.2">
      <c r="A107" s="40"/>
      <c r="B107" s="121" t="s">
        <v>103</v>
      </c>
      <c r="C107" s="122"/>
      <c r="D107" s="15" t="s">
        <v>102</v>
      </c>
      <c r="E107" s="42"/>
      <c r="F107" s="41"/>
      <c r="G107" s="41"/>
      <c r="J107" s="67"/>
    </row>
    <row r="108" spans="1:10" x14ac:dyDescent="0.2">
      <c r="A108" s="40"/>
      <c r="B108" s="121" t="s">
        <v>104</v>
      </c>
      <c r="C108" s="122"/>
      <c r="D108" s="20" t="s">
        <v>12</v>
      </c>
      <c r="E108" s="42"/>
      <c r="F108" s="41"/>
      <c r="G108" s="41"/>
      <c r="J108" s="67"/>
    </row>
    <row r="109" spans="1:10" x14ac:dyDescent="0.2">
      <c r="A109" s="43"/>
      <c r="B109" s="44" t="s">
        <v>12</v>
      </c>
      <c r="C109" s="44" t="s">
        <v>528</v>
      </c>
      <c r="D109" s="44" t="s">
        <v>105</v>
      </c>
      <c r="E109" s="43"/>
      <c r="F109" s="43"/>
      <c r="G109" s="43"/>
      <c r="H109" s="45"/>
      <c r="J109" s="67"/>
    </row>
    <row r="110" spans="1:10" x14ac:dyDescent="0.2">
      <c r="A110" s="46"/>
      <c r="B110" s="47" t="s">
        <v>106</v>
      </c>
      <c r="C110" s="48">
        <v>45519</v>
      </c>
      <c r="D110" s="48">
        <v>45535</v>
      </c>
      <c r="E110" s="46"/>
      <c r="F110" s="46"/>
      <c r="G110" s="46"/>
      <c r="J110" s="67"/>
    </row>
    <row r="111" spans="1:10" x14ac:dyDescent="0.2">
      <c r="A111" s="46"/>
      <c r="B111" s="23" t="s">
        <v>107</v>
      </c>
      <c r="C111" s="49">
        <v>30.862300000000001</v>
      </c>
      <c r="D111" s="49">
        <v>31.220600000000001</v>
      </c>
      <c r="E111" s="46"/>
      <c r="F111" s="50"/>
      <c r="G111" s="51"/>
      <c r="J111" s="67"/>
    </row>
    <row r="112" spans="1:10" ht="25.5" x14ac:dyDescent="0.2">
      <c r="A112" s="46"/>
      <c r="B112" s="23" t="s">
        <v>584</v>
      </c>
      <c r="C112" s="49">
        <v>13.520300000000001</v>
      </c>
      <c r="D112" s="49">
        <v>13.6252</v>
      </c>
      <c r="E112" s="46"/>
      <c r="F112" s="50"/>
      <c r="G112" s="51"/>
      <c r="J112" s="67"/>
    </row>
    <row r="113" spans="1:10" ht="25.5" x14ac:dyDescent="0.2">
      <c r="A113" s="46"/>
      <c r="B113" s="23" t="s">
        <v>585</v>
      </c>
      <c r="C113" s="49">
        <v>20.389500000000002</v>
      </c>
      <c r="D113" s="49">
        <v>20.626200000000001</v>
      </c>
      <c r="E113" s="46"/>
      <c r="F113" s="50"/>
      <c r="G113" s="51"/>
      <c r="J113" s="67"/>
    </row>
    <row r="114" spans="1:10" ht="25.5" x14ac:dyDescent="0.2">
      <c r="A114" s="46"/>
      <c r="B114" s="23" t="s">
        <v>586</v>
      </c>
      <c r="C114" s="49">
        <v>20.370799999999999</v>
      </c>
      <c r="D114" s="49">
        <v>20.607299999999999</v>
      </c>
      <c r="E114" s="46"/>
      <c r="F114" s="50"/>
      <c r="G114" s="51"/>
      <c r="J114" s="67"/>
    </row>
    <row r="115" spans="1:10" x14ac:dyDescent="0.2">
      <c r="A115" s="46"/>
      <c r="B115" s="23" t="s">
        <v>108</v>
      </c>
      <c r="C115" s="49">
        <v>28.23</v>
      </c>
      <c r="D115" s="49">
        <v>28.544699999999999</v>
      </c>
      <c r="E115" s="46"/>
      <c r="F115" s="50"/>
      <c r="G115" s="51"/>
      <c r="J115" s="67"/>
    </row>
    <row r="116" spans="1:10" ht="25.5" x14ac:dyDescent="0.2">
      <c r="A116" s="46"/>
      <c r="B116" s="23" t="s">
        <v>588</v>
      </c>
      <c r="C116" s="49">
        <v>13.4077</v>
      </c>
      <c r="D116" s="49">
        <v>13.5175</v>
      </c>
      <c r="E116" s="46"/>
      <c r="F116" s="50"/>
      <c r="G116" s="51"/>
      <c r="J116" s="67"/>
    </row>
    <row r="117" spans="1:10" ht="25.5" x14ac:dyDescent="0.2">
      <c r="A117" s="46"/>
      <c r="B117" s="23" t="s">
        <v>562</v>
      </c>
      <c r="C117" s="49">
        <v>18.548100000000002</v>
      </c>
      <c r="D117" s="49">
        <v>18.754899999999999</v>
      </c>
      <c r="E117" s="46"/>
      <c r="F117" s="50"/>
      <c r="G117" s="51"/>
      <c r="J117" s="67"/>
    </row>
    <row r="118" spans="1:10" ht="25.5" x14ac:dyDescent="0.2">
      <c r="A118" s="46"/>
      <c r="B118" s="23" t="s">
        <v>589</v>
      </c>
      <c r="C118" s="49">
        <v>18.459700000000002</v>
      </c>
      <c r="D118" s="49">
        <v>18.665500000000002</v>
      </c>
      <c r="E118" s="46"/>
      <c r="F118" s="50"/>
      <c r="G118" s="51"/>
      <c r="J118" s="71"/>
    </row>
    <row r="119" spans="1:10" x14ac:dyDescent="0.2">
      <c r="A119" s="46"/>
      <c r="B119" s="46"/>
      <c r="C119" s="46"/>
      <c r="D119" s="46"/>
      <c r="E119" s="46"/>
      <c r="F119" s="46"/>
      <c r="G119" s="46"/>
      <c r="J119" s="71"/>
    </row>
    <row r="120" spans="1:10" x14ac:dyDescent="0.2">
      <c r="A120" s="46"/>
      <c r="B120" s="121" t="s">
        <v>591</v>
      </c>
      <c r="C120" s="122"/>
      <c r="D120" s="15" t="s">
        <v>12</v>
      </c>
      <c r="E120" s="46"/>
      <c r="F120" s="46"/>
      <c r="G120" s="46"/>
      <c r="J120" s="71"/>
    </row>
    <row r="121" spans="1:10" x14ac:dyDescent="0.2">
      <c r="A121" s="46"/>
      <c r="B121" s="52" t="s">
        <v>106</v>
      </c>
      <c r="C121" s="53" t="s">
        <v>109</v>
      </c>
      <c r="D121" s="53" t="s">
        <v>110</v>
      </c>
      <c r="E121" s="46"/>
      <c r="F121" s="46"/>
      <c r="G121" s="46"/>
      <c r="J121" s="71"/>
    </row>
    <row r="122" spans="1:10" ht="25.5" x14ac:dyDescent="0.2">
      <c r="A122" s="46"/>
      <c r="B122" s="23" t="s">
        <v>584</v>
      </c>
      <c r="C122" s="54">
        <v>5.16E-2</v>
      </c>
      <c r="D122" s="27" t="s">
        <v>111</v>
      </c>
      <c r="E122" s="46"/>
      <c r="F122" s="50"/>
      <c r="G122" s="51"/>
      <c r="J122" s="71"/>
    </row>
    <row r="123" spans="1:10" ht="25.5" x14ac:dyDescent="0.2">
      <c r="A123" s="46"/>
      <c r="B123" s="23" t="s">
        <v>588</v>
      </c>
      <c r="C123" s="54">
        <v>3.9300000000000002E-2</v>
      </c>
      <c r="D123" s="27" t="s">
        <v>111</v>
      </c>
      <c r="E123" s="46"/>
      <c r="F123" s="50"/>
      <c r="G123" s="51"/>
      <c r="J123" s="71"/>
    </row>
    <row r="124" spans="1:10" x14ac:dyDescent="0.2">
      <c r="A124" s="46"/>
      <c r="B124" s="55"/>
      <c r="C124" s="55"/>
      <c r="D124" s="56"/>
      <c r="E124" s="46"/>
      <c r="F124" s="50"/>
      <c r="G124" s="51"/>
      <c r="J124" s="71"/>
    </row>
    <row r="125" spans="1:10" x14ac:dyDescent="0.2">
      <c r="A125" s="43"/>
      <c r="B125" s="106" t="s">
        <v>112</v>
      </c>
      <c r="C125" s="107"/>
      <c r="D125" s="29" t="s">
        <v>102</v>
      </c>
      <c r="E125" s="57"/>
      <c r="F125" s="43"/>
      <c r="G125" s="43"/>
      <c r="J125" s="67"/>
    </row>
    <row r="126" spans="1:10" x14ac:dyDescent="0.2">
      <c r="A126" s="43"/>
      <c r="B126" s="106" t="s">
        <v>113</v>
      </c>
      <c r="C126" s="107"/>
      <c r="D126" s="29" t="s">
        <v>102</v>
      </c>
      <c r="E126" s="57"/>
      <c r="F126" s="43"/>
      <c r="G126" s="43"/>
      <c r="J126" s="67"/>
    </row>
    <row r="127" spans="1:10" x14ac:dyDescent="0.2">
      <c r="A127" s="43"/>
      <c r="B127" s="106" t="s">
        <v>537</v>
      </c>
      <c r="C127" s="107"/>
      <c r="D127" s="29" t="s">
        <v>102</v>
      </c>
      <c r="E127" s="57"/>
      <c r="F127" s="43"/>
      <c r="G127" s="43"/>
      <c r="J127" s="67"/>
    </row>
    <row r="128" spans="1:10" x14ac:dyDescent="0.2">
      <c r="A128" s="58"/>
      <c r="B128" s="58"/>
      <c r="C128" s="58"/>
      <c r="D128" s="58"/>
      <c r="E128" s="58"/>
      <c r="F128" s="58"/>
      <c r="G128" s="58"/>
      <c r="J128" s="71"/>
    </row>
    <row r="129" spans="2:18" s="59" customFormat="1" x14ac:dyDescent="0.2">
      <c r="B129" s="113" t="s">
        <v>538</v>
      </c>
      <c r="C129" s="114"/>
      <c r="D129" s="115"/>
      <c r="I129"/>
      <c r="J129" s="71"/>
      <c r="K129" s="32"/>
      <c r="L129" s="32"/>
      <c r="M129" s="32"/>
      <c r="N129" s="32"/>
      <c r="O129"/>
      <c r="R129"/>
    </row>
    <row r="130" spans="2:18" s="59" customFormat="1" ht="38.25" x14ac:dyDescent="0.2">
      <c r="B130" s="117" t="s">
        <v>539</v>
      </c>
      <c r="C130" s="117"/>
      <c r="D130" s="60" t="s">
        <v>447</v>
      </c>
      <c r="I130"/>
      <c r="J130" s="67"/>
      <c r="K130" s="32"/>
      <c r="L130" s="32"/>
      <c r="M130" s="32"/>
      <c r="N130" s="32"/>
      <c r="O130"/>
      <c r="R130"/>
    </row>
    <row r="131" spans="2:18" s="59" customFormat="1" x14ac:dyDescent="0.2">
      <c r="B131" s="110" t="s">
        <v>540</v>
      </c>
      <c r="C131" s="110"/>
      <c r="D131" s="61"/>
      <c r="I131"/>
      <c r="J131" s="67"/>
      <c r="K131" s="32"/>
      <c r="L131" s="32"/>
      <c r="M131" s="32"/>
      <c r="N131" s="32"/>
      <c r="O131"/>
      <c r="R131"/>
    </row>
    <row r="132" spans="2:18" s="59" customFormat="1" x14ac:dyDescent="0.2">
      <c r="B132" s="110"/>
      <c r="C132" s="110"/>
      <c r="D132" s="62"/>
      <c r="I132"/>
      <c r="J132" s="67"/>
      <c r="K132" s="32"/>
      <c r="L132" s="32"/>
      <c r="M132" s="32"/>
      <c r="N132" s="32"/>
      <c r="O132"/>
    </row>
    <row r="133" spans="2:18" s="59" customFormat="1" x14ac:dyDescent="0.2">
      <c r="B133" s="110" t="s">
        <v>541</v>
      </c>
      <c r="C133" s="110"/>
      <c r="D133" s="63">
        <v>6.9587940096475913</v>
      </c>
      <c r="I133"/>
      <c r="J133" s="67"/>
      <c r="K133" s="32"/>
      <c r="L133" s="32"/>
      <c r="M133" s="32"/>
      <c r="N133" s="32"/>
      <c r="O133"/>
    </row>
    <row r="134" spans="2:18" s="59" customFormat="1" x14ac:dyDescent="0.2">
      <c r="B134" s="110"/>
      <c r="C134" s="110"/>
      <c r="D134" s="62"/>
      <c r="I134"/>
      <c r="J134" s="67"/>
      <c r="K134" s="32"/>
      <c r="L134" s="32"/>
      <c r="M134" s="32"/>
      <c r="N134" s="32"/>
      <c r="O134"/>
    </row>
    <row r="135" spans="2:18" s="59" customFormat="1" x14ac:dyDescent="0.2">
      <c r="B135" s="110" t="s">
        <v>573</v>
      </c>
      <c r="C135" s="110"/>
      <c r="D135" s="63">
        <v>6.7105678393575747</v>
      </c>
      <c r="I135"/>
      <c r="J135" s="67"/>
      <c r="K135" s="32"/>
      <c r="L135" s="32"/>
      <c r="M135" s="32"/>
      <c r="N135" s="32"/>
      <c r="O135"/>
    </row>
    <row r="136" spans="2:18" s="59" customFormat="1" x14ac:dyDescent="0.2">
      <c r="B136" s="110" t="s">
        <v>574</v>
      </c>
      <c r="C136" s="110"/>
      <c r="D136" s="63">
        <v>11.952843813529199</v>
      </c>
      <c r="I136"/>
      <c r="J136" s="67"/>
      <c r="K136" s="32"/>
      <c r="L136" s="32"/>
      <c r="M136" s="32"/>
      <c r="N136" s="32"/>
      <c r="O136"/>
    </row>
    <row r="137" spans="2:18" s="59" customFormat="1" x14ac:dyDescent="0.2">
      <c r="B137" s="110"/>
      <c r="C137" s="110"/>
      <c r="D137" s="62"/>
      <c r="I137"/>
      <c r="J137" s="67"/>
      <c r="K137" s="32"/>
      <c r="L137" s="32"/>
      <c r="M137" s="32"/>
      <c r="N137" s="32"/>
      <c r="O137"/>
    </row>
    <row r="138" spans="2:18" s="59" customFormat="1" x14ac:dyDescent="0.2">
      <c r="B138" s="110" t="s">
        <v>544</v>
      </c>
      <c r="C138" s="110"/>
      <c r="D138" s="64" t="s">
        <v>577</v>
      </c>
      <c r="I138"/>
      <c r="J138" s="67"/>
      <c r="K138" s="32"/>
      <c r="L138" s="32"/>
      <c r="M138" s="32"/>
      <c r="N138" s="32"/>
      <c r="O138"/>
    </row>
    <row r="139" spans="2:18" s="59" customFormat="1" x14ac:dyDescent="0.2">
      <c r="B139" s="108" t="s">
        <v>545</v>
      </c>
      <c r="C139" s="111"/>
      <c r="D139" s="109"/>
      <c r="I139"/>
      <c r="J139" s="67"/>
      <c r="K139" s="32"/>
      <c r="L139" s="32"/>
      <c r="M139" s="32"/>
      <c r="N139" s="32"/>
      <c r="O139"/>
    </row>
  </sheetData>
  <mergeCells count="25">
    <mergeCell ref="B103:H103"/>
    <mergeCell ref="B125:C125"/>
    <mergeCell ref="B129:D129"/>
    <mergeCell ref="B131:C131"/>
    <mergeCell ref="A1:H1"/>
    <mergeCell ref="A2:H2"/>
    <mergeCell ref="A3:H3"/>
    <mergeCell ref="B101:H101"/>
    <mergeCell ref="B102:H102"/>
    <mergeCell ref="B127:C127"/>
    <mergeCell ref="B130:C130"/>
    <mergeCell ref="B105:D105"/>
    <mergeCell ref="B106:C106"/>
    <mergeCell ref="B107:C107"/>
    <mergeCell ref="B108:C108"/>
    <mergeCell ref="B120:C120"/>
    <mergeCell ref="B126:C126"/>
    <mergeCell ref="B137:C137"/>
    <mergeCell ref="B138:C138"/>
    <mergeCell ref="B139:D139"/>
    <mergeCell ref="B132:C132"/>
    <mergeCell ref="B133:C133"/>
    <mergeCell ref="B134:C134"/>
    <mergeCell ref="B135:C135"/>
    <mergeCell ref="B136:C136"/>
  </mergeCells>
  <hyperlinks>
    <hyperlink ref="I1" location="Index!B10" display="Index" xr:uid="{FB0E9284-CD15-40EF-B580-374D7763E69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F85E8-6886-4105-B131-ABF7EDF257BA}">
  <sheetPr>
    <outlinePr summaryBelow="0" summaryRight="0"/>
  </sheetPr>
  <dimension ref="A1:V125"/>
  <sheetViews>
    <sheetView showGridLines="0" workbookViewId="0">
      <selection sqref="A1:H1"/>
    </sheetView>
  </sheetViews>
  <sheetFormatPr defaultRowHeight="12.75" x14ac:dyDescent="0.2"/>
  <cols>
    <col min="1" max="1" width="5.85546875" bestFit="1" customWidth="1"/>
    <col min="2" max="2" width="20.5703125" customWidth="1"/>
    <col min="3" max="3" width="42.85546875" customWidth="1"/>
    <col min="4" max="4" width="13.28515625" customWidth="1"/>
    <col min="5" max="5" width="8.7109375" bestFit="1" customWidth="1"/>
    <col min="6" max="6" width="10.140625" bestFit="1" customWidth="1"/>
    <col min="7" max="7" width="14" bestFit="1" customWidth="1"/>
    <col min="8" max="8" width="5.42578125" bestFit="1" customWidth="1"/>
    <col min="9" max="9" width="7.28515625" customWidth="1"/>
    <col min="10" max="10" width="50.7109375" style="11" customWidth="1"/>
    <col min="11" max="11" width="7.28515625" customWidth="1"/>
  </cols>
  <sheetData>
    <row r="1" spans="1:11" ht="15" x14ac:dyDescent="0.2">
      <c r="A1" s="116" t="s">
        <v>0</v>
      </c>
      <c r="B1" s="116"/>
      <c r="C1" s="116"/>
      <c r="D1" s="116"/>
      <c r="E1" s="116"/>
      <c r="F1" s="116"/>
      <c r="G1" s="116"/>
      <c r="H1" s="116"/>
      <c r="I1" s="7" t="s">
        <v>600</v>
      </c>
      <c r="J1" s="67"/>
      <c r="K1" s="7"/>
    </row>
    <row r="2" spans="1:11" ht="15" x14ac:dyDescent="0.2">
      <c r="A2" s="116" t="s">
        <v>507</v>
      </c>
      <c r="B2" s="116"/>
      <c r="C2" s="116"/>
      <c r="D2" s="116"/>
      <c r="E2" s="116"/>
      <c r="F2" s="116"/>
      <c r="G2" s="116"/>
      <c r="H2" s="116"/>
      <c r="J2" s="68" t="s">
        <v>601</v>
      </c>
    </row>
    <row r="3" spans="1:11" ht="15" x14ac:dyDescent="0.2">
      <c r="A3" s="116" t="s">
        <v>526</v>
      </c>
      <c r="B3" s="116"/>
      <c r="C3" s="116"/>
      <c r="D3" s="116"/>
      <c r="E3" s="116"/>
      <c r="F3" s="116"/>
      <c r="G3" s="116"/>
      <c r="H3" s="116"/>
      <c r="J3" s="67"/>
    </row>
    <row r="4" spans="1:11" s="11" customFormat="1" ht="30" x14ac:dyDescent="0.2">
      <c r="A4" s="12" t="s">
        <v>2</v>
      </c>
      <c r="B4" s="12" t="s">
        <v>3</v>
      </c>
      <c r="C4" s="12" t="s">
        <v>4</v>
      </c>
      <c r="D4" s="12" t="s">
        <v>5</v>
      </c>
      <c r="E4" s="12" t="s">
        <v>6</v>
      </c>
      <c r="F4" s="12" t="s">
        <v>7</v>
      </c>
      <c r="G4" s="12" t="s">
        <v>8</v>
      </c>
      <c r="H4" s="13" t="s">
        <v>581</v>
      </c>
      <c r="J4" s="67"/>
    </row>
    <row r="5" spans="1:11" x14ac:dyDescent="0.2">
      <c r="A5" s="14"/>
      <c r="B5" s="14"/>
      <c r="C5" s="15" t="s">
        <v>9</v>
      </c>
      <c r="D5" s="14"/>
      <c r="E5" s="14"/>
      <c r="F5" s="14"/>
      <c r="G5" s="14"/>
      <c r="H5" s="16" t="s">
        <v>12</v>
      </c>
      <c r="J5" s="67"/>
    </row>
    <row r="6" spans="1:11" x14ac:dyDescent="0.2">
      <c r="A6" s="14"/>
      <c r="B6" s="14"/>
      <c r="C6" s="15" t="s">
        <v>10</v>
      </c>
      <c r="D6" s="14"/>
      <c r="E6" s="14"/>
      <c r="F6" s="14"/>
      <c r="G6" s="14"/>
      <c r="H6" s="16" t="s">
        <v>12</v>
      </c>
      <c r="J6" s="67"/>
    </row>
    <row r="7" spans="1:11" x14ac:dyDescent="0.2">
      <c r="A7" s="14"/>
      <c r="B7" s="14"/>
      <c r="C7" s="15" t="s">
        <v>11</v>
      </c>
      <c r="D7" s="14"/>
      <c r="E7" s="14" t="s">
        <v>12</v>
      </c>
      <c r="F7" s="17" t="s">
        <v>13</v>
      </c>
      <c r="G7" s="18">
        <v>0</v>
      </c>
      <c r="H7" s="16" t="s">
        <v>12</v>
      </c>
      <c r="J7" s="67"/>
    </row>
    <row r="8" spans="1:11" x14ac:dyDescent="0.2">
      <c r="A8" s="14"/>
      <c r="B8" s="14"/>
      <c r="C8" s="19"/>
      <c r="D8" s="14"/>
      <c r="E8" s="14"/>
      <c r="F8" s="20"/>
      <c r="G8" s="20"/>
      <c r="H8" s="16" t="s">
        <v>12</v>
      </c>
      <c r="J8" s="67"/>
    </row>
    <row r="9" spans="1:11" x14ac:dyDescent="0.2">
      <c r="A9" s="14"/>
      <c r="B9" s="14"/>
      <c r="C9" s="15" t="s">
        <v>14</v>
      </c>
      <c r="D9" s="14"/>
      <c r="E9" s="14"/>
      <c r="F9" s="14"/>
      <c r="G9" s="14"/>
      <c r="H9" s="16" t="s">
        <v>12</v>
      </c>
      <c r="J9" s="67"/>
    </row>
    <row r="10" spans="1:11" x14ac:dyDescent="0.2">
      <c r="A10" s="14"/>
      <c r="B10" s="14"/>
      <c r="C10" s="15" t="s">
        <v>11</v>
      </c>
      <c r="D10" s="14"/>
      <c r="E10" s="14" t="s">
        <v>12</v>
      </c>
      <c r="F10" s="17" t="s">
        <v>13</v>
      </c>
      <c r="G10" s="18">
        <v>0</v>
      </c>
      <c r="H10" s="16" t="s">
        <v>12</v>
      </c>
      <c r="J10" s="67"/>
    </row>
    <row r="11" spans="1:11" x14ac:dyDescent="0.2">
      <c r="A11" s="14"/>
      <c r="B11" s="14"/>
      <c r="C11" s="19"/>
      <c r="D11" s="14"/>
      <c r="E11" s="14"/>
      <c r="F11" s="20"/>
      <c r="G11" s="20"/>
      <c r="H11" s="16" t="s">
        <v>12</v>
      </c>
      <c r="J11" s="67"/>
    </row>
    <row r="12" spans="1:11" ht="15" x14ac:dyDescent="0.2">
      <c r="A12" s="14"/>
      <c r="B12" s="14"/>
      <c r="C12" s="15" t="s">
        <v>15</v>
      </c>
      <c r="D12" s="14"/>
      <c r="E12" s="14"/>
      <c r="F12" s="14"/>
      <c r="G12" s="14"/>
      <c r="H12" s="16" t="s">
        <v>12</v>
      </c>
      <c r="J12" s="69"/>
    </row>
    <row r="13" spans="1:11" x14ac:dyDescent="0.2">
      <c r="A13" s="14"/>
      <c r="B13" s="14"/>
      <c r="C13" s="15" t="s">
        <v>11</v>
      </c>
      <c r="D13" s="14"/>
      <c r="E13" s="14" t="s">
        <v>12</v>
      </c>
      <c r="F13" s="17" t="s">
        <v>13</v>
      </c>
      <c r="G13" s="18">
        <v>0</v>
      </c>
      <c r="H13" s="16" t="s">
        <v>12</v>
      </c>
      <c r="J13" s="70"/>
    </row>
    <row r="14" spans="1:11" x14ac:dyDescent="0.2">
      <c r="A14" s="14"/>
      <c r="B14" s="14"/>
      <c r="C14" s="19"/>
      <c r="D14" s="14"/>
      <c r="E14" s="14"/>
      <c r="F14" s="20"/>
      <c r="G14" s="20"/>
      <c r="H14" s="16" t="s">
        <v>12</v>
      </c>
      <c r="J14" s="70" t="s">
        <v>619</v>
      </c>
    </row>
    <row r="15" spans="1:11" x14ac:dyDescent="0.2">
      <c r="A15" s="14"/>
      <c r="B15" s="14"/>
      <c r="C15" s="15" t="s">
        <v>16</v>
      </c>
      <c r="D15" s="14"/>
      <c r="E15" s="14"/>
      <c r="F15" s="14"/>
      <c r="G15" s="14"/>
      <c r="H15" s="16" t="s">
        <v>12</v>
      </c>
      <c r="J15" s="70"/>
    </row>
    <row r="16" spans="1:11" x14ac:dyDescent="0.2">
      <c r="A16" s="14"/>
      <c r="B16" s="14"/>
      <c r="C16" s="15" t="s">
        <v>11</v>
      </c>
      <c r="D16" s="14"/>
      <c r="E16" s="14" t="s">
        <v>12</v>
      </c>
      <c r="F16" s="17" t="s">
        <v>13</v>
      </c>
      <c r="G16" s="18">
        <v>0</v>
      </c>
      <c r="H16" s="16" t="s">
        <v>12</v>
      </c>
      <c r="J16" s="67"/>
    </row>
    <row r="17" spans="1:10" x14ac:dyDescent="0.2">
      <c r="A17" s="14"/>
      <c r="B17" s="14"/>
      <c r="C17" s="19"/>
      <c r="D17" s="14"/>
      <c r="E17" s="14"/>
      <c r="F17" s="20"/>
      <c r="G17" s="20"/>
      <c r="H17" s="16" t="s">
        <v>12</v>
      </c>
      <c r="J17" s="67"/>
    </row>
    <row r="18" spans="1:10" x14ac:dyDescent="0.2">
      <c r="A18" s="14"/>
      <c r="B18" s="14"/>
      <c r="C18" s="15" t="s">
        <v>17</v>
      </c>
      <c r="D18" s="14"/>
      <c r="E18" s="14"/>
      <c r="F18" s="20"/>
      <c r="G18" s="20"/>
      <c r="H18" s="16" t="s">
        <v>12</v>
      </c>
      <c r="J18" s="67"/>
    </row>
    <row r="19" spans="1:10" x14ac:dyDescent="0.2">
      <c r="A19" s="14"/>
      <c r="B19" s="14"/>
      <c r="C19" s="15" t="s">
        <v>11</v>
      </c>
      <c r="D19" s="14"/>
      <c r="E19" s="14" t="s">
        <v>12</v>
      </c>
      <c r="F19" s="17" t="s">
        <v>13</v>
      </c>
      <c r="G19" s="18">
        <v>0</v>
      </c>
      <c r="H19" s="16" t="s">
        <v>12</v>
      </c>
      <c r="J19" s="67"/>
    </row>
    <row r="20" spans="1:10" x14ac:dyDescent="0.2">
      <c r="A20" s="14"/>
      <c r="B20" s="14"/>
      <c r="C20" s="19"/>
      <c r="D20" s="14"/>
      <c r="E20" s="14"/>
      <c r="F20" s="20"/>
      <c r="G20" s="20"/>
      <c r="H20" s="16" t="s">
        <v>12</v>
      </c>
      <c r="J20" s="67"/>
    </row>
    <row r="21" spans="1:10" x14ac:dyDescent="0.2">
      <c r="A21" s="14"/>
      <c r="B21" s="14"/>
      <c r="C21" s="15" t="s">
        <v>18</v>
      </c>
      <c r="D21" s="14"/>
      <c r="E21" s="14"/>
      <c r="F21" s="20"/>
      <c r="G21" s="20"/>
      <c r="H21" s="16" t="s">
        <v>12</v>
      </c>
      <c r="J21" s="67"/>
    </row>
    <row r="22" spans="1:10" ht="15" x14ac:dyDescent="0.2">
      <c r="A22" s="14"/>
      <c r="B22" s="14"/>
      <c r="C22" s="15" t="s">
        <v>11</v>
      </c>
      <c r="D22" s="14"/>
      <c r="E22" s="14" t="s">
        <v>12</v>
      </c>
      <c r="F22" s="17" t="s">
        <v>13</v>
      </c>
      <c r="G22" s="18">
        <v>0</v>
      </c>
      <c r="H22" s="16" t="s">
        <v>12</v>
      </c>
      <c r="J22" s="69"/>
    </row>
    <row r="23" spans="1:10" x14ac:dyDescent="0.2">
      <c r="A23" s="14"/>
      <c r="B23" s="14"/>
      <c r="C23" s="19"/>
      <c r="D23" s="14"/>
      <c r="E23" s="14"/>
      <c r="F23" s="20"/>
      <c r="G23" s="20"/>
      <c r="H23" s="16" t="s">
        <v>12</v>
      </c>
      <c r="J23" s="70"/>
    </row>
    <row r="24" spans="1:10" x14ac:dyDescent="0.2">
      <c r="A24" s="14"/>
      <c r="B24" s="14"/>
      <c r="C24" s="15" t="s">
        <v>19</v>
      </c>
      <c r="D24" s="14"/>
      <c r="E24" s="14"/>
      <c r="F24" s="21">
        <v>0</v>
      </c>
      <c r="G24" s="18">
        <v>0</v>
      </c>
      <c r="H24" s="16" t="s">
        <v>12</v>
      </c>
      <c r="J24" s="67"/>
    </row>
    <row r="25" spans="1:10" x14ac:dyDescent="0.2">
      <c r="A25" s="14"/>
      <c r="B25" s="14"/>
      <c r="C25" s="19"/>
      <c r="D25" s="14"/>
      <c r="E25" s="14"/>
      <c r="F25" s="20"/>
      <c r="G25" s="20"/>
      <c r="H25" s="16" t="s">
        <v>12</v>
      </c>
      <c r="J25" s="67"/>
    </row>
    <row r="26" spans="1:10" x14ac:dyDescent="0.2">
      <c r="A26" s="14"/>
      <c r="B26" s="14"/>
      <c r="C26" s="15" t="s">
        <v>20</v>
      </c>
      <c r="D26" s="14"/>
      <c r="E26" s="14"/>
      <c r="F26" s="20"/>
      <c r="G26" s="20"/>
      <c r="H26" s="16" t="s">
        <v>12</v>
      </c>
      <c r="J26" s="67"/>
    </row>
    <row r="27" spans="1:10" x14ac:dyDescent="0.2">
      <c r="A27" s="14"/>
      <c r="B27" s="14"/>
      <c r="C27" s="15" t="s">
        <v>10</v>
      </c>
      <c r="D27" s="14"/>
      <c r="E27" s="14"/>
      <c r="F27" s="20"/>
      <c r="G27" s="20"/>
      <c r="H27" s="16" t="s">
        <v>12</v>
      </c>
      <c r="J27" s="70"/>
    </row>
    <row r="28" spans="1:10" x14ac:dyDescent="0.2">
      <c r="A28" s="14"/>
      <c r="B28" s="14"/>
      <c r="C28" s="15" t="s">
        <v>11</v>
      </c>
      <c r="D28" s="14"/>
      <c r="E28" s="14" t="s">
        <v>12</v>
      </c>
      <c r="F28" s="17" t="s">
        <v>13</v>
      </c>
      <c r="G28" s="18">
        <v>0</v>
      </c>
      <c r="H28" s="16" t="s">
        <v>12</v>
      </c>
      <c r="J28" s="70" t="s">
        <v>620</v>
      </c>
    </row>
    <row r="29" spans="1:10" x14ac:dyDescent="0.2">
      <c r="A29" s="14"/>
      <c r="B29" s="14"/>
      <c r="C29" s="19"/>
      <c r="D29" s="14"/>
      <c r="E29" s="14"/>
      <c r="F29" s="20"/>
      <c r="G29" s="20"/>
      <c r="H29" s="16" t="s">
        <v>12</v>
      </c>
      <c r="J29" s="70"/>
    </row>
    <row r="30" spans="1:10" x14ac:dyDescent="0.2">
      <c r="A30" s="14"/>
      <c r="B30" s="14"/>
      <c r="C30" s="15" t="s">
        <v>67</v>
      </c>
      <c r="D30" s="14"/>
      <c r="E30" s="14"/>
      <c r="F30" s="14"/>
      <c r="G30" s="14"/>
      <c r="H30" s="16" t="s">
        <v>12</v>
      </c>
      <c r="J30" s="67"/>
    </row>
    <row r="31" spans="1:10" x14ac:dyDescent="0.2">
      <c r="A31" s="14"/>
      <c r="B31" s="14"/>
      <c r="C31" s="15" t="s">
        <v>11</v>
      </c>
      <c r="D31" s="14"/>
      <c r="E31" s="14" t="s">
        <v>12</v>
      </c>
      <c r="F31" s="17" t="s">
        <v>13</v>
      </c>
      <c r="G31" s="18">
        <v>0</v>
      </c>
      <c r="H31" s="16" t="s">
        <v>12</v>
      </c>
      <c r="J31" s="67"/>
    </row>
    <row r="32" spans="1:10" x14ac:dyDescent="0.2">
      <c r="A32" s="14"/>
      <c r="B32" s="14"/>
      <c r="C32" s="19"/>
      <c r="D32" s="14"/>
      <c r="E32" s="14"/>
      <c r="F32" s="20"/>
      <c r="G32" s="20"/>
      <c r="H32" s="16" t="s">
        <v>12</v>
      </c>
      <c r="J32" s="67"/>
    </row>
    <row r="33" spans="1:10" x14ac:dyDescent="0.2">
      <c r="A33" s="14"/>
      <c r="B33" s="14"/>
      <c r="C33" s="15" t="s">
        <v>68</v>
      </c>
      <c r="D33" s="14"/>
      <c r="E33" s="14"/>
      <c r="F33" s="14"/>
      <c r="G33" s="14"/>
      <c r="H33" s="16" t="s">
        <v>12</v>
      </c>
      <c r="J33" s="67"/>
    </row>
    <row r="34" spans="1:10" x14ac:dyDescent="0.2">
      <c r="A34" s="14"/>
      <c r="B34" s="14"/>
      <c r="C34" s="15" t="s">
        <v>11</v>
      </c>
      <c r="D34" s="14"/>
      <c r="E34" s="14" t="s">
        <v>12</v>
      </c>
      <c r="F34" s="17" t="s">
        <v>13</v>
      </c>
      <c r="G34" s="18">
        <v>0</v>
      </c>
      <c r="H34" s="16" t="s">
        <v>12</v>
      </c>
      <c r="J34" s="67"/>
    </row>
    <row r="35" spans="1:10" x14ac:dyDescent="0.2">
      <c r="A35" s="14"/>
      <c r="B35" s="14"/>
      <c r="C35" s="19"/>
      <c r="D35" s="14"/>
      <c r="E35" s="14"/>
      <c r="F35" s="20"/>
      <c r="G35" s="20"/>
      <c r="H35" s="16" t="s">
        <v>12</v>
      </c>
      <c r="J35" s="67"/>
    </row>
    <row r="36" spans="1:10" x14ac:dyDescent="0.2">
      <c r="A36" s="14"/>
      <c r="B36" s="14"/>
      <c r="C36" s="15" t="s">
        <v>82</v>
      </c>
      <c r="D36" s="14"/>
      <c r="E36" s="14"/>
      <c r="F36" s="20"/>
      <c r="G36" s="20"/>
      <c r="H36" s="16" t="s">
        <v>12</v>
      </c>
      <c r="J36" s="67"/>
    </row>
    <row r="37" spans="1:10" x14ac:dyDescent="0.2">
      <c r="A37" s="14"/>
      <c r="B37" s="14"/>
      <c r="C37" s="15" t="s">
        <v>11</v>
      </c>
      <c r="D37" s="14"/>
      <c r="E37" s="14" t="s">
        <v>12</v>
      </c>
      <c r="F37" s="17" t="s">
        <v>13</v>
      </c>
      <c r="G37" s="18">
        <v>0</v>
      </c>
      <c r="H37" s="16" t="s">
        <v>12</v>
      </c>
      <c r="J37" s="67"/>
    </row>
    <row r="38" spans="1:10" x14ac:dyDescent="0.2">
      <c r="A38" s="14"/>
      <c r="B38" s="14"/>
      <c r="C38" s="19"/>
      <c r="D38" s="14"/>
      <c r="E38" s="14"/>
      <c r="F38" s="20"/>
      <c r="G38" s="20"/>
      <c r="H38" s="16" t="s">
        <v>12</v>
      </c>
      <c r="J38" s="67"/>
    </row>
    <row r="39" spans="1:10" x14ac:dyDescent="0.2">
      <c r="A39" s="14"/>
      <c r="B39" s="14"/>
      <c r="C39" s="15" t="s">
        <v>83</v>
      </c>
      <c r="D39" s="14"/>
      <c r="E39" s="14"/>
      <c r="F39" s="21">
        <v>0</v>
      </c>
      <c r="G39" s="18">
        <v>0</v>
      </c>
      <c r="H39" s="16" t="s">
        <v>12</v>
      </c>
      <c r="J39" s="67"/>
    </row>
    <row r="40" spans="1:10" x14ac:dyDescent="0.2">
      <c r="A40" s="14"/>
      <c r="B40" s="14"/>
      <c r="C40" s="19"/>
      <c r="D40" s="14"/>
      <c r="E40" s="14"/>
      <c r="F40" s="20"/>
      <c r="G40" s="20"/>
      <c r="H40" s="16" t="s">
        <v>12</v>
      </c>
      <c r="J40" s="67"/>
    </row>
    <row r="41" spans="1:10" x14ac:dyDescent="0.2">
      <c r="A41" s="14"/>
      <c r="B41" s="14"/>
      <c r="C41" s="15" t="s">
        <v>84</v>
      </c>
      <c r="D41" s="14"/>
      <c r="E41" s="14"/>
      <c r="F41" s="20"/>
      <c r="G41" s="20"/>
      <c r="H41" s="16" t="s">
        <v>12</v>
      </c>
      <c r="J41" s="67"/>
    </row>
    <row r="42" spans="1:10" x14ac:dyDescent="0.2">
      <c r="A42" s="14"/>
      <c r="B42" s="14"/>
      <c r="C42" s="15" t="s">
        <v>85</v>
      </c>
      <c r="D42" s="14"/>
      <c r="E42" s="14"/>
      <c r="F42" s="20"/>
      <c r="G42" s="20"/>
      <c r="H42" s="16" t="s">
        <v>12</v>
      </c>
      <c r="J42" s="67"/>
    </row>
    <row r="43" spans="1:10" x14ac:dyDescent="0.2">
      <c r="A43" s="14"/>
      <c r="B43" s="14"/>
      <c r="C43" s="15" t="s">
        <v>11</v>
      </c>
      <c r="D43" s="14"/>
      <c r="E43" s="14" t="s">
        <v>12</v>
      </c>
      <c r="F43" s="17" t="s">
        <v>13</v>
      </c>
      <c r="G43" s="18">
        <v>0</v>
      </c>
      <c r="H43" s="16" t="s">
        <v>12</v>
      </c>
      <c r="J43" s="67"/>
    </row>
    <row r="44" spans="1:10" x14ac:dyDescent="0.2">
      <c r="A44" s="14"/>
      <c r="B44" s="14"/>
      <c r="C44" s="19"/>
      <c r="D44" s="14"/>
      <c r="E44" s="14"/>
      <c r="F44" s="20"/>
      <c r="G44" s="20"/>
      <c r="H44" s="16" t="s">
        <v>12</v>
      </c>
      <c r="J44" s="67"/>
    </row>
    <row r="45" spans="1:10" x14ac:dyDescent="0.2">
      <c r="A45" s="14"/>
      <c r="B45" s="14"/>
      <c r="C45" s="15" t="s">
        <v>86</v>
      </c>
      <c r="D45" s="14"/>
      <c r="E45" s="14"/>
      <c r="F45" s="20"/>
      <c r="G45" s="20"/>
      <c r="H45" s="16" t="s">
        <v>12</v>
      </c>
      <c r="J45" s="67"/>
    </row>
    <row r="46" spans="1:10" x14ac:dyDescent="0.2">
      <c r="A46" s="14"/>
      <c r="B46" s="14"/>
      <c r="C46" s="15" t="s">
        <v>11</v>
      </c>
      <c r="D46" s="14"/>
      <c r="E46" s="14" t="s">
        <v>12</v>
      </c>
      <c r="F46" s="17" t="s">
        <v>13</v>
      </c>
      <c r="G46" s="18">
        <v>0</v>
      </c>
      <c r="H46" s="16" t="s">
        <v>12</v>
      </c>
      <c r="J46" s="67"/>
    </row>
    <row r="47" spans="1:10" x14ac:dyDescent="0.2">
      <c r="A47" s="14"/>
      <c r="B47" s="14"/>
      <c r="C47" s="19"/>
      <c r="D47" s="14"/>
      <c r="E47" s="14"/>
      <c r="F47" s="20"/>
      <c r="G47" s="20"/>
      <c r="H47" s="16" t="s">
        <v>12</v>
      </c>
      <c r="J47" s="67"/>
    </row>
    <row r="48" spans="1:10" x14ac:dyDescent="0.2">
      <c r="A48" s="14"/>
      <c r="B48" s="14"/>
      <c r="C48" s="15" t="s">
        <v>87</v>
      </c>
      <c r="D48" s="14"/>
      <c r="E48" s="14"/>
      <c r="F48" s="20"/>
      <c r="G48" s="20"/>
      <c r="H48" s="16" t="s">
        <v>12</v>
      </c>
      <c r="J48" s="67"/>
    </row>
    <row r="49" spans="1:10" x14ac:dyDescent="0.2">
      <c r="A49" s="22">
        <v>1</v>
      </c>
      <c r="B49" s="23" t="s">
        <v>508</v>
      </c>
      <c r="C49" s="23" t="s">
        <v>509</v>
      </c>
      <c r="D49" s="23" t="s">
        <v>71</v>
      </c>
      <c r="E49" s="24">
        <v>2000000</v>
      </c>
      <c r="F49" s="25">
        <v>1998.57</v>
      </c>
      <c r="G49" s="26">
        <v>3.0266009999999999E-2</v>
      </c>
      <c r="H49" s="16">
        <v>6.5270999999999999</v>
      </c>
      <c r="J49" s="67"/>
    </row>
    <row r="50" spans="1:10" x14ac:dyDescent="0.2">
      <c r="A50" s="22">
        <v>2</v>
      </c>
      <c r="B50" s="23" t="s">
        <v>439</v>
      </c>
      <c r="C50" s="23" t="s">
        <v>440</v>
      </c>
      <c r="D50" s="23" t="s">
        <v>71</v>
      </c>
      <c r="E50" s="24">
        <v>1000000</v>
      </c>
      <c r="F50" s="25">
        <v>998.03499999999997</v>
      </c>
      <c r="G50" s="26">
        <v>1.511408E-2</v>
      </c>
      <c r="H50" s="16">
        <v>6.5346000000000002</v>
      </c>
      <c r="J50" s="67"/>
    </row>
    <row r="51" spans="1:10" x14ac:dyDescent="0.2">
      <c r="A51" s="22">
        <v>3</v>
      </c>
      <c r="B51" s="23" t="s">
        <v>356</v>
      </c>
      <c r="C51" s="23" t="s">
        <v>357</v>
      </c>
      <c r="D51" s="23" t="s">
        <v>71</v>
      </c>
      <c r="E51" s="24">
        <v>1000000</v>
      </c>
      <c r="F51" s="25">
        <v>995.53399999999999</v>
      </c>
      <c r="G51" s="26">
        <v>1.50762E-2</v>
      </c>
      <c r="H51" s="16">
        <v>6.55</v>
      </c>
      <c r="J51" s="67"/>
    </row>
    <row r="52" spans="1:10" x14ac:dyDescent="0.2">
      <c r="A52" s="14"/>
      <c r="B52" s="14"/>
      <c r="C52" s="15" t="s">
        <v>11</v>
      </c>
      <c r="D52" s="14"/>
      <c r="E52" s="14" t="s">
        <v>12</v>
      </c>
      <c r="F52" s="21">
        <v>3992.1390000000001</v>
      </c>
      <c r="G52" s="18">
        <v>6.0456290000000003E-2</v>
      </c>
      <c r="H52" s="16" t="s">
        <v>12</v>
      </c>
      <c r="J52" s="67"/>
    </row>
    <row r="53" spans="1:10" x14ac:dyDescent="0.2">
      <c r="A53" s="14"/>
      <c r="B53" s="14"/>
      <c r="C53" s="19"/>
      <c r="D53" s="14"/>
      <c r="E53" s="14"/>
      <c r="F53" s="20"/>
      <c r="G53" s="20"/>
      <c r="H53" s="16" t="s">
        <v>12</v>
      </c>
      <c r="J53" s="67"/>
    </row>
    <row r="54" spans="1:10" x14ac:dyDescent="0.2">
      <c r="A54" s="14"/>
      <c r="B54" s="14"/>
      <c r="C54" s="15" t="s">
        <v>88</v>
      </c>
      <c r="D54" s="14"/>
      <c r="E54" s="14"/>
      <c r="F54" s="20"/>
      <c r="G54" s="20"/>
      <c r="H54" s="16" t="s">
        <v>12</v>
      </c>
      <c r="J54" s="67"/>
    </row>
    <row r="55" spans="1:10" x14ac:dyDescent="0.2">
      <c r="A55" s="22">
        <v>1</v>
      </c>
      <c r="B55" s="23"/>
      <c r="C55" s="23" t="s">
        <v>510</v>
      </c>
      <c r="D55" s="23"/>
      <c r="E55" s="27"/>
      <c r="F55" s="25">
        <v>44999.968874999999</v>
      </c>
      <c r="G55" s="26">
        <v>0.68147205</v>
      </c>
      <c r="H55" s="16">
        <v>6.72</v>
      </c>
      <c r="J55" s="67"/>
    </row>
    <row r="56" spans="1:10" x14ac:dyDescent="0.2">
      <c r="A56" s="22">
        <v>2</v>
      </c>
      <c r="B56" s="23"/>
      <c r="C56" s="23" t="s">
        <v>89</v>
      </c>
      <c r="D56" s="23"/>
      <c r="E56" s="27"/>
      <c r="F56" s="25">
        <v>16582.760315088999</v>
      </c>
      <c r="G56" s="26">
        <v>0.25112656999999999</v>
      </c>
      <c r="H56" s="16">
        <v>6.62</v>
      </c>
      <c r="J56" s="67"/>
    </row>
    <row r="57" spans="1:10" x14ac:dyDescent="0.2">
      <c r="A57" s="14"/>
      <c r="B57" s="14"/>
      <c r="C57" s="15" t="s">
        <v>11</v>
      </c>
      <c r="D57" s="14"/>
      <c r="E57" s="14" t="s">
        <v>12</v>
      </c>
      <c r="F57" s="21">
        <v>61582.729190088998</v>
      </c>
      <c r="G57" s="18">
        <v>0.93259862000000004</v>
      </c>
      <c r="H57" s="16" t="s">
        <v>12</v>
      </c>
      <c r="J57" s="67"/>
    </row>
    <row r="58" spans="1:10" x14ac:dyDescent="0.2">
      <c r="A58" s="14"/>
      <c r="B58" s="14"/>
      <c r="C58" s="19"/>
      <c r="D58" s="14"/>
      <c r="E58" s="14"/>
      <c r="F58" s="20"/>
      <c r="G58" s="20"/>
      <c r="H58" s="16" t="s">
        <v>12</v>
      </c>
      <c r="J58" s="67"/>
    </row>
    <row r="59" spans="1:10" x14ac:dyDescent="0.2">
      <c r="A59" s="14"/>
      <c r="B59" s="14"/>
      <c r="C59" s="15" t="s">
        <v>90</v>
      </c>
      <c r="D59" s="14"/>
      <c r="E59" s="14"/>
      <c r="F59" s="21">
        <v>65574.868190088993</v>
      </c>
      <c r="G59" s="18">
        <v>0.99305491000000001</v>
      </c>
      <c r="H59" s="16" t="s">
        <v>12</v>
      </c>
      <c r="J59" s="67"/>
    </row>
    <row r="60" spans="1:10" x14ac:dyDescent="0.2">
      <c r="A60" s="14"/>
      <c r="B60" s="14"/>
      <c r="C60" s="20"/>
      <c r="D60" s="14"/>
      <c r="E60" s="14"/>
      <c r="F60" s="14"/>
      <c r="G60" s="14"/>
      <c r="H60" s="16" t="s">
        <v>12</v>
      </c>
      <c r="J60" s="67"/>
    </row>
    <row r="61" spans="1:10" x14ac:dyDescent="0.2">
      <c r="A61" s="14"/>
      <c r="B61" s="14"/>
      <c r="C61" s="15" t="s">
        <v>91</v>
      </c>
      <c r="D61" s="14"/>
      <c r="E61" s="14"/>
      <c r="F61" s="14"/>
      <c r="G61" s="14"/>
      <c r="H61" s="16" t="s">
        <v>12</v>
      </c>
      <c r="J61" s="67"/>
    </row>
    <row r="62" spans="1:10" x14ac:dyDescent="0.2">
      <c r="A62" s="14"/>
      <c r="B62" s="14"/>
      <c r="C62" s="15" t="s">
        <v>92</v>
      </c>
      <c r="D62" s="14"/>
      <c r="E62" s="14"/>
      <c r="F62" s="14"/>
      <c r="G62" s="14"/>
      <c r="H62" s="16" t="s">
        <v>12</v>
      </c>
      <c r="J62" s="67"/>
    </row>
    <row r="63" spans="1:10" x14ac:dyDescent="0.2">
      <c r="A63" s="14"/>
      <c r="B63" s="14"/>
      <c r="C63" s="15" t="s">
        <v>11</v>
      </c>
      <c r="D63" s="14"/>
      <c r="E63" s="14" t="s">
        <v>12</v>
      </c>
      <c r="F63" s="17" t="s">
        <v>13</v>
      </c>
      <c r="G63" s="18">
        <v>0</v>
      </c>
      <c r="H63" s="16" t="s">
        <v>12</v>
      </c>
      <c r="J63" s="67"/>
    </row>
    <row r="64" spans="1:10" x14ac:dyDescent="0.2">
      <c r="A64" s="14"/>
      <c r="B64" s="14"/>
      <c r="C64" s="19"/>
      <c r="D64" s="14"/>
      <c r="E64" s="14"/>
      <c r="F64" s="20"/>
      <c r="G64" s="20"/>
      <c r="H64" s="16" t="s">
        <v>12</v>
      </c>
      <c r="J64" s="67"/>
    </row>
    <row r="65" spans="1:10" x14ac:dyDescent="0.2">
      <c r="A65" s="14"/>
      <c r="B65" s="14"/>
      <c r="C65" s="15" t="s">
        <v>95</v>
      </c>
      <c r="D65" s="14"/>
      <c r="E65" s="14"/>
      <c r="F65" s="14"/>
      <c r="G65" s="14"/>
      <c r="H65" s="16" t="s">
        <v>12</v>
      </c>
      <c r="J65" s="67"/>
    </row>
    <row r="66" spans="1:10" x14ac:dyDescent="0.2">
      <c r="A66" s="14"/>
      <c r="B66" s="14"/>
      <c r="C66" s="15" t="s">
        <v>96</v>
      </c>
      <c r="D66" s="14"/>
      <c r="E66" s="14"/>
      <c r="F66" s="14"/>
      <c r="G66" s="14"/>
      <c r="H66" s="16" t="s">
        <v>12</v>
      </c>
      <c r="J66" s="67"/>
    </row>
    <row r="67" spans="1:10" x14ac:dyDescent="0.2">
      <c r="A67" s="14"/>
      <c r="B67" s="14"/>
      <c r="C67" s="15" t="s">
        <v>11</v>
      </c>
      <c r="D67" s="14"/>
      <c r="E67" s="14" t="s">
        <v>12</v>
      </c>
      <c r="F67" s="17" t="s">
        <v>13</v>
      </c>
      <c r="G67" s="18">
        <v>0</v>
      </c>
      <c r="H67" s="16" t="s">
        <v>12</v>
      </c>
      <c r="J67" s="67"/>
    </row>
    <row r="68" spans="1:10" x14ac:dyDescent="0.2">
      <c r="A68" s="14"/>
      <c r="B68" s="14"/>
      <c r="C68" s="19"/>
      <c r="D68" s="14"/>
      <c r="E68" s="14"/>
      <c r="F68" s="20"/>
      <c r="G68" s="20"/>
      <c r="H68" s="16" t="s">
        <v>12</v>
      </c>
      <c r="J68" s="67"/>
    </row>
    <row r="69" spans="1:10" x14ac:dyDescent="0.2">
      <c r="A69" s="14"/>
      <c r="B69" s="14"/>
      <c r="C69" s="15" t="s">
        <v>97</v>
      </c>
      <c r="D69" s="14"/>
      <c r="E69" s="14"/>
      <c r="F69" s="20"/>
      <c r="G69" s="20"/>
      <c r="H69" s="16" t="s">
        <v>12</v>
      </c>
      <c r="J69" s="67"/>
    </row>
    <row r="70" spans="1:10" x14ac:dyDescent="0.2">
      <c r="A70" s="14"/>
      <c r="B70" s="14"/>
      <c r="C70" s="15" t="s">
        <v>11</v>
      </c>
      <c r="D70" s="14"/>
      <c r="E70" s="14" t="s">
        <v>12</v>
      </c>
      <c r="F70" s="17" t="s">
        <v>13</v>
      </c>
      <c r="G70" s="18">
        <v>0</v>
      </c>
      <c r="H70" s="16" t="s">
        <v>12</v>
      </c>
      <c r="J70" s="67"/>
    </row>
    <row r="71" spans="1:10" x14ac:dyDescent="0.2">
      <c r="A71" s="14"/>
      <c r="B71" s="23"/>
      <c r="C71" s="23"/>
      <c r="D71" s="15"/>
      <c r="E71" s="14"/>
      <c r="F71" s="23"/>
      <c r="G71" s="27"/>
      <c r="H71" s="16" t="s">
        <v>12</v>
      </c>
      <c r="J71" s="67"/>
    </row>
    <row r="72" spans="1:10" x14ac:dyDescent="0.2">
      <c r="A72" s="27"/>
      <c r="B72" s="23"/>
      <c r="C72" s="23" t="s">
        <v>98</v>
      </c>
      <c r="D72" s="23"/>
      <c r="E72" s="27"/>
      <c r="F72" s="25">
        <v>458.60873513000001</v>
      </c>
      <c r="G72" s="26">
        <v>6.9450900000000001E-3</v>
      </c>
      <c r="H72" s="16" t="s">
        <v>12</v>
      </c>
      <c r="J72" s="67"/>
    </row>
    <row r="73" spans="1:10" x14ac:dyDescent="0.2">
      <c r="A73" s="19"/>
      <c r="B73" s="19"/>
      <c r="C73" s="15" t="s">
        <v>99</v>
      </c>
      <c r="D73" s="20"/>
      <c r="E73" s="20"/>
      <c r="F73" s="21">
        <v>66033.476925219002</v>
      </c>
      <c r="G73" s="35">
        <v>1</v>
      </c>
      <c r="H73" s="16" t="s">
        <v>12</v>
      </c>
      <c r="J73" s="67"/>
    </row>
    <row r="74" spans="1:10" x14ac:dyDescent="0.2">
      <c r="A74" s="36"/>
      <c r="B74" s="36"/>
      <c r="C74" s="36"/>
      <c r="D74" s="37"/>
      <c r="E74" s="37"/>
      <c r="F74" s="37"/>
      <c r="G74" s="37"/>
      <c r="J74" s="67"/>
    </row>
    <row r="75" spans="1:10" x14ac:dyDescent="0.2">
      <c r="A75" s="38"/>
      <c r="B75" s="112" t="s">
        <v>532</v>
      </c>
      <c r="C75" s="112"/>
      <c r="D75" s="112"/>
      <c r="E75" s="112"/>
      <c r="F75" s="112"/>
      <c r="G75" s="112"/>
      <c r="H75" s="112"/>
      <c r="J75" s="67"/>
    </row>
    <row r="76" spans="1:10" x14ac:dyDescent="0.2">
      <c r="A76" s="38"/>
      <c r="B76" s="112" t="s">
        <v>533</v>
      </c>
      <c r="C76" s="112"/>
      <c r="D76" s="112"/>
      <c r="E76" s="112"/>
      <c r="F76" s="112"/>
      <c r="G76" s="112"/>
      <c r="H76" s="112"/>
      <c r="J76" s="67"/>
    </row>
    <row r="77" spans="1:10" x14ac:dyDescent="0.2">
      <c r="A77" s="38"/>
      <c r="B77" s="112" t="s">
        <v>534</v>
      </c>
      <c r="C77" s="112"/>
      <c r="D77" s="112"/>
      <c r="E77" s="112"/>
      <c r="F77" s="112"/>
      <c r="G77" s="112"/>
      <c r="H77" s="112"/>
      <c r="J77" s="67"/>
    </row>
    <row r="78" spans="1:10" x14ac:dyDescent="0.2">
      <c r="A78" s="40"/>
      <c r="B78" s="40"/>
      <c r="C78" s="40"/>
      <c r="D78" s="41"/>
      <c r="E78" s="41"/>
      <c r="F78" s="41"/>
      <c r="G78" s="41"/>
      <c r="J78" s="67"/>
    </row>
    <row r="79" spans="1:10" x14ac:dyDescent="0.2">
      <c r="A79" s="40"/>
      <c r="B79" s="118" t="s">
        <v>100</v>
      </c>
      <c r="C79" s="119"/>
      <c r="D79" s="120"/>
      <c r="E79" s="42"/>
      <c r="F79" s="41"/>
      <c r="G79" s="41"/>
      <c r="J79" s="67"/>
    </row>
    <row r="80" spans="1:10" x14ac:dyDescent="0.2">
      <c r="A80" s="40"/>
      <c r="B80" s="121" t="s">
        <v>101</v>
      </c>
      <c r="C80" s="122"/>
      <c r="D80" s="15" t="s">
        <v>102</v>
      </c>
      <c r="E80" s="42"/>
      <c r="F80" s="41"/>
      <c r="G80" s="41"/>
      <c r="J80" s="67"/>
    </row>
    <row r="81" spans="1:10" x14ac:dyDescent="0.2">
      <c r="A81" s="40"/>
      <c r="B81" s="121" t="s">
        <v>103</v>
      </c>
      <c r="C81" s="122"/>
      <c r="D81" s="15" t="s">
        <v>102</v>
      </c>
      <c r="E81" s="42"/>
      <c r="F81" s="41"/>
      <c r="G81" s="41"/>
      <c r="J81" s="67"/>
    </row>
    <row r="82" spans="1:10" x14ac:dyDescent="0.2">
      <c r="A82" s="40"/>
      <c r="B82" s="121" t="s">
        <v>104</v>
      </c>
      <c r="C82" s="122"/>
      <c r="D82" s="20" t="s">
        <v>12</v>
      </c>
      <c r="E82" s="42"/>
      <c r="F82" s="41"/>
      <c r="G82" s="41"/>
      <c r="J82" s="67"/>
    </row>
    <row r="83" spans="1:10" x14ac:dyDescent="0.2">
      <c r="A83" s="43"/>
      <c r="B83" s="44" t="s">
        <v>12</v>
      </c>
      <c r="C83" s="44" t="s">
        <v>528</v>
      </c>
      <c r="D83" s="44" t="s">
        <v>105</v>
      </c>
      <c r="E83" s="43"/>
      <c r="F83" s="43"/>
      <c r="G83" s="43"/>
      <c r="H83" s="45"/>
      <c r="J83" s="67"/>
    </row>
    <row r="84" spans="1:10" x14ac:dyDescent="0.2">
      <c r="A84" s="46"/>
      <c r="B84" s="47" t="s">
        <v>106</v>
      </c>
      <c r="C84" s="48">
        <v>45519</v>
      </c>
      <c r="D84" s="48">
        <v>45535</v>
      </c>
      <c r="E84" s="46"/>
      <c r="F84" s="46"/>
      <c r="G84" s="46"/>
      <c r="J84" s="67"/>
    </row>
    <row r="85" spans="1:10" x14ac:dyDescent="0.2">
      <c r="A85" s="46"/>
      <c r="B85" s="23" t="s">
        <v>107</v>
      </c>
      <c r="C85" s="49">
        <v>1303.4979000000001</v>
      </c>
      <c r="D85" s="49">
        <v>1307.1602</v>
      </c>
      <c r="E85" s="46"/>
      <c r="F85" s="50"/>
      <c r="G85" s="51"/>
      <c r="J85" s="67"/>
    </row>
    <row r="86" spans="1:10" x14ac:dyDescent="0.2">
      <c r="A86" s="46"/>
      <c r="B86" s="23" t="s">
        <v>592</v>
      </c>
      <c r="C86" s="49">
        <v>1000.03</v>
      </c>
      <c r="D86" s="49">
        <v>1000.2077</v>
      </c>
      <c r="E86" s="46"/>
      <c r="F86" s="50"/>
      <c r="G86" s="51"/>
      <c r="J86" s="67"/>
    </row>
    <row r="87" spans="1:10" ht="25.5" x14ac:dyDescent="0.2">
      <c r="A87" s="46"/>
      <c r="B87" s="23" t="s">
        <v>593</v>
      </c>
      <c r="C87" s="49">
        <v>1049.3819000000001</v>
      </c>
      <c r="D87" s="49">
        <v>1048.4822999999999</v>
      </c>
      <c r="E87" s="46"/>
      <c r="F87" s="50"/>
      <c r="G87" s="51"/>
      <c r="J87" s="67"/>
    </row>
    <row r="88" spans="1:10" ht="25.5" x14ac:dyDescent="0.2">
      <c r="A88" s="46"/>
      <c r="B88" s="23" t="s">
        <v>594</v>
      </c>
      <c r="C88" s="49">
        <v>1064.6669999999999</v>
      </c>
      <c r="D88" s="49">
        <v>1065.0427999999999</v>
      </c>
      <c r="E88" s="46"/>
      <c r="F88" s="50"/>
      <c r="G88" s="51"/>
      <c r="J88" s="67"/>
    </row>
    <row r="89" spans="1:10" ht="25.5" x14ac:dyDescent="0.2">
      <c r="A89" s="46"/>
      <c r="B89" s="23" t="s">
        <v>584</v>
      </c>
      <c r="C89" s="49">
        <v>1047.7947999999999</v>
      </c>
      <c r="D89" s="49">
        <v>1045.0532000000001</v>
      </c>
      <c r="E89" s="46"/>
      <c r="F89" s="50"/>
      <c r="G89" s="51"/>
      <c r="J89" s="67"/>
    </row>
    <row r="90" spans="1:10" x14ac:dyDescent="0.2">
      <c r="A90" s="46"/>
      <c r="B90" s="23" t="s">
        <v>108</v>
      </c>
      <c r="C90" s="49">
        <v>1296.5107</v>
      </c>
      <c r="D90" s="49">
        <v>1300.0909999999999</v>
      </c>
      <c r="E90" s="46"/>
      <c r="F90" s="50"/>
      <c r="G90" s="51"/>
      <c r="J90" s="67"/>
    </row>
    <row r="91" spans="1:10" ht="25.5" x14ac:dyDescent="0.2">
      <c r="A91" s="46"/>
      <c r="B91" s="23" t="s">
        <v>595</v>
      </c>
      <c r="C91" s="49">
        <v>1000.03</v>
      </c>
      <c r="D91" s="49">
        <v>1000.2057</v>
      </c>
      <c r="E91" s="46"/>
      <c r="F91" s="50"/>
      <c r="G91" s="51"/>
      <c r="J91" s="67"/>
    </row>
    <row r="92" spans="1:10" ht="25.5" x14ac:dyDescent="0.2">
      <c r="A92" s="46"/>
      <c r="B92" s="23" t="s">
        <v>596</v>
      </c>
      <c r="C92" s="49">
        <v>1048.4241999999999</v>
      </c>
      <c r="D92" s="49">
        <v>1047.3635999999999</v>
      </c>
      <c r="E92" s="46"/>
      <c r="F92" s="50"/>
      <c r="G92" s="51"/>
      <c r="J92" s="67"/>
    </row>
    <row r="93" spans="1:10" ht="25.5" x14ac:dyDescent="0.2">
      <c r="A93" s="46"/>
      <c r="B93" s="23" t="s">
        <v>597</v>
      </c>
      <c r="C93" s="49">
        <v>1066.0927999999999</v>
      </c>
      <c r="D93" s="49">
        <v>1066.4739999999999</v>
      </c>
      <c r="E93" s="46"/>
      <c r="F93" s="50"/>
      <c r="G93" s="51"/>
      <c r="J93" s="67"/>
    </row>
    <row r="94" spans="1:10" ht="25.5" x14ac:dyDescent="0.2">
      <c r="A94" s="46"/>
      <c r="B94" s="23" t="s">
        <v>588</v>
      </c>
      <c r="C94" s="49">
        <v>1043.9884999999999</v>
      </c>
      <c r="D94" s="49">
        <v>1041.3009</v>
      </c>
      <c r="E94" s="46"/>
      <c r="F94" s="50"/>
      <c r="G94" s="51"/>
      <c r="J94" s="67"/>
    </row>
    <row r="95" spans="1:10" ht="25.5" x14ac:dyDescent="0.2">
      <c r="A95" s="46"/>
      <c r="B95" s="23" t="s">
        <v>598</v>
      </c>
      <c r="C95" s="49">
        <v>1000</v>
      </c>
      <c r="D95" s="49">
        <v>1000</v>
      </c>
      <c r="E95" s="46"/>
      <c r="F95" s="50"/>
      <c r="G95" s="51"/>
      <c r="J95" s="67"/>
    </row>
    <row r="96" spans="1:10" ht="25.5" x14ac:dyDescent="0.2">
      <c r="A96" s="46"/>
      <c r="B96" s="23" t="s">
        <v>599</v>
      </c>
      <c r="C96" s="49">
        <v>1161.0295000000001</v>
      </c>
      <c r="D96" s="49">
        <v>1164.2916</v>
      </c>
      <c r="E96" s="46"/>
      <c r="F96" s="50"/>
      <c r="G96" s="51"/>
      <c r="J96" s="67"/>
    </row>
    <row r="97" spans="1:11" ht="38.25" x14ac:dyDescent="0.2">
      <c r="A97" s="46"/>
      <c r="B97" s="23" t="s">
        <v>511</v>
      </c>
      <c r="C97" s="49">
        <v>1161.0147999999999</v>
      </c>
      <c r="D97" s="49">
        <v>1164.2768000000001</v>
      </c>
      <c r="E97" s="46"/>
      <c r="F97" s="50"/>
      <c r="G97" s="51"/>
      <c r="J97" s="67"/>
    </row>
    <row r="98" spans="1:11" ht="38.25" x14ac:dyDescent="0.2">
      <c r="A98" s="46"/>
      <c r="B98" s="23" t="s">
        <v>512</v>
      </c>
      <c r="C98" s="49">
        <v>1000</v>
      </c>
      <c r="D98" s="49">
        <v>1000</v>
      </c>
      <c r="E98" s="46"/>
      <c r="F98" s="50"/>
      <c r="G98" s="51"/>
      <c r="J98" s="67"/>
    </row>
    <row r="99" spans="1:11" x14ac:dyDescent="0.2">
      <c r="A99" s="46"/>
      <c r="B99" s="46"/>
      <c r="C99" s="46"/>
      <c r="D99" s="46"/>
      <c r="E99" s="46"/>
      <c r="F99" s="46"/>
      <c r="G99" s="46"/>
      <c r="J99" s="67"/>
    </row>
    <row r="100" spans="1:11" x14ac:dyDescent="0.2">
      <c r="A100" s="46"/>
      <c r="B100" s="121" t="s">
        <v>591</v>
      </c>
      <c r="C100" s="122"/>
      <c r="D100" s="15" t="s">
        <v>12</v>
      </c>
      <c r="E100" s="46"/>
      <c r="F100" s="46"/>
      <c r="G100" s="46"/>
      <c r="J100" s="67"/>
    </row>
    <row r="101" spans="1:11" x14ac:dyDescent="0.2">
      <c r="A101" s="46"/>
      <c r="B101" s="52" t="s">
        <v>106</v>
      </c>
      <c r="C101" s="53" t="s">
        <v>109</v>
      </c>
      <c r="D101" s="53" t="s">
        <v>110</v>
      </c>
      <c r="E101" s="46"/>
      <c r="F101" s="46"/>
      <c r="G101" s="46"/>
      <c r="J101" s="67"/>
    </row>
    <row r="102" spans="1:11" x14ac:dyDescent="0.2">
      <c r="A102" s="46"/>
      <c r="B102" s="23" t="s">
        <v>592</v>
      </c>
      <c r="C102" s="54">
        <v>2.588012</v>
      </c>
      <c r="D102" s="27" t="s">
        <v>111</v>
      </c>
      <c r="E102" s="46"/>
      <c r="F102" s="50"/>
      <c r="G102" s="51"/>
      <c r="J102" s="67"/>
    </row>
    <row r="103" spans="1:11" ht="25.5" x14ac:dyDescent="0.2">
      <c r="A103" s="46"/>
      <c r="B103" s="23" t="s">
        <v>593</v>
      </c>
      <c r="C103" s="54">
        <v>3.8380999999999998</v>
      </c>
      <c r="D103" s="27" t="s">
        <v>111</v>
      </c>
      <c r="E103" s="46"/>
      <c r="F103" s="50"/>
      <c r="G103" s="51"/>
      <c r="J103" s="67"/>
    </row>
    <row r="104" spans="1:11" ht="25.5" x14ac:dyDescent="0.2">
      <c r="A104" s="46"/>
      <c r="B104" s="23" t="s">
        <v>594</v>
      </c>
      <c r="C104" s="54">
        <v>2.6095999999999999</v>
      </c>
      <c r="D104" s="27" t="s">
        <v>111</v>
      </c>
      <c r="E104" s="46"/>
      <c r="F104" s="50"/>
      <c r="G104" s="51"/>
      <c r="J104" s="67"/>
    </row>
    <row r="105" spans="1:11" ht="25.5" x14ac:dyDescent="0.2">
      <c r="A105" s="46"/>
      <c r="B105" s="23" t="s">
        <v>584</v>
      </c>
      <c r="C105" s="54">
        <v>5.6664000000000003</v>
      </c>
      <c r="D105" s="27" t="s">
        <v>111</v>
      </c>
      <c r="E105" s="46"/>
      <c r="F105" s="50"/>
      <c r="G105" s="51"/>
      <c r="J105" s="67"/>
    </row>
    <row r="106" spans="1:11" ht="25.5" x14ac:dyDescent="0.2">
      <c r="A106" s="46"/>
      <c r="B106" s="23" t="s">
        <v>595</v>
      </c>
      <c r="C106" s="54">
        <v>2.4939809999999998</v>
      </c>
      <c r="D106" s="27" t="s">
        <v>111</v>
      </c>
      <c r="E106" s="46"/>
      <c r="F106" s="50"/>
      <c r="G106" s="51"/>
      <c r="J106" s="67"/>
    </row>
    <row r="107" spans="1:11" ht="25.5" x14ac:dyDescent="0.2">
      <c r="A107" s="46"/>
      <c r="B107" s="23" t="s">
        <v>596</v>
      </c>
      <c r="C107" s="54">
        <v>3.718</v>
      </c>
      <c r="D107" s="27" t="s">
        <v>111</v>
      </c>
      <c r="E107" s="46"/>
      <c r="F107" s="50"/>
      <c r="G107" s="51"/>
      <c r="J107" s="67"/>
    </row>
    <row r="108" spans="1:11" ht="25.5" x14ac:dyDescent="0.2">
      <c r="A108" s="46"/>
      <c r="B108" s="23" t="s">
        <v>597</v>
      </c>
      <c r="C108" s="54">
        <v>2.5602</v>
      </c>
      <c r="D108" s="27" t="s">
        <v>111</v>
      </c>
      <c r="E108" s="46"/>
      <c r="F108" s="50"/>
      <c r="G108" s="51"/>
      <c r="J108" s="67"/>
      <c r="K108" s="32"/>
    </row>
    <row r="109" spans="1:11" ht="25.5" x14ac:dyDescent="0.2">
      <c r="A109" s="46"/>
      <c r="B109" s="23" t="s">
        <v>588</v>
      </c>
      <c r="C109" s="54">
        <v>5.5380000000000003</v>
      </c>
      <c r="D109" s="27" t="s">
        <v>111</v>
      </c>
      <c r="E109" s="46"/>
      <c r="F109" s="50"/>
      <c r="G109" s="51"/>
      <c r="I109" s="32"/>
      <c r="J109" s="67"/>
      <c r="K109" s="32"/>
    </row>
    <row r="110" spans="1:11" x14ac:dyDescent="0.2">
      <c r="A110" s="46"/>
      <c r="B110" s="55"/>
      <c r="C110" s="55"/>
      <c r="D110" s="56"/>
      <c r="E110" s="46"/>
      <c r="F110" s="50"/>
      <c r="G110" s="51"/>
      <c r="I110" s="32"/>
      <c r="J110" s="67"/>
      <c r="K110" s="32"/>
    </row>
    <row r="111" spans="1:11" x14ac:dyDescent="0.2">
      <c r="A111" s="43"/>
      <c r="B111" s="106" t="s">
        <v>112</v>
      </c>
      <c r="C111" s="107"/>
      <c r="D111" s="29" t="s">
        <v>102</v>
      </c>
      <c r="E111" s="57"/>
      <c r="F111" s="43"/>
      <c r="G111" s="43"/>
      <c r="I111" s="32"/>
      <c r="J111" s="67"/>
    </row>
    <row r="112" spans="1:11" x14ac:dyDescent="0.2">
      <c r="A112" s="43"/>
      <c r="B112" s="106" t="s">
        <v>113</v>
      </c>
      <c r="C112" s="107"/>
      <c r="D112" s="29" t="s">
        <v>102</v>
      </c>
      <c r="E112" s="57"/>
      <c r="F112" s="43"/>
      <c r="G112" s="43"/>
      <c r="I112" s="32"/>
      <c r="J112" s="67"/>
    </row>
    <row r="113" spans="1:22" x14ac:dyDescent="0.2">
      <c r="A113" s="43"/>
      <c r="B113" s="106" t="s">
        <v>537</v>
      </c>
      <c r="C113" s="107"/>
      <c r="D113" s="29" t="s">
        <v>102</v>
      </c>
      <c r="E113" s="57"/>
      <c r="F113" s="43"/>
      <c r="G113" s="43"/>
      <c r="I113" s="32"/>
      <c r="J113" s="67"/>
    </row>
    <row r="114" spans="1:22" x14ac:dyDescent="0.2">
      <c r="A114" s="58"/>
      <c r="B114" s="58"/>
      <c r="C114" s="58"/>
      <c r="D114" s="58"/>
      <c r="E114" s="58"/>
      <c r="F114" s="58"/>
      <c r="G114" s="58"/>
      <c r="J114" s="67"/>
    </row>
    <row r="115" spans="1:22" s="59" customFormat="1" x14ac:dyDescent="0.2">
      <c r="B115" s="113" t="s">
        <v>538</v>
      </c>
      <c r="C115" s="114"/>
      <c r="D115" s="115"/>
      <c r="I115"/>
      <c r="J115" s="67"/>
      <c r="K115" s="32"/>
      <c r="L115" s="32"/>
      <c r="M115" s="32"/>
      <c r="N115" s="32"/>
      <c r="O115" s="66"/>
      <c r="R115"/>
      <c r="S115"/>
      <c r="T115"/>
      <c r="U115"/>
      <c r="V115"/>
    </row>
    <row r="116" spans="1:22" s="59" customFormat="1" ht="25.5" x14ac:dyDescent="0.2">
      <c r="B116" s="117" t="s">
        <v>539</v>
      </c>
      <c r="C116" s="117"/>
      <c r="D116" s="60" t="s">
        <v>507</v>
      </c>
      <c r="I116"/>
      <c r="J116" s="67"/>
      <c r="K116" s="32"/>
      <c r="L116" s="32"/>
      <c r="M116" s="32"/>
      <c r="N116" s="32"/>
      <c r="O116" s="66"/>
      <c r="R116"/>
      <c r="S116"/>
      <c r="T116"/>
      <c r="U116"/>
      <c r="V116"/>
    </row>
    <row r="117" spans="1:22" s="59" customFormat="1" x14ac:dyDescent="0.2">
      <c r="B117" s="110" t="s">
        <v>540</v>
      </c>
      <c r="C117" s="110"/>
      <c r="D117" s="61"/>
      <c r="I117"/>
      <c r="J117" s="67"/>
      <c r="K117" s="32"/>
      <c r="L117" s="32"/>
      <c r="M117" s="32"/>
      <c r="N117" s="32"/>
      <c r="O117" s="66"/>
    </row>
    <row r="118" spans="1:22" s="59" customFormat="1" x14ac:dyDescent="0.2">
      <c r="B118" s="110"/>
      <c r="C118" s="110"/>
      <c r="D118" s="62"/>
      <c r="I118"/>
      <c r="J118" s="71"/>
      <c r="K118" s="32"/>
      <c r="L118" s="32"/>
      <c r="M118" s="32"/>
      <c r="N118" s="32"/>
      <c r="O118" s="66"/>
    </row>
    <row r="119" spans="1:22" s="59" customFormat="1" x14ac:dyDescent="0.2">
      <c r="B119" s="110" t="s">
        <v>541</v>
      </c>
      <c r="C119" s="110"/>
      <c r="D119" s="63">
        <v>6.6336361045250412</v>
      </c>
      <c r="I119"/>
      <c r="J119" s="71"/>
      <c r="K119" s="32"/>
      <c r="L119" s="32"/>
      <c r="M119" s="32"/>
      <c r="N119" s="32"/>
      <c r="O119" s="66"/>
    </row>
    <row r="120" spans="1:22" s="59" customFormat="1" x14ac:dyDescent="0.2">
      <c r="B120" s="110"/>
      <c r="C120" s="110"/>
      <c r="D120" s="62"/>
      <c r="I120"/>
      <c r="J120" s="71"/>
      <c r="K120" s="32"/>
      <c r="L120" s="32"/>
      <c r="M120" s="32"/>
      <c r="N120" s="32"/>
      <c r="O120" s="66"/>
    </row>
    <row r="121" spans="1:22" s="59" customFormat="1" x14ac:dyDescent="0.2">
      <c r="B121" s="110" t="s">
        <v>575</v>
      </c>
      <c r="C121" s="110"/>
      <c r="D121" s="105">
        <v>2</v>
      </c>
      <c r="I121"/>
      <c r="J121" s="71"/>
      <c r="K121" s="32"/>
      <c r="L121" s="32"/>
      <c r="M121" s="32"/>
      <c r="N121" s="32"/>
      <c r="O121" s="66"/>
    </row>
    <row r="122" spans="1:22" s="59" customFormat="1" x14ac:dyDescent="0.2">
      <c r="B122" s="110" t="s">
        <v>576</v>
      </c>
      <c r="C122" s="110"/>
      <c r="D122" s="105">
        <v>2</v>
      </c>
      <c r="I122"/>
      <c r="J122" s="71"/>
      <c r="K122" s="32"/>
      <c r="L122" s="32"/>
      <c r="M122" s="32"/>
      <c r="N122" s="32"/>
      <c r="O122" s="66"/>
    </row>
    <row r="123" spans="1:22" s="59" customFormat="1" x14ac:dyDescent="0.2">
      <c r="B123" s="110"/>
      <c r="C123" s="110"/>
      <c r="D123" s="62"/>
      <c r="I123"/>
      <c r="J123" s="71"/>
      <c r="K123" s="32"/>
      <c r="L123" s="32"/>
      <c r="M123" s="32"/>
      <c r="N123" s="32"/>
      <c r="O123" s="66"/>
    </row>
    <row r="124" spans="1:22" s="59" customFormat="1" x14ac:dyDescent="0.2">
      <c r="B124" s="110" t="s">
        <v>544</v>
      </c>
      <c r="C124" s="110"/>
      <c r="D124" s="105" t="s">
        <v>577</v>
      </c>
      <c r="I124"/>
      <c r="J124" s="71"/>
      <c r="K124" s="32"/>
      <c r="L124" s="32"/>
      <c r="M124" s="32"/>
      <c r="N124" s="32"/>
      <c r="O124" s="66"/>
    </row>
    <row r="125" spans="1:22" s="59" customFormat="1" x14ac:dyDescent="0.2">
      <c r="B125" s="108" t="s">
        <v>545</v>
      </c>
      <c r="C125" s="111"/>
      <c r="D125" s="109"/>
      <c r="I125"/>
      <c r="J125" s="67"/>
      <c r="K125" s="32"/>
      <c r="L125" s="32"/>
      <c r="M125" s="32"/>
      <c r="N125" s="32"/>
      <c r="O125" s="66"/>
    </row>
  </sheetData>
  <mergeCells count="25">
    <mergeCell ref="B77:H77"/>
    <mergeCell ref="B111:C111"/>
    <mergeCell ref="B115:D115"/>
    <mergeCell ref="A1:H1"/>
    <mergeCell ref="A2:H2"/>
    <mergeCell ref="A3:H3"/>
    <mergeCell ref="B75:H75"/>
    <mergeCell ref="B76:H76"/>
    <mergeCell ref="B113:C113"/>
    <mergeCell ref="B116:C116"/>
    <mergeCell ref="B79:D79"/>
    <mergeCell ref="B80:C80"/>
    <mergeCell ref="B81:C81"/>
    <mergeCell ref="B82:C82"/>
    <mergeCell ref="B100:C100"/>
    <mergeCell ref="B112:C112"/>
    <mergeCell ref="B122:C122"/>
    <mergeCell ref="B123:C123"/>
    <mergeCell ref="B124:C124"/>
    <mergeCell ref="B125:D125"/>
    <mergeCell ref="B117:C117"/>
    <mergeCell ref="B118:C118"/>
    <mergeCell ref="B119:C119"/>
    <mergeCell ref="B120:C120"/>
    <mergeCell ref="B121:C121"/>
  </mergeCells>
  <hyperlinks>
    <hyperlink ref="I1" location="Index!B11" display="Index" xr:uid="{24B7AFE9-F566-46D6-8711-4F61581CFAAB}"/>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Swapna.N - Sundaram Mutual</cp:lastModifiedBy>
  <dcterms:created xsi:type="dcterms:W3CDTF">2024-09-02T10:50:29Z</dcterms:created>
  <dcterms:modified xsi:type="dcterms:W3CDTF">2024-09-04T10:05:09Z</dcterms:modified>
</cp:coreProperties>
</file>