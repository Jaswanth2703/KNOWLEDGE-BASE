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U:\Swapna\OPERATIONS\PORTFOLIO\Temp\Final Sent\"/>
    </mc:Choice>
  </mc:AlternateContent>
  <xr:revisionPtr revIDLastSave="0" documentId="13_ncr:1_{B741CE1A-A239-4CF8-B011-296E87A18A46}" xr6:coauthVersionLast="47" xr6:coauthVersionMax="47" xr10:uidLastSave="{00000000-0000-0000-0000-000000000000}"/>
  <bookViews>
    <workbookView xWindow="-120" yWindow="-120" windowWidth="29040" windowHeight="15840" tabRatio="813" activeTab="10" xr2:uid="{DCFA76EC-273D-4317-8D64-0CC8711F6552}"/>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3" i="8" l="1"/>
  <c r="G40" i="9" l="1"/>
  <c r="G57" i="9"/>
  <c r="G73" i="9"/>
  <c r="G87" i="9"/>
  <c r="G90" i="9"/>
  <c r="F40" i="9"/>
  <c r="F91" i="9"/>
  <c r="G23" i="9"/>
  <c r="F23" i="9"/>
  <c r="F16" i="9"/>
  <c r="G91" i="9" l="1"/>
  <c r="F130" i="7"/>
  <c r="F129" i="7"/>
  <c r="F93" i="6"/>
  <c r="F92" i="6"/>
  <c r="F141" i="5"/>
  <c r="F140" i="5"/>
  <c r="F106" i="4"/>
  <c r="F105" i="4"/>
  <c r="F78" i="8"/>
  <c r="F77" i="8"/>
  <c r="F96" i="3"/>
  <c r="F95" i="3"/>
  <c r="F95" i="2"/>
  <c r="F94" i="2"/>
</calcChain>
</file>

<file path=xl/sharedStrings.xml><?xml version="1.0" encoding="utf-8"?>
<sst xmlns="http://schemas.openxmlformats.org/spreadsheetml/2006/main" count="2979" uniqueCount="591">
  <si>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</si>
  <si>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</si>
  <si>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</si>
  <si>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</si>
  <si>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</si>
  <si>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</si>
  <si>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</si>
  <si>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</si>
  <si>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</si>
  <si>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</si>
  <si>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</si>
  <si>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</si>
  <si>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</si>
  <si>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</si>
  <si>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</si>
  <si>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</si>
  <si>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</si>
  <si>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</si>
  <si>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</si>
  <si>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</si>
  <si>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</si>
  <si>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</si>
  <si>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CRISIL AAA</t>
  </si>
  <si>
    <t>INE556F08KH1</t>
  </si>
  <si>
    <t>Small Industries Development Bank of India - 7.43% - 31/08/2026</t>
  </si>
  <si>
    <t>INE557F08FS6</t>
  </si>
  <si>
    <t>INE115A07QJ2</t>
  </si>
  <si>
    <t>INE261F08EJ7</t>
  </si>
  <si>
    <t>ICRA AAA</t>
  </si>
  <si>
    <t>INE261F08EH1</t>
  </si>
  <si>
    <t>INE040A08930</t>
  </si>
  <si>
    <t>INE020B08EL2</t>
  </si>
  <si>
    <t>INE020B08EK4</t>
  </si>
  <si>
    <t>INE557F08FR8</t>
  </si>
  <si>
    <t>INE134E08LP1</t>
  </si>
  <si>
    <t>INE134E08MX3</t>
  </si>
  <si>
    <t>INE242A08544</t>
  </si>
  <si>
    <t>INE296A07SV1</t>
  </si>
  <si>
    <t>INE040A08666</t>
  </si>
  <si>
    <t>INE020B08EP3</t>
  </si>
  <si>
    <t>INE261F08DX0</t>
  </si>
  <si>
    <t>National Bank for Agriculture &amp; Rural Development - 7.58% - 31/07/2026</t>
  </si>
  <si>
    <t>INE134E08MN4</t>
  </si>
  <si>
    <t>INE115A07MW4</t>
  </si>
  <si>
    <t>LIC Housing Finance Ltd - 7.95% - 29/01/2028</t>
  </si>
  <si>
    <t>INE041007100</t>
  </si>
  <si>
    <t>(b) Privately Placed / Unlisted</t>
  </si>
  <si>
    <t>(c) Govt Security</t>
  </si>
  <si>
    <t>IN0020230085</t>
  </si>
  <si>
    <t>7.18%  Government Securities - 14/08/2033</t>
  </si>
  <si>
    <t>Sovereign</t>
  </si>
  <si>
    <t>IN0020230135</t>
  </si>
  <si>
    <t>7.32% Government Securities-13/11/2030</t>
  </si>
  <si>
    <t>IN0020230010</t>
  </si>
  <si>
    <t>7.06% Central Government Securities 10/04/2028</t>
  </si>
  <si>
    <t>IN0020240019</t>
  </si>
  <si>
    <t>7.10% Central Government Securities 08/04/2034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</si>
  <si>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</si>
  <si>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</si>
  <si>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</si>
  <si>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</si>
  <si>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</si>
  <si>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</si>
  <si>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</si>
  <si>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</si>
  <si>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</si>
  <si>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</si>
  <si>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</si>
  <si>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</si>
  <si>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</si>
  <si>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</si>
  <si>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</si>
  <si>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</si>
  <si>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</si>
  <si>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</si>
  <si>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</si>
  <si>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</si>
  <si>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</si>
  <si>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</si>
  <si>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</si>
  <si>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</si>
  <si>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</si>
  <si>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30/06/2024</t>
  </si>
  <si>
    <t>15/07/2024</t>
  </si>
  <si>
    <t>Direct Plan - Growth</t>
  </si>
  <si>
    <t>Direct Plan - Monthly Dividend</t>
  </si>
  <si>
    <t>Direct Plan - Quarterly Dividend</t>
  </si>
  <si>
    <t>Direct Plan - Halfyearly Dividend</t>
  </si>
  <si>
    <t>Direct Plan - Annual Dividend</t>
  </si>
  <si>
    <t>Regular Plan - Growth</t>
  </si>
  <si>
    <t>Regular Plan - Monthly Dividend</t>
  </si>
  <si>
    <t>Regular Plan - Quarterly Dividend</t>
  </si>
  <si>
    <t>Regular Plan - Halfyearly Dividend</t>
  </si>
  <si>
    <t>Regular Plan - Annual Dividend</t>
  </si>
  <si>
    <t>d) Dividend declared during the period (Rupees per unit)</t>
  </si>
  <si>
    <t>e) Total outstanding exposure in derivative instruments at the end of the period</t>
  </si>
  <si>
    <t>f) Total investments in foreign securities /ADR'S/GDR'S at the end of the period</t>
  </si>
  <si>
    <t>Sundaram Banking &amp; PSU Fund</t>
  </si>
  <si>
    <t>INE020B08EA5</t>
  </si>
  <si>
    <t>INE514E08FV4</t>
  </si>
  <si>
    <t>INE557F08FY4</t>
  </si>
  <si>
    <t>INE556F08KF5</t>
  </si>
  <si>
    <t>INE134E08LK2</t>
  </si>
  <si>
    <t>INE261F08DO9</t>
  </si>
  <si>
    <t>INE752E08734</t>
  </si>
  <si>
    <t>Power Grid Corporation of India Ltd - 7.35% - 12/03/2034</t>
  </si>
  <si>
    <t>INE053F08338</t>
  </si>
  <si>
    <t>INE0KUG08035</t>
  </si>
  <si>
    <t>INE916DA7SL3</t>
  </si>
  <si>
    <t>INE556F08KE8</t>
  </si>
  <si>
    <t>IN0020230101</t>
  </si>
  <si>
    <t>7.37% Government Securities-23/10/2028</t>
  </si>
  <si>
    <t>INE238AD6785</t>
  </si>
  <si>
    <t>Axis Bank Ltd - 09/08/2024**</t>
  </si>
  <si>
    <t>CRISIL A1+</t>
  </si>
  <si>
    <t>Direct Plan - Bonus</t>
  </si>
  <si>
    <t>Regular Plan - Bonus</t>
  </si>
  <si>
    <t>Sundaram Money Market Fund</t>
  </si>
  <si>
    <t>INE160A16OM8</t>
  </si>
  <si>
    <t>Punjab National Bank - 25/02/2025**</t>
  </si>
  <si>
    <t>INE028A16EX5</t>
  </si>
  <si>
    <t>Bank of Baroda - 20/02/2025**</t>
  </si>
  <si>
    <t>IND A1+</t>
  </si>
  <si>
    <t>INE238AD6819</t>
  </si>
  <si>
    <t>Axis Bank Ltd - 27/02/2025**</t>
  </si>
  <si>
    <t>INE476A16YB0</t>
  </si>
  <si>
    <t>Canara Bank - 20/03/2025</t>
  </si>
  <si>
    <t>INE562A16MZ1</t>
  </si>
  <si>
    <t>Indian Bank - 23/05/2025**</t>
  </si>
  <si>
    <t>INE040A16FA5</t>
  </si>
  <si>
    <t>HDFC Bank Ltd - 24/06/2025**</t>
  </si>
  <si>
    <t>INE476A16YT2</t>
  </si>
  <si>
    <t>Canara Bank - 06/12/2024**</t>
  </si>
  <si>
    <t>INE237A164X3</t>
  </si>
  <si>
    <t>Kotak Mahindra Bank Ltd - 13/12/2024**</t>
  </si>
  <si>
    <t>INE261F16793</t>
  </si>
  <si>
    <t>National Bank for Agriculture &amp; Rural Development - 12/02/2025**</t>
  </si>
  <si>
    <t>INE040A16EN1</t>
  </si>
  <si>
    <t>HDFC Bank Ltd - 20/02/2025**</t>
  </si>
  <si>
    <t>INE01GA16228</t>
  </si>
  <si>
    <t>DBS BANK LTD - 07/03/2025**</t>
  </si>
  <si>
    <t>INE092T16WB9</t>
  </si>
  <si>
    <t>IDFC First Bank Ltd - 21/02/2025**</t>
  </si>
  <si>
    <t>INE095A16V79</t>
  </si>
  <si>
    <t>IndusInd Bank Ltd - 24/02/2025**</t>
  </si>
  <si>
    <t>INE238AD6850</t>
  </si>
  <si>
    <t>Axis Bank Ltd - 25/11/2024**</t>
  </si>
  <si>
    <t>INE090AD6113</t>
  </si>
  <si>
    <t>ICICI Bank Ltd - 31/01/2025**</t>
  </si>
  <si>
    <t>ICRA A1+</t>
  </si>
  <si>
    <t>INE171A16LP4</t>
  </si>
  <si>
    <t>The Federal Bank Ltd - 04/02/2025**</t>
  </si>
  <si>
    <t>INE692A16GZ8</t>
  </si>
  <si>
    <t>Union Bank of India - 27/02/2025**</t>
  </si>
  <si>
    <t>INE790I14ER0</t>
  </si>
  <si>
    <t>INE144H14GZ0</t>
  </si>
  <si>
    <t>INE763G14TE7</t>
  </si>
  <si>
    <t>INE115A14EX5</t>
  </si>
  <si>
    <t>INE556F14KH9</t>
  </si>
  <si>
    <t>IN002024Z073</t>
  </si>
  <si>
    <t>364 Days - T Bill - 15/05/2025</t>
  </si>
  <si>
    <t>Sundaram Low Duration Fund</t>
  </si>
  <si>
    <t>INE134E08KT5</t>
  </si>
  <si>
    <t>INE557F08FV0</t>
  </si>
  <si>
    <t>CARE AAA</t>
  </si>
  <si>
    <t>INE403D08181</t>
  </si>
  <si>
    <t>CRISIL AA+</t>
  </si>
  <si>
    <t>INE721A07SB0</t>
  </si>
  <si>
    <t>INE261F08DP6</t>
  </si>
  <si>
    <t>INE115A07PQ9</t>
  </si>
  <si>
    <t>INE115A07PU1</t>
  </si>
  <si>
    <t>INE523H07CB9</t>
  </si>
  <si>
    <t>CRISIL AA</t>
  </si>
  <si>
    <t>INE233A08121</t>
  </si>
  <si>
    <t>INE721A07RU2</t>
  </si>
  <si>
    <t>INE121A07QT9</t>
  </si>
  <si>
    <t>ICRA AA+</t>
  </si>
  <si>
    <t>IN0020220037</t>
  </si>
  <si>
    <t>7.38% Central Government Securities 20/06/2027</t>
  </si>
  <si>
    <t>INE556F16AM5</t>
  </si>
  <si>
    <t>Small Industries Development Bank of India - 11/12/2024**</t>
  </si>
  <si>
    <t>INE238AD6629</t>
  </si>
  <si>
    <t>Axis Bank Ltd - 10/01/2025**</t>
  </si>
  <si>
    <t>INE238AD6579</t>
  </si>
  <si>
    <t>Axis Bank Ltd - 29/11/2024**</t>
  </si>
  <si>
    <t>INE160A16OF2</t>
  </si>
  <si>
    <t>Punjab National Bank - 05/12/2024</t>
  </si>
  <si>
    <t>INE261F16785</t>
  </si>
  <si>
    <t>National Bank for Agriculture &amp; Rural Development - 07/02/2025</t>
  </si>
  <si>
    <t>INE261F16819</t>
  </si>
  <si>
    <t>National Bank for Agriculture &amp; Rural Development - 26/02/2025**</t>
  </si>
  <si>
    <t>INE556F16AO1</t>
  </si>
  <si>
    <t>Small Industries Development Bank of India - 10/01/2025**</t>
  </si>
  <si>
    <t>INE466L14DI2</t>
  </si>
  <si>
    <t>INE870H14SP6</t>
  </si>
  <si>
    <t>Sundaram Liquid Fund</t>
  </si>
  <si>
    <t>INE936D07075</t>
  </si>
  <si>
    <t>INE094A08036</t>
  </si>
  <si>
    <t>INE033L07HI5</t>
  </si>
  <si>
    <t>INE238AD6504</t>
  </si>
  <si>
    <t>Axis Bank Ltd - 30/08/2024**</t>
  </si>
  <si>
    <t>INE562A16MX6</t>
  </si>
  <si>
    <t>Indian Bank - 20/08/2024**</t>
  </si>
  <si>
    <t>INE160A16OW7</t>
  </si>
  <si>
    <t>Punjab National Bank - 02/09/2024**</t>
  </si>
  <si>
    <t>INE040A16EZ5</t>
  </si>
  <si>
    <t>HDFC Bank Ltd - 11/09/2024**</t>
  </si>
  <si>
    <t>INE476A16YM7</t>
  </si>
  <si>
    <t>Canara Bank - 13/09/2024**</t>
  </si>
  <si>
    <t>INE692A16HK8</t>
  </si>
  <si>
    <t>Union Bank of India - 13/09/2024**</t>
  </si>
  <si>
    <t>INE095A16T81</t>
  </si>
  <si>
    <t>IndusInd Bank Ltd - 19/09/2024**</t>
  </si>
  <si>
    <t>INE028A16FM5</t>
  </si>
  <si>
    <t>Bank of Baroda - 16/08/2024</t>
  </si>
  <si>
    <t>INE692A16HH4</t>
  </si>
  <si>
    <t>Union Bank of India - 23/08/2024**</t>
  </si>
  <si>
    <t>INE028A16FP8</t>
  </si>
  <si>
    <t>Bank of Baroda - 23/08/2024</t>
  </si>
  <si>
    <t>INE476A16YK1</t>
  </si>
  <si>
    <t>Canara Bank - 09/09/2024**</t>
  </si>
  <si>
    <t>INE028A16FQ6</t>
  </si>
  <si>
    <t>Bank of Baroda - 28/08/2024**</t>
  </si>
  <si>
    <t>INE692A16HQ5</t>
  </si>
  <si>
    <t>Union Bank of India - 25/09/2024</t>
  </si>
  <si>
    <t>INE160A16OR7</t>
  </si>
  <si>
    <t>Punjab National Bank - 24/07/2024**</t>
  </si>
  <si>
    <t>INE040A16FC1</t>
  </si>
  <si>
    <t>HDFC Bank Ltd - 26/07/2024**</t>
  </si>
  <si>
    <t>INE562A16NA2</t>
  </si>
  <si>
    <t>Indian Bank - 03/09/2024**</t>
  </si>
  <si>
    <t>INE238AD6538</t>
  </si>
  <si>
    <t>Axis Bank Ltd - 18/09/2024**</t>
  </si>
  <si>
    <t>INE028A16FT0</t>
  </si>
  <si>
    <t>Bank of Baroda - 23/09/2024**</t>
  </si>
  <si>
    <t>INE160A16PD4</t>
  </si>
  <si>
    <t>Punjab National Bank - 26/09/2024**</t>
  </si>
  <si>
    <t>INE090AD6048</t>
  </si>
  <si>
    <t>ICICI Bank Ltd - 16/09/2024**</t>
  </si>
  <si>
    <t>INE261F14LR3</t>
  </si>
  <si>
    <t>INE514E14RR5</t>
  </si>
  <si>
    <t>INE572E14JE8</t>
  </si>
  <si>
    <t>INE763G14UP1</t>
  </si>
  <si>
    <t>INE556F14KI7</t>
  </si>
  <si>
    <t>INE556F14KK3</t>
  </si>
  <si>
    <t>Small Industries Development Bank of India - 11/09/2024</t>
  </si>
  <si>
    <t>INE891D14YQ7</t>
  </si>
  <si>
    <t>INE0DZE14065</t>
  </si>
  <si>
    <t>INE721A14DU8</t>
  </si>
  <si>
    <t>INE09OL14FK9</t>
  </si>
  <si>
    <t>INE261F14LM4</t>
  </si>
  <si>
    <t>INE556F14KF3</t>
  </si>
  <si>
    <t>Small Industries Development Bank of India - 09/08/2024</t>
  </si>
  <si>
    <t>INE071G14FO3</t>
  </si>
  <si>
    <t>INE824H14PG8</t>
  </si>
  <si>
    <t>INE233A14N74</t>
  </si>
  <si>
    <t>INE572E14JF5</t>
  </si>
  <si>
    <t>INE261F14MA7</t>
  </si>
  <si>
    <t>INE261F14MB5</t>
  </si>
  <si>
    <t>INE824H14PR5</t>
  </si>
  <si>
    <t>INE212K14601</t>
  </si>
  <si>
    <t>INE572E14JC2</t>
  </si>
  <si>
    <t>INE865C14LF3</t>
  </si>
  <si>
    <t>INE338I14HJ8</t>
  </si>
  <si>
    <t>INE01C314825</t>
  </si>
  <si>
    <t>INE790I14ET6</t>
  </si>
  <si>
    <t>INE865C14LL1</t>
  </si>
  <si>
    <t>INE763G14UQ9</t>
  </si>
  <si>
    <t>INE824H14PJ2</t>
  </si>
  <si>
    <t>INE144H14GX5</t>
  </si>
  <si>
    <t>INE850D14RI4</t>
  </si>
  <si>
    <t>INE891D14YR5</t>
  </si>
  <si>
    <t>INE027214647</t>
  </si>
  <si>
    <t>INE417C14751</t>
  </si>
  <si>
    <t>INE557F14FJ3</t>
  </si>
  <si>
    <t>National Housing Bank  - 26/09/2024</t>
  </si>
  <si>
    <t>INE824H14OZ1</t>
  </si>
  <si>
    <t>INE850D14RF0</t>
  </si>
  <si>
    <t>INE212K14734</t>
  </si>
  <si>
    <t>IN002023Y540</t>
  </si>
  <si>
    <t>182 Days - T Bill - 26/09/2024</t>
  </si>
  <si>
    <t>IN002024X086</t>
  </si>
  <si>
    <t>91 Days - T Bill - 15/08/2024</t>
  </si>
  <si>
    <t>IN002023Y508</t>
  </si>
  <si>
    <t>182 Days -T Bill- 29/08/2024</t>
  </si>
  <si>
    <t>IN002024X060</t>
  </si>
  <si>
    <t>91 Days- T Bill-02/08/2024</t>
  </si>
  <si>
    <t>IN002023Y466</t>
  </si>
  <si>
    <t>182 Days - T Bill - 08/08/2024</t>
  </si>
  <si>
    <t>Direct Plan - Daily Dividend</t>
  </si>
  <si>
    <t>Direct Plan - Weekly Dividend</t>
  </si>
  <si>
    <t>Direct Plan - Fortnightly Dividend</t>
  </si>
  <si>
    <t>Regular Plan - Daily Dividend</t>
  </si>
  <si>
    <t>Regular Plan - Weekly Dividend</t>
  </si>
  <si>
    <t>Regular Plan - Fortnightly Dividend</t>
  </si>
  <si>
    <t>Individual &amp; HUF</t>
  </si>
  <si>
    <t>Others</t>
  </si>
  <si>
    <t>-</t>
  </si>
  <si>
    <t>Sundaram Short Duration Fund</t>
  </si>
  <si>
    <t>INE020B08EG2</t>
  </si>
  <si>
    <t>INE134E08MJ2</t>
  </si>
  <si>
    <t>INE020B08EI8</t>
  </si>
  <si>
    <t>INE115A07PI6</t>
  </si>
  <si>
    <t>IN3120230484</t>
  </si>
  <si>
    <t>7.44% Tamil Nadu State Government Securities -20/03/2034</t>
  </si>
  <si>
    <t>IN0020210160</t>
  </si>
  <si>
    <t>Sundaram Ultra Short Duration Fund</t>
  </si>
  <si>
    <t>INE848E07AJ4</t>
  </si>
  <si>
    <t>INE121A07RB5</t>
  </si>
  <si>
    <t>INE756I07EI4</t>
  </si>
  <si>
    <t>INE115A07OX8</t>
  </si>
  <si>
    <t>INE040A16DX2</t>
  </si>
  <si>
    <t>HDFC Bank Ltd - 13/09/2024**</t>
  </si>
  <si>
    <t>INE028A16FO1</t>
  </si>
  <si>
    <t>Bank of Baroda - 25/11/2024**</t>
  </si>
  <si>
    <t>INE090AD6105</t>
  </si>
  <si>
    <t>ICICI Bank Ltd - 06/12/2024**</t>
  </si>
  <si>
    <t>INE160A16OH8</t>
  </si>
  <si>
    <t>Punjab National Bank - 31/01/2025**</t>
  </si>
  <si>
    <t>INE171A16LK5</t>
  </si>
  <si>
    <t>The Federal Bank Ltd - 29/11/2024**</t>
  </si>
  <si>
    <t>INE040A16EH3</t>
  </si>
  <si>
    <t>HDFC Bank Ltd - 06/12/2024**</t>
  </si>
  <si>
    <t>INE556F16AN3</t>
  </si>
  <si>
    <t>Small Industries Development Bank of India - 18/12/2024**</t>
  </si>
  <si>
    <t>INE040A16EK7</t>
  </si>
  <si>
    <t>HDFC Bank Ltd - 09/01/2025**</t>
  </si>
  <si>
    <t>INE261F16777</t>
  </si>
  <si>
    <t>National Bank for Agriculture &amp; Rural Development - 23/01/2025**</t>
  </si>
  <si>
    <t>INE237A160W3</t>
  </si>
  <si>
    <t>Kotak Mahindra Bank Ltd - 05/02/2025**</t>
  </si>
  <si>
    <t>INE160A16OL0</t>
  </si>
  <si>
    <t>Punjab National Bank - 07/02/2025**</t>
  </si>
  <si>
    <t>INE556F16AQ6</t>
  </si>
  <si>
    <t>Small Industries Development Bank of India - 07/02/2025</t>
  </si>
  <si>
    <t>INE790I14EV2</t>
  </si>
  <si>
    <t>INE556F14KG1</t>
  </si>
  <si>
    <t>INE414G14TC1</t>
  </si>
  <si>
    <t>INE477S14CC9</t>
  </si>
  <si>
    <t>INE115A14EV9</t>
  </si>
  <si>
    <t>INE417C14710</t>
  </si>
  <si>
    <t>IN002023Z182</t>
  </si>
  <si>
    <t>364 Days - T Bill - 25/07/2024</t>
  </si>
  <si>
    <t>IN002023Z299</t>
  </si>
  <si>
    <t>364 Days- T Bill -03/10/2024</t>
  </si>
  <si>
    <t>Sundaram Medium Duration Fund</t>
  </si>
  <si>
    <t>IN0020210186</t>
  </si>
  <si>
    <t>5.74% Central Government Securities 15/11/2026</t>
  </si>
  <si>
    <t>Institutional Plan - Growth</t>
  </si>
  <si>
    <t>Sundaram Conservative Hybrid Fund</t>
  </si>
  <si>
    <t>INE090A01021</t>
  </si>
  <si>
    <t>ICICI Bank Ltd</t>
  </si>
  <si>
    <t>Banks</t>
  </si>
  <si>
    <t>INE002A01018</t>
  </si>
  <si>
    <t>Reliance Industries Ltd</t>
  </si>
  <si>
    <t>Petroleum Products</t>
  </si>
  <si>
    <t>INE040A01034</t>
  </si>
  <si>
    <t>HDFC Bank Ltd</t>
  </si>
  <si>
    <t>INE018A01030</t>
  </si>
  <si>
    <t>Larsen &amp; Toubro Ltd</t>
  </si>
  <si>
    <t>Construction</t>
  </si>
  <si>
    <t>INE238A01034</t>
  </si>
  <si>
    <t>Axis Bank Ltd</t>
  </si>
  <si>
    <t>INE200M01021</t>
  </si>
  <si>
    <t>Varun Beverages Ltd</t>
  </si>
  <si>
    <t>Beverages</t>
  </si>
  <si>
    <t>INE397D01024</t>
  </si>
  <si>
    <t>Bharti Airtel Ltd</t>
  </si>
  <si>
    <t>Telecom - Services</t>
  </si>
  <si>
    <t>INE009A01021</t>
  </si>
  <si>
    <t>Infosys Ltd</t>
  </si>
  <si>
    <t>It - Software</t>
  </si>
  <si>
    <t>INE860A01027</t>
  </si>
  <si>
    <t>HCL Technologies Ltd</t>
  </si>
  <si>
    <t>INE062A01020</t>
  </si>
  <si>
    <t>State Bank of India</t>
  </si>
  <si>
    <t>INE044A01036</t>
  </si>
  <si>
    <t>Sun Pharmaceutical Industries Ltd</t>
  </si>
  <si>
    <t>Pharmaceuticals &amp; Biotechnology</t>
  </si>
  <si>
    <t>INE481G01011</t>
  </si>
  <si>
    <t>Ultratech Cement Ltd</t>
  </si>
  <si>
    <t>Cement &amp; Cement Products</t>
  </si>
  <si>
    <t>INE047A01021</t>
  </si>
  <si>
    <t>Grasim Industries Ltd</t>
  </si>
  <si>
    <t>INE854D01024</t>
  </si>
  <si>
    <t>United Spirits Ltd</t>
  </si>
  <si>
    <t>IN9397D01014</t>
  </si>
  <si>
    <t>IN0020230051</t>
  </si>
  <si>
    <t>7.30% Government Securities - 19/06/2053</t>
  </si>
  <si>
    <t>Sundaram Overnight Fund</t>
  </si>
  <si>
    <t>IN002024X078</t>
  </si>
  <si>
    <t>91 Days - T Bill - 08/08/2024</t>
  </si>
  <si>
    <t>IN002024X037</t>
  </si>
  <si>
    <t>91 Days- T Bill-19/07/2024</t>
  </si>
  <si>
    <t>IN002023Y433</t>
  </si>
  <si>
    <t>182 Days - T Bill - 18/07/2024</t>
  </si>
  <si>
    <t>IN002023Y441</t>
  </si>
  <si>
    <t>182 Days -T Bill- 25/07/2024</t>
  </si>
  <si>
    <t>IN002024X045</t>
  </si>
  <si>
    <t>91 Days - T Bill - 25/07/2024</t>
  </si>
  <si>
    <t>Unclaimed Plan - Dividend greater than three years</t>
  </si>
  <si>
    <t>Unclaimed Plan - Dividend less than three years</t>
  </si>
  <si>
    <t>Unclaimed Plan - Redemption Less than three years</t>
  </si>
  <si>
    <t>Unclaimed Plan - Redemption greater than three years</t>
  </si>
  <si>
    <t>YTM (%)*</t>
  </si>
  <si>
    <t>YTM (%)</t>
  </si>
  <si>
    <t>(c) Corporate Debt Market Development Fund</t>
  </si>
  <si>
    <t>**Non Traded Securities - Wherever applicable</t>
  </si>
  <si>
    <t>^ Net current assets includes interest accrued on fixed income securities - Wherever applicable</t>
  </si>
  <si>
    <t># percentage to NAV of security is less than 0.01% - Wherever applicable</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</si>
  <si>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</si>
  <si>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</si>
  <si>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</si>
  <si>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</si>
  <si>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</si>
  <si>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</si>
  <si>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</si>
  <si>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</si>
  <si>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</si>
  <si>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</si>
  <si>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</si>
  <si>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</si>
  <si>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</si>
  <si>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Refer below point i)</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</si>
  <si>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</si>
  <si>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</si>
  <si>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</si>
  <si>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</si>
  <si>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</si>
  <si>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</si>
  <si>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</si>
  <si>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</si>
  <si>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</si>
  <si>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Refer below point 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</si>
  <si>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</si>
  <si>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</si>
  <si>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</si>
  <si>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</si>
  <si>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</si>
  <si>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</si>
  <si>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</si>
  <si>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</si>
  <si>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</si>
  <si>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</si>
  <si>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</si>
  <si>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</si>
  <si>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</si>
  <si>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</si>
  <si>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Bharti Airtel Ltd - Partly Paid Right Shares</t>
  </si>
  <si>
    <t>7.72% Central Government Securities_Floating Rate Bond - 04/10/2028 ~</t>
  </si>
  <si>
    <t>INE0GGX23010</t>
  </si>
  <si>
    <t>Power Grid Infrastructure Investment Trust(InvIT)</t>
  </si>
  <si>
    <t>Power</t>
  </si>
  <si>
    <t>Benchmark Riskometer - CRISIL Hybrid 85 Plus 15 - Conservative Index</t>
  </si>
  <si>
    <t>15-Jul-2024</t>
  </si>
  <si>
    <t>i) Exposure to securities classified as below investment grade or default as on 15-Jul-2024:-</t>
  </si>
  <si>
    <t>h) Exposure to securities classified as below investment grade or default as on 15-Jul-2024:-</t>
  </si>
  <si>
    <t>% to AUM as on  15-Jul-2024</t>
  </si>
  <si>
    <t>At the beginning</t>
  </si>
  <si>
    <t>Index</t>
  </si>
  <si>
    <t>Scheme Riskometer</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</si>
  <si>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</si>
  <si>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</si>
  <si>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</si>
  <si>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</si>
  <si>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</si>
  <si>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</si>
  <si>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</si>
  <si>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</si>
  <si>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</si>
  <si>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</si>
  <si>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</si>
  <si>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</si>
  <si>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</si>
  <si>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</si>
  <si>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</si>
  <si>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</si>
  <si>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Tier I Benchmark Riskometer - NIFTY 1D Rate Index</t>
  </si>
  <si>
    <t>Tier II Benchmark Riskometer - NIFTY 1D Rate Index</t>
  </si>
  <si>
    <t>S. No.</t>
  </si>
  <si>
    <t>ACRONYM</t>
  </si>
  <si>
    <t>SCHEME NAME</t>
  </si>
  <si>
    <t>SFRLTP</t>
  </si>
  <si>
    <t>SFRSTP</t>
  </si>
  <si>
    <t>SMMF</t>
  </si>
  <si>
    <t>SPLDF</t>
  </si>
  <si>
    <t>SPMON</t>
  </si>
  <si>
    <t>SPSDF</t>
  </si>
  <si>
    <t>SPUSDF</t>
  </si>
  <si>
    <t>SUNBDS</t>
  </si>
  <si>
    <t>SUNMIA</t>
  </si>
  <si>
    <t>SUNONF</t>
  </si>
  <si>
    <t>++ Aggregate Investments by Other schemes of Sundaram Mutual Fund - Rs.5540.15 Lakhs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</si>
  <si>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</si>
  <si>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Fortnightly Portfolio Statement as on 15 July 2024</t>
  </si>
  <si>
    <t>Indian Railway Finance Corporation Ltd - 7.23% - 15/10/2026**</t>
  </si>
  <si>
    <t>National Housing Bank  - 7.4% - 16/07/2026**</t>
  </si>
  <si>
    <t>LIC Housing Finance Ltd - 7.7% - 16/05/2028**</t>
  </si>
  <si>
    <t>Indian Oil Corporation Ltd - 7.44% - 25/11/2027**</t>
  </si>
  <si>
    <t>Power Finance Corporation Ltd - 7.6% - 13/04/2029**</t>
  </si>
  <si>
    <t>Power Finance Corporation Ltd - 7.13% - 15/07/2026**</t>
  </si>
  <si>
    <t>National Housing Bank  - 7.22% - 23/07/2026**</t>
  </si>
  <si>
    <t>REC LTD - 7.46% - 30/06/2028**</t>
  </si>
  <si>
    <t>REC LTD - 7.44% - 30/04/2026**</t>
  </si>
  <si>
    <t>HDFC Bank Ltd (Prev HDFC Ltd) - 7.65% - 25/05/2033**</t>
  </si>
  <si>
    <t>National Bank for Agriculture &amp; Rural Development - 7.62% - 10/05/2029**</t>
  </si>
  <si>
    <t>National Bank for Agriculture &amp; Rural Development - 7.64% - 06/12/2029**</t>
  </si>
  <si>
    <t>REC LTD - 7.77% - 30/09/2026**</t>
  </si>
  <si>
    <t>HDFC Bank Ltd (Prev HDFC Ltd) - 7.8% - 03/05/2033**</t>
  </si>
  <si>
    <t>Bajaj Finance Ltd - 7.82% - 31/01/2034**</t>
  </si>
  <si>
    <t>Power Finance Corporation Ltd - 7.44% - 10/05/2028**</t>
  </si>
  <si>
    <t>Embassy Office Parks REIT - 7.77% - 05/06/2025**</t>
  </si>
  <si>
    <t>REC LTD - 7.55% - 31/03/2028**</t>
  </si>
  <si>
    <t>Export Import Bank of India - 5.85% - 12/09/2025**</t>
  </si>
  <si>
    <t>National Housing Bank  - 7.59% - 14/07/2027**</t>
  </si>
  <si>
    <t>Small Industries Development Bank of India - 7.54% - 12/01/2026**</t>
  </si>
  <si>
    <t>Power Finance Corporation Ltd - 6.09% - 27/08/2026**</t>
  </si>
  <si>
    <t>National Bank for Agriculture &amp; Rural Development - 7.4% - 30/01/2026**</t>
  </si>
  <si>
    <t>Indian Railway Finance Corporation Ltd - 7.68% - 24/11/2026**</t>
  </si>
  <si>
    <t>National Bank for Financing Infrastructure and Development - 7.43% - 04/07/2034**</t>
  </si>
  <si>
    <t>Kotak Mahindra Prime Ltd - 8.09% - 09/11/2026**</t>
  </si>
  <si>
    <t>Small Industries Development Bank of India - 7.47% - 25/11/2025**</t>
  </si>
  <si>
    <t>HSBC InvestDirect Financial Services India Limited - 14/08/2024**</t>
  </si>
  <si>
    <t>Deutsche Investments India Private Ltd - 09/12/2024**</t>
  </si>
  <si>
    <t>ICICI Securities Ltd - 21/02/2025**</t>
  </si>
  <si>
    <t>Small Industries Development Bank of India - 28/05/2025**</t>
  </si>
  <si>
    <t>LIC Housing Finance Ltd - 21/03/2025**</t>
  </si>
  <si>
    <t>Power Finance Corporation Ltd - 7.17% - 22/05/2025**</t>
  </si>
  <si>
    <t>National Housing Bank  - 7.78% - 26/04/2027**</t>
  </si>
  <si>
    <t>Bharti Telecom Ltd - 8.9% - 04/12/2025**</t>
  </si>
  <si>
    <t>Shriram Finance Ltd - 9.2% - 22/05/2026**</t>
  </si>
  <si>
    <t>National Bank for Agriculture &amp; Rural Development - 7.35% - 08/07/2025**</t>
  </si>
  <si>
    <t>LIC Housing Finance Ltd - 5.9943% - 12/03/2025**</t>
  </si>
  <si>
    <t>LIC Housing Finance Ltd - 6.25% - 20/06/2025**</t>
  </si>
  <si>
    <t>JM Financial Products Ltd - 8.92% - 16/11/2026**</t>
  </si>
  <si>
    <t>Godrej Industries Ltd - 8.36% - 28/08/2026**</t>
  </si>
  <si>
    <t>Shriram Finance Ltd - 9.25% - 19/12/2025**</t>
  </si>
  <si>
    <t>Cholamandalam Investment and Finance Co Ltd - 8.45% - 21/11/2025**</t>
  </si>
  <si>
    <t>360 ONE WAM Ltd (Prev IIFL Wealth Management Ltd) - 14/03/2025**</t>
  </si>
  <si>
    <t>Network18 Media &amp; Investments Ltd - 31/07/2024**</t>
  </si>
  <si>
    <t>Jamnagar Utilities and Power Pvt Ltd - 9.75% - 02/08/2024**</t>
  </si>
  <si>
    <t>Hindustan Petroleum Corporation Ltd - 7% - 14/08/2024**</t>
  </si>
  <si>
    <t>Tata Capital Housing Finance Ltd - 5.7% - 13/09/2024**</t>
  </si>
  <si>
    <t>National Bank for Agriculture &amp; Rural Development - 26/08/2024**</t>
  </si>
  <si>
    <t>Export Import Bank of India - 09/09/2024**</t>
  </si>
  <si>
    <t>PNB Housing Finance Ltd - 27/08/2024**</t>
  </si>
  <si>
    <t>ICICI Securities Ltd - 29/08/2024**</t>
  </si>
  <si>
    <t>Small Industries Development Bank of India - 03/09/2024**</t>
  </si>
  <si>
    <t>Redington Ltd - 12/09/2024**</t>
  </si>
  <si>
    <t>Kisetsu Saison Finance - 10/09/2024**</t>
  </si>
  <si>
    <t>Shriram Finance Ltd - 10/09/2024**</t>
  </si>
  <si>
    <t>Birla Group Holdings Pvt Ltd - 18/09/2024**</t>
  </si>
  <si>
    <t>National Bank for Agriculture &amp; Rural Development - 31/07/2024**</t>
  </si>
  <si>
    <t>ICICI Home Finance Company Ltd - 16/08/2024**</t>
  </si>
  <si>
    <t>Julius Baer Capital (India) Private Ltd - 23/08/2024**</t>
  </si>
  <si>
    <t>Godrej Industries Ltd - 06/09/2024**</t>
  </si>
  <si>
    <t>PNB Housing Finance Ltd - 10/09/2024**</t>
  </si>
  <si>
    <t>National Bank for Agriculture &amp; Rural Development - 20/09/2024**</t>
  </si>
  <si>
    <t>National Bank for Agriculture &amp; Rural Development - 26/09/2024**</t>
  </si>
  <si>
    <t>Julius Baer Capital (India) Private Ltd - 30/09/2024**</t>
  </si>
  <si>
    <t>SBI Cap securities Ltd - 24/07/2024**</t>
  </si>
  <si>
    <t>PNB Housing Finance Ltd - 26/07/2024**</t>
  </si>
  <si>
    <t>Aditya Birla Money Ltd - 30/07/2024**</t>
  </si>
  <si>
    <t>Motilal Oswal Financial Services Ltd - 01/08/2024**</t>
  </si>
  <si>
    <t>Bajaj Financial Securities Ltd - 12/08/2024**</t>
  </si>
  <si>
    <t>HSBC InvestDirect Financial Services India Limited - 27/08/2024**</t>
  </si>
  <si>
    <t>Aditya Birla Money Ltd - 29/08/2024**</t>
  </si>
  <si>
    <t>ICICI Securities Ltd - 30/08/2024**</t>
  </si>
  <si>
    <t>Julius Baer Capital (India) Private Ltd - 29/08/2024**</t>
  </si>
  <si>
    <t>Deutsche Investments India Private Ltd - 03/09/2024**</t>
  </si>
  <si>
    <t>Godrej Agrovet Ltd - 12/09/2024**</t>
  </si>
  <si>
    <t>Redington Ltd - 13/09/2024**</t>
  </si>
  <si>
    <t>BOBCARD Ltd - 13/09/2024**</t>
  </si>
  <si>
    <t>Pilani Investment and Industries Corporation Ltd. - 13/09/2024**</t>
  </si>
  <si>
    <t>Julius Baer Capital (India) Private Ltd - 09/08/2024**</t>
  </si>
  <si>
    <t>Godrej Agrovet Ltd - 30/08/2024**</t>
  </si>
  <si>
    <t>SBI Cap securities Ltd - 19/09/2024**</t>
  </si>
  <si>
    <t>REC LTD - 7.69% - 31/03/2033**</t>
  </si>
  <si>
    <t>Power Finance Corporation Ltd - 7.77% - 15/04/2028**</t>
  </si>
  <si>
    <t>REC LTD - 7.51% - 31/07/2026**</t>
  </si>
  <si>
    <t>LIC Housing Finance Ltd - 6.17% - 03/09/2026**</t>
  </si>
  <si>
    <t>NHPC Ltd - 7.35% - 15/09/2024**</t>
  </si>
  <si>
    <t>Cholamandalam Investment and Finance Co Ltd - 8.25% - 04/03/2025**</t>
  </si>
  <si>
    <t>HDB Financial Services Ltd - 7.5% - 23/09/2025**</t>
  </si>
  <si>
    <t>LIC Housing Finance Ltd - 5.5315% - 20/12/2024**</t>
  </si>
  <si>
    <t>HSBC InvestDirect Financial Services India Limited - 24/12/2024**</t>
  </si>
  <si>
    <t>Small Industries Development Bank of India - 28/02/2025**</t>
  </si>
  <si>
    <t>Muthoot Finance Ltd - 25/02/2025**</t>
  </si>
  <si>
    <t>Tata Motors Finance Ltd - 11/03/2025**</t>
  </si>
  <si>
    <t>LIC Housing Finance Ltd - 04/03/2025**</t>
  </si>
  <si>
    <t>Pilani Investment and Industries Corporation Ltd. - 21/03/2025**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</si>
</sst>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
    <numFmt numFmtId="173" formatCode="[$-1014009]#,##0.000000;\-#,##0.000000"/>
  </numFmts>
  <fonts count="31" x14ac:knownFonts="1">
    <font>
      <sz val="10"/>
      <name val="Arial"/>
      <charset val="1"/>
    </font>
    <font>
      <sz val="11"/>
      <color theme="1"/>
      <name val="Aptos Narrow"/>
      <family val="2"/>
      <scheme val="minor"/>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Aptos Narrow"/>
      <family val="2"/>
      <scheme val="minor"/>
    </font>
    <font>
      <sz val="11"/>
      <color theme="0"/>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name val="Arial"/>
      <family val="2"/>
    </font>
    <font>
      <b/>
      <sz val="11"/>
      <name val="Aptos Narrow"/>
      <family val="2"/>
      <scheme val="minor"/>
    </font>
    <font>
      <sz val="10"/>
      <color indexed="8"/>
      <name val="Calibri"/>
      <family val="2"/>
    </font>
    <font>
      <b/>
      <sz val="10"/>
      <color indexed="8"/>
      <name val="Calibri"/>
      <family val="2"/>
    </font>
    <font>
      <b/>
      <i/>
      <sz val="10"/>
      <color indexed="8"/>
      <name val="Calibri"/>
      <family val="2"/>
    </font>
    <font>
      <sz val="10"/>
      <name val="Calibri"/>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
      <b/>
      <sz val="11"/>
      <color theme="1"/>
      <name val="Aptos Narrow"/>
      <family val="2"/>
      <scheme val="minor"/>
    </font>
    <font>
      <b/>
      <sz val="10"/>
      <name val="Arial"/>
      <family val="2"/>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s>
  <fills count="4">
    <fill>
      <patternFill patternType="none"/>
    </fill>
    <fill>
      <patternFill patternType="gray125"/>
    </fill>
    <fill>
      <patternFill patternType="solid">
        <fgColor theme="8" tint="0.79998168889431442"/>
        <bgColor indexed="64"/>
      </patternFill>
    </fill>
    <fill>
      <patternFill patternType="solid">
        <fgColor theme="2"/>
        <bgColor indexed="64"/>
      </patternFill>
    </fill>
  </fills>
  <borders count="1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alignment wrapText="1"/>
    </xf>
    <xf numFmtId="164" fontId="7" fillId="0" borderId="0" applyFont="0" applyFill="0" applyBorder="0" applyAlignment="0" applyProtection="0"/>
    <xf numFmtId="0" fontId="11" fillId="0" borderId="0" applyNumberFormat="0" applyFill="0" applyBorder="0" applyAlignment="0" applyProtection="0">
      <alignment wrapText="1"/>
    </xf>
    <xf numFmtId="0" fontId="13" fillId="0" borderId="0">
      <alignment wrapText="1"/>
    </xf>
    <xf numFmtId="0" fontId="2" fillId="0" borderId="0"/>
    <xf numFmtId="164" fontId="13" fillId="0" borderId="0" applyFont="0" applyFill="0" applyBorder="0" applyAlignment="0" applyProtection="0"/>
    <xf numFmtId="9" fontId="13" fillId="0" borderId="0" applyFont="0" applyFill="0" applyBorder="0" applyAlignment="0" applyProtection="0"/>
    <xf numFmtId="0" fontId="2" fillId="0" borderId="0"/>
    <xf numFmtId="9" fontId="23" fillId="0" borderId="0" applyFont="0" applyFill="0" applyBorder="0" applyAlignment="0" applyProtection="0"/>
    <xf numFmtId="0" fontId="1" fillId="0" borderId="0"/>
    <xf numFmtId="0" fontId="1" fillId="0" borderId="0"/>
  </cellStyleXfs>
  <cellXfs count="138">
    <xf numFmtId="0" fontId="0" fillId="0" borderId="0" xfId="0">
      <alignment wrapText="1"/>
    </xf>
    <xf numFmtId="0" fontId="12" fillId="2" borderId="0" xfId="2" applyFont="1" applyFill="1" applyBorder="1" applyAlignment="1">
      <alignment horizontal="center" vertical="center" wrapText="1"/>
    </xf>
    <xf numFmtId="0" fontId="0" fillId="3" borderId="0" xfId="0" applyFill="1" applyAlignment="1">
      <alignment horizontal="center" vertical="center" wrapText="1"/>
    </xf>
    <xf numFmtId="0" fontId="14" fillId="3" borderId="0" xfId="3" applyFont="1" applyFill="1" applyAlignment="1">
      <alignment horizontal="center" vertical="center" wrapText="1"/>
    </xf>
    <xf numFmtId="0" fontId="0" fillId="0" borderId="0" xfId="0" applyAlignment="1">
      <alignment horizontal="center" vertical="center" wrapText="1"/>
    </xf>
    <xf numFmtId="0" fontId="13" fillId="0" borderId="0" xfId="3">
      <alignment wrapText="1"/>
    </xf>
    <xf numFmtId="0" fontId="18" fillId="0" borderId="0" xfId="0" applyFont="1">
      <alignment wrapText="1"/>
    </xf>
    <xf numFmtId="0" fontId="18" fillId="0" borderId="0" xfId="0" applyFont="1" applyAlignment="1">
      <alignment vertical="center" wrapText="1"/>
    </xf>
    <xf numFmtId="0" fontId="0" fillId="0" borderId="0" xfId="0" applyAlignment="1">
      <alignment vertical="center" wrapText="1"/>
    </xf>
    <xf numFmtId="0" fontId="2" fillId="0" borderId="0" xfId="4" applyAlignment="1">
      <alignment wrapText="1"/>
    </xf>
    <xf numFmtId="164" fontId="18" fillId="0" borderId="7" xfId="5" applyFont="1" applyFill="1" applyBorder="1" applyAlignment="1">
      <alignment vertical="center"/>
    </xf>
    <xf numFmtId="164" fontId="21" fillId="0" borderId="7" xfId="5" applyFont="1" applyFill="1" applyBorder="1" applyAlignment="1">
      <alignment vertical="center"/>
    </xf>
    <xf numFmtId="10" fontId="21" fillId="0" borderId="7" xfId="6" applyNumberFormat="1" applyFont="1" applyFill="1" applyBorder="1" applyAlignment="1">
      <alignment vertical="center"/>
    </xf>
    <xf numFmtId="0" fontId="2" fillId="0" borderId="0" xfId="7" applyAlignment="1">
      <alignment wrapText="1"/>
    </xf>
    <xf numFmtId="0" fontId="8" fillId="0" borderId="0" xfId="7" applyFont="1" applyAlignment="1">
      <alignment horizontal="center" vertical="center"/>
    </xf>
    <xf numFmtId="4" fontId="9" fillId="0" borderId="0" xfId="7" applyNumberFormat="1" applyFont="1"/>
    <xf numFmtId="0" fontId="22" fillId="0" borderId="0" xfId="7" applyFont="1" applyAlignment="1">
      <alignment wrapText="1"/>
    </xf>
    <xf numFmtId="0" fontId="25" fillId="3" borderId="0" xfId="0" applyFont="1" applyFill="1" applyAlignment="1">
      <alignment horizontal="center" vertical="center" wrapText="1"/>
    </xf>
    <xf numFmtId="0" fontId="24" fillId="3" borderId="0" xfId="0" applyFont="1" applyFill="1" applyAlignment="1">
      <alignment horizontal="center" vertical="center"/>
    </xf>
    <xf numFmtId="0" fontId="26" fillId="0" borderId="7" xfId="9" applyFont="1" applyBorder="1" applyAlignment="1">
      <alignment horizontal="center"/>
    </xf>
    <xf numFmtId="0" fontId="27" fillId="0" borderId="7" xfId="9" applyFont="1" applyBorder="1" applyAlignment="1">
      <alignment horizontal="center" vertical="center"/>
    </xf>
    <xf numFmtId="0" fontId="28" fillId="0" borderId="0" xfId="10" applyFont="1"/>
    <xf numFmtId="0" fontId="28" fillId="0" borderId="7" xfId="9" applyFont="1" applyBorder="1" applyAlignment="1">
      <alignment horizontal="center"/>
    </xf>
    <xf numFmtId="0" fontId="29" fillId="0" borderId="7" xfId="2" applyFont="1" applyBorder="1" applyAlignment="1">
      <alignment vertical="center"/>
    </xf>
    <xf numFmtId="0" fontId="30" fillId="0" borderId="7" xfId="9" applyFont="1" applyBorder="1" applyAlignment="1">
      <alignment vertical="top"/>
    </xf>
    <xf numFmtId="0" fontId="28" fillId="0" borderId="0" xfId="9" applyFont="1" applyAlignment="1">
      <alignment vertical="center" wrapText="1"/>
    </xf>
    <xf numFmtId="0" fontId="10" fillId="0" borderId="7" xfId="0" applyFont="1" applyBorder="1" applyAlignment="1">
      <alignment horizontal="center" vertical="center" wrapText="1" readingOrder="1"/>
    </xf>
    <xf numFmtId="164" fontId="10" fillId="0" borderId="7" xfId="1" applyFont="1" applyFill="1" applyBorder="1" applyAlignment="1">
      <alignment horizontal="center"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166" fontId="3" fillId="0" borderId="7" xfId="0" applyNumberFormat="1" applyFont="1" applyBorder="1" applyAlignment="1">
      <alignment horizontal="right" vertical="center" wrapText="1" readingOrder="1"/>
    </xf>
    <xf numFmtId="0" fontId="4" fillId="0" borderId="4" xfId="0"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8"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17" fillId="0" borderId="0" xfId="0" applyFont="1" applyAlignment="1">
      <alignment horizontal="left" vertical="center" wrapText="1" readingOrder="1"/>
    </xf>
    <xf numFmtId="0" fontId="15" fillId="0" borderId="0" xfId="0" applyFont="1" applyAlignment="1">
      <alignment horizontal="lef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6" xfId="0" applyFont="1" applyBorder="1" applyAlignment="1">
      <alignment horizontal="right" vertical="center" wrapText="1" readingOrder="1"/>
    </xf>
    <xf numFmtId="0" fontId="15" fillId="0" borderId="0" xfId="0" applyFont="1" applyAlignment="1">
      <alignment horizontal="right" vertical="top" wrapText="1" readingOrder="1"/>
    </xf>
    <xf numFmtId="0" fontId="16" fillId="0" borderId="4" xfId="0" applyFont="1" applyBorder="1" applyAlignment="1">
      <alignment horizontal="right" vertical="top" wrapText="1" readingOrder="1"/>
    </xf>
    <xf numFmtId="164" fontId="15" fillId="0" borderId="0" xfId="1" applyFont="1" applyFill="1" applyBorder="1" applyAlignment="1">
      <alignment horizontal="right" vertical="top" wrapText="1" readingOrder="1"/>
    </xf>
    <xf numFmtId="0" fontId="3" fillId="0" borderId="0" xfId="0" applyFont="1" applyAlignment="1">
      <alignment horizontal="right" vertical="top" wrapText="1" readingOrder="1"/>
    </xf>
    <xf numFmtId="0" fontId="4" fillId="0" borderId="4" xfId="0" applyFont="1" applyBorder="1" applyAlignment="1">
      <alignment horizontal="left" vertical="top" wrapText="1" readingOrder="1"/>
    </xf>
    <xf numFmtId="0" fontId="4" fillId="0" borderId="4" xfId="0" applyFont="1" applyBorder="1" applyAlignment="1">
      <alignment horizontal="right" vertical="top" wrapText="1" readingOrder="1"/>
    </xf>
    <xf numFmtId="171"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3" fontId="3"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0" fontId="16" fillId="0" borderId="4" xfId="0" applyFont="1" applyBorder="1" applyAlignment="1">
      <alignment horizontal="left" vertical="center" wrapText="1" readingOrder="1"/>
    </xf>
    <xf numFmtId="0" fontId="15" fillId="0" borderId="6" xfId="0" applyFont="1" applyBorder="1" applyAlignment="1">
      <alignment horizontal="right" vertical="top" wrapText="1" readingOrder="1"/>
    </xf>
    <xf numFmtId="0" fontId="0" fillId="0" borderId="0" xfId="0" applyAlignment="1">
      <alignment horizontal="center" vertical="top" readingOrder="1"/>
    </xf>
    <xf numFmtId="0" fontId="19" fillId="0" borderId="7" xfId="0" applyFont="1" applyBorder="1" applyAlignment="1">
      <alignment horizontal="center" vertical="center" wrapText="1"/>
    </xf>
    <xf numFmtId="0" fontId="18" fillId="0" borderId="7" xfId="0" applyFont="1" applyBorder="1" applyAlignment="1">
      <alignment vertical="center" wrapText="1"/>
    </xf>
    <xf numFmtId="0" fontId="18" fillId="0" borderId="7" xfId="0" applyFont="1" applyBorder="1" applyAlignment="1">
      <alignment horizontal="justify" vertical="center" wrapText="1"/>
    </xf>
    <xf numFmtId="172" fontId="16" fillId="0" borderId="4" xfId="0" applyNumberFormat="1" applyFont="1" applyBorder="1" applyAlignment="1">
      <alignment horizontal="left" vertical="center" wrapText="1" readingOrder="1"/>
    </xf>
    <xf numFmtId="14" fontId="18" fillId="0" borderId="7" xfId="0" quotePrefix="1" applyNumberFormat="1" applyFont="1" applyBorder="1" applyAlignment="1">
      <alignment horizontal="justify" vertical="center" wrapText="1"/>
    </xf>
    <xf numFmtId="164" fontId="0" fillId="0" borderId="0" xfId="1" applyFont="1" applyFill="1" applyAlignment="1">
      <alignment wrapText="1"/>
    </xf>
    <xf numFmtId="0" fontId="3" fillId="0" borderId="7" xfId="0" applyFont="1" applyBorder="1" applyAlignment="1">
      <alignment horizontal="right" vertical="top" wrapText="1" readingOrder="1"/>
    </xf>
    <xf numFmtId="0" fontId="5" fillId="0" borderId="7" xfId="0" applyFont="1" applyBorder="1" applyAlignment="1">
      <alignment horizontal="left" vertical="center" wrapText="1" readingOrder="1"/>
    </xf>
    <xf numFmtId="0" fontId="5" fillId="0" borderId="7" xfId="0" applyFont="1" applyBorder="1" applyAlignment="1">
      <alignment horizontal="right" vertical="center" wrapText="1" readingOrder="1"/>
    </xf>
    <xf numFmtId="0" fontId="15" fillId="0" borderId="4" xfId="0" applyFont="1" applyBorder="1" applyAlignment="1">
      <alignment horizontal="right" vertical="top" wrapText="1" readingOrder="1"/>
    </xf>
    <xf numFmtId="0" fontId="17" fillId="0" borderId="4" xfId="0" applyFont="1" applyBorder="1" applyAlignment="1">
      <alignment horizontal="right" vertical="center" wrapText="1" readingOrder="1"/>
    </xf>
    <xf numFmtId="166" fontId="15" fillId="0" borderId="4" xfId="0" applyNumberFormat="1" applyFont="1" applyBorder="1" applyAlignment="1">
      <alignment horizontal="right" vertical="center" wrapText="1" readingOrder="1"/>
    </xf>
    <xf numFmtId="169" fontId="3" fillId="0" borderId="4" xfId="0" applyNumberFormat="1" applyFont="1" applyBorder="1" applyAlignment="1">
      <alignment horizontal="right" vertical="center" wrapText="1" readingOrder="1"/>
    </xf>
    <xf numFmtId="0" fontId="15" fillId="0" borderId="0" xfId="0" applyFont="1" applyAlignment="1">
      <alignment horizontal="right" vertical="center" wrapText="1" readingOrder="1"/>
    </xf>
    <xf numFmtId="0" fontId="20" fillId="0" borderId="7" xfId="7" applyFont="1" applyBorder="1" applyAlignment="1">
      <alignment horizontal="center" vertical="center"/>
    </xf>
    <xf numFmtId="0" fontId="20" fillId="0" borderId="0" xfId="7" applyFont="1" applyAlignment="1">
      <alignment horizontal="center" vertical="center"/>
    </xf>
    <xf numFmtId="0" fontId="21" fillId="0" borderId="7" xfId="7" applyFont="1" applyBorder="1" applyAlignment="1">
      <alignment vertical="center"/>
    </xf>
    <xf numFmtId="0" fontId="21" fillId="0" borderId="7" xfId="7" applyFont="1" applyBorder="1" applyAlignment="1">
      <alignment vertical="center" wrapText="1"/>
    </xf>
    <xf numFmtId="0" fontId="21" fillId="0" borderId="0" xfId="7" applyFont="1" applyAlignment="1">
      <alignment horizontal="center" vertical="center"/>
    </xf>
    <xf numFmtId="0" fontId="20" fillId="0" borderId="7" xfId="7" applyFont="1" applyBorder="1" applyAlignment="1">
      <alignment horizontal="center" vertical="center" wrapText="1"/>
    </xf>
    <xf numFmtId="0" fontId="14" fillId="0" borderId="0" xfId="7" applyFont="1" applyAlignment="1">
      <alignment horizontal="center" vertical="center"/>
    </xf>
    <xf numFmtId="0" fontId="21" fillId="0" borderId="7" xfId="7" applyFont="1" applyBorder="1" applyAlignment="1">
      <alignment horizontal="left" vertical="center"/>
    </xf>
    <xf numFmtId="4" fontId="21" fillId="0" borderId="7" xfId="7" applyNumberFormat="1" applyFont="1" applyBorder="1" applyAlignment="1">
      <alignment horizontal="right" vertical="center"/>
    </xf>
    <xf numFmtId="10" fontId="21" fillId="0" borderId="7" xfId="8" applyNumberFormat="1" applyFont="1" applyFill="1" applyBorder="1" applyAlignment="1">
      <alignment vertical="center"/>
    </xf>
    <xf numFmtId="164" fontId="22" fillId="0" borderId="0" xfId="1" applyFont="1" applyFill="1" applyAlignment="1">
      <alignment vertical="center"/>
    </xf>
    <xf numFmtId="164" fontId="21" fillId="0" borderId="0" xfId="1" applyFont="1" applyFill="1" applyAlignment="1">
      <alignment horizontal="center" vertical="center"/>
    </xf>
    <xf numFmtId="0" fontId="19" fillId="0" borderId="0" xfId="0" applyFont="1" applyAlignment="1">
      <alignment vertical="center" readingOrder="1"/>
    </xf>
    <xf numFmtId="0" fontId="19" fillId="0" borderId="0" xfId="0" applyFont="1" applyAlignment="1">
      <alignment horizontal="left" vertical="center" readingOrder="1"/>
    </xf>
    <xf numFmtId="0" fontId="20" fillId="0" borderId="7" xfId="0" applyFont="1" applyBorder="1" applyAlignment="1">
      <alignment vertical="center" wrapText="1"/>
    </xf>
    <xf numFmtId="0" fontId="18" fillId="0" borderId="7" xfId="0" applyFont="1" applyBorder="1" applyAlignment="1">
      <alignment vertical="center"/>
    </xf>
    <xf numFmtId="4" fontId="18" fillId="0" borderId="7" xfId="0" applyNumberFormat="1" applyFont="1" applyBorder="1" applyAlignment="1">
      <alignment vertical="center"/>
    </xf>
    <xf numFmtId="0" fontId="15" fillId="0" borderId="4" xfId="0" applyFont="1" applyBorder="1" applyAlignment="1">
      <alignment horizontal="left" vertical="center" wrapText="1" readingOrder="1"/>
    </xf>
    <xf numFmtId="0" fontId="17" fillId="0" borderId="0" xfId="9" applyFont="1" applyAlignment="1">
      <alignment horizontal="left" vertical="center" wrapText="1" readingOrder="1"/>
    </xf>
    <xf numFmtId="0" fontId="20" fillId="0" borderId="7" xfId="0" applyFont="1" applyBorder="1" applyAlignment="1">
      <alignment horizontal="center" vertical="center" wrapText="1"/>
    </xf>
    <xf numFmtId="2" fontId="18" fillId="0" borderId="7" xfId="0" applyNumberFormat="1" applyFont="1" applyBorder="1" applyAlignment="1">
      <alignment vertical="center"/>
    </xf>
    <xf numFmtId="0" fontId="20" fillId="0" borderId="0" xfId="0" applyFont="1" applyAlignment="1">
      <alignment vertical="center" wrapText="1"/>
    </xf>
    <xf numFmtId="0" fontId="18" fillId="0" borderId="0" xfId="0" applyFont="1" applyAlignment="1">
      <alignment vertical="center"/>
    </xf>
    <xf numFmtId="0" fontId="18" fillId="0" borderId="0" xfId="0" applyFont="1" applyAlignment="1">
      <alignment horizontal="center" vertical="center" readingOrder="1"/>
    </xf>
    <xf numFmtId="0" fontId="15" fillId="0" borderId="8" xfId="0" applyFont="1" applyBorder="1" applyAlignment="1">
      <alignment horizontal="left" vertical="center" wrapText="1" readingOrder="1"/>
    </xf>
    <xf numFmtId="0" fontId="15" fillId="0" borderId="10" xfId="0" applyFont="1" applyBorder="1" applyAlignment="1">
      <alignment horizontal="left" vertical="center" wrapText="1" readingOrder="1"/>
    </xf>
    <xf numFmtId="0" fontId="15" fillId="0" borderId="7" xfId="0" applyFont="1" applyBorder="1" applyAlignment="1">
      <alignment horizontal="left" vertical="center" wrapText="1" readingOrder="1"/>
    </xf>
    <xf numFmtId="0" fontId="15" fillId="0" borderId="9" xfId="0" applyFont="1" applyBorder="1" applyAlignment="1">
      <alignment horizontal="left" vertical="center" wrapText="1" readingOrder="1"/>
    </xf>
    <xf numFmtId="0" fontId="10" fillId="0" borderId="7" xfId="0" applyFont="1" applyBorder="1" applyAlignment="1">
      <alignment horizontal="center" vertical="center" wrapText="1" readingOrder="1"/>
    </xf>
    <xf numFmtId="0" fontId="15" fillId="0" borderId="0" xfId="0" applyFont="1" applyAlignment="1">
      <alignment horizontal="left" vertical="center" wrapText="1" readingOrder="1"/>
    </xf>
    <xf numFmtId="0" fontId="16" fillId="0" borderId="7"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15" fillId="0" borderId="1" xfId="0" applyFont="1" applyBorder="1" applyAlignment="1">
      <alignment horizontal="left" vertical="center" wrapText="1" readingOrder="1"/>
    </xf>
    <xf numFmtId="0" fontId="15" fillId="0" borderId="3" xfId="0" applyFont="1" applyBorder="1" applyAlignment="1">
      <alignment horizontal="left" vertical="center" wrapText="1" readingOrder="1"/>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15" fillId="0" borderId="0" xfId="0" quotePrefix="1" applyFont="1" applyAlignment="1">
      <alignment horizontal="left" vertical="center" wrapText="1" readingOrder="1"/>
    </xf>
    <xf numFmtId="0" fontId="15" fillId="0" borderId="0" xfId="0" applyFont="1" applyAlignment="1">
      <alignment horizontal="justify" vertical="top" wrapText="1" readingOrder="1"/>
    </xf>
    <xf numFmtId="0" fontId="20" fillId="0" borderId="8" xfId="7" applyFont="1" applyBorder="1" applyAlignment="1">
      <alignment horizontal="center" vertical="center"/>
    </xf>
    <xf numFmtId="0" fontId="20" fillId="0" borderId="9" xfId="7" applyFont="1" applyBorder="1" applyAlignment="1">
      <alignment horizontal="center" vertical="center"/>
    </xf>
    <xf numFmtId="0" fontId="20" fillId="0" borderId="10" xfId="7" applyFont="1" applyBorder="1" applyAlignment="1">
      <alignment horizontal="center" vertical="center"/>
    </xf>
    <xf numFmtId="0" fontId="20" fillId="0" borderId="7" xfId="7" applyFont="1" applyBorder="1" applyAlignment="1">
      <alignment horizontal="center" vertical="center"/>
    </xf>
    <xf numFmtId="0" fontId="21" fillId="0" borderId="8" xfId="7" applyFont="1" applyBorder="1" applyAlignment="1">
      <alignment horizontal="left" vertical="center" wrapText="1"/>
    </xf>
    <xf numFmtId="0" fontId="21" fillId="0" borderId="9" xfId="7" applyFont="1" applyBorder="1" applyAlignment="1">
      <alignment horizontal="left" vertical="center" wrapText="1"/>
    </xf>
    <xf numFmtId="0" fontId="21" fillId="0" borderId="10" xfId="7" applyFont="1" applyBorder="1" applyAlignment="1">
      <alignment horizontal="left" vertical="center" wrapText="1"/>
    </xf>
    <xf numFmtId="0" fontId="19" fillId="0" borderId="8" xfId="0" applyFont="1" applyBorder="1" applyAlignment="1">
      <alignment horizontal="left" vertical="center" readingOrder="1"/>
    </xf>
    <xf numFmtId="0" fontId="19" fillId="0" borderId="9" xfId="0" applyFont="1" applyBorder="1" applyAlignment="1">
      <alignment horizontal="left" vertical="center" readingOrder="1"/>
    </xf>
    <xf numFmtId="0" fontId="19" fillId="0" borderId="10" xfId="0" applyFont="1" applyBorder="1" applyAlignment="1">
      <alignment horizontal="left" vertical="center" readingOrder="1"/>
    </xf>
    <xf numFmtId="0" fontId="20" fillId="0" borderId="8" xfId="7" applyFont="1" applyBorder="1" applyAlignment="1">
      <alignment horizontal="center" vertical="center" wrapText="1"/>
    </xf>
    <xf numFmtId="0" fontId="20" fillId="0" borderId="10" xfId="7" applyFont="1" applyBorder="1" applyAlignment="1">
      <alignment horizontal="center" vertical="center" wrapText="1"/>
    </xf>
    <xf numFmtId="164" fontId="21" fillId="0" borderId="8" xfId="1" applyFont="1" applyFill="1" applyBorder="1" applyAlignment="1">
      <alignment horizontal="center" vertical="center"/>
    </xf>
    <xf numFmtId="164" fontId="21" fillId="0" borderId="10" xfId="1" applyFont="1" applyFill="1" applyBorder="1" applyAlignment="1">
      <alignment horizontal="center" vertical="center"/>
    </xf>
  </cellXfs>
  <cellStyles count="11">
    <cellStyle name="Comma" xfId="1" builtinId="3"/>
    <cellStyle name="Comma 2" xfId="5" xr:uid="{51BBE616-6CF5-49E5-820A-99CDB86CFCCB}"/>
    <cellStyle name="Hyperlink 2" xfId="2" xr:uid="{0F23D2FF-4C30-4E3F-BBF9-EA4314E58D45}"/>
    <cellStyle name="Normal" xfId="0" builtinId="0"/>
    <cellStyle name="Normal 2 2" xfId="4" xr:uid="{5C4B3D0D-54C9-4B96-882D-DE866B2CB51A}"/>
    <cellStyle name="Normal 2 2 2" xfId="9" xr:uid="{15AD1B45-0D7D-4A6B-8435-8D32F4D5E36F}"/>
    <cellStyle name="Normal 2 2 3" xfId="7" xr:uid="{6036B786-5509-4436-91A7-7A1FF8EE2999}"/>
    <cellStyle name="Normal 2 3" xfId="10" xr:uid="{CFFC60CE-DA4D-4DD1-82F0-DC7724F903B4}"/>
    <cellStyle name="Normal 3" xfId="3" xr:uid="{587D692E-39A0-4127-A68C-DAC423339EDA}"/>
    <cellStyle name="Percent 2" xfId="8" xr:uid="{7E454011-F309-4716-915D-C7965F90ED22}"/>
    <cellStyle name="Percent 3" xfId="6" xr:uid="{3BD0F8B5-78E2-4C32-8D39-F813AAAD69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2" name="Picture 1">
          <a:extLst>
            <a:ext uri="{FF2B5EF4-FFF2-40B4-BE49-F238E27FC236}">
              <a16:creationId xmlns:a16="http://schemas.microsoft.com/office/drawing/2014/main" id="{302BC139-A8D3-4A12-AE65-EB5AC91CAF9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10625"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3" name="Picture 2">
          <a:extLst>
            <a:ext uri="{FF2B5EF4-FFF2-40B4-BE49-F238E27FC236}">
              <a16:creationId xmlns:a16="http://schemas.microsoft.com/office/drawing/2014/main" id="{04C986D4-3CE0-4B12-B25F-9343825E5EEB}"/>
            </a:ext>
          </a:extLst>
        </xdr:cNvPr>
        <xdr:cNvPicPr preferRelativeResize="0">
          <a:picLocks noChangeAspect="1"/>
        </xdr:cNvPicPr>
      </xdr:nvPicPr>
      <xdr:blipFill>
        <a:blip xmlns:r="http://schemas.openxmlformats.org/officeDocument/2006/relationships" r:embed="rId2"/>
        <a:stretch>
          <a:fillRect/>
        </a:stretch>
      </xdr:blipFill>
      <xdr:spPr>
        <a:xfrm>
          <a:off x="8794750" y="49530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35</xdr:row>
      <xdr:rowOff>0</xdr:rowOff>
    </xdr:to>
    <xdr:pic>
      <xdr:nvPicPr>
        <xdr:cNvPr id="4" name="Picture 3">
          <a:extLst>
            <a:ext uri="{FF2B5EF4-FFF2-40B4-BE49-F238E27FC236}">
              <a16:creationId xmlns:a16="http://schemas.microsoft.com/office/drawing/2014/main" id="{52C97852-10F2-4BE8-879D-C76E1CD93C7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39200" y="5248275"/>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219075</xdr:rowOff>
    </xdr:from>
    <xdr:to>
      <xdr:col>9</xdr:col>
      <xdr:colOff>3314700</xdr:colOff>
      <xdr:row>35</xdr:row>
      <xdr:rowOff>19050</xdr:rowOff>
    </xdr:to>
    <xdr:pic>
      <xdr:nvPicPr>
        <xdr:cNvPr id="2" name="Picture 1">
          <a:extLst>
            <a:ext uri="{FF2B5EF4-FFF2-40B4-BE49-F238E27FC236}">
              <a16:creationId xmlns:a16="http://schemas.microsoft.com/office/drawing/2014/main" id="{B6ECFB02-8D97-40E2-BC9D-46826E2949A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5457825"/>
          <a:ext cx="323850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85726</xdr:rowOff>
    </xdr:from>
    <xdr:to>
      <xdr:col>9</xdr:col>
      <xdr:colOff>3333750</xdr:colOff>
      <xdr:row>26</xdr:row>
      <xdr:rowOff>57150</xdr:rowOff>
    </xdr:to>
    <xdr:pic>
      <xdr:nvPicPr>
        <xdr:cNvPr id="3" name="Picture 2">
          <a:extLst>
            <a:ext uri="{FF2B5EF4-FFF2-40B4-BE49-F238E27FC236}">
              <a16:creationId xmlns:a16="http://schemas.microsoft.com/office/drawing/2014/main" id="{811DADAF-A5D2-4BC1-A3DC-2841D8CC1B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02891" y="3009901"/>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4" name="Picture 3">
          <a:extLst>
            <a:ext uri="{FF2B5EF4-FFF2-40B4-BE49-F238E27FC236}">
              <a16:creationId xmlns:a16="http://schemas.microsoft.com/office/drawing/2014/main" id="{5D6D636E-D6FB-4AA8-9216-2325E07909E5}"/>
            </a:ext>
          </a:extLst>
        </xdr:cNvPr>
        <xdr:cNvPicPr>
          <a:picLocks noChangeAspect="1"/>
        </xdr:cNvPicPr>
      </xdr:nvPicPr>
      <xdr:blipFill>
        <a:blip xmlns:r="http://schemas.openxmlformats.org/officeDocument/2006/relationships" r:embed="rId3"/>
        <a:stretch>
          <a:fillRect/>
        </a:stretch>
      </xdr:blipFill>
      <xdr:spPr>
        <a:xfrm>
          <a:off x="8801100" y="47625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30A7D375-170D-466A-AB5B-72C282462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9650"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10F7F346-7E89-4D62-8ACC-BEC206449C36}"/>
            </a:ext>
          </a:extLst>
        </xdr:cNvPr>
        <xdr:cNvPicPr preferRelativeResize="0">
          <a:picLocks noChangeAspect="1"/>
        </xdr:cNvPicPr>
      </xdr:nvPicPr>
      <xdr:blipFill>
        <a:blip xmlns:r="http://schemas.openxmlformats.org/officeDocument/2006/relationships" r:embed="rId2"/>
        <a:stretch>
          <a:fillRect/>
        </a:stretch>
      </xdr:blipFill>
      <xdr:spPr>
        <a:xfrm>
          <a:off x="8620124"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FBF36B9A-BB1C-4DA7-972C-7BCCC919D50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23300"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33</xdr:row>
      <xdr:rowOff>266700</xdr:rowOff>
    </xdr:to>
    <xdr:pic>
      <xdr:nvPicPr>
        <xdr:cNvPr id="2" name="Picture 1">
          <a:extLst>
            <a:ext uri="{FF2B5EF4-FFF2-40B4-BE49-F238E27FC236}">
              <a16:creationId xmlns:a16="http://schemas.microsoft.com/office/drawing/2014/main" id="{7D57E559-663C-4DF6-B7BE-CC22EAEA08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5143501"/>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14</xdr:row>
      <xdr:rowOff>66675</xdr:rowOff>
    </xdr:from>
    <xdr:to>
      <xdr:col>9</xdr:col>
      <xdr:colOff>3324225</xdr:colOff>
      <xdr:row>25</xdr:row>
      <xdr:rowOff>18538</xdr:rowOff>
    </xdr:to>
    <xdr:pic>
      <xdr:nvPicPr>
        <xdr:cNvPr id="4" name="Picture 2">
          <a:extLst>
            <a:ext uri="{FF2B5EF4-FFF2-40B4-BE49-F238E27FC236}">
              <a16:creationId xmlns:a16="http://schemas.microsoft.com/office/drawing/2014/main" id="{9C189ACD-28A6-4E6B-A8CC-73D1E4402E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0151" y="282892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28576</xdr:rowOff>
    </xdr:from>
    <xdr:to>
      <xdr:col>9</xdr:col>
      <xdr:colOff>3333751</xdr:colOff>
      <xdr:row>12</xdr:row>
      <xdr:rowOff>152401</xdr:rowOff>
    </xdr:to>
    <xdr:pic>
      <xdr:nvPicPr>
        <xdr:cNvPr id="5" name="Picture 4">
          <a:extLst>
            <a:ext uri="{FF2B5EF4-FFF2-40B4-BE49-F238E27FC236}">
              <a16:creationId xmlns:a16="http://schemas.microsoft.com/office/drawing/2014/main" id="{BBF9EAB2-4684-485A-9052-57B3545204A0}"/>
            </a:ext>
          </a:extLst>
        </xdr:cNvPr>
        <xdr:cNvPicPr>
          <a:picLocks noChangeAspect="1"/>
        </xdr:cNvPicPr>
      </xdr:nvPicPr>
      <xdr:blipFill>
        <a:blip xmlns:r="http://schemas.openxmlformats.org/officeDocument/2006/relationships" r:embed="rId3"/>
        <a:stretch>
          <a:fillRect/>
        </a:stretch>
      </xdr:blipFill>
      <xdr:spPr>
        <a:xfrm>
          <a:off x="8124826" y="409576"/>
          <a:ext cx="3276600"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37</xdr:row>
      <xdr:rowOff>114300</xdr:rowOff>
    </xdr:to>
    <xdr:pic>
      <xdr:nvPicPr>
        <xdr:cNvPr id="2" name="Picture 1">
          <a:extLst>
            <a:ext uri="{FF2B5EF4-FFF2-40B4-BE49-F238E27FC236}">
              <a16:creationId xmlns:a16="http://schemas.microsoft.com/office/drawing/2014/main" id="{6B960907-5E63-4F07-8677-8EBB839EFC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0" y="545782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767F91ED-95B2-4596-A0FC-1EAAE95863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86925" y="2924176"/>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0</xdr:rowOff>
    </xdr:to>
    <xdr:pic>
      <xdr:nvPicPr>
        <xdr:cNvPr id="4" name="Picture 3">
          <a:extLst>
            <a:ext uri="{FF2B5EF4-FFF2-40B4-BE49-F238E27FC236}">
              <a16:creationId xmlns:a16="http://schemas.microsoft.com/office/drawing/2014/main" id="{AB676CB9-BD88-4366-8835-BE9B14D788EA}"/>
            </a:ext>
          </a:extLst>
        </xdr:cNvPr>
        <xdr:cNvPicPr preferRelativeResize="0">
          <a:picLocks noChangeAspect="1"/>
        </xdr:cNvPicPr>
      </xdr:nvPicPr>
      <xdr:blipFill>
        <a:blip xmlns:r="http://schemas.openxmlformats.org/officeDocument/2006/relationships" r:embed="rId3"/>
        <a:stretch>
          <a:fillRect/>
        </a:stretch>
      </xdr:blipFill>
      <xdr:spPr>
        <a:xfrm>
          <a:off x="9667875" y="476250"/>
          <a:ext cx="32766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653009A3-6380-4746-8CC2-49F434E026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0100"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57114B90-CEFF-4CF7-A76F-EE7C35329195}"/>
            </a:ext>
          </a:extLst>
        </xdr:cNvPr>
        <xdr:cNvPicPr preferRelativeResize="0">
          <a:picLocks noChangeAspect="1"/>
        </xdr:cNvPicPr>
      </xdr:nvPicPr>
      <xdr:blipFill>
        <a:blip xmlns:r="http://schemas.openxmlformats.org/officeDocument/2006/relationships" r:embed="rId2"/>
        <a:stretch>
          <a:fillRect/>
        </a:stretch>
      </xdr:blipFill>
      <xdr:spPr>
        <a:xfrm>
          <a:off x="8410576" y="400050"/>
          <a:ext cx="3276600" cy="2032000"/>
        </a:xfrm>
        <a:prstGeom prst="rect">
          <a:avLst/>
        </a:prstGeom>
      </xdr:spPr>
    </xdr:pic>
    <xdr:clientData/>
  </xdr:twoCellAnchor>
  <xdr:twoCellAnchor editAs="oneCell">
    <xdr:from>
      <xdr:col>9</xdr:col>
      <xdr:colOff>38101</xdr:colOff>
      <xdr:row>27</xdr:row>
      <xdr:rowOff>85724</xdr:rowOff>
    </xdr:from>
    <xdr:to>
      <xdr:col>9</xdr:col>
      <xdr:colOff>3333751</xdr:colOff>
      <xdr:row>35</xdr:row>
      <xdr:rowOff>114300</xdr:rowOff>
    </xdr:to>
    <xdr:pic>
      <xdr:nvPicPr>
        <xdr:cNvPr id="4" name="Picture 2">
          <a:extLst>
            <a:ext uri="{FF2B5EF4-FFF2-40B4-BE49-F238E27FC236}">
              <a16:creationId xmlns:a16="http://schemas.microsoft.com/office/drawing/2014/main" id="{04CB6549-39F9-4EBE-8645-6B42E8E279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1051" y="5143499"/>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34</xdr:row>
      <xdr:rowOff>168274</xdr:rowOff>
    </xdr:to>
    <xdr:pic>
      <xdr:nvPicPr>
        <xdr:cNvPr id="2" name="Picture 1">
          <a:extLst>
            <a:ext uri="{FF2B5EF4-FFF2-40B4-BE49-F238E27FC236}">
              <a16:creationId xmlns:a16="http://schemas.microsoft.com/office/drawing/2014/main" id="{D1E17BE5-C3A4-4417-A433-DE03FD223A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3427" y="521017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454BA6D3-A850-4253-AA66-9B9861AE31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247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38101</xdr:rowOff>
    </xdr:from>
    <xdr:to>
      <xdr:col>9</xdr:col>
      <xdr:colOff>3333750</xdr:colOff>
      <xdr:row>13</xdr:row>
      <xdr:rowOff>1</xdr:rowOff>
    </xdr:to>
    <xdr:pic>
      <xdr:nvPicPr>
        <xdr:cNvPr id="5" name="Picture 4">
          <a:extLst>
            <a:ext uri="{FF2B5EF4-FFF2-40B4-BE49-F238E27FC236}">
              <a16:creationId xmlns:a16="http://schemas.microsoft.com/office/drawing/2014/main" id="{44FEDF29-A120-426F-833A-EFA1B5FFD269}"/>
            </a:ext>
          </a:extLst>
        </xdr:cNvPr>
        <xdr:cNvPicPr>
          <a:picLocks noChangeAspect="1"/>
        </xdr:cNvPicPr>
      </xdr:nvPicPr>
      <xdr:blipFill>
        <a:blip xmlns:r="http://schemas.openxmlformats.org/officeDocument/2006/relationships" r:embed="rId3"/>
        <a:stretch>
          <a:fillRect/>
        </a:stretch>
      </xdr:blipFill>
      <xdr:spPr>
        <a:xfrm>
          <a:off x="7639050" y="419101"/>
          <a:ext cx="3276600"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E010E1AC-2345-4524-8055-4F652AB39C81}"/>
            </a:ext>
          </a:extLst>
        </xdr:cNvPr>
        <xdr:cNvPicPr>
          <a:picLocks noChangeAspect="1"/>
        </xdr:cNvPicPr>
      </xdr:nvPicPr>
      <xdr:blipFill>
        <a:blip xmlns:r="http://schemas.openxmlformats.org/officeDocument/2006/relationships" r:embed="rId1"/>
        <a:stretch>
          <a:fillRect/>
        </a:stretch>
      </xdr:blipFill>
      <xdr:spPr>
        <a:xfrm>
          <a:off x="8582026"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7F44AFD7-D337-42C0-A856-C6C29AE029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0107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1FDA54BC-2C9E-4225-A2FA-F57BFDBC71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10602"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15</xdr:row>
      <xdr:rowOff>114300</xdr:rowOff>
    </xdr:from>
    <xdr:to>
      <xdr:col>9</xdr:col>
      <xdr:colOff>3314701</xdr:colOff>
      <xdr:row>22</xdr:row>
      <xdr:rowOff>103214</xdr:rowOff>
    </xdr:to>
    <xdr:pic>
      <xdr:nvPicPr>
        <xdr:cNvPr id="2" name="Picture 1">
          <a:extLst>
            <a:ext uri="{FF2B5EF4-FFF2-40B4-BE49-F238E27FC236}">
              <a16:creationId xmlns:a16="http://schemas.microsoft.com/office/drawing/2014/main" id="{D142FDBE-38FB-40F8-86DD-ACDA399840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3038475"/>
          <a:ext cx="3267076"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13</xdr:row>
      <xdr:rowOff>57151</xdr:rowOff>
    </xdr:to>
    <xdr:pic>
      <xdr:nvPicPr>
        <xdr:cNvPr id="3" name="Picture 2">
          <a:extLst>
            <a:ext uri="{FF2B5EF4-FFF2-40B4-BE49-F238E27FC236}">
              <a16:creationId xmlns:a16="http://schemas.microsoft.com/office/drawing/2014/main" id="{5F71A60E-D108-49B2-8402-231BB57EA9B8}"/>
            </a:ext>
          </a:extLst>
        </xdr:cNvPr>
        <xdr:cNvPicPr>
          <a:picLocks/>
        </xdr:cNvPicPr>
      </xdr:nvPicPr>
      <xdr:blipFill>
        <a:blip xmlns:r="http://schemas.openxmlformats.org/officeDocument/2006/relationships" r:embed="rId2"/>
        <a:stretch>
          <a:fillRect/>
        </a:stretch>
      </xdr:blipFill>
      <xdr:spPr>
        <a:xfrm>
          <a:off x="8763000"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49059552-4CB0-492D-BED8-EF55DFEA2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4426"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1B57801E-1740-4A9E-BA4F-291EEBB90D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96324"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97D68F28-5F64-41D2-BD1F-E7052D165266}"/>
            </a:ext>
          </a:extLst>
        </xdr:cNvPr>
        <xdr:cNvPicPr>
          <a:picLocks noChangeAspect="1"/>
        </xdr:cNvPicPr>
      </xdr:nvPicPr>
      <xdr:blipFill>
        <a:blip xmlns:r="http://schemas.openxmlformats.org/officeDocument/2006/relationships" r:embed="rId2"/>
        <a:stretch>
          <a:fillRect/>
        </a:stretch>
      </xdr:blipFill>
      <xdr:spPr>
        <a:xfrm>
          <a:off x="8696325" y="42862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6FEA-4E49-4411-AC8C-A9D3D607CDEA}">
  <dimension ref="A1:C11"/>
  <sheetViews>
    <sheetView workbookViewId="0">
      <selection activeCell="C15" sqref="C15"/>
    </sheetView>
  </sheetViews>
  <sheetFormatPr defaultColWidth="8.85546875" defaultRowHeight="15" x14ac:dyDescent="0.25"/>
  <cols>
    <col min="1" max="1" width="6.140625" style="21" bestFit="1" customWidth="1"/>
    <col min="2" max="2" width="10.85546875" style="21" bestFit="1" customWidth="1"/>
    <col min="3" max="3" width="35" style="21" bestFit="1" customWidth="1"/>
    <col min="4" max="16384" width="8.85546875" style="21"/>
  </cols>
  <sheetData>
    <row r="1" spans="1:3" x14ac:dyDescent="0.25">
      <c r="A1" s="19" t="s">
        <v>479</v>
      </c>
      <c r="B1" s="20" t="s">
        <v>480</v>
      </c>
      <c r="C1" s="20" t="s">
        <v>481</v>
      </c>
    </row>
    <row r="2" spans="1:3" x14ac:dyDescent="0.25">
      <c r="A2" s="22">
        <v>1</v>
      </c>
      <c r="B2" s="23" t="s">
        <v>482</v>
      </c>
      <c r="C2" s="24" t="s">
        <v>1</v>
      </c>
    </row>
    <row r="3" spans="1:3" x14ac:dyDescent="0.25">
      <c r="A3" s="22">
        <v>2</v>
      </c>
      <c r="B3" s="23" t="s">
        <v>483</v>
      </c>
      <c r="C3" s="24" t="s">
        <v>97</v>
      </c>
    </row>
    <row r="4" spans="1:3" x14ac:dyDescent="0.25">
      <c r="A4" s="22">
        <v>3</v>
      </c>
      <c r="B4" s="23" t="s">
        <v>484</v>
      </c>
      <c r="C4" s="24" t="s">
        <v>117</v>
      </c>
    </row>
    <row r="5" spans="1:3" x14ac:dyDescent="0.25">
      <c r="A5" s="22">
        <v>4</v>
      </c>
      <c r="B5" s="23" t="s">
        <v>485</v>
      </c>
      <c r="C5" s="24" t="s">
        <v>161</v>
      </c>
    </row>
    <row r="6" spans="1:3" x14ac:dyDescent="0.25">
      <c r="A6" s="22">
        <v>5</v>
      </c>
      <c r="B6" s="23" t="s">
        <v>486</v>
      </c>
      <c r="C6" s="24" t="s">
        <v>195</v>
      </c>
    </row>
    <row r="7" spans="1:3" x14ac:dyDescent="0.25">
      <c r="A7" s="22">
        <v>6</v>
      </c>
      <c r="B7" s="23" t="s">
        <v>487</v>
      </c>
      <c r="C7" s="24" t="s">
        <v>298</v>
      </c>
    </row>
    <row r="8" spans="1:3" x14ac:dyDescent="0.25">
      <c r="A8" s="22">
        <v>7</v>
      </c>
      <c r="B8" s="23" t="s">
        <v>488</v>
      </c>
      <c r="C8" s="24" t="s">
        <v>306</v>
      </c>
    </row>
    <row r="9" spans="1:3" x14ac:dyDescent="0.25">
      <c r="A9" s="22">
        <v>8</v>
      </c>
      <c r="B9" s="23" t="s">
        <v>489</v>
      </c>
      <c r="C9" s="24" t="s">
        <v>345</v>
      </c>
    </row>
    <row r="10" spans="1:3" x14ac:dyDescent="0.25">
      <c r="A10" s="22">
        <v>9</v>
      </c>
      <c r="B10" s="23" t="s">
        <v>490</v>
      </c>
      <c r="C10" s="24" t="s">
        <v>349</v>
      </c>
    </row>
    <row r="11" spans="1:3" x14ac:dyDescent="0.25">
      <c r="A11" s="22">
        <v>10</v>
      </c>
      <c r="B11" s="23" t="s">
        <v>491</v>
      </c>
      <c r="C11" s="24" t="s">
        <v>389</v>
      </c>
    </row>
  </sheetData>
  <hyperlinks>
    <hyperlink ref="B3" location="SFRSTP!A1" display="SFRSTP" xr:uid="{D2D37EDA-D593-4133-B68A-A38841CF89B3}"/>
    <hyperlink ref="B4" location="SMMF!A1" display="SMMF" xr:uid="{8D4A19C5-F7AD-4E67-A5F4-85A0A0C3AE80}"/>
    <hyperlink ref="B5" location="SPLDF!A1" display="SPLDF" xr:uid="{869C256C-484A-4461-9D31-BDE825418A04}"/>
    <hyperlink ref="B6" location="SPMON!A1" display="SPMON" xr:uid="{7C85E210-B883-44CA-BDA5-5B8FB09640A0}"/>
    <hyperlink ref="B7" location="SPSDF!A1" display="SPSDF" xr:uid="{1F5935D3-7D1C-473E-B937-BC3EFAF3FF50}"/>
    <hyperlink ref="B8" location="SPUSDF!A1" display="SPUSDF" xr:uid="{1D07BC37-2BE3-4D32-9D23-903C739089C9}"/>
    <hyperlink ref="B9" location="SUNBDS!A1" display="SUNBDS" xr:uid="{4885B75B-C617-473F-8C50-2C2FDAD41598}"/>
    <hyperlink ref="B10" location="SUNMIA!A1" display="SUNMIA" xr:uid="{AE3088FA-0D2A-4F13-AA61-366515841CCD}"/>
    <hyperlink ref="B11" location="SUNONF!A1" display="SUNONF" xr:uid="{F7815FBF-B4FC-4495-B4CF-F12D130462C1}"/>
    <hyperlink ref="B2" location="SFRLTP!A1" display="SFRLTP" xr:uid="{320A4819-1C7B-4B1E-8336-8B8BF06BFD5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E173B-DB0E-40F9-A07D-4B0D2A8C52D7}">
  <sheetPr>
    <outlinePr summaryBelow="0" summaryRight="0"/>
  </sheetPr>
  <dimension ref="A1:R136"/>
  <sheetViews>
    <sheetView showGridLines="0" workbookViewId="0">
      <selection activeCell="A36" sqref="A1:H1048576"/>
    </sheetView>
  </sheetViews>
  <sheetFormatPr defaultColWidth="7" defaultRowHeight="12.75" x14ac:dyDescent="0.2"/>
  <cols>
    <col min="1" max="1" width="5.85546875" bestFit="1" customWidth="1"/>
    <col min="2" max="2" width="18.42578125" bestFit="1" customWidth="1"/>
    <col min="3" max="3" width="39.140625" bestFit="1" customWidth="1"/>
    <col min="4" max="4" width="10.7109375" bestFit="1" customWidth="1"/>
    <col min="5" max="5" width="9.42578125" bestFit="1" customWidth="1"/>
    <col min="6" max="6" width="10.140625" bestFit="1" customWidth="1"/>
    <col min="7" max="7" width="8.5703125" bestFit="1" customWidth="1"/>
    <col min="8" max="8" width="5.42578125" bestFit="1" customWidth="1"/>
    <col min="9" max="9" width="6" bestFit="1" customWidth="1"/>
    <col min="10" max="10" width="50.7109375" style="2" customWidth="1"/>
  </cols>
  <sheetData>
    <row r="1" spans="1:10" ht="15" x14ac:dyDescent="0.2">
      <c r="A1" s="109" t="s">
        <v>0</v>
      </c>
      <c r="B1" s="109"/>
      <c r="C1" s="109"/>
      <c r="D1" s="109"/>
      <c r="E1" s="109"/>
      <c r="F1" s="109"/>
      <c r="G1" s="109"/>
      <c r="H1" s="109"/>
      <c r="I1" s="1" t="s">
        <v>459</v>
      </c>
    </row>
    <row r="2" spans="1:10" ht="15" x14ac:dyDescent="0.2">
      <c r="A2" s="109" t="s">
        <v>1</v>
      </c>
      <c r="B2" s="109"/>
      <c r="C2" s="109"/>
      <c r="D2" s="109"/>
      <c r="E2" s="109"/>
      <c r="F2" s="109"/>
      <c r="G2" s="109"/>
      <c r="H2" s="109"/>
      <c r="J2" s="3" t="s">
        <v>460</v>
      </c>
    </row>
    <row r="3" spans="1:10" ht="15" x14ac:dyDescent="0.2">
      <c r="A3" s="109" t="s">
        <v>494</v>
      </c>
      <c r="B3" s="109"/>
      <c r="C3" s="109"/>
      <c r="D3" s="109"/>
      <c r="E3" s="109"/>
      <c r="F3" s="109"/>
      <c r="G3" s="109"/>
      <c r="H3" s="109"/>
    </row>
    <row r="4" spans="1:10" s="4" customFormat="1" ht="30" x14ac:dyDescent="0.2">
      <c r="A4" s="26" t="s">
        <v>2</v>
      </c>
      <c r="B4" s="26" t="s">
        <v>3</v>
      </c>
      <c r="C4" s="26" t="s">
        <v>4</v>
      </c>
      <c r="D4" s="26" t="s">
        <v>5</v>
      </c>
      <c r="E4" s="26" t="s">
        <v>6</v>
      </c>
      <c r="F4" s="26" t="s">
        <v>7</v>
      </c>
      <c r="G4" s="26" t="s">
        <v>8</v>
      </c>
      <c r="H4" s="27" t="s">
        <v>404</v>
      </c>
      <c r="J4" s="2"/>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8"/>
    </row>
    <row r="13" spans="1:10" x14ac:dyDescent="0.2">
      <c r="A13" s="28"/>
      <c r="B13" s="28"/>
      <c r="C13" s="29" t="s">
        <v>11</v>
      </c>
      <c r="D13" s="28"/>
      <c r="E13" s="28" t="s">
        <v>12</v>
      </c>
      <c r="F13" s="31" t="s">
        <v>13</v>
      </c>
      <c r="G13" s="32">
        <v>0</v>
      </c>
      <c r="H13" s="30" t="s">
        <v>12</v>
      </c>
      <c r="J13" s="17"/>
    </row>
    <row r="14" spans="1:10" x14ac:dyDescent="0.2">
      <c r="A14" s="28"/>
      <c r="B14" s="28"/>
      <c r="C14" s="33"/>
      <c r="D14" s="28"/>
      <c r="E14" s="28"/>
      <c r="F14" s="34"/>
      <c r="G14" s="34"/>
      <c r="H14" s="30" t="s">
        <v>12</v>
      </c>
    </row>
    <row r="15" spans="1:10" ht="25.5" x14ac:dyDescent="0.2">
      <c r="A15" s="28"/>
      <c r="B15" s="28"/>
      <c r="C15" s="29" t="s">
        <v>16</v>
      </c>
      <c r="D15" s="28"/>
      <c r="E15" s="28"/>
      <c r="F15" s="28"/>
      <c r="G15" s="28"/>
      <c r="H15" s="30" t="s">
        <v>12</v>
      </c>
      <c r="J15" s="17" t="s">
        <v>461</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8"/>
    </row>
    <row r="23" spans="1:10" x14ac:dyDescent="0.2">
      <c r="A23" s="28"/>
      <c r="B23" s="28"/>
      <c r="C23" s="33"/>
      <c r="D23" s="28"/>
      <c r="E23" s="28"/>
      <c r="F23" s="34"/>
      <c r="G23" s="34"/>
      <c r="H23" s="30" t="s">
        <v>12</v>
      </c>
      <c r="J23" s="17"/>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row>
    <row r="28" spans="1:10" ht="25.5" x14ac:dyDescent="0.2">
      <c r="A28" s="36">
        <v>1</v>
      </c>
      <c r="B28" s="37" t="s">
        <v>21</v>
      </c>
      <c r="C28" s="37" t="s">
        <v>495</v>
      </c>
      <c r="D28" s="37" t="s">
        <v>22</v>
      </c>
      <c r="E28" s="38">
        <v>6500</v>
      </c>
      <c r="F28" s="39">
        <v>6461.4094999999998</v>
      </c>
      <c r="G28" s="40">
        <v>9.1423219999999999E-2</v>
      </c>
      <c r="H28" s="30">
        <v>7.53</v>
      </c>
      <c r="J28" s="17" t="s">
        <v>462</v>
      </c>
    </row>
    <row r="29" spans="1:10" ht="25.5" x14ac:dyDescent="0.2">
      <c r="A29" s="36">
        <v>2</v>
      </c>
      <c r="B29" s="37" t="s">
        <v>23</v>
      </c>
      <c r="C29" s="37" t="s">
        <v>24</v>
      </c>
      <c r="D29" s="37" t="s">
        <v>22</v>
      </c>
      <c r="E29" s="38">
        <v>6000</v>
      </c>
      <c r="F29" s="39">
        <v>5966.34</v>
      </c>
      <c r="G29" s="40">
        <v>8.4418430000000003E-2</v>
      </c>
      <c r="H29" s="30">
        <v>7.71</v>
      </c>
    </row>
    <row r="30" spans="1:10" x14ac:dyDescent="0.2">
      <c r="A30" s="36">
        <v>3</v>
      </c>
      <c r="B30" s="37" t="s">
        <v>25</v>
      </c>
      <c r="C30" s="37" t="s">
        <v>496</v>
      </c>
      <c r="D30" s="37" t="s">
        <v>22</v>
      </c>
      <c r="E30" s="38">
        <v>4000</v>
      </c>
      <c r="F30" s="39">
        <v>3987.7280000000001</v>
      </c>
      <c r="G30" s="40">
        <v>5.6422819999999999E-2</v>
      </c>
      <c r="H30" s="30">
        <v>7.57</v>
      </c>
    </row>
    <row r="31" spans="1:10" x14ac:dyDescent="0.2">
      <c r="A31" s="36">
        <v>4</v>
      </c>
      <c r="B31" s="37" t="s">
        <v>26</v>
      </c>
      <c r="C31" s="37" t="s">
        <v>497</v>
      </c>
      <c r="D31" s="37" t="s">
        <v>22</v>
      </c>
      <c r="E31" s="38">
        <v>300</v>
      </c>
      <c r="F31" s="39">
        <v>2984.3789999999999</v>
      </c>
      <c r="G31" s="40">
        <v>4.2226319999999998E-2</v>
      </c>
      <c r="H31" s="30">
        <v>7.85</v>
      </c>
    </row>
    <row r="32" spans="1:10" ht="25.5" x14ac:dyDescent="0.2">
      <c r="A32" s="36">
        <v>5</v>
      </c>
      <c r="B32" s="37" t="s">
        <v>27</v>
      </c>
      <c r="C32" s="98" t="s">
        <v>506</v>
      </c>
      <c r="D32" s="37" t="s">
        <v>28</v>
      </c>
      <c r="E32" s="38">
        <v>2500</v>
      </c>
      <c r="F32" s="39">
        <v>2504.3625000000002</v>
      </c>
      <c r="G32" s="40">
        <v>3.5434510000000002E-2</v>
      </c>
      <c r="H32" s="30">
        <v>7.61</v>
      </c>
    </row>
    <row r="33" spans="1:8" ht="25.5" x14ac:dyDescent="0.2">
      <c r="A33" s="36">
        <v>6</v>
      </c>
      <c r="B33" s="37" t="s">
        <v>29</v>
      </c>
      <c r="C33" s="98" t="s">
        <v>505</v>
      </c>
      <c r="D33" s="37" t="s">
        <v>22</v>
      </c>
      <c r="E33" s="38">
        <v>2500</v>
      </c>
      <c r="F33" s="39">
        <v>2499.94</v>
      </c>
      <c r="G33" s="40">
        <v>3.5371939999999998E-2</v>
      </c>
      <c r="H33" s="30">
        <v>7.61</v>
      </c>
    </row>
    <row r="34" spans="1:8" ht="25.5" x14ac:dyDescent="0.2">
      <c r="A34" s="36">
        <v>7</v>
      </c>
      <c r="B34" s="37" t="s">
        <v>30</v>
      </c>
      <c r="C34" s="98" t="s">
        <v>504</v>
      </c>
      <c r="D34" s="37" t="s">
        <v>22</v>
      </c>
      <c r="E34" s="38">
        <v>2500</v>
      </c>
      <c r="F34" s="39">
        <v>2498.0475000000001</v>
      </c>
      <c r="G34" s="40">
        <v>3.534516E-2</v>
      </c>
      <c r="H34" s="30">
        <v>7.69</v>
      </c>
    </row>
    <row r="35" spans="1:8" x14ac:dyDescent="0.2">
      <c r="A35" s="36">
        <v>8</v>
      </c>
      <c r="B35" s="37" t="s">
        <v>31</v>
      </c>
      <c r="C35" s="98" t="s">
        <v>503</v>
      </c>
      <c r="D35" s="37" t="s">
        <v>22</v>
      </c>
      <c r="E35" s="38">
        <v>2500</v>
      </c>
      <c r="F35" s="39">
        <v>2492.08</v>
      </c>
      <c r="G35" s="40">
        <v>3.5260729999999997E-2</v>
      </c>
      <c r="H35" s="30">
        <v>7.65</v>
      </c>
    </row>
    <row r="36" spans="1:8" x14ac:dyDescent="0.2">
      <c r="A36" s="36">
        <v>9</v>
      </c>
      <c r="B36" s="37" t="s">
        <v>32</v>
      </c>
      <c r="C36" s="98" t="s">
        <v>502</v>
      </c>
      <c r="D36" s="37" t="s">
        <v>22</v>
      </c>
      <c r="E36" s="38">
        <v>2500</v>
      </c>
      <c r="F36" s="39">
        <v>2488.9575</v>
      </c>
      <c r="G36" s="40">
        <v>3.5216549999999999E-2</v>
      </c>
      <c r="H36" s="30">
        <v>7.59</v>
      </c>
    </row>
    <row r="37" spans="1:8" x14ac:dyDescent="0.2">
      <c r="A37" s="36">
        <v>10</v>
      </c>
      <c r="B37" s="37" t="s">
        <v>33</v>
      </c>
      <c r="C37" s="98" t="s">
        <v>501</v>
      </c>
      <c r="D37" s="37" t="s">
        <v>22</v>
      </c>
      <c r="E37" s="38">
        <v>2500</v>
      </c>
      <c r="F37" s="39">
        <v>2484.1325000000002</v>
      </c>
      <c r="G37" s="40">
        <v>3.5148279999999997E-2</v>
      </c>
      <c r="H37" s="30">
        <v>7.57</v>
      </c>
    </row>
    <row r="38" spans="1:8" ht="25.5" x14ac:dyDescent="0.2">
      <c r="A38" s="36">
        <v>11</v>
      </c>
      <c r="B38" s="37" t="s">
        <v>34</v>
      </c>
      <c r="C38" s="98" t="s">
        <v>500</v>
      </c>
      <c r="D38" s="37" t="s">
        <v>22</v>
      </c>
      <c r="E38" s="38">
        <v>250</v>
      </c>
      <c r="F38" s="39">
        <v>2476.4450000000002</v>
      </c>
      <c r="G38" s="40">
        <v>3.5039500000000001E-2</v>
      </c>
      <c r="H38" s="30">
        <v>7.6550000000000002</v>
      </c>
    </row>
    <row r="39" spans="1:8" ht="25.5" x14ac:dyDescent="0.2">
      <c r="A39" s="36">
        <v>12</v>
      </c>
      <c r="B39" s="37" t="s">
        <v>35</v>
      </c>
      <c r="C39" s="98" t="s">
        <v>499</v>
      </c>
      <c r="D39" s="37" t="s">
        <v>22</v>
      </c>
      <c r="E39" s="38">
        <v>2000</v>
      </c>
      <c r="F39" s="39">
        <v>2006.1079999999999</v>
      </c>
      <c r="G39" s="40">
        <v>2.8384650000000001E-2</v>
      </c>
      <c r="H39" s="30">
        <v>7.51</v>
      </c>
    </row>
    <row r="40" spans="1:8" ht="25.5" x14ac:dyDescent="0.2">
      <c r="A40" s="36">
        <v>13</v>
      </c>
      <c r="B40" s="37" t="s">
        <v>36</v>
      </c>
      <c r="C40" s="98" t="s">
        <v>498</v>
      </c>
      <c r="D40" s="37" t="s">
        <v>28</v>
      </c>
      <c r="E40" s="38">
        <v>200</v>
      </c>
      <c r="F40" s="39">
        <v>2000.498</v>
      </c>
      <c r="G40" s="40">
        <v>2.8305279999999999E-2</v>
      </c>
      <c r="H40" s="30">
        <v>7.41</v>
      </c>
    </row>
    <row r="41" spans="1:8" x14ac:dyDescent="0.2">
      <c r="A41" s="36">
        <v>14</v>
      </c>
      <c r="B41" s="37" t="s">
        <v>37</v>
      </c>
      <c r="C41" s="98" t="s">
        <v>509</v>
      </c>
      <c r="D41" s="37" t="s">
        <v>22</v>
      </c>
      <c r="E41" s="38">
        <v>2000</v>
      </c>
      <c r="F41" s="39">
        <v>1989.288</v>
      </c>
      <c r="G41" s="40">
        <v>2.814666E-2</v>
      </c>
      <c r="H41" s="30">
        <v>7.96</v>
      </c>
    </row>
    <row r="42" spans="1:8" ht="25.5" x14ac:dyDescent="0.2">
      <c r="A42" s="36">
        <v>15</v>
      </c>
      <c r="B42" s="37" t="s">
        <v>38</v>
      </c>
      <c r="C42" s="98" t="s">
        <v>508</v>
      </c>
      <c r="D42" s="37" t="s">
        <v>22</v>
      </c>
      <c r="E42" s="38">
        <v>1500</v>
      </c>
      <c r="F42" s="39">
        <v>1511.9324999999999</v>
      </c>
      <c r="G42" s="40">
        <v>2.139251E-2</v>
      </c>
      <c r="H42" s="30">
        <v>7.665</v>
      </c>
    </row>
    <row r="43" spans="1:8" x14ac:dyDescent="0.2">
      <c r="A43" s="36">
        <v>16</v>
      </c>
      <c r="B43" s="37" t="s">
        <v>39</v>
      </c>
      <c r="C43" s="98" t="s">
        <v>507</v>
      </c>
      <c r="D43" s="37" t="s">
        <v>22</v>
      </c>
      <c r="E43" s="38">
        <v>1500</v>
      </c>
      <c r="F43" s="39">
        <v>1503.1635000000001</v>
      </c>
      <c r="G43" s="40">
        <v>2.1268430000000001E-2</v>
      </c>
      <c r="H43" s="30">
        <v>7.6449999999999996</v>
      </c>
    </row>
    <row r="44" spans="1:8" ht="25.5" x14ac:dyDescent="0.2">
      <c r="A44" s="36">
        <v>17</v>
      </c>
      <c r="B44" s="37" t="s">
        <v>40</v>
      </c>
      <c r="C44" s="37" t="s">
        <v>41</v>
      </c>
      <c r="D44" s="37" t="s">
        <v>22</v>
      </c>
      <c r="E44" s="38">
        <v>1500</v>
      </c>
      <c r="F44" s="39">
        <v>1496.6279999999999</v>
      </c>
      <c r="G44" s="40">
        <v>2.1175960000000001E-2</v>
      </c>
      <c r="H44" s="30">
        <v>7.6970999999999998</v>
      </c>
    </row>
    <row r="45" spans="1:8" ht="25.5" x14ac:dyDescent="0.2">
      <c r="A45" s="36">
        <v>18</v>
      </c>
      <c r="B45" s="37" t="s">
        <v>42</v>
      </c>
      <c r="C45" s="98" t="s">
        <v>510</v>
      </c>
      <c r="D45" s="37" t="s">
        <v>22</v>
      </c>
      <c r="E45" s="38">
        <v>1500</v>
      </c>
      <c r="F45" s="39">
        <v>1495.6994999999999</v>
      </c>
      <c r="G45" s="40">
        <v>2.1162819999999999E-2</v>
      </c>
      <c r="H45" s="30">
        <v>7.7092999999999998</v>
      </c>
    </row>
    <row r="46" spans="1:8" x14ac:dyDescent="0.2">
      <c r="A46" s="36">
        <v>19</v>
      </c>
      <c r="B46" s="37" t="s">
        <v>43</v>
      </c>
      <c r="C46" s="37" t="s">
        <v>44</v>
      </c>
      <c r="D46" s="37" t="s">
        <v>22</v>
      </c>
      <c r="E46" s="38">
        <v>100</v>
      </c>
      <c r="F46" s="39">
        <v>1002.2430000000001</v>
      </c>
      <c r="G46" s="40">
        <v>1.418085E-2</v>
      </c>
      <c r="H46" s="30">
        <v>7.85</v>
      </c>
    </row>
    <row r="47" spans="1:8" ht="25.5" x14ac:dyDescent="0.2">
      <c r="A47" s="36">
        <v>20</v>
      </c>
      <c r="B47" s="37" t="s">
        <v>45</v>
      </c>
      <c r="C47" s="98" t="s">
        <v>511</v>
      </c>
      <c r="D47" s="37" t="s">
        <v>22</v>
      </c>
      <c r="E47" s="38">
        <v>1000</v>
      </c>
      <c r="F47" s="39">
        <v>998.64400000000001</v>
      </c>
      <c r="G47" s="40">
        <v>1.4129930000000001E-2</v>
      </c>
      <c r="H47" s="30">
        <v>8.17</v>
      </c>
    </row>
    <row r="48" spans="1:8" x14ac:dyDescent="0.2">
      <c r="A48" s="28"/>
      <c r="B48" s="28"/>
      <c r="C48" s="29" t="s">
        <v>11</v>
      </c>
      <c r="D48" s="28"/>
      <c r="E48" s="28" t="s">
        <v>12</v>
      </c>
      <c r="F48" s="35">
        <v>50848.025999999998</v>
      </c>
      <c r="G48" s="32">
        <v>0.71945455000000003</v>
      </c>
      <c r="H48" s="30" t="s">
        <v>12</v>
      </c>
    </row>
    <row r="49" spans="1:8" x14ac:dyDescent="0.2">
      <c r="A49" s="28"/>
      <c r="B49" s="28"/>
      <c r="C49" s="33"/>
      <c r="D49" s="28"/>
      <c r="E49" s="28"/>
      <c r="F49" s="34"/>
      <c r="G49" s="34"/>
      <c r="H49" s="30" t="s">
        <v>12</v>
      </c>
    </row>
    <row r="50" spans="1:8" x14ac:dyDescent="0.2">
      <c r="A50" s="28"/>
      <c r="B50" s="28"/>
      <c r="C50" s="29" t="s">
        <v>46</v>
      </c>
      <c r="D50" s="28"/>
      <c r="E50" s="28"/>
      <c r="F50" s="28"/>
      <c r="G50" s="28"/>
      <c r="H50" s="30" t="s">
        <v>12</v>
      </c>
    </row>
    <row r="51" spans="1:8" x14ac:dyDescent="0.2">
      <c r="A51" s="28"/>
      <c r="B51" s="28"/>
      <c r="C51" s="29" t="s">
        <v>11</v>
      </c>
      <c r="D51" s="28"/>
      <c r="E51" s="28" t="s">
        <v>12</v>
      </c>
      <c r="F51" s="31" t="s">
        <v>13</v>
      </c>
      <c r="G51" s="32">
        <v>0</v>
      </c>
      <c r="H51" s="30" t="s">
        <v>12</v>
      </c>
    </row>
    <row r="52" spans="1:8" x14ac:dyDescent="0.2">
      <c r="A52" s="28"/>
      <c r="B52" s="28"/>
      <c r="C52" s="33"/>
      <c r="D52" s="28"/>
      <c r="E52" s="28"/>
      <c r="F52" s="34"/>
      <c r="G52" s="34"/>
      <c r="H52" s="30" t="s">
        <v>12</v>
      </c>
    </row>
    <row r="53" spans="1:8" x14ac:dyDescent="0.2">
      <c r="A53" s="28"/>
      <c r="B53" s="28"/>
      <c r="C53" s="29" t="s">
        <v>47</v>
      </c>
      <c r="D53" s="28"/>
      <c r="E53" s="28"/>
      <c r="F53" s="28"/>
      <c r="G53" s="28"/>
      <c r="H53" s="30" t="s">
        <v>12</v>
      </c>
    </row>
    <row r="54" spans="1:8" x14ac:dyDescent="0.2">
      <c r="A54" s="36">
        <v>1</v>
      </c>
      <c r="B54" s="37" t="s">
        <v>48</v>
      </c>
      <c r="C54" s="37" t="s">
        <v>49</v>
      </c>
      <c r="D54" s="37" t="s">
        <v>50</v>
      </c>
      <c r="E54" s="38">
        <v>11500000</v>
      </c>
      <c r="F54" s="39">
        <v>11618.45</v>
      </c>
      <c r="G54" s="40">
        <v>0.16439077999999999</v>
      </c>
      <c r="H54" s="30">
        <v>7.1467000000000001</v>
      </c>
    </row>
    <row r="55" spans="1:8" x14ac:dyDescent="0.2">
      <c r="A55" s="36">
        <v>2</v>
      </c>
      <c r="B55" s="37" t="s">
        <v>51</v>
      </c>
      <c r="C55" s="37" t="s">
        <v>52</v>
      </c>
      <c r="D55" s="37" t="s">
        <v>50</v>
      </c>
      <c r="E55" s="38">
        <v>3000000</v>
      </c>
      <c r="F55" s="39">
        <v>3049.308</v>
      </c>
      <c r="G55" s="40">
        <v>4.3145009999999998E-2</v>
      </c>
      <c r="H55" s="30">
        <v>7.1134000000000004</v>
      </c>
    </row>
    <row r="56" spans="1:8" ht="25.5" x14ac:dyDescent="0.2">
      <c r="A56" s="36">
        <v>3</v>
      </c>
      <c r="B56" s="37" t="s">
        <v>53</v>
      </c>
      <c r="C56" s="37" t="s">
        <v>54</v>
      </c>
      <c r="D56" s="37" t="s">
        <v>50</v>
      </c>
      <c r="E56" s="38">
        <v>2500000</v>
      </c>
      <c r="F56" s="39">
        <v>2509.5</v>
      </c>
      <c r="G56" s="40">
        <v>3.5507200000000003E-2</v>
      </c>
      <c r="H56" s="30">
        <v>7.0583999999999998</v>
      </c>
    </row>
    <row r="57" spans="1:8" ht="25.5" x14ac:dyDescent="0.2">
      <c r="A57" s="36">
        <v>4</v>
      </c>
      <c r="B57" s="37" t="s">
        <v>55</v>
      </c>
      <c r="C57" s="37" t="s">
        <v>56</v>
      </c>
      <c r="D57" s="37" t="s">
        <v>50</v>
      </c>
      <c r="E57" s="38">
        <v>200000</v>
      </c>
      <c r="F57" s="39">
        <v>201.6456</v>
      </c>
      <c r="G57" s="40">
        <v>2.8531099999999998E-3</v>
      </c>
      <c r="H57" s="30">
        <v>7.1017000000000001</v>
      </c>
    </row>
    <row r="58" spans="1:8" x14ac:dyDescent="0.2">
      <c r="A58" s="28"/>
      <c r="B58" s="28"/>
      <c r="C58" s="29" t="s">
        <v>11</v>
      </c>
      <c r="D58" s="28"/>
      <c r="E58" s="28" t="s">
        <v>12</v>
      </c>
      <c r="F58" s="35">
        <v>17378.903600000001</v>
      </c>
      <c r="G58" s="32">
        <v>0.24589610000000001</v>
      </c>
      <c r="H58" s="30" t="s">
        <v>12</v>
      </c>
    </row>
    <row r="59" spans="1:8" x14ac:dyDescent="0.2">
      <c r="A59" s="28"/>
      <c r="B59" s="28"/>
      <c r="C59" s="33"/>
      <c r="D59" s="28"/>
      <c r="E59" s="28"/>
      <c r="F59" s="34"/>
      <c r="G59" s="34"/>
      <c r="H59" s="30" t="s">
        <v>12</v>
      </c>
    </row>
    <row r="60" spans="1:8" x14ac:dyDescent="0.2">
      <c r="A60" s="28"/>
      <c r="B60" s="28"/>
      <c r="C60" s="29" t="s">
        <v>57</v>
      </c>
      <c r="D60" s="28"/>
      <c r="E60" s="28"/>
      <c r="F60" s="34"/>
      <c r="G60" s="34"/>
      <c r="H60" s="30" t="s">
        <v>12</v>
      </c>
    </row>
    <row r="61" spans="1:8" x14ac:dyDescent="0.2">
      <c r="A61" s="28"/>
      <c r="B61" s="28"/>
      <c r="C61" s="29" t="s">
        <v>11</v>
      </c>
      <c r="D61" s="28"/>
      <c r="E61" s="28" t="s">
        <v>12</v>
      </c>
      <c r="F61" s="31" t="s">
        <v>13</v>
      </c>
      <c r="G61" s="32">
        <v>0</v>
      </c>
      <c r="H61" s="30" t="s">
        <v>12</v>
      </c>
    </row>
    <row r="62" spans="1:8" x14ac:dyDescent="0.2">
      <c r="A62" s="28"/>
      <c r="B62" s="28"/>
      <c r="C62" s="33"/>
      <c r="D62" s="28"/>
      <c r="E62" s="28"/>
      <c r="F62" s="34"/>
      <c r="G62" s="34"/>
      <c r="H62" s="30" t="s">
        <v>12</v>
      </c>
    </row>
    <row r="63" spans="1:8" x14ac:dyDescent="0.2">
      <c r="A63" s="28"/>
      <c r="B63" s="28"/>
      <c r="C63" s="29" t="s">
        <v>58</v>
      </c>
      <c r="D63" s="28"/>
      <c r="E63" s="28"/>
      <c r="F63" s="35">
        <v>68226.929600000003</v>
      </c>
      <c r="G63" s="32">
        <v>0.96535064999999998</v>
      </c>
      <c r="H63" s="30" t="s">
        <v>12</v>
      </c>
    </row>
    <row r="64" spans="1:8" x14ac:dyDescent="0.2">
      <c r="A64" s="28"/>
      <c r="B64" s="28"/>
      <c r="C64" s="33"/>
      <c r="D64" s="28"/>
      <c r="E64" s="28"/>
      <c r="F64" s="34"/>
      <c r="G64" s="34"/>
      <c r="H64" s="30" t="s">
        <v>12</v>
      </c>
    </row>
    <row r="65" spans="1:8" x14ac:dyDescent="0.2">
      <c r="A65" s="28"/>
      <c r="B65" s="28"/>
      <c r="C65" s="29" t="s">
        <v>59</v>
      </c>
      <c r="D65" s="28"/>
      <c r="E65" s="28"/>
      <c r="F65" s="34"/>
      <c r="G65" s="34"/>
      <c r="H65" s="30" t="s">
        <v>12</v>
      </c>
    </row>
    <row r="66" spans="1:8" x14ac:dyDescent="0.2">
      <c r="A66" s="28"/>
      <c r="B66" s="28"/>
      <c r="C66" s="29" t="s">
        <v>60</v>
      </c>
      <c r="D66" s="28"/>
      <c r="E66" s="28"/>
      <c r="F66" s="34"/>
      <c r="G66" s="34"/>
      <c r="H66" s="30" t="s">
        <v>12</v>
      </c>
    </row>
    <row r="67" spans="1:8" x14ac:dyDescent="0.2">
      <c r="A67" s="28"/>
      <c r="B67" s="28"/>
      <c r="C67" s="29" t="s">
        <v>11</v>
      </c>
      <c r="D67" s="28"/>
      <c r="E67" s="28" t="s">
        <v>12</v>
      </c>
      <c r="F67" s="31" t="s">
        <v>13</v>
      </c>
      <c r="G67" s="32">
        <v>0</v>
      </c>
      <c r="H67" s="30" t="s">
        <v>12</v>
      </c>
    </row>
    <row r="68" spans="1:8" x14ac:dyDescent="0.2">
      <c r="A68" s="28"/>
      <c r="B68" s="28"/>
      <c r="C68" s="33"/>
      <c r="D68" s="28"/>
      <c r="E68" s="28"/>
      <c r="F68" s="34"/>
      <c r="G68" s="34"/>
      <c r="H68" s="30" t="s">
        <v>12</v>
      </c>
    </row>
    <row r="69" spans="1:8" x14ac:dyDescent="0.2">
      <c r="A69" s="28"/>
      <c r="B69" s="28"/>
      <c r="C69" s="29" t="s">
        <v>61</v>
      </c>
      <c r="D69" s="28"/>
      <c r="E69" s="28"/>
      <c r="F69" s="34"/>
      <c r="G69" s="34"/>
      <c r="H69" s="30" t="s">
        <v>12</v>
      </c>
    </row>
    <row r="70" spans="1:8" x14ac:dyDescent="0.2">
      <c r="A70" s="28"/>
      <c r="B70" s="28"/>
      <c r="C70" s="29" t="s">
        <v>11</v>
      </c>
      <c r="D70" s="28"/>
      <c r="E70" s="28" t="s">
        <v>12</v>
      </c>
      <c r="F70" s="31" t="s">
        <v>13</v>
      </c>
      <c r="G70" s="32">
        <v>0</v>
      </c>
      <c r="H70" s="30" t="s">
        <v>12</v>
      </c>
    </row>
    <row r="71" spans="1:8" x14ac:dyDescent="0.2">
      <c r="A71" s="28"/>
      <c r="B71" s="28"/>
      <c r="C71" s="33"/>
      <c r="D71" s="28"/>
      <c r="E71" s="28"/>
      <c r="F71" s="34"/>
      <c r="G71" s="34"/>
      <c r="H71" s="30" t="s">
        <v>12</v>
      </c>
    </row>
    <row r="72" spans="1:8" x14ac:dyDescent="0.2">
      <c r="A72" s="28"/>
      <c r="B72" s="28"/>
      <c r="C72" s="29" t="s">
        <v>62</v>
      </c>
      <c r="D72" s="28"/>
      <c r="E72" s="28"/>
      <c r="F72" s="34"/>
      <c r="G72" s="34"/>
      <c r="H72" s="30" t="s">
        <v>12</v>
      </c>
    </row>
    <row r="73" spans="1:8" x14ac:dyDescent="0.2">
      <c r="A73" s="28"/>
      <c r="B73" s="28"/>
      <c r="C73" s="29" t="s">
        <v>11</v>
      </c>
      <c r="D73" s="28"/>
      <c r="E73" s="28" t="s">
        <v>12</v>
      </c>
      <c r="F73" s="31" t="s">
        <v>13</v>
      </c>
      <c r="G73" s="32">
        <v>0</v>
      </c>
      <c r="H73" s="30" t="s">
        <v>12</v>
      </c>
    </row>
    <row r="74" spans="1:8" x14ac:dyDescent="0.2">
      <c r="A74" s="28"/>
      <c r="B74" s="28"/>
      <c r="C74" s="33"/>
      <c r="D74" s="28"/>
      <c r="E74" s="28"/>
      <c r="F74" s="34"/>
      <c r="G74" s="34"/>
      <c r="H74" s="30" t="s">
        <v>12</v>
      </c>
    </row>
    <row r="75" spans="1:8" x14ac:dyDescent="0.2">
      <c r="A75" s="28"/>
      <c r="B75" s="28"/>
      <c r="C75" s="29" t="s">
        <v>63</v>
      </c>
      <c r="D75" s="28"/>
      <c r="E75" s="28"/>
      <c r="F75" s="34"/>
      <c r="G75" s="34"/>
      <c r="H75" s="30" t="s">
        <v>12</v>
      </c>
    </row>
    <row r="76" spans="1:8" x14ac:dyDescent="0.2">
      <c r="A76" s="36">
        <v>1</v>
      </c>
      <c r="B76" s="37"/>
      <c r="C76" s="37" t="s">
        <v>64</v>
      </c>
      <c r="D76" s="37"/>
      <c r="E76" s="41"/>
      <c r="F76" s="39">
        <v>425.74233600100001</v>
      </c>
      <c r="G76" s="40">
        <v>6.0238799999999997E-3</v>
      </c>
      <c r="H76" s="30">
        <v>6.35</v>
      </c>
    </row>
    <row r="77" spans="1:8" x14ac:dyDescent="0.2">
      <c r="A77" s="28"/>
      <c r="B77" s="28"/>
      <c r="C77" s="29" t="s">
        <v>11</v>
      </c>
      <c r="D77" s="28"/>
      <c r="E77" s="28" t="s">
        <v>12</v>
      </c>
      <c r="F77" s="35">
        <v>425.74233600100001</v>
      </c>
      <c r="G77" s="32">
        <v>6.0238799999999997E-3</v>
      </c>
      <c r="H77" s="30" t="s">
        <v>12</v>
      </c>
    </row>
    <row r="78" spans="1:8" x14ac:dyDescent="0.2">
      <c r="A78" s="28"/>
      <c r="B78" s="28"/>
      <c r="C78" s="33"/>
      <c r="D78" s="28"/>
      <c r="E78" s="28"/>
      <c r="F78" s="34"/>
      <c r="G78" s="34"/>
      <c r="H78" s="30" t="s">
        <v>12</v>
      </c>
    </row>
    <row r="79" spans="1:8" x14ac:dyDescent="0.2">
      <c r="A79" s="28"/>
      <c r="B79" s="28"/>
      <c r="C79" s="29" t="s">
        <v>65</v>
      </c>
      <c r="D79" s="28"/>
      <c r="E79" s="28"/>
      <c r="F79" s="35">
        <v>425.74233600100001</v>
      </c>
      <c r="G79" s="32">
        <v>6.0238799999999997E-3</v>
      </c>
      <c r="H79" s="30" t="s">
        <v>12</v>
      </c>
    </row>
    <row r="80" spans="1:8" x14ac:dyDescent="0.2">
      <c r="A80" s="28"/>
      <c r="B80" s="28"/>
      <c r="C80" s="34"/>
      <c r="D80" s="28"/>
      <c r="E80" s="28"/>
      <c r="F80" s="28"/>
      <c r="G80" s="28"/>
      <c r="H80" s="30" t="s">
        <v>12</v>
      </c>
    </row>
    <row r="81" spans="1:18" x14ac:dyDescent="0.2">
      <c r="A81" s="28"/>
      <c r="B81" s="28"/>
      <c r="C81" s="29" t="s">
        <v>66</v>
      </c>
      <c r="D81" s="28"/>
      <c r="E81" s="28"/>
      <c r="F81" s="28"/>
      <c r="G81" s="28"/>
      <c r="H81" s="30" t="s">
        <v>12</v>
      </c>
    </row>
    <row r="82" spans="1:18" x14ac:dyDescent="0.2">
      <c r="A82" s="28"/>
      <c r="B82" s="28"/>
      <c r="C82" s="29" t="s">
        <v>67</v>
      </c>
      <c r="D82" s="28"/>
      <c r="E82" s="28"/>
      <c r="F82" s="28"/>
      <c r="G82" s="28"/>
      <c r="H82" s="30" t="s">
        <v>12</v>
      </c>
    </row>
    <row r="83" spans="1:18" x14ac:dyDescent="0.2">
      <c r="A83" s="28"/>
      <c r="B83" s="28"/>
      <c r="C83" s="29" t="s">
        <v>11</v>
      </c>
      <c r="D83" s="28"/>
      <c r="E83" s="28" t="s">
        <v>12</v>
      </c>
      <c r="F83" s="31" t="s">
        <v>13</v>
      </c>
      <c r="G83" s="32">
        <v>0</v>
      </c>
      <c r="H83" s="30" t="s">
        <v>12</v>
      </c>
    </row>
    <row r="84" spans="1:18" x14ac:dyDescent="0.2">
      <c r="A84" s="28"/>
      <c r="B84" s="28"/>
      <c r="C84" s="33"/>
      <c r="D84" s="28"/>
      <c r="E84" s="28"/>
      <c r="F84" s="34"/>
      <c r="G84" s="34"/>
      <c r="H84" s="30" t="s">
        <v>12</v>
      </c>
    </row>
    <row r="85" spans="1:18" x14ac:dyDescent="0.2">
      <c r="A85" s="28"/>
      <c r="B85" s="28"/>
      <c r="C85" s="29" t="s">
        <v>70</v>
      </c>
      <c r="D85" s="28"/>
      <c r="E85" s="28"/>
      <c r="F85" s="28"/>
      <c r="G85" s="28"/>
      <c r="H85" s="30" t="s">
        <v>12</v>
      </c>
    </row>
    <row r="86" spans="1:18" x14ac:dyDescent="0.2">
      <c r="A86" s="28"/>
      <c r="B86" s="28"/>
      <c r="C86" s="29" t="s">
        <v>71</v>
      </c>
      <c r="D86" s="28"/>
      <c r="E86" s="28"/>
      <c r="F86" s="28"/>
      <c r="G86" s="28"/>
      <c r="H86" s="30" t="s">
        <v>12</v>
      </c>
    </row>
    <row r="87" spans="1:18" x14ac:dyDescent="0.2">
      <c r="A87" s="28"/>
      <c r="B87" s="28"/>
      <c r="C87" s="29" t="s">
        <v>11</v>
      </c>
      <c r="D87" s="28"/>
      <c r="E87" s="28" t="s">
        <v>12</v>
      </c>
      <c r="F87" s="31" t="s">
        <v>13</v>
      </c>
      <c r="G87" s="32">
        <v>0</v>
      </c>
      <c r="H87" s="30" t="s">
        <v>12</v>
      </c>
    </row>
    <row r="88" spans="1:18" x14ac:dyDescent="0.2">
      <c r="A88" s="28"/>
      <c r="B88" s="28"/>
      <c r="C88" s="33"/>
      <c r="D88" s="28"/>
      <c r="E88" s="28"/>
      <c r="F88" s="34"/>
      <c r="G88" s="34"/>
      <c r="H88" s="30" t="s">
        <v>12</v>
      </c>
    </row>
    <row r="89" spans="1:18" x14ac:dyDescent="0.2">
      <c r="A89" s="28"/>
      <c r="B89" s="28"/>
      <c r="C89" s="29" t="s">
        <v>72</v>
      </c>
      <c r="D89" s="28"/>
      <c r="E89" s="28"/>
      <c r="F89" s="34"/>
      <c r="G89" s="34"/>
      <c r="H89" s="30" t="s">
        <v>12</v>
      </c>
    </row>
    <row r="90" spans="1:18" x14ac:dyDescent="0.2">
      <c r="A90" s="28"/>
      <c r="B90" s="28"/>
      <c r="C90" s="29" t="s">
        <v>11</v>
      </c>
      <c r="D90" s="28"/>
      <c r="E90" s="28" t="s">
        <v>12</v>
      </c>
      <c r="F90" s="31" t="s">
        <v>13</v>
      </c>
      <c r="G90" s="32">
        <v>0</v>
      </c>
      <c r="H90" s="30" t="s">
        <v>12</v>
      </c>
    </row>
    <row r="91" spans="1:18" x14ac:dyDescent="0.2">
      <c r="A91" s="73"/>
      <c r="B91" s="73"/>
      <c r="C91" s="74"/>
      <c r="D91" s="73"/>
      <c r="E91" s="73"/>
      <c r="F91" s="75"/>
      <c r="G91" s="75"/>
      <c r="H91" s="30" t="s">
        <v>12</v>
      </c>
    </row>
    <row r="92" spans="1:18" x14ac:dyDescent="0.2">
      <c r="A92" s="76"/>
      <c r="B92" s="76"/>
      <c r="C92" s="64" t="s">
        <v>406</v>
      </c>
      <c r="D92" s="76"/>
      <c r="E92" s="76"/>
      <c r="F92" s="77"/>
      <c r="G92" s="77"/>
      <c r="H92" s="78"/>
      <c r="K92" s="5"/>
      <c r="L92" s="5"/>
      <c r="M92" s="5"/>
      <c r="N92" s="5"/>
      <c r="O92" s="5"/>
      <c r="P92" s="6"/>
      <c r="Q92" s="6"/>
      <c r="R92" s="6"/>
    </row>
    <row r="93" spans="1:18" ht="25.5" x14ac:dyDescent="0.2">
      <c r="A93" s="36">
        <v>1</v>
      </c>
      <c r="B93" s="37" t="s">
        <v>68</v>
      </c>
      <c r="C93" s="37" t="s">
        <v>69</v>
      </c>
      <c r="D93" s="37"/>
      <c r="E93" s="79">
        <v>2586.3710000000001</v>
      </c>
      <c r="F93" s="39">
        <v>266.60041992200001</v>
      </c>
      <c r="G93" s="40">
        <v>3.7721600000000001E-3</v>
      </c>
      <c r="H93" s="30"/>
    </row>
    <row r="94" spans="1:18" x14ac:dyDescent="0.2">
      <c r="A94" s="28"/>
      <c r="B94" s="28"/>
      <c r="C94" s="29" t="s">
        <v>11</v>
      </c>
      <c r="D94" s="28"/>
      <c r="E94" s="28" t="s">
        <v>12</v>
      </c>
      <c r="F94" s="35">
        <v>266.60041992200001</v>
      </c>
      <c r="G94" s="32">
        <v>3.7721600000000001E-3</v>
      </c>
      <c r="H94" s="30" t="s">
        <v>12</v>
      </c>
    </row>
    <row r="95" spans="1:18" x14ac:dyDescent="0.2">
      <c r="A95" s="28"/>
      <c r="B95" s="37"/>
      <c r="C95" s="37"/>
      <c r="D95" s="29"/>
      <c r="E95" s="28"/>
      <c r="F95" s="37"/>
      <c r="G95" s="41"/>
      <c r="H95" s="30" t="s">
        <v>12</v>
      </c>
    </row>
    <row r="96" spans="1:18" x14ac:dyDescent="0.2">
      <c r="A96" s="41"/>
      <c r="B96" s="37"/>
      <c r="C96" s="37" t="s">
        <v>73</v>
      </c>
      <c r="D96" s="37"/>
      <c r="E96" s="41"/>
      <c r="F96" s="39">
        <v>1756.52771573</v>
      </c>
      <c r="G96" s="40">
        <v>2.485331E-2</v>
      </c>
      <c r="H96" s="30" t="s">
        <v>12</v>
      </c>
    </row>
    <row r="97" spans="1:8" x14ac:dyDescent="0.2">
      <c r="A97" s="33"/>
      <c r="B97" s="33"/>
      <c r="C97" s="29" t="s">
        <v>74</v>
      </c>
      <c r="D97" s="34"/>
      <c r="E97" s="34"/>
      <c r="F97" s="35">
        <v>70675.800071652993</v>
      </c>
      <c r="G97" s="42">
        <v>1</v>
      </c>
      <c r="H97" s="30" t="s">
        <v>12</v>
      </c>
    </row>
    <row r="98" spans="1:8" x14ac:dyDescent="0.2">
      <c r="A98" s="43"/>
      <c r="B98" s="43"/>
      <c r="C98" s="43"/>
      <c r="D98" s="44"/>
      <c r="E98" s="44"/>
      <c r="F98" s="44"/>
      <c r="G98" s="44"/>
    </row>
    <row r="99" spans="1:8" x14ac:dyDescent="0.2">
      <c r="A99" s="45"/>
      <c r="B99" s="110" t="s">
        <v>407</v>
      </c>
      <c r="C99" s="110"/>
      <c r="D99" s="110"/>
      <c r="E99" s="110"/>
      <c r="F99" s="110"/>
      <c r="G99" s="110"/>
      <c r="H99" s="110"/>
    </row>
    <row r="100" spans="1:8" x14ac:dyDescent="0.2">
      <c r="A100" s="45"/>
      <c r="B100" s="110" t="s">
        <v>408</v>
      </c>
      <c r="C100" s="110"/>
      <c r="D100" s="110"/>
      <c r="E100" s="110"/>
      <c r="F100" s="110"/>
      <c r="G100" s="110"/>
      <c r="H100" s="110"/>
    </row>
    <row r="101" spans="1:8" x14ac:dyDescent="0.2">
      <c r="A101" s="45"/>
      <c r="B101" s="110" t="s">
        <v>409</v>
      </c>
      <c r="C101" s="110"/>
      <c r="D101" s="110"/>
      <c r="E101" s="110"/>
      <c r="F101" s="110"/>
      <c r="G101" s="110"/>
      <c r="H101" s="110"/>
    </row>
    <row r="102" spans="1:8" x14ac:dyDescent="0.2">
      <c r="A102" s="47"/>
      <c r="B102" s="47"/>
      <c r="C102" s="47"/>
      <c r="D102" s="48"/>
      <c r="E102" s="48"/>
      <c r="F102" s="48"/>
      <c r="G102" s="48"/>
    </row>
    <row r="103" spans="1:8" x14ac:dyDescent="0.2">
      <c r="A103" s="47"/>
      <c r="B103" s="112" t="s">
        <v>75</v>
      </c>
      <c r="C103" s="113"/>
      <c r="D103" s="114"/>
      <c r="E103" s="49"/>
      <c r="F103" s="48"/>
      <c r="G103" s="48"/>
    </row>
    <row r="104" spans="1:8" x14ac:dyDescent="0.2">
      <c r="A104" s="47"/>
      <c r="B104" s="115" t="s">
        <v>76</v>
      </c>
      <c r="C104" s="116"/>
      <c r="D104" s="29" t="s">
        <v>77</v>
      </c>
      <c r="E104" s="49"/>
      <c r="F104" s="48"/>
      <c r="G104" s="48"/>
    </row>
    <row r="105" spans="1:8" x14ac:dyDescent="0.2">
      <c r="A105" s="47"/>
      <c r="B105" s="115" t="s">
        <v>78</v>
      </c>
      <c r="C105" s="116"/>
      <c r="D105" s="29" t="s">
        <v>77</v>
      </c>
      <c r="E105" s="49"/>
      <c r="F105" s="48"/>
      <c r="G105" s="48"/>
    </row>
    <row r="106" spans="1:8" x14ac:dyDescent="0.2">
      <c r="A106" s="47"/>
      <c r="B106" s="115" t="s">
        <v>79</v>
      </c>
      <c r="C106" s="116"/>
      <c r="D106" s="34" t="s">
        <v>12</v>
      </c>
      <c r="E106" s="49"/>
      <c r="F106" s="48"/>
      <c r="G106" s="48"/>
    </row>
    <row r="107" spans="1:8" x14ac:dyDescent="0.2">
      <c r="A107" s="50"/>
      <c r="B107" s="51" t="s">
        <v>12</v>
      </c>
      <c r="C107" s="51" t="s">
        <v>458</v>
      </c>
      <c r="D107" s="51" t="s">
        <v>80</v>
      </c>
      <c r="E107" s="50"/>
      <c r="F107" s="50"/>
      <c r="G107" s="50"/>
      <c r="H107" s="52"/>
    </row>
    <row r="108" spans="1:8" x14ac:dyDescent="0.2">
      <c r="A108" s="53"/>
      <c r="B108" s="54" t="s">
        <v>81</v>
      </c>
      <c r="C108" s="55" t="s">
        <v>82</v>
      </c>
      <c r="D108" s="55" t="s">
        <v>83</v>
      </c>
      <c r="E108" s="53"/>
      <c r="F108" s="53"/>
      <c r="G108" s="53"/>
    </row>
    <row r="109" spans="1:8" x14ac:dyDescent="0.2">
      <c r="A109" s="53"/>
      <c r="B109" s="37" t="s">
        <v>84</v>
      </c>
      <c r="C109" s="56">
        <v>38.026800000000001</v>
      </c>
      <c r="D109" s="56">
        <v>38.192599999999999</v>
      </c>
      <c r="E109" s="53"/>
      <c r="F109" s="57"/>
      <c r="G109" s="58"/>
    </row>
    <row r="110" spans="1:8" ht="25.5" x14ac:dyDescent="0.2">
      <c r="A110" s="53"/>
      <c r="B110" s="37" t="s">
        <v>85</v>
      </c>
      <c r="C110" s="56">
        <v>16.9419</v>
      </c>
      <c r="D110" s="56">
        <v>17.015799999999999</v>
      </c>
      <c r="E110" s="53"/>
      <c r="F110" s="57"/>
      <c r="G110" s="58"/>
    </row>
    <row r="111" spans="1:8" ht="25.5" x14ac:dyDescent="0.2">
      <c r="A111" s="53"/>
      <c r="B111" s="37" t="s">
        <v>86</v>
      </c>
      <c r="C111" s="56">
        <v>18.738199999999999</v>
      </c>
      <c r="D111" s="56">
        <v>18.819900000000001</v>
      </c>
      <c r="E111" s="53"/>
      <c r="F111" s="57"/>
      <c r="G111" s="58"/>
    </row>
    <row r="112" spans="1:8" ht="25.5" x14ac:dyDescent="0.2">
      <c r="A112" s="53"/>
      <c r="B112" s="37" t="s">
        <v>87</v>
      </c>
      <c r="C112" s="56">
        <v>16.956900000000001</v>
      </c>
      <c r="D112" s="56">
        <v>17.0306</v>
      </c>
      <c r="E112" s="53"/>
      <c r="F112" s="57"/>
      <c r="G112" s="58"/>
    </row>
    <row r="113" spans="1:15" ht="25.5" x14ac:dyDescent="0.2">
      <c r="A113" s="53"/>
      <c r="B113" s="37" t="s">
        <v>88</v>
      </c>
      <c r="C113" s="56">
        <v>17.2104</v>
      </c>
      <c r="D113" s="56">
        <v>17.285399999999999</v>
      </c>
      <c r="E113" s="53"/>
      <c r="F113" s="57"/>
      <c r="G113" s="58"/>
    </row>
    <row r="114" spans="1:15" x14ac:dyDescent="0.2">
      <c r="A114" s="53"/>
      <c r="B114" s="37" t="s">
        <v>89</v>
      </c>
      <c r="C114" s="56">
        <v>36.8583</v>
      </c>
      <c r="D114" s="56">
        <v>37.015500000000003</v>
      </c>
      <c r="E114" s="53"/>
      <c r="F114" s="57"/>
      <c r="G114" s="58"/>
    </row>
    <row r="115" spans="1:15" ht="25.5" x14ac:dyDescent="0.2">
      <c r="A115" s="53"/>
      <c r="B115" s="37" t="s">
        <v>90</v>
      </c>
      <c r="C115" s="56">
        <v>16.032299999999999</v>
      </c>
      <c r="D115" s="56">
        <v>16.1007</v>
      </c>
      <c r="E115" s="53"/>
      <c r="F115" s="57"/>
      <c r="G115" s="58"/>
    </row>
    <row r="116" spans="1:15" ht="25.5" x14ac:dyDescent="0.2">
      <c r="A116" s="53"/>
      <c r="B116" s="37" t="s">
        <v>91</v>
      </c>
      <c r="C116" s="56">
        <v>18.2028</v>
      </c>
      <c r="D116" s="56">
        <v>18.2804</v>
      </c>
      <c r="E116" s="53"/>
      <c r="F116" s="57"/>
      <c r="G116" s="58"/>
    </row>
    <row r="117" spans="1:15" ht="25.5" x14ac:dyDescent="0.2">
      <c r="A117" s="53"/>
      <c r="B117" s="37" t="s">
        <v>92</v>
      </c>
      <c r="C117" s="56">
        <v>16.8613</v>
      </c>
      <c r="D117" s="56">
        <v>16.933199999999999</v>
      </c>
      <c r="E117" s="53"/>
      <c r="F117" s="57"/>
      <c r="G117" s="58"/>
    </row>
    <row r="118" spans="1:15" ht="25.5" x14ac:dyDescent="0.2">
      <c r="A118" s="53"/>
      <c r="B118" s="37" t="s">
        <v>93</v>
      </c>
      <c r="C118" s="56">
        <v>16.724900000000002</v>
      </c>
      <c r="D118" s="56">
        <v>16.796199999999999</v>
      </c>
      <c r="E118" s="53"/>
      <c r="F118" s="57"/>
      <c r="G118" s="58"/>
    </row>
    <row r="119" spans="1:15" x14ac:dyDescent="0.2">
      <c r="A119" s="53"/>
      <c r="B119" s="53"/>
      <c r="C119" s="53"/>
      <c r="D119" s="53"/>
      <c r="E119" s="53"/>
      <c r="F119" s="53"/>
      <c r="G119" s="53"/>
    </row>
    <row r="120" spans="1:15" x14ac:dyDescent="0.2">
      <c r="A120" s="53"/>
      <c r="B120" s="115" t="s">
        <v>94</v>
      </c>
      <c r="C120" s="116"/>
      <c r="D120" s="64" t="s">
        <v>77</v>
      </c>
      <c r="E120" s="53"/>
      <c r="F120" s="53"/>
      <c r="G120" s="53"/>
    </row>
    <row r="121" spans="1:15" x14ac:dyDescent="0.2">
      <c r="A121" s="53"/>
      <c r="B121" s="66"/>
      <c r="C121" s="66"/>
      <c r="D121" s="66"/>
      <c r="E121" s="53"/>
      <c r="F121" s="53"/>
      <c r="G121" s="53"/>
    </row>
    <row r="122" spans="1:15" x14ac:dyDescent="0.2">
      <c r="A122" s="50"/>
      <c r="B122" s="117" t="s">
        <v>95</v>
      </c>
      <c r="C122" s="118"/>
      <c r="D122" s="64" t="s">
        <v>77</v>
      </c>
      <c r="E122" s="65"/>
      <c r="F122" s="50"/>
      <c r="G122" s="50"/>
    </row>
    <row r="123" spans="1:15" x14ac:dyDescent="0.2">
      <c r="A123" s="50"/>
      <c r="B123" s="117" t="s">
        <v>96</v>
      </c>
      <c r="C123" s="118"/>
      <c r="D123" s="64" t="s">
        <v>77</v>
      </c>
      <c r="E123" s="65"/>
      <c r="F123" s="50"/>
      <c r="G123" s="50"/>
    </row>
    <row r="124" spans="1:15" x14ac:dyDescent="0.2">
      <c r="A124" s="50"/>
      <c r="B124" s="117" t="s">
        <v>410</v>
      </c>
      <c r="C124" s="118"/>
      <c r="D124" s="64" t="s">
        <v>77</v>
      </c>
      <c r="E124" s="65"/>
      <c r="F124" s="50"/>
      <c r="G124" s="50"/>
    </row>
    <row r="125" spans="1:15" x14ac:dyDescent="0.2">
      <c r="A125" s="66"/>
      <c r="B125" s="66"/>
      <c r="C125" s="66"/>
      <c r="D125" s="66"/>
      <c r="E125" s="66"/>
      <c r="F125" s="66"/>
      <c r="G125" s="66"/>
    </row>
    <row r="126" spans="1:15" s="7" customFormat="1" x14ac:dyDescent="0.2">
      <c r="B126" s="119" t="s">
        <v>411</v>
      </c>
      <c r="C126" s="120"/>
      <c r="D126" s="121"/>
      <c r="I126"/>
      <c r="J126" s="2"/>
      <c r="K126" s="5"/>
      <c r="L126" s="5"/>
      <c r="M126" s="5"/>
      <c r="N126" s="5"/>
      <c r="O126" s="5"/>
    </row>
    <row r="127" spans="1:15" s="7" customFormat="1" ht="38.25" x14ac:dyDescent="0.2">
      <c r="B127" s="111" t="s">
        <v>412</v>
      </c>
      <c r="C127" s="111"/>
      <c r="D127" s="67" t="s">
        <v>1</v>
      </c>
      <c r="I127"/>
      <c r="J127" s="2"/>
      <c r="K127" s="5"/>
      <c r="L127" s="5"/>
      <c r="M127" s="5"/>
      <c r="N127" s="5"/>
      <c r="O127" s="5"/>
    </row>
    <row r="128" spans="1:15" s="7" customFormat="1" x14ac:dyDescent="0.2">
      <c r="B128" s="107" t="s">
        <v>413</v>
      </c>
      <c r="C128" s="107"/>
      <c r="D128" s="68"/>
      <c r="I128"/>
      <c r="J128" s="2"/>
      <c r="K128" s="5"/>
      <c r="L128" s="5"/>
      <c r="M128" s="5"/>
      <c r="N128" s="5"/>
      <c r="O128" s="5"/>
    </row>
    <row r="129" spans="2:15" s="7" customFormat="1" x14ac:dyDescent="0.2">
      <c r="B129" s="105"/>
      <c r="C129" s="106"/>
      <c r="D129" s="69"/>
      <c r="I129"/>
      <c r="J129" s="2"/>
      <c r="K129" s="5"/>
      <c r="L129" s="5"/>
      <c r="M129" s="5"/>
      <c r="N129" s="5"/>
      <c r="O129" s="5"/>
    </row>
    <row r="130" spans="2:15" s="7" customFormat="1" x14ac:dyDescent="0.2">
      <c r="B130" s="107" t="s">
        <v>414</v>
      </c>
      <c r="C130" s="107"/>
      <c r="D130" s="70">
        <v>7.5130876323233018</v>
      </c>
      <c r="I130"/>
      <c r="J130" s="2"/>
      <c r="K130" s="5"/>
      <c r="L130" s="5"/>
      <c r="M130" s="5"/>
      <c r="N130" s="5"/>
      <c r="O130" s="5"/>
    </row>
    <row r="131" spans="2:15" s="7" customFormat="1" x14ac:dyDescent="0.2">
      <c r="B131" s="105"/>
      <c r="C131" s="106"/>
      <c r="D131" s="69"/>
      <c r="I131"/>
      <c r="J131" s="2"/>
      <c r="K131" s="5"/>
      <c r="L131" s="5"/>
      <c r="M131" s="5"/>
      <c r="N131" s="5"/>
      <c r="O131" s="5"/>
    </row>
    <row r="132" spans="2:15" s="7" customFormat="1" x14ac:dyDescent="0.2">
      <c r="B132" s="107" t="s">
        <v>415</v>
      </c>
      <c r="C132" s="107"/>
      <c r="D132" s="70">
        <v>3.5584196505988355</v>
      </c>
      <c r="I132"/>
      <c r="J132" s="2"/>
      <c r="K132" s="5"/>
      <c r="L132" s="5"/>
      <c r="M132" s="5"/>
      <c r="N132" s="5"/>
      <c r="O132" s="5"/>
    </row>
    <row r="133" spans="2:15" s="7" customFormat="1" x14ac:dyDescent="0.2">
      <c r="B133" s="107" t="s">
        <v>416</v>
      </c>
      <c r="C133" s="107"/>
      <c r="D133" s="70">
        <v>4.6577553315790139</v>
      </c>
      <c r="I133"/>
      <c r="J133" s="2"/>
      <c r="K133" s="5"/>
      <c r="L133" s="5"/>
      <c r="M133" s="5"/>
      <c r="N133" s="5"/>
      <c r="O133" s="5"/>
    </row>
    <row r="134" spans="2:15" s="7" customFormat="1" x14ac:dyDescent="0.2">
      <c r="B134" s="105"/>
      <c r="C134" s="106"/>
      <c r="D134" s="69"/>
      <c r="I134"/>
      <c r="J134" s="2"/>
      <c r="K134" s="5"/>
      <c r="L134" s="5"/>
      <c r="M134" s="5"/>
      <c r="N134" s="5"/>
      <c r="O134" s="5"/>
    </row>
    <row r="135" spans="2:15" s="7" customFormat="1" x14ac:dyDescent="0.2">
      <c r="B135" s="107" t="s">
        <v>417</v>
      </c>
      <c r="C135" s="107"/>
      <c r="D135" s="71" t="s">
        <v>454</v>
      </c>
      <c r="I135"/>
      <c r="J135" s="2"/>
      <c r="K135" s="5"/>
      <c r="L135" s="5"/>
      <c r="M135" s="5"/>
      <c r="N135" s="5"/>
      <c r="O135" s="5"/>
    </row>
    <row r="136" spans="2:15" s="7" customFormat="1" x14ac:dyDescent="0.2">
      <c r="B136" s="105" t="s">
        <v>418</v>
      </c>
      <c r="C136" s="108"/>
      <c r="D136" s="106"/>
      <c r="I136"/>
      <c r="J136" s="2"/>
      <c r="K136" s="5"/>
      <c r="L136" s="5"/>
      <c r="M136" s="5"/>
      <c r="N136" s="5"/>
      <c r="O136" s="5"/>
    </row>
  </sheetData>
  <mergeCells count="25">
    <mergeCell ref="B101:H101"/>
    <mergeCell ref="B127:C127"/>
    <mergeCell ref="B128:C128"/>
    <mergeCell ref="B103:D103"/>
    <mergeCell ref="B104:C104"/>
    <mergeCell ref="B105:C105"/>
    <mergeCell ref="B106:C106"/>
    <mergeCell ref="B120:C120"/>
    <mergeCell ref="B124:C124"/>
    <mergeCell ref="B122:C122"/>
    <mergeCell ref="B123:C123"/>
    <mergeCell ref="B126:D126"/>
    <mergeCell ref="A1:H1"/>
    <mergeCell ref="A2:H2"/>
    <mergeCell ref="A3:H3"/>
    <mergeCell ref="B99:H99"/>
    <mergeCell ref="B100:H100"/>
    <mergeCell ref="B134:C134"/>
    <mergeCell ref="B135:C135"/>
    <mergeCell ref="B136:D136"/>
    <mergeCell ref="B129:C129"/>
    <mergeCell ref="B130:C130"/>
    <mergeCell ref="B131:C131"/>
    <mergeCell ref="B132:C132"/>
    <mergeCell ref="B133:C133"/>
  </mergeCells>
  <hyperlinks>
    <hyperlink ref="I1" location="Index!B2" display="Index" xr:uid="{60FB9DFA-FF8B-4993-BF4F-8A0DD7E119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5FDE-97A4-4CF2-B61B-1C664BE4EA96}">
  <sheetPr>
    <outlinePr summaryBelow="0" summaryRight="0"/>
  </sheetPr>
  <dimension ref="A1:R131"/>
  <sheetViews>
    <sheetView showGridLines="0" workbookViewId="0">
      <selection activeCell="A64" sqref="A1:H1048576"/>
    </sheetView>
  </sheetViews>
  <sheetFormatPr defaultRowHeight="12.75" x14ac:dyDescent="0.2"/>
  <cols>
    <col min="1" max="1" width="5.85546875" bestFit="1" customWidth="1"/>
    <col min="2" max="2" width="19.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0" ht="15" x14ac:dyDescent="0.2">
      <c r="A1" s="109" t="s">
        <v>0</v>
      </c>
      <c r="B1" s="109"/>
      <c r="C1" s="109"/>
      <c r="D1" s="109"/>
      <c r="E1" s="109"/>
      <c r="F1" s="109"/>
      <c r="G1" s="109"/>
      <c r="H1" s="109"/>
      <c r="I1" s="1" t="s">
        <v>459</v>
      </c>
    </row>
    <row r="2" spans="1:10" ht="15" x14ac:dyDescent="0.2">
      <c r="A2" s="109" t="s">
        <v>97</v>
      </c>
      <c r="B2" s="109"/>
      <c r="C2" s="109"/>
      <c r="D2" s="109"/>
      <c r="E2" s="109"/>
      <c r="F2" s="109"/>
      <c r="G2" s="109"/>
      <c r="H2" s="109"/>
      <c r="J2" s="3" t="s">
        <v>460</v>
      </c>
    </row>
    <row r="3" spans="1:10" ht="15" x14ac:dyDescent="0.2">
      <c r="A3" s="109" t="s">
        <v>494</v>
      </c>
      <c r="B3" s="109"/>
      <c r="C3" s="109"/>
      <c r="D3" s="109"/>
      <c r="E3" s="109"/>
      <c r="F3" s="109"/>
      <c r="G3" s="109"/>
      <c r="H3" s="109"/>
    </row>
    <row r="4" spans="1:10" s="4" customFormat="1" ht="30" x14ac:dyDescent="0.2">
      <c r="A4" s="26" t="s">
        <v>2</v>
      </c>
      <c r="B4" s="26" t="s">
        <v>3</v>
      </c>
      <c r="C4" s="26" t="s">
        <v>4</v>
      </c>
      <c r="D4" s="26" t="s">
        <v>5</v>
      </c>
      <c r="E4" s="26" t="s">
        <v>6</v>
      </c>
      <c r="F4" s="26" t="s">
        <v>7</v>
      </c>
      <c r="G4" s="26" t="s">
        <v>8</v>
      </c>
      <c r="H4" s="27" t="s">
        <v>404</v>
      </c>
      <c r="J4" s="2"/>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8"/>
    </row>
    <row r="13" spans="1:10" x14ac:dyDescent="0.2">
      <c r="A13" s="28"/>
      <c r="B13" s="28"/>
      <c r="C13" s="29" t="s">
        <v>11</v>
      </c>
      <c r="D13" s="28"/>
      <c r="E13" s="28" t="s">
        <v>12</v>
      </c>
      <c r="F13" s="31" t="s">
        <v>13</v>
      </c>
      <c r="G13" s="32">
        <v>0</v>
      </c>
      <c r="H13" s="30" t="s">
        <v>12</v>
      </c>
      <c r="J13" s="17"/>
    </row>
    <row r="14" spans="1:10" x14ac:dyDescent="0.2">
      <c r="A14" s="28"/>
      <c r="B14" s="28"/>
      <c r="C14" s="33"/>
      <c r="D14" s="28"/>
      <c r="E14" s="28"/>
      <c r="F14" s="34"/>
      <c r="G14" s="34"/>
      <c r="H14" s="30" t="s">
        <v>12</v>
      </c>
    </row>
    <row r="15" spans="1:10" ht="25.5" x14ac:dyDescent="0.2">
      <c r="A15" s="28"/>
      <c r="B15" s="28"/>
      <c r="C15" s="29" t="s">
        <v>16</v>
      </c>
      <c r="D15" s="28"/>
      <c r="E15" s="28"/>
      <c r="F15" s="28"/>
      <c r="G15" s="28"/>
      <c r="H15" s="30" t="s">
        <v>12</v>
      </c>
      <c r="J15" s="17" t="s">
        <v>463</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8"/>
    </row>
    <row r="23" spans="1:10" x14ac:dyDescent="0.2">
      <c r="A23" s="28"/>
      <c r="B23" s="28"/>
      <c r="C23" s="33"/>
      <c r="D23" s="28"/>
      <c r="E23" s="28"/>
      <c r="F23" s="34"/>
      <c r="G23" s="34"/>
      <c r="H23" s="30" t="s">
        <v>12</v>
      </c>
      <c r="J23" s="17"/>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row>
    <row r="28" spans="1:10" ht="30" customHeight="1" x14ac:dyDescent="0.2">
      <c r="A28" s="36">
        <v>1</v>
      </c>
      <c r="B28" s="37" t="s">
        <v>36</v>
      </c>
      <c r="C28" s="98" t="s">
        <v>498</v>
      </c>
      <c r="D28" s="37" t="s">
        <v>28</v>
      </c>
      <c r="E28" s="38">
        <v>300</v>
      </c>
      <c r="F28" s="39">
        <v>3000.7469999999998</v>
      </c>
      <c r="G28" s="40">
        <v>9.0801439999999997E-2</v>
      </c>
      <c r="H28" s="30">
        <v>7.41</v>
      </c>
      <c r="J28" s="17" t="s">
        <v>462</v>
      </c>
    </row>
    <row r="29" spans="1:10" x14ac:dyDescent="0.2">
      <c r="A29" s="36">
        <v>2</v>
      </c>
      <c r="B29" s="37" t="s">
        <v>98</v>
      </c>
      <c r="C29" s="98" t="s">
        <v>512</v>
      </c>
      <c r="D29" s="37" t="s">
        <v>28</v>
      </c>
      <c r="E29" s="38">
        <v>250</v>
      </c>
      <c r="F29" s="39">
        <v>2495.4475000000002</v>
      </c>
      <c r="G29" s="40">
        <v>7.5511270000000005E-2</v>
      </c>
      <c r="H29" s="30">
        <v>7.59</v>
      </c>
    </row>
    <row r="30" spans="1:10" ht="25.5" x14ac:dyDescent="0.2">
      <c r="A30" s="36">
        <v>3</v>
      </c>
      <c r="B30" s="37" t="s">
        <v>21</v>
      </c>
      <c r="C30" s="98" t="s">
        <v>495</v>
      </c>
      <c r="D30" s="37" t="s">
        <v>22</v>
      </c>
      <c r="E30" s="38">
        <v>2500</v>
      </c>
      <c r="F30" s="39">
        <v>2485.1574999999998</v>
      </c>
      <c r="G30" s="40">
        <v>7.51999E-2</v>
      </c>
      <c r="H30" s="30">
        <v>7.53</v>
      </c>
    </row>
    <row r="31" spans="1:10" ht="25.5" x14ac:dyDescent="0.2">
      <c r="A31" s="36">
        <v>4</v>
      </c>
      <c r="B31" s="37" t="s">
        <v>99</v>
      </c>
      <c r="C31" s="98" t="s">
        <v>513</v>
      </c>
      <c r="D31" s="37" t="s">
        <v>28</v>
      </c>
      <c r="E31" s="38">
        <v>250</v>
      </c>
      <c r="F31" s="39">
        <v>2453.2125000000001</v>
      </c>
      <c r="G31" s="40">
        <v>7.4233259999999995E-2</v>
      </c>
      <c r="H31" s="30">
        <v>7.5712999999999999</v>
      </c>
    </row>
    <row r="32" spans="1:10" x14ac:dyDescent="0.2">
      <c r="A32" s="36">
        <v>5</v>
      </c>
      <c r="B32" s="37" t="s">
        <v>100</v>
      </c>
      <c r="C32" s="98" t="s">
        <v>514</v>
      </c>
      <c r="D32" s="37" t="s">
        <v>22</v>
      </c>
      <c r="E32" s="38">
        <v>2000</v>
      </c>
      <c r="F32" s="39">
        <v>2003.4960000000001</v>
      </c>
      <c r="G32" s="40">
        <v>6.062501E-2</v>
      </c>
      <c r="H32" s="30">
        <v>7.52</v>
      </c>
    </row>
    <row r="33" spans="1:8" ht="25.5" x14ac:dyDescent="0.2">
      <c r="A33" s="36">
        <v>6</v>
      </c>
      <c r="B33" s="37" t="s">
        <v>101</v>
      </c>
      <c r="C33" s="98" t="s">
        <v>515</v>
      </c>
      <c r="D33" s="37" t="s">
        <v>28</v>
      </c>
      <c r="E33" s="38">
        <v>200</v>
      </c>
      <c r="F33" s="39">
        <v>1994.818</v>
      </c>
      <c r="G33" s="40">
        <v>6.036242E-2</v>
      </c>
      <c r="H33" s="30">
        <v>7.7</v>
      </c>
    </row>
    <row r="34" spans="1:8" ht="25.5" x14ac:dyDescent="0.2">
      <c r="A34" s="36">
        <v>7</v>
      </c>
      <c r="B34" s="37" t="s">
        <v>102</v>
      </c>
      <c r="C34" s="98" t="s">
        <v>516</v>
      </c>
      <c r="D34" s="37" t="s">
        <v>28</v>
      </c>
      <c r="E34" s="38">
        <v>200</v>
      </c>
      <c r="F34" s="39">
        <v>1940.4839999999999</v>
      </c>
      <c r="G34" s="40">
        <v>5.8718289999999999E-2</v>
      </c>
      <c r="H34" s="30">
        <v>7.6550000000000002</v>
      </c>
    </row>
    <row r="35" spans="1:8" ht="25.5" x14ac:dyDescent="0.2">
      <c r="A35" s="36">
        <v>8</v>
      </c>
      <c r="B35" s="37" t="s">
        <v>29</v>
      </c>
      <c r="C35" s="98" t="s">
        <v>505</v>
      </c>
      <c r="D35" s="37" t="s">
        <v>22</v>
      </c>
      <c r="E35" s="38">
        <v>1500</v>
      </c>
      <c r="F35" s="39">
        <v>1499.9639999999999</v>
      </c>
      <c r="G35" s="40">
        <v>4.5388329999999998E-2</v>
      </c>
      <c r="H35" s="30">
        <v>7.61</v>
      </c>
    </row>
    <row r="36" spans="1:8" ht="25.5" x14ac:dyDescent="0.2">
      <c r="A36" s="36">
        <v>9</v>
      </c>
      <c r="B36" s="37" t="s">
        <v>103</v>
      </c>
      <c r="C36" s="98" t="s">
        <v>517</v>
      </c>
      <c r="D36" s="37" t="s">
        <v>28</v>
      </c>
      <c r="E36" s="38">
        <v>150</v>
      </c>
      <c r="F36" s="39">
        <v>1492.7715000000001</v>
      </c>
      <c r="G36" s="40">
        <v>4.5170689999999999E-2</v>
      </c>
      <c r="H36" s="30">
        <v>7.6950000000000003</v>
      </c>
    </row>
    <row r="37" spans="1:8" x14ac:dyDescent="0.2">
      <c r="A37" s="36">
        <v>10</v>
      </c>
      <c r="B37" s="37" t="s">
        <v>43</v>
      </c>
      <c r="C37" s="37" t="s">
        <v>44</v>
      </c>
      <c r="D37" s="37" t="s">
        <v>22</v>
      </c>
      <c r="E37" s="38">
        <v>100</v>
      </c>
      <c r="F37" s="39">
        <v>1002.2430000000001</v>
      </c>
      <c r="G37" s="40">
        <v>3.032748E-2</v>
      </c>
      <c r="H37" s="30">
        <v>7.85</v>
      </c>
    </row>
    <row r="38" spans="1:8" ht="25.5" x14ac:dyDescent="0.2">
      <c r="A38" s="36">
        <v>11</v>
      </c>
      <c r="B38" s="37" t="s">
        <v>104</v>
      </c>
      <c r="C38" s="37" t="s">
        <v>105</v>
      </c>
      <c r="D38" s="37" t="s">
        <v>22</v>
      </c>
      <c r="E38" s="38">
        <v>1000</v>
      </c>
      <c r="F38" s="39">
        <v>1000.495</v>
      </c>
      <c r="G38" s="40">
        <v>3.0274590000000001E-2</v>
      </c>
      <c r="H38" s="30">
        <v>7.3371000000000004</v>
      </c>
    </row>
    <row r="39" spans="1:8" ht="25.5" x14ac:dyDescent="0.2">
      <c r="A39" s="36">
        <v>12</v>
      </c>
      <c r="B39" s="37" t="s">
        <v>35</v>
      </c>
      <c r="C39" s="98" t="s">
        <v>499</v>
      </c>
      <c r="D39" s="37" t="s">
        <v>22</v>
      </c>
      <c r="E39" s="38">
        <v>500</v>
      </c>
      <c r="F39" s="39">
        <v>501.52699999999999</v>
      </c>
      <c r="G39" s="40">
        <v>1.517601E-2</v>
      </c>
      <c r="H39" s="30">
        <v>7.51</v>
      </c>
    </row>
    <row r="40" spans="1:8" ht="25.5" x14ac:dyDescent="0.2">
      <c r="A40" s="36">
        <v>13</v>
      </c>
      <c r="B40" s="37" t="s">
        <v>106</v>
      </c>
      <c r="C40" s="98" t="s">
        <v>518</v>
      </c>
      <c r="D40" s="37" t="s">
        <v>22</v>
      </c>
      <c r="E40" s="38">
        <v>500</v>
      </c>
      <c r="F40" s="39">
        <v>501.49400000000003</v>
      </c>
      <c r="G40" s="40">
        <v>1.5175009999999999E-2</v>
      </c>
      <c r="H40" s="30">
        <v>7.53</v>
      </c>
    </row>
    <row r="41" spans="1:8" x14ac:dyDescent="0.2">
      <c r="A41" s="36">
        <v>14</v>
      </c>
      <c r="B41" s="37" t="s">
        <v>39</v>
      </c>
      <c r="C41" s="98" t="s">
        <v>507</v>
      </c>
      <c r="D41" s="37" t="s">
        <v>22</v>
      </c>
      <c r="E41" s="38">
        <v>500</v>
      </c>
      <c r="F41" s="39">
        <v>501.05450000000002</v>
      </c>
      <c r="G41" s="40">
        <v>1.516171E-2</v>
      </c>
      <c r="H41" s="30">
        <v>7.6449999999999996</v>
      </c>
    </row>
    <row r="42" spans="1:8" ht="25.5" x14ac:dyDescent="0.2">
      <c r="A42" s="36">
        <v>15</v>
      </c>
      <c r="B42" s="37" t="s">
        <v>107</v>
      </c>
      <c r="C42" s="98" t="s">
        <v>519</v>
      </c>
      <c r="D42" s="37" t="s">
        <v>22</v>
      </c>
      <c r="E42" s="38">
        <v>500</v>
      </c>
      <c r="F42" s="39">
        <v>500.834</v>
      </c>
      <c r="G42" s="40">
        <v>1.515504E-2</v>
      </c>
      <c r="H42" s="30">
        <v>7.4046000000000003</v>
      </c>
    </row>
    <row r="43" spans="1:8" ht="25.5" x14ac:dyDescent="0.2">
      <c r="A43" s="36">
        <v>16</v>
      </c>
      <c r="B43" s="37" t="s">
        <v>108</v>
      </c>
      <c r="C43" s="98" t="s">
        <v>520</v>
      </c>
      <c r="D43" s="37" t="s">
        <v>22</v>
      </c>
      <c r="E43" s="38">
        <v>500</v>
      </c>
      <c r="F43" s="39">
        <v>499.01600000000002</v>
      </c>
      <c r="G43" s="40">
        <v>1.510003E-2</v>
      </c>
      <c r="H43" s="30">
        <v>8.1527999999999992</v>
      </c>
    </row>
    <row r="44" spans="1:8" ht="25.5" x14ac:dyDescent="0.2">
      <c r="A44" s="36">
        <v>17</v>
      </c>
      <c r="B44" s="37" t="s">
        <v>109</v>
      </c>
      <c r="C44" s="98" t="s">
        <v>521</v>
      </c>
      <c r="D44" s="37" t="s">
        <v>28</v>
      </c>
      <c r="E44" s="38">
        <v>50</v>
      </c>
      <c r="F44" s="39">
        <v>498.22750000000002</v>
      </c>
      <c r="G44" s="40">
        <v>1.507617E-2</v>
      </c>
      <c r="H44" s="30">
        <v>7.71</v>
      </c>
    </row>
    <row r="45" spans="1:8" x14ac:dyDescent="0.2">
      <c r="A45" s="28"/>
      <c r="B45" s="28"/>
      <c r="C45" s="29" t="s">
        <v>11</v>
      </c>
      <c r="D45" s="28"/>
      <c r="E45" s="28" t="s">
        <v>12</v>
      </c>
      <c r="F45" s="35">
        <v>24370.989000000001</v>
      </c>
      <c r="G45" s="32">
        <v>0.73745665000000005</v>
      </c>
      <c r="H45" s="30" t="s">
        <v>12</v>
      </c>
    </row>
    <row r="46" spans="1:8" x14ac:dyDescent="0.2">
      <c r="A46" s="28"/>
      <c r="B46" s="28"/>
      <c r="C46" s="33"/>
      <c r="D46" s="28"/>
      <c r="E46" s="28"/>
      <c r="F46" s="34"/>
      <c r="G46" s="34"/>
      <c r="H46" s="30" t="s">
        <v>12</v>
      </c>
    </row>
    <row r="47" spans="1:8" x14ac:dyDescent="0.2">
      <c r="A47" s="28"/>
      <c r="B47" s="28"/>
      <c r="C47" s="29" t="s">
        <v>46</v>
      </c>
      <c r="D47" s="28"/>
      <c r="E47" s="28"/>
      <c r="F47" s="28"/>
      <c r="G47" s="28"/>
      <c r="H47" s="30" t="s">
        <v>12</v>
      </c>
    </row>
    <row r="48" spans="1:8" x14ac:dyDescent="0.2">
      <c r="A48" s="28"/>
      <c r="B48" s="28"/>
      <c r="C48" s="29" t="s">
        <v>11</v>
      </c>
      <c r="D48" s="28"/>
      <c r="E48" s="28" t="s">
        <v>12</v>
      </c>
      <c r="F48" s="31" t="s">
        <v>13</v>
      </c>
      <c r="G48" s="32">
        <v>0</v>
      </c>
      <c r="H48" s="30" t="s">
        <v>12</v>
      </c>
    </row>
    <row r="49" spans="1:8" x14ac:dyDescent="0.2">
      <c r="A49" s="28"/>
      <c r="B49" s="28"/>
      <c r="C49" s="33"/>
      <c r="D49" s="28"/>
      <c r="E49" s="28"/>
      <c r="F49" s="34"/>
      <c r="G49" s="34"/>
      <c r="H49" s="30" t="s">
        <v>12</v>
      </c>
    </row>
    <row r="50" spans="1:8" x14ac:dyDescent="0.2">
      <c r="A50" s="28"/>
      <c r="B50" s="28"/>
      <c r="C50" s="29" t="s">
        <v>47</v>
      </c>
      <c r="D50" s="28"/>
      <c r="E50" s="28"/>
      <c r="F50" s="28"/>
      <c r="G50" s="28"/>
      <c r="H50" s="30" t="s">
        <v>12</v>
      </c>
    </row>
    <row r="51" spans="1:8" x14ac:dyDescent="0.2">
      <c r="A51" s="36">
        <v>1</v>
      </c>
      <c r="B51" s="37" t="s">
        <v>48</v>
      </c>
      <c r="C51" s="37" t="s">
        <v>49</v>
      </c>
      <c r="D51" s="37" t="s">
        <v>50</v>
      </c>
      <c r="E51" s="38">
        <v>3500000</v>
      </c>
      <c r="F51" s="39">
        <v>3536.05</v>
      </c>
      <c r="G51" s="40">
        <v>0.1069995</v>
      </c>
      <c r="H51" s="30">
        <v>7.1467000000000001</v>
      </c>
    </row>
    <row r="52" spans="1:8" x14ac:dyDescent="0.2">
      <c r="A52" s="36">
        <v>2</v>
      </c>
      <c r="B52" s="37" t="s">
        <v>51</v>
      </c>
      <c r="C52" s="37" t="s">
        <v>52</v>
      </c>
      <c r="D52" s="37" t="s">
        <v>50</v>
      </c>
      <c r="E52" s="38">
        <v>2500000</v>
      </c>
      <c r="F52" s="39">
        <v>2541.09</v>
      </c>
      <c r="G52" s="40">
        <v>7.68924E-2</v>
      </c>
      <c r="H52" s="30">
        <v>7.1134000000000004</v>
      </c>
    </row>
    <row r="53" spans="1:8" x14ac:dyDescent="0.2">
      <c r="A53" s="36">
        <v>3</v>
      </c>
      <c r="B53" s="37" t="s">
        <v>110</v>
      </c>
      <c r="C53" s="37" t="s">
        <v>111</v>
      </c>
      <c r="D53" s="37" t="s">
        <v>50</v>
      </c>
      <c r="E53" s="38">
        <v>500000</v>
      </c>
      <c r="F53" s="39">
        <v>507.767</v>
      </c>
      <c r="G53" s="40">
        <v>1.5364829999999999E-2</v>
      </c>
      <c r="H53" s="30">
        <v>7.0594999999999999</v>
      </c>
    </row>
    <row r="54" spans="1:8" ht="25.5" x14ac:dyDescent="0.2">
      <c r="A54" s="36">
        <v>4</v>
      </c>
      <c r="B54" s="37" t="s">
        <v>55</v>
      </c>
      <c r="C54" s="37" t="s">
        <v>56</v>
      </c>
      <c r="D54" s="37" t="s">
        <v>50</v>
      </c>
      <c r="E54" s="38">
        <v>300000</v>
      </c>
      <c r="F54" s="39">
        <v>302.46839999999997</v>
      </c>
      <c r="G54" s="40">
        <v>9.1525800000000004E-3</v>
      </c>
      <c r="H54" s="30">
        <v>7.1017000000000001</v>
      </c>
    </row>
    <row r="55" spans="1:8" x14ac:dyDescent="0.2">
      <c r="A55" s="28"/>
      <c r="B55" s="28"/>
      <c r="C55" s="29" t="s">
        <v>11</v>
      </c>
      <c r="D55" s="28"/>
      <c r="E55" s="28" t="s">
        <v>12</v>
      </c>
      <c r="F55" s="35">
        <v>6887.3753999999999</v>
      </c>
      <c r="G55" s="32">
        <v>0.20840930999999999</v>
      </c>
      <c r="H55" s="30" t="s">
        <v>12</v>
      </c>
    </row>
    <row r="56" spans="1:8" x14ac:dyDescent="0.2">
      <c r="A56" s="28"/>
      <c r="B56" s="28"/>
      <c r="C56" s="33"/>
      <c r="D56" s="28"/>
      <c r="E56" s="28"/>
      <c r="F56" s="34"/>
      <c r="G56" s="34"/>
      <c r="H56" s="30" t="s">
        <v>12</v>
      </c>
    </row>
    <row r="57" spans="1:8" x14ac:dyDescent="0.2">
      <c r="A57" s="28"/>
      <c r="B57" s="28"/>
      <c r="C57" s="29" t="s">
        <v>57</v>
      </c>
      <c r="D57" s="28"/>
      <c r="E57" s="28"/>
      <c r="F57" s="34"/>
      <c r="G57" s="34"/>
      <c r="H57" s="30" t="s">
        <v>12</v>
      </c>
    </row>
    <row r="58" spans="1:8" x14ac:dyDescent="0.2">
      <c r="A58" s="28"/>
      <c r="B58" s="28"/>
      <c r="C58" s="29" t="s">
        <v>11</v>
      </c>
      <c r="D58" s="28"/>
      <c r="E58" s="28" t="s">
        <v>12</v>
      </c>
      <c r="F58" s="31" t="s">
        <v>13</v>
      </c>
      <c r="G58" s="32">
        <v>0</v>
      </c>
      <c r="H58" s="30" t="s">
        <v>12</v>
      </c>
    </row>
    <row r="59" spans="1:8" x14ac:dyDescent="0.2">
      <c r="A59" s="28"/>
      <c r="B59" s="28"/>
      <c r="C59" s="33"/>
      <c r="D59" s="28"/>
      <c r="E59" s="28"/>
      <c r="F59" s="34"/>
      <c r="G59" s="34"/>
      <c r="H59" s="30" t="s">
        <v>12</v>
      </c>
    </row>
    <row r="60" spans="1:8" x14ac:dyDescent="0.2">
      <c r="A60" s="28"/>
      <c r="B60" s="28"/>
      <c r="C60" s="29" t="s">
        <v>58</v>
      </c>
      <c r="D60" s="28"/>
      <c r="E60" s="28"/>
      <c r="F60" s="35">
        <v>31258.364399999999</v>
      </c>
      <c r="G60" s="32">
        <v>0.94586596000000001</v>
      </c>
      <c r="H60" s="30" t="s">
        <v>12</v>
      </c>
    </row>
    <row r="61" spans="1:8" x14ac:dyDescent="0.2">
      <c r="A61" s="28"/>
      <c r="B61" s="28"/>
      <c r="C61" s="33"/>
      <c r="D61" s="28"/>
      <c r="E61" s="28"/>
      <c r="F61" s="34"/>
      <c r="G61" s="34"/>
      <c r="H61" s="30" t="s">
        <v>12</v>
      </c>
    </row>
    <row r="62" spans="1:8" x14ac:dyDescent="0.2">
      <c r="A62" s="28"/>
      <c r="B62" s="28"/>
      <c r="C62" s="29" t="s">
        <v>59</v>
      </c>
      <c r="D62" s="28"/>
      <c r="E62" s="28"/>
      <c r="F62" s="34"/>
      <c r="G62" s="34"/>
      <c r="H62" s="30" t="s">
        <v>12</v>
      </c>
    </row>
    <row r="63" spans="1:8" x14ac:dyDescent="0.2">
      <c r="A63" s="28"/>
      <c r="B63" s="28"/>
      <c r="C63" s="29" t="s">
        <v>60</v>
      </c>
      <c r="D63" s="28"/>
      <c r="E63" s="28"/>
      <c r="F63" s="34"/>
      <c r="G63" s="34"/>
      <c r="H63" s="30" t="s">
        <v>12</v>
      </c>
    </row>
    <row r="64" spans="1:8" x14ac:dyDescent="0.2">
      <c r="A64" s="36">
        <v>1</v>
      </c>
      <c r="B64" s="37" t="s">
        <v>112</v>
      </c>
      <c r="C64" s="37" t="s">
        <v>113</v>
      </c>
      <c r="D64" s="37" t="s">
        <v>114</v>
      </c>
      <c r="E64" s="38">
        <v>60</v>
      </c>
      <c r="F64" s="39">
        <v>298.6422</v>
      </c>
      <c r="G64" s="40">
        <v>9.0367999999999993E-3</v>
      </c>
      <c r="H64" s="30">
        <v>6.9150999999999998</v>
      </c>
    </row>
    <row r="65" spans="1:8" x14ac:dyDescent="0.2">
      <c r="A65" s="28"/>
      <c r="B65" s="28"/>
      <c r="C65" s="29" t="s">
        <v>11</v>
      </c>
      <c r="D65" s="28"/>
      <c r="E65" s="28" t="s">
        <v>12</v>
      </c>
      <c r="F65" s="35">
        <v>298.6422</v>
      </c>
      <c r="G65" s="32">
        <v>9.0367999999999993E-3</v>
      </c>
      <c r="H65" s="30" t="s">
        <v>12</v>
      </c>
    </row>
    <row r="66" spans="1:8" x14ac:dyDescent="0.2">
      <c r="A66" s="28"/>
      <c r="B66" s="28"/>
      <c r="C66" s="33"/>
      <c r="D66" s="28"/>
      <c r="E66" s="28"/>
      <c r="F66" s="34"/>
      <c r="G66" s="34"/>
      <c r="H66" s="30" t="s">
        <v>12</v>
      </c>
    </row>
    <row r="67" spans="1:8" x14ac:dyDescent="0.2">
      <c r="A67" s="28"/>
      <c r="B67" s="28"/>
      <c r="C67" s="29" t="s">
        <v>61</v>
      </c>
      <c r="D67" s="28"/>
      <c r="E67" s="28"/>
      <c r="F67" s="34"/>
      <c r="G67" s="34"/>
      <c r="H67" s="30" t="s">
        <v>12</v>
      </c>
    </row>
    <row r="68" spans="1:8" x14ac:dyDescent="0.2">
      <c r="A68" s="28"/>
      <c r="B68" s="28"/>
      <c r="C68" s="29" t="s">
        <v>11</v>
      </c>
      <c r="D68" s="28"/>
      <c r="E68" s="28" t="s">
        <v>12</v>
      </c>
      <c r="F68" s="31" t="s">
        <v>13</v>
      </c>
      <c r="G68" s="32">
        <v>0</v>
      </c>
      <c r="H68" s="30" t="s">
        <v>12</v>
      </c>
    </row>
    <row r="69" spans="1:8" x14ac:dyDescent="0.2">
      <c r="A69" s="28"/>
      <c r="B69" s="28"/>
      <c r="C69" s="33"/>
      <c r="D69" s="28"/>
      <c r="E69" s="28"/>
      <c r="F69" s="34"/>
      <c r="G69" s="34"/>
      <c r="H69" s="30" t="s">
        <v>12</v>
      </c>
    </row>
    <row r="70" spans="1:8" x14ac:dyDescent="0.2">
      <c r="A70" s="28"/>
      <c r="B70" s="28"/>
      <c r="C70" s="29" t="s">
        <v>62</v>
      </c>
      <c r="D70" s="28"/>
      <c r="E70" s="28"/>
      <c r="F70" s="34"/>
      <c r="G70" s="34"/>
      <c r="H70" s="30" t="s">
        <v>12</v>
      </c>
    </row>
    <row r="71" spans="1:8" x14ac:dyDescent="0.2">
      <c r="A71" s="28"/>
      <c r="B71" s="28"/>
      <c r="C71" s="29" t="s">
        <v>11</v>
      </c>
      <c r="D71" s="28"/>
      <c r="E71" s="28" t="s">
        <v>12</v>
      </c>
      <c r="F71" s="31" t="s">
        <v>13</v>
      </c>
      <c r="G71" s="32">
        <v>0</v>
      </c>
      <c r="H71" s="30" t="s">
        <v>12</v>
      </c>
    </row>
    <row r="72" spans="1:8" x14ac:dyDescent="0.2">
      <c r="A72" s="28"/>
      <c r="B72" s="28"/>
      <c r="C72" s="33"/>
      <c r="D72" s="28"/>
      <c r="E72" s="28"/>
      <c r="F72" s="34"/>
      <c r="G72" s="34"/>
      <c r="H72" s="30" t="s">
        <v>12</v>
      </c>
    </row>
    <row r="73" spans="1:8" x14ac:dyDescent="0.2">
      <c r="A73" s="28"/>
      <c r="B73" s="28"/>
      <c r="C73" s="29" t="s">
        <v>63</v>
      </c>
      <c r="D73" s="28"/>
      <c r="E73" s="28"/>
      <c r="F73" s="34"/>
      <c r="G73" s="34"/>
      <c r="H73" s="30" t="s">
        <v>12</v>
      </c>
    </row>
    <row r="74" spans="1:8" x14ac:dyDescent="0.2">
      <c r="A74" s="36">
        <v>1</v>
      </c>
      <c r="B74" s="37"/>
      <c r="C74" s="37" t="s">
        <v>64</v>
      </c>
      <c r="D74" s="37"/>
      <c r="E74" s="41"/>
      <c r="F74" s="39">
        <v>367.54332799899998</v>
      </c>
      <c r="G74" s="40">
        <v>1.112172E-2</v>
      </c>
      <c r="H74" s="30">
        <v>6.35</v>
      </c>
    </row>
    <row r="75" spans="1:8" x14ac:dyDescent="0.2">
      <c r="A75" s="28"/>
      <c r="B75" s="28"/>
      <c r="C75" s="29" t="s">
        <v>11</v>
      </c>
      <c r="D75" s="28"/>
      <c r="E75" s="28" t="s">
        <v>12</v>
      </c>
      <c r="F75" s="35">
        <v>367.54332799899998</v>
      </c>
      <c r="G75" s="32">
        <v>1.112172E-2</v>
      </c>
      <c r="H75" s="30" t="s">
        <v>12</v>
      </c>
    </row>
    <row r="76" spans="1:8" x14ac:dyDescent="0.2">
      <c r="A76" s="28"/>
      <c r="B76" s="28"/>
      <c r="C76" s="33"/>
      <c r="D76" s="28"/>
      <c r="E76" s="28"/>
      <c r="F76" s="34"/>
      <c r="G76" s="34"/>
      <c r="H76" s="30" t="s">
        <v>12</v>
      </c>
    </row>
    <row r="77" spans="1:8" x14ac:dyDescent="0.2">
      <c r="A77" s="28"/>
      <c r="B77" s="28"/>
      <c r="C77" s="29" t="s">
        <v>65</v>
      </c>
      <c r="D77" s="28"/>
      <c r="E77" s="28"/>
      <c r="F77" s="35">
        <v>666.18552799899999</v>
      </c>
      <c r="G77" s="32">
        <v>2.0158519999999999E-2</v>
      </c>
      <c r="H77" s="30" t="s">
        <v>12</v>
      </c>
    </row>
    <row r="78" spans="1:8" x14ac:dyDescent="0.2">
      <c r="A78" s="28"/>
      <c r="B78" s="28"/>
      <c r="C78" s="34"/>
      <c r="D78" s="28"/>
      <c r="E78" s="28"/>
      <c r="F78" s="28"/>
      <c r="G78" s="28"/>
      <c r="H78" s="30" t="s">
        <v>12</v>
      </c>
    </row>
    <row r="79" spans="1:8" x14ac:dyDescent="0.2">
      <c r="A79" s="28"/>
      <c r="B79" s="28"/>
      <c r="C79" s="29" t="s">
        <v>66</v>
      </c>
      <c r="D79" s="28"/>
      <c r="E79" s="28"/>
      <c r="F79" s="28"/>
      <c r="G79" s="28"/>
      <c r="H79" s="30" t="s">
        <v>12</v>
      </c>
    </row>
    <row r="80" spans="1:8" x14ac:dyDescent="0.2">
      <c r="A80" s="28"/>
      <c r="B80" s="28"/>
      <c r="C80" s="29" t="s">
        <v>67</v>
      </c>
      <c r="D80" s="28"/>
      <c r="E80" s="28"/>
      <c r="F80" s="28"/>
      <c r="G80" s="28"/>
      <c r="H80" s="30" t="s">
        <v>12</v>
      </c>
    </row>
    <row r="81" spans="1:18" x14ac:dyDescent="0.2">
      <c r="A81" s="28"/>
      <c r="B81" s="28"/>
      <c r="C81" s="29" t="s">
        <v>11</v>
      </c>
      <c r="D81" s="28"/>
      <c r="E81" s="28" t="s">
        <v>12</v>
      </c>
      <c r="F81" s="31" t="s">
        <v>13</v>
      </c>
      <c r="G81" s="32">
        <v>0</v>
      </c>
      <c r="H81" s="30" t="s">
        <v>12</v>
      </c>
    </row>
    <row r="82" spans="1:18" x14ac:dyDescent="0.2">
      <c r="A82" s="28"/>
      <c r="B82" s="28"/>
      <c r="C82" s="33"/>
      <c r="D82" s="28"/>
      <c r="E82" s="28"/>
      <c r="F82" s="34"/>
      <c r="G82" s="34"/>
      <c r="H82" s="30" t="s">
        <v>12</v>
      </c>
    </row>
    <row r="83" spans="1:18" x14ac:dyDescent="0.2">
      <c r="A83" s="28"/>
      <c r="B83" s="28"/>
      <c r="C83" s="29" t="s">
        <v>70</v>
      </c>
      <c r="D83" s="28"/>
      <c r="E83" s="28"/>
      <c r="F83" s="28"/>
      <c r="G83" s="28"/>
      <c r="H83" s="30" t="s">
        <v>12</v>
      </c>
    </row>
    <row r="84" spans="1:18" x14ac:dyDescent="0.2">
      <c r="A84" s="28"/>
      <c r="B84" s="28"/>
      <c r="C84" s="29" t="s">
        <v>71</v>
      </c>
      <c r="D84" s="28"/>
      <c r="E84" s="28"/>
      <c r="F84" s="28"/>
      <c r="G84" s="28"/>
      <c r="H84" s="30" t="s">
        <v>12</v>
      </c>
    </row>
    <row r="85" spans="1:18" x14ac:dyDescent="0.2">
      <c r="A85" s="28"/>
      <c r="B85" s="28"/>
      <c r="C85" s="29" t="s">
        <v>11</v>
      </c>
      <c r="D85" s="28"/>
      <c r="E85" s="28" t="s">
        <v>12</v>
      </c>
      <c r="F85" s="31" t="s">
        <v>13</v>
      </c>
      <c r="G85" s="32">
        <v>0</v>
      </c>
      <c r="H85" s="30" t="s">
        <v>12</v>
      </c>
    </row>
    <row r="86" spans="1:18" x14ac:dyDescent="0.2">
      <c r="A86" s="28"/>
      <c r="B86" s="28"/>
      <c r="C86" s="33"/>
      <c r="D86" s="28"/>
      <c r="E86" s="28"/>
      <c r="F86" s="34"/>
      <c r="G86" s="34"/>
      <c r="H86" s="30" t="s">
        <v>12</v>
      </c>
    </row>
    <row r="87" spans="1:18" x14ac:dyDescent="0.2">
      <c r="A87" s="28"/>
      <c r="B87" s="28"/>
      <c r="C87" s="29" t="s">
        <v>72</v>
      </c>
      <c r="D87" s="28"/>
      <c r="E87" s="28"/>
      <c r="F87" s="34"/>
      <c r="G87" s="34"/>
      <c r="H87" s="30" t="s">
        <v>12</v>
      </c>
    </row>
    <row r="88" spans="1:18" x14ac:dyDescent="0.2">
      <c r="A88" s="28"/>
      <c r="B88" s="28"/>
      <c r="C88" s="29" t="s">
        <v>11</v>
      </c>
      <c r="D88" s="28"/>
      <c r="E88" s="28" t="s">
        <v>12</v>
      </c>
      <c r="F88" s="31" t="s">
        <v>13</v>
      </c>
      <c r="G88" s="32">
        <v>0</v>
      </c>
      <c r="H88" s="30" t="s">
        <v>12</v>
      </c>
    </row>
    <row r="89" spans="1:18" x14ac:dyDescent="0.2">
      <c r="A89" s="73"/>
      <c r="B89" s="73"/>
      <c r="C89" s="74"/>
      <c r="D89" s="73"/>
      <c r="E89" s="73"/>
      <c r="F89" s="75"/>
      <c r="G89" s="75"/>
      <c r="H89" s="30" t="s">
        <v>12</v>
      </c>
    </row>
    <row r="90" spans="1:18" x14ac:dyDescent="0.2">
      <c r="A90" s="76"/>
      <c r="B90" s="76"/>
      <c r="C90" s="64" t="s">
        <v>406</v>
      </c>
      <c r="D90" s="76"/>
      <c r="E90" s="76"/>
      <c r="F90" s="77"/>
      <c r="G90" s="77"/>
      <c r="H90" s="78"/>
      <c r="K90" s="5"/>
      <c r="L90" s="5"/>
      <c r="M90" s="5"/>
      <c r="N90" s="5"/>
      <c r="O90" s="5"/>
      <c r="P90" s="6"/>
      <c r="Q90" s="6"/>
      <c r="R90" s="6"/>
    </row>
    <row r="91" spans="1:18" ht="25.5" x14ac:dyDescent="0.2">
      <c r="A91" s="36">
        <v>1</v>
      </c>
      <c r="B91" s="37" t="s">
        <v>68</v>
      </c>
      <c r="C91" s="37" t="s">
        <v>69</v>
      </c>
      <c r="D91" s="37"/>
      <c r="E91" s="79">
        <v>1138.2429999999999</v>
      </c>
      <c r="F91" s="39">
        <v>117.328898976</v>
      </c>
      <c r="G91" s="40">
        <v>3.55033E-3</v>
      </c>
      <c r="H91" s="30"/>
    </row>
    <row r="92" spans="1:18" x14ac:dyDescent="0.2">
      <c r="A92" s="28"/>
      <c r="B92" s="28"/>
      <c r="C92" s="29" t="s">
        <v>11</v>
      </c>
      <c r="D92" s="28"/>
      <c r="E92" s="28" t="s">
        <v>12</v>
      </c>
      <c r="F92" s="35">
        <v>117.328898976</v>
      </c>
      <c r="G92" s="32">
        <v>3.55033E-3</v>
      </c>
      <c r="H92" s="30" t="s">
        <v>12</v>
      </c>
    </row>
    <row r="93" spans="1:18" x14ac:dyDescent="0.2">
      <c r="A93" s="28"/>
      <c r="B93" s="37"/>
      <c r="C93" s="37"/>
      <c r="D93" s="29"/>
      <c r="E93" s="28"/>
      <c r="F93" s="37"/>
      <c r="G93" s="41"/>
      <c r="H93" s="30" t="s">
        <v>12</v>
      </c>
    </row>
    <row r="94" spans="1:18" x14ac:dyDescent="0.2">
      <c r="A94" s="41"/>
      <c r="B94" s="37"/>
      <c r="C94" s="37" t="s">
        <v>73</v>
      </c>
      <c r="D94" s="37"/>
      <c r="E94" s="41"/>
      <c r="F94" s="39">
        <f>1005.47268514-0.000263574995994568</f>
        <v>1005.472421565004</v>
      </c>
      <c r="G94" s="40">
        <v>3.0425210000000001E-2</v>
      </c>
      <c r="H94" s="30" t="s">
        <v>12</v>
      </c>
    </row>
    <row r="95" spans="1:18" x14ac:dyDescent="0.2">
      <c r="A95" s="33"/>
      <c r="B95" s="33"/>
      <c r="C95" s="29" t="s">
        <v>74</v>
      </c>
      <c r="D95" s="34"/>
      <c r="E95" s="34"/>
      <c r="F95" s="35">
        <f>33047.351512115-0.000263574995994568</f>
        <v>33047.351248539999</v>
      </c>
      <c r="G95" s="42">
        <v>1.0000000200000001</v>
      </c>
      <c r="H95" s="30" t="s">
        <v>12</v>
      </c>
    </row>
    <row r="96" spans="1:18" x14ac:dyDescent="0.2">
      <c r="A96" s="43"/>
      <c r="B96" s="43"/>
      <c r="C96" s="43"/>
      <c r="D96" s="44"/>
      <c r="E96" s="44"/>
      <c r="F96" s="44"/>
      <c r="G96" s="44"/>
    </row>
    <row r="97" spans="1:8" x14ac:dyDescent="0.2">
      <c r="A97" s="45"/>
      <c r="B97" s="110" t="s">
        <v>407</v>
      </c>
      <c r="C97" s="110"/>
      <c r="D97" s="110"/>
      <c r="E97" s="110"/>
      <c r="F97" s="110"/>
      <c r="G97" s="110"/>
      <c r="H97" s="110"/>
    </row>
    <row r="98" spans="1:8" x14ac:dyDescent="0.2">
      <c r="A98" s="45"/>
      <c r="B98" s="110" t="s">
        <v>408</v>
      </c>
      <c r="C98" s="110"/>
      <c r="D98" s="110"/>
      <c r="E98" s="110"/>
      <c r="F98" s="110"/>
      <c r="G98" s="110"/>
      <c r="H98" s="110"/>
    </row>
    <row r="99" spans="1:8" x14ac:dyDescent="0.2">
      <c r="A99" s="45"/>
      <c r="B99" s="110" t="s">
        <v>409</v>
      </c>
      <c r="C99" s="110"/>
      <c r="D99" s="110"/>
      <c r="E99" s="110"/>
      <c r="F99" s="110"/>
      <c r="G99" s="110"/>
      <c r="H99" s="110"/>
    </row>
    <row r="100" spans="1:8" x14ac:dyDescent="0.2">
      <c r="A100" s="47"/>
      <c r="B100" s="47"/>
      <c r="C100" s="47"/>
      <c r="D100" s="48"/>
      <c r="E100" s="48"/>
      <c r="F100" s="48"/>
      <c r="G100" s="48"/>
    </row>
    <row r="101" spans="1:8" x14ac:dyDescent="0.2">
      <c r="A101" s="47"/>
      <c r="B101" s="112" t="s">
        <v>75</v>
      </c>
      <c r="C101" s="113"/>
      <c r="D101" s="114"/>
      <c r="E101" s="49"/>
      <c r="F101" s="48"/>
      <c r="G101" s="48"/>
    </row>
    <row r="102" spans="1:8" x14ac:dyDescent="0.2">
      <c r="A102" s="47"/>
      <c r="B102" s="115" t="s">
        <v>76</v>
      </c>
      <c r="C102" s="116"/>
      <c r="D102" s="29" t="s">
        <v>77</v>
      </c>
      <c r="E102" s="49"/>
      <c r="F102" s="48"/>
      <c r="G102" s="48"/>
    </row>
    <row r="103" spans="1:8" x14ac:dyDescent="0.2">
      <c r="A103" s="47"/>
      <c r="B103" s="115" t="s">
        <v>78</v>
      </c>
      <c r="C103" s="116"/>
      <c r="D103" s="29" t="s">
        <v>77</v>
      </c>
      <c r="E103" s="49"/>
      <c r="F103" s="48"/>
      <c r="G103" s="48"/>
    </row>
    <row r="104" spans="1:8" x14ac:dyDescent="0.2">
      <c r="A104" s="47"/>
      <c r="B104" s="115" t="s">
        <v>79</v>
      </c>
      <c r="C104" s="116"/>
      <c r="D104" s="34" t="s">
        <v>12</v>
      </c>
      <c r="E104" s="49"/>
      <c r="F104" s="48"/>
      <c r="G104" s="48"/>
    </row>
    <row r="105" spans="1:8" x14ac:dyDescent="0.2">
      <c r="A105" s="50"/>
      <c r="B105" s="51" t="s">
        <v>12</v>
      </c>
      <c r="C105" s="51" t="s">
        <v>458</v>
      </c>
      <c r="D105" s="51" t="s">
        <v>80</v>
      </c>
      <c r="E105" s="50"/>
      <c r="F105" s="50"/>
      <c r="G105" s="50"/>
      <c r="H105" s="52"/>
    </row>
    <row r="106" spans="1:8" x14ac:dyDescent="0.2">
      <c r="A106" s="53"/>
      <c r="B106" s="54" t="s">
        <v>81</v>
      </c>
      <c r="C106" s="55" t="s">
        <v>82</v>
      </c>
      <c r="D106" s="55" t="s">
        <v>83</v>
      </c>
      <c r="E106" s="53"/>
      <c r="F106" s="53"/>
      <c r="G106" s="53"/>
    </row>
    <row r="107" spans="1:8" x14ac:dyDescent="0.2">
      <c r="A107" s="53"/>
      <c r="B107" s="37" t="s">
        <v>84</v>
      </c>
      <c r="C107" s="56">
        <v>40.048099999999998</v>
      </c>
      <c r="D107" s="56">
        <v>40.224499999999999</v>
      </c>
      <c r="E107" s="53"/>
      <c r="F107" s="57"/>
      <c r="G107" s="58"/>
    </row>
    <row r="108" spans="1:8" x14ac:dyDescent="0.2">
      <c r="A108" s="53"/>
      <c r="B108" s="37" t="s">
        <v>115</v>
      </c>
      <c r="C108" s="56">
        <v>20.034800000000001</v>
      </c>
      <c r="D108" s="56">
        <v>20.123000000000001</v>
      </c>
      <c r="E108" s="53"/>
      <c r="F108" s="57"/>
      <c r="G108" s="58"/>
    </row>
    <row r="109" spans="1:8" ht="25.5" x14ac:dyDescent="0.2">
      <c r="A109" s="53"/>
      <c r="B109" s="37" t="s">
        <v>85</v>
      </c>
      <c r="C109" s="56">
        <v>11.538</v>
      </c>
      <c r="D109" s="56">
        <v>11.588800000000001</v>
      </c>
      <c r="E109" s="53"/>
      <c r="F109" s="57"/>
      <c r="G109" s="58"/>
    </row>
    <row r="110" spans="1:8" x14ac:dyDescent="0.2">
      <c r="A110" s="53"/>
      <c r="B110" s="37" t="s">
        <v>89</v>
      </c>
      <c r="C110" s="56">
        <v>39.5426</v>
      </c>
      <c r="D110" s="56">
        <v>39.714500000000001</v>
      </c>
      <c r="E110" s="53"/>
      <c r="F110" s="57"/>
      <c r="G110" s="58"/>
    </row>
    <row r="111" spans="1:8" x14ac:dyDescent="0.2">
      <c r="A111" s="53"/>
      <c r="B111" s="37" t="s">
        <v>116</v>
      </c>
      <c r="C111" s="56">
        <v>19.940200000000001</v>
      </c>
      <c r="D111" s="56">
        <v>20.026900000000001</v>
      </c>
      <c r="E111" s="53"/>
      <c r="F111" s="57"/>
      <c r="G111" s="58"/>
    </row>
    <row r="112" spans="1:8" ht="25.5" x14ac:dyDescent="0.2">
      <c r="A112" s="53"/>
      <c r="B112" s="37" t="s">
        <v>90</v>
      </c>
      <c r="C112" s="56">
        <v>11.590400000000001</v>
      </c>
      <c r="D112" s="56">
        <v>11.6408</v>
      </c>
      <c r="E112" s="53"/>
      <c r="F112" s="57"/>
      <c r="G112" s="58"/>
    </row>
    <row r="113" spans="1:15" x14ac:dyDescent="0.2">
      <c r="A113" s="53"/>
      <c r="B113" s="53"/>
      <c r="C113" s="53"/>
      <c r="D113" s="53"/>
      <c r="E113" s="53"/>
      <c r="F113" s="53"/>
      <c r="G113" s="53"/>
    </row>
    <row r="114" spans="1:15" x14ac:dyDescent="0.2">
      <c r="A114" s="53"/>
      <c r="B114" s="115" t="s">
        <v>94</v>
      </c>
      <c r="C114" s="116"/>
      <c r="D114" s="64" t="s">
        <v>77</v>
      </c>
      <c r="E114" s="53"/>
      <c r="F114" s="53"/>
      <c r="G114" s="53"/>
    </row>
    <row r="115" spans="1:15" x14ac:dyDescent="0.2">
      <c r="A115" s="53"/>
      <c r="B115" s="66"/>
      <c r="C115" s="66"/>
      <c r="D115" s="66"/>
      <c r="E115" s="53"/>
      <c r="F115" s="53"/>
      <c r="G115" s="53"/>
    </row>
    <row r="116" spans="1:15" s="7" customFormat="1" x14ac:dyDescent="0.2">
      <c r="A116" s="80"/>
      <c r="B116" s="117" t="s">
        <v>419</v>
      </c>
      <c r="C116" s="118"/>
      <c r="D116" s="64" t="s">
        <v>77</v>
      </c>
      <c r="E116" s="80"/>
      <c r="F116" s="46"/>
      <c r="G116" s="80"/>
      <c r="I116"/>
      <c r="J116" s="2"/>
      <c r="K116" s="5"/>
      <c r="L116" s="5"/>
      <c r="M116" s="5"/>
      <c r="N116" s="5"/>
      <c r="O116" s="8"/>
    </row>
    <row r="117" spans="1:15" x14ac:dyDescent="0.2">
      <c r="A117" s="50"/>
      <c r="B117" s="117" t="s">
        <v>420</v>
      </c>
      <c r="C117" s="118"/>
      <c r="D117" s="64" t="s">
        <v>77</v>
      </c>
      <c r="E117" s="65"/>
      <c r="F117" s="50"/>
      <c r="G117" s="50"/>
    </row>
    <row r="118" spans="1:15" x14ac:dyDescent="0.2">
      <c r="A118" s="50"/>
      <c r="B118" s="117" t="s">
        <v>421</v>
      </c>
      <c r="C118" s="118"/>
      <c r="D118" s="64" t="s">
        <v>77</v>
      </c>
      <c r="E118" s="65"/>
      <c r="F118" s="50"/>
      <c r="G118" s="50"/>
    </row>
    <row r="119" spans="1:15" x14ac:dyDescent="0.2">
      <c r="A119" s="50"/>
      <c r="B119" s="117" t="s">
        <v>422</v>
      </c>
      <c r="C119" s="118"/>
      <c r="D119" s="64" t="s">
        <v>77</v>
      </c>
      <c r="E119" s="65"/>
      <c r="F119" s="50"/>
      <c r="G119" s="50"/>
    </row>
    <row r="120" spans="1:15" x14ac:dyDescent="0.2">
      <c r="A120" s="66"/>
      <c r="B120" s="66"/>
      <c r="C120" s="66"/>
      <c r="D120" s="66"/>
      <c r="E120" s="66"/>
      <c r="F120" s="66"/>
      <c r="G120" s="66"/>
    </row>
    <row r="121" spans="1:15" s="7" customFormat="1" x14ac:dyDescent="0.2">
      <c r="B121" s="119" t="s">
        <v>411</v>
      </c>
      <c r="C121" s="120"/>
      <c r="D121" s="121"/>
      <c r="I121"/>
      <c r="J121" s="2"/>
      <c r="K121" s="5"/>
      <c r="L121" s="5"/>
      <c r="M121" s="5"/>
      <c r="N121" s="5"/>
      <c r="O121" s="8"/>
    </row>
    <row r="122" spans="1:15" s="7" customFormat="1" ht="38.25" x14ac:dyDescent="0.2">
      <c r="B122" s="111" t="s">
        <v>412</v>
      </c>
      <c r="C122" s="111"/>
      <c r="D122" s="67" t="s">
        <v>97</v>
      </c>
      <c r="I122"/>
      <c r="J122" s="2"/>
      <c r="K122" s="5"/>
      <c r="L122" s="5"/>
      <c r="M122" s="5"/>
      <c r="N122" s="5"/>
      <c r="O122" s="8"/>
    </row>
    <row r="123" spans="1:15" s="7" customFormat="1" x14ac:dyDescent="0.2">
      <c r="B123" s="107" t="s">
        <v>413</v>
      </c>
      <c r="C123" s="107"/>
      <c r="D123" s="68"/>
      <c r="I123"/>
      <c r="J123" s="2"/>
      <c r="K123" s="5"/>
      <c r="L123" s="5"/>
      <c r="M123" s="5"/>
      <c r="N123" s="5"/>
      <c r="O123" s="8"/>
    </row>
    <row r="124" spans="1:15" s="7" customFormat="1" x14ac:dyDescent="0.2">
      <c r="B124" s="107"/>
      <c r="C124" s="107"/>
      <c r="D124" s="69"/>
      <c r="I124"/>
      <c r="J124" s="2"/>
      <c r="K124" s="5"/>
      <c r="L124" s="5"/>
      <c r="M124" s="5"/>
      <c r="N124" s="5"/>
      <c r="O124" s="8"/>
    </row>
    <row r="125" spans="1:15" s="7" customFormat="1" x14ac:dyDescent="0.2">
      <c r="B125" s="107" t="s">
        <v>414</v>
      </c>
      <c r="C125" s="107"/>
      <c r="D125" s="70">
        <v>7.4667595482667606</v>
      </c>
      <c r="I125"/>
      <c r="J125" s="2"/>
      <c r="K125" s="5"/>
      <c r="L125" s="5"/>
      <c r="M125" s="5"/>
      <c r="N125" s="5"/>
      <c r="O125" s="8"/>
    </row>
    <row r="126" spans="1:15" s="7" customFormat="1" x14ac:dyDescent="0.2">
      <c r="B126" s="107"/>
      <c r="C126" s="107"/>
      <c r="D126" s="69"/>
      <c r="I126"/>
      <c r="J126" s="2"/>
      <c r="K126" s="5"/>
      <c r="L126" s="5"/>
      <c r="M126" s="5"/>
      <c r="N126" s="5"/>
      <c r="O126" s="8"/>
    </row>
    <row r="127" spans="1:15" s="7" customFormat="1" x14ac:dyDescent="0.2">
      <c r="B127" s="107" t="s">
        <v>415</v>
      </c>
      <c r="C127" s="107"/>
      <c r="D127" s="70">
        <v>3.3027006956125158</v>
      </c>
      <c r="I127"/>
      <c r="J127" s="2"/>
      <c r="K127" s="5"/>
      <c r="L127" s="5"/>
      <c r="M127" s="5"/>
      <c r="N127" s="5"/>
      <c r="O127" s="8"/>
    </row>
    <row r="128" spans="1:15" s="7" customFormat="1" x14ac:dyDescent="0.2">
      <c r="B128" s="107" t="s">
        <v>416</v>
      </c>
      <c r="C128" s="107"/>
      <c r="D128" s="70">
        <v>4.008337499013706</v>
      </c>
      <c r="I128"/>
      <c r="J128" s="2"/>
      <c r="K128" s="5"/>
      <c r="L128" s="5"/>
      <c r="M128" s="5"/>
      <c r="N128" s="5"/>
      <c r="O128" s="8"/>
    </row>
    <row r="129" spans="2:18" s="7" customFormat="1" x14ac:dyDescent="0.2">
      <c r="B129" s="107"/>
      <c r="C129" s="107"/>
      <c r="D129" s="69"/>
      <c r="I129"/>
      <c r="J129" s="5"/>
      <c r="K129" s="5"/>
      <c r="L129" s="5"/>
      <c r="M129" s="5"/>
      <c r="N129" s="5"/>
      <c r="O129" s="8"/>
      <c r="R129"/>
    </row>
    <row r="130" spans="2:18" s="7" customFormat="1" x14ac:dyDescent="0.2">
      <c r="B130" s="107" t="s">
        <v>417</v>
      </c>
      <c r="C130" s="107"/>
      <c r="D130" s="71" t="s">
        <v>454</v>
      </c>
      <c r="I130"/>
      <c r="J130" s="2"/>
      <c r="K130" s="5"/>
      <c r="L130" s="5"/>
      <c r="M130" s="5"/>
      <c r="N130" s="5"/>
      <c r="O130" s="8"/>
      <c r="R130"/>
    </row>
    <row r="131" spans="2:18" s="7" customFormat="1" x14ac:dyDescent="0.2">
      <c r="B131" s="105" t="s">
        <v>418</v>
      </c>
      <c r="C131" s="108"/>
      <c r="D131" s="106"/>
      <c r="I131"/>
      <c r="J131" s="2"/>
      <c r="K131" s="5"/>
      <c r="L131" s="5"/>
      <c r="M131" s="5"/>
      <c r="N131" s="5"/>
      <c r="O131" s="8"/>
      <c r="R131"/>
    </row>
  </sheetData>
  <mergeCells count="26">
    <mergeCell ref="B119:C119"/>
    <mergeCell ref="B122:C122"/>
    <mergeCell ref="B123:C123"/>
    <mergeCell ref="B121:D121"/>
    <mergeCell ref="B118:C118"/>
    <mergeCell ref="A1:H1"/>
    <mergeCell ref="A2:H2"/>
    <mergeCell ref="A3:H3"/>
    <mergeCell ref="B97:H97"/>
    <mergeCell ref="B98:H98"/>
    <mergeCell ref="B99:H99"/>
    <mergeCell ref="B116:C116"/>
    <mergeCell ref="B117:C117"/>
    <mergeCell ref="B101:D101"/>
    <mergeCell ref="B102:C102"/>
    <mergeCell ref="B103:C103"/>
    <mergeCell ref="B104:C104"/>
    <mergeCell ref="B114:C114"/>
    <mergeCell ref="B129:C129"/>
    <mergeCell ref="B130:C130"/>
    <mergeCell ref="B131:D131"/>
    <mergeCell ref="B124:C124"/>
    <mergeCell ref="B125:C125"/>
    <mergeCell ref="B126:C126"/>
    <mergeCell ref="B127:C127"/>
    <mergeCell ref="B128:C128"/>
  </mergeCells>
  <hyperlinks>
    <hyperlink ref="I1" location="Index!B3" display="Index" xr:uid="{C2CF83FF-0B49-40E5-8E17-8153FDF0BF4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601-F2A6-4578-9C94-04976E6C2EA6}">
  <sheetPr>
    <outlinePr summaryBelow="0" summaryRight="0"/>
  </sheetPr>
  <dimension ref="A1:R131"/>
  <sheetViews>
    <sheetView showGridLines="0" workbookViewId="0">
      <selection activeCell="A55" sqref="A1:H1048576"/>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customWidth="1"/>
    <col min="9" max="9" width="6" bestFit="1" customWidth="1"/>
    <col min="10" max="10" width="50.7109375" style="2" customWidth="1"/>
  </cols>
  <sheetData>
    <row r="1" spans="1:10" ht="15" x14ac:dyDescent="0.2">
      <c r="A1" s="109" t="s">
        <v>0</v>
      </c>
      <c r="B1" s="109"/>
      <c r="C1" s="109"/>
      <c r="D1" s="109"/>
      <c r="E1" s="109"/>
      <c r="F1" s="109"/>
      <c r="G1" s="109"/>
      <c r="H1" s="109"/>
      <c r="I1" s="1" t="s">
        <v>459</v>
      </c>
    </row>
    <row r="2" spans="1:10" ht="15" x14ac:dyDescent="0.2">
      <c r="A2" s="109" t="s">
        <v>117</v>
      </c>
      <c r="B2" s="109"/>
      <c r="C2" s="109"/>
      <c r="D2" s="109"/>
      <c r="E2" s="109"/>
      <c r="F2" s="109"/>
      <c r="G2" s="109"/>
      <c r="H2" s="109"/>
      <c r="J2" s="3" t="s">
        <v>460</v>
      </c>
    </row>
    <row r="3" spans="1:10" ht="15" x14ac:dyDescent="0.2">
      <c r="A3" s="109" t="s">
        <v>494</v>
      </c>
      <c r="B3" s="109"/>
      <c r="C3" s="109"/>
      <c r="D3" s="109"/>
      <c r="E3" s="109"/>
      <c r="F3" s="109"/>
      <c r="G3" s="109"/>
      <c r="H3" s="109"/>
    </row>
    <row r="4" spans="1:10" s="4" customFormat="1" ht="30" x14ac:dyDescent="0.2">
      <c r="A4" s="26" t="s">
        <v>2</v>
      </c>
      <c r="B4" s="26" t="s">
        <v>3</v>
      </c>
      <c r="C4" s="26" t="s">
        <v>4</v>
      </c>
      <c r="D4" s="26" t="s">
        <v>5</v>
      </c>
      <c r="E4" s="26" t="s">
        <v>6</v>
      </c>
      <c r="F4" s="26" t="s">
        <v>7</v>
      </c>
      <c r="G4" s="26" t="s">
        <v>8</v>
      </c>
      <c r="H4" s="27" t="s">
        <v>405</v>
      </c>
      <c r="J4" s="2"/>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8"/>
    </row>
    <row r="13" spans="1:10" x14ac:dyDescent="0.2">
      <c r="A13" s="28"/>
      <c r="B13" s="28"/>
      <c r="C13" s="29" t="s">
        <v>11</v>
      </c>
      <c r="D13" s="28"/>
      <c r="E13" s="28" t="s">
        <v>12</v>
      </c>
      <c r="F13" s="31" t="s">
        <v>13</v>
      </c>
      <c r="G13" s="32">
        <v>0</v>
      </c>
      <c r="H13" s="30" t="s">
        <v>12</v>
      </c>
      <c r="J13" s="17"/>
    </row>
    <row r="14" spans="1:10" x14ac:dyDescent="0.2">
      <c r="A14" s="28"/>
      <c r="B14" s="28"/>
      <c r="C14" s="33"/>
      <c r="D14" s="28"/>
      <c r="E14" s="28"/>
      <c r="F14" s="34"/>
      <c r="G14" s="34"/>
      <c r="H14" s="30" t="s">
        <v>12</v>
      </c>
    </row>
    <row r="15" spans="1:10" ht="25.5" x14ac:dyDescent="0.2">
      <c r="A15" s="28"/>
      <c r="B15" s="28"/>
      <c r="C15" s="29" t="s">
        <v>16</v>
      </c>
      <c r="D15" s="28"/>
      <c r="E15" s="28"/>
      <c r="F15" s="28"/>
      <c r="G15" s="28"/>
      <c r="H15" s="30" t="s">
        <v>12</v>
      </c>
      <c r="J15" s="17" t="s">
        <v>464</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8"/>
    </row>
    <row r="23" spans="1:10" x14ac:dyDescent="0.2">
      <c r="A23" s="28"/>
      <c r="B23" s="28"/>
      <c r="C23" s="33"/>
      <c r="D23" s="28"/>
      <c r="E23" s="28"/>
      <c r="F23" s="34"/>
      <c r="G23" s="34"/>
      <c r="H23" s="30" t="s">
        <v>12</v>
      </c>
      <c r="J23" s="17"/>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row>
    <row r="28" spans="1:10" ht="25.5" x14ac:dyDescent="0.2">
      <c r="A28" s="28"/>
      <c r="B28" s="28"/>
      <c r="C28" s="29" t="s">
        <v>11</v>
      </c>
      <c r="D28" s="28"/>
      <c r="E28" s="28" t="s">
        <v>12</v>
      </c>
      <c r="F28" s="31" t="s">
        <v>13</v>
      </c>
      <c r="G28" s="32">
        <v>0</v>
      </c>
      <c r="H28" s="30" t="s">
        <v>12</v>
      </c>
      <c r="J28" s="17" t="s">
        <v>465</v>
      </c>
    </row>
    <row r="29" spans="1:10" x14ac:dyDescent="0.2">
      <c r="A29" s="28"/>
      <c r="B29" s="28"/>
      <c r="C29" s="33"/>
      <c r="D29" s="28"/>
      <c r="E29" s="28"/>
      <c r="F29" s="34"/>
      <c r="G29" s="34"/>
      <c r="H29" s="30" t="s">
        <v>12</v>
      </c>
      <c r="J29" s="17"/>
    </row>
    <row r="30" spans="1:10" x14ac:dyDescent="0.2">
      <c r="A30" s="28"/>
      <c r="B30" s="28"/>
      <c r="C30" s="29" t="s">
        <v>46</v>
      </c>
      <c r="D30" s="28"/>
      <c r="E30" s="28"/>
      <c r="F30" s="28"/>
      <c r="G30" s="28"/>
      <c r="H30" s="30" t="s">
        <v>12</v>
      </c>
    </row>
    <row r="31" spans="1:10" x14ac:dyDescent="0.2">
      <c r="A31" s="28"/>
      <c r="B31" s="28"/>
      <c r="C31" s="29" t="s">
        <v>11</v>
      </c>
      <c r="D31" s="28"/>
      <c r="E31" s="28" t="s">
        <v>12</v>
      </c>
      <c r="F31" s="31" t="s">
        <v>13</v>
      </c>
      <c r="G31" s="32">
        <v>0</v>
      </c>
      <c r="H31" s="30" t="s">
        <v>12</v>
      </c>
    </row>
    <row r="32" spans="1:10" x14ac:dyDescent="0.2">
      <c r="A32" s="28"/>
      <c r="B32" s="28"/>
      <c r="C32" s="33"/>
      <c r="D32" s="28"/>
      <c r="E32" s="28"/>
      <c r="F32" s="34"/>
      <c r="G32" s="34"/>
      <c r="H32" s="30" t="s">
        <v>12</v>
      </c>
    </row>
    <row r="33" spans="1:8" x14ac:dyDescent="0.2">
      <c r="A33" s="28"/>
      <c r="B33" s="28"/>
      <c r="C33" s="29" t="s">
        <v>47</v>
      </c>
      <c r="D33" s="28"/>
      <c r="E33" s="28"/>
      <c r="F33" s="28"/>
      <c r="G33" s="28"/>
      <c r="H33" s="30" t="s">
        <v>12</v>
      </c>
    </row>
    <row r="34" spans="1:8" x14ac:dyDescent="0.2">
      <c r="A34" s="28"/>
      <c r="B34" s="28"/>
      <c r="C34" s="29" t="s">
        <v>11</v>
      </c>
      <c r="D34" s="28"/>
      <c r="E34" s="28" t="s">
        <v>12</v>
      </c>
      <c r="F34" s="31" t="s">
        <v>13</v>
      </c>
      <c r="G34" s="32">
        <v>0</v>
      </c>
      <c r="H34" s="30" t="s">
        <v>12</v>
      </c>
    </row>
    <row r="35" spans="1:8" x14ac:dyDescent="0.2">
      <c r="A35" s="28"/>
      <c r="B35" s="28"/>
      <c r="C35" s="33"/>
      <c r="D35" s="28"/>
      <c r="E35" s="28"/>
      <c r="F35" s="34"/>
      <c r="G35" s="34"/>
      <c r="H35" s="30" t="s">
        <v>12</v>
      </c>
    </row>
    <row r="36" spans="1:8" x14ac:dyDescent="0.2">
      <c r="A36" s="28"/>
      <c r="B36" s="28"/>
      <c r="C36" s="29" t="s">
        <v>57</v>
      </c>
      <c r="D36" s="28"/>
      <c r="E36" s="28"/>
      <c r="F36" s="34"/>
      <c r="G36" s="34"/>
      <c r="H36" s="30" t="s">
        <v>12</v>
      </c>
    </row>
    <row r="37" spans="1:8" x14ac:dyDescent="0.2">
      <c r="A37" s="28"/>
      <c r="B37" s="28"/>
      <c r="C37" s="29" t="s">
        <v>11</v>
      </c>
      <c r="D37" s="28"/>
      <c r="E37" s="28" t="s">
        <v>12</v>
      </c>
      <c r="F37" s="31" t="s">
        <v>13</v>
      </c>
      <c r="G37" s="32">
        <v>0</v>
      </c>
      <c r="H37" s="30" t="s">
        <v>12</v>
      </c>
    </row>
    <row r="38" spans="1:8" x14ac:dyDescent="0.2">
      <c r="A38" s="28"/>
      <c r="B38" s="28"/>
      <c r="C38" s="33"/>
      <c r="D38" s="28"/>
      <c r="E38" s="28"/>
      <c r="F38" s="34"/>
      <c r="G38" s="34"/>
      <c r="H38" s="30" t="s">
        <v>12</v>
      </c>
    </row>
    <row r="39" spans="1:8" x14ac:dyDescent="0.2">
      <c r="A39" s="28"/>
      <c r="B39" s="28"/>
      <c r="C39" s="29" t="s">
        <v>58</v>
      </c>
      <c r="D39" s="28"/>
      <c r="E39" s="28"/>
      <c r="F39" s="35">
        <v>0</v>
      </c>
      <c r="G39" s="32">
        <v>0</v>
      </c>
      <c r="H39" s="30" t="s">
        <v>12</v>
      </c>
    </row>
    <row r="40" spans="1:8" x14ac:dyDescent="0.2">
      <c r="A40" s="28"/>
      <c r="B40" s="28"/>
      <c r="C40" s="33"/>
      <c r="D40" s="28"/>
      <c r="E40" s="28"/>
      <c r="F40" s="34"/>
      <c r="G40" s="34"/>
      <c r="H40" s="30" t="s">
        <v>12</v>
      </c>
    </row>
    <row r="41" spans="1:8" x14ac:dyDescent="0.2">
      <c r="A41" s="28"/>
      <c r="B41" s="28"/>
      <c r="C41" s="29" t="s">
        <v>59</v>
      </c>
      <c r="D41" s="28"/>
      <c r="E41" s="28"/>
      <c r="F41" s="34"/>
      <c r="G41" s="34"/>
      <c r="H41" s="30" t="s">
        <v>12</v>
      </c>
    </row>
    <row r="42" spans="1:8" x14ac:dyDescent="0.2">
      <c r="A42" s="28"/>
      <c r="B42" s="28"/>
      <c r="C42" s="29" t="s">
        <v>60</v>
      </c>
      <c r="D42" s="28"/>
      <c r="E42" s="28"/>
      <c r="F42" s="34"/>
      <c r="G42" s="34"/>
      <c r="H42" s="30" t="s">
        <v>12</v>
      </c>
    </row>
    <row r="43" spans="1:8" x14ac:dyDescent="0.2">
      <c r="A43" s="36">
        <v>1</v>
      </c>
      <c r="B43" s="37" t="s">
        <v>118</v>
      </c>
      <c r="C43" s="37" t="s">
        <v>119</v>
      </c>
      <c r="D43" s="37" t="s">
        <v>114</v>
      </c>
      <c r="E43" s="38">
        <v>500</v>
      </c>
      <c r="F43" s="39">
        <v>2391.0475000000001</v>
      </c>
      <c r="G43" s="40">
        <v>9.84289E-2</v>
      </c>
      <c r="H43" s="30">
        <v>7.4249999999999998</v>
      </c>
    </row>
    <row r="44" spans="1:8" x14ac:dyDescent="0.2">
      <c r="A44" s="36">
        <v>2</v>
      </c>
      <c r="B44" s="37" t="s">
        <v>120</v>
      </c>
      <c r="C44" s="37" t="s">
        <v>121</v>
      </c>
      <c r="D44" s="37" t="s">
        <v>122</v>
      </c>
      <c r="E44" s="38">
        <v>300</v>
      </c>
      <c r="F44" s="39">
        <v>1436.3145</v>
      </c>
      <c r="G44" s="40">
        <v>5.9126749999999999E-2</v>
      </c>
      <c r="H44" s="30">
        <v>7.39</v>
      </c>
    </row>
    <row r="45" spans="1:8" x14ac:dyDescent="0.2">
      <c r="A45" s="36">
        <v>3</v>
      </c>
      <c r="B45" s="37" t="s">
        <v>123</v>
      </c>
      <c r="C45" s="37" t="s">
        <v>124</v>
      </c>
      <c r="D45" s="37" t="s">
        <v>114</v>
      </c>
      <c r="E45" s="38">
        <v>300</v>
      </c>
      <c r="F45" s="39">
        <v>1433.8575000000001</v>
      </c>
      <c r="G45" s="40">
        <v>5.9025599999999998E-2</v>
      </c>
      <c r="H45" s="30">
        <v>7.45</v>
      </c>
    </row>
    <row r="46" spans="1:8" x14ac:dyDescent="0.2">
      <c r="A46" s="36">
        <v>4</v>
      </c>
      <c r="B46" s="37" t="s">
        <v>125</v>
      </c>
      <c r="C46" s="37" t="s">
        <v>126</v>
      </c>
      <c r="D46" s="37" t="s">
        <v>114</v>
      </c>
      <c r="E46" s="38">
        <v>300</v>
      </c>
      <c r="F46" s="39">
        <v>1428.2835</v>
      </c>
      <c r="G46" s="40">
        <v>5.8796149999999998E-2</v>
      </c>
      <c r="H46" s="30">
        <v>7.4199000000000002</v>
      </c>
    </row>
    <row r="47" spans="1:8" x14ac:dyDescent="0.2">
      <c r="A47" s="36">
        <v>5</v>
      </c>
      <c r="B47" s="37" t="s">
        <v>127</v>
      </c>
      <c r="C47" s="37" t="s">
        <v>128</v>
      </c>
      <c r="D47" s="37" t="s">
        <v>114</v>
      </c>
      <c r="E47" s="38">
        <v>300</v>
      </c>
      <c r="F47" s="39">
        <v>1409.0550000000001</v>
      </c>
      <c r="G47" s="40">
        <v>5.8004590000000002E-2</v>
      </c>
      <c r="H47" s="30">
        <v>7.5750000000000002</v>
      </c>
    </row>
    <row r="48" spans="1:8" x14ac:dyDescent="0.2">
      <c r="A48" s="36">
        <v>6</v>
      </c>
      <c r="B48" s="37" t="s">
        <v>129</v>
      </c>
      <c r="C48" s="37" t="s">
        <v>130</v>
      </c>
      <c r="D48" s="37" t="s">
        <v>114</v>
      </c>
      <c r="E48" s="38">
        <v>300</v>
      </c>
      <c r="F48" s="39">
        <v>1400.5035</v>
      </c>
      <c r="G48" s="40">
        <v>5.765257E-2</v>
      </c>
      <c r="H48" s="30">
        <v>7.56</v>
      </c>
    </row>
    <row r="49" spans="1:8" x14ac:dyDescent="0.2">
      <c r="A49" s="36">
        <v>7</v>
      </c>
      <c r="B49" s="37" t="s">
        <v>131</v>
      </c>
      <c r="C49" s="37" t="s">
        <v>132</v>
      </c>
      <c r="D49" s="37" t="s">
        <v>114</v>
      </c>
      <c r="E49" s="38">
        <v>200</v>
      </c>
      <c r="F49" s="39">
        <v>972.28800000000001</v>
      </c>
      <c r="G49" s="40">
        <v>4.0024820000000003E-2</v>
      </c>
      <c r="H49" s="30">
        <v>7.2750000000000004</v>
      </c>
    </row>
    <row r="50" spans="1:8" x14ac:dyDescent="0.2">
      <c r="A50" s="36">
        <v>8</v>
      </c>
      <c r="B50" s="37" t="s">
        <v>133</v>
      </c>
      <c r="C50" s="37" t="s">
        <v>134</v>
      </c>
      <c r="D50" s="37" t="s">
        <v>114</v>
      </c>
      <c r="E50" s="38">
        <v>200</v>
      </c>
      <c r="F50" s="39">
        <v>971.029</v>
      </c>
      <c r="G50" s="40">
        <v>3.997299E-2</v>
      </c>
      <c r="H50" s="30">
        <v>7.26</v>
      </c>
    </row>
    <row r="51" spans="1:8" ht="25.5" x14ac:dyDescent="0.2">
      <c r="A51" s="36">
        <v>9</v>
      </c>
      <c r="B51" s="37" t="s">
        <v>135</v>
      </c>
      <c r="C51" s="37" t="s">
        <v>136</v>
      </c>
      <c r="D51" s="37" t="s">
        <v>114</v>
      </c>
      <c r="E51" s="38">
        <v>200</v>
      </c>
      <c r="F51" s="39">
        <v>958.71100000000001</v>
      </c>
      <c r="G51" s="40">
        <v>3.946591E-2</v>
      </c>
      <c r="H51" s="30">
        <v>7.45</v>
      </c>
    </row>
    <row r="52" spans="1:8" x14ac:dyDescent="0.2">
      <c r="A52" s="36">
        <v>10</v>
      </c>
      <c r="B52" s="37" t="s">
        <v>137</v>
      </c>
      <c r="C52" s="37" t="s">
        <v>138</v>
      </c>
      <c r="D52" s="37" t="s">
        <v>114</v>
      </c>
      <c r="E52" s="38">
        <v>200</v>
      </c>
      <c r="F52" s="39">
        <v>957.26800000000003</v>
      </c>
      <c r="G52" s="40">
        <v>3.9406509999999999E-2</v>
      </c>
      <c r="H52" s="30">
        <v>7.4401000000000002</v>
      </c>
    </row>
    <row r="53" spans="1:8" x14ac:dyDescent="0.2">
      <c r="A53" s="36">
        <v>11</v>
      </c>
      <c r="B53" s="37" t="s">
        <v>139</v>
      </c>
      <c r="C53" s="37" t="s">
        <v>140</v>
      </c>
      <c r="D53" s="37" t="s">
        <v>114</v>
      </c>
      <c r="E53" s="38">
        <v>200</v>
      </c>
      <c r="F53" s="39">
        <v>954.12400000000002</v>
      </c>
      <c r="G53" s="40">
        <v>3.9277090000000001E-2</v>
      </c>
      <c r="H53" s="30">
        <v>7.5</v>
      </c>
    </row>
    <row r="54" spans="1:8" x14ac:dyDescent="0.2">
      <c r="A54" s="36">
        <v>12</v>
      </c>
      <c r="B54" s="37" t="s">
        <v>141</v>
      </c>
      <c r="C54" s="37" t="s">
        <v>142</v>
      </c>
      <c r="D54" s="37" t="s">
        <v>114</v>
      </c>
      <c r="E54" s="38">
        <v>140</v>
      </c>
      <c r="F54" s="39">
        <v>669.58989999999994</v>
      </c>
      <c r="G54" s="40">
        <v>2.756407E-2</v>
      </c>
      <c r="H54" s="30">
        <v>7.5350000000000001</v>
      </c>
    </row>
    <row r="55" spans="1:8" x14ac:dyDescent="0.2">
      <c r="A55" s="36">
        <v>13</v>
      </c>
      <c r="B55" s="37" t="s">
        <v>143</v>
      </c>
      <c r="C55" s="37" t="s">
        <v>144</v>
      </c>
      <c r="D55" s="37" t="s">
        <v>114</v>
      </c>
      <c r="E55" s="38">
        <v>140</v>
      </c>
      <c r="F55" s="39">
        <v>669.33019999999999</v>
      </c>
      <c r="G55" s="40">
        <v>2.7553379999999999E-2</v>
      </c>
      <c r="H55" s="30">
        <v>7.5</v>
      </c>
    </row>
    <row r="56" spans="1:8" x14ac:dyDescent="0.2">
      <c r="A56" s="36">
        <v>14</v>
      </c>
      <c r="B56" s="37" t="s">
        <v>145</v>
      </c>
      <c r="C56" s="37" t="s">
        <v>146</v>
      </c>
      <c r="D56" s="37" t="s">
        <v>114</v>
      </c>
      <c r="E56" s="38">
        <v>100</v>
      </c>
      <c r="F56" s="39">
        <v>487.22550000000001</v>
      </c>
      <c r="G56" s="40">
        <v>2.0056930000000001E-2</v>
      </c>
      <c r="H56" s="30">
        <v>7.25</v>
      </c>
    </row>
    <row r="57" spans="1:8" x14ac:dyDescent="0.2">
      <c r="A57" s="36">
        <v>15</v>
      </c>
      <c r="B57" s="37" t="s">
        <v>147</v>
      </c>
      <c r="C57" s="37" t="s">
        <v>148</v>
      </c>
      <c r="D57" s="37" t="s">
        <v>149</v>
      </c>
      <c r="E57" s="38">
        <v>100</v>
      </c>
      <c r="F57" s="39">
        <v>480.63499999999999</v>
      </c>
      <c r="G57" s="40">
        <v>1.9785629999999998E-2</v>
      </c>
      <c r="H57" s="30">
        <v>7.39</v>
      </c>
    </row>
    <row r="58" spans="1:8" x14ac:dyDescent="0.2">
      <c r="A58" s="36">
        <v>16</v>
      </c>
      <c r="B58" s="37" t="s">
        <v>150</v>
      </c>
      <c r="C58" s="37" t="s">
        <v>151</v>
      </c>
      <c r="D58" s="37" t="s">
        <v>114</v>
      </c>
      <c r="E58" s="38">
        <v>100</v>
      </c>
      <c r="F58" s="39">
        <v>479.90199999999999</v>
      </c>
      <c r="G58" s="40">
        <v>1.9755450000000001E-2</v>
      </c>
      <c r="H58" s="30">
        <v>7.53</v>
      </c>
    </row>
    <row r="59" spans="1:8" x14ac:dyDescent="0.2">
      <c r="A59" s="36">
        <v>17</v>
      </c>
      <c r="B59" s="37" t="s">
        <v>152</v>
      </c>
      <c r="C59" s="37" t="s">
        <v>153</v>
      </c>
      <c r="D59" s="37" t="s">
        <v>149</v>
      </c>
      <c r="E59" s="38">
        <v>100</v>
      </c>
      <c r="F59" s="39">
        <v>478.02350000000001</v>
      </c>
      <c r="G59" s="40">
        <v>1.967812E-2</v>
      </c>
      <c r="H59" s="30">
        <v>7.4249999999999998</v>
      </c>
    </row>
    <row r="60" spans="1:8" x14ac:dyDescent="0.2">
      <c r="A60" s="28"/>
      <c r="B60" s="28"/>
      <c r="C60" s="29" t="s">
        <v>11</v>
      </c>
      <c r="D60" s="28"/>
      <c r="E60" s="28" t="s">
        <v>12</v>
      </c>
      <c r="F60" s="35">
        <v>17577.187600000001</v>
      </c>
      <c r="G60" s="32">
        <v>0.72357545999999995</v>
      </c>
      <c r="H60" s="30" t="s">
        <v>12</v>
      </c>
    </row>
    <row r="61" spans="1:8" x14ac:dyDescent="0.2">
      <c r="A61" s="28"/>
      <c r="B61" s="28"/>
      <c r="C61" s="33"/>
      <c r="D61" s="28"/>
      <c r="E61" s="28"/>
      <c r="F61" s="34"/>
      <c r="G61" s="34"/>
      <c r="H61" s="30" t="s">
        <v>12</v>
      </c>
    </row>
    <row r="62" spans="1:8" x14ac:dyDescent="0.2">
      <c r="A62" s="28"/>
      <c r="B62" s="28"/>
      <c r="C62" s="29" t="s">
        <v>61</v>
      </c>
      <c r="D62" s="28"/>
      <c r="E62" s="28"/>
      <c r="F62" s="34"/>
      <c r="G62" s="34"/>
      <c r="H62" s="30" t="s">
        <v>12</v>
      </c>
    </row>
    <row r="63" spans="1:8" ht="25.5" x14ac:dyDescent="0.2">
      <c r="A63" s="36">
        <v>1</v>
      </c>
      <c r="B63" s="37" t="s">
        <v>154</v>
      </c>
      <c r="C63" s="98" t="s">
        <v>522</v>
      </c>
      <c r="D63" s="37" t="s">
        <v>114</v>
      </c>
      <c r="E63" s="38">
        <v>200</v>
      </c>
      <c r="F63" s="39">
        <v>993.95899999999995</v>
      </c>
      <c r="G63" s="40">
        <v>4.0916920000000002E-2</v>
      </c>
      <c r="H63" s="30">
        <v>7.65</v>
      </c>
    </row>
    <row r="64" spans="1:8" ht="25.5" x14ac:dyDescent="0.2">
      <c r="A64" s="36">
        <v>2</v>
      </c>
      <c r="B64" s="37" t="s">
        <v>155</v>
      </c>
      <c r="C64" s="98" t="s">
        <v>523</v>
      </c>
      <c r="D64" s="37" t="s">
        <v>114</v>
      </c>
      <c r="E64" s="38">
        <v>200</v>
      </c>
      <c r="F64" s="39">
        <v>968.76700000000005</v>
      </c>
      <c r="G64" s="40">
        <v>3.9879869999999998E-2</v>
      </c>
      <c r="H64" s="30">
        <v>8.06</v>
      </c>
    </row>
    <row r="65" spans="1:8" x14ac:dyDescent="0.2">
      <c r="A65" s="36">
        <v>3</v>
      </c>
      <c r="B65" s="37" t="s">
        <v>156</v>
      </c>
      <c r="C65" s="98" t="s">
        <v>524</v>
      </c>
      <c r="D65" s="37" t="s">
        <v>114</v>
      </c>
      <c r="E65" s="38">
        <v>200</v>
      </c>
      <c r="F65" s="39">
        <v>954.27300000000002</v>
      </c>
      <c r="G65" s="40">
        <v>3.9283220000000001E-2</v>
      </c>
      <c r="H65" s="30">
        <v>7.95</v>
      </c>
    </row>
    <row r="66" spans="1:8" x14ac:dyDescent="0.2">
      <c r="A66" s="36">
        <v>4</v>
      </c>
      <c r="B66" s="37" t="s">
        <v>157</v>
      </c>
      <c r="C66" s="98" t="s">
        <v>526</v>
      </c>
      <c r="D66" s="37" t="s">
        <v>114</v>
      </c>
      <c r="E66" s="38">
        <v>200</v>
      </c>
      <c r="F66" s="39">
        <v>951.82</v>
      </c>
      <c r="G66" s="40">
        <v>3.918224E-2</v>
      </c>
      <c r="H66" s="30">
        <v>7.45</v>
      </c>
    </row>
    <row r="67" spans="1:8" ht="25.5" x14ac:dyDescent="0.2">
      <c r="A67" s="36">
        <v>5</v>
      </c>
      <c r="B67" s="37" t="s">
        <v>158</v>
      </c>
      <c r="C67" s="98" t="s">
        <v>525</v>
      </c>
      <c r="D67" s="37" t="s">
        <v>114</v>
      </c>
      <c r="E67" s="38">
        <v>200</v>
      </c>
      <c r="F67" s="39">
        <v>938.26499999999999</v>
      </c>
      <c r="G67" s="40">
        <v>3.8624239999999997E-2</v>
      </c>
      <c r="H67" s="30">
        <v>7.6</v>
      </c>
    </row>
    <row r="68" spans="1:8" x14ac:dyDescent="0.2">
      <c r="A68" s="28"/>
      <c r="B68" s="28"/>
      <c r="C68" s="29" t="s">
        <v>11</v>
      </c>
      <c r="D68" s="28"/>
      <c r="E68" s="28" t="s">
        <v>12</v>
      </c>
      <c r="F68" s="35">
        <v>4807.0839999999998</v>
      </c>
      <c r="G68" s="32">
        <v>0.19788649</v>
      </c>
      <c r="H68" s="30" t="s">
        <v>12</v>
      </c>
    </row>
    <row r="69" spans="1:8" x14ac:dyDescent="0.2">
      <c r="A69" s="28"/>
      <c r="B69" s="28"/>
      <c r="C69" s="33"/>
      <c r="D69" s="28"/>
      <c r="E69" s="28"/>
      <c r="F69" s="34"/>
      <c r="G69" s="34"/>
      <c r="H69" s="30" t="s">
        <v>12</v>
      </c>
    </row>
    <row r="70" spans="1:8" x14ac:dyDescent="0.2">
      <c r="A70" s="28"/>
      <c r="B70" s="28"/>
      <c r="C70" s="29" t="s">
        <v>62</v>
      </c>
      <c r="D70" s="28"/>
      <c r="E70" s="28"/>
      <c r="F70" s="34"/>
      <c r="G70" s="34"/>
      <c r="H70" s="30" t="s">
        <v>12</v>
      </c>
    </row>
    <row r="71" spans="1:8" x14ac:dyDescent="0.2">
      <c r="A71" s="36">
        <v>1</v>
      </c>
      <c r="B71" s="37" t="s">
        <v>159</v>
      </c>
      <c r="C71" s="37" t="s">
        <v>160</v>
      </c>
      <c r="D71" s="37" t="s">
        <v>50</v>
      </c>
      <c r="E71" s="38">
        <v>1500000</v>
      </c>
      <c r="F71" s="39">
        <v>1418.9445000000001</v>
      </c>
      <c r="G71" s="40">
        <v>5.8411699999999997E-2</v>
      </c>
      <c r="H71" s="30">
        <v>6.8813000000000004</v>
      </c>
    </row>
    <row r="72" spans="1:8" x14ac:dyDescent="0.2">
      <c r="A72" s="28"/>
      <c r="B72" s="28"/>
      <c r="C72" s="29" t="s">
        <v>11</v>
      </c>
      <c r="D72" s="28"/>
      <c r="E72" s="28" t="s">
        <v>12</v>
      </c>
      <c r="F72" s="35">
        <v>1418.9445000000001</v>
      </c>
      <c r="G72" s="32">
        <v>5.8411699999999997E-2</v>
      </c>
      <c r="H72" s="30" t="s">
        <v>12</v>
      </c>
    </row>
    <row r="73" spans="1:8" x14ac:dyDescent="0.2">
      <c r="A73" s="28"/>
      <c r="B73" s="28"/>
      <c r="C73" s="33"/>
      <c r="D73" s="28"/>
      <c r="E73" s="28"/>
      <c r="F73" s="34"/>
      <c r="G73" s="34"/>
      <c r="H73" s="30" t="s">
        <v>12</v>
      </c>
    </row>
    <row r="74" spans="1:8" x14ac:dyDescent="0.2">
      <c r="A74" s="28"/>
      <c r="B74" s="28"/>
      <c r="C74" s="29" t="s">
        <v>63</v>
      </c>
      <c r="D74" s="28"/>
      <c r="E74" s="28"/>
      <c r="F74" s="34"/>
      <c r="G74" s="34"/>
      <c r="H74" s="30" t="s">
        <v>12</v>
      </c>
    </row>
    <row r="75" spans="1:8" x14ac:dyDescent="0.2">
      <c r="A75" s="36">
        <v>1</v>
      </c>
      <c r="B75" s="37"/>
      <c r="C75" s="37" t="s">
        <v>64</v>
      </c>
      <c r="D75" s="37"/>
      <c r="E75" s="41"/>
      <c r="F75" s="39">
        <v>449.08257300100001</v>
      </c>
      <c r="G75" s="40">
        <v>1.848675E-2</v>
      </c>
      <c r="H75" s="30">
        <v>6.35</v>
      </c>
    </row>
    <row r="76" spans="1:8" x14ac:dyDescent="0.2">
      <c r="A76" s="28"/>
      <c r="B76" s="28"/>
      <c r="C76" s="29" t="s">
        <v>11</v>
      </c>
      <c r="D76" s="28"/>
      <c r="E76" s="28" t="s">
        <v>12</v>
      </c>
      <c r="F76" s="35">
        <v>449.08257300100001</v>
      </c>
      <c r="G76" s="32">
        <v>1.848675E-2</v>
      </c>
      <c r="H76" s="30" t="s">
        <v>12</v>
      </c>
    </row>
    <row r="77" spans="1:8" x14ac:dyDescent="0.2">
      <c r="A77" s="28"/>
      <c r="B77" s="28"/>
      <c r="C77" s="33"/>
      <c r="D77" s="28"/>
      <c r="E77" s="28"/>
      <c r="F77" s="34"/>
      <c r="G77" s="34"/>
      <c r="H77" s="30" t="s">
        <v>12</v>
      </c>
    </row>
    <row r="78" spans="1:8" x14ac:dyDescent="0.2">
      <c r="A78" s="28"/>
      <c r="B78" s="28"/>
      <c r="C78" s="29" t="s">
        <v>65</v>
      </c>
      <c r="D78" s="28"/>
      <c r="E78" s="28"/>
      <c r="F78" s="35">
        <v>24252.298673001002</v>
      </c>
      <c r="G78" s="32">
        <v>0.99836040000000004</v>
      </c>
      <c r="H78" s="30" t="s">
        <v>12</v>
      </c>
    </row>
    <row r="79" spans="1:8" x14ac:dyDescent="0.2">
      <c r="A79" s="28"/>
      <c r="B79" s="28"/>
      <c r="C79" s="34"/>
      <c r="D79" s="28"/>
      <c r="E79" s="28"/>
      <c r="F79" s="28"/>
      <c r="G79" s="28"/>
      <c r="H79" s="30" t="s">
        <v>12</v>
      </c>
    </row>
    <row r="80" spans="1:8" x14ac:dyDescent="0.2">
      <c r="A80" s="28"/>
      <c r="B80" s="28"/>
      <c r="C80" s="29" t="s">
        <v>66</v>
      </c>
      <c r="D80" s="28"/>
      <c r="E80" s="28"/>
      <c r="F80" s="28"/>
      <c r="G80" s="28"/>
      <c r="H80" s="30" t="s">
        <v>12</v>
      </c>
    </row>
    <row r="81" spans="1:18" x14ac:dyDescent="0.2">
      <c r="A81" s="28"/>
      <c r="B81" s="28"/>
      <c r="C81" s="29" t="s">
        <v>67</v>
      </c>
      <c r="D81" s="28"/>
      <c r="E81" s="28"/>
      <c r="F81" s="28"/>
      <c r="G81" s="28"/>
      <c r="H81" s="30" t="s">
        <v>12</v>
      </c>
    </row>
    <row r="82" spans="1:18" x14ac:dyDescent="0.2">
      <c r="A82" s="28"/>
      <c r="B82" s="28"/>
      <c r="C82" s="29" t="s">
        <v>11</v>
      </c>
      <c r="D82" s="28"/>
      <c r="E82" s="28" t="s">
        <v>12</v>
      </c>
      <c r="F82" s="31" t="s">
        <v>13</v>
      </c>
      <c r="G82" s="32">
        <v>0</v>
      </c>
      <c r="H82" s="30" t="s">
        <v>12</v>
      </c>
    </row>
    <row r="83" spans="1:18" x14ac:dyDescent="0.2">
      <c r="A83" s="28"/>
      <c r="B83" s="28"/>
      <c r="C83" s="33"/>
      <c r="D83" s="28"/>
      <c r="E83" s="28"/>
      <c r="F83" s="34"/>
      <c r="G83" s="34"/>
      <c r="H83" s="30" t="s">
        <v>12</v>
      </c>
    </row>
    <row r="84" spans="1:18" x14ac:dyDescent="0.2">
      <c r="A84" s="28"/>
      <c r="B84" s="28"/>
      <c r="C84" s="29" t="s">
        <v>70</v>
      </c>
      <c r="D84" s="28"/>
      <c r="E84" s="28"/>
      <c r="F84" s="28"/>
      <c r="G84" s="28"/>
      <c r="H84" s="30" t="s">
        <v>12</v>
      </c>
    </row>
    <row r="85" spans="1:18" x14ac:dyDescent="0.2">
      <c r="A85" s="28"/>
      <c r="B85" s="28"/>
      <c r="C85" s="29" t="s">
        <v>71</v>
      </c>
      <c r="D85" s="28"/>
      <c r="E85" s="28"/>
      <c r="F85" s="28"/>
      <c r="G85" s="28"/>
      <c r="H85" s="30" t="s">
        <v>12</v>
      </c>
    </row>
    <row r="86" spans="1:18" x14ac:dyDescent="0.2">
      <c r="A86" s="28"/>
      <c r="B86" s="28"/>
      <c r="C86" s="29" t="s">
        <v>11</v>
      </c>
      <c r="D86" s="28"/>
      <c r="E86" s="28" t="s">
        <v>12</v>
      </c>
      <c r="F86" s="31" t="s">
        <v>13</v>
      </c>
      <c r="G86" s="32">
        <v>0</v>
      </c>
      <c r="H86" s="30" t="s">
        <v>12</v>
      </c>
    </row>
    <row r="87" spans="1:18" x14ac:dyDescent="0.2">
      <c r="A87" s="28"/>
      <c r="B87" s="28"/>
      <c r="C87" s="33"/>
      <c r="D87" s="28"/>
      <c r="E87" s="28"/>
      <c r="F87" s="34"/>
      <c r="G87" s="34"/>
      <c r="H87" s="30" t="s">
        <v>12</v>
      </c>
    </row>
    <row r="88" spans="1:18" x14ac:dyDescent="0.2">
      <c r="A88" s="28"/>
      <c r="B88" s="28"/>
      <c r="C88" s="29" t="s">
        <v>72</v>
      </c>
      <c r="D88" s="28"/>
      <c r="E88" s="28"/>
      <c r="F88" s="34"/>
      <c r="G88" s="34"/>
      <c r="H88" s="30" t="s">
        <v>12</v>
      </c>
    </row>
    <row r="89" spans="1:18" x14ac:dyDescent="0.2">
      <c r="A89" s="28"/>
      <c r="B89" s="28"/>
      <c r="C89" s="29" t="s">
        <v>11</v>
      </c>
      <c r="D89" s="28"/>
      <c r="E89" s="28" t="s">
        <v>12</v>
      </c>
      <c r="F89" s="31" t="s">
        <v>13</v>
      </c>
      <c r="G89" s="32">
        <v>0</v>
      </c>
      <c r="H89" s="30" t="s">
        <v>12</v>
      </c>
    </row>
    <row r="90" spans="1:18" x14ac:dyDescent="0.2">
      <c r="A90" s="73"/>
      <c r="B90" s="73"/>
      <c r="C90" s="74"/>
      <c r="D90" s="73"/>
      <c r="E90" s="73"/>
      <c r="F90" s="75"/>
      <c r="G90" s="75"/>
      <c r="H90" s="30" t="s">
        <v>12</v>
      </c>
    </row>
    <row r="91" spans="1:18" x14ac:dyDescent="0.2">
      <c r="A91" s="76"/>
      <c r="B91" s="76"/>
      <c r="C91" s="64" t="s">
        <v>406</v>
      </c>
      <c r="D91" s="76"/>
      <c r="E91" s="76"/>
      <c r="F91" s="77"/>
      <c r="G91" s="77"/>
      <c r="H91" s="78"/>
      <c r="K91" s="5"/>
      <c r="L91" s="5"/>
      <c r="M91" s="5"/>
      <c r="N91" s="5"/>
      <c r="O91" s="5"/>
      <c r="P91" s="6"/>
      <c r="Q91" s="6"/>
      <c r="R91" s="6"/>
    </row>
    <row r="92" spans="1:18" ht="25.5" x14ac:dyDescent="0.2">
      <c r="A92" s="36">
        <v>1</v>
      </c>
      <c r="B92" s="37" t="s">
        <v>68</v>
      </c>
      <c r="C92" s="37" t="s">
        <v>69</v>
      </c>
      <c r="D92" s="37"/>
      <c r="E92" s="79">
        <v>649.726</v>
      </c>
      <c r="F92" s="39">
        <v>66.973077115999999</v>
      </c>
      <c r="G92" s="40">
        <v>2.75699E-3</v>
      </c>
      <c r="H92" s="30"/>
    </row>
    <row r="93" spans="1:18" x14ac:dyDescent="0.2">
      <c r="A93" s="28"/>
      <c r="B93" s="28"/>
      <c r="C93" s="29" t="s">
        <v>11</v>
      </c>
      <c r="D93" s="28"/>
      <c r="E93" s="28" t="s">
        <v>12</v>
      </c>
      <c r="F93" s="35">
        <v>66.973077115999999</v>
      </c>
      <c r="G93" s="32">
        <v>2.75699E-3</v>
      </c>
      <c r="H93" s="30" t="s">
        <v>12</v>
      </c>
    </row>
    <row r="94" spans="1:18" x14ac:dyDescent="0.2">
      <c r="A94" s="28"/>
      <c r="B94" s="37"/>
      <c r="C94" s="37"/>
      <c r="D94" s="29"/>
      <c r="E94" s="28"/>
      <c r="F94" s="37"/>
      <c r="G94" s="41"/>
      <c r="H94" s="30" t="s">
        <v>12</v>
      </c>
    </row>
    <row r="95" spans="1:18" x14ac:dyDescent="0.2">
      <c r="A95" s="41"/>
      <c r="B95" s="37"/>
      <c r="C95" s="37" t="s">
        <v>73</v>
      </c>
      <c r="D95" s="37"/>
      <c r="E95" s="41"/>
      <c r="F95" s="39">
        <f>-27.14337043-7.96999931335449E-07</f>
        <v>-27.143371226999932</v>
      </c>
      <c r="G95" s="40">
        <v>-1.1173699999999999E-3</v>
      </c>
      <c r="H95" s="30" t="s">
        <v>12</v>
      </c>
    </row>
    <row r="96" spans="1:18" x14ac:dyDescent="0.2">
      <c r="A96" s="33"/>
      <c r="B96" s="33"/>
      <c r="C96" s="29" t="s">
        <v>74</v>
      </c>
      <c r="D96" s="34"/>
      <c r="E96" s="34"/>
      <c r="F96" s="35">
        <f>24292.128379687-7.96999931335449E-07</f>
        <v>24292.12837889</v>
      </c>
      <c r="G96" s="42">
        <v>1.0000000200000001</v>
      </c>
      <c r="H96" s="30" t="s">
        <v>12</v>
      </c>
    </row>
    <row r="97" spans="1:8" x14ac:dyDescent="0.2">
      <c r="A97" s="43"/>
      <c r="B97" s="43"/>
      <c r="C97" s="43"/>
      <c r="D97" s="44"/>
      <c r="E97" s="44"/>
      <c r="F97" s="44"/>
      <c r="G97" s="44"/>
    </row>
    <row r="98" spans="1:8" x14ac:dyDescent="0.2">
      <c r="A98" s="45"/>
      <c r="B98" s="110" t="s">
        <v>407</v>
      </c>
      <c r="C98" s="110"/>
      <c r="D98" s="110"/>
      <c r="E98" s="110"/>
      <c r="F98" s="110"/>
      <c r="G98" s="110"/>
      <c r="H98" s="110"/>
    </row>
    <row r="99" spans="1:8" x14ac:dyDescent="0.2">
      <c r="A99" s="45"/>
      <c r="B99" s="110" t="s">
        <v>408</v>
      </c>
      <c r="C99" s="110"/>
      <c r="D99" s="110"/>
      <c r="E99" s="110"/>
      <c r="F99" s="110"/>
      <c r="G99" s="110"/>
      <c r="H99" s="110"/>
    </row>
    <row r="100" spans="1:8" x14ac:dyDescent="0.2">
      <c r="A100" s="45"/>
      <c r="B100" s="110" t="s">
        <v>409</v>
      </c>
      <c r="C100" s="110"/>
      <c r="D100" s="110"/>
      <c r="E100" s="110"/>
      <c r="F100" s="110"/>
      <c r="G100" s="110"/>
      <c r="H100" s="110"/>
    </row>
    <row r="101" spans="1:8" x14ac:dyDescent="0.2">
      <c r="A101" s="47"/>
      <c r="B101" s="47"/>
      <c r="C101" s="47"/>
      <c r="D101" s="48"/>
      <c r="E101" s="48"/>
      <c r="F101" s="48"/>
      <c r="G101" s="48"/>
    </row>
    <row r="102" spans="1:8" x14ac:dyDescent="0.2">
      <c r="A102" s="47"/>
      <c r="B102" s="112" t="s">
        <v>75</v>
      </c>
      <c r="C102" s="113"/>
      <c r="D102" s="114"/>
      <c r="E102" s="49"/>
      <c r="F102" s="48"/>
      <c r="G102" s="48"/>
    </row>
    <row r="103" spans="1:8" x14ac:dyDescent="0.2">
      <c r="A103" s="47"/>
      <c r="B103" s="115" t="s">
        <v>76</v>
      </c>
      <c r="C103" s="116"/>
      <c r="D103" s="29" t="s">
        <v>77</v>
      </c>
      <c r="E103" s="49"/>
      <c r="F103" s="48"/>
      <c r="G103" s="48"/>
    </row>
    <row r="104" spans="1:8" x14ac:dyDescent="0.2">
      <c r="A104" s="47"/>
      <c r="B104" s="115" t="s">
        <v>78</v>
      </c>
      <c r="C104" s="116"/>
      <c r="D104" s="29" t="s">
        <v>77</v>
      </c>
      <c r="E104" s="49"/>
      <c r="F104" s="48"/>
      <c r="G104" s="48"/>
    </row>
    <row r="105" spans="1:8" x14ac:dyDescent="0.2">
      <c r="A105" s="47"/>
      <c r="B105" s="115" t="s">
        <v>79</v>
      </c>
      <c r="C105" s="116"/>
      <c r="D105" s="34" t="s">
        <v>12</v>
      </c>
      <c r="E105" s="49"/>
      <c r="F105" s="48"/>
      <c r="G105" s="48"/>
    </row>
    <row r="106" spans="1:8" x14ac:dyDescent="0.2">
      <c r="A106" s="50"/>
      <c r="B106" s="51" t="s">
        <v>12</v>
      </c>
      <c r="C106" s="51" t="s">
        <v>458</v>
      </c>
      <c r="D106" s="51" t="s">
        <v>80</v>
      </c>
      <c r="E106" s="50"/>
      <c r="F106" s="50"/>
      <c r="G106" s="50"/>
      <c r="H106" s="52"/>
    </row>
    <row r="107" spans="1:8" x14ac:dyDescent="0.2">
      <c r="A107" s="53"/>
      <c r="B107" s="54" t="s">
        <v>81</v>
      </c>
      <c r="C107" s="55" t="s">
        <v>82</v>
      </c>
      <c r="D107" s="55" t="s">
        <v>83</v>
      </c>
      <c r="E107" s="53"/>
      <c r="F107" s="53"/>
      <c r="G107" s="53"/>
    </row>
    <row r="108" spans="1:8" x14ac:dyDescent="0.2">
      <c r="A108" s="53"/>
      <c r="B108" s="37" t="s">
        <v>84</v>
      </c>
      <c r="C108" s="56">
        <v>13.987399999999999</v>
      </c>
      <c r="D108" s="56">
        <v>14.0342</v>
      </c>
      <c r="E108" s="53"/>
      <c r="F108" s="57"/>
      <c r="G108" s="58"/>
    </row>
    <row r="109" spans="1:8" ht="25.5" x14ac:dyDescent="0.2">
      <c r="A109" s="53"/>
      <c r="B109" s="37" t="s">
        <v>85</v>
      </c>
      <c r="C109" s="56">
        <v>11.187099999999999</v>
      </c>
      <c r="D109" s="56">
        <v>11.224500000000001</v>
      </c>
      <c r="E109" s="53"/>
      <c r="F109" s="57"/>
      <c r="G109" s="58"/>
    </row>
    <row r="110" spans="1:8" ht="25.5" x14ac:dyDescent="0.2">
      <c r="A110" s="53"/>
      <c r="B110" s="37" t="s">
        <v>86</v>
      </c>
      <c r="C110" s="56">
        <v>12.184100000000001</v>
      </c>
      <c r="D110" s="56">
        <v>12.2248</v>
      </c>
      <c r="E110" s="53"/>
      <c r="F110" s="57"/>
      <c r="G110" s="58"/>
    </row>
    <row r="111" spans="1:8" x14ac:dyDescent="0.2">
      <c r="A111" s="53"/>
      <c r="B111" s="37" t="s">
        <v>89</v>
      </c>
      <c r="C111" s="56">
        <v>13.9148</v>
      </c>
      <c r="D111" s="56">
        <v>13.960800000000001</v>
      </c>
      <c r="E111" s="53"/>
      <c r="F111" s="57"/>
      <c r="G111" s="58"/>
    </row>
    <row r="112" spans="1:8" ht="25.5" x14ac:dyDescent="0.2">
      <c r="A112" s="53"/>
      <c r="B112" s="37" t="s">
        <v>90</v>
      </c>
      <c r="C112" s="56">
        <v>11.1661</v>
      </c>
      <c r="D112" s="56">
        <v>11.202999999999999</v>
      </c>
      <c r="E112" s="53"/>
      <c r="F112" s="57"/>
      <c r="G112" s="58"/>
    </row>
    <row r="113" spans="1:15" ht="25.5" x14ac:dyDescent="0.2">
      <c r="A113" s="53"/>
      <c r="B113" s="37" t="s">
        <v>91</v>
      </c>
      <c r="C113" s="56">
        <v>12.1189</v>
      </c>
      <c r="D113" s="56">
        <v>12.159000000000001</v>
      </c>
      <c r="E113" s="53"/>
      <c r="F113" s="57"/>
      <c r="G113" s="58"/>
    </row>
    <row r="114" spans="1:15" x14ac:dyDescent="0.2">
      <c r="A114" s="53"/>
      <c r="B114" s="53"/>
      <c r="C114" s="53"/>
      <c r="D114" s="53"/>
      <c r="E114" s="53"/>
      <c r="F114" s="53"/>
      <c r="G114" s="53"/>
    </row>
    <row r="115" spans="1:15" x14ac:dyDescent="0.2">
      <c r="A115" s="53"/>
      <c r="B115" s="115" t="s">
        <v>94</v>
      </c>
      <c r="C115" s="116"/>
      <c r="D115" s="64" t="s">
        <v>77</v>
      </c>
      <c r="E115" s="53"/>
      <c r="F115" s="53"/>
      <c r="G115" s="53"/>
    </row>
    <row r="116" spans="1:15" x14ac:dyDescent="0.2">
      <c r="A116" s="53"/>
      <c r="B116" s="66"/>
      <c r="C116" s="66"/>
      <c r="D116" s="66"/>
      <c r="E116" s="53"/>
      <c r="F116" s="53"/>
      <c r="G116" s="53"/>
    </row>
    <row r="117" spans="1:15" x14ac:dyDescent="0.2">
      <c r="A117" s="50"/>
      <c r="B117" s="117" t="s">
        <v>95</v>
      </c>
      <c r="C117" s="118"/>
      <c r="D117" s="64" t="s">
        <v>77</v>
      </c>
      <c r="E117" s="65"/>
      <c r="F117" s="50"/>
      <c r="G117" s="50"/>
    </row>
    <row r="118" spans="1:15" x14ac:dyDescent="0.2">
      <c r="A118" s="50"/>
      <c r="B118" s="117" t="s">
        <v>96</v>
      </c>
      <c r="C118" s="118"/>
      <c r="D118" s="64" t="s">
        <v>77</v>
      </c>
      <c r="E118" s="65"/>
      <c r="F118" s="50"/>
      <c r="G118" s="50"/>
    </row>
    <row r="119" spans="1:15" x14ac:dyDescent="0.2">
      <c r="A119" s="50"/>
      <c r="B119" s="117" t="s">
        <v>410</v>
      </c>
      <c r="C119" s="118"/>
      <c r="D119" s="64" t="s">
        <v>77</v>
      </c>
      <c r="E119" s="65"/>
      <c r="F119" s="50"/>
      <c r="G119" s="50"/>
    </row>
    <row r="120" spans="1:15" x14ac:dyDescent="0.2">
      <c r="A120" s="66"/>
      <c r="B120" s="66"/>
      <c r="C120" s="66"/>
      <c r="D120" s="66"/>
      <c r="E120" s="66"/>
      <c r="F120" s="66"/>
      <c r="G120" s="66"/>
    </row>
    <row r="121" spans="1:15" s="7" customFormat="1" x14ac:dyDescent="0.2">
      <c r="B121" s="119" t="s">
        <v>411</v>
      </c>
      <c r="C121" s="120"/>
      <c r="D121" s="121"/>
      <c r="I121"/>
      <c r="J121" s="2"/>
      <c r="K121" s="5"/>
      <c r="L121" s="5"/>
      <c r="M121" s="5"/>
      <c r="N121" s="5"/>
      <c r="O121" s="8"/>
    </row>
    <row r="122" spans="1:15" s="7" customFormat="1" ht="51" x14ac:dyDescent="0.2">
      <c r="B122" s="111" t="s">
        <v>412</v>
      </c>
      <c r="C122" s="111"/>
      <c r="D122" s="67" t="s">
        <v>117</v>
      </c>
      <c r="I122"/>
      <c r="J122" s="2"/>
      <c r="K122" s="5"/>
      <c r="L122" s="5"/>
      <c r="M122" s="5"/>
      <c r="N122" s="5"/>
      <c r="O122" s="8"/>
    </row>
    <row r="123" spans="1:15" s="7" customFormat="1" x14ac:dyDescent="0.2">
      <c r="B123" s="107" t="s">
        <v>413</v>
      </c>
      <c r="C123" s="107"/>
      <c r="D123" s="68"/>
      <c r="I123"/>
      <c r="J123" s="2"/>
      <c r="K123" s="5"/>
      <c r="L123" s="5"/>
      <c r="M123" s="5"/>
      <c r="N123" s="5"/>
      <c r="O123" s="8"/>
    </row>
    <row r="124" spans="1:15" s="7" customFormat="1" x14ac:dyDescent="0.2">
      <c r="B124" s="107"/>
      <c r="C124" s="107"/>
      <c r="D124" s="69"/>
      <c r="I124"/>
      <c r="J124" s="2"/>
      <c r="K124" s="5"/>
      <c r="L124" s="5"/>
      <c r="M124" s="5"/>
      <c r="N124" s="5"/>
      <c r="O124" s="8"/>
    </row>
    <row r="125" spans="1:15" s="7" customFormat="1" x14ac:dyDescent="0.2">
      <c r="B125" s="107" t="s">
        <v>414</v>
      </c>
      <c r="C125" s="107"/>
      <c r="D125" s="70">
        <v>7.4479985559946114</v>
      </c>
      <c r="I125"/>
      <c r="J125" s="2"/>
      <c r="K125" s="5"/>
      <c r="L125" s="5"/>
      <c r="M125" s="5"/>
      <c r="N125" s="5"/>
      <c r="O125" s="8"/>
    </row>
    <row r="126" spans="1:15" s="7" customFormat="1" x14ac:dyDescent="0.2">
      <c r="B126" s="107"/>
      <c r="C126" s="107"/>
      <c r="D126" s="69"/>
      <c r="I126"/>
      <c r="J126" s="2"/>
      <c r="K126" s="5"/>
      <c r="L126" s="5"/>
      <c r="M126" s="5"/>
      <c r="N126" s="5"/>
      <c r="O126" s="8"/>
    </row>
    <row r="127" spans="1:15" s="7" customFormat="1" x14ac:dyDescent="0.2">
      <c r="B127" s="107" t="s">
        <v>415</v>
      </c>
      <c r="C127" s="107"/>
      <c r="D127" s="70">
        <v>0.60882965255611976</v>
      </c>
      <c r="I127"/>
      <c r="J127" s="2"/>
      <c r="K127" s="5"/>
      <c r="L127" s="5"/>
      <c r="M127" s="5"/>
      <c r="N127" s="5"/>
      <c r="O127" s="8"/>
    </row>
    <row r="128" spans="1:15" s="7" customFormat="1" x14ac:dyDescent="0.2">
      <c r="B128" s="107" t="s">
        <v>416</v>
      </c>
      <c r="C128" s="107"/>
      <c r="D128" s="70">
        <v>0.60882965255611976</v>
      </c>
      <c r="I128"/>
      <c r="J128" s="2"/>
      <c r="K128" s="5"/>
      <c r="L128" s="5"/>
      <c r="M128" s="5"/>
      <c r="N128" s="5"/>
      <c r="O128" s="8"/>
    </row>
    <row r="129" spans="2:17" s="7" customFormat="1" x14ac:dyDescent="0.2">
      <c r="B129" s="107"/>
      <c r="C129" s="107"/>
      <c r="D129" s="69"/>
      <c r="I129"/>
      <c r="J129" s="2"/>
      <c r="K129" s="5"/>
      <c r="L129" s="5"/>
      <c r="M129" s="5"/>
      <c r="N129" s="5"/>
      <c r="O129" s="8"/>
    </row>
    <row r="130" spans="2:17" s="7" customFormat="1" x14ac:dyDescent="0.2">
      <c r="B130" s="107" t="s">
        <v>417</v>
      </c>
      <c r="C130" s="107"/>
      <c r="D130" s="71" t="s">
        <v>454</v>
      </c>
      <c r="I130"/>
      <c r="J130" s="2"/>
      <c r="K130" s="5"/>
      <c r="L130" s="5"/>
      <c r="M130" s="5"/>
      <c r="N130" s="5"/>
      <c r="O130" s="8"/>
    </row>
    <row r="131" spans="2:17" s="7" customFormat="1" x14ac:dyDescent="0.2">
      <c r="B131" s="105" t="s">
        <v>418</v>
      </c>
      <c r="C131" s="108"/>
      <c r="D131" s="106"/>
      <c r="I131"/>
      <c r="J131" s="2"/>
      <c r="K131" s="5"/>
      <c r="L131" s="5"/>
      <c r="M131" s="5"/>
      <c r="N131" s="5"/>
      <c r="O131" s="8"/>
      <c r="P131"/>
      <c r="Q131"/>
    </row>
  </sheetData>
  <mergeCells count="25">
    <mergeCell ref="B100:H100"/>
    <mergeCell ref="B122:C122"/>
    <mergeCell ref="B123:C123"/>
    <mergeCell ref="B102:D102"/>
    <mergeCell ref="B103:C103"/>
    <mergeCell ref="B104:C104"/>
    <mergeCell ref="B105:C105"/>
    <mergeCell ref="B115:C115"/>
    <mergeCell ref="B119:C119"/>
    <mergeCell ref="B117:C117"/>
    <mergeCell ref="B118:C118"/>
    <mergeCell ref="B121:D121"/>
    <mergeCell ref="A1:H1"/>
    <mergeCell ref="A2:H2"/>
    <mergeCell ref="A3:H3"/>
    <mergeCell ref="B98:H98"/>
    <mergeCell ref="B99:H99"/>
    <mergeCell ref="B129:C129"/>
    <mergeCell ref="B130:C130"/>
    <mergeCell ref="B131:D131"/>
    <mergeCell ref="B124:C124"/>
    <mergeCell ref="B125:C125"/>
    <mergeCell ref="B126:C126"/>
    <mergeCell ref="B127:C127"/>
    <mergeCell ref="B128:C128"/>
  </mergeCells>
  <hyperlinks>
    <hyperlink ref="I1" location="Index!B4" display="Index" xr:uid="{C139BCD9-ED9C-4D49-ABD7-0CA2AF0CC97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EDEF-2143-46DC-A5F9-21AD916DBAEC}">
  <sheetPr>
    <outlinePr summaryBelow="0" summaryRight="0"/>
  </sheetPr>
  <dimension ref="A1:T165"/>
  <sheetViews>
    <sheetView showGridLines="0" workbookViewId="0">
      <selection activeCell="A86" sqref="A1:H1048576"/>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0" ht="15" x14ac:dyDescent="0.2">
      <c r="A1" s="109" t="s">
        <v>0</v>
      </c>
      <c r="B1" s="109"/>
      <c r="C1" s="109"/>
      <c r="D1" s="109"/>
      <c r="E1" s="109"/>
      <c r="F1" s="109"/>
      <c r="G1" s="109"/>
      <c r="H1" s="109"/>
      <c r="I1" s="1" t="s">
        <v>459</v>
      </c>
    </row>
    <row r="2" spans="1:10" ht="15" x14ac:dyDescent="0.2">
      <c r="A2" s="109" t="s">
        <v>161</v>
      </c>
      <c r="B2" s="109"/>
      <c r="C2" s="109"/>
      <c r="D2" s="109"/>
      <c r="E2" s="109"/>
      <c r="F2" s="109"/>
      <c r="G2" s="109"/>
      <c r="H2" s="109"/>
      <c r="J2" s="3" t="s">
        <v>460</v>
      </c>
    </row>
    <row r="3" spans="1:10" ht="15" x14ac:dyDescent="0.2">
      <c r="A3" s="109" t="s">
        <v>494</v>
      </c>
      <c r="B3" s="109"/>
      <c r="C3" s="109"/>
      <c r="D3" s="109"/>
      <c r="E3" s="109"/>
      <c r="F3" s="109"/>
      <c r="G3" s="109"/>
      <c r="H3" s="109"/>
    </row>
    <row r="4" spans="1:10" s="4" customFormat="1" ht="30" x14ac:dyDescent="0.2">
      <c r="A4" s="26" t="s">
        <v>2</v>
      </c>
      <c r="B4" s="26" t="s">
        <v>3</v>
      </c>
      <c r="C4" s="26" t="s">
        <v>4</v>
      </c>
      <c r="D4" s="26" t="s">
        <v>5</v>
      </c>
      <c r="E4" s="26" t="s">
        <v>6</v>
      </c>
      <c r="F4" s="26" t="s">
        <v>7</v>
      </c>
      <c r="G4" s="26" t="s">
        <v>8</v>
      </c>
      <c r="H4" s="27" t="s">
        <v>404</v>
      </c>
      <c r="J4" s="2"/>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8"/>
    </row>
    <row r="13" spans="1:10" x14ac:dyDescent="0.2">
      <c r="A13" s="28"/>
      <c r="B13" s="28"/>
      <c r="C13" s="29" t="s">
        <v>11</v>
      </c>
      <c r="D13" s="28"/>
      <c r="E13" s="28" t="s">
        <v>12</v>
      </c>
      <c r="F13" s="31" t="s">
        <v>13</v>
      </c>
      <c r="G13" s="32">
        <v>0</v>
      </c>
      <c r="H13" s="30" t="s">
        <v>12</v>
      </c>
      <c r="J13" s="17"/>
    </row>
    <row r="14" spans="1:10" ht="25.5" x14ac:dyDescent="0.2">
      <c r="A14" s="28"/>
      <c r="B14" s="28"/>
      <c r="C14" s="33"/>
      <c r="D14" s="28"/>
      <c r="E14" s="28"/>
      <c r="F14" s="34"/>
      <c r="G14" s="34"/>
      <c r="H14" s="30" t="s">
        <v>12</v>
      </c>
      <c r="J14" s="17" t="s">
        <v>466</v>
      </c>
    </row>
    <row r="15" spans="1:10" x14ac:dyDescent="0.2">
      <c r="A15" s="28"/>
      <c r="B15" s="28"/>
      <c r="C15" s="29" t="s">
        <v>16</v>
      </c>
      <c r="D15" s="28"/>
      <c r="E15" s="28"/>
      <c r="F15" s="28"/>
      <c r="G15" s="28"/>
      <c r="H15" s="30" t="s">
        <v>12</v>
      </c>
      <c r="J15" s="17"/>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8"/>
    </row>
    <row r="23" spans="1:10" x14ac:dyDescent="0.2">
      <c r="A23" s="28"/>
      <c r="B23" s="28"/>
      <c r="C23" s="33"/>
      <c r="D23" s="28"/>
      <c r="E23" s="28"/>
      <c r="F23" s="34"/>
      <c r="G23" s="34"/>
      <c r="H23" s="30" t="s">
        <v>12</v>
      </c>
      <c r="J23" s="17"/>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ht="25.5" x14ac:dyDescent="0.2">
      <c r="A27" s="28"/>
      <c r="B27" s="28"/>
      <c r="C27" s="29" t="s">
        <v>10</v>
      </c>
      <c r="D27" s="28"/>
      <c r="E27" s="28"/>
      <c r="F27" s="34"/>
      <c r="G27" s="34"/>
      <c r="H27" s="30" t="s">
        <v>12</v>
      </c>
      <c r="J27" s="17" t="s">
        <v>467</v>
      </c>
    </row>
    <row r="28" spans="1:10" ht="25.5" x14ac:dyDescent="0.2">
      <c r="A28" s="36">
        <v>1</v>
      </c>
      <c r="B28" s="37" t="s">
        <v>162</v>
      </c>
      <c r="C28" s="98" t="s">
        <v>527</v>
      </c>
      <c r="D28" s="37" t="s">
        <v>22</v>
      </c>
      <c r="E28" s="38">
        <v>250</v>
      </c>
      <c r="F28" s="39">
        <v>2489.6</v>
      </c>
      <c r="G28" s="40">
        <v>6.598532E-2</v>
      </c>
      <c r="H28" s="30">
        <v>7.6093000000000002</v>
      </c>
      <c r="J28" s="17"/>
    </row>
    <row r="29" spans="1:10" x14ac:dyDescent="0.2">
      <c r="A29" s="36">
        <v>2</v>
      </c>
      <c r="B29" s="37" t="s">
        <v>163</v>
      </c>
      <c r="C29" s="98" t="s">
        <v>528</v>
      </c>
      <c r="D29" s="37" t="s">
        <v>164</v>
      </c>
      <c r="E29" s="38">
        <v>2000</v>
      </c>
      <c r="F29" s="39">
        <v>2000.3620000000001</v>
      </c>
      <c r="G29" s="40">
        <v>5.3018370000000002E-2</v>
      </c>
      <c r="H29" s="30">
        <v>7.6550000000000002</v>
      </c>
      <c r="J29" s="17"/>
    </row>
    <row r="30" spans="1:10" x14ac:dyDescent="0.2">
      <c r="A30" s="36">
        <v>3</v>
      </c>
      <c r="B30" s="37" t="s">
        <v>165</v>
      </c>
      <c r="C30" s="98" t="s">
        <v>529</v>
      </c>
      <c r="D30" s="37" t="s">
        <v>166</v>
      </c>
      <c r="E30" s="38">
        <v>1700</v>
      </c>
      <c r="F30" s="39">
        <v>1704.0596</v>
      </c>
      <c r="G30" s="40">
        <v>4.516506E-2</v>
      </c>
      <c r="H30" s="30">
        <v>8.64</v>
      </c>
    </row>
    <row r="31" spans="1:10" x14ac:dyDescent="0.2">
      <c r="A31" s="36">
        <v>4</v>
      </c>
      <c r="B31" s="37" t="s">
        <v>167</v>
      </c>
      <c r="C31" s="98" t="s">
        <v>530</v>
      </c>
      <c r="D31" s="37" t="s">
        <v>166</v>
      </c>
      <c r="E31" s="38">
        <v>1500</v>
      </c>
      <c r="F31" s="39">
        <v>1504.4055000000001</v>
      </c>
      <c r="G31" s="40">
        <v>3.9873350000000002E-2</v>
      </c>
      <c r="H31" s="30">
        <v>8.99</v>
      </c>
    </row>
    <row r="32" spans="1:10" ht="25.5" x14ac:dyDescent="0.2">
      <c r="A32" s="36">
        <v>5</v>
      </c>
      <c r="B32" s="37" t="s">
        <v>168</v>
      </c>
      <c r="C32" s="98" t="s">
        <v>531</v>
      </c>
      <c r="D32" s="37" t="s">
        <v>22</v>
      </c>
      <c r="E32" s="38">
        <v>100</v>
      </c>
      <c r="F32" s="39">
        <v>996.66800000000001</v>
      </c>
      <c r="G32" s="40">
        <v>2.6416080000000002E-2</v>
      </c>
      <c r="H32" s="30">
        <v>7.69</v>
      </c>
    </row>
    <row r="33" spans="1:8" ht="25.5" x14ac:dyDescent="0.2">
      <c r="A33" s="36">
        <v>6</v>
      </c>
      <c r="B33" s="37" t="s">
        <v>21</v>
      </c>
      <c r="C33" s="98" t="s">
        <v>495</v>
      </c>
      <c r="D33" s="37" t="s">
        <v>22</v>
      </c>
      <c r="E33" s="38">
        <v>1000</v>
      </c>
      <c r="F33" s="39">
        <v>994.06299999999999</v>
      </c>
      <c r="G33" s="40">
        <v>2.634703E-2</v>
      </c>
      <c r="H33" s="30">
        <v>7.53</v>
      </c>
    </row>
    <row r="34" spans="1:8" ht="25.5" x14ac:dyDescent="0.2">
      <c r="A34" s="36">
        <v>7</v>
      </c>
      <c r="B34" s="37" t="s">
        <v>169</v>
      </c>
      <c r="C34" s="98" t="s">
        <v>532</v>
      </c>
      <c r="D34" s="37" t="s">
        <v>22</v>
      </c>
      <c r="E34" s="38">
        <v>100</v>
      </c>
      <c r="F34" s="39">
        <v>989.28700000000003</v>
      </c>
      <c r="G34" s="40">
        <v>2.6220449999999999E-2</v>
      </c>
      <c r="H34" s="30">
        <v>7.5549999999999997</v>
      </c>
    </row>
    <row r="35" spans="1:8" x14ac:dyDescent="0.2">
      <c r="A35" s="36">
        <v>8</v>
      </c>
      <c r="B35" s="37" t="s">
        <v>170</v>
      </c>
      <c r="C35" s="98" t="s">
        <v>533</v>
      </c>
      <c r="D35" s="37" t="s">
        <v>22</v>
      </c>
      <c r="E35" s="38">
        <v>100</v>
      </c>
      <c r="F35" s="39">
        <v>987.13499999999999</v>
      </c>
      <c r="G35" s="40">
        <v>2.6163410000000002E-2</v>
      </c>
      <c r="H35" s="30">
        <v>7.7</v>
      </c>
    </row>
    <row r="36" spans="1:8" ht="25.5" x14ac:dyDescent="0.2">
      <c r="A36" s="36">
        <v>9</v>
      </c>
      <c r="B36" s="37" t="s">
        <v>171</v>
      </c>
      <c r="C36" s="98" t="s">
        <v>534</v>
      </c>
      <c r="D36" s="37" t="s">
        <v>172</v>
      </c>
      <c r="E36" s="38">
        <v>1000</v>
      </c>
      <c r="F36" s="39">
        <v>984.48699999999997</v>
      </c>
      <c r="G36" s="40">
        <v>2.6093229999999999E-2</v>
      </c>
      <c r="H36" s="30">
        <v>10.115</v>
      </c>
    </row>
    <row r="37" spans="1:8" x14ac:dyDescent="0.2">
      <c r="A37" s="36">
        <v>10</v>
      </c>
      <c r="B37" s="37" t="s">
        <v>173</v>
      </c>
      <c r="C37" s="98" t="s">
        <v>535</v>
      </c>
      <c r="D37" s="37" t="s">
        <v>172</v>
      </c>
      <c r="E37" s="38">
        <v>900</v>
      </c>
      <c r="F37" s="39">
        <v>900.19259999999997</v>
      </c>
      <c r="G37" s="40">
        <v>2.385905E-2</v>
      </c>
      <c r="H37" s="30">
        <v>8.35</v>
      </c>
    </row>
    <row r="38" spans="1:8" x14ac:dyDescent="0.2">
      <c r="A38" s="36">
        <v>11</v>
      </c>
      <c r="B38" s="37" t="s">
        <v>174</v>
      </c>
      <c r="C38" s="98" t="s">
        <v>536</v>
      </c>
      <c r="D38" s="37" t="s">
        <v>166</v>
      </c>
      <c r="E38" s="38">
        <v>500</v>
      </c>
      <c r="F38" s="39">
        <v>501.50799999999998</v>
      </c>
      <c r="G38" s="40">
        <v>1.3292160000000001E-2</v>
      </c>
      <c r="H38" s="30">
        <v>8.94</v>
      </c>
    </row>
    <row r="39" spans="1:8" x14ac:dyDescent="0.2">
      <c r="A39" s="36">
        <v>12</v>
      </c>
      <c r="B39" s="37" t="s">
        <v>39</v>
      </c>
      <c r="C39" s="98" t="s">
        <v>507</v>
      </c>
      <c r="D39" s="37" t="s">
        <v>22</v>
      </c>
      <c r="E39" s="38">
        <v>500</v>
      </c>
      <c r="F39" s="39">
        <v>501.05450000000002</v>
      </c>
      <c r="G39" s="40">
        <v>1.3280139999999999E-2</v>
      </c>
      <c r="H39" s="30">
        <v>7.6449999999999996</v>
      </c>
    </row>
    <row r="40" spans="1:8" ht="25.5" x14ac:dyDescent="0.2">
      <c r="A40" s="36">
        <v>13</v>
      </c>
      <c r="B40" s="37" t="s">
        <v>175</v>
      </c>
      <c r="C40" s="98" t="s">
        <v>537</v>
      </c>
      <c r="D40" s="37" t="s">
        <v>176</v>
      </c>
      <c r="E40" s="38">
        <v>50</v>
      </c>
      <c r="F40" s="39">
        <v>500.13499999999999</v>
      </c>
      <c r="G40" s="40">
        <v>1.325577E-2</v>
      </c>
      <c r="H40" s="30">
        <v>8.3650000000000002</v>
      </c>
    </row>
    <row r="41" spans="1:8" ht="25.5" x14ac:dyDescent="0.2">
      <c r="A41" s="36">
        <v>14</v>
      </c>
      <c r="B41" s="37" t="s">
        <v>45</v>
      </c>
      <c r="C41" s="98" t="s">
        <v>511</v>
      </c>
      <c r="D41" s="37" t="s">
        <v>22</v>
      </c>
      <c r="E41" s="38">
        <v>500</v>
      </c>
      <c r="F41" s="39">
        <v>499.322</v>
      </c>
      <c r="G41" s="40">
        <v>1.323422E-2</v>
      </c>
      <c r="H41" s="30">
        <v>8.17</v>
      </c>
    </row>
    <row r="42" spans="1:8" x14ac:dyDescent="0.2">
      <c r="A42" s="28"/>
      <c r="B42" s="28"/>
      <c r="C42" s="29" t="s">
        <v>11</v>
      </c>
      <c r="D42" s="28"/>
      <c r="E42" s="28" t="s">
        <v>12</v>
      </c>
      <c r="F42" s="35">
        <v>15552.279200000001</v>
      </c>
      <c r="G42" s="32">
        <v>0.41220363999999998</v>
      </c>
      <c r="H42" s="30" t="s">
        <v>12</v>
      </c>
    </row>
    <row r="43" spans="1:8" x14ac:dyDescent="0.2">
      <c r="A43" s="28"/>
      <c r="B43" s="28"/>
      <c r="C43" s="33"/>
      <c r="D43" s="28"/>
      <c r="E43" s="28"/>
      <c r="F43" s="34"/>
      <c r="G43" s="34"/>
      <c r="H43" s="30" t="s">
        <v>12</v>
      </c>
    </row>
    <row r="44" spans="1:8" x14ac:dyDescent="0.2">
      <c r="A44" s="28"/>
      <c r="B44" s="28"/>
      <c r="C44" s="29" t="s">
        <v>46</v>
      </c>
      <c r="D44" s="28"/>
      <c r="E44" s="28"/>
      <c r="F44" s="28"/>
      <c r="G44" s="28"/>
      <c r="H44" s="30" t="s">
        <v>12</v>
      </c>
    </row>
    <row r="45" spans="1:8" x14ac:dyDescent="0.2">
      <c r="A45" s="28"/>
      <c r="B45" s="28"/>
      <c r="C45" s="29" t="s">
        <v>11</v>
      </c>
      <c r="D45" s="28"/>
      <c r="E45" s="28" t="s">
        <v>12</v>
      </c>
      <c r="F45" s="31" t="s">
        <v>13</v>
      </c>
      <c r="G45" s="32">
        <v>0</v>
      </c>
      <c r="H45" s="30" t="s">
        <v>12</v>
      </c>
    </row>
    <row r="46" spans="1:8" x14ac:dyDescent="0.2">
      <c r="A46" s="28"/>
      <c r="B46" s="28"/>
      <c r="C46" s="33"/>
      <c r="D46" s="28"/>
      <c r="E46" s="28"/>
      <c r="F46" s="34"/>
      <c r="G46" s="34"/>
      <c r="H46" s="30" t="s">
        <v>12</v>
      </c>
    </row>
    <row r="47" spans="1:8" x14ac:dyDescent="0.2">
      <c r="A47" s="28"/>
      <c r="B47" s="28"/>
      <c r="C47" s="29" t="s">
        <v>47</v>
      </c>
      <c r="D47" s="28"/>
      <c r="E47" s="28"/>
      <c r="F47" s="28"/>
      <c r="G47" s="28"/>
      <c r="H47" s="30" t="s">
        <v>12</v>
      </c>
    </row>
    <row r="48" spans="1:8" ht="25.5" x14ac:dyDescent="0.2">
      <c r="A48" s="36">
        <v>1</v>
      </c>
      <c r="B48" s="37" t="s">
        <v>177</v>
      </c>
      <c r="C48" s="37" t="s">
        <v>178</v>
      </c>
      <c r="D48" s="37" t="s">
        <v>50</v>
      </c>
      <c r="E48" s="38">
        <v>1500000</v>
      </c>
      <c r="F48" s="39">
        <v>1517.9894999999999</v>
      </c>
      <c r="G48" s="40">
        <v>4.0233379999999999E-2</v>
      </c>
      <c r="H48" s="30">
        <v>7.0370999999999997</v>
      </c>
    </row>
    <row r="49" spans="1:8" x14ac:dyDescent="0.2">
      <c r="A49" s="36">
        <v>2</v>
      </c>
      <c r="B49" s="37" t="s">
        <v>110</v>
      </c>
      <c r="C49" s="37" t="s">
        <v>111</v>
      </c>
      <c r="D49" s="37" t="s">
        <v>50</v>
      </c>
      <c r="E49" s="38">
        <v>1000000</v>
      </c>
      <c r="F49" s="39">
        <v>1015.534</v>
      </c>
      <c r="G49" s="40">
        <v>2.691611E-2</v>
      </c>
      <c r="H49" s="30">
        <v>7.0594999999999999</v>
      </c>
    </row>
    <row r="50" spans="1:8" x14ac:dyDescent="0.2">
      <c r="A50" s="28"/>
      <c r="B50" s="28"/>
      <c r="C50" s="29" t="s">
        <v>11</v>
      </c>
      <c r="D50" s="28"/>
      <c r="E50" s="28" t="s">
        <v>12</v>
      </c>
      <c r="F50" s="35">
        <v>2533.5234999999998</v>
      </c>
      <c r="G50" s="32">
        <v>6.7149490000000006E-2</v>
      </c>
      <c r="H50" s="30" t="s">
        <v>12</v>
      </c>
    </row>
    <row r="51" spans="1:8" x14ac:dyDescent="0.2">
      <c r="A51" s="28"/>
      <c r="B51" s="28"/>
      <c r="C51" s="33"/>
      <c r="D51" s="28"/>
      <c r="E51" s="28"/>
      <c r="F51" s="34"/>
      <c r="G51" s="34"/>
      <c r="H51" s="30" t="s">
        <v>12</v>
      </c>
    </row>
    <row r="52" spans="1:8" x14ac:dyDescent="0.2">
      <c r="A52" s="28"/>
      <c r="B52" s="28"/>
      <c r="C52" s="29" t="s">
        <v>57</v>
      </c>
      <c r="D52" s="28"/>
      <c r="E52" s="28"/>
      <c r="F52" s="34"/>
      <c r="G52" s="34"/>
      <c r="H52" s="30" t="s">
        <v>12</v>
      </c>
    </row>
    <row r="53" spans="1:8" x14ac:dyDescent="0.2">
      <c r="A53" s="28"/>
      <c r="B53" s="28"/>
      <c r="C53" s="29" t="s">
        <v>11</v>
      </c>
      <c r="D53" s="28"/>
      <c r="E53" s="28" t="s">
        <v>12</v>
      </c>
      <c r="F53" s="31" t="s">
        <v>13</v>
      </c>
      <c r="G53" s="32">
        <v>0</v>
      </c>
      <c r="H53" s="30" t="s">
        <v>12</v>
      </c>
    </row>
    <row r="54" spans="1:8" x14ac:dyDescent="0.2">
      <c r="A54" s="28"/>
      <c r="B54" s="28"/>
      <c r="C54" s="33"/>
      <c r="D54" s="28"/>
      <c r="E54" s="28"/>
      <c r="F54" s="34"/>
      <c r="G54" s="34"/>
      <c r="H54" s="30" t="s">
        <v>12</v>
      </c>
    </row>
    <row r="55" spans="1:8" x14ac:dyDescent="0.2">
      <c r="A55" s="28"/>
      <c r="B55" s="28"/>
      <c r="C55" s="29" t="s">
        <v>58</v>
      </c>
      <c r="D55" s="28"/>
      <c r="E55" s="28"/>
      <c r="F55" s="35">
        <v>18085.8027</v>
      </c>
      <c r="G55" s="32">
        <v>0.47935313000000002</v>
      </c>
      <c r="H55" s="30" t="s">
        <v>12</v>
      </c>
    </row>
    <row r="56" spans="1:8" x14ac:dyDescent="0.2">
      <c r="A56" s="28"/>
      <c r="B56" s="28"/>
      <c r="C56" s="33"/>
      <c r="D56" s="28"/>
      <c r="E56" s="28"/>
      <c r="F56" s="34"/>
      <c r="G56" s="34"/>
      <c r="H56" s="30" t="s">
        <v>12</v>
      </c>
    </row>
    <row r="57" spans="1:8" x14ac:dyDescent="0.2">
      <c r="A57" s="28"/>
      <c r="B57" s="28"/>
      <c r="C57" s="29" t="s">
        <v>59</v>
      </c>
      <c r="D57" s="28"/>
      <c r="E57" s="28"/>
      <c r="F57" s="34"/>
      <c r="G57" s="34"/>
      <c r="H57" s="30" t="s">
        <v>12</v>
      </c>
    </row>
    <row r="58" spans="1:8" x14ac:dyDescent="0.2">
      <c r="A58" s="28"/>
      <c r="B58" s="28"/>
      <c r="C58" s="29" t="s">
        <v>60</v>
      </c>
      <c r="D58" s="28"/>
      <c r="E58" s="28"/>
      <c r="F58" s="34"/>
      <c r="G58" s="34"/>
      <c r="H58" s="30" t="s">
        <v>12</v>
      </c>
    </row>
    <row r="59" spans="1:8" x14ac:dyDescent="0.2">
      <c r="A59" s="36">
        <v>1</v>
      </c>
      <c r="B59" s="37" t="s">
        <v>133</v>
      </c>
      <c r="C59" s="37" t="s">
        <v>134</v>
      </c>
      <c r="D59" s="37" t="s">
        <v>114</v>
      </c>
      <c r="E59" s="38">
        <v>400</v>
      </c>
      <c r="F59" s="39">
        <v>1942.058</v>
      </c>
      <c r="G59" s="40">
        <v>5.1473060000000001E-2</v>
      </c>
      <c r="H59" s="30">
        <v>7.26</v>
      </c>
    </row>
    <row r="60" spans="1:8" ht="25.5" x14ac:dyDescent="0.2">
      <c r="A60" s="36">
        <v>2</v>
      </c>
      <c r="B60" s="37" t="s">
        <v>179</v>
      </c>
      <c r="C60" s="37" t="s">
        <v>180</v>
      </c>
      <c r="D60" s="37" t="s">
        <v>114</v>
      </c>
      <c r="E60" s="38">
        <v>300</v>
      </c>
      <c r="F60" s="39">
        <v>1456.848</v>
      </c>
      <c r="G60" s="40">
        <v>3.8612859999999999E-2</v>
      </c>
      <c r="H60" s="30">
        <v>7.3051000000000004</v>
      </c>
    </row>
    <row r="61" spans="1:8" x14ac:dyDescent="0.2">
      <c r="A61" s="36">
        <v>3</v>
      </c>
      <c r="B61" s="37" t="s">
        <v>181</v>
      </c>
      <c r="C61" s="37" t="s">
        <v>182</v>
      </c>
      <c r="D61" s="37" t="s">
        <v>114</v>
      </c>
      <c r="E61" s="38">
        <v>300</v>
      </c>
      <c r="F61" s="39">
        <v>1447.413</v>
      </c>
      <c r="G61" s="40">
        <v>3.8362800000000002E-2</v>
      </c>
      <c r="H61" s="30">
        <v>7.4500999999999999</v>
      </c>
    </row>
    <row r="62" spans="1:8" x14ac:dyDescent="0.2">
      <c r="A62" s="36">
        <v>4</v>
      </c>
      <c r="B62" s="37" t="s">
        <v>183</v>
      </c>
      <c r="C62" s="37" t="s">
        <v>184</v>
      </c>
      <c r="D62" s="37" t="s">
        <v>114</v>
      </c>
      <c r="E62" s="38">
        <v>200</v>
      </c>
      <c r="F62" s="39">
        <v>973.697</v>
      </c>
      <c r="G62" s="40">
        <v>2.5807239999999999E-2</v>
      </c>
      <c r="H62" s="30">
        <v>7.25</v>
      </c>
    </row>
    <row r="63" spans="1:8" x14ac:dyDescent="0.2">
      <c r="A63" s="36">
        <v>5</v>
      </c>
      <c r="B63" s="37" t="s">
        <v>185</v>
      </c>
      <c r="C63" s="37" t="s">
        <v>186</v>
      </c>
      <c r="D63" s="37" t="s">
        <v>114</v>
      </c>
      <c r="E63" s="38">
        <v>200</v>
      </c>
      <c r="F63" s="39">
        <v>972.31100000000004</v>
      </c>
      <c r="G63" s="40">
        <v>2.577051E-2</v>
      </c>
      <c r="H63" s="30">
        <v>7.32</v>
      </c>
    </row>
    <row r="64" spans="1:8" x14ac:dyDescent="0.2">
      <c r="A64" s="36">
        <v>6</v>
      </c>
      <c r="B64" s="37" t="s">
        <v>147</v>
      </c>
      <c r="C64" s="37" t="s">
        <v>148</v>
      </c>
      <c r="D64" s="37" t="s">
        <v>149</v>
      </c>
      <c r="E64" s="38">
        <v>200</v>
      </c>
      <c r="F64" s="39">
        <v>961.27</v>
      </c>
      <c r="G64" s="40">
        <v>2.547787E-2</v>
      </c>
      <c r="H64" s="30">
        <v>7.39</v>
      </c>
    </row>
    <row r="65" spans="1:8" ht="25.5" x14ac:dyDescent="0.2">
      <c r="A65" s="36">
        <v>7</v>
      </c>
      <c r="B65" s="37" t="s">
        <v>187</v>
      </c>
      <c r="C65" s="98" t="s">
        <v>188</v>
      </c>
      <c r="D65" s="37" t="s">
        <v>114</v>
      </c>
      <c r="E65" s="38">
        <v>200</v>
      </c>
      <c r="F65" s="39">
        <v>959.65</v>
      </c>
      <c r="G65" s="40">
        <v>2.543494E-2</v>
      </c>
      <c r="H65" s="30">
        <v>7.45</v>
      </c>
    </row>
    <row r="66" spans="1:8" x14ac:dyDescent="0.2">
      <c r="A66" s="36">
        <v>8</v>
      </c>
      <c r="B66" s="37" t="s">
        <v>120</v>
      </c>
      <c r="C66" s="37" t="s">
        <v>121</v>
      </c>
      <c r="D66" s="37" t="s">
        <v>122</v>
      </c>
      <c r="E66" s="38">
        <v>200</v>
      </c>
      <c r="F66" s="39">
        <v>957.54300000000001</v>
      </c>
      <c r="G66" s="40">
        <v>2.537909E-2</v>
      </c>
      <c r="H66" s="30">
        <v>7.39</v>
      </c>
    </row>
    <row r="67" spans="1:8" x14ac:dyDescent="0.2">
      <c r="A67" s="36">
        <v>9</v>
      </c>
      <c r="B67" s="37" t="s">
        <v>137</v>
      </c>
      <c r="C67" s="37" t="s">
        <v>138</v>
      </c>
      <c r="D67" s="37" t="s">
        <v>114</v>
      </c>
      <c r="E67" s="38">
        <v>200</v>
      </c>
      <c r="F67" s="39">
        <v>957.26800000000003</v>
      </c>
      <c r="G67" s="40">
        <v>2.53718E-2</v>
      </c>
      <c r="H67" s="30">
        <v>7.4401000000000002</v>
      </c>
    </row>
    <row r="68" spans="1:8" x14ac:dyDescent="0.2">
      <c r="A68" s="36">
        <v>10</v>
      </c>
      <c r="B68" s="37" t="s">
        <v>141</v>
      </c>
      <c r="C68" s="37" t="s">
        <v>142</v>
      </c>
      <c r="D68" s="37" t="s">
        <v>114</v>
      </c>
      <c r="E68" s="38">
        <v>200</v>
      </c>
      <c r="F68" s="39">
        <v>956.55700000000002</v>
      </c>
      <c r="G68" s="40">
        <v>2.5352960000000001E-2</v>
      </c>
      <c r="H68" s="30">
        <v>7.5350000000000001</v>
      </c>
    </row>
    <row r="69" spans="1:8" x14ac:dyDescent="0.2">
      <c r="A69" s="36">
        <v>11</v>
      </c>
      <c r="B69" s="37" t="s">
        <v>143</v>
      </c>
      <c r="C69" s="37" t="s">
        <v>144</v>
      </c>
      <c r="D69" s="37" t="s">
        <v>114</v>
      </c>
      <c r="E69" s="38">
        <v>200</v>
      </c>
      <c r="F69" s="39">
        <v>956.18600000000004</v>
      </c>
      <c r="G69" s="40">
        <v>2.534312E-2</v>
      </c>
      <c r="H69" s="30">
        <v>7.5</v>
      </c>
    </row>
    <row r="70" spans="1:8" ht="25.5" x14ac:dyDescent="0.2">
      <c r="A70" s="36">
        <v>12</v>
      </c>
      <c r="B70" s="37" t="s">
        <v>189</v>
      </c>
      <c r="C70" s="37" t="s">
        <v>190</v>
      </c>
      <c r="D70" s="37" t="s">
        <v>114</v>
      </c>
      <c r="E70" s="38">
        <v>200</v>
      </c>
      <c r="F70" s="39">
        <v>956.09199999999998</v>
      </c>
      <c r="G70" s="40">
        <v>2.5340629999999999E-2</v>
      </c>
      <c r="H70" s="30">
        <v>7.45</v>
      </c>
    </row>
    <row r="71" spans="1:8" x14ac:dyDescent="0.2">
      <c r="A71" s="36">
        <v>13</v>
      </c>
      <c r="B71" s="37" t="s">
        <v>125</v>
      </c>
      <c r="C71" s="37" t="s">
        <v>126</v>
      </c>
      <c r="D71" s="37" t="s">
        <v>114</v>
      </c>
      <c r="E71" s="38">
        <v>200</v>
      </c>
      <c r="F71" s="39">
        <v>952.18899999999996</v>
      </c>
      <c r="G71" s="40">
        <v>2.523719E-2</v>
      </c>
      <c r="H71" s="30">
        <v>7.4199000000000002</v>
      </c>
    </row>
    <row r="72" spans="1:8" x14ac:dyDescent="0.2">
      <c r="A72" s="36">
        <v>14</v>
      </c>
      <c r="B72" s="37" t="s">
        <v>127</v>
      </c>
      <c r="C72" s="37" t="s">
        <v>128</v>
      </c>
      <c r="D72" s="37" t="s">
        <v>114</v>
      </c>
      <c r="E72" s="38">
        <v>200</v>
      </c>
      <c r="F72" s="39">
        <v>939.37</v>
      </c>
      <c r="G72" s="40">
        <v>2.4897430000000002E-2</v>
      </c>
      <c r="H72" s="30">
        <v>7.5750000000000002</v>
      </c>
    </row>
    <row r="73" spans="1:8" ht="25.5" x14ac:dyDescent="0.2">
      <c r="A73" s="36">
        <v>15</v>
      </c>
      <c r="B73" s="37" t="s">
        <v>191</v>
      </c>
      <c r="C73" s="37" t="s">
        <v>192</v>
      </c>
      <c r="D73" s="37" t="s">
        <v>114</v>
      </c>
      <c r="E73" s="38">
        <v>100</v>
      </c>
      <c r="F73" s="39">
        <v>482.42599999999999</v>
      </c>
      <c r="G73" s="40">
        <v>1.278641E-2</v>
      </c>
      <c r="H73" s="30">
        <v>7.47</v>
      </c>
    </row>
    <row r="74" spans="1:8" x14ac:dyDescent="0.2">
      <c r="A74" s="28"/>
      <c r="B74" s="28"/>
      <c r="C74" s="29" t="s">
        <v>11</v>
      </c>
      <c r="D74" s="28"/>
      <c r="E74" s="28" t="s">
        <v>12</v>
      </c>
      <c r="F74" s="35">
        <v>15870.878000000001</v>
      </c>
      <c r="G74" s="32">
        <v>0.42064791000000001</v>
      </c>
      <c r="H74" s="30" t="s">
        <v>12</v>
      </c>
    </row>
    <row r="75" spans="1:8" x14ac:dyDescent="0.2">
      <c r="A75" s="28"/>
      <c r="B75" s="28"/>
      <c r="C75" s="33"/>
      <c r="D75" s="28"/>
      <c r="E75" s="28"/>
      <c r="F75" s="34"/>
      <c r="G75" s="34"/>
      <c r="H75" s="30" t="s">
        <v>12</v>
      </c>
    </row>
    <row r="76" spans="1:8" x14ac:dyDescent="0.2">
      <c r="A76" s="28"/>
      <c r="B76" s="28"/>
      <c r="C76" s="29" t="s">
        <v>61</v>
      </c>
      <c r="D76" s="28"/>
      <c r="E76" s="28"/>
      <c r="F76" s="34"/>
      <c r="G76" s="34"/>
      <c r="H76" s="30" t="s">
        <v>12</v>
      </c>
    </row>
    <row r="77" spans="1:8" ht="25.5" x14ac:dyDescent="0.2">
      <c r="A77" s="36">
        <v>1</v>
      </c>
      <c r="B77" s="37" t="s">
        <v>193</v>
      </c>
      <c r="C77" s="98" t="s">
        <v>538</v>
      </c>
      <c r="D77" s="37" t="s">
        <v>114</v>
      </c>
      <c r="E77" s="38">
        <v>300</v>
      </c>
      <c r="F77" s="39">
        <v>1416.3045</v>
      </c>
      <c r="G77" s="40">
        <v>3.753828E-2</v>
      </c>
      <c r="H77" s="30">
        <v>8.9499999999999993</v>
      </c>
    </row>
    <row r="78" spans="1:8" ht="25.5" x14ac:dyDescent="0.2">
      <c r="A78" s="36">
        <v>2</v>
      </c>
      <c r="B78" s="37" t="s">
        <v>194</v>
      </c>
      <c r="C78" s="98" t="s">
        <v>539</v>
      </c>
      <c r="D78" s="37" t="s">
        <v>149</v>
      </c>
      <c r="E78" s="38">
        <v>100</v>
      </c>
      <c r="F78" s="39">
        <v>498.57299999999998</v>
      </c>
      <c r="G78" s="40">
        <v>1.321437E-2</v>
      </c>
      <c r="H78" s="30">
        <v>6.9649999999999999</v>
      </c>
    </row>
    <row r="79" spans="1:8" x14ac:dyDescent="0.2">
      <c r="A79" s="28"/>
      <c r="B79" s="28"/>
      <c r="C79" s="29" t="s">
        <v>11</v>
      </c>
      <c r="D79" s="28"/>
      <c r="E79" s="28" t="s">
        <v>12</v>
      </c>
      <c r="F79" s="35">
        <v>1914.8775000000001</v>
      </c>
      <c r="G79" s="32">
        <v>5.0752650000000003E-2</v>
      </c>
      <c r="H79" s="30" t="s">
        <v>12</v>
      </c>
    </row>
    <row r="80" spans="1:8" x14ac:dyDescent="0.2">
      <c r="A80" s="28"/>
      <c r="B80" s="28"/>
      <c r="C80" s="33"/>
      <c r="D80" s="28"/>
      <c r="E80" s="28"/>
      <c r="F80" s="34"/>
      <c r="G80" s="34"/>
      <c r="H80" s="30" t="s">
        <v>12</v>
      </c>
    </row>
    <row r="81" spans="1:8" x14ac:dyDescent="0.2">
      <c r="A81" s="28"/>
      <c r="B81" s="28"/>
      <c r="C81" s="29" t="s">
        <v>62</v>
      </c>
      <c r="D81" s="28"/>
      <c r="E81" s="28"/>
      <c r="F81" s="34"/>
      <c r="G81" s="34"/>
      <c r="H81" s="30" t="s">
        <v>12</v>
      </c>
    </row>
    <row r="82" spans="1:8" x14ac:dyDescent="0.2">
      <c r="A82" s="28"/>
      <c r="B82" s="28"/>
      <c r="C82" s="29" t="s">
        <v>11</v>
      </c>
      <c r="D82" s="28"/>
      <c r="E82" s="28" t="s">
        <v>12</v>
      </c>
      <c r="F82" s="31" t="s">
        <v>13</v>
      </c>
      <c r="G82" s="32">
        <v>0</v>
      </c>
      <c r="H82" s="30" t="s">
        <v>12</v>
      </c>
    </row>
    <row r="83" spans="1:8" x14ac:dyDescent="0.2">
      <c r="A83" s="28"/>
      <c r="B83" s="28"/>
      <c r="C83" s="33"/>
      <c r="D83" s="28"/>
      <c r="E83" s="28"/>
      <c r="F83" s="34"/>
      <c r="G83" s="34"/>
      <c r="H83" s="30" t="s">
        <v>12</v>
      </c>
    </row>
    <row r="84" spans="1:8" x14ac:dyDescent="0.2">
      <c r="A84" s="28"/>
      <c r="B84" s="28"/>
      <c r="C84" s="29" t="s">
        <v>63</v>
      </c>
      <c r="D84" s="28"/>
      <c r="E84" s="28"/>
      <c r="F84" s="34"/>
      <c r="G84" s="34"/>
      <c r="H84" s="30" t="s">
        <v>12</v>
      </c>
    </row>
    <row r="85" spans="1:8" x14ac:dyDescent="0.2">
      <c r="A85" s="36">
        <v>1</v>
      </c>
      <c r="B85" s="37"/>
      <c r="C85" s="37" t="s">
        <v>64</v>
      </c>
      <c r="D85" s="37"/>
      <c r="E85" s="41"/>
      <c r="F85" s="39">
        <v>1448.013867999</v>
      </c>
      <c r="G85" s="40">
        <v>3.8378719999999998E-2</v>
      </c>
      <c r="H85" s="30">
        <v>6.35</v>
      </c>
    </row>
    <row r="86" spans="1:8" x14ac:dyDescent="0.2">
      <c r="A86" s="28"/>
      <c r="B86" s="28"/>
      <c r="C86" s="29" t="s">
        <v>11</v>
      </c>
      <c r="D86" s="28"/>
      <c r="E86" s="28" t="s">
        <v>12</v>
      </c>
      <c r="F86" s="35">
        <v>1448.013867999</v>
      </c>
      <c r="G86" s="32">
        <v>3.8378719999999998E-2</v>
      </c>
      <c r="H86" s="30" t="s">
        <v>12</v>
      </c>
    </row>
    <row r="87" spans="1:8" x14ac:dyDescent="0.2">
      <c r="A87" s="28"/>
      <c r="B87" s="28"/>
      <c r="C87" s="33"/>
      <c r="D87" s="28"/>
      <c r="E87" s="28"/>
      <c r="F87" s="34"/>
      <c r="G87" s="34"/>
      <c r="H87" s="30" t="s">
        <v>12</v>
      </c>
    </row>
    <row r="88" spans="1:8" x14ac:dyDescent="0.2">
      <c r="A88" s="28"/>
      <c r="B88" s="28"/>
      <c r="C88" s="29" t="s">
        <v>65</v>
      </c>
      <c r="D88" s="28"/>
      <c r="E88" s="28"/>
      <c r="F88" s="35">
        <v>19233.769367999001</v>
      </c>
      <c r="G88" s="32">
        <v>0.50977927999999995</v>
      </c>
      <c r="H88" s="30" t="s">
        <v>12</v>
      </c>
    </row>
    <row r="89" spans="1:8" x14ac:dyDescent="0.2">
      <c r="A89" s="28"/>
      <c r="B89" s="28"/>
      <c r="C89" s="34"/>
      <c r="D89" s="28"/>
      <c r="E89" s="28"/>
      <c r="F89" s="28"/>
      <c r="G89" s="28"/>
      <c r="H89" s="30" t="s">
        <v>12</v>
      </c>
    </row>
    <row r="90" spans="1:8" x14ac:dyDescent="0.2">
      <c r="A90" s="28"/>
      <c r="B90" s="28"/>
      <c r="C90" s="29" t="s">
        <v>66</v>
      </c>
      <c r="D90" s="28"/>
      <c r="E90" s="28"/>
      <c r="F90" s="28"/>
      <c r="G90" s="28"/>
      <c r="H90" s="30" t="s">
        <v>12</v>
      </c>
    </row>
    <row r="91" spans="1:8" x14ac:dyDescent="0.2">
      <c r="A91" s="28"/>
      <c r="B91" s="28"/>
      <c r="C91" s="29" t="s">
        <v>67</v>
      </c>
      <c r="D91" s="28"/>
      <c r="E91" s="28"/>
      <c r="F91" s="28"/>
      <c r="G91" s="28"/>
      <c r="H91" s="30" t="s">
        <v>12</v>
      </c>
    </row>
    <row r="92" spans="1:8" x14ac:dyDescent="0.2">
      <c r="A92" s="28"/>
      <c r="B92" s="28"/>
      <c r="C92" s="29" t="s">
        <v>11</v>
      </c>
      <c r="D92" s="28"/>
      <c r="E92" s="28" t="s">
        <v>12</v>
      </c>
      <c r="F92" s="31" t="s">
        <v>13</v>
      </c>
      <c r="G92" s="32">
        <v>0</v>
      </c>
      <c r="H92" s="30" t="s">
        <v>12</v>
      </c>
    </row>
    <row r="93" spans="1:8" x14ac:dyDescent="0.2">
      <c r="A93" s="28"/>
      <c r="B93" s="28"/>
      <c r="C93" s="33"/>
      <c r="D93" s="28"/>
      <c r="E93" s="28"/>
      <c r="F93" s="34"/>
      <c r="G93" s="34"/>
      <c r="H93" s="30" t="s">
        <v>12</v>
      </c>
    </row>
    <row r="94" spans="1:8" x14ac:dyDescent="0.2">
      <c r="A94" s="28"/>
      <c r="B94" s="28"/>
      <c r="C94" s="29" t="s">
        <v>70</v>
      </c>
      <c r="D94" s="28"/>
      <c r="E94" s="28"/>
      <c r="F94" s="28"/>
      <c r="G94" s="28"/>
      <c r="H94" s="30" t="s">
        <v>12</v>
      </c>
    </row>
    <row r="95" spans="1:8" x14ac:dyDescent="0.2">
      <c r="A95" s="28"/>
      <c r="B95" s="28"/>
      <c r="C95" s="29" t="s">
        <v>71</v>
      </c>
      <c r="D95" s="28"/>
      <c r="E95" s="28"/>
      <c r="F95" s="28"/>
      <c r="G95" s="28"/>
      <c r="H95" s="30" t="s">
        <v>12</v>
      </c>
    </row>
    <row r="96" spans="1:8" x14ac:dyDescent="0.2">
      <c r="A96" s="28"/>
      <c r="B96" s="28"/>
      <c r="C96" s="29" t="s">
        <v>11</v>
      </c>
      <c r="D96" s="28"/>
      <c r="E96" s="28" t="s">
        <v>12</v>
      </c>
      <c r="F96" s="31" t="s">
        <v>13</v>
      </c>
      <c r="G96" s="32">
        <v>0</v>
      </c>
      <c r="H96" s="30" t="s">
        <v>12</v>
      </c>
    </row>
    <row r="97" spans="1:18" x14ac:dyDescent="0.2">
      <c r="A97" s="28"/>
      <c r="B97" s="28"/>
      <c r="C97" s="33"/>
      <c r="D97" s="28"/>
      <c r="E97" s="28"/>
      <c r="F97" s="34"/>
      <c r="G97" s="34"/>
      <c r="H97" s="30" t="s">
        <v>12</v>
      </c>
    </row>
    <row r="98" spans="1:18" x14ac:dyDescent="0.2">
      <c r="A98" s="28"/>
      <c r="B98" s="28"/>
      <c r="C98" s="29" t="s">
        <v>72</v>
      </c>
      <c r="D98" s="28"/>
      <c r="E98" s="28"/>
      <c r="F98" s="34"/>
      <c r="G98" s="34"/>
      <c r="H98" s="30" t="s">
        <v>12</v>
      </c>
    </row>
    <row r="99" spans="1:18" x14ac:dyDescent="0.2">
      <c r="A99" s="28"/>
      <c r="B99" s="28"/>
      <c r="C99" s="29" t="s">
        <v>11</v>
      </c>
      <c r="D99" s="28"/>
      <c r="E99" s="28" t="s">
        <v>12</v>
      </c>
      <c r="F99" s="31" t="s">
        <v>13</v>
      </c>
      <c r="G99" s="32">
        <v>0</v>
      </c>
      <c r="H99" s="30" t="s">
        <v>12</v>
      </c>
    </row>
    <row r="100" spans="1:18" x14ac:dyDescent="0.2">
      <c r="A100" s="73"/>
      <c r="B100" s="73"/>
      <c r="C100" s="74"/>
      <c r="D100" s="73"/>
      <c r="E100" s="73"/>
      <c r="F100" s="75"/>
      <c r="G100" s="75"/>
      <c r="H100" s="30" t="s">
        <v>12</v>
      </c>
    </row>
    <row r="101" spans="1:18" x14ac:dyDescent="0.2">
      <c r="A101" s="76"/>
      <c r="B101" s="76"/>
      <c r="C101" s="64" t="s">
        <v>406</v>
      </c>
      <c r="D101" s="76"/>
      <c r="E101" s="76"/>
      <c r="F101" s="77"/>
      <c r="G101" s="77"/>
      <c r="H101" s="78"/>
      <c r="K101" s="5"/>
      <c r="L101" s="5"/>
      <c r="M101" s="5"/>
      <c r="N101" s="5"/>
      <c r="O101" s="5"/>
      <c r="P101" s="6"/>
      <c r="Q101" s="6"/>
      <c r="R101" s="6"/>
    </row>
    <row r="102" spans="1:18" ht="25.5" x14ac:dyDescent="0.2">
      <c r="A102" s="36">
        <v>1</v>
      </c>
      <c r="B102" s="37" t="s">
        <v>68</v>
      </c>
      <c r="C102" s="37" t="s">
        <v>69</v>
      </c>
      <c r="D102" s="37"/>
      <c r="E102" s="79">
        <v>1043.4449999999999</v>
      </c>
      <c r="F102" s="39">
        <v>107.5572202</v>
      </c>
      <c r="G102" s="40">
        <v>2.85074E-3</v>
      </c>
      <c r="H102" s="30"/>
    </row>
    <row r="103" spans="1:18" x14ac:dyDescent="0.2">
      <c r="A103" s="28"/>
      <c r="B103" s="28"/>
      <c r="C103" s="29" t="s">
        <v>11</v>
      </c>
      <c r="D103" s="28"/>
      <c r="E103" s="28" t="s">
        <v>12</v>
      </c>
      <c r="F103" s="35">
        <v>107.5572202</v>
      </c>
      <c r="G103" s="32">
        <v>2.85074E-3</v>
      </c>
      <c r="H103" s="30" t="s">
        <v>12</v>
      </c>
    </row>
    <row r="104" spans="1:18" x14ac:dyDescent="0.2">
      <c r="A104" s="28"/>
      <c r="B104" s="37"/>
      <c r="C104" s="37"/>
      <c r="D104" s="29"/>
      <c r="E104" s="28"/>
      <c r="F104" s="37"/>
      <c r="G104" s="41"/>
      <c r="H104" s="30" t="s">
        <v>12</v>
      </c>
    </row>
    <row r="105" spans="1:18" x14ac:dyDescent="0.2">
      <c r="A105" s="41"/>
      <c r="B105" s="37"/>
      <c r="C105" s="37" t="s">
        <v>73</v>
      </c>
      <c r="D105" s="37"/>
      <c r="E105" s="41"/>
      <c r="F105" s="39">
        <f>302.47346435+0.0000245810031890869</f>
        <v>302.47348893100315</v>
      </c>
      <c r="G105" s="40">
        <v>8.0168700000000006E-3</v>
      </c>
      <c r="H105" s="30" t="s">
        <v>12</v>
      </c>
    </row>
    <row r="106" spans="1:18" x14ac:dyDescent="0.2">
      <c r="A106" s="33"/>
      <c r="B106" s="33"/>
      <c r="C106" s="29" t="s">
        <v>74</v>
      </c>
      <c r="D106" s="34"/>
      <c r="E106" s="34"/>
      <c r="F106" s="35">
        <f>37729.602752549+0.0000245810031890869</f>
        <v>37729.60277713</v>
      </c>
      <c r="G106" s="42">
        <v>1.0000000200000001</v>
      </c>
      <c r="H106" s="30" t="s">
        <v>12</v>
      </c>
    </row>
    <row r="107" spans="1:18" x14ac:dyDescent="0.2">
      <c r="A107" s="43"/>
      <c r="B107" s="43"/>
      <c r="C107" s="43"/>
      <c r="D107" s="44"/>
      <c r="E107" s="44"/>
      <c r="F107" s="44"/>
      <c r="G107" s="44"/>
    </row>
    <row r="108" spans="1:18" x14ac:dyDescent="0.2">
      <c r="A108" s="45"/>
      <c r="B108" s="110" t="s">
        <v>407</v>
      </c>
      <c r="C108" s="110"/>
      <c r="D108" s="110"/>
      <c r="E108" s="110"/>
      <c r="F108" s="110"/>
      <c r="G108" s="110"/>
      <c r="H108" s="110"/>
    </row>
    <row r="109" spans="1:18" x14ac:dyDescent="0.2">
      <c r="A109" s="45"/>
      <c r="B109" s="110" t="s">
        <v>408</v>
      </c>
      <c r="C109" s="110"/>
      <c r="D109" s="110"/>
      <c r="E109" s="110"/>
      <c r="F109" s="110"/>
      <c r="G109" s="110"/>
      <c r="H109" s="110"/>
    </row>
    <row r="110" spans="1:18" x14ac:dyDescent="0.2">
      <c r="A110" s="45"/>
      <c r="B110" s="110" t="s">
        <v>409</v>
      </c>
      <c r="C110" s="110"/>
      <c r="D110" s="110"/>
      <c r="E110" s="110"/>
      <c r="F110" s="110"/>
      <c r="G110" s="110"/>
      <c r="H110" s="110"/>
    </row>
    <row r="111" spans="1:18" x14ac:dyDescent="0.2">
      <c r="A111" s="47"/>
      <c r="B111" s="47"/>
      <c r="C111" s="47"/>
      <c r="D111" s="48"/>
      <c r="E111" s="48"/>
      <c r="F111" s="48"/>
      <c r="G111" s="48"/>
    </row>
    <row r="112" spans="1:18" x14ac:dyDescent="0.2">
      <c r="A112" s="47"/>
      <c r="B112" s="112" t="s">
        <v>75</v>
      </c>
      <c r="C112" s="113"/>
      <c r="D112" s="114"/>
      <c r="E112" s="49"/>
      <c r="F112" s="48"/>
      <c r="G112" s="48"/>
    </row>
    <row r="113" spans="1:15" ht="25.5" x14ac:dyDescent="0.2">
      <c r="A113" s="47"/>
      <c r="B113" s="115" t="s">
        <v>76</v>
      </c>
      <c r="C113" s="116"/>
      <c r="D113" s="64" t="s">
        <v>423</v>
      </c>
      <c r="E113" s="49"/>
      <c r="F113" s="48"/>
      <c r="G113" s="48"/>
    </row>
    <row r="114" spans="1:15" x14ac:dyDescent="0.2">
      <c r="A114" s="47"/>
      <c r="B114" s="115" t="s">
        <v>78</v>
      </c>
      <c r="C114" s="116"/>
      <c r="D114" s="29" t="s">
        <v>77</v>
      </c>
      <c r="E114" s="49"/>
      <c r="F114" s="48"/>
      <c r="G114" s="48"/>
    </row>
    <row r="115" spans="1:15" x14ac:dyDescent="0.2">
      <c r="A115" s="47"/>
      <c r="B115" s="115" t="s">
        <v>79</v>
      </c>
      <c r="C115" s="116"/>
      <c r="D115" s="34" t="s">
        <v>12</v>
      </c>
      <c r="E115" s="49"/>
      <c r="F115" s="48"/>
      <c r="G115" s="48"/>
    </row>
    <row r="116" spans="1:15" x14ac:dyDescent="0.2">
      <c r="A116" s="50"/>
      <c r="B116" s="51" t="s">
        <v>12</v>
      </c>
      <c r="C116" s="51" t="s">
        <v>458</v>
      </c>
      <c r="D116" s="51" t="s">
        <v>80</v>
      </c>
      <c r="E116" s="50"/>
      <c r="F116" s="50"/>
      <c r="G116" s="50"/>
      <c r="H116" s="52"/>
    </row>
    <row r="117" spans="1:15" x14ac:dyDescent="0.2">
      <c r="A117" s="53"/>
      <c r="B117" s="54" t="s">
        <v>81</v>
      </c>
      <c r="C117" s="55" t="s">
        <v>82</v>
      </c>
      <c r="D117" s="55" t="s">
        <v>83</v>
      </c>
      <c r="E117" s="53"/>
      <c r="F117" s="53"/>
      <c r="G117" s="53"/>
    </row>
    <row r="118" spans="1:15" x14ac:dyDescent="0.2">
      <c r="A118" s="53"/>
      <c r="B118" s="37" t="s">
        <v>84</v>
      </c>
      <c r="C118" s="56">
        <v>3421.3519000000001</v>
      </c>
      <c r="D118" s="56">
        <v>3433.8243000000002</v>
      </c>
      <c r="E118" s="53"/>
      <c r="F118" s="57"/>
      <c r="G118" s="58"/>
    </row>
    <row r="119" spans="1:15" ht="25.5" x14ac:dyDescent="0.2">
      <c r="A119" s="53"/>
      <c r="B119" s="37" t="s">
        <v>85</v>
      </c>
      <c r="C119" s="56">
        <v>1098.4717000000001</v>
      </c>
      <c r="D119" s="56">
        <v>1102.4762000000001</v>
      </c>
      <c r="E119" s="53"/>
      <c r="F119" s="57"/>
      <c r="G119" s="58"/>
    </row>
    <row r="120" spans="1:15" ht="25.5" x14ac:dyDescent="0.2">
      <c r="A120" s="53"/>
      <c r="B120" s="37" t="s">
        <v>86</v>
      </c>
      <c r="C120" s="56">
        <v>1197.9689000000001</v>
      </c>
      <c r="D120" s="56">
        <v>1202.3361</v>
      </c>
      <c r="E120" s="53"/>
      <c r="F120" s="57"/>
      <c r="G120" s="58"/>
    </row>
    <row r="121" spans="1:15" x14ac:dyDescent="0.2">
      <c r="A121" s="53"/>
      <c r="B121" s="37" t="s">
        <v>89</v>
      </c>
      <c r="C121" s="56">
        <v>3215.2323000000001</v>
      </c>
      <c r="D121" s="56">
        <v>3225.9982</v>
      </c>
      <c r="E121" s="53"/>
      <c r="F121" s="57"/>
      <c r="G121" s="58"/>
    </row>
    <row r="122" spans="1:15" x14ac:dyDescent="0.2">
      <c r="A122" s="53"/>
      <c r="B122" s="37" t="s">
        <v>116</v>
      </c>
      <c r="C122" s="56">
        <v>1245.1714999999999</v>
      </c>
      <c r="D122" s="56">
        <v>1249.3409999999999</v>
      </c>
      <c r="E122" s="53"/>
      <c r="F122" s="57"/>
      <c r="G122" s="58"/>
    </row>
    <row r="123" spans="1:15" ht="25.5" x14ac:dyDescent="0.2">
      <c r="A123" s="53"/>
      <c r="B123" s="37" t="s">
        <v>90</v>
      </c>
      <c r="C123" s="56">
        <v>1088.3974000000001</v>
      </c>
      <c r="D123" s="56">
        <v>1092.0418999999999</v>
      </c>
      <c r="E123" s="53"/>
      <c r="F123" s="57"/>
      <c r="G123" s="58"/>
    </row>
    <row r="124" spans="1:15" ht="25.5" x14ac:dyDescent="0.2">
      <c r="A124" s="53"/>
      <c r="B124" s="37" t="s">
        <v>91</v>
      </c>
      <c r="C124" s="56">
        <v>1164.4861000000001</v>
      </c>
      <c r="D124" s="56">
        <v>1168.3853999999999</v>
      </c>
      <c r="E124" s="53"/>
      <c r="F124" s="57"/>
      <c r="G124" s="58"/>
    </row>
    <row r="125" spans="1:15" x14ac:dyDescent="0.2">
      <c r="A125" s="53"/>
      <c r="B125" s="53"/>
      <c r="C125" s="53"/>
      <c r="D125" s="53"/>
      <c r="E125" s="53"/>
      <c r="F125" s="53"/>
      <c r="G125" s="53"/>
    </row>
    <row r="126" spans="1:15" x14ac:dyDescent="0.2">
      <c r="A126" s="53"/>
      <c r="B126" s="115" t="s">
        <v>94</v>
      </c>
      <c r="C126" s="116"/>
      <c r="D126" s="64" t="s">
        <v>77</v>
      </c>
      <c r="E126" s="53"/>
      <c r="F126" s="53"/>
      <c r="G126" s="53"/>
    </row>
    <row r="127" spans="1:15" x14ac:dyDescent="0.2">
      <c r="A127" s="53"/>
      <c r="B127" s="66"/>
      <c r="C127" s="66"/>
      <c r="D127" s="66"/>
      <c r="E127" s="53"/>
      <c r="F127" s="53"/>
      <c r="G127" s="53"/>
    </row>
    <row r="128" spans="1:15" s="7" customFormat="1" x14ac:dyDescent="0.2">
      <c r="A128" s="80"/>
      <c r="B128" s="117" t="s">
        <v>419</v>
      </c>
      <c r="C128" s="118"/>
      <c r="D128" s="64" t="s">
        <v>77</v>
      </c>
      <c r="G128" s="80"/>
      <c r="I128"/>
      <c r="J128" s="2"/>
      <c r="K128" s="5"/>
      <c r="L128" s="5"/>
      <c r="M128" s="5"/>
      <c r="N128" s="5"/>
      <c r="O128" s="8"/>
    </row>
    <row r="129" spans="1:17" x14ac:dyDescent="0.2">
      <c r="A129" s="50"/>
      <c r="B129" s="117" t="s">
        <v>420</v>
      </c>
      <c r="C129" s="118"/>
      <c r="D129" s="64" t="s">
        <v>77</v>
      </c>
      <c r="E129" s="65"/>
      <c r="F129" s="50"/>
      <c r="G129" s="50"/>
    </row>
    <row r="130" spans="1:17" x14ac:dyDescent="0.2">
      <c r="A130" s="50"/>
      <c r="B130" s="117" t="s">
        <v>421</v>
      </c>
      <c r="C130" s="118"/>
      <c r="D130" s="64" t="s">
        <v>77</v>
      </c>
      <c r="E130" s="65"/>
      <c r="F130" s="50"/>
      <c r="G130" s="50"/>
    </row>
    <row r="131" spans="1:17" x14ac:dyDescent="0.2">
      <c r="A131" s="50"/>
      <c r="B131" s="117" t="s">
        <v>422</v>
      </c>
      <c r="C131" s="118"/>
      <c r="D131" s="64" t="s">
        <v>77</v>
      </c>
      <c r="E131" s="65"/>
      <c r="F131" s="50"/>
      <c r="G131" s="50"/>
    </row>
    <row r="132" spans="1:17" x14ac:dyDescent="0.2">
      <c r="A132" s="66"/>
      <c r="B132" s="66"/>
      <c r="C132" s="66"/>
      <c r="D132" s="66"/>
      <c r="E132" s="66"/>
      <c r="F132" s="66"/>
      <c r="G132" s="66"/>
    </row>
    <row r="133" spans="1:17" s="7" customFormat="1" x14ac:dyDescent="0.2">
      <c r="B133" s="93" t="s">
        <v>455</v>
      </c>
      <c r="C133" s="93"/>
      <c r="D133" s="93"/>
      <c r="E133" s="93"/>
      <c r="F133" s="93"/>
      <c r="G133" s="93"/>
      <c r="H133" s="93"/>
      <c r="I133"/>
      <c r="J133" s="2"/>
      <c r="K133" s="5"/>
      <c r="L133" s="5"/>
      <c r="M133" s="5"/>
      <c r="N133" s="5"/>
      <c r="O133" s="8"/>
    </row>
    <row r="134" spans="1:17" s="7" customFormat="1" x14ac:dyDescent="0.2">
      <c r="B134" s="94"/>
      <c r="C134" s="94"/>
      <c r="D134" s="94"/>
      <c r="E134" s="94"/>
      <c r="F134" s="94"/>
      <c r="G134" s="94"/>
      <c r="H134" s="94"/>
      <c r="I134"/>
      <c r="J134" s="2"/>
      <c r="K134" s="5"/>
      <c r="L134" s="5"/>
      <c r="M134" s="5"/>
      <c r="N134" s="5"/>
      <c r="O134" s="8"/>
    </row>
    <row r="135" spans="1:17" s="7" customFormat="1" ht="102" x14ac:dyDescent="0.2">
      <c r="A135" s="102"/>
      <c r="B135" s="100" t="s">
        <v>424</v>
      </c>
      <c r="C135" s="100" t="s">
        <v>425</v>
      </c>
      <c r="D135" s="100" t="s">
        <v>426</v>
      </c>
      <c r="E135" s="100" t="s">
        <v>427</v>
      </c>
      <c r="F135" s="100" t="s">
        <v>428</v>
      </c>
      <c r="G135" s="94"/>
      <c r="H135" s="94"/>
      <c r="I135"/>
      <c r="J135" s="2"/>
      <c r="K135" s="5"/>
      <c r="L135" s="5"/>
      <c r="M135" s="5"/>
      <c r="N135" s="5"/>
      <c r="O135" s="8"/>
    </row>
    <row r="136" spans="1:17" s="7" customFormat="1" x14ac:dyDescent="0.2">
      <c r="A136" s="103"/>
      <c r="B136" s="96" t="s">
        <v>429</v>
      </c>
      <c r="C136" s="96" t="s">
        <v>430</v>
      </c>
      <c r="D136" s="10">
        <v>0</v>
      </c>
      <c r="E136" s="11">
        <v>0</v>
      </c>
      <c r="F136" s="97">
        <v>300</v>
      </c>
      <c r="G136" s="94"/>
      <c r="H136" s="94"/>
      <c r="I136"/>
      <c r="J136" s="2"/>
      <c r="K136" s="5"/>
      <c r="L136" s="5"/>
      <c r="M136" s="5"/>
      <c r="N136" s="5"/>
      <c r="O136" s="8"/>
    </row>
    <row r="137" spans="1:17" s="7" customFormat="1" x14ac:dyDescent="0.2">
      <c r="A137" s="104"/>
      <c r="B137" s="104"/>
      <c r="C137" s="104"/>
      <c r="D137" s="104"/>
      <c r="E137" s="104"/>
      <c r="F137" s="104"/>
      <c r="G137" s="104"/>
      <c r="I137"/>
      <c r="J137" s="2"/>
      <c r="K137" s="5"/>
      <c r="L137" s="5"/>
      <c r="M137" s="5"/>
      <c r="N137" s="5"/>
      <c r="O137" s="8"/>
    </row>
    <row r="138" spans="1:17" s="7" customFormat="1" x14ac:dyDescent="0.2">
      <c r="B138" s="119" t="s">
        <v>411</v>
      </c>
      <c r="C138" s="120"/>
      <c r="D138" s="121"/>
      <c r="I138"/>
      <c r="J138" s="2"/>
      <c r="K138" s="5"/>
      <c r="L138" s="5"/>
      <c r="M138" s="5"/>
      <c r="N138" s="5"/>
      <c r="O138" s="8"/>
    </row>
    <row r="139" spans="1:17" s="7" customFormat="1" ht="51" x14ac:dyDescent="0.2">
      <c r="B139" s="111" t="s">
        <v>412</v>
      </c>
      <c r="C139" s="111"/>
      <c r="D139" s="67" t="s">
        <v>161</v>
      </c>
      <c r="I139"/>
      <c r="J139" s="2"/>
      <c r="K139" s="5"/>
      <c r="L139" s="5"/>
      <c r="M139" s="5"/>
      <c r="N139" s="5"/>
      <c r="O139" s="8"/>
    </row>
    <row r="140" spans="1:17" s="7" customFormat="1" x14ac:dyDescent="0.2">
      <c r="B140" s="107" t="s">
        <v>413</v>
      </c>
      <c r="C140" s="107"/>
      <c r="D140" s="68"/>
      <c r="I140"/>
      <c r="J140" s="2"/>
      <c r="K140" s="5"/>
      <c r="L140" s="5"/>
      <c r="M140" s="5"/>
      <c r="N140" s="5"/>
      <c r="O140" s="8"/>
    </row>
    <row r="141" spans="1:17" s="7" customFormat="1" x14ac:dyDescent="0.2">
      <c r="B141" s="107"/>
      <c r="C141" s="107"/>
      <c r="D141" s="69"/>
      <c r="I141"/>
      <c r="J141" s="2"/>
      <c r="K141" s="5"/>
      <c r="L141" s="5"/>
      <c r="M141" s="5"/>
      <c r="N141" s="5"/>
      <c r="O141" s="8"/>
    </row>
    <row r="142" spans="1:17" s="7" customFormat="1" x14ac:dyDescent="0.2">
      <c r="B142" s="107" t="s">
        <v>414</v>
      </c>
      <c r="C142" s="107"/>
      <c r="D142" s="70">
        <v>7.7097738686901227</v>
      </c>
      <c r="I142"/>
      <c r="J142" s="2"/>
      <c r="K142" s="5"/>
      <c r="L142" s="5"/>
      <c r="M142" s="5"/>
      <c r="N142" s="5"/>
      <c r="O142" s="8"/>
    </row>
    <row r="143" spans="1:17" s="7" customFormat="1" x14ac:dyDescent="0.2">
      <c r="B143" s="107"/>
      <c r="C143" s="107"/>
      <c r="D143" s="69"/>
      <c r="I143"/>
      <c r="J143" s="2"/>
      <c r="K143" s="5"/>
      <c r="L143" s="5"/>
      <c r="M143" s="5"/>
      <c r="N143" s="5"/>
      <c r="O143" s="8"/>
      <c r="P143"/>
      <c r="Q143"/>
    </row>
    <row r="144" spans="1:17" s="7" customFormat="1" x14ac:dyDescent="0.2">
      <c r="B144" s="107" t="s">
        <v>415</v>
      </c>
      <c r="C144" s="107"/>
      <c r="D144" s="70">
        <v>0.98863621329095319</v>
      </c>
      <c r="I144"/>
      <c r="J144" s="2"/>
      <c r="K144" s="5"/>
      <c r="L144" s="5"/>
      <c r="M144" s="5"/>
      <c r="N144" s="5"/>
      <c r="O144" s="8"/>
      <c r="P144"/>
      <c r="Q144"/>
    </row>
    <row r="145" spans="2:20" s="7" customFormat="1" x14ac:dyDescent="0.2">
      <c r="B145" s="107" t="s">
        <v>416</v>
      </c>
      <c r="C145" s="107"/>
      <c r="D145" s="70">
        <v>1.163327469491432</v>
      </c>
      <c r="I145"/>
      <c r="J145" s="2"/>
      <c r="K145" s="5"/>
      <c r="L145" s="5"/>
      <c r="M145" s="5"/>
      <c r="N145" s="5"/>
      <c r="O145"/>
      <c r="P145"/>
      <c r="Q145"/>
    </row>
    <row r="146" spans="2:20" s="7" customFormat="1" x14ac:dyDescent="0.2">
      <c r="B146" s="107"/>
      <c r="C146" s="107"/>
      <c r="D146" s="69"/>
      <c r="I146"/>
      <c r="J146" s="2"/>
      <c r="K146" s="5"/>
      <c r="L146" s="5"/>
      <c r="M146" s="5"/>
      <c r="N146" s="5"/>
      <c r="O146"/>
      <c r="P146"/>
      <c r="Q146"/>
    </row>
    <row r="147" spans="2:20" s="7" customFormat="1" x14ac:dyDescent="0.2">
      <c r="B147" s="107" t="s">
        <v>417</v>
      </c>
      <c r="C147" s="107"/>
      <c r="D147" s="71" t="s">
        <v>454</v>
      </c>
      <c r="I147"/>
      <c r="J147" s="2"/>
      <c r="K147" s="5"/>
      <c r="L147" s="5"/>
      <c r="M147" s="5"/>
      <c r="N147" s="5"/>
      <c r="O147"/>
      <c r="P147"/>
      <c r="Q147"/>
    </row>
    <row r="148" spans="2:20" s="7" customFormat="1" x14ac:dyDescent="0.2">
      <c r="B148" s="105" t="s">
        <v>418</v>
      </c>
      <c r="C148" s="108"/>
      <c r="D148" s="106"/>
      <c r="I148"/>
      <c r="J148" s="2"/>
      <c r="K148" s="5"/>
      <c r="L148" s="5"/>
      <c r="M148" s="5"/>
      <c r="N148" s="5"/>
      <c r="O148"/>
      <c r="P148"/>
      <c r="Q148"/>
      <c r="R148"/>
      <c r="S148"/>
      <c r="T148"/>
    </row>
    <row r="152" spans="2:20" x14ac:dyDescent="0.2">
      <c r="I152" s="5"/>
    </row>
    <row r="154" spans="2:20" x14ac:dyDescent="0.2">
      <c r="I154" s="5"/>
    </row>
    <row r="158" spans="2:20" ht="15" x14ac:dyDescent="0.25">
      <c r="I158" s="9"/>
    </row>
    <row r="161" spans="9:9" x14ac:dyDescent="0.2">
      <c r="I161" s="5"/>
    </row>
    <row r="162" spans="9:9" x14ac:dyDescent="0.2">
      <c r="I162" s="5"/>
    </row>
    <row r="163" spans="9:9" x14ac:dyDescent="0.2">
      <c r="I163" s="5"/>
    </row>
    <row r="164" spans="9:9" x14ac:dyDescent="0.2">
      <c r="I164" s="5"/>
    </row>
    <row r="165" spans="9:9" x14ac:dyDescent="0.2">
      <c r="I165" s="5"/>
    </row>
  </sheetData>
  <mergeCells count="26">
    <mergeCell ref="B110:H110"/>
    <mergeCell ref="B131:C131"/>
    <mergeCell ref="B112:D112"/>
    <mergeCell ref="B113:C113"/>
    <mergeCell ref="B114:C114"/>
    <mergeCell ref="B115:C115"/>
    <mergeCell ref="B126:C126"/>
    <mergeCell ref="B130:C130"/>
    <mergeCell ref="B128:C128"/>
    <mergeCell ref="B129:C129"/>
    <mergeCell ref="A1:H1"/>
    <mergeCell ref="A2:H2"/>
    <mergeCell ref="A3:H3"/>
    <mergeCell ref="B108:H108"/>
    <mergeCell ref="B109:H109"/>
    <mergeCell ref="B138:D138"/>
    <mergeCell ref="B139:C139"/>
    <mergeCell ref="B140:C140"/>
    <mergeCell ref="B141:C141"/>
    <mergeCell ref="B142:C142"/>
    <mergeCell ref="B148:D148"/>
    <mergeCell ref="B143:C143"/>
    <mergeCell ref="B144:C144"/>
    <mergeCell ref="B145:C145"/>
    <mergeCell ref="B146:C146"/>
    <mergeCell ref="B147:C147"/>
  </mergeCells>
  <hyperlinks>
    <hyperlink ref="I1" location="Index!B5" display="Index" xr:uid="{5A33EF58-C905-48FF-888A-2DDC43BBE51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3DF9-7D8A-444D-988E-B59D1643FE54}">
  <sheetPr>
    <outlinePr summaryBelow="0" summaryRight="0"/>
  </sheetPr>
  <dimension ref="A1:R198"/>
  <sheetViews>
    <sheetView showGridLines="0" workbookViewId="0">
      <selection activeCell="A97" sqref="A1:H1048576"/>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10.42578125" bestFit="1" customWidth="1"/>
    <col min="6" max="6" width="10.140625" bestFit="1" customWidth="1"/>
    <col min="7" max="7" width="14" bestFit="1" customWidth="1"/>
    <col min="8" max="8" width="5.7109375" customWidth="1"/>
    <col min="9" max="9" width="8.42578125" customWidth="1"/>
    <col min="10" max="10" width="50.7109375" style="2" customWidth="1"/>
  </cols>
  <sheetData>
    <row r="1" spans="1:10" ht="15" x14ac:dyDescent="0.2">
      <c r="A1" s="109" t="s">
        <v>0</v>
      </c>
      <c r="B1" s="109"/>
      <c r="C1" s="109"/>
      <c r="D1" s="109"/>
      <c r="E1" s="109"/>
      <c r="F1" s="109"/>
      <c r="G1" s="109"/>
      <c r="H1" s="109"/>
      <c r="I1" s="1" t="s">
        <v>459</v>
      </c>
    </row>
    <row r="2" spans="1:10" ht="15" x14ac:dyDescent="0.2">
      <c r="A2" s="109" t="s">
        <v>195</v>
      </c>
      <c r="B2" s="109"/>
      <c r="C2" s="109"/>
      <c r="D2" s="109"/>
      <c r="E2" s="109"/>
      <c r="F2" s="109"/>
      <c r="G2" s="109"/>
      <c r="H2" s="109"/>
      <c r="J2" s="3" t="s">
        <v>460</v>
      </c>
    </row>
    <row r="3" spans="1:10" ht="15" x14ac:dyDescent="0.2">
      <c r="A3" s="109" t="s">
        <v>494</v>
      </c>
      <c r="B3" s="109"/>
      <c r="C3" s="109"/>
      <c r="D3" s="109"/>
      <c r="E3" s="109"/>
      <c r="F3" s="109"/>
      <c r="G3" s="109"/>
      <c r="H3" s="109"/>
    </row>
    <row r="4" spans="1:10" s="4" customFormat="1" ht="30" x14ac:dyDescent="0.2">
      <c r="A4" s="26" t="s">
        <v>2</v>
      </c>
      <c r="B4" s="26" t="s">
        <v>3</v>
      </c>
      <c r="C4" s="26" t="s">
        <v>4</v>
      </c>
      <c r="D4" s="26" t="s">
        <v>5</v>
      </c>
      <c r="E4" s="26" t="s">
        <v>6</v>
      </c>
      <c r="F4" s="26" t="s">
        <v>7</v>
      </c>
      <c r="G4" s="26" t="s">
        <v>8</v>
      </c>
      <c r="H4" s="27" t="s">
        <v>405</v>
      </c>
      <c r="J4" s="2"/>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8"/>
    </row>
    <row r="13" spans="1:10" x14ac:dyDescent="0.2">
      <c r="A13" s="28"/>
      <c r="B13" s="28"/>
      <c r="C13" s="29" t="s">
        <v>11</v>
      </c>
      <c r="D13" s="28"/>
      <c r="E13" s="28" t="s">
        <v>12</v>
      </c>
      <c r="F13" s="31" t="s">
        <v>13</v>
      </c>
      <c r="G13" s="32">
        <v>0</v>
      </c>
      <c r="H13" s="30" t="s">
        <v>12</v>
      </c>
      <c r="J13" s="17"/>
    </row>
    <row r="14" spans="1:10" x14ac:dyDescent="0.2">
      <c r="A14" s="28"/>
      <c r="B14" s="28"/>
      <c r="C14" s="33"/>
      <c r="D14" s="28"/>
      <c r="E14" s="28"/>
      <c r="F14" s="34"/>
      <c r="G14" s="34"/>
      <c r="H14" s="30" t="s">
        <v>12</v>
      </c>
      <c r="J14" s="17"/>
    </row>
    <row r="15" spans="1:10" x14ac:dyDescent="0.2">
      <c r="A15" s="28"/>
      <c r="B15" s="28"/>
      <c r="C15" s="29" t="s">
        <v>16</v>
      </c>
      <c r="D15" s="28"/>
      <c r="E15" s="28"/>
      <c r="F15" s="28"/>
      <c r="G15" s="28"/>
      <c r="H15" s="30" t="s">
        <v>12</v>
      </c>
      <c r="J15" s="17" t="s">
        <v>468</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8"/>
    </row>
    <row r="23" spans="1:10" x14ac:dyDescent="0.2">
      <c r="A23" s="28"/>
      <c r="B23" s="28"/>
      <c r="C23" s="33"/>
      <c r="D23" s="28"/>
      <c r="E23" s="28"/>
      <c r="F23" s="34"/>
      <c r="G23" s="34"/>
      <c r="H23" s="30" t="s">
        <v>12</v>
      </c>
      <c r="J23" s="17"/>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c r="J27" s="17"/>
    </row>
    <row r="28" spans="1:10" ht="25.5" x14ac:dyDescent="0.2">
      <c r="A28" s="36">
        <v>1</v>
      </c>
      <c r="B28" s="37" t="s">
        <v>196</v>
      </c>
      <c r="C28" s="98" t="s">
        <v>540</v>
      </c>
      <c r="D28" s="37" t="s">
        <v>22</v>
      </c>
      <c r="E28" s="38">
        <v>1000</v>
      </c>
      <c r="F28" s="39">
        <v>10009.450000000001</v>
      </c>
      <c r="G28" s="40">
        <v>1.6329670000000001E-2</v>
      </c>
      <c r="H28" s="30">
        <v>7.0575000000000001</v>
      </c>
      <c r="J28" s="17" t="s">
        <v>469</v>
      </c>
    </row>
    <row r="29" spans="1:10" ht="25.5" x14ac:dyDescent="0.2">
      <c r="A29" s="36">
        <v>2</v>
      </c>
      <c r="B29" s="37" t="s">
        <v>197</v>
      </c>
      <c r="C29" s="98" t="s">
        <v>541</v>
      </c>
      <c r="D29" s="37" t="s">
        <v>28</v>
      </c>
      <c r="E29" s="38">
        <v>750</v>
      </c>
      <c r="F29" s="39">
        <v>7497.7425000000003</v>
      </c>
      <c r="G29" s="40">
        <v>1.223201E-2</v>
      </c>
      <c r="H29" s="30">
        <v>6.9349999999999996</v>
      </c>
    </row>
    <row r="30" spans="1:10" ht="25.5" x14ac:dyDescent="0.2">
      <c r="A30" s="36">
        <v>3</v>
      </c>
      <c r="B30" s="37" t="s">
        <v>198</v>
      </c>
      <c r="C30" s="98" t="s">
        <v>542</v>
      </c>
      <c r="D30" s="37" t="s">
        <v>22</v>
      </c>
      <c r="E30" s="38">
        <v>500</v>
      </c>
      <c r="F30" s="39">
        <v>4985.43</v>
      </c>
      <c r="G30" s="40">
        <v>8.1333599999999992E-3</v>
      </c>
      <c r="H30" s="30">
        <v>7.1875</v>
      </c>
    </row>
    <row r="31" spans="1:10" x14ac:dyDescent="0.2">
      <c r="A31" s="28"/>
      <c r="B31" s="28"/>
      <c r="C31" s="29" t="s">
        <v>11</v>
      </c>
      <c r="D31" s="28"/>
      <c r="E31" s="28" t="s">
        <v>12</v>
      </c>
      <c r="F31" s="35">
        <v>22492.622500000001</v>
      </c>
      <c r="G31" s="32">
        <v>3.6695039999999998E-2</v>
      </c>
      <c r="H31" s="30" t="s">
        <v>12</v>
      </c>
    </row>
    <row r="32" spans="1:10" x14ac:dyDescent="0.2">
      <c r="A32" s="28"/>
      <c r="B32" s="28"/>
      <c r="C32" s="33"/>
      <c r="D32" s="28"/>
      <c r="E32" s="28"/>
      <c r="F32" s="34"/>
      <c r="G32" s="34"/>
      <c r="H32" s="30" t="s">
        <v>12</v>
      </c>
    </row>
    <row r="33" spans="1:8" x14ac:dyDescent="0.2">
      <c r="A33" s="28"/>
      <c r="B33" s="28"/>
      <c r="C33" s="29" t="s">
        <v>46</v>
      </c>
      <c r="D33" s="28"/>
      <c r="E33" s="28"/>
      <c r="F33" s="28"/>
      <c r="G33" s="28"/>
      <c r="H33" s="30" t="s">
        <v>12</v>
      </c>
    </row>
    <row r="34" spans="1:8" x14ac:dyDescent="0.2">
      <c r="A34" s="28"/>
      <c r="B34" s="28"/>
      <c r="C34" s="29" t="s">
        <v>11</v>
      </c>
      <c r="D34" s="28"/>
      <c r="E34" s="28" t="s">
        <v>12</v>
      </c>
      <c r="F34" s="31" t="s">
        <v>13</v>
      </c>
      <c r="G34" s="32">
        <v>0</v>
      </c>
      <c r="H34" s="30" t="s">
        <v>12</v>
      </c>
    </row>
    <row r="35" spans="1:8" x14ac:dyDescent="0.2">
      <c r="A35" s="28"/>
      <c r="B35" s="28"/>
      <c r="C35" s="33"/>
      <c r="D35" s="28"/>
      <c r="E35" s="28"/>
      <c r="F35" s="34"/>
      <c r="G35" s="34"/>
      <c r="H35" s="30" t="s">
        <v>12</v>
      </c>
    </row>
    <row r="36" spans="1:8" x14ac:dyDescent="0.2">
      <c r="A36" s="28"/>
      <c r="B36" s="28"/>
      <c r="C36" s="29" t="s">
        <v>47</v>
      </c>
      <c r="D36" s="28"/>
      <c r="E36" s="28"/>
      <c r="F36" s="28"/>
      <c r="G36" s="28"/>
      <c r="H36" s="30" t="s">
        <v>12</v>
      </c>
    </row>
    <row r="37" spans="1:8" x14ac:dyDescent="0.2">
      <c r="A37" s="28"/>
      <c r="B37" s="28"/>
      <c r="C37" s="29" t="s">
        <v>11</v>
      </c>
      <c r="D37" s="28"/>
      <c r="E37" s="28" t="s">
        <v>12</v>
      </c>
      <c r="F37" s="31" t="s">
        <v>13</v>
      </c>
      <c r="G37" s="32">
        <v>0</v>
      </c>
      <c r="H37" s="30" t="s">
        <v>12</v>
      </c>
    </row>
    <row r="38" spans="1:8" x14ac:dyDescent="0.2">
      <c r="A38" s="28"/>
      <c r="B38" s="28"/>
      <c r="C38" s="33"/>
      <c r="D38" s="28"/>
      <c r="E38" s="28"/>
      <c r="F38" s="34"/>
      <c r="G38" s="34"/>
      <c r="H38" s="30" t="s">
        <v>12</v>
      </c>
    </row>
    <row r="39" spans="1:8" x14ac:dyDescent="0.2">
      <c r="A39" s="28"/>
      <c r="B39" s="28"/>
      <c r="C39" s="29" t="s">
        <v>57</v>
      </c>
      <c r="D39" s="28"/>
      <c r="E39" s="28"/>
      <c r="F39" s="34"/>
      <c r="G39" s="34"/>
      <c r="H39" s="30" t="s">
        <v>12</v>
      </c>
    </row>
    <row r="40" spans="1:8" x14ac:dyDescent="0.2">
      <c r="A40" s="28"/>
      <c r="B40" s="28"/>
      <c r="C40" s="29" t="s">
        <v>11</v>
      </c>
      <c r="D40" s="28"/>
      <c r="E40" s="28" t="s">
        <v>12</v>
      </c>
      <c r="F40" s="31" t="s">
        <v>13</v>
      </c>
      <c r="G40" s="32">
        <v>0</v>
      </c>
      <c r="H40" s="30" t="s">
        <v>12</v>
      </c>
    </row>
    <row r="41" spans="1:8" x14ac:dyDescent="0.2">
      <c r="A41" s="28"/>
      <c r="B41" s="28"/>
      <c r="C41" s="33"/>
      <c r="D41" s="28"/>
      <c r="E41" s="28"/>
      <c r="F41" s="34"/>
      <c r="G41" s="34"/>
      <c r="H41" s="30" t="s">
        <v>12</v>
      </c>
    </row>
    <row r="42" spans="1:8" x14ac:dyDescent="0.2">
      <c r="A42" s="28"/>
      <c r="B42" s="28"/>
      <c r="C42" s="29" t="s">
        <v>58</v>
      </c>
      <c r="D42" s="28"/>
      <c r="E42" s="28"/>
      <c r="F42" s="35">
        <v>22492.622500000001</v>
      </c>
      <c r="G42" s="32">
        <v>3.6695039999999998E-2</v>
      </c>
      <c r="H42" s="30" t="s">
        <v>12</v>
      </c>
    </row>
    <row r="43" spans="1:8" x14ac:dyDescent="0.2">
      <c r="A43" s="28"/>
      <c r="B43" s="28"/>
      <c r="C43" s="33"/>
      <c r="D43" s="28"/>
      <c r="E43" s="28"/>
      <c r="F43" s="34"/>
      <c r="G43" s="34"/>
      <c r="H43" s="30" t="s">
        <v>12</v>
      </c>
    </row>
    <row r="44" spans="1:8" x14ac:dyDescent="0.2">
      <c r="A44" s="28"/>
      <c r="B44" s="28"/>
      <c r="C44" s="29" t="s">
        <v>59</v>
      </c>
      <c r="D44" s="28"/>
      <c r="E44" s="28"/>
      <c r="F44" s="34"/>
      <c r="G44" s="34"/>
      <c r="H44" s="30" t="s">
        <v>12</v>
      </c>
    </row>
    <row r="45" spans="1:8" x14ac:dyDescent="0.2">
      <c r="A45" s="28"/>
      <c r="B45" s="28"/>
      <c r="C45" s="29" t="s">
        <v>60</v>
      </c>
      <c r="D45" s="28"/>
      <c r="E45" s="28"/>
      <c r="F45" s="34"/>
      <c r="G45" s="34"/>
      <c r="H45" s="30" t="s">
        <v>12</v>
      </c>
    </row>
    <row r="46" spans="1:8" x14ac:dyDescent="0.2">
      <c r="A46" s="36">
        <v>1</v>
      </c>
      <c r="B46" s="37" t="s">
        <v>199</v>
      </c>
      <c r="C46" s="37" t="s">
        <v>200</v>
      </c>
      <c r="D46" s="37" t="s">
        <v>114</v>
      </c>
      <c r="E46" s="38">
        <v>4000</v>
      </c>
      <c r="F46" s="39">
        <v>19830.939999999999</v>
      </c>
      <c r="G46" s="40">
        <v>3.2352699999999998E-2</v>
      </c>
      <c r="H46" s="30">
        <v>6.9150999999999998</v>
      </c>
    </row>
    <row r="47" spans="1:8" x14ac:dyDescent="0.2">
      <c r="A47" s="36">
        <v>2</v>
      </c>
      <c r="B47" s="37" t="s">
        <v>201</v>
      </c>
      <c r="C47" s="37" t="s">
        <v>202</v>
      </c>
      <c r="D47" s="37" t="s">
        <v>114</v>
      </c>
      <c r="E47" s="38">
        <v>3500</v>
      </c>
      <c r="F47" s="39">
        <v>17384.9725</v>
      </c>
      <c r="G47" s="40">
        <v>2.836228E-2</v>
      </c>
      <c r="H47" s="30">
        <v>6.9001999999999999</v>
      </c>
    </row>
    <row r="48" spans="1:8" x14ac:dyDescent="0.2">
      <c r="A48" s="36">
        <v>3</v>
      </c>
      <c r="B48" s="37" t="s">
        <v>203</v>
      </c>
      <c r="C48" s="37" t="s">
        <v>204</v>
      </c>
      <c r="D48" s="37" t="s">
        <v>114</v>
      </c>
      <c r="E48" s="38">
        <v>3500</v>
      </c>
      <c r="F48" s="39">
        <v>17339.927500000002</v>
      </c>
      <c r="G48" s="40">
        <v>2.8288799999999999E-2</v>
      </c>
      <c r="H48" s="30">
        <v>7.0198999999999998</v>
      </c>
    </row>
    <row r="49" spans="1:8" x14ac:dyDescent="0.2">
      <c r="A49" s="36">
        <v>4</v>
      </c>
      <c r="B49" s="37" t="s">
        <v>205</v>
      </c>
      <c r="C49" s="37" t="s">
        <v>206</v>
      </c>
      <c r="D49" s="37" t="s">
        <v>114</v>
      </c>
      <c r="E49" s="38">
        <v>3000</v>
      </c>
      <c r="F49" s="39">
        <v>14837.565000000001</v>
      </c>
      <c r="G49" s="40">
        <v>2.420638E-2</v>
      </c>
      <c r="H49" s="30">
        <v>7.0101000000000004</v>
      </c>
    </row>
    <row r="50" spans="1:8" x14ac:dyDescent="0.2">
      <c r="A50" s="36">
        <v>5</v>
      </c>
      <c r="B50" s="37" t="s">
        <v>207</v>
      </c>
      <c r="C50" s="37" t="s">
        <v>208</v>
      </c>
      <c r="D50" s="37" t="s">
        <v>114</v>
      </c>
      <c r="E50" s="38">
        <v>3000</v>
      </c>
      <c r="F50" s="39">
        <v>14832.405000000001</v>
      </c>
      <c r="G50" s="40">
        <v>2.4197960000000001E-2</v>
      </c>
      <c r="H50" s="30">
        <v>6.99</v>
      </c>
    </row>
    <row r="51" spans="1:8" x14ac:dyDescent="0.2">
      <c r="A51" s="36">
        <v>6</v>
      </c>
      <c r="B51" s="37" t="s">
        <v>209</v>
      </c>
      <c r="C51" s="37" t="s">
        <v>210</v>
      </c>
      <c r="D51" s="37" t="s">
        <v>149</v>
      </c>
      <c r="E51" s="38">
        <v>3000</v>
      </c>
      <c r="F51" s="39">
        <v>14832.18</v>
      </c>
      <c r="G51" s="40">
        <v>2.4197590000000001E-2</v>
      </c>
      <c r="H51" s="30">
        <v>7.0000999999999998</v>
      </c>
    </row>
    <row r="52" spans="1:8" x14ac:dyDescent="0.2">
      <c r="A52" s="36">
        <v>7</v>
      </c>
      <c r="B52" s="37" t="s">
        <v>211</v>
      </c>
      <c r="C52" s="37" t="s">
        <v>212</v>
      </c>
      <c r="D52" s="37" t="s">
        <v>114</v>
      </c>
      <c r="E52" s="38">
        <v>3000</v>
      </c>
      <c r="F52" s="39">
        <v>14813.115</v>
      </c>
      <c r="G52" s="40">
        <v>2.4166489999999999E-2</v>
      </c>
      <c r="H52" s="30">
        <v>7.085</v>
      </c>
    </row>
    <row r="53" spans="1:8" x14ac:dyDescent="0.2">
      <c r="A53" s="36">
        <v>8</v>
      </c>
      <c r="B53" s="37" t="s">
        <v>213</v>
      </c>
      <c r="C53" s="37" t="s">
        <v>214</v>
      </c>
      <c r="D53" s="37" t="s">
        <v>122</v>
      </c>
      <c r="E53" s="38">
        <v>2000</v>
      </c>
      <c r="F53" s="39">
        <v>9941.74</v>
      </c>
      <c r="G53" s="40">
        <v>1.6219210000000001E-2</v>
      </c>
      <c r="H53" s="30">
        <v>6.9001000000000001</v>
      </c>
    </row>
    <row r="54" spans="1:8" x14ac:dyDescent="0.2">
      <c r="A54" s="36">
        <v>9</v>
      </c>
      <c r="B54" s="37" t="s">
        <v>215</v>
      </c>
      <c r="C54" s="37" t="s">
        <v>216</v>
      </c>
      <c r="D54" s="37" t="s">
        <v>149</v>
      </c>
      <c r="E54" s="38">
        <v>2000</v>
      </c>
      <c r="F54" s="39">
        <v>9928.68</v>
      </c>
      <c r="G54" s="40">
        <v>1.6197900000000001E-2</v>
      </c>
      <c r="H54" s="30">
        <v>6.9001000000000001</v>
      </c>
    </row>
    <row r="55" spans="1:8" x14ac:dyDescent="0.2">
      <c r="A55" s="36">
        <v>10</v>
      </c>
      <c r="B55" s="37" t="s">
        <v>217</v>
      </c>
      <c r="C55" s="37" t="s">
        <v>218</v>
      </c>
      <c r="D55" s="37" t="s">
        <v>122</v>
      </c>
      <c r="E55" s="38">
        <v>2000</v>
      </c>
      <c r="F55" s="39">
        <v>9928.67</v>
      </c>
      <c r="G55" s="40">
        <v>1.6197880000000001E-2</v>
      </c>
      <c r="H55" s="30">
        <v>6.9002999999999997</v>
      </c>
    </row>
    <row r="56" spans="1:8" x14ac:dyDescent="0.2">
      <c r="A56" s="36">
        <v>11</v>
      </c>
      <c r="B56" s="37" t="s">
        <v>219</v>
      </c>
      <c r="C56" s="37" t="s">
        <v>220</v>
      </c>
      <c r="D56" s="37" t="s">
        <v>114</v>
      </c>
      <c r="E56" s="38">
        <v>2000</v>
      </c>
      <c r="F56" s="39">
        <v>9895.77</v>
      </c>
      <c r="G56" s="40">
        <v>1.6144209999999999E-2</v>
      </c>
      <c r="H56" s="30">
        <v>6.99</v>
      </c>
    </row>
    <row r="57" spans="1:8" x14ac:dyDescent="0.2">
      <c r="A57" s="36">
        <v>12</v>
      </c>
      <c r="B57" s="37" t="s">
        <v>221</v>
      </c>
      <c r="C57" s="37" t="s">
        <v>222</v>
      </c>
      <c r="D57" s="37" t="s">
        <v>122</v>
      </c>
      <c r="E57" s="38">
        <v>1500</v>
      </c>
      <c r="F57" s="39">
        <v>7439.5275000000001</v>
      </c>
      <c r="G57" s="40">
        <v>1.213703E-2</v>
      </c>
      <c r="H57" s="30">
        <v>6.9001999999999999</v>
      </c>
    </row>
    <row r="58" spans="1:8" x14ac:dyDescent="0.2">
      <c r="A58" s="36">
        <v>13</v>
      </c>
      <c r="B58" s="37" t="s">
        <v>223</v>
      </c>
      <c r="C58" s="37" t="s">
        <v>224</v>
      </c>
      <c r="D58" s="37" t="s">
        <v>149</v>
      </c>
      <c r="E58" s="38">
        <v>1500</v>
      </c>
      <c r="F58" s="39">
        <v>7399.2449999999999</v>
      </c>
      <c r="G58" s="40">
        <v>1.207132E-2</v>
      </c>
      <c r="H58" s="30">
        <v>7.0000999999999998</v>
      </c>
    </row>
    <row r="59" spans="1:8" x14ac:dyDescent="0.2">
      <c r="A59" s="36">
        <v>14</v>
      </c>
      <c r="B59" s="37" t="s">
        <v>225</v>
      </c>
      <c r="C59" s="37" t="s">
        <v>226</v>
      </c>
      <c r="D59" s="37" t="s">
        <v>114</v>
      </c>
      <c r="E59" s="38">
        <v>1000</v>
      </c>
      <c r="F59" s="39">
        <v>4992.5349999999999</v>
      </c>
      <c r="G59" s="40">
        <v>8.1449499999999998E-3</v>
      </c>
      <c r="H59" s="30">
        <v>6.8205999999999998</v>
      </c>
    </row>
    <row r="60" spans="1:8" x14ac:dyDescent="0.2">
      <c r="A60" s="36">
        <v>15</v>
      </c>
      <c r="B60" s="37" t="s">
        <v>227</v>
      </c>
      <c r="C60" s="37" t="s">
        <v>228</v>
      </c>
      <c r="D60" s="37" t="s">
        <v>114</v>
      </c>
      <c r="E60" s="38">
        <v>1000</v>
      </c>
      <c r="F60" s="39">
        <v>4990.6350000000002</v>
      </c>
      <c r="G60" s="40">
        <v>8.1418500000000008E-3</v>
      </c>
      <c r="H60" s="30">
        <v>6.8494999999999999</v>
      </c>
    </row>
    <row r="61" spans="1:8" x14ac:dyDescent="0.2">
      <c r="A61" s="36">
        <v>16</v>
      </c>
      <c r="B61" s="37" t="s">
        <v>229</v>
      </c>
      <c r="C61" s="37" t="s">
        <v>230</v>
      </c>
      <c r="D61" s="37" t="s">
        <v>114</v>
      </c>
      <c r="E61" s="38">
        <v>1000</v>
      </c>
      <c r="F61" s="39">
        <v>4953.45</v>
      </c>
      <c r="G61" s="40">
        <v>8.0811800000000003E-3</v>
      </c>
      <c r="H61" s="30">
        <v>7.0002000000000004</v>
      </c>
    </row>
    <row r="62" spans="1:8" x14ac:dyDescent="0.2">
      <c r="A62" s="36">
        <v>17</v>
      </c>
      <c r="B62" s="37" t="s">
        <v>231</v>
      </c>
      <c r="C62" s="37" t="s">
        <v>232</v>
      </c>
      <c r="D62" s="37" t="s">
        <v>114</v>
      </c>
      <c r="E62" s="38">
        <v>1000</v>
      </c>
      <c r="F62" s="39">
        <v>4939.03</v>
      </c>
      <c r="G62" s="40">
        <v>8.0576599999999995E-3</v>
      </c>
      <c r="H62" s="30">
        <v>7.0400999999999998</v>
      </c>
    </row>
    <row r="63" spans="1:8" x14ac:dyDescent="0.2">
      <c r="A63" s="36">
        <v>18</v>
      </c>
      <c r="B63" s="37" t="s">
        <v>233</v>
      </c>
      <c r="C63" s="37" t="s">
        <v>234</v>
      </c>
      <c r="D63" s="37" t="s">
        <v>122</v>
      </c>
      <c r="E63" s="38">
        <v>1000</v>
      </c>
      <c r="F63" s="39">
        <v>4934.8850000000002</v>
      </c>
      <c r="G63" s="40">
        <v>8.0508999999999997E-3</v>
      </c>
      <c r="H63" s="30">
        <v>6.98</v>
      </c>
    </row>
    <row r="64" spans="1:8" x14ac:dyDescent="0.2">
      <c r="A64" s="36">
        <v>19</v>
      </c>
      <c r="B64" s="37" t="s">
        <v>235</v>
      </c>
      <c r="C64" s="37" t="s">
        <v>236</v>
      </c>
      <c r="D64" s="37" t="s">
        <v>114</v>
      </c>
      <c r="E64" s="38">
        <v>1000</v>
      </c>
      <c r="F64" s="39">
        <v>4931.71</v>
      </c>
      <c r="G64" s="40">
        <v>8.0457199999999993E-3</v>
      </c>
      <c r="H64" s="30">
        <v>7.0198999999999998</v>
      </c>
    </row>
    <row r="65" spans="1:8" x14ac:dyDescent="0.2">
      <c r="A65" s="36">
        <v>20</v>
      </c>
      <c r="B65" s="37" t="s">
        <v>112</v>
      </c>
      <c r="C65" s="37" t="s">
        <v>113</v>
      </c>
      <c r="D65" s="37" t="s">
        <v>114</v>
      </c>
      <c r="E65" s="38">
        <v>500</v>
      </c>
      <c r="F65" s="39">
        <v>2488.6849999999999</v>
      </c>
      <c r="G65" s="40">
        <v>4.0600999999999996E-3</v>
      </c>
      <c r="H65" s="30">
        <v>6.9150999999999998</v>
      </c>
    </row>
    <row r="66" spans="1:8" x14ac:dyDescent="0.2">
      <c r="A66" s="36">
        <v>21</v>
      </c>
      <c r="B66" s="37" t="s">
        <v>237</v>
      </c>
      <c r="C66" s="37" t="s">
        <v>238</v>
      </c>
      <c r="D66" s="37" t="s">
        <v>149</v>
      </c>
      <c r="E66" s="38">
        <v>500</v>
      </c>
      <c r="F66" s="39">
        <v>2470.7474999999999</v>
      </c>
      <c r="G66" s="40">
        <v>4.0308399999999999E-3</v>
      </c>
      <c r="H66" s="30">
        <v>6.9701000000000004</v>
      </c>
    </row>
    <row r="67" spans="1:8" x14ac:dyDescent="0.2">
      <c r="A67" s="28"/>
      <c r="B67" s="28"/>
      <c r="C67" s="29" t="s">
        <v>11</v>
      </c>
      <c r="D67" s="28"/>
      <c r="E67" s="28" t="s">
        <v>12</v>
      </c>
      <c r="F67" s="35">
        <v>203106.41500000001</v>
      </c>
      <c r="G67" s="32">
        <v>0.33135294999999998</v>
      </c>
      <c r="H67" s="30" t="s">
        <v>12</v>
      </c>
    </row>
    <row r="68" spans="1:8" x14ac:dyDescent="0.2">
      <c r="A68" s="28"/>
      <c r="B68" s="28"/>
      <c r="C68" s="33"/>
      <c r="D68" s="28"/>
      <c r="E68" s="28"/>
      <c r="F68" s="34"/>
      <c r="G68" s="34"/>
      <c r="H68" s="30" t="s">
        <v>12</v>
      </c>
    </row>
    <row r="69" spans="1:8" x14ac:dyDescent="0.2">
      <c r="A69" s="28"/>
      <c r="B69" s="28"/>
      <c r="C69" s="29" t="s">
        <v>61</v>
      </c>
      <c r="D69" s="28"/>
      <c r="E69" s="28"/>
      <c r="F69" s="34"/>
      <c r="G69" s="34"/>
      <c r="H69" s="30" t="s">
        <v>12</v>
      </c>
    </row>
    <row r="70" spans="1:8" ht="25.5" x14ac:dyDescent="0.2">
      <c r="A70" s="36">
        <v>1</v>
      </c>
      <c r="B70" s="37" t="s">
        <v>239</v>
      </c>
      <c r="C70" s="98" t="s">
        <v>543</v>
      </c>
      <c r="D70" s="37" t="s">
        <v>114</v>
      </c>
      <c r="E70" s="38">
        <v>3000</v>
      </c>
      <c r="F70" s="39">
        <v>14884.485000000001</v>
      </c>
      <c r="G70" s="40">
        <v>2.4282930000000001E-2</v>
      </c>
      <c r="H70" s="30">
        <v>6.9097</v>
      </c>
    </row>
    <row r="71" spans="1:8" x14ac:dyDescent="0.2">
      <c r="A71" s="36">
        <v>2</v>
      </c>
      <c r="B71" s="37" t="s">
        <v>240</v>
      </c>
      <c r="C71" s="98" t="s">
        <v>544</v>
      </c>
      <c r="D71" s="37" t="s">
        <v>114</v>
      </c>
      <c r="E71" s="38">
        <v>3000</v>
      </c>
      <c r="F71" s="39">
        <v>14843.43</v>
      </c>
      <c r="G71" s="40">
        <v>2.421595E-2</v>
      </c>
      <c r="H71" s="30">
        <v>7.0000999999999998</v>
      </c>
    </row>
    <row r="72" spans="1:8" x14ac:dyDescent="0.2">
      <c r="A72" s="36">
        <v>3</v>
      </c>
      <c r="B72" s="37" t="s">
        <v>241</v>
      </c>
      <c r="C72" s="37" t="s">
        <v>545</v>
      </c>
      <c r="D72" s="37" t="s">
        <v>114</v>
      </c>
      <c r="E72" s="38">
        <v>2000</v>
      </c>
      <c r="F72" s="39">
        <v>9917.7199999999993</v>
      </c>
      <c r="G72" s="40">
        <v>1.618002E-2</v>
      </c>
      <c r="H72" s="30">
        <v>7.21</v>
      </c>
    </row>
    <row r="73" spans="1:8" x14ac:dyDescent="0.2">
      <c r="A73" s="36">
        <v>4</v>
      </c>
      <c r="B73" s="37" t="s">
        <v>242</v>
      </c>
      <c r="C73" s="37" t="s">
        <v>546</v>
      </c>
      <c r="D73" s="37" t="s">
        <v>114</v>
      </c>
      <c r="E73" s="38">
        <v>2000</v>
      </c>
      <c r="F73" s="39">
        <v>9910.34</v>
      </c>
      <c r="G73" s="40">
        <v>1.6167979999999998E-2</v>
      </c>
      <c r="H73" s="30">
        <v>7.5049999999999999</v>
      </c>
    </row>
    <row r="74" spans="1:8" ht="25.5" x14ac:dyDescent="0.2">
      <c r="A74" s="36">
        <v>5</v>
      </c>
      <c r="B74" s="37" t="s">
        <v>243</v>
      </c>
      <c r="C74" s="37" t="s">
        <v>547</v>
      </c>
      <c r="D74" s="37" t="s">
        <v>114</v>
      </c>
      <c r="E74" s="38">
        <v>2000</v>
      </c>
      <c r="F74" s="39">
        <v>9906.3799999999992</v>
      </c>
      <c r="G74" s="40">
        <v>1.6161519999999999E-2</v>
      </c>
      <c r="H74" s="30">
        <v>7.0399000000000003</v>
      </c>
    </row>
    <row r="75" spans="1:8" ht="25.5" x14ac:dyDescent="0.2">
      <c r="A75" s="36">
        <v>6</v>
      </c>
      <c r="B75" s="37" t="s">
        <v>244</v>
      </c>
      <c r="C75" s="37" t="s">
        <v>245</v>
      </c>
      <c r="D75" s="37" t="s">
        <v>114</v>
      </c>
      <c r="E75" s="38">
        <v>2000</v>
      </c>
      <c r="F75" s="39">
        <v>9891.26</v>
      </c>
      <c r="G75" s="40">
        <v>1.6136850000000001E-2</v>
      </c>
      <c r="H75" s="30">
        <v>7.0396999999999998</v>
      </c>
    </row>
    <row r="76" spans="1:8" x14ac:dyDescent="0.2">
      <c r="A76" s="36">
        <v>7</v>
      </c>
      <c r="B76" s="37" t="s">
        <v>246</v>
      </c>
      <c r="C76" s="37" t="s">
        <v>548</v>
      </c>
      <c r="D76" s="37" t="s">
        <v>114</v>
      </c>
      <c r="E76" s="38">
        <v>2000</v>
      </c>
      <c r="F76" s="39">
        <v>9887.43</v>
      </c>
      <c r="G76" s="40">
        <v>1.6130599999999998E-2</v>
      </c>
      <c r="H76" s="30">
        <v>7.165</v>
      </c>
    </row>
    <row r="77" spans="1:8" x14ac:dyDescent="0.2">
      <c r="A77" s="36">
        <v>8</v>
      </c>
      <c r="B77" s="37" t="s">
        <v>247</v>
      </c>
      <c r="C77" s="37" t="s">
        <v>549</v>
      </c>
      <c r="D77" s="37" t="s">
        <v>114</v>
      </c>
      <c r="E77" s="38">
        <v>2000</v>
      </c>
      <c r="F77" s="39">
        <v>9882.64</v>
      </c>
      <c r="G77" s="40">
        <v>1.6122790000000001E-2</v>
      </c>
      <c r="H77" s="30">
        <v>7.74</v>
      </c>
    </row>
    <row r="78" spans="1:8" x14ac:dyDescent="0.2">
      <c r="A78" s="36">
        <v>9</v>
      </c>
      <c r="B78" s="37" t="s">
        <v>248</v>
      </c>
      <c r="C78" s="37" t="s">
        <v>550</v>
      </c>
      <c r="D78" s="37" t="s">
        <v>122</v>
      </c>
      <c r="E78" s="38">
        <v>2000</v>
      </c>
      <c r="F78" s="39">
        <v>9881.52</v>
      </c>
      <c r="G78" s="40">
        <v>1.612096E-2</v>
      </c>
      <c r="H78" s="30">
        <v>7.8151000000000002</v>
      </c>
    </row>
    <row r="79" spans="1:8" x14ac:dyDescent="0.2">
      <c r="A79" s="36">
        <v>10</v>
      </c>
      <c r="B79" s="37" t="s">
        <v>249</v>
      </c>
      <c r="C79" s="37" t="s">
        <v>551</v>
      </c>
      <c r="D79" s="37" t="s">
        <v>114</v>
      </c>
      <c r="E79" s="38">
        <v>2000</v>
      </c>
      <c r="F79" s="39">
        <v>9864.66</v>
      </c>
      <c r="G79" s="40">
        <v>1.609346E-2</v>
      </c>
      <c r="H79" s="30">
        <v>7.8250000000000002</v>
      </c>
    </row>
    <row r="80" spans="1:8" ht="25.5" x14ac:dyDescent="0.2">
      <c r="A80" s="36">
        <v>11</v>
      </c>
      <c r="B80" s="37" t="s">
        <v>250</v>
      </c>
      <c r="C80" s="37" t="s">
        <v>552</v>
      </c>
      <c r="D80" s="37" t="s">
        <v>114</v>
      </c>
      <c r="E80" s="38">
        <v>1500</v>
      </c>
      <c r="F80" s="39">
        <v>7478.8874999999998</v>
      </c>
      <c r="G80" s="40">
        <v>1.220125E-2</v>
      </c>
      <c r="H80" s="30">
        <v>6.8703000000000003</v>
      </c>
    </row>
    <row r="81" spans="1:8" ht="25.5" x14ac:dyDescent="0.2">
      <c r="A81" s="36">
        <v>12</v>
      </c>
      <c r="B81" s="37" t="s">
        <v>251</v>
      </c>
      <c r="C81" s="37" t="s">
        <v>252</v>
      </c>
      <c r="D81" s="37" t="s">
        <v>114</v>
      </c>
      <c r="E81" s="38">
        <v>1500</v>
      </c>
      <c r="F81" s="39">
        <v>7466.0775000000003</v>
      </c>
      <c r="G81" s="40">
        <v>1.218035E-2</v>
      </c>
      <c r="H81" s="30">
        <v>6.91</v>
      </c>
    </row>
    <row r="82" spans="1:8" ht="25.5" x14ac:dyDescent="0.2">
      <c r="A82" s="36">
        <v>13</v>
      </c>
      <c r="B82" s="37" t="s">
        <v>253</v>
      </c>
      <c r="C82" s="37" t="s">
        <v>553</v>
      </c>
      <c r="D82" s="37" t="s">
        <v>149</v>
      </c>
      <c r="E82" s="38">
        <v>1500</v>
      </c>
      <c r="F82" s="39">
        <v>7455.1424999999999</v>
      </c>
      <c r="G82" s="40">
        <v>1.216251E-2</v>
      </c>
      <c r="H82" s="30">
        <v>7.085</v>
      </c>
    </row>
    <row r="83" spans="1:8" ht="25.5" x14ac:dyDescent="0.2">
      <c r="A83" s="36">
        <v>14</v>
      </c>
      <c r="B83" s="37" t="s">
        <v>254</v>
      </c>
      <c r="C83" s="37" t="s">
        <v>554</v>
      </c>
      <c r="D83" s="37" t="s">
        <v>114</v>
      </c>
      <c r="E83" s="38">
        <v>1500</v>
      </c>
      <c r="F83" s="39">
        <v>7440.2775000000001</v>
      </c>
      <c r="G83" s="40">
        <v>1.213826E-2</v>
      </c>
      <c r="H83" s="30">
        <v>7.71</v>
      </c>
    </row>
    <row r="84" spans="1:8" x14ac:dyDescent="0.2">
      <c r="A84" s="36">
        <v>15</v>
      </c>
      <c r="B84" s="37" t="s">
        <v>255</v>
      </c>
      <c r="C84" s="37" t="s">
        <v>555</v>
      </c>
      <c r="D84" s="37" t="s">
        <v>114</v>
      </c>
      <c r="E84" s="38">
        <v>1500</v>
      </c>
      <c r="F84" s="39">
        <v>7424.58</v>
      </c>
      <c r="G84" s="40">
        <v>1.2112650000000001E-2</v>
      </c>
      <c r="H84" s="30">
        <v>7.13</v>
      </c>
    </row>
    <row r="85" spans="1:8" x14ac:dyDescent="0.2">
      <c r="A85" s="36">
        <v>16</v>
      </c>
      <c r="B85" s="37" t="s">
        <v>256</v>
      </c>
      <c r="C85" s="37" t="s">
        <v>556</v>
      </c>
      <c r="D85" s="37" t="s">
        <v>114</v>
      </c>
      <c r="E85" s="38">
        <v>1500</v>
      </c>
      <c r="F85" s="39">
        <v>7417.44</v>
      </c>
      <c r="G85" s="40">
        <v>1.2101000000000001E-2</v>
      </c>
      <c r="H85" s="30">
        <v>7.2549999999999999</v>
      </c>
    </row>
    <row r="86" spans="1:8" ht="25.5" x14ac:dyDescent="0.2">
      <c r="A86" s="36">
        <v>17</v>
      </c>
      <c r="B86" s="37" t="s">
        <v>257</v>
      </c>
      <c r="C86" s="37" t="s">
        <v>557</v>
      </c>
      <c r="D86" s="37" t="s">
        <v>114</v>
      </c>
      <c r="E86" s="38">
        <v>1500</v>
      </c>
      <c r="F86" s="39">
        <v>7405.8975</v>
      </c>
      <c r="G86" s="40">
        <v>1.208217E-2</v>
      </c>
      <c r="H86" s="30">
        <v>7.0274999999999999</v>
      </c>
    </row>
    <row r="87" spans="1:8" ht="25.5" x14ac:dyDescent="0.2">
      <c r="A87" s="36">
        <v>18</v>
      </c>
      <c r="B87" s="37" t="s">
        <v>258</v>
      </c>
      <c r="C87" s="37" t="s">
        <v>558</v>
      </c>
      <c r="D87" s="37" t="s">
        <v>114</v>
      </c>
      <c r="E87" s="38">
        <v>1500</v>
      </c>
      <c r="F87" s="39">
        <v>7397.4525000000003</v>
      </c>
      <c r="G87" s="40">
        <v>1.206839E-2</v>
      </c>
      <c r="H87" s="30">
        <v>7.0274999999999999</v>
      </c>
    </row>
    <row r="88" spans="1:8" ht="25.5" x14ac:dyDescent="0.2">
      <c r="A88" s="36">
        <v>19</v>
      </c>
      <c r="B88" s="37" t="s">
        <v>259</v>
      </c>
      <c r="C88" s="37" t="s">
        <v>559</v>
      </c>
      <c r="D88" s="37" t="s">
        <v>114</v>
      </c>
      <c r="E88" s="38">
        <v>1500</v>
      </c>
      <c r="F88" s="39">
        <v>7380.03</v>
      </c>
      <c r="G88" s="40">
        <v>1.2039970000000001E-2</v>
      </c>
      <c r="H88" s="30">
        <v>7.8075000000000001</v>
      </c>
    </row>
    <row r="89" spans="1:8" x14ac:dyDescent="0.2">
      <c r="A89" s="36">
        <v>20</v>
      </c>
      <c r="B89" s="37" t="s">
        <v>260</v>
      </c>
      <c r="C89" s="37" t="s">
        <v>560</v>
      </c>
      <c r="D89" s="37" t="s">
        <v>114</v>
      </c>
      <c r="E89" s="38">
        <v>1000</v>
      </c>
      <c r="F89" s="39">
        <v>4991.8549999999996</v>
      </c>
      <c r="G89" s="40">
        <v>8.1438399999999994E-3</v>
      </c>
      <c r="H89" s="30">
        <v>7.4450000000000003</v>
      </c>
    </row>
    <row r="90" spans="1:8" x14ac:dyDescent="0.2">
      <c r="A90" s="36">
        <v>21</v>
      </c>
      <c r="B90" s="37" t="s">
        <v>261</v>
      </c>
      <c r="C90" s="37" t="s">
        <v>561</v>
      </c>
      <c r="D90" s="37" t="s">
        <v>114</v>
      </c>
      <c r="E90" s="38">
        <v>1000</v>
      </c>
      <c r="F90" s="39">
        <v>4990.3599999999997</v>
      </c>
      <c r="G90" s="40">
        <v>8.1414E-3</v>
      </c>
      <c r="H90" s="30">
        <v>7.05</v>
      </c>
    </row>
    <row r="91" spans="1:8" x14ac:dyDescent="0.2">
      <c r="A91" s="36">
        <v>22</v>
      </c>
      <c r="B91" s="37" t="s">
        <v>262</v>
      </c>
      <c r="C91" s="37" t="s">
        <v>562</v>
      </c>
      <c r="D91" s="37" t="s">
        <v>114</v>
      </c>
      <c r="E91" s="38">
        <v>1000</v>
      </c>
      <c r="F91" s="39">
        <v>4985.6899999999996</v>
      </c>
      <c r="G91" s="40">
        <v>8.1337800000000002E-3</v>
      </c>
      <c r="H91" s="30">
        <v>7.4850000000000003</v>
      </c>
    </row>
    <row r="92" spans="1:8" ht="25.5" x14ac:dyDescent="0.2">
      <c r="A92" s="36">
        <v>23</v>
      </c>
      <c r="B92" s="37" t="s">
        <v>263</v>
      </c>
      <c r="C92" s="37" t="s">
        <v>563</v>
      </c>
      <c r="D92" s="37" t="s">
        <v>114</v>
      </c>
      <c r="E92" s="38">
        <v>1000</v>
      </c>
      <c r="F92" s="39">
        <v>4982.76</v>
      </c>
      <c r="G92" s="40">
        <v>8.1290000000000008E-3</v>
      </c>
      <c r="H92" s="30">
        <v>7.8949999999999996</v>
      </c>
    </row>
    <row r="93" spans="1:8" x14ac:dyDescent="0.2">
      <c r="A93" s="36">
        <v>24</v>
      </c>
      <c r="B93" s="37" t="s">
        <v>264</v>
      </c>
      <c r="C93" s="37" t="s">
        <v>564</v>
      </c>
      <c r="D93" s="37" t="s">
        <v>114</v>
      </c>
      <c r="E93" s="38">
        <v>1000</v>
      </c>
      <c r="F93" s="39">
        <v>4972.26</v>
      </c>
      <c r="G93" s="40">
        <v>8.1118700000000002E-3</v>
      </c>
      <c r="H93" s="30">
        <v>7.5425000000000004</v>
      </c>
    </row>
    <row r="94" spans="1:8" ht="25.5" x14ac:dyDescent="0.2">
      <c r="A94" s="36">
        <v>25</v>
      </c>
      <c r="B94" s="37" t="s">
        <v>265</v>
      </c>
      <c r="C94" s="37" t="s">
        <v>565</v>
      </c>
      <c r="D94" s="37" t="s">
        <v>114</v>
      </c>
      <c r="E94" s="38">
        <v>1000</v>
      </c>
      <c r="F94" s="39">
        <v>4956.37</v>
      </c>
      <c r="G94" s="40">
        <v>8.0859499999999997E-3</v>
      </c>
      <c r="H94" s="30">
        <v>7.65</v>
      </c>
    </row>
    <row r="95" spans="1:8" x14ac:dyDescent="0.2">
      <c r="A95" s="36">
        <v>26</v>
      </c>
      <c r="B95" s="37" t="s">
        <v>266</v>
      </c>
      <c r="C95" s="37" t="s">
        <v>566</v>
      </c>
      <c r="D95" s="37" t="s">
        <v>114</v>
      </c>
      <c r="E95" s="38">
        <v>1000</v>
      </c>
      <c r="F95" s="39">
        <v>4954.43</v>
      </c>
      <c r="G95" s="40">
        <v>8.0827799999999995E-3</v>
      </c>
      <c r="H95" s="30">
        <v>7.63</v>
      </c>
    </row>
    <row r="96" spans="1:8" x14ac:dyDescent="0.2">
      <c r="A96" s="36">
        <v>27</v>
      </c>
      <c r="B96" s="37" t="s">
        <v>267</v>
      </c>
      <c r="C96" s="37" t="s">
        <v>567</v>
      </c>
      <c r="D96" s="37" t="s">
        <v>114</v>
      </c>
      <c r="E96" s="38">
        <v>1000</v>
      </c>
      <c r="F96" s="39">
        <v>4954.16</v>
      </c>
      <c r="G96" s="40">
        <v>8.0823400000000004E-3</v>
      </c>
      <c r="H96" s="30">
        <v>7.5049999999999999</v>
      </c>
    </row>
    <row r="97" spans="1:8" ht="25.5" x14ac:dyDescent="0.2">
      <c r="A97" s="36">
        <v>28</v>
      </c>
      <c r="B97" s="37" t="s">
        <v>268</v>
      </c>
      <c r="C97" s="37" t="s">
        <v>568</v>
      </c>
      <c r="D97" s="37" t="s">
        <v>114</v>
      </c>
      <c r="E97" s="38">
        <v>1000</v>
      </c>
      <c r="F97" s="39">
        <v>4953.9549999999999</v>
      </c>
      <c r="G97" s="40">
        <v>8.0820100000000006E-3</v>
      </c>
      <c r="H97" s="30">
        <v>7.71</v>
      </c>
    </row>
    <row r="98" spans="1:8" ht="25.5" x14ac:dyDescent="0.2">
      <c r="A98" s="36">
        <v>29</v>
      </c>
      <c r="B98" s="37" t="s">
        <v>269</v>
      </c>
      <c r="C98" s="37" t="s">
        <v>569</v>
      </c>
      <c r="D98" s="37" t="s">
        <v>114</v>
      </c>
      <c r="E98" s="38">
        <v>1000</v>
      </c>
      <c r="F98" s="39">
        <v>4948.68</v>
      </c>
      <c r="G98" s="40">
        <v>8.0733999999999997E-3</v>
      </c>
      <c r="H98" s="30">
        <v>7.7249999999999996</v>
      </c>
    </row>
    <row r="99" spans="1:8" x14ac:dyDescent="0.2">
      <c r="A99" s="36">
        <v>30</v>
      </c>
      <c r="B99" s="37" t="s">
        <v>270</v>
      </c>
      <c r="C99" s="37" t="s">
        <v>570</v>
      </c>
      <c r="D99" s="37" t="s">
        <v>114</v>
      </c>
      <c r="E99" s="38">
        <v>1000</v>
      </c>
      <c r="F99" s="39">
        <v>4943.0950000000003</v>
      </c>
      <c r="G99" s="40">
        <v>8.06429E-3</v>
      </c>
      <c r="H99" s="30">
        <v>7.2450000000000001</v>
      </c>
    </row>
    <row r="100" spans="1:8" x14ac:dyDescent="0.2">
      <c r="A100" s="36">
        <v>31</v>
      </c>
      <c r="B100" s="37" t="s">
        <v>271</v>
      </c>
      <c r="C100" s="37" t="s">
        <v>571</v>
      </c>
      <c r="D100" s="37" t="s">
        <v>114</v>
      </c>
      <c r="E100" s="38">
        <v>1000</v>
      </c>
      <c r="F100" s="39">
        <v>4942.7550000000001</v>
      </c>
      <c r="G100" s="40">
        <v>8.0637399999999998E-3</v>
      </c>
      <c r="H100" s="30">
        <v>7.165</v>
      </c>
    </row>
    <row r="101" spans="1:8" x14ac:dyDescent="0.2">
      <c r="A101" s="36">
        <v>32</v>
      </c>
      <c r="B101" s="37" t="s">
        <v>272</v>
      </c>
      <c r="C101" s="37" t="s">
        <v>572</v>
      </c>
      <c r="D101" s="37" t="s">
        <v>114</v>
      </c>
      <c r="E101" s="38">
        <v>1000</v>
      </c>
      <c r="F101" s="39">
        <v>4939.2449999999999</v>
      </c>
      <c r="G101" s="40">
        <v>8.0580100000000009E-3</v>
      </c>
      <c r="H101" s="30">
        <v>7.61</v>
      </c>
    </row>
    <row r="102" spans="1:8" ht="25.5" x14ac:dyDescent="0.2">
      <c r="A102" s="36">
        <v>33</v>
      </c>
      <c r="B102" s="37" t="s">
        <v>273</v>
      </c>
      <c r="C102" s="37" t="s">
        <v>573</v>
      </c>
      <c r="D102" s="37" t="s">
        <v>114</v>
      </c>
      <c r="E102" s="38">
        <v>1000</v>
      </c>
      <c r="F102" s="39">
        <v>4937.55</v>
      </c>
      <c r="G102" s="40">
        <v>8.05524E-3</v>
      </c>
      <c r="H102" s="30">
        <v>7.8250000000000002</v>
      </c>
    </row>
    <row r="103" spans="1:8" x14ac:dyDescent="0.2">
      <c r="A103" s="36">
        <v>34</v>
      </c>
      <c r="B103" s="37" t="s">
        <v>274</v>
      </c>
      <c r="C103" s="37" t="s">
        <v>275</v>
      </c>
      <c r="D103" s="37" t="s">
        <v>114</v>
      </c>
      <c r="E103" s="38">
        <v>1000</v>
      </c>
      <c r="F103" s="39">
        <v>4931.8950000000004</v>
      </c>
      <c r="G103" s="40">
        <v>8.0460199999999992E-3</v>
      </c>
      <c r="H103" s="30">
        <v>7.0002000000000004</v>
      </c>
    </row>
    <row r="104" spans="1:8" ht="25.5" x14ac:dyDescent="0.2">
      <c r="A104" s="36">
        <v>35</v>
      </c>
      <c r="B104" s="37" t="s">
        <v>194</v>
      </c>
      <c r="C104" s="37" t="s">
        <v>539</v>
      </c>
      <c r="D104" s="37" t="s">
        <v>149</v>
      </c>
      <c r="E104" s="38">
        <v>900</v>
      </c>
      <c r="F104" s="39">
        <v>4487.1570000000002</v>
      </c>
      <c r="G104" s="40">
        <v>7.32046E-3</v>
      </c>
      <c r="H104" s="30">
        <v>6.9649999999999999</v>
      </c>
    </row>
    <row r="105" spans="1:8" ht="25.5" x14ac:dyDescent="0.2">
      <c r="A105" s="36">
        <v>36</v>
      </c>
      <c r="B105" s="37" t="s">
        <v>154</v>
      </c>
      <c r="C105" s="37" t="s">
        <v>522</v>
      </c>
      <c r="D105" s="37" t="s">
        <v>114</v>
      </c>
      <c r="E105" s="38">
        <v>800</v>
      </c>
      <c r="F105" s="39">
        <v>3975.8359999999998</v>
      </c>
      <c r="G105" s="40">
        <v>6.4862799999999997E-3</v>
      </c>
      <c r="H105" s="30">
        <v>7.65</v>
      </c>
    </row>
    <row r="106" spans="1:8" ht="25.5" x14ac:dyDescent="0.2">
      <c r="A106" s="36">
        <v>37</v>
      </c>
      <c r="B106" s="37" t="s">
        <v>276</v>
      </c>
      <c r="C106" s="37" t="s">
        <v>574</v>
      </c>
      <c r="D106" s="37" t="s">
        <v>114</v>
      </c>
      <c r="E106" s="38">
        <v>500</v>
      </c>
      <c r="F106" s="39">
        <v>2487.39</v>
      </c>
      <c r="G106" s="40">
        <v>4.05799E-3</v>
      </c>
      <c r="H106" s="30">
        <v>7.71</v>
      </c>
    </row>
    <row r="107" spans="1:8" x14ac:dyDescent="0.2">
      <c r="A107" s="36">
        <v>38</v>
      </c>
      <c r="B107" s="37" t="s">
        <v>277</v>
      </c>
      <c r="C107" s="37" t="s">
        <v>575</v>
      </c>
      <c r="D107" s="37" t="s">
        <v>114</v>
      </c>
      <c r="E107" s="38">
        <v>500</v>
      </c>
      <c r="F107" s="39">
        <v>2478.0050000000001</v>
      </c>
      <c r="G107" s="40">
        <v>4.0426799999999999E-3</v>
      </c>
      <c r="H107" s="30">
        <v>7.2</v>
      </c>
    </row>
    <row r="108" spans="1:8" x14ac:dyDescent="0.2">
      <c r="A108" s="36">
        <v>39</v>
      </c>
      <c r="B108" s="37" t="s">
        <v>278</v>
      </c>
      <c r="C108" s="37" t="s">
        <v>576</v>
      </c>
      <c r="D108" s="37" t="s">
        <v>114</v>
      </c>
      <c r="E108" s="38">
        <v>500</v>
      </c>
      <c r="F108" s="39">
        <v>2466.1624999999999</v>
      </c>
      <c r="G108" s="40">
        <v>4.0233600000000001E-3</v>
      </c>
      <c r="H108" s="30">
        <v>7.7050000000000001</v>
      </c>
    </row>
    <row r="109" spans="1:8" x14ac:dyDescent="0.2">
      <c r="A109" s="28"/>
      <c r="B109" s="28"/>
      <c r="C109" s="29" t="s">
        <v>11</v>
      </c>
      <c r="D109" s="28"/>
      <c r="E109" s="28" t="s">
        <v>12</v>
      </c>
      <c r="F109" s="35">
        <v>266015.26049999997</v>
      </c>
      <c r="G109" s="32">
        <v>0.43398405000000001</v>
      </c>
      <c r="H109" s="30" t="s">
        <v>12</v>
      </c>
    </row>
    <row r="110" spans="1:8" x14ac:dyDescent="0.2">
      <c r="A110" s="28"/>
      <c r="B110" s="28"/>
      <c r="C110" s="33"/>
      <c r="D110" s="28"/>
      <c r="E110" s="28"/>
      <c r="F110" s="34"/>
      <c r="G110" s="34"/>
      <c r="H110" s="30" t="s">
        <v>12</v>
      </c>
    </row>
    <row r="111" spans="1:8" x14ac:dyDescent="0.2">
      <c r="A111" s="28"/>
      <c r="B111" s="28"/>
      <c r="C111" s="29" t="s">
        <v>62</v>
      </c>
      <c r="D111" s="28"/>
      <c r="E111" s="28"/>
      <c r="F111" s="34"/>
      <c r="G111" s="34"/>
      <c r="H111" s="30" t="s">
        <v>12</v>
      </c>
    </row>
    <row r="112" spans="1:8" x14ac:dyDescent="0.2">
      <c r="A112" s="36">
        <v>1</v>
      </c>
      <c r="B112" s="37" t="s">
        <v>279</v>
      </c>
      <c r="C112" s="37" t="s">
        <v>280</v>
      </c>
      <c r="D112" s="37" t="s">
        <v>50</v>
      </c>
      <c r="E112" s="38">
        <v>27500000</v>
      </c>
      <c r="F112" s="39">
        <v>27146.047500000001</v>
      </c>
      <c r="G112" s="40">
        <v>4.428675E-2</v>
      </c>
      <c r="H112" s="30">
        <v>6.61</v>
      </c>
    </row>
    <row r="113" spans="1:8" x14ac:dyDescent="0.2">
      <c r="A113" s="36">
        <v>2</v>
      </c>
      <c r="B113" s="37" t="s">
        <v>281</v>
      </c>
      <c r="C113" s="37" t="s">
        <v>282</v>
      </c>
      <c r="D113" s="37" t="s">
        <v>50</v>
      </c>
      <c r="E113" s="38">
        <v>20000000</v>
      </c>
      <c r="F113" s="39">
        <v>19894.12</v>
      </c>
      <c r="G113" s="40">
        <v>3.2455770000000002E-2</v>
      </c>
      <c r="H113" s="30">
        <v>6.4749999999999996</v>
      </c>
    </row>
    <row r="114" spans="1:8" x14ac:dyDescent="0.2">
      <c r="A114" s="36">
        <v>3</v>
      </c>
      <c r="B114" s="37" t="s">
        <v>283</v>
      </c>
      <c r="C114" s="37" t="s">
        <v>284</v>
      </c>
      <c r="D114" s="37" t="s">
        <v>50</v>
      </c>
      <c r="E114" s="38">
        <v>10000000</v>
      </c>
      <c r="F114" s="39">
        <v>9920.77</v>
      </c>
      <c r="G114" s="40">
        <v>1.6185000000000001E-2</v>
      </c>
      <c r="H114" s="30">
        <v>6.625</v>
      </c>
    </row>
    <row r="115" spans="1:8" x14ac:dyDescent="0.2">
      <c r="A115" s="36">
        <v>4</v>
      </c>
      <c r="B115" s="37" t="s">
        <v>285</v>
      </c>
      <c r="C115" s="37" t="s">
        <v>286</v>
      </c>
      <c r="D115" s="37" t="s">
        <v>50</v>
      </c>
      <c r="E115" s="38">
        <v>7500000</v>
      </c>
      <c r="F115" s="39">
        <v>7477.14</v>
      </c>
      <c r="G115" s="40">
        <v>1.21984E-2</v>
      </c>
      <c r="H115" s="30">
        <v>6.5650000000000004</v>
      </c>
    </row>
    <row r="116" spans="1:8" x14ac:dyDescent="0.2">
      <c r="A116" s="36">
        <v>5</v>
      </c>
      <c r="B116" s="37" t="s">
        <v>287</v>
      </c>
      <c r="C116" s="37" t="s">
        <v>288</v>
      </c>
      <c r="D116" s="37" t="s">
        <v>50</v>
      </c>
      <c r="E116" s="38">
        <v>2500000</v>
      </c>
      <c r="F116" s="39">
        <v>2489.7249999999999</v>
      </c>
      <c r="G116" s="40">
        <v>4.0618E-3</v>
      </c>
      <c r="H116" s="30">
        <v>6.55</v>
      </c>
    </row>
    <row r="117" spans="1:8" x14ac:dyDescent="0.2">
      <c r="A117" s="28"/>
      <c r="B117" s="28"/>
      <c r="C117" s="29" t="s">
        <v>11</v>
      </c>
      <c r="D117" s="28"/>
      <c r="E117" s="28" t="s">
        <v>12</v>
      </c>
      <c r="F117" s="35">
        <v>66927.802500000005</v>
      </c>
      <c r="G117" s="32">
        <v>0.10918772</v>
      </c>
      <c r="H117" s="30" t="s">
        <v>12</v>
      </c>
    </row>
    <row r="118" spans="1:8" x14ac:dyDescent="0.2">
      <c r="A118" s="28"/>
      <c r="B118" s="28"/>
      <c r="C118" s="33"/>
      <c r="D118" s="28"/>
      <c r="E118" s="28"/>
      <c r="F118" s="34"/>
      <c r="G118" s="34"/>
      <c r="H118" s="30" t="s">
        <v>12</v>
      </c>
    </row>
    <row r="119" spans="1:8" x14ac:dyDescent="0.2">
      <c r="A119" s="28"/>
      <c r="B119" s="28"/>
      <c r="C119" s="29" t="s">
        <v>63</v>
      </c>
      <c r="D119" s="28"/>
      <c r="E119" s="28"/>
      <c r="F119" s="34"/>
      <c r="G119" s="34"/>
      <c r="H119" s="30" t="s">
        <v>12</v>
      </c>
    </row>
    <row r="120" spans="1:8" x14ac:dyDescent="0.2">
      <c r="A120" s="36">
        <v>1</v>
      </c>
      <c r="B120" s="37"/>
      <c r="C120" s="37" t="s">
        <v>64</v>
      </c>
      <c r="D120" s="37"/>
      <c r="E120" s="41"/>
      <c r="F120" s="39">
        <v>51747.775005174997</v>
      </c>
      <c r="G120" s="40">
        <v>8.4422629999999999E-2</v>
      </c>
      <c r="H120" s="30">
        <v>6.35</v>
      </c>
    </row>
    <row r="121" spans="1:8" x14ac:dyDescent="0.2">
      <c r="A121" s="28"/>
      <c r="B121" s="28"/>
      <c r="C121" s="29" t="s">
        <v>11</v>
      </c>
      <c r="D121" s="28"/>
      <c r="E121" s="28" t="s">
        <v>12</v>
      </c>
      <c r="F121" s="35">
        <v>51747.775005174997</v>
      </c>
      <c r="G121" s="32">
        <v>8.4422629999999999E-2</v>
      </c>
      <c r="H121" s="30" t="s">
        <v>12</v>
      </c>
    </row>
    <row r="122" spans="1:8" x14ac:dyDescent="0.2">
      <c r="A122" s="28"/>
      <c r="B122" s="28"/>
      <c r="C122" s="33"/>
      <c r="D122" s="28"/>
      <c r="E122" s="28"/>
      <c r="F122" s="34"/>
      <c r="G122" s="34"/>
      <c r="H122" s="30" t="s">
        <v>12</v>
      </c>
    </row>
    <row r="123" spans="1:8" x14ac:dyDescent="0.2">
      <c r="A123" s="28"/>
      <c r="B123" s="28"/>
      <c r="C123" s="29" t="s">
        <v>65</v>
      </c>
      <c r="D123" s="28"/>
      <c r="E123" s="28"/>
      <c r="F123" s="35">
        <v>587797.25300517504</v>
      </c>
      <c r="G123" s="32">
        <v>0.95894734999999998</v>
      </c>
      <c r="H123" s="30" t="s">
        <v>12</v>
      </c>
    </row>
    <row r="124" spans="1:8" x14ac:dyDescent="0.2">
      <c r="A124" s="28"/>
      <c r="B124" s="28"/>
      <c r="C124" s="34"/>
      <c r="D124" s="28"/>
      <c r="E124" s="28"/>
      <c r="F124" s="28"/>
      <c r="G124" s="28"/>
      <c r="H124" s="30" t="s">
        <v>12</v>
      </c>
    </row>
    <row r="125" spans="1:8" x14ac:dyDescent="0.2">
      <c r="A125" s="28"/>
      <c r="B125" s="28"/>
      <c r="C125" s="29" t="s">
        <v>66</v>
      </c>
      <c r="D125" s="28"/>
      <c r="E125" s="28"/>
      <c r="F125" s="28"/>
      <c r="G125" s="28"/>
      <c r="H125" s="30" t="s">
        <v>12</v>
      </c>
    </row>
    <row r="126" spans="1:8" x14ac:dyDescent="0.2">
      <c r="A126" s="28"/>
      <c r="B126" s="28"/>
      <c r="C126" s="29" t="s">
        <v>67</v>
      </c>
      <c r="D126" s="28"/>
      <c r="E126" s="28"/>
      <c r="F126" s="28"/>
      <c r="G126" s="28"/>
      <c r="H126" s="30" t="s">
        <v>12</v>
      </c>
    </row>
    <row r="127" spans="1:8" x14ac:dyDescent="0.2">
      <c r="A127" s="28"/>
      <c r="B127" s="28"/>
      <c r="C127" s="29" t="s">
        <v>11</v>
      </c>
      <c r="D127" s="28"/>
      <c r="E127" s="28" t="s">
        <v>12</v>
      </c>
      <c r="F127" s="31" t="s">
        <v>13</v>
      </c>
      <c r="G127" s="32">
        <v>0</v>
      </c>
      <c r="H127" s="30" t="s">
        <v>12</v>
      </c>
    </row>
    <row r="128" spans="1:8" x14ac:dyDescent="0.2">
      <c r="A128" s="28"/>
      <c r="B128" s="28"/>
      <c r="C128" s="33"/>
      <c r="D128" s="28"/>
      <c r="E128" s="28"/>
      <c r="F128" s="34"/>
      <c r="G128" s="34"/>
      <c r="H128" s="30" t="s">
        <v>12</v>
      </c>
    </row>
    <row r="129" spans="1:18" x14ac:dyDescent="0.2">
      <c r="A129" s="28"/>
      <c r="B129" s="28"/>
      <c r="C129" s="29" t="s">
        <v>70</v>
      </c>
      <c r="D129" s="28"/>
      <c r="E129" s="28"/>
      <c r="F129" s="28"/>
      <c r="G129" s="28"/>
      <c r="H129" s="30" t="s">
        <v>12</v>
      </c>
    </row>
    <row r="130" spans="1:18" x14ac:dyDescent="0.2">
      <c r="A130" s="28"/>
      <c r="B130" s="28"/>
      <c r="C130" s="29" t="s">
        <v>71</v>
      </c>
      <c r="D130" s="28"/>
      <c r="E130" s="28"/>
      <c r="F130" s="28"/>
      <c r="G130" s="28"/>
      <c r="H130" s="30" t="s">
        <v>12</v>
      </c>
    </row>
    <row r="131" spans="1:18" x14ac:dyDescent="0.2">
      <c r="A131" s="28"/>
      <c r="B131" s="28"/>
      <c r="C131" s="29" t="s">
        <v>11</v>
      </c>
      <c r="D131" s="28"/>
      <c r="E131" s="28" t="s">
        <v>12</v>
      </c>
      <c r="F131" s="31" t="s">
        <v>13</v>
      </c>
      <c r="G131" s="32">
        <v>0</v>
      </c>
      <c r="H131" s="30" t="s">
        <v>12</v>
      </c>
    </row>
    <row r="132" spans="1:18" x14ac:dyDescent="0.2">
      <c r="A132" s="28"/>
      <c r="B132" s="28"/>
      <c r="C132" s="33"/>
      <c r="D132" s="28"/>
      <c r="E132" s="28"/>
      <c r="F132" s="34"/>
      <c r="G132" s="34"/>
      <c r="H132" s="30" t="s">
        <v>12</v>
      </c>
    </row>
    <row r="133" spans="1:18" x14ac:dyDescent="0.2">
      <c r="A133" s="28"/>
      <c r="B133" s="28"/>
      <c r="C133" s="29" t="s">
        <v>72</v>
      </c>
      <c r="D133" s="28"/>
      <c r="E133" s="28"/>
      <c r="F133" s="34"/>
      <c r="G133" s="34"/>
      <c r="H133" s="30" t="s">
        <v>12</v>
      </c>
    </row>
    <row r="134" spans="1:18" x14ac:dyDescent="0.2">
      <c r="A134" s="28"/>
      <c r="B134" s="28"/>
      <c r="C134" s="29" t="s">
        <v>11</v>
      </c>
      <c r="D134" s="28"/>
      <c r="E134" s="28" t="s">
        <v>12</v>
      </c>
      <c r="F134" s="31" t="s">
        <v>13</v>
      </c>
      <c r="G134" s="32">
        <v>0</v>
      </c>
      <c r="H134" s="30" t="s">
        <v>12</v>
      </c>
    </row>
    <row r="135" spans="1:18" x14ac:dyDescent="0.2">
      <c r="A135" s="73"/>
      <c r="B135" s="73"/>
      <c r="C135" s="74"/>
      <c r="D135" s="73"/>
      <c r="E135" s="73"/>
      <c r="F135" s="75"/>
      <c r="G135" s="75"/>
      <c r="H135" s="30" t="s">
        <v>12</v>
      </c>
    </row>
    <row r="136" spans="1:18" x14ac:dyDescent="0.2">
      <c r="A136" s="76"/>
      <c r="B136" s="76"/>
      <c r="C136" s="64" t="s">
        <v>406</v>
      </c>
      <c r="D136" s="76"/>
      <c r="E136" s="76"/>
      <c r="F136" s="77"/>
      <c r="G136" s="77"/>
      <c r="H136" s="78"/>
      <c r="K136" s="5"/>
      <c r="L136" s="5"/>
      <c r="M136" s="5"/>
      <c r="N136" s="5"/>
      <c r="O136" s="5"/>
      <c r="P136" s="6"/>
      <c r="Q136" s="6"/>
      <c r="R136" s="6"/>
    </row>
    <row r="137" spans="1:18" ht="25.5" x14ac:dyDescent="0.2">
      <c r="A137" s="36">
        <v>1</v>
      </c>
      <c r="B137" s="37" t="s">
        <v>68</v>
      </c>
      <c r="C137" s="37" t="s">
        <v>69</v>
      </c>
      <c r="D137" s="37"/>
      <c r="E137" s="79">
        <v>13479.374400000001</v>
      </c>
      <c r="F137" s="39">
        <v>1389.439827206</v>
      </c>
      <c r="G137" s="40">
        <v>2.26677E-3</v>
      </c>
      <c r="H137" s="30"/>
    </row>
    <row r="138" spans="1:18" x14ac:dyDescent="0.2">
      <c r="A138" s="28"/>
      <c r="B138" s="28"/>
      <c r="C138" s="29" t="s">
        <v>11</v>
      </c>
      <c r="D138" s="28"/>
      <c r="E138" s="28" t="s">
        <v>12</v>
      </c>
      <c r="F138" s="35">
        <v>1389.439827206</v>
      </c>
      <c r="G138" s="32">
        <v>2.26677E-3</v>
      </c>
      <c r="H138" s="30" t="s">
        <v>12</v>
      </c>
    </row>
    <row r="139" spans="1:18" x14ac:dyDescent="0.2">
      <c r="A139" s="28"/>
      <c r="B139" s="37"/>
      <c r="C139" s="37"/>
      <c r="D139" s="29"/>
      <c r="E139" s="28"/>
      <c r="F139" s="37"/>
      <c r="G139" s="41"/>
      <c r="H139" s="30" t="s">
        <v>12</v>
      </c>
    </row>
    <row r="140" spans="1:18" x14ac:dyDescent="0.2">
      <c r="A140" s="41"/>
      <c r="B140" s="37"/>
      <c r="C140" s="37" t="s">
        <v>73</v>
      </c>
      <c r="D140" s="37"/>
      <c r="E140" s="41"/>
      <c r="F140" s="39">
        <f>1281.63958242-0.000850501098632812</f>
        <v>1281.6387319189012</v>
      </c>
      <c r="G140" s="40">
        <v>2.0909000000000001E-3</v>
      </c>
      <c r="H140" s="30" t="s">
        <v>12</v>
      </c>
    </row>
    <row r="141" spans="1:18" x14ac:dyDescent="0.2">
      <c r="A141" s="33"/>
      <c r="B141" s="33"/>
      <c r="C141" s="29" t="s">
        <v>74</v>
      </c>
      <c r="D141" s="34"/>
      <c r="E141" s="34"/>
      <c r="F141" s="35">
        <f>612960.954914801-0.000850501098632812</f>
        <v>612960.95406429993</v>
      </c>
      <c r="G141" s="42">
        <v>1.0000000600000001</v>
      </c>
      <c r="H141" s="30" t="s">
        <v>12</v>
      </c>
    </row>
    <row r="142" spans="1:18" x14ac:dyDescent="0.2">
      <c r="A142" s="43"/>
      <c r="B142" s="43"/>
      <c r="C142" s="43"/>
      <c r="D142" s="44"/>
      <c r="E142" s="44"/>
      <c r="F142" s="44"/>
      <c r="G142" s="44"/>
    </row>
    <row r="143" spans="1:18" x14ac:dyDescent="0.2">
      <c r="A143" s="45"/>
      <c r="B143" s="110" t="s">
        <v>407</v>
      </c>
      <c r="C143" s="110"/>
      <c r="D143" s="110"/>
      <c r="E143" s="110"/>
      <c r="F143" s="110"/>
      <c r="G143" s="110"/>
      <c r="H143" s="110"/>
    </row>
    <row r="144" spans="1:18" x14ac:dyDescent="0.2">
      <c r="A144" s="45"/>
      <c r="B144" s="110" t="s">
        <v>408</v>
      </c>
      <c r="C144" s="110"/>
      <c r="D144" s="110"/>
      <c r="E144" s="110"/>
      <c r="F144" s="110"/>
      <c r="G144" s="110"/>
      <c r="H144" s="110"/>
    </row>
    <row r="145" spans="1:8" x14ac:dyDescent="0.2">
      <c r="A145" s="45"/>
      <c r="B145" s="110" t="s">
        <v>409</v>
      </c>
      <c r="C145" s="110"/>
      <c r="D145" s="110"/>
      <c r="E145" s="110"/>
      <c r="F145" s="110"/>
      <c r="G145" s="110"/>
      <c r="H145" s="110"/>
    </row>
    <row r="146" spans="1:8" ht="12.75" customHeight="1" x14ac:dyDescent="0.2">
      <c r="A146" s="45"/>
      <c r="B146" s="122" t="s">
        <v>492</v>
      </c>
      <c r="C146" s="110"/>
      <c r="D146" s="110"/>
      <c r="E146" s="110"/>
      <c r="F146" s="110"/>
      <c r="G146" s="110"/>
      <c r="H146" s="110"/>
    </row>
    <row r="147" spans="1:8" x14ac:dyDescent="0.2">
      <c r="A147" s="47"/>
      <c r="B147" s="47"/>
      <c r="C147" s="47"/>
      <c r="D147" s="48"/>
      <c r="E147" s="48"/>
      <c r="F147" s="48"/>
      <c r="G147" s="48"/>
    </row>
    <row r="148" spans="1:8" x14ac:dyDescent="0.2">
      <c r="A148" s="47"/>
      <c r="B148" s="112" t="s">
        <v>75</v>
      </c>
      <c r="C148" s="113"/>
      <c r="D148" s="114"/>
      <c r="E148" s="49"/>
      <c r="F148" s="48"/>
      <c r="G148" s="48"/>
    </row>
    <row r="149" spans="1:8" ht="25.5" x14ac:dyDescent="0.2">
      <c r="A149" s="47"/>
      <c r="B149" s="115" t="s">
        <v>76</v>
      </c>
      <c r="C149" s="116"/>
      <c r="D149" s="64" t="s">
        <v>423</v>
      </c>
      <c r="E149" s="49"/>
      <c r="F149" s="48"/>
      <c r="G149" s="48"/>
    </row>
    <row r="150" spans="1:8" x14ac:dyDescent="0.2">
      <c r="A150" s="47"/>
      <c r="B150" s="115" t="s">
        <v>78</v>
      </c>
      <c r="C150" s="116"/>
      <c r="D150" s="29" t="s">
        <v>77</v>
      </c>
      <c r="E150" s="49"/>
      <c r="F150" s="48"/>
      <c r="G150" s="48"/>
    </row>
    <row r="151" spans="1:8" x14ac:dyDescent="0.2">
      <c r="A151" s="47"/>
      <c r="B151" s="115" t="s">
        <v>79</v>
      </c>
      <c r="C151" s="116"/>
      <c r="D151" s="34" t="s">
        <v>12</v>
      </c>
      <c r="E151" s="49"/>
      <c r="F151" s="48"/>
      <c r="G151" s="48"/>
    </row>
    <row r="152" spans="1:8" x14ac:dyDescent="0.2">
      <c r="A152" s="50"/>
      <c r="B152" s="51" t="s">
        <v>12</v>
      </c>
      <c r="C152" s="51" t="s">
        <v>458</v>
      </c>
      <c r="D152" s="51" t="s">
        <v>80</v>
      </c>
      <c r="E152" s="50"/>
      <c r="F152" s="50"/>
      <c r="G152" s="50"/>
      <c r="H152" s="52"/>
    </row>
    <row r="153" spans="1:8" x14ac:dyDescent="0.2">
      <c r="A153" s="53"/>
      <c r="B153" s="54" t="s">
        <v>81</v>
      </c>
      <c r="C153" s="55" t="s">
        <v>82</v>
      </c>
      <c r="D153" s="55" t="s">
        <v>83</v>
      </c>
      <c r="E153" s="53"/>
      <c r="F153" s="53"/>
      <c r="G153" s="53"/>
    </row>
    <row r="154" spans="1:8" x14ac:dyDescent="0.2">
      <c r="A154" s="53"/>
      <c r="B154" s="37" t="s">
        <v>84</v>
      </c>
      <c r="C154" s="56">
        <v>2171.2984000000001</v>
      </c>
      <c r="D154" s="56">
        <v>2178.0079000000001</v>
      </c>
      <c r="E154" s="53"/>
      <c r="F154" s="57"/>
      <c r="G154" s="58"/>
    </row>
    <row r="155" spans="1:8" x14ac:dyDescent="0.2">
      <c r="A155" s="53"/>
      <c r="B155" s="37" t="s">
        <v>115</v>
      </c>
      <c r="C155" s="56">
        <v>1194.0197000000001</v>
      </c>
      <c r="D155" s="56">
        <v>1197.7080000000001</v>
      </c>
      <c r="E155" s="53"/>
      <c r="F155" s="57"/>
      <c r="G155" s="58"/>
    </row>
    <row r="156" spans="1:8" ht="25.5" x14ac:dyDescent="0.2">
      <c r="A156" s="53"/>
      <c r="B156" s="37" t="s">
        <v>289</v>
      </c>
      <c r="C156" s="56">
        <v>1000.6367</v>
      </c>
      <c r="D156" s="56">
        <v>1000.6367</v>
      </c>
      <c r="E156" s="53"/>
      <c r="F156" s="57"/>
      <c r="G156" s="58"/>
    </row>
    <row r="157" spans="1:8" ht="25.5" x14ac:dyDescent="0.2">
      <c r="A157" s="53"/>
      <c r="B157" s="37" t="s">
        <v>290</v>
      </c>
      <c r="C157" s="56">
        <v>1007.4222</v>
      </c>
      <c r="D157" s="56">
        <v>1007.6334000000001</v>
      </c>
      <c r="E157" s="53"/>
      <c r="F157" s="57"/>
      <c r="G157" s="58"/>
    </row>
    <row r="158" spans="1:8" ht="25.5" x14ac:dyDescent="0.2">
      <c r="A158" s="53"/>
      <c r="B158" s="37" t="s">
        <v>291</v>
      </c>
      <c r="C158" s="56">
        <v>1024.5707</v>
      </c>
      <c r="D158" s="56">
        <v>1024.7917</v>
      </c>
      <c r="E158" s="53"/>
      <c r="F158" s="57"/>
      <c r="G158" s="58"/>
    </row>
    <row r="159" spans="1:8" ht="25.5" x14ac:dyDescent="0.2">
      <c r="A159" s="53"/>
      <c r="B159" s="37" t="s">
        <v>85</v>
      </c>
      <c r="C159" s="56">
        <v>1027.2822000000001</v>
      </c>
      <c r="D159" s="56">
        <v>1030.4566</v>
      </c>
      <c r="E159" s="53"/>
      <c r="F159" s="57"/>
      <c r="G159" s="58"/>
    </row>
    <row r="160" spans="1:8" ht="25.5" x14ac:dyDescent="0.2">
      <c r="A160" s="53"/>
      <c r="B160" s="37" t="s">
        <v>86</v>
      </c>
      <c r="C160" s="56">
        <v>1112.7512999999999</v>
      </c>
      <c r="D160" s="56">
        <v>1116.1899000000001</v>
      </c>
      <c r="E160" s="53"/>
      <c r="F160" s="57"/>
      <c r="G160" s="58"/>
    </row>
    <row r="161" spans="1:7" x14ac:dyDescent="0.2">
      <c r="A161" s="53"/>
      <c r="B161" s="37" t="s">
        <v>89</v>
      </c>
      <c r="C161" s="56">
        <v>2150.4355</v>
      </c>
      <c r="D161" s="56">
        <v>2156.9564999999998</v>
      </c>
      <c r="E161" s="53"/>
      <c r="F161" s="57"/>
      <c r="G161" s="58"/>
    </row>
    <row r="162" spans="1:7" x14ac:dyDescent="0.2">
      <c r="A162" s="53"/>
      <c r="B162" s="37" t="s">
        <v>116</v>
      </c>
      <c r="C162" s="56">
        <v>1190.3308999999999</v>
      </c>
      <c r="D162" s="56">
        <v>1193.9405999999999</v>
      </c>
      <c r="E162" s="53"/>
      <c r="F162" s="57"/>
      <c r="G162" s="58"/>
    </row>
    <row r="163" spans="1:7" ht="25.5" x14ac:dyDescent="0.2">
      <c r="A163" s="53"/>
      <c r="B163" s="37" t="s">
        <v>292</v>
      </c>
      <c r="C163" s="56">
        <v>1000.8893</v>
      </c>
      <c r="D163" s="56">
        <v>1000.8893</v>
      </c>
      <c r="E163" s="53"/>
      <c r="F163" s="57"/>
      <c r="G163" s="58"/>
    </row>
    <row r="164" spans="1:7" ht="25.5" x14ac:dyDescent="0.2">
      <c r="A164" s="53"/>
      <c r="B164" s="37" t="s">
        <v>293</v>
      </c>
      <c r="C164" s="56">
        <v>1006.9559</v>
      </c>
      <c r="D164" s="56">
        <v>1007.1632</v>
      </c>
      <c r="E164" s="53"/>
      <c r="F164" s="57"/>
      <c r="G164" s="58"/>
    </row>
    <row r="165" spans="1:7" ht="25.5" x14ac:dyDescent="0.2">
      <c r="A165" s="53"/>
      <c r="B165" s="37" t="s">
        <v>294</v>
      </c>
      <c r="C165" s="56">
        <v>1024.5128</v>
      </c>
      <c r="D165" s="56">
        <v>1024.7230999999999</v>
      </c>
      <c r="E165" s="53"/>
      <c r="F165" s="57"/>
      <c r="G165" s="58"/>
    </row>
    <row r="166" spans="1:7" ht="25.5" x14ac:dyDescent="0.2">
      <c r="A166" s="53"/>
      <c r="B166" s="37" t="s">
        <v>90</v>
      </c>
      <c r="C166" s="56">
        <v>1027.1632</v>
      </c>
      <c r="D166" s="56">
        <v>1030.2779</v>
      </c>
      <c r="E166" s="53"/>
      <c r="F166" s="57"/>
      <c r="G166" s="58"/>
    </row>
    <row r="167" spans="1:7" ht="25.5" x14ac:dyDescent="0.2">
      <c r="A167" s="53"/>
      <c r="B167" s="37" t="s">
        <v>91</v>
      </c>
      <c r="C167" s="56">
        <v>1109.5608</v>
      </c>
      <c r="D167" s="56">
        <v>1112.9247</v>
      </c>
      <c r="E167" s="53"/>
      <c r="F167" s="57"/>
      <c r="G167" s="58"/>
    </row>
    <row r="168" spans="1:7" x14ac:dyDescent="0.2">
      <c r="A168" s="53"/>
      <c r="B168" s="53"/>
      <c r="C168" s="53"/>
      <c r="D168" s="53"/>
      <c r="E168" s="53"/>
      <c r="F168" s="53"/>
      <c r="G168" s="53"/>
    </row>
    <row r="169" spans="1:7" x14ac:dyDescent="0.2">
      <c r="A169" s="53"/>
      <c r="B169" s="115" t="s">
        <v>94</v>
      </c>
      <c r="C169" s="116"/>
      <c r="D169" s="29" t="s">
        <v>12</v>
      </c>
      <c r="E169" s="53"/>
      <c r="F169" s="53"/>
      <c r="G169" s="53"/>
    </row>
    <row r="170" spans="1:7" x14ac:dyDescent="0.2">
      <c r="A170" s="53"/>
      <c r="B170" s="59" t="s">
        <v>81</v>
      </c>
      <c r="C170" s="60" t="s">
        <v>295</v>
      </c>
      <c r="D170" s="60" t="s">
        <v>296</v>
      </c>
      <c r="E170" s="53"/>
      <c r="F170" s="53"/>
      <c r="G170" s="53"/>
    </row>
    <row r="171" spans="1:7" ht="25.5" x14ac:dyDescent="0.2">
      <c r="A171" s="53"/>
      <c r="B171" s="37" t="s">
        <v>289</v>
      </c>
      <c r="C171" s="61">
        <v>3.0886100000000001</v>
      </c>
      <c r="D171" s="61">
        <v>3.0886100000000001</v>
      </c>
      <c r="E171" s="53"/>
      <c r="F171" s="57"/>
      <c r="G171" s="58"/>
    </row>
    <row r="172" spans="1:7" ht="25.5" x14ac:dyDescent="0.2">
      <c r="A172" s="53"/>
      <c r="B172" s="37" t="s">
        <v>290</v>
      </c>
      <c r="C172" s="61">
        <v>2.8959999999999999</v>
      </c>
      <c r="D172" s="41" t="s">
        <v>297</v>
      </c>
      <c r="E172" s="53"/>
      <c r="F172" s="57"/>
      <c r="G172" s="58"/>
    </row>
    <row r="173" spans="1:7" ht="25.5" x14ac:dyDescent="0.2">
      <c r="A173" s="53"/>
      <c r="B173" s="37" t="s">
        <v>291</v>
      </c>
      <c r="C173" s="61">
        <v>2.9459</v>
      </c>
      <c r="D173" s="41" t="s">
        <v>297</v>
      </c>
      <c r="E173" s="53"/>
      <c r="F173" s="57"/>
      <c r="G173" s="58"/>
    </row>
    <row r="174" spans="1:7" ht="25.5" x14ac:dyDescent="0.2">
      <c r="A174" s="53"/>
      <c r="B174" s="37" t="s">
        <v>292</v>
      </c>
      <c r="C174" s="61">
        <v>3.0315050000000001</v>
      </c>
      <c r="D174" s="61">
        <v>3.0315050000000001</v>
      </c>
      <c r="E174" s="53"/>
      <c r="F174" s="57"/>
      <c r="G174" s="58"/>
    </row>
    <row r="175" spans="1:7" ht="25.5" x14ac:dyDescent="0.2">
      <c r="A175" s="53"/>
      <c r="B175" s="37" t="s">
        <v>293</v>
      </c>
      <c r="C175" s="61">
        <v>2.8433000000000002</v>
      </c>
      <c r="D175" s="61">
        <v>2.8433000000000002</v>
      </c>
      <c r="E175" s="53"/>
      <c r="F175" s="57"/>
      <c r="G175" s="58"/>
    </row>
    <row r="176" spans="1:7" ht="25.5" x14ac:dyDescent="0.2">
      <c r="A176" s="53"/>
      <c r="B176" s="37" t="s">
        <v>294</v>
      </c>
      <c r="C176" s="61">
        <v>2.8950999999999998</v>
      </c>
      <c r="D176" s="41" t="s">
        <v>297</v>
      </c>
      <c r="E176" s="53"/>
      <c r="F176" s="57"/>
      <c r="G176" s="58"/>
    </row>
    <row r="177" spans="1:18" x14ac:dyDescent="0.2">
      <c r="A177" s="53"/>
      <c r="B177" s="62"/>
      <c r="C177" s="62"/>
      <c r="D177" s="63"/>
      <c r="E177" s="53"/>
      <c r="F177" s="57"/>
      <c r="G177" s="58"/>
    </row>
    <row r="178" spans="1:18" s="7" customFormat="1" ht="17.100000000000001" customHeight="1" x14ac:dyDescent="0.2">
      <c r="A178" s="80"/>
      <c r="B178" s="117" t="s">
        <v>419</v>
      </c>
      <c r="C178" s="118"/>
      <c r="D178" s="64" t="s">
        <v>77</v>
      </c>
      <c r="E178" s="80"/>
      <c r="F178" s="80"/>
      <c r="G178" s="80"/>
      <c r="I178"/>
      <c r="J178" s="2"/>
      <c r="K178" s="5"/>
      <c r="L178" s="5"/>
      <c r="M178" s="5"/>
      <c r="N178" s="5"/>
      <c r="O178" s="8"/>
      <c r="P178"/>
      <c r="Q178"/>
    </row>
    <row r="179" spans="1:18" ht="12.75" customHeight="1" x14ac:dyDescent="0.2">
      <c r="A179" s="50"/>
      <c r="B179" s="117" t="s">
        <v>420</v>
      </c>
      <c r="C179" s="118"/>
      <c r="D179" s="64" t="s">
        <v>77</v>
      </c>
      <c r="E179" s="65"/>
      <c r="F179" s="50"/>
      <c r="G179" s="50"/>
    </row>
    <row r="180" spans="1:18" ht="12.75" customHeight="1" x14ac:dyDescent="0.2">
      <c r="A180" s="50"/>
      <c r="B180" s="117" t="s">
        <v>421</v>
      </c>
      <c r="C180" s="118"/>
      <c r="D180" s="64" t="s">
        <v>77</v>
      </c>
      <c r="E180" s="65"/>
      <c r="F180" s="50"/>
      <c r="G180" s="50"/>
    </row>
    <row r="181" spans="1:18" ht="12.75" customHeight="1" x14ac:dyDescent="0.2">
      <c r="A181" s="50"/>
      <c r="B181" s="117" t="s">
        <v>422</v>
      </c>
      <c r="C181" s="118"/>
      <c r="D181" s="64" t="s">
        <v>77</v>
      </c>
      <c r="E181" s="65"/>
      <c r="F181" s="50"/>
      <c r="G181" s="50"/>
    </row>
    <row r="182" spans="1:18" x14ac:dyDescent="0.2">
      <c r="A182" s="66"/>
      <c r="B182" s="66"/>
      <c r="C182" s="66"/>
      <c r="D182" s="66"/>
      <c r="E182" s="66"/>
      <c r="F182" s="66"/>
      <c r="G182" s="66"/>
    </row>
    <row r="183" spans="1:18" s="7" customFormat="1" x14ac:dyDescent="0.2">
      <c r="B183" s="93" t="s">
        <v>455</v>
      </c>
      <c r="C183" s="93"/>
      <c r="D183" s="93"/>
      <c r="E183" s="93"/>
      <c r="F183" s="93"/>
      <c r="G183" s="93"/>
      <c r="I183"/>
      <c r="J183" s="2"/>
      <c r="K183" s="5"/>
      <c r="L183" s="5"/>
      <c r="M183" s="5"/>
      <c r="N183" s="5"/>
      <c r="O183"/>
    </row>
    <row r="184" spans="1:18" s="7" customFormat="1" x14ac:dyDescent="0.2">
      <c r="B184" s="93"/>
      <c r="C184" s="93"/>
      <c r="D184" s="93"/>
      <c r="E184" s="93"/>
      <c r="F184" s="93"/>
      <c r="G184" s="93"/>
      <c r="I184"/>
      <c r="J184" s="2"/>
      <c r="K184" s="5"/>
      <c r="L184" s="5"/>
      <c r="M184" s="5"/>
      <c r="N184" s="5"/>
      <c r="O184"/>
    </row>
    <row r="185" spans="1:18" s="7" customFormat="1" ht="63.75" x14ac:dyDescent="0.2">
      <c r="B185" s="100" t="s">
        <v>425</v>
      </c>
      <c r="C185" s="100" t="s">
        <v>424</v>
      </c>
      <c r="D185" s="100" t="s">
        <v>431</v>
      </c>
      <c r="E185" s="100" t="s">
        <v>432</v>
      </c>
      <c r="F185" s="100" t="s">
        <v>428</v>
      </c>
      <c r="I185"/>
      <c r="J185" s="2"/>
      <c r="K185" s="5"/>
      <c r="L185" s="5"/>
      <c r="M185" s="5"/>
      <c r="N185" s="5"/>
      <c r="O185"/>
    </row>
    <row r="186" spans="1:18" s="7" customFormat="1" ht="25.5" x14ac:dyDescent="0.2">
      <c r="B186" s="68" t="s">
        <v>430</v>
      </c>
      <c r="C186" s="96" t="s">
        <v>429</v>
      </c>
      <c r="D186" s="101">
        <v>0</v>
      </c>
      <c r="E186" s="12">
        <v>0</v>
      </c>
      <c r="F186" s="97">
        <v>5650</v>
      </c>
      <c r="I186"/>
      <c r="J186" s="2"/>
      <c r="K186" s="5"/>
      <c r="L186" s="5"/>
      <c r="M186" s="5"/>
      <c r="N186" s="5"/>
      <c r="O186"/>
      <c r="R186"/>
    </row>
    <row r="187" spans="1:18" s="7" customFormat="1" x14ac:dyDescent="0.2">
      <c r="I187"/>
      <c r="J187" s="2"/>
      <c r="K187" s="5"/>
      <c r="L187" s="5"/>
      <c r="M187" s="5"/>
      <c r="N187" s="5"/>
      <c r="O187"/>
      <c r="R187"/>
    </row>
    <row r="188" spans="1:18" s="7" customFormat="1" x14ac:dyDescent="0.2">
      <c r="B188" s="119" t="s">
        <v>411</v>
      </c>
      <c r="C188" s="120"/>
      <c r="D188" s="121"/>
      <c r="I188"/>
      <c r="J188" s="2"/>
      <c r="K188" s="5"/>
      <c r="L188" s="5"/>
      <c r="M188" s="5"/>
      <c r="N188" s="5"/>
      <c r="O188"/>
      <c r="R188"/>
    </row>
    <row r="189" spans="1:18" s="7" customFormat="1" ht="25.5" x14ac:dyDescent="0.2">
      <c r="B189" s="111" t="s">
        <v>412</v>
      </c>
      <c r="C189" s="111"/>
      <c r="D189" s="67" t="s">
        <v>195</v>
      </c>
      <c r="I189"/>
      <c r="J189" s="2"/>
      <c r="K189" s="5"/>
      <c r="L189" s="5"/>
      <c r="M189" s="5"/>
      <c r="N189" s="5"/>
      <c r="O189"/>
      <c r="R189"/>
    </row>
    <row r="190" spans="1:18" s="7" customFormat="1" x14ac:dyDescent="0.2">
      <c r="B190" s="107" t="s">
        <v>413</v>
      </c>
      <c r="C190" s="107"/>
      <c r="D190" s="68"/>
      <c r="I190"/>
      <c r="J190" s="2"/>
      <c r="K190" s="5"/>
      <c r="L190" s="5"/>
      <c r="M190" s="5"/>
      <c r="N190" s="5"/>
      <c r="O190"/>
      <c r="R190"/>
    </row>
    <row r="191" spans="1:18" s="7" customFormat="1" x14ac:dyDescent="0.2">
      <c r="B191" s="107"/>
      <c r="C191" s="107"/>
      <c r="D191" s="69"/>
      <c r="I191"/>
      <c r="J191" s="2"/>
      <c r="K191" s="5"/>
      <c r="L191" s="5"/>
      <c r="M191" s="5"/>
      <c r="N191" s="5"/>
      <c r="O191"/>
      <c r="R191"/>
    </row>
    <row r="192" spans="1:18" s="7" customFormat="1" x14ac:dyDescent="0.2">
      <c r="B192" s="107" t="s">
        <v>414</v>
      </c>
      <c r="C192" s="107"/>
      <c r="D192" s="70">
        <v>7.0325765992239351</v>
      </c>
      <c r="I192"/>
      <c r="J192" s="2"/>
      <c r="K192" s="5"/>
      <c r="L192" s="5"/>
      <c r="M192" s="5"/>
      <c r="N192" s="5"/>
      <c r="O192"/>
      <c r="R192"/>
    </row>
    <row r="193" spans="2:18" s="7" customFormat="1" x14ac:dyDescent="0.2">
      <c r="B193" s="107"/>
      <c r="C193" s="107"/>
      <c r="D193" s="69"/>
      <c r="I193"/>
      <c r="J193" s="2"/>
      <c r="K193" s="5"/>
      <c r="L193" s="5"/>
      <c r="M193" s="5"/>
      <c r="N193" s="5"/>
      <c r="O193"/>
      <c r="R193"/>
    </row>
    <row r="194" spans="2:18" s="7" customFormat="1" x14ac:dyDescent="0.2">
      <c r="B194" s="107" t="s">
        <v>415</v>
      </c>
      <c r="C194" s="107"/>
      <c r="D194" s="70">
        <v>0.11942268127526925</v>
      </c>
      <c r="I194"/>
      <c r="J194" s="2"/>
      <c r="K194" s="5"/>
      <c r="L194" s="5"/>
      <c r="M194" s="5"/>
      <c r="N194" s="5"/>
      <c r="O194"/>
      <c r="R194"/>
    </row>
    <row r="195" spans="2:18" s="7" customFormat="1" x14ac:dyDescent="0.2">
      <c r="B195" s="107" t="s">
        <v>416</v>
      </c>
      <c r="C195" s="107"/>
      <c r="D195" s="70">
        <v>0.1194987043632907</v>
      </c>
      <c r="I195"/>
      <c r="J195" s="2"/>
      <c r="K195" s="5"/>
      <c r="L195" s="5"/>
      <c r="M195" s="5"/>
      <c r="N195" s="5"/>
      <c r="O195"/>
      <c r="R195"/>
    </row>
    <row r="196" spans="2:18" s="7" customFormat="1" x14ac:dyDescent="0.2">
      <c r="B196" s="107"/>
      <c r="C196" s="107"/>
      <c r="D196" s="69"/>
      <c r="I196"/>
      <c r="J196" s="2"/>
      <c r="K196" s="5"/>
      <c r="L196" s="5"/>
      <c r="M196" s="5"/>
      <c r="N196" s="5"/>
      <c r="O196"/>
      <c r="P196"/>
      <c r="Q196"/>
      <c r="R196"/>
    </row>
    <row r="197" spans="2:18" s="7" customFormat="1" x14ac:dyDescent="0.2">
      <c r="B197" s="107" t="s">
        <v>417</v>
      </c>
      <c r="C197" s="107"/>
      <c r="D197" s="71" t="s">
        <v>454</v>
      </c>
      <c r="I197"/>
      <c r="J197" s="2"/>
      <c r="K197" s="5"/>
      <c r="L197" s="5"/>
      <c r="M197" s="5"/>
      <c r="N197" s="5"/>
      <c r="O197"/>
      <c r="P197"/>
      <c r="Q197"/>
      <c r="R197"/>
    </row>
    <row r="198" spans="2:18" s="7" customFormat="1" x14ac:dyDescent="0.2">
      <c r="B198" s="105" t="s">
        <v>418</v>
      </c>
      <c r="C198" s="108"/>
      <c r="D198" s="106"/>
      <c r="I198"/>
      <c r="J198" s="2"/>
      <c r="K198" s="5"/>
      <c r="L198" s="5"/>
      <c r="M198" s="5"/>
      <c r="N198" s="5"/>
      <c r="O198"/>
      <c r="P198"/>
      <c r="Q198"/>
      <c r="R198"/>
    </row>
  </sheetData>
  <mergeCells count="27">
    <mergeCell ref="B145:H145"/>
    <mergeCell ref="B179:C179"/>
    <mergeCell ref="B180:C180"/>
    <mergeCell ref="B181:C181"/>
    <mergeCell ref="B148:D148"/>
    <mergeCell ref="B149:C149"/>
    <mergeCell ref="B150:C150"/>
    <mergeCell ref="B151:C151"/>
    <mergeCell ref="B169:C169"/>
    <mergeCell ref="B178:C178"/>
    <mergeCell ref="B146:H146"/>
    <mergeCell ref="A1:H1"/>
    <mergeCell ref="A2:H2"/>
    <mergeCell ref="A3:H3"/>
    <mergeCell ref="B143:H143"/>
    <mergeCell ref="B144:H144"/>
    <mergeCell ref="B188:D188"/>
    <mergeCell ref="B189:C189"/>
    <mergeCell ref="B190:C190"/>
    <mergeCell ref="B191:C191"/>
    <mergeCell ref="B192:C192"/>
    <mergeCell ref="B198:D198"/>
    <mergeCell ref="B193:C193"/>
    <mergeCell ref="B194:C194"/>
    <mergeCell ref="B195:C195"/>
    <mergeCell ref="B196:C196"/>
    <mergeCell ref="B197:C197"/>
  </mergeCells>
  <hyperlinks>
    <hyperlink ref="I1" location="Index!B6" display="Index" xr:uid="{3DE5C05B-835F-4C49-B03C-2417245527A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4C70-AB34-46E3-993D-4727CDF51111}">
  <sheetPr>
    <outlinePr summaryBelow="0" summaryRight="0"/>
  </sheetPr>
  <dimension ref="A1:S160"/>
  <sheetViews>
    <sheetView showGridLines="0" workbookViewId="0">
      <selection activeCell="A50" sqref="A1:H1048576"/>
    </sheetView>
  </sheetViews>
  <sheetFormatPr defaultColWidth="7" defaultRowHeight="12.75" x14ac:dyDescent="0.2"/>
  <cols>
    <col min="1" max="1" width="5.85546875" bestFit="1" customWidth="1"/>
    <col min="2" max="2" width="18.42578125" bestFit="1" customWidth="1"/>
    <col min="3" max="3" width="39.140625" bestFit="1" customWidth="1"/>
    <col min="4" max="4" width="10.7109375" bestFit="1" customWidth="1"/>
    <col min="5" max="5" width="8.42578125" bestFit="1" customWidth="1"/>
    <col min="6" max="6" width="10.140625" bestFit="1" customWidth="1"/>
    <col min="7" max="7" width="8.5703125" bestFit="1" customWidth="1"/>
    <col min="8" max="8" width="5.42578125" bestFit="1" customWidth="1"/>
    <col min="9" max="9" width="6" bestFit="1" customWidth="1"/>
    <col min="10" max="10" width="50.7109375" style="2" customWidth="1"/>
  </cols>
  <sheetData>
    <row r="1" spans="1:10" ht="15" x14ac:dyDescent="0.2">
      <c r="A1" s="109" t="s">
        <v>0</v>
      </c>
      <c r="B1" s="109"/>
      <c r="C1" s="109"/>
      <c r="D1" s="109"/>
      <c r="E1" s="109"/>
      <c r="F1" s="109"/>
      <c r="G1" s="109"/>
      <c r="H1" s="109"/>
      <c r="I1" s="1" t="s">
        <v>459</v>
      </c>
    </row>
    <row r="2" spans="1:10" ht="15" x14ac:dyDescent="0.2">
      <c r="A2" s="109" t="s">
        <v>298</v>
      </c>
      <c r="B2" s="109"/>
      <c r="C2" s="109"/>
      <c r="D2" s="109"/>
      <c r="E2" s="109"/>
      <c r="F2" s="109"/>
      <c r="G2" s="109"/>
      <c r="H2" s="109"/>
      <c r="J2" s="3" t="s">
        <v>460</v>
      </c>
    </row>
    <row r="3" spans="1:10" ht="15" x14ac:dyDescent="0.2">
      <c r="A3" s="109" t="s">
        <v>494</v>
      </c>
      <c r="B3" s="109"/>
      <c r="C3" s="109"/>
      <c r="D3" s="109"/>
      <c r="E3" s="109"/>
      <c r="F3" s="109"/>
      <c r="G3" s="109"/>
      <c r="H3" s="109"/>
    </row>
    <row r="4" spans="1:10" s="4" customFormat="1" ht="30" x14ac:dyDescent="0.2">
      <c r="A4" s="26" t="s">
        <v>2</v>
      </c>
      <c r="B4" s="26" t="s">
        <v>3</v>
      </c>
      <c r="C4" s="26" t="s">
        <v>4</v>
      </c>
      <c r="D4" s="26" t="s">
        <v>5</v>
      </c>
      <c r="E4" s="26" t="s">
        <v>6</v>
      </c>
      <c r="F4" s="26" t="s">
        <v>7</v>
      </c>
      <c r="G4" s="26" t="s">
        <v>8</v>
      </c>
      <c r="H4" s="27" t="s">
        <v>404</v>
      </c>
      <c r="J4" s="2"/>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8"/>
    </row>
    <row r="13" spans="1:10" x14ac:dyDescent="0.2">
      <c r="A13" s="28"/>
      <c r="B13" s="28"/>
      <c r="C13" s="29" t="s">
        <v>11</v>
      </c>
      <c r="D13" s="28"/>
      <c r="E13" s="28" t="s">
        <v>12</v>
      </c>
      <c r="F13" s="31" t="s">
        <v>13</v>
      </c>
      <c r="G13" s="32">
        <v>0</v>
      </c>
      <c r="H13" s="30" t="s">
        <v>12</v>
      </c>
      <c r="J13" s="17"/>
    </row>
    <row r="14" spans="1:10" ht="25.5" x14ac:dyDescent="0.2">
      <c r="A14" s="28"/>
      <c r="B14" s="28"/>
      <c r="C14" s="33"/>
      <c r="D14" s="28"/>
      <c r="E14" s="28"/>
      <c r="F14" s="34"/>
      <c r="G14" s="34"/>
      <c r="H14" s="30" t="s">
        <v>12</v>
      </c>
      <c r="J14" s="17" t="s">
        <v>470</v>
      </c>
    </row>
    <row r="15" spans="1:10" x14ac:dyDescent="0.2">
      <c r="A15" s="28"/>
      <c r="B15" s="28"/>
      <c r="C15" s="29" t="s">
        <v>16</v>
      </c>
      <c r="D15" s="28"/>
      <c r="E15" s="28"/>
      <c r="F15" s="28"/>
      <c r="G15" s="28"/>
      <c r="H15" s="30" t="s">
        <v>12</v>
      </c>
      <c r="J15" s="17"/>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8"/>
    </row>
    <row r="23" spans="1:10" x14ac:dyDescent="0.2">
      <c r="A23" s="28"/>
      <c r="B23" s="28"/>
      <c r="C23" s="33"/>
      <c r="D23" s="28"/>
      <c r="E23" s="28"/>
      <c r="F23" s="34"/>
      <c r="G23" s="34"/>
      <c r="H23" s="30" t="s">
        <v>12</v>
      </c>
      <c r="J23" s="17"/>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ht="25.5" x14ac:dyDescent="0.2">
      <c r="A27" s="28"/>
      <c r="B27" s="28"/>
      <c r="C27" s="29" t="s">
        <v>10</v>
      </c>
      <c r="D27" s="28"/>
      <c r="E27" s="28"/>
      <c r="F27" s="34"/>
      <c r="G27" s="34"/>
      <c r="H27" s="30" t="s">
        <v>12</v>
      </c>
      <c r="J27" s="17" t="s">
        <v>471</v>
      </c>
    </row>
    <row r="28" spans="1:10" x14ac:dyDescent="0.2">
      <c r="A28" s="36">
        <v>1</v>
      </c>
      <c r="B28" s="37" t="s">
        <v>299</v>
      </c>
      <c r="C28" s="98" t="s">
        <v>577</v>
      </c>
      <c r="D28" s="37" t="s">
        <v>22</v>
      </c>
      <c r="E28" s="38">
        <v>1000</v>
      </c>
      <c r="F28" s="39">
        <v>1012.005</v>
      </c>
      <c r="G28" s="40">
        <v>5.1766590000000001E-2</v>
      </c>
      <c r="H28" s="30">
        <v>7.4882999999999997</v>
      </c>
      <c r="J28" s="17"/>
    </row>
    <row r="29" spans="1:10" ht="25.5" x14ac:dyDescent="0.2">
      <c r="A29" s="36">
        <v>2</v>
      </c>
      <c r="B29" s="37" t="s">
        <v>300</v>
      </c>
      <c r="C29" s="98" t="s">
        <v>578</v>
      </c>
      <c r="D29" s="37" t="s">
        <v>22</v>
      </c>
      <c r="E29" s="38">
        <v>1000</v>
      </c>
      <c r="F29" s="39">
        <v>1005.186</v>
      </c>
      <c r="G29" s="40">
        <v>5.1417780000000003E-2</v>
      </c>
      <c r="H29" s="30">
        <v>7.59</v>
      </c>
    </row>
    <row r="30" spans="1:10" ht="25.5" x14ac:dyDescent="0.2">
      <c r="A30" s="36">
        <v>3</v>
      </c>
      <c r="B30" s="37" t="s">
        <v>29</v>
      </c>
      <c r="C30" s="98" t="s">
        <v>505</v>
      </c>
      <c r="D30" s="37" t="s">
        <v>22</v>
      </c>
      <c r="E30" s="38">
        <v>1000</v>
      </c>
      <c r="F30" s="39">
        <v>999.976</v>
      </c>
      <c r="G30" s="40">
        <v>5.115128E-2</v>
      </c>
      <c r="H30" s="30">
        <v>7.61</v>
      </c>
    </row>
    <row r="31" spans="1:10" ht="25.5" x14ac:dyDescent="0.2">
      <c r="A31" s="36">
        <v>4</v>
      </c>
      <c r="B31" s="37" t="s">
        <v>109</v>
      </c>
      <c r="C31" s="98" t="s">
        <v>521</v>
      </c>
      <c r="D31" s="37" t="s">
        <v>28</v>
      </c>
      <c r="E31" s="38">
        <v>100</v>
      </c>
      <c r="F31" s="39">
        <v>996.45500000000004</v>
      </c>
      <c r="G31" s="40">
        <v>5.0971170000000003E-2</v>
      </c>
      <c r="H31" s="30">
        <v>7.71</v>
      </c>
    </row>
    <row r="32" spans="1:10" x14ac:dyDescent="0.2">
      <c r="A32" s="36">
        <v>5</v>
      </c>
      <c r="B32" s="37" t="s">
        <v>165</v>
      </c>
      <c r="C32" s="98" t="s">
        <v>529</v>
      </c>
      <c r="D32" s="37" t="s">
        <v>166</v>
      </c>
      <c r="E32" s="38">
        <v>700</v>
      </c>
      <c r="F32" s="39">
        <v>701.67160000000001</v>
      </c>
      <c r="G32" s="40">
        <v>3.5892260000000002E-2</v>
      </c>
      <c r="H32" s="30">
        <v>8.64</v>
      </c>
    </row>
    <row r="33" spans="1:8" x14ac:dyDescent="0.2">
      <c r="A33" s="36">
        <v>6</v>
      </c>
      <c r="B33" s="37" t="s">
        <v>43</v>
      </c>
      <c r="C33" s="37" t="s">
        <v>44</v>
      </c>
      <c r="D33" s="37" t="s">
        <v>22</v>
      </c>
      <c r="E33" s="38">
        <v>50</v>
      </c>
      <c r="F33" s="39">
        <v>501.12150000000003</v>
      </c>
      <c r="G33" s="40">
        <v>2.5633619999999999E-2</v>
      </c>
      <c r="H33" s="30">
        <v>7.85</v>
      </c>
    </row>
    <row r="34" spans="1:8" x14ac:dyDescent="0.2">
      <c r="A34" s="36">
        <v>7</v>
      </c>
      <c r="B34" s="37" t="s">
        <v>100</v>
      </c>
      <c r="C34" s="98" t="s">
        <v>514</v>
      </c>
      <c r="D34" s="37" t="s">
        <v>22</v>
      </c>
      <c r="E34" s="38">
        <v>500</v>
      </c>
      <c r="F34" s="39">
        <v>500.87400000000002</v>
      </c>
      <c r="G34" s="40">
        <v>2.5620960000000002E-2</v>
      </c>
      <c r="H34" s="30">
        <v>7.52</v>
      </c>
    </row>
    <row r="35" spans="1:8" x14ac:dyDescent="0.2">
      <c r="A35" s="36">
        <v>8</v>
      </c>
      <c r="B35" s="37" t="s">
        <v>163</v>
      </c>
      <c r="C35" s="98" t="s">
        <v>528</v>
      </c>
      <c r="D35" s="37" t="s">
        <v>164</v>
      </c>
      <c r="E35" s="38">
        <v>500</v>
      </c>
      <c r="F35" s="39">
        <v>500.09050000000002</v>
      </c>
      <c r="G35" s="40">
        <v>2.558088E-2</v>
      </c>
      <c r="H35" s="30">
        <v>7.6550000000000002</v>
      </c>
    </row>
    <row r="36" spans="1:8" ht="25.5" x14ac:dyDescent="0.2">
      <c r="A36" s="36">
        <v>9</v>
      </c>
      <c r="B36" s="37" t="s">
        <v>45</v>
      </c>
      <c r="C36" s="98" t="s">
        <v>511</v>
      </c>
      <c r="D36" s="37" t="s">
        <v>22</v>
      </c>
      <c r="E36" s="38">
        <v>500</v>
      </c>
      <c r="F36" s="39">
        <v>499.322</v>
      </c>
      <c r="G36" s="40">
        <v>2.554157E-2</v>
      </c>
      <c r="H36" s="30">
        <v>8.17</v>
      </c>
    </row>
    <row r="37" spans="1:8" x14ac:dyDescent="0.2">
      <c r="A37" s="36">
        <v>10</v>
      </c>
      <c r="B37" s="37" t="s">
        <v>301</v>
      </c>
      <c r="C37" s="98" t="s">
        <v>579</v>
      </c>
      <c r="D37" s="37" t="s">
        <v>22</v>
      </c>
      <c r="E37" s="38">
        <v>500</v>
      </c>
      <c r="F37" s="39">
        <v>498.71249999999998</v>
      </c>
      <c r="G37" s="40">
        <v>2.5510390000000001E-2</v>
      </c>
      <c r="H37" s="30">
        <v>7.6449999999999996</v>
      </c>
    </row>
    <row r="38" spans="1:8" ht="25.5" x14ac:dyDescent="0.2">
      <c r="A38" s="36">
        <v>11</v>
      </c>
      <c r="B38" s="37" t="s">
        <v>34</v>
      </c>
      <c r="C38" s="98" t="s">
        <v>500</v>
      </c>
      <c r="D38" s="37" t="s">
        <v>22</v>
      </c>
      <c r="E38" s="38">
        <v>50</v>
      </c>
      <c r="F38" s="39">
        <v>495.28899999999999</v>
      </c>
      <c r="G38" s="40">
        <v>2.533527E-2</v>
      </c>
      <c r="H38" s="30">
        <v>7.6550000000000002</v>
      </c>
    </row>
    <row r="39" spans="1:8" x14ac:dyDescent="0.2">
      <c r="A39" s="36">
        <v>12</v>
      </c>
      <c r="B39" s="37" t="s">
        <v>302</v>
      </c>
      <c r="C39" s="98" t="s">
        <v>580</v>
      </c>
      <c r="D39" s="37" t="s">
        <v>22</v>
      </c>
      <c r="E39" s="38">
        <v>50</v>
      </c>
      <c r="F39" s="39">
        <v>483.71850000000001</v>
      </c>
      <c r="G39" s="40">
        <v>2.474341E-2</v>
      </c>
      <c r="H39" s="30">
        <v>7.8724999999999996</v>
      </c>
    </row>
    <row r="40" spans="1:8" x14ac:dyDescent="0.2">
      <c r="A40" s="28"/>
      <c r="B40" s="28"/>
      <c r="C40" s="29" t="s">
        <v>11</v>
      </c>
      <c r="D40" s="28"/>
      <c r="E40" s="28" t="s">
        <v>12</v>
      </c>
      <c r="F40" s="35">
        <v>8194.4215999999997</v>
      </c>
      <c r="G40" s="32">
        <v>0.41916518000000003</v>
      </c>
      <c r="H40" s="30" t="s">
        <v>12</v>
      </c>
    </row>
    <row r="41" spans="1:8" x14ac:dyDescent="0.2">
      <c r="A41" s="28"/>
      <c r="B41" s="28"/>
      <c r="C41" s="33"/>
      <c r="D41" s="28"/>
      <c r="E41" s="28"/>
      <c r="F41" s="34"/>
      <c r="G41" s="34"/>
      <c r="H41" s="30" t="s">
        <v>12</v>
      </c>
    </row>
    <row r="42" spans="1:8" x14ac:dyDescent="0.2">
      <c r="A42" s="28"/>
      <c r="B42" s="28"/>
      <c r="C42" s="29" t="s">
        <v>46</v>
      </c>
      <c r="D42" s="28"/>
      <c r="E42" s="28"/>
      <c r="F42" s="28"/>
      <c r="G42" s="28"/>
      <c r="H42" s="30" t="s">
        <v>12</v>
      </c>
    </row>
    <row r="43" spans="1:8" x14ac:dyDescent="0.2">
      <c r="A43" s="28"/>
      <c r="B43" s="28"/>
      <c r="C43" s="29" t="s">
        <v>11</v>
      </c>
      <c r="D43" s="28"/>
      <c r="E43" s="28" t="s">
        <v>12</v>
      </c>
      <c r="F43" s="31" t="s">
        <v>13</v>
      </c>
      <c r="G43" s="32">
        <v>0</v>
      </c>
      <c r="H43" s="30" t="s">
        <v>12</v>
      </c>
    </row>
    <row r="44" spans="1:8" x14ac:dyDescent="0.2">
      <c r="A44" s="28"/>
      <c r="B44" s="28"/>
      <c r="C44" s="33"/>
      <c r="D44" s="28"/>
      <c r="E44" s="28"/>
      <c r="F44" s="34"/>
      <c r="G44" s="34"/>
      <c r="H44" s="30" t="s">
        <v>12</v>
      </c>
    </row>
    <row r="45" spans="1:8" x14ac:dyDescent="0.2">
      <c r="A45" s="28"/>
      <c r="B45" s="28"/>
      <c r="C45" s="29" t="s">
        <v>47</v>
      </c>
      <c r="D45" s="28"/>
      <c r="E45" s="28"/>
      <c r="F45" s="28"/>
      <c r="G45" s="28"/>
      <c r="H45" s="30" t="s">
        <v>12</v>
      </c>
    </row>
    <row r="46" spans="1:8" x14ac:dyDescent="0.2">
      <c r="A46" s="36">
        <v>1</v>
      </c>
      <c r="B46" s="37" t="s">
        <v>48</v>
      </c>
      <c r="C46" s="37" t="s">
        <v>49</v>
      </c>
      <c r="D46" s="37" t="s">
        <v>50</v>
      </c>
      <c r="E46" s="38">
        <v>3000000</v>
      </c>
      <c r="F46" s="39">
        <v>3030.9</v>
      </c>
      <c r="G46" s="40">
        <v>0.15503813</v>
      </c>
      <c r="H46" s="30">
        <v>7.1467000000000001</v>
      </c>
    </row>
    <row r="47" spans="1:8" ht="25.5" x14ac:dyDescent="0.2">
      <c r="A47" s="36">
        <v>2</v>
      </c>
      <c r="B47" s="37" t="s">
        <v>53</v>
      </c>
      <c r="C47" s="37" t="s">
        <v>54</v>
      </c>
      <c r="D47" s="37" t="s">
        <v>50</v>
      </c>
      <c r="E47" s="38">
        <v>1500000</v>
      </c>
      <c r="F47" s="39">
        <v>1505.7</v>
      </c>
      <c r="G47" s="40">
        <v>7.7020329999999998E-2</v>
      </c>
      <c r="H47" s="30">
        <v>7.0583999999999998</v>
      </c>
    </row>
    <row r="48" spans="1:8" ht="25.5" x14ac:dyDescent="0.2">
      <c r="A48" s="36">
        <v>3</v>
      </c>
      <c r="B48" s="37" t="s">
        <v>177</v>
      </c>
      <c r="C48" s="37" t="s">
        <v>178</v>
      </c>
      <c r="D48" s="37" t="s">
        <v>50</v>
      </c>
      <c r="E48" s="38">
        <v>1000000</v>
      </c>
      <c r="F48" s="39">
        <v>1011.9930000000001</v>
      </c>
      <c r="G48" s="40">
        <v>5.1765980000000003E-2</v>
      </c>
      <c r="H48" s="30">
        <v>7.0370999999999997</v>
      </c>
    </row>
    <row r="49" spans="1:8" ht="25.5" x14ac:dyDescent="0.2">
      <c r="A49" s="36">
        <v>4</v>
      </c>
      <c r="B49" s="37" t="s">
        <v>303</v>
      </c>
      <c r="C49" s="37" t="s">
        <v>304</v>
      </c>
      <c r="D49" s="37" t="s">
        <v>50</v>
      </c>
      <c r="E49" s="38">
        <v>500000</v>
      </c>
      <c r="F49" s="39">
        <v>503.971</v>
      </c>
      <c r="G49" s="40">
        <v>2.5779380000000001E-2</v>
      </c>
      <c r="H49" s="30">
        <v>7.4558999999999997</v>
      </c>
    </row>
    <row r="50" spans="1:8" ht="25.5" x14ac:dyDescent="0.2">
      <c r="A50" s="36">
        <v>5</v>
      </c>
      <c r="B50" s="37" t="s">
        <v>305</v>
      </c>
      <c r="C50" s="37" t="s">
        <v>449</v>
      </c>
      <c r="D50" s="37" t="s">
        <v>50</v>
      </c>
      <c r="E50" s="38">
        <v>500000</v>
      </c>
      <c r="F50" s="39">
        <v>501.52499999999998</v>
      </c>
      <c r="G50" s="40">
        <v>2.5654260000000002E-2</v>
      </c>
      <c r="H50" s="30">
        <v>7.5322707064268215</v>
      </c>
    </row>
    <row r="51" spans="1:8" x14ac:dyDescent="0.2">
      <c r="A51" s="28"/>
      <c r="B51" s="28"/>
      <c r="C51" s="29" t="s">
        <v>11</v>
      </c>
      <c r="D51" s="28"/>
      <c r="E51" s="28" t="s">
        <v>12</v>
      </c>
      <c r="F51" s="35">
        <v>6554.0889999999999</v>
      </c>
      <c r="G51" s="32">
        <v>0.33525808000000001</v>
      </c>
      <c r="H51" s="30" t="s">
        <v>12</v>
      </c>
    </row>
    <row r="52" spans="1:8" x14ac:dyDescent="0.2">
      <c r="A52" s="28"/>
      <c r="B52" s="28"/>
      <c r="C52" s="33"/>
      <c r="D52" s="28"/>
      <c r="E52" s="28"/>
      <c r="F52" s="34"/>
      <c r="G52" s="34"/>
      <c r="H52" s="30" t="s">
        <v>12</v>
      </c>
    </row>
    <row r="53" spans="1:8" x14ac:dyDescent="0.2">
      <c r="A53" s="28"/>
      <c r="B53" s="28"/>
      <c r="C53" s="29" t="s">
        <v>57</v>
      </c>
      <c r="D53" s="28"/>
      <c r="E53" s="28"/>
      <c r="F53" s="34"/>
      <c r="G53" s="34"/>
      <c r="H53" s="30" t="s">
        <v>12</v>
      </c>
    </row>
    <row r="54" spans="1:8" x14ac:dyDescent="0.2">
      <c r="A54" s="28"/>
      <c r="B54" s="28"/>
      <c r="C54" s="29" t="s">
        <v>11</v>
      </c>
      <c r="D54" s="28"/>
      <c r="E54" s="28" t="s">
        <v>12</v>
      </c>
      <c r="F54" s="31" t="s">
        <v>13</v>
      </c>
      <c r="G54" s="32">
        <v>0</v>
      </c>
      <c r="H54" s="30" t="s">
        <v>12</v>
      </c>
    </row>
    <row r="55" spans="1:8" x14ac:dyDescent="0.2">
      <c r="A55" s="28"/>
      <c r="B55" s="28"/>
      <c r="C55" s="33"/>
      <c r="D55" s="28"/>
      <c r="E55" s="28"/>
      <c r="F55" s="34"/>
      <c r="G55" s="34"/>
      <c r="H55" s="30" t="s">
        <v>12</v>
      </c>
    </row>
    <row r="56" spans="1:8" x14ac:dyDescent="0.2">
      <c r="A56" s="28"/>
      <c r="B56" s="28"/>
      <c r="C56" s="29" t="s">
        <v>58</v>
      </c>
      <c r="D56" s="28"/>
      <c r="E56" s="28"/>
      <c r="F56" s="35">
        <v>14748.5106</v>
      </c>
      <c r="G56" s="32">
        <v>0.75442326000000004</v>
      </c>
      <c r="H56" s="30" t="s">
        <v>12</v>
      </c>
    </row>
    <row r="57" spans="1:8" x14ac:dyDescent="0.2">
      <c r="A57" s="28"/>
      <c r="B57" s="28"/>
      <c r="C57" s="33"/>
      <c r="D57" s="28"/>
      <c r="E57" s="28"/>
      <c r="F57" s="34"/>
      <c r="G57" s="34"/>
      <c r="H57" s="30" t="s">
        <v>12</v>
      </c>
    </row>
    <row r="58" spans="1:8" x14ac:dyDescent="0.2">
      <c r="A58" s="28"/>
      <c r="B58" s="28"/>
      <c r="C58" s="29" t="s">
        <v>59</v>
      </c>
      <c r="D58" s="28"/>
      <c r="E58" s="28"/>
      <c r="F58" s="34"/>
      <c r="G58" s="34"/>
      <c r="H58" s="30" t="s">
        <v>12</v>
      </c>
    </row>
    <row r="59" spans="1:8" x14ac:dyDescent="0.2">
      <c r="A59" s="28"/>
      <c r="B59" s="28"/>
      <c r="C59" s="29" t="s">
        <v>60</v>
      </c>
      <c r="D59" s="28"/>
      <c r="E59" s="28"/>
      <c r="F59" s="34"/>
      <c r="G59" s="34"/>
      <c r="H59" s="30" t="s">
        <v>12</v>
      </c>
    </row>
    <row r="60" spans="1:8" ht="25.5" x14ac:dyDescent="0.2">
      <c r="A60" s="36">
        <v>1</v>
      </c>
      <c r="B60" s="37" t="s">
        <v>191</v>
      </c>
      <c r="C60" s="37" t="s">
        <v>192</v>
      </c>
      <c r="D60" s="37" t="s">
        <v>114</v>
      </c>
      <c r="E60" s="38">
        <v>100</v>
      </c>
      <c r="F60" s="39">
        <v>482.42599999999999</v>
      </c>
      <c r="G60" s="40">
        <v>2.4677299999999999E-2</v>
      </c>
      <c r="H60" s="30">
        <v>7.47</v>
      </c>
    </row>
    <row r="61" spans="1:8" x14ac:dyDescent="0.2">
      <c r="A61" s="36">
        <v>2</v>
      </c>
      <c r="B61" s="37" t="s">
        <v>147</v>
      </c>
      <c r="C61" s="37" t="s">
        <v>148</v>
      </c>
      <c r="D61" s="37" t="s">
        <v>149</v>
      </c>
      <c r="E61" s="38">
        <v>100</v>
      </c>
      <c r="F61" s="39">
        <v>480.63499999999999</v>
      </c>
      <c r="G61" s="40">
        <v>2.4585679999999999E-2</v>
      </c>
      <c r="H61" s="30">
        <v>7.39</v>
      </c>
    </row>
    <row r="62" spans="1:8" x14ac:dyDescent="0.2">
      <c r="A62" s="36">
        <v>3</v>
      </c>
      <c r="B62" s="37" t="s">
        <v>152</v>
      </c>
      <c r="C62" s="37" t="s">
        <v>153</v>
      </c>
      <c r="D62" s="37" t="s">
        <v>149</v>
      </c>
      <c r="E62" s="38">
        <v>100</v>
      </c>
      <c r="F62" s="39">
        <v>478.02350000000001</v>
      </c>
      <c r="G62" s="40">
        <v>2.4452100000000001E-2</v>
      </c>
      <c r="H62" s="30">
        <v>7.4249999999999998</v>
      </c>
    </row>
    <row r="63" spans="1:8" x14ac:dyDescent="0.2">
      <c r="A63" s="28"/>
      <c r="B63" s="28"/>
      <c r="C63" s="29" t="s">
        <v>11</v>
      </c>
      <c r="D63" s="28"/>
      <c r="E63" s="28" t="s">
        <v>12</v>
      </c>
      <c r="F63" s="35">
        <v>1441.0844999999999</v>
      </c>
      <c r="G63" s="32">
        <v>7.3715080000000002E-2</v>
      </c>
      <c r="H63" s="30" t="s">
        <v>12</v>
      </c>
    </row>
    <row r="64" spans="1:8" x14ac:dyDescent="0.2">
      <c r="A64" s="28"/>
      <c r="B64" s="28"/>
      <c r="C64" s="33"/>
      <c r="D64" s="28"/>
      <c r="E64" s="28"/>
      <c r="F64" s="34"/>
      <c r="G64" s="34"/>
      <c r="H64" s="30" t="s">
        <v>12</v>
      </c>
    </row>
    <row r="65" spans="1:8" x14ac:dyDescent="0.2">
      <c r="A65" s="28"/>
      <c r="B65" s="28"/>
      <c r="C65" s="29" t="s">
        <v>61</v>
      </c>
      <c r="D65" s="28"/>
      <c r="E65" s="28"/>
      <c r="F65" s="34"/>
      <c r="G65" s="34"/>
      <c r="H65" s="30" t="s">
        <v>12</v>
      </c>
    </row>
    <row r="66" spans="1:8" x14ac:dyDescent="0.2">
      <c r="A66" s="28"/>
      <c r="B66" s="28"/>
      <c r="C66" s="29" t="s">
        <v>11</v>
      </c>
      <c r="D66" s="28"/>
      <c r="E66" s="28" t="s">
        <v>12</v>
      </c>
      <c r="F66" s="31" t="s">
        <v>13</v>
      </c>
      <c r="G66" s="32">
        <v>0</v>
      </c>
      <c r="H66" s="30" t="s">
        <v>12</v>
      </c>
    </row>
    <row r="67" spans="1:8" x14ac:dyDescent="0.2">
      <c r="A67" s="28"/>
      <c r="B67" s="28"/>
      <c r="C67" s="33"/>
      <c r="D67" s="28"/>
      <c r="E67" s="28"/>
      <c r="F67" s="34"/>
      <c r="G67" s="34"/>
      <c r="H67" s="30" t="s">
        <v>12</v>
      </c>
    </row>
    <row r="68" spans="1:8" x14ac:dyDescent="0.2">
      <c r="A68" s="28"/>
      <c r="B68" s="28"/>
      <c r="C68" s="29" t="s">
        <v>62</v>
      </c>
      <c r="D68" s="28"/>
      <c r="E68" s="28"/>
      <c r="F68" s="34"/>
      <c r="G68" s="34"/>
      <c r="H68" s="30" t="s">
        <v>12</v>
      </c>
    </row>
    <row r="69" spans="1:8" x14ac:dyDescent="0.2">
      <c r="A69" s="28"/>
      <c r="B69" s="28"/>
      <c r="C69" s="29" t="s">
        <v>11</v>
      </c>
      <c r="D69" s="28"/>
      <c r="E69" s="28" t="s">
        <v>12</v>
      </c>
      <c r="F69" s="31" t="s">
        <v>13</v>
      </c>
      <c r="G69" s="32">
        <v>0</v>
      </c>
      <c r="H69" s="30" t="s">
        <v>12</v>
      </c>
    </row>
    <row r="70" spans="1:8" x14ac:dyDescent="0.2">
      <c r="A70" s="28"/>
      <c r="B70" s="28"/>
      <c r="C70" s="33"/>
      <c r="D70" s="28"/>
      <c r="E70" s="28"/>
      <c r="F70" s="34"/>
      <c r="G70" s="34"/>
      <c r="H70" s="30" t="s">
        <v>12</v>
      </c>
    </row>
    <row r="71" spans="1:8" x14ac:dyDescent="0.2">
      <c r="A71" s="28"/>
      <c r="B71" s="28"/>
      <c r="C71" s="29" t="s">
        <v>63</v>
      </c>
      <c r="D71" s="28"/>
      <c r="E71" s="28"/>
      <c r="F71" s="34"/>
      <c r="G71" s="34"/>
      <c r="H71" s="30" t="s">
        <v>12</v>
      </c>
    </row>
    <row r="72" spans="1:8" x14ac:dyDescent="0.2">
      <c r="A72" s="36">
        <v>1</v>
      </c>
      <c r="B72" s="37"/>
      <c r="C72" s="37" t="s">
        <v>64</v>
      </c>
      <c r="D72" s="37"/>
      <c r="E72" s="41"/>
      <c r="F72" s="39">
        <v>2891.2753860060002</v>
      </c>
      <c r="G72" s="40">
        <v>0.14789598000000001</v>
      </c>
      <c r="H72" s="30">
        <v>6.35</v>
      </c>
    </row>
    <row r="73" spans="1:8" x14ac:dyDescent="0.2">
      <c r="A73" s="28"/>
      <c r="B73" s="28"/>
      <c r="C73" s="29" t="s">
        <v>11</v>
      </c>
      <c r="D73" s="28"/>
      <c r="E73" s="28" t="s">
        <v>12</v>
      </c>
      <c r="F73" s="35">
        <v>2891.2753860060002</v>
      </c>
      <c r="G73" s="32">
        <v>0.14789598000000001</v>
      </c>
      <c r="H73" s="30" t="s">
        <v>12</v>
      </c>
    </row>
    <row r="74" spans="1:8" x14ac:dyDescent="0.2">
      <c r="A74" s="28"/>
      <c r="B74" s="28"/>
      <c r="C74" s="33"/>
      <c r="D74" s="28"/>
      <c r="E74" s="28"/>
      <c r="F74" s="34"/>
      <c r="G74" s="34"/>
      <c r="H74" s="30" t="s">
        <v>12</v>
      </c>
    </row>
    <row r="75" spans="1:8" x14ac:dyDescent="0.2">
      <c r="A75" s="28"/>
      <c r="B75" s="28"/>
      <c r="C75" s="29" t="s">
        <v>65</v>
      </c>
      <c r="D75" s="28"/>
      <c r="E75" s="28"/>
      <c r="F75" s="35">
        <v>4332.3598860060001</v>
      </c>
      <c r="G75" s="32">
        <v>0.22161106</v>
      </c>
      <c r="H75" s="30" t="s">
        <v>12</v>
      </c>
    </row>
    <row r="76" spans="1:8" x14ac:dyDescent="0.2">
      <c r="A76" s="28"/>
      <c r="B76" s="28"/>
      <c r="C76" s="34"/>
      <c r="D76" s="28"/>
      <c r="E76" s="28"/>
      <c r="F76" s="28"/>
      <c r="G76" s="28"/>
      <c r="H76" s="30" t="s">
        <v>12</v>
      </c>
    </row>
    <row r="77" spans="1:8" x14ac:dyDescent="0.2">
      <c r="A77" s="28"/>
      <c r="B77" s="28"/>
      <c r="C77" s="29" t="s">
        <v>66</v>
      </c>
      <c r="D77" s="28"/>
      <c r="E77" s="28"/>
      <c r="F77" s="28"/>
      <c r="G77" s="28"/>
      <c r="H77" s="30" t="s">
        <v>12</v>
      </c>
    </row>
    <row r="78" spans="1:8" x14ac:dyDescent="0.2">
      <c r="A78" s="28"/>
      <c r="B78" s="28"/>
      <c r="C78" s="29" t="s">
        <v>67</v>
      </c>
      <c r="D78" s="28"/>
      <c r="E78" s="28"/>
      <c r="F78" s="28"/>
      <c r="G78" s="28"/>
      <c r="H78" s="30" t="s">
        <v>12</v>
      </c>
    </row>
    <row r="79" spans="1:8" x14ac:dyDescent="0.2">
      <c r="A79" s="28"/>
      <c r="B79" s="28"/>
      <c r="C79" s="29" t="s">
        <v>11</v>
      </c>
      <c r="D79" s="28"/>
      <c r="E79" s="28" t="s">
        <v>12</v>
      </c>
      <c r="F79" s="31" t="s">
        <v>13</v>
      </c>
      <c r="G79" s="32">
        <v>0</v>
      </c>
      <c r="H79" s="30" t="s">
        <v>12</v>
      </c>
    </row>
    <row r="80" spans="1:8" x14ac:dyDescent="0.2">
      <c r="A80" s="28"/>
      <c r="B80" s="28"/>
      <c r="C80" s="33"/>
      <c r="D80" s="28"/>
      <c r="E80" s="28"/>
      <c r="F80" s="34"/>
      <c r="G80" s="34"/>
      <c r="H80" s="30" t="s">
        <v>12</v>
      </c>
    </row>
    <row r="81" spans="1:18" x14ac:dyDescent="0.2">
      <c r="A81" s="28"/>
      <c r="B81" s="28"/>
      <c r="C81" s="29" t="s">
        <v>70</v>
      </c>
      <c r="D81" s="28"/>
      <c r="E81" s="28"/>
      <c r="F81" s="28"/>
      <c r="G81" s="28"/>
      <c r="H81" s="30" t="s">
        <v>12</v>
      </c>
    </row>
    <row r="82" spans="1:18" x14ac:dyDescent="0.2">
      <c r="A82" s="28"/>
      <c r="B82" s="28"/>
      <c r="C82" s="29" t="s">
        <v>71</v>
      </c>
      <c r="D82" s="28"/>
      <c r="E82" s="28"/>
      <c r="F82" s="28"/>
      <c r="G82" s="28"/>
      <c r="H82" s="30" t="s">
        <v>12</v>
      </c>
    </row>
    <row r="83" spans="1:18" x14ac:dyDescent="0.2">
      <c r="A83" s="28"/>
      <c r="B83" s="28"/>
      <c r="C83" s="29" t="s">
        <v>11</v>
      </c>
      <c r="D83" s="28"/>
      <c r="E83" s="28" t="s">
        <v>12</v>
      </c>
      <c r="F83" s="31" t="s">
        <v>13</v>
      </c>
      <c r="G83" s="32">
        <v>0</v>
      </c>
      <c r="H83" s="30" t="s">
        <v>12</v>
      </c>
    </row>
    <row r="84" spans="1:18" x14ac:dyDescent="0.2">
      <c r="A84" s="28"/>
      <c r="B84" s="28"/>
      <c r="C84" s="33"/>
      <c r="D84" s="28"/>
      <c r="E84" s="28"/>
      <c r="F84" s="34"/>
      <c r="G84" s="34"/>
      <c r="H84" s="30" t="s">
        <v>12</v>
      </c>
    </row>
    <row r="85" spans="1:18" x14ac:dyDescent="0.2">
      <c r="A85" s="28"/>
      <c r="B85" s="28"/>
      <c r="C85" s="29" t="s">
        <v>72</v>
      </c>
      <c r="D85" s="28"/>
      <c r="E85" s="28"/>
      <c r="F85" s="34"/>
      <c r="G85" s="34"/>
      <c r="H85" s="30" t="s">
        <v>12</v>
      </c>
    </row>
    <row r="86" spans="1:18" x14ac:dyDescent="0.2">
      <c r="A86" s="28"/>
      <c r="B86" s="28"/>
      <c r="C86" s="29" t="s">
        <v>11</v>
      </c>
      <c r="D86" s="28"/>
      <c r="E86" s="28" t="s">
        <v>12</v>
      </c>
      <c r="F86" s="31" t="s">
        <v>13</v>
      </c>
      <c r="G86" s="32">
        <v>0</v>
      </c>
      <c r="H86" s="30" t="s">
        <v>12</v>
      </c>
    </row>
    <row r="87" spans="1:18" x14ac:dyDescent="0.2">
      <c r="A87" s="73"/>
      <c r="B87" s="73"/>
      <c r="C87" s="74"/>
      <c r="D87" s="73"/>
      <c r="E87" s="73"/>
      <c r="F87" s="75"/>
      <c r="G87" s="75"/>
      <c r="H87" s="30" t="s">
        <v>12</v>
      </c>
    </row>
    <row r="88" spans="1:18" x14ac:dyDescent="0.2">
      <c r="A88" s="76"/>
      <c r="B88" s="76"/>
      <c r="C88" s="64" t="s">
        <v>406</v>
      </c>
      <c r="D88" s="76"/>
      <c r="E88" s="76"/>
      <c r="F88" s="77"/>
      <c r="G88" s="77"/>
      <c r="H88" s="78"/>
      <c r="K88" s="5"/>
      <c r="L88" s="5"/>
      <c r="M88" s="5"/>
      <c r="N88" s="5"/>
      <c r="O88" s="5"/>
      <c r="P88" s="6"/>
      <c r="Q88" s="6"/>
      <c r="R88" s="6"/>
    </row>
    <row r="89" spans="1:18" ht="25.5" x14ac:dyDescent="0.2">
      <c r="A89" s="36">
        <v>1</v>
      </c>
      <c r="B89" s="37" t="s">
        <v>68</v>
      </c>
      <c r="C89" s="37" t="s">
        <v>69</v>
      </c>
      <c r="D89" s="37"/>
      <c r="E89" s="79">
        <v>511.47399999999999</v>
      </c>
      <c r="F89" s="39">
        <v>52.722205430000002</v>
      </c>
      <c r="G89" s="40">
        <v>2.6968700000000001E-3</v>
      </c>
      <c r="H89" s="30"/>
    </row>
    <row r="90" spans="1:18" x14ac:dyDescent="0.2">
      <c r="A90" s="28"/>
      <c r="B90" s="28"/>
      <c r="C90" s="29" t="s">
        <v>11</v>
      </c>
      <c r="D90" s="28"/>
      <c r="E90" s="28" t="s">
        <v>12</v>
      </c>
      <c r="F90" s="35">
        <v>52.722205430000002</v>
      </c>
      <c r="G90" s="32">
        <v>2.6968700000000001E-3</v>
      </c>
      <c r="H90" s="30" t="s">
        <v>12</v>
      </c>
    </row>
    <row r="91" spans="1:18" x14ac:dyDescent="0.2">
      <c r="A91" s="28"/>
      <c r="B91" s="37"/>
      <c r="C91" s="37"/>
      <c r="D91" s="29"/>
      <c r="E91" s="28"/>
      <c r="F91" s="37"/>
      <c r="G91" s="41"/>
      <c r="H91" s="30" t="s">
        <v>12</v>
      </c>
    </row>
    <row r="92" spans="1:18" x14ac:dyDescent="0.2">
      <c r="A92" s="41"/>
      <c r="B92" s="37"/>
      <c r="C92" s="37" t="s">
        <v>73</v>
      </c>
      <c r="D92" s="37"/>
      <c r="E92" s="41"/>
      <c r="F92" s="39">
        <f>415.79207317+0.0000485040020942688</f>
        <v>415.79212167400209</v>
      </c>
      <c r="G92" s="40">
        <v>2.1268809999999999E-2</v>
      </c>
      <c r="H92" s="30" t="s">
        <v>12</v>
      </c>
    </row>
    <row r="93" spans="1:18" x14ac:dyDescent="0.2">
      <c r="A93" s="33"/>
      <c r="B93" s="33"/>
      <c r="C93" s="29" t="s">
        <v>74</v>
      </c>
      <c r="D93" s="34"/>
      <c r="E93" s="34"/>
      <c r="F93" s="35">
        <f>19549.384764606+0.0000485040020942688</f>
        <v>19549.384813110002</v>
      </c>
      <c r="G93" s="42">
        <v>1</v>
      </c>
      <c r="H93" s="30" t="s">
        <v>12</v>
      </c>
    </row>
    <row r="94" spans="1:18" x14ac:dyDescent="0.2">
      <c r="A94" s="43"/>
      <c r="B94" s="43"/>
      <c r="C94" s="43"/>
      <c r="D94" s="44"/>
      <c r="E94" s="44"/>
      <c r="F94" s="44"/>
      <c r="G94" s="44"/>
    </row>
    <row r="95" spans="1:18" x14ac:dyDescent="0.2">
      <c r="A95" s="45"/>
      <c r="B95" s="110" t="s">
        <v>407</v>
      </c>
      <c r="C95" s="110"/>
      <c r="D95" s="110"/>
      <c r="E95" s="110"/>
      <c r="F95" s="110"/>
      <c r="G95" s="110"/>
      <c r="H95" s="110"/>
    </row>
    <row r="96" spans="1:18" x14ac:dyDescent="0.2">
      <c r="A96" s="45"/>
      <c r="B96" s="110" t="s">
        <v>408</v>
      </c>
      <c r="C96" s="110"/>
      <c r="D96" s="110"/>
      <c r="E96" s="110"/>
      <c r="F96" s="110"/>
      <c r="G96" s="110"/>
      <c r="H96" s="110"/>
    </row>
    <row r="97" spans="1:10" x14ac:dyDescent="0.2">
      <c r="A97" s="45"/>
      <c r="B97" s="110" t="s">
        <v>409</v>
      </c>
      <c r="C97" s="110"/>
      <c r="D97" s="110"/>
      <c r="E97" s="110"/>
      <c r="F97" s="110"/>
      <c r="G97" s="110"/>
      <c r="H97" s="110"/>
    </row>
    <row r="98" spans="1:10" s="25" customFormat="1" ht="79.5" customHeight="1" x14ac:dyDescent="0.2">
      <c r="A98" s="99"/>
      <c r="B98" s="123" t="s">
        <v>493</v>
      </c>
      <c r="C98" s="123"/>
      <c r="D98" s="123"/>
      <c r="E98" s="123"/>
      <c r="F98" s="123"/>
      <c r="G98" s="123"/>
      <c r="H98" s="123"/>
      <c r="I98"/>
      <c r="J98" s="2"/>
    </row>
    <row r="99" spans="1:10" x14ac:dyDescent="0.2">
      <c r="A99" s="47"/>
      <c r="B99" s="47"/>
      <c r="C99" s="47"/>
      <c r="D99" s="48"/>
      <c r="E99" s="48"/>
      <c r="F99" s="48"/>
      <c r="G99" s="48"/>
    </row>
    <row r="100" spans="1:10" x14ac:dyDescent="0.2">
      <c r="A100" s="47"/>
      <c r="B100" s="112" t="s">
        <v>75</v>
      </c>
      <c r="C100" s="113"/>
      <c r="D100" s="114"/>
      <c r="E100" s="49"/>
      <c r="F100" s="48"/>
      <c r="G100" s="48"/>
    </row>
    <row r="101" spans="1:10" x14ac:dyDescent="0.2">
      <c r="A101" s="47"/>
      <c r="B101" s="115" t="s">
        <v>76</v>
      </c>
      <c r="C101" s="116"/>
      <c r="D101" s="29" t="s">
        <v>77</v>
      </c>
      <c r="E101" s="49"/>
      <c r="F101" s="48"/>
      <c r="G101" s="48"/>
    </row>
    <row r="102" spans="1:10" x14ac:dyDescent="0.2">
      <c r="A102" s="47"/>
      <c r="B102" s="115" t="s">
        <v>78</v>
      </c>
      <c r="C102" s="116"/>
      <c r="D102" s="29" t="s">
        <v>77</v>
      </c>
      <c r="E102" s="49"/>
      <c r="F102" s="48"/>
      <c r="G102" s="48"/>
    </row>
    <row r="103" spans="1:10" x14ac:dyDescent="0.2">
      <c r="A103" s="47"/>
      <c r="B103" s="115" t="s">
        <v>79</v>
      </c>
      <c r="C103" s="116"/>
      <c r="D103" s="34" t="s">
        <v>12</v>
      </c>
      <c r="E103" s="49"/>
      <c r="F103" s="48"/>
      <c r="G103" s="48"/>
    </row>
    <row r="104" spans="1:10" x14ac:dyDescent="0.2">
      <c r="A104" s="50"/>
      <c r="B104" s="51" t="s">
        <v>12</v>
      </c>
      <c r="C104" s="51" t="s">
        <v>458</v>
      </c>
      <c r="D104" s="51" t="s">
        <v>80</v>
      </c>
      <c r="E104" s="50"/>
      <c r="F104" s="50"/>
      <c r="G104" s="50"/>
      <c r="H104" s="52"/>
    </row>
    <row r="105" spans="1:10" x14ac:dyDescent="0.2">
      <c r="A105" s="53"/>
      <c r="B105" s="54" t="s">
        <v>81</v>
      </c>
      <c r="C105" s="55" t="s">
        <v>82</v>
      </c>
      <c r="D105" s="55" t="s">
        <v>83</v>
      </c>
      <c r="E105" s="53"/>
      <c r="F105" s="53"/>
      <c r="G105" s="53"/>
    </row>
    <row r="106" spans="1:10" x14ac:dyDescent="0.2">
      <c r="A106" s="53"/>
      <c r="B106" s="37" t="s">
        <v>84</v>
      </c>
      <c r="C106" s="56">
        <v>43.830300000000001</v>
      </c>
      <c r="D106" s="56">
        <v>43.985799999999998</v>
      </c>
      <c r="E106" s="53"/>
      <c r="F106" s="57"/>
      <c r="G106" s="58"/>
    </row>
    <row r="107" spans="1:10" ht="25.5" x14ac:dyDescent="0.2">
      <c r="A107" s="53"/>
      <c r="B107" s="37" t="s">
        <v>85</v>
      </c>
      <c r="C107" s="56">
        <v>12.926299999999999</v>
      </c>
      <c r="D107" s="56">
        <v>12.972200000000001</v>
      </c>
      <c r="E107" s="53"/>
      <c r="F107" s="57"/>
      <c r="G107" s="58"/>
    </row>
    <row r="108" spans="1:10" ht="25.5" x14ac:dyDescent="0.2">
      <c r="A108" s="53"/>
      <c r="B108" s="37" t="s">
        <v>86</v>
      </c>
      <c r="C108" s="56">
        <v>14.2418</v>
      </c>
      <c r="D108" s="56">
        <v>14.292299999999999</v>
      </c>
      <c r="E108" s="53"/>
      <c r="F108" s="57"/>
      <c r="G108" s="58"/>
    </row>
    <row r="109" spans="1:10" ht="25.5" x14ac:dyDescent="0.2">
      <c r="A109" s="53"/>
      <c r="B109" s="37" t="s">
        <v>87</v>
      </c>
      <c r="C109" s="56">
        <v>14.149800000000001</v>
      </c>
      <c r="D109" s="56">
        <v>14.2</v>
      </c>
      <c r="E109" s="53"/>
      <c r="F109" s="57"/>
      <c r="G109" s="58"/>
    </row>
    <row r="110" spans="1:10" ht="25.5" x14ac:dyDescent="0.2">
      <c r="A110" s="53"/>
      <c r="B110" s="37" t="s">
        <v>88</v>
      </c>
      <c r="C110" s="56">
        <v>14.295500000000001</v>
      </c>
      <c r="D110" s="56">
        <v>14.346500000000001</v>
      </c>
      <c r="E110" s="53"/>
      <c r="F110" s="57"/>
      <c r="G110" s="58"/>
    </row>
    <row r="111" spans="1:10" x14ac:dyDescent="0.2">
      <c r="A111" s="53"/>
      <c r="B111" s="37" t="s">
        <v>89</v>
      </c>
      <c r="C111" s="56">
        <v>40.744900000000001</v>
      </c>
      <c r="D111" s="56">
        <v>40.880099999999999</v>
      </c>
      <c r="E111" s="53"/>
      <c r="F111" s="57"/>
      <c r="G111" s="58"/>
    </row>
    <row r="112" spans="1:10" x14ac:dyDescent="0.2">
      <c r="A112" s="53"/>
      <c r="B112" s="37" t="s">
        <v>116</v>
      </c>
      <c r="C112" s="56">
        <v>14.7181</v>
      </c>
      <c r="D112" s="56">
        <v>14.7669</v>
      </c>
      <c r="E112" s="53"/>
      <c r="F112" s="57"/>
      <c r="G112" s="58"/>
    </row>
    <row r="113" spans="1:19" ht="25.5" x14ac:dyDescent="0.2">
      <c r="A113" s="53"/>
      <c r="B113" s="37" t="s">
        <v>90</v>
      </c>
      <c r="C113" s="56">
        <v>12.888299999999999</v>
      </c>
      <c r="D113" s="56">
        <v>12.931100000000001</v>
      </c>
      <c r="E113" s="53"/>
      <c r="F113" s="57"/>
      <c r="G113" s="58"/>
    </row>
    <row r="114" spans="1:19" ht="25.5" x14ac:dyDescent="0.2">
      <c r="A114" s="53"/>
      <c r="B114" s="37" t="s">
        <v>91</v>
      </c>
      <c r="C114" s="56">
        <v>13.995200000000001</v>
      </c>
      <c r="D114" s="56">
        <v>14.041600000000001</v>
      </c>
      <c r="E114" s="53"/>
      <c r="F114" s="57"/>
      <c r="G114" s="58"/>
    </row>
    <row r="115" spans="1:19" ht="25.5" x14ac:dyDescent="0.2">
      <c r="A115" s="53"/>
      <c r="B115" s="37" t="s">
        <v>92</v>
      </c>
      <c r="C115" s="56">
        <v>13.9034</v>
      </c>
      <c r="D115" s="56">
        <v>13.9495</v>
      </c>
      <c r="E115" s="53"/>
      <c r="F115" s="57"/>
      <c r="G115" s="58"/>
    </row>
    <row r="116" spans="1:19" ht="25.5" x14ac:dyDescent="0.2">
      <c r="A116" s="53"/>
      <c r="B116" s="37" t="s">
        <v>93</v>
      </c>
      <c r="C116" s="56">
        <v>14.0487</v>
      </c>
      <c r="D116" s="56">
        <v>14.0952</v>
      </c>
      <c r="E116" s="53"/>
      <c r="F116" s="57"/>
      <c r="G116" s="58"/>
    </row>
    <row r="117" spans="1:19" x14ac:dyDescent="0.2">
      <c r="A117" s="53"/>
      <c r="B117" s="53"/>
      <c r="C117" s="53"/>
      <c r="D117" s="53"/>
      <c r="E117" s="53"/>
      <c r="F117" s="53"/>
      <c r="G117" s="53"/>
    </row>
    <row r="118" spans="1:19" x14ac:dyDescent="0.2">
      <c r="A118" s="53"/>
      <c r="B118" s="115" t="s">
        <v>94</v>
      </c>
      <c r="C118" s="116"/>
      <c r="D118" s="64" t="s">
        <v>77</v>
      </c>
      <c r="E118" s="53"/>
      <c r="F118" s="53"/>
      <c r="G118" s="53"/>
    </row>
    <row r="119" spans="1:19" x14ac:dyDescent="0.2">
      <c r="A119" s="53"/>
      <c r="B119" s="66"/>
      <c r="C119" s="66"/>
      <c r="D119" s="66"/>
      <c r="E119" s="53"/>
      <c r="F119" s="53"/>
      <c r="G119" s="53"/>
    </row>
    <row r="120" spans="1:19" s="7" customFormat="1" x14ac:dyDescent="0.2">
      <c r="A120" s="80"/>
      <c r="B120" s="117" t="s">
        <v>419</v>
      </c>
      <c r="C120" s="118"/>
      <c r="D120" s="64" t="s">
        <v>77</v>
      </c>
      <c r="E120" s="80"/>
      <c r="F120" s="80"/>
      <c r="G120" s="80"/>
      <c r="I120"/>
      <c r="J120" s="2"/>
      <c r="K120" s="5"/>
      <c r="L120" s="5"/>
      <c r="M120" s="5"/>
      <c r="N120" s="5"/>
      <c r="O120" s="8"/>
      <c r="P120"/>
      <c r="Q120"/>
    </row>
    <row r="121" spans="1:19" x14ac:dyDescent="0.2">
      <c r="A121" s="50"/>
      <c r="B121" s="117" t="s">
        <v>420</v>
      </c>
      <c r="C121" s="118"/>
      <c r="D121" s="64" t="s">
        <v>77</v>
      </c>
      <c r="E121" s="65"/>
      <c r="F121" s="50"/>
      <c r="G121" s="50"/>
    </row>
    <row r="122" spans="1:19" x14ac:dyDescent="0.2">
      <c r="A122" s="50"/>
      <c r="B122" s="117" t="s">
        <v>421</v>
      </c>
      <c r="C122" s="118"/>
      <c r="D122" s="64" t="s">
        <v>77</v>
      </c>
      <c r="E122" s="65"/>
      <c r="F122" s="50"/>
      <c r="G122" s="50"/>
    </row>
    <row r="123" spans="1:19" x14ac:dyDescent="0.2">
      <c r="A123" s="50"/>
      <c r="B123" s="117" t="s">
        <v>422</v>
      </c>
      <c r="C123" s="118"/>
      <c r="D123" s="64" t="s">
        <v>77</v>
      </c>
      <c r="E123" s="65"/>
      <c r="F123" s="50"/>
      <c r="G123" s="50"/>
    </row>
    <row r="124" spans="1:19" x14ac:dyDescent="0.2">
      <c r="A124" s="66"/>
      <c r="B124" s="66"/>
      <c r="C124" s="66"/>
      <c r="D124" s="66"/>
      <c r="E124" s="66"/>
      <c r="F124" s="66"/>
      <c r="G124" s="66"/>
    </row>
    <row r="125" spans="1:19" s="7" customFormat="1" x14ac:dyDescent="0.2">
      <c r="B125" s="119" t="s">
        <v>411</v>
      </c>
      <c r="C125" s="120"/>
      <c r="D125" s="121"/>
      <c r="I125"/>
      <c r="J125" s="2"/>
      <c r="K125" s="5"/>
      <c r="L125" s="5"/>
      <c r="M125" s="5"/>
      <c r="N125" s="5"/>
      <c r="O125" s="8"/>
      <c r="R125"/>
      <c r="S125"/>
    </row>
    <row r="126" spans="1:19" s="7" customFormat="1" ht="51" x14ac:dyDescent="0.2">
      <c r="B126" s="111" t="s">
        <v>412</v>
      </c>
      <c r="C126" s="111"/>
      <c r="D126" s="67" t="s">
        <v>298</v>
      </c>
      <c r="I126"/>
      <c r="J126" s="2"/>
      <c r="K126" s="5"/>
      <c r="L126" s="5"/>
      <c r="M126" s="5"/>
      <c r="N126" s="5"/>
      <c r="O126" s="8"/>
      <c r="R126"/>
      <c r="S126"/>
    </row>
    <row r="127" spans="1:19" s="7" customFormat="1" x14ac:dyDescent="0.2">
      <c r="B127" s="107" t="s">
        <v>413</v>
      </c>
      <c r="C127" s="107"/>
      <c r="D127" s="68"/>
      <c r="I127"/>
      <c r="J127" s="2"/>
      <c r="K127" s="5"/>
      <c r="L127" s="5"/>
      <c r="M127" s="5"/>
      <c r="N127" s="5"/>
      <c r="O127" s="8"/>
      <c r="R127"/>
      <c r="S127"/>
    </row>
    <row r="128" spans="1:19" s="7" customFormat="1" x14ac:dyDescent="0.2">
      <c r="B128" s="107"/>
      <c r="C128" s="107"/>
      <c r="D128" s="69"/>
      <c r="I128"/>
      <c r="J128" s="2"/>
      <c r="K128" s="5"/>
      <c r="L128" s="5"/>
      <c r="M128" s="5"/>
      <c r="N128" s="5"/>
      <c r="O128" s="8"/>
      <c r="R128"/>
      <c r="S128"/>
    </row>
    <row r="129" spans="2:15" s="7" customFormat="1" x14ac:dyDescent="0.2">
      <c r="B129" s="107" t="s">
        <v>414</v>
      </c>
      <c r="C129" s="107"/>
      <c r="D129" s="70">
        <v>7.3216899463954794</v>
      </c>
      <c r="I129"/>
      <c r="J129" s="2"/>
      <c r="K129" s="5"/>
      <c r="L129" s="5"/>
      <c r="M129" s="5"/>
      <c r="N129" s="5"/>
      <c r="O129" s="8"/>
    </row>
    <row r="130" spans="2:15" s="7" customFormat="1" x14ac:dyDescent="0.2">
      <c r="B130" s="107"/>
      <c r="C130" s="107"/>
      <c r="D130" s="69"/>
      <c r="I130"/>
      <c r="J130" s="2"/>
      <c r="K130" s="5"/>
      <c r="L130" s="5"/>
      <c r="M130" s="5"/>
      <c r="N130" s="5"/>
      <c r="O130" s="8"/>
    </row>
    <row r="131" spans="2:15" s="7" customFormat="1" x14ac:dyDescent="0.2">
      <c r="B131" s="107" t="s">
        <v>415</v>
      </c>
      <c r="C131" s="107"/>
      <c r="D131" s="70">
        <v>2.8933072197592593</v>
      </c>
      <c r="I131"/>
      <c r="J131" s="2"/>
      <c r="K131" s="5"/>
      <c r="L131" s="5"/>
      <c r="M131" s="5"/>
      <c r="N131" s="5"/>
      <c r="O131" s="8"/>
    </row>
    <row r="132" spans="2:15" s="7" customFormat="1" x14ac:dyDescent="0.2">
      <c r="B132" s="107" t="s">
        <v>416</v>
      </c>
      <c r="C132" s="107"/>
      <c r="D132" s="70">
        <v>3.7817249345035275</v>
      </c>
      <c r="I132"/>
      <c r="J132" s="2"/>
      <c r="K132" s="5"/>
      <c r="L132" s="5"/>
      <c r="M132" s="5"/>
      <c r="N132" s="5"/>
      <c r="O132" s="8"/>
    </row>
    <row r="133" spans="2:15" s="7" customFormat="1" x14ac:dyDescent="0.2">
      <c r="B133" s="107"/>
      <c r="C133" s="107"/>
      <c r="D133" s="69"/>
      <c r="I133"/>
      <c r="J133" s="2"/>
      <c r="K133" s="5"/>
      <c r="L133" s="5"/>
      <c r="M133" s="5"/>
      <c r="N133" s="5"/>
      <c r="O133" s="8"/>
    </row>
    <row r="134" spans="2:15" s="7" customFormat="1" x14ac:dyDescent="0.2">
      <c r="B134" s="107" t="s">
        <v>417</v>
      </c>
      <c r="C134" s="107"/>
      <c r="D134" s="71" t="s">
        <v>454</v>
      </c>
      <c r="I134"/>
      <c r="J134" s="2"/>
      <c r="K134" s="5"/>
      <c r="L134" s="5"/>
      <c r="M134" s="5"/>
      <c r="N134" s="5"/>
      <c r="O134" s="8"/>
    </row>
    <row r="135" spans="2:15" s="7" customFormat="1" x14ac:dyDescent="0.2">
      <c r="B135" s="105" t="s">
        <v>418</v>
      </c>
      <c r="C135" s="108"/>
      <c r="D135" s="106"/>
      <c r="I135"/>
      <c r="J135" s="2"/>
      <c r="K135" s="5"/>
      <c r="L135" s="5"/>
      <c r="M135" s="5"/>
      <c r="N135" s="5"/>
      <c r="O135" s="8"/>
    </row>
    <row r="150" spans="9:9" x14ac:dyDescent="0.2">
      <c r="I150" s="5"/>
    </row>
    <row r="157" spans="9:9" x14ac:dyDescent="0.2">
      <c r="I157" s="5"/>
    </row>
    <row r="158" spans="9:9" x14ac:dyDescent="0.2">
      <c r="I158" s="5"/>
    </row>
    <row r="159" spans="9:9" x14ac:dyDescent="0.2">
      <c r="I159" s="5"/>
    </row>
    <row r="160" spans="9:9" x14ac:dyDescent="0.2">
      <c r="I160" s="5"/>
    </row>
  </sheetData>
  <mergeCells count="27">
    <mergeCell ref="B97:H97"/>
    <mergeCell ref="B123:C123"/>
    <mergeCell ref="B126:C126"/>
    <mergeCell ref="B100:D100"/>
    <mergeCell ref="B101:C101"/>
    <mergeCell ref="B102:C102"/>
    <mergeCell ref="B103:C103"/>
    <mergeCell ref="B118:C118"/>
    <mergeCell ref="B122:C122"/>
    <mergeCell ref="B120:C120"/>
    <mergeCell ref="B121:C121"/>
    <mergeCell ref="B125:D125"/>
    <mergeCell ref="B98:H98"/>
    <mergeCell ref="A1:H1"/>
    <mergeCell ref="A2:H2"/>
    <mergeCell ref="A3:H3"/>
    <mergeCell ref="B95:H95"/>
    <mergeCell ref="B96:H96"/>
    <mergeCell ref="B132:C132"/>
    <mergeCell ref="B133:C133"/>
    <mergeCell ref="B134:C134"/>
    <mergeCell ref="B135:D135"/>
    <mergeCell ref="B127:C127"/>
    <mergeCell ref="B128:C128"/>
    <mergeCell ref="B129:C129"/>
    <mergeCell ref="B130:C130"/>
    <mergeCell ref="B131:C131"/>
  </mergeCells>
  <hyperlinks>
    <hyperlink ref="I1" location="Index!B7" display="Index" xr:uid="{AC9A7387-F329-4B22-A20D-DE2357F7E3B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ED04F-2E87-40DE-8104-2B497A6EB152}">
  <sheetPr>
    <outlinePr summaryBelow="0" summaryRight="0"/>
  </sheetPr>
  <dimension ref="A1:R170"/>
  <sheetViews>
    <sheetView showGridLines="0" workbookViewId="0">
      <selection activeCell="C103" sqref="C103"/>
    </sheetView>
  </sheetViews>
  <sheetFormatPr defaultColWidth="6.7109375" defaultRowHeight="12.75" x14ac:dyDescent="0.2"/>
  <cols>
    <col min="1" max="1" width="5.85546875" bestFit="1" customWidth="1"/>
    <col min="2" max="2" width="18.42578125" bestFit="1" customWidth="1"/>
    <col min="3" max="3" width="39.140625" bestFit="1" customWidth="1"/>
    <col min="4" max="4" width="10.7109375" bestFit="1" customWidth="1"/>
    <col min="5" max="5" width="9.42578125" bestFit="1" customWidth="1"/>
    <col min="6" max="6" width="10.140625" bestFit="1" customWidth="1"/>
    <col min="7" max="7" width="8.5703125" bestFit="1" customWidth="1"/>
    <col min="8" max="8" width="5.42578125" bestFit="1" customWidth="1"/>
    <col min="9" max="9" width="6" bestFit="1" customWidth="1"/>
    <col min="10" max="10" width="50.7109375" style="2" customWidth="1"/>
  </cols>
  <sheetData>
    <row r="1" spans="1:10" ht="15" x14ac:dyDescent="0.2">
      <c r="A1" s="109" t="s">
        <v>0</v>
      </c>
      <c r="B1" s="109"/>
      <c r="C1" s="109"/>
      <c r="D1" s="109"/>
      <c r="E1" s="109"/>
      <c r="F1" s="109"/>
      <c r="G1" s="109"/>
      <c r="H1" s="109"/>
      <c r="I1" s="1" t="s">
        <v>459</v>
      </c>
    </row>
    <row r="2" spans="1:10" ht="15" x14ac:dyDescent="0.2">
      <c r="A2" s="109" t="s">
        <v>306</v>
      </c>
      <c r="B2" s="109"/>
      <c r="C2" s="109"/>
      <c r="D2" s="109"/>
      <c r="E2" s="109"/>
      <c r="F2" s="109"/>
      <c r="G2" s="109"/>
      <c r="H2" s="109"/>
      <c r="J2" s="3" t="s">
        <v>472</v>
      </c>
    </row>
    <row r="3" spans="1:10" ht="15" x14ac:dyDescent="0.2">
      <c r="A3" s="109" t="s">
        <v>494</v>
      </c>
      <c r="B3" s="109"/>
      <c r="C3" s="109"/>
      <c r="D3" s="109"/>
      <c r="E3" s="109"/>
      <c r="F3" s="109"/>
      <c r="G3" s="109"/>
      <c r="H3" s="109"/>
    </row>
    <row r="4" spans="1:10" s="4" customFormat="1" ht="30" x14ac:dyDescent="0.2">
      <c r="A4" s="26" t="s">
        <v>2</v>
      </c>
      <c r="B4" s="26" t="s">
        <v>3</v>
      </c>
      <c r="C4" s="26" t="s">
        <v>4</v>
      </c>
      <c r="D4" s="26" t="s">
        <v>5</v>
      </c>
      <c r="E4" s="26" t="s">
        <v>6</v>
      </c>
      <c r="F4" s="26" t="s">
        <v>7</v>
      </c>
      <c r="G4" s="26" t="s">
        <v>8</v>
      </c>
      <c r="H4" s="27" t="s">
        <v>405</v>
      </c>
      <c r="J4" s="2"/>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8"/>
    </row>
    <row r="13" spans="1:10" x14ac:dyDescent="0.2">
      <c r="A13" s="28"/>
      <c r="B13" s="28"/>
      <c r="C13" s="29" t="s">
        <v>11</v>
      </c>
      <c r="D13" s="28"/>
      <c r="E13" s="28" t="s">
        <v>12</v>
      </c>
      <c r="F13" s="31" t="s">
        <v>13</v>
      </c>
      <c r="G13" s="32">
        <v>0</v>
      </c>
      <c r="H13" s="30" t="s">
        <v>12</v>
      </c>
      <c r="J13" s="17"/>
    </row>
    <row r="14" spans="1:10" x14ac:dyDescent="0.2">
      <c r="A14" s="28"/>
      <c r="B14" s="28"/>
      <c r="C14" s="33"/>
      <c r="D14" s="28"/>
      <c r="E14" s="28"/>
      <c r="F14" s="34"/>
      <c r="G14" s="34"/>
      <c r="H14" s="30" t="s">
        <v>12</v>
      </c>
      <c r="J14" s="17"/>
    </row>
    <row r="15" spans="1:10" ht="25.5" x14ac:dyDescent="0.2">
      <c r="A15" s="28"/>
      <c r="B15" s="28"/>
      <c r="C15" s="29" t="s">
        <v>16</v>
      </c>
      <c r="D15" s="28"/>
      <c r="E15" s="28"/>
      <c r="F15" s="28"/>
      <c r="G15" s="28"/>
      <c r="H15" s="30" t="s">
        <v>12</v>
      </c>
      <c r="J15" s="17" t="s">
        <v>473</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8"/>
    </row>
    <row r="23" spans="1:10" x14ac:dyDescent="0.2">
      <c r="A23" s="28"/>
      <c r="B23" s="28"/>
      <c r="C23" s="33"/>
      <c r="D23" s="28"/>
      <c r="E23" s="28"/>
      <c r="F23" s="34"/>
      <c r="G23" s="34"/>
      <c r="H23" s="30" t="s">
        <v>12</v>
      </c>
      <c r="J23" s="17"/>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ht="25.5" x14ac:dyDescent="0.2">
      <c r="A27" s="28"/>
      <c r="B27" s="28"/>
      <c r="C27" s="29" t="s">
        <v>10</v>
      </c>
      <c r="D27" s="28"/>
      <c r="E27" s="28"/>
      <c r="F27" s="34"/>
      <c r="G27" s="34"/>
      <c r="H27" s="30" t="s">
        <v>12</v>
      </c>
      <c r="J27" s="17" t="s">
        <v>474</v>
      </c>
    </row>
    <row r="28" spans="1:10" x14ac:dyDescent="0.2">
      <c r="A28" s="36">
        <v>1</v>
      </c>
      <c r="B28" s="37" t="s">
        <v>165</v>
      </c>
      <c r="C28" s="37" t="s">
        <v>529</v>
      </c>
      <c r="D28" s="37" t="s">
        <v>166</v>
      </c>
      <c r="E28" s="38">
        <v>5000</v>
      </c>
      <c r="F28" s="39">
        <v>5011.9399999999996</v>
      </c>
      <c r="G28" s="40">
        <v>2.614412E-2</v>
      </c>
      <c r="H28" s="30">
        <v>8.64</v>
      </c>
    </row>
    <row r="29" spans="1:10" ht="25.5" x14ac:dyDescent="0.2">
      <c r="A29" s="36">
        <v>2</v>
      </c>
      <c r="B29" s="37" t="s">
        <v>169</v>
      </c>
      <c r="C29" s="37" t="s">
        <v>532</v>
      </c>
      <c r="D29" s="37" t="s">
        <v>22</v>
      </c>
      <c r="E29" s="38">
        <v>300</v>
      </c>
      <c r="F29" s="39">
        <v>2967.8609999999999</v>
      </c>
      <c r="G29" s="40">
        <v>1.5481450000000001E-2</v>
      </c>
      <c r="H29" s="30">
        <v>7.5549999999999997</v>
      </c>
    </row>
    <row r="30" spans="1:10" x14ac:dyDescent="0.2">
      <c r="A30" s="36">
        <v>3</v>
      </c>
      <c r="B30" s="37" t="s">
        <v>307</v>
      </c>
      <c r="C30" s="37" t="s">
        <v>581</v>
      </c>
      <c r="D30" s="37" t="s">
        <v>28</v>
      </c>
      <c r="E30" s="38">
        <v>250</v>
      </c>
      <c r="F30" s="39">
        <v>2498.9050000000002</v>
      </c>
      <c r="G30" s="40">
        <v>1.303521E-2</v>
      </c>
      <c r="H30" s="30">
        <v>7.1849999999999996</v>
      </c>
    </row>
    <row r="31" spans="1:10" ht="25.5" x14ac:dyDescent="0.2">
      <c r="A31" s="36">
        <v>4</v>
      </c>
      <c r="B31" s="37" t="s">
        <v>308</v>
      </c>
      <c r="C31" s="37" t="s">
        <v>582</v>
      </c>
      <c r="D31" s="37" t="s">
        <v>176</v>
      </c>
      <c r="E31" s="38">
        <v>250000</v>
      </c>
      <c r="F31" s="39">
        <v>2498.87</v>
      </c>
      <c r="G31" s="40">
        <v>1.303502E-2</v>
      </c>
      <c r="H31" s="30">
        <v>8.19</v>
      </c>
    </row>
    <row r="32" spans="1:10" ht="25.5" x14ac:dyDescent="0.2">
      <c r="A32" s="36">
        <v>5</v>
      </c>
      <c r="B32" s="37" t="s">
        <v>309</v>
      </c>
      <c r="C32" s="37" t="s">
        <v>583</v>
      </c>
      <c r="D32" s="37" t="s">
        <v>22</v>
      </c>
      <c r="E32" s="38">
        <v>250</v>
      </c>
      <c r="F32" s="39">
        <v>2481.1374999999998</v>
      </c>
      <c r="G32" s="40">
        <v>1.2942520000000001E-2</v>
      </c>
      <c r="H32" s="30">
        <v>8.15</v>
      </c>
    </row>
    <row r="33" spans="1:8" ht="25.5" x14ac:dyDescent="0.2">
      <c r="A33" s="36">
        <v>6</v>
      </c>
      <c r="B33" s="37" t="s">
        <v>310</v>
      </c>
      <c r="C33" s="37" t="s">
        <v>584</v>
      </c>
      <c r="D33" s="37" t="s">
        <v>22</v>
      </c>
      <c r="E33" s="38">
        <v>250</v>
      </c>
      <c r="F33" s="39">
        <v>2477.14</v>
      </c>
      <c r="G33" s="40">
        <v>1.292167E-2</v>
      </c>
      <c r="H33" s="30">
        <v>7.4950000000000001</v>
      </c>
    </row>
    <row r="34" spans="1:8" x14ac:dyDescent="0.2">
      <c r="A34" s="36">
        <v>7</v>
      </c>
      <c r="B34" s="37" t="s">
        <v>167</v>
      </c>
      <c r="C34" s="37" t="s">
        <v>530</v>
      </c>
      <c r="D34" s="37" t="s">
        <v>166</v>
      </c>
      <c r="E34" s="38">
        <v>2000</v>
      </c>
      <c r="F34" s="39">
        <v>2005.874</v>
      </c>
      <c r="G34" s="40">
        <v>1.046337E-2</v>
      </c>
      <c r="H34" s="30">
        <v>8.99</v>
      </c>
    </row>
    <row r="35" spans="1:8" ht="25.5" x14ac:dyDescent="0.2">
      <c r="A35" s="36">
        <v>8</v>
      </c>
      <c r="B35" s="37" t="s">
        <v>175</v>
      </c>
      <c r="C35" s="37" t="s">
        <v>537</v>
      </c>
      <c r="D35" s="37" t="s">
        <v>176</v>
      </c>
      <c r="E35" s="38">
        <v>200</v>
      </c>
      <c r="F35" s="39">
        <v>2000.54</v>
      </c>
      <c r="G35" s="40">
        <v>1.043555E-2</v>
      </c>
      <c r="H35" s="30">
        <v>8.3650000000000002</v>
      </c>
    </row>
    <row r="36" spans="1:8" ht="25.5" x14ac:dyDescent="0.2">
      <c r="A36" s="36">
        <v>9</v>
      </c>
      <c r="B36" s="37" t="s">
        <v>45</v>
      </c>
      <c r="C36" s="37" t="s">
        <v>511</v>
      </c>
      <c r="D36" s="37" t="s">
        <v>22</v>
      </c>
      <c r="E36" s="38">
        <v>1500</v>
      </c>
      <c r="F36" s="39">
        <v>1497.9659999999999</v>
      </c>
      <c r="G36" s="40">
        <v>7.8139400000000001E-3</v>
      </c>
      <c r="H36" s="30">
        <v>8.17</v>
      </c>
    </row>
    <row r="37" spans="1:8" x14ac:dyDescent="0.2">
      <c r="A37" s="36">
        <v>10</v>
      </c>
      <c r="B37" s="37" t="s">
        <v>174</v>
      </c>
      <c r="C37" s="37" t="s">
        <v>536</v>
      </c>
      <c r="D37" s="37" t="s">
        <v>166</v>
      </c>
      <c r="E37" s="38">
        <v>1000</v>
      </c>
      <c r="F37" s="39">
        <v>1003.016</v>
      </c>
      <c r="G37" s="40">
        <v>5.2320999999999999E-3</v>
      </c>
      <c r="H37" s="30">
        <v>8.94</v>
      </c>
    </row>
    <row r="38" spans="1:8" x14ac:dyDescent="0.2">
      <c r="A38" s="28"/>
      <c r="B38" s="28"/>
      <c r="C38" s="29" t="s">
        <v>11</v>
      </c>
      <c r="D38" s="28"/>
      <c r="E38" s="28" t="s">
        <v>12</v>
      </c>
      <c r="F38" s="35">
        <v>24443.249500000002</v>
      </c>
      <c r="G38" s="32">
        <v>0.12750495000000001</v>
      </c>
      <c r="H38" s="30" t="s">
        <v>12</v>
      </c>
    </row>
    <row r="39" spans="1:8" x14ac:dyDescent="0.2">
      <c r="A39" s="28"/>
      <c r="B39" s="28"/>
      <c r="C39" s="33"/>
      <c r="D39" s="28"/>
      <c r="E39" s="28"/>
      <c r="F39" s="34"/>
      <c r="G39" s="34"/>
      <c r="H39" s="30" t="s">
        <v>12</v>
      </c>
    </row>
    <row r="40" spans="1:8" x14ac:dyDescent="0.2">
      <c r="A40" s="28"/>
      <c r="B40" s="28"/>
      <c r="C40" s="29" t="s">
        <v>46</v>
      </c>
      <c r="D40" s="28"/>
      <c r="E40" s="28"/>
      <c r="F40" s="28"/>
      <c r="G40" s="28"/>
      <c r="H40" s="30" t="s">
        <v>12</v>
      </c>
    </row>
    <row r="41" spans="1:8" x14ac:dyDescent="0.2">
      <c r="A41" s="28"/>
      <c r="B41" s="28"/>
      <c r="C41" s="29" t="s">
        <v>11</v>
      </c>
      <c r="D41" s="28"/>
      <c r="E41" s="28" t="s">
        <v>12</v>
      </c>
      <c r="F41" s="31" t="s">
        <v>13</v>
      </c>
      <c r="G41" s="32">
        <v>0</v>
      </c>
      <c r="H41" s="30" t="s">
        <v>12</v>
      </c>
    </row>
    <row r="42" spans="1:8" x14ac:dyDescent="0.2">
      <c r="A42" s="28"/>
      <c r="B42" s="28"/>
      <c r="C42" s="33"/>
      <c r="D42" s="28"/>
      <c r="E42" s="28"/>
      <c r="F42" s="34"/>
      <c r="G42" s="34"/>
      <c r="H42" s="30" t="s">
        <v>12</v>
      </c>
    </row>
    <row r="43" spans="1:8" x14ac:dyDescent="0.2">
      <c r="A43" s="28"/>
      <c r="B43" s="28"/>
      <c r="C43" s="29" t="s">
        <v>47</v>
      </c>
      <c r="D43" s="28"/>
      <c r="E43" s="28"/>
      <c r="F43" s="28"/>
      <c r="G43" s="28"/>
      <c r="H43" s="30" t="s">
        <v>12</v>
      </c>
    </row>
    <row r="44" spans="1:8" x14ac:dyDescent="0.2">
      <c r="A44" s="28"/>
      <c r="B44" s="28"/>
      <c r="C44" s="29" t="s">
        <v>11</v>
      </c>
      <c r="D44" s="28"/>
      <c r="E44" s="28" t="s">
        <v>12</v>
      </c>
      <c r="F44" s="31" t="s">
        <v>13</v>
      </c>
      <c r="G44" s="32">
        <v>0</v>
      </c>
      <c r="H44" s="30" t="s">
        <v>12</v>
      </c>
    </row>
    <row r="45" spans="1:8" x14ac:dyDescent="0.2">
      <c r="A45" s="28"/>
      <c r="B45" s="28"/>
      <c r="C45" s="33"/>
      <c r="D45" s="28"/>
      <c r="E45" s="28"/>
      <c r="F45" s="34"/>
      <c r="G45" s="34"/>
      <c r="H45" s="30" t="s">
        <v>12</v>
      </c>
    </row>
    <row r="46" spans="1:8" x14ac:dyDescent="0.2">
      <c r="A46" s="28"/>
      <c r="B46" s="28"/>
      <c r="C46" s="29" t="s">
        <v>57</v>
      </c>
      <c r="D46" s="28"/>
      <c r="E46" s="28"/>
      <c r="F46" s="34"/>
      <c r="G46" s="34"/>
      <c r="H46" s="30" t="s">
        <v>12</v>
      </c>
    </row>
    <row r="47" spans="1:8" x14ac:dyDescent="0.2">
      <c r="A47" s="28"/>
      <c r="B47" s="28"/>
      <c r="C47" s="29" t="s">
        <v>11</v>
      </c>
      <c r="D47" s="28"/>
      <c r="E47" s="28" t="s">
        <v>12</v>
      </c>
      <c r="F47" s="31" t="s">
        <v>13</v>
      </c>
      <c r="G47" s="32">
        <v>0</v>
      </c>
      <c r="H47" s="30" t="s">
        <v>12</v>
      </c>
    </row>
    <row r="48" spans="1:8" x14ac:dyDescent="0.2">
      <c r="A48" s="28"/>
      <c r="B48" s="28"/>
      <c r="C48" s="33"/>
      <c r="D48" s="28"/>
      <c r="E48" s="28"/>
      <c r="F48" s="34"/>
      <c r="G48" s="34"/>
      <c r="H48" s="30" t="s">
        <v>12</v>
      </c>
    </row>
    <row r="49" spans="1:8" x14ac:dyDescent="0.2">
      <c r="A49" s="28"/>
      <c r="B49" s="28"/>
      <c r="C49" s="29" t="s">
        <v>58</v>
      </c>
      <c r="D49" s="28"/>
      <c r="E49" s="28"/>
      <c r="F49" s="35">
        <v>24443.249500000002</v>
      </c>
      <c r="G49" s="32">
        <v>0.12750495000000001</v>
      </c>
      <c r="H49" s="30" t="s">
        <v>12</v>
      </c>
    </row>
    <row r="50" spans="1:8" x14ac:dyDescent="0.2">
      <c r="A50" s="28"/>
      <c r="B50" s="28"/>
      <c r="C50" s="33"/>
      <c r="D50" s="28"/>
      <c r="E50" s="28"/>
      <c r="F50" s="34"/>
      <c r="G50" s="34"/>
      <c r="H50" s="30" t="s">
        <v>12</v>
      </c>
    </row>
    <row r="51" spans="1:8" x14ac:dyDescent="0.2">
      <c r="A51" s="28"/>
      <c r="B51" s="28"/>
      <c r="C51" s="29" t="s">
        <v>59</v>
      </c>
      <c r="D51" s="28"/>
      <c r="E51" s="28"/>
      <c r="F51" s="34"/>
      <c r="G51" s="34"/>
      <c r="H51" s="30" t="s">
        <v>12</v>
      </c>
    </row>
    <row r="52" spans="1:8" x14ac:dyDescent="0.2">
      <c r="A52" s="28"/>
      <c r="B52" s="28"/>
      <c r="C52" s="29" t="s">
        <v>60</v>
      </c>
      <c r="D52" s="28"/>
      <c r="E52" s="28"/>
      <c r="F52" s="34"/>
      <c r="G52" s="34"/>
      <c r="H52" s="30" t="s">
        <v>12</v>
      </c>
    </row>
    <row r="53" spans="1:8" x14ac:dyDescent="0.2">
      <c r="A53" s="36">
        <v>1</v>
      </c>
      <c r="B53" s="37" t="s">
        <v>311</v>
      </c>
      <c r="C53" s="37" t="s">
        <v>312</v>
      </c>
      <c r="D53" s="37" t="s">
        <v>114</v>
      </c>
      <c r="E53" s="38">
        <v>1500</v>
      </c>
      <c r="F53" s="39">
        <v>7415.97</v>
      </c>
      <c r="G53" s="40">
        <v>3.8684419999999997E-2</v>
      </c>
      <c r="H53" s="30">
        <v>7.0101000000000004</v>
      </c>
    </row>
    <row r="54" spans="1:8" x14ac:dyDescent="0.2">
      <c r="A54" s="36">
        <v>2</v>
      </c>
      <c r="B54" s="37" t="s">
        <v>133</v>
      </c>
      <c r="C54" s="37" t="s">
        <v>134</v>
      </c>
      <c r="D54" s="37" t="s">
        <v>114</v>
      </c>
      <c r="E54" s="38">
        <v>1400</v>
      </c>
      <c r="F54" s="39">
        <v>6797.2030000000004</v>
      </c>
      <c r="G54" s="40">
        <v>3.5456700000000001E-2</v>
      </c>
      <c r="H54" s="30">
        <v>7.26</v>
      </c>
    </row>
    <row r="55" spans="1:8" x14ac:dyDescent="0.2">
      <c r="A55" s="36">
        <v>3</v>
      </c>
      <c r="B55" s="37" t="s">
        <v>313</v>
      </c>
      <c r="C55" s="37" t="s">
        <v>314</v>
      </c>
      <c r="D55" s="37" t="s">
        <v>122</v>
      </c>
      <c r="E55" s="38">
        <v>1000</v>
      </c>
      <c r="F55" s="39">
        <v>4872.6850000000004</v>
      </c>
      <c r="G55" s="40">
        <v>2.541771E-2</v>
      </c>
      <c r="H55" s="30">
        <v>7.2249999999999996</v>
      </c>
    </row>
    <row r="56" spans="1:8" x14ac:dyDescent="0.2">
      <c r="A56" s="36">
        <v>4</v>
      </c>
      <c r="B56" s="37" t="s">
        <v>315</v>
      </c>
      <c r="C56" s="37" t="s">
        <v>316</v>
      </c>
      <c r="D56" s="37" t="s">
        <v>149</v>
      </c>
      <c r="E56" s="38">
        <v>1000</v>
      </c>
      <c r="F56" s="39">
        <v>4861.8999999999996</v>
      </c>
      <c r="G56" s="40">
        <v>2.5361450000000001E-2</v>
      </c>
      <c r="H56" s="30">
        <v>7.25</v>
      </c>
    </row>
    <row r="57" spans="1:8" x14ac:dyDescent="0.2">
      <c r="A57" s="36">
        <v>5</v>
      </c>
      <c r="B57" s="37" t="s">
        <v>317</v>
      </c>
      <c r="C57" s="37" t="s">
        <v>318</v>
      </c>
      <c r="D57" s="37" t="s">
        <v>114</v>
      </c>
      <c r="E57" s="38">
        <v>1000</v>
      </c>
      <c r="F57" s="39">
        <v>4805.47</v>
      </c>
      <c r="G57" s="40">
        <v>2.506709E-2</v>
      </c>
      <c r="H57" s="30">
        <v>7.4249999999999998</v>
      </c>
    </row>
    <row r="58" spans="1:8" x14ac:dyDescent="0.2">
      <c r="A58" s="36">
        <v>6</v>
      </c>
      <c r="B58" s="37" t="s">
        <v>145</v>
      </c>
      <c r="C58" s="37" t="s">
        <v>146</v>
      </c>
      <c r="D58" s="37" t="s">
        <v>114</v>
      </c>
      <c r="E58" s="38">
        <v>900</v>
      </c>
      <c r="F58" s="39">
        <v>4385.0294999999996</v>
      </c>
      <c r="G58" s="40">
        <v>2.2873919999999999E-2</v>
      </c>
      <c r="H58" s="30">
        <v>7.25</v>
      </c>
    </row>
    <row r="59" spans="1:8" x14ac:dyDescent="0.2">
      <c r="A59" s="36">
        <v>7</v>
      </c>
      <c r="B59" s="37" t="s">
        <v>183</v>
      </c>
      <c r="C59" s="37" t="s">
        <v>184</v>
      </c>
      <c r="D59" s="37" t="s">
        <v>114</v>
      </c>
      <c r="E59" s="38">
        <v>900</v>
      </c>
      <c r="F59" s="39">
        <v>4381.6364999999996</v>
      </c>
      <c r="G59" s="40">
        <v>2.285622E-2</v>
      </c>
      <c r="H59" s="30">
        <v>7.25</v>
      </c>
    </row>
    <row r="60" spans="1:8" ht="25.5" x14ac:dyDescent="0.2">
      <c r="A60" s="36">
        <v>8</v>
      </c>
      <c r="B60" s="37" t="s">
        <v>191</v>
      </c>
      <c r="C60" s="37" t="s">
        <v>192</v>
      </c>
      <c r="D60" s="37" t="s">
        <v>114</v>
      </c>
      <c r="E60" s="38">
        <v>800</v>
      </c>
      <c r="F60" s="39">
        <v>3859.4079999999999</v>
      </c>
      <c r="G60" s="40">
        <v>2.0132089999999998E-2</v>
      </c>
      <c r="H60" s="30">
        <v>7.47</v>
      </c>
    </row>
    <row r="61" spans="1:8" ht="25.5" x14ac:dyDescent="0.2">
      <c r="A61" s="36">
        <v>9</v>
      </c>
      <c r="B61" s="37" t="s">
        <v>187</v>
      </c>
      <c r="C61" s="37" t="s">
        <v>188</v>
      </c>
      <c r="D61" s="37" t="s">
        <v>114</v>
      </c>
      <c r="E61" s="38">
        <v>800</v>
      </c>
      <c r="F61" s="39">
        <v>3838.6</v>
      </c>
      <c r="G61" s="40">
        <v>2.0023550000000001E-2</v>
      </c>
      <c r="H61" s="30">
        <v>7.45</v>
      </c>
    </row>
    <row r="62" spans="1:8" x14ac:dyDescent="0.2">
      <c r="A62" s="36">
        <v>10</v>
      </c>
      <c r="B62" s="37" t="s">
        <v>152</v>
      </c>
      <c r="C62" s="37" t="s">
        <v>153</v>
      </c>
      <c r="D62" s="37" t="s">
        <v>149</v>
      </c>
      <c r="E62" s="38">
        <v>800</v>
      </c>
      <c r="F62" s="39">
        <v>3824.1880000000001</v>
      </c>
      <c r="G62" s="40">
        <v>1.994837E-2</v>
      </c>
      <c r="H62" s="30">
        <v>7.4249999999999998</v>
      </c>
    </row>
    <row r="63" spans="1:8" ht="25.5" x14ac:dyDescent="0.2">
      <c r="A63" s="36">
        <v>11</v>
      </c>
      <c r="B63" s="37" t="s">
        <v>179</v>
      </c>
      <c r="C63" s="37" t="s">
        <v>180</v>
      </c>
      <c r="D63" s="37" t="s">
        <v>114</v>
      </c>
      <c r="E63" s="38">
        <v>700</v>
      </c>
      <c r="F63" s="39">
        <v>3399.3119999999999</v>
      </c>
      <c r="G63" s="40">
        <v>1.7732060000000001E-2</v>
      </c>
      <c r="H63" s="30">
        <v>7.3051000000000004</v>
      </c>
    </row>
    <row r="64" spans="1:8" x14ac:dyDescent="0.2">
      <c r="A64" s="36">
        <v>12</v>
      </c>
      <c r="B64" s="37" t="s">
        <v>181</v>
      </c>
      <c r="C64" s="37" t="s">
        <v>182</v>
      </c>
      <c r="D64" s="37" t="s">
        <v>114</v>
      </c>
      <c r="E64" s="38">
        <v>700</v>
      </c>
      <c r="F64" s="39">
        <v>3377.297</v>
      </c>
      <c r="G64" s="40">
        <v>1.7617219999999999E-2</v>
      </c>
      <c r="H64" s="30">
        <v>7.4500999999999999</v>
      </c>
    </row>
    <row r="65" spans="1:8" x14ac:dyDescent="0.2">
      <c r="A65" s="36">
        <v>13</v>
      </c>
      <c r="B65" s="37" t="s">
        <v>141</v>
      </c>
      <c r="C65" s="37" t="s">
        <v>142</v>
      </c>
      <c r="D65" s="37" t="s">
        <v>114</v>
      </c>
      <c r="E65" s="38">
        <v>660</v>
      </c>
      <c r="F65" s="39">
        <v>3156.6381000000001</v>
      </c>
      <c r="G65" s="40">
        <v>1.646618E-2</v>
      </c>
      <c r="H65" s="30">
        <v>7.5350000000000001</v>
      </c>
    </row>
    <row r="66" spans="1:8" x14ac:dyDescent="0.2">
      <c r="A66" s="36">
        <v>14</v>
      </c>
      <c r="B66" s="37" t="s">
        <v>143</v>
      </c>
      <c r="C66" s="37" t="s">
        <v>144</v>
      </c>
      <c r="D66" s="37" t="s">
        <v>114</v>
      </c>
      <c r="E66" s="38">
        <v>660</v>
      </c>
      <c r="F66" s="39">
        <v>3155.4137999999998</v>
      </c>
      <c r="G66" s="40">
        <v>1.64598E-2</v>
      </c>
      <c r="H66" s="30">
        <v>7.5</v>
      </c>
    </row>
    <row r="67" spans="1:8" x14ac:dyDescent="0.2">
      <c r="A67" s="36">
        <v>15</v>
      </c>
      <c r="B67" s="37" t="s">
        <v>147</v>
      </c>
      <c r="C67" s="37" t="s">
        <v>148</v>
      </c>
      <c r="D67" s="37" t="s">
        <v>149</v>
      </c>
      <c r="E67" s="38">
        <v>600</v>
      </c>
      <c r="F67" s="39">
        <v>2883.81</v>
      </c>
      <c r="G67" s="40">
        <v>1.5043010000000001E-2</v>
      </c>
      <c r="H67" s="30">
        <v>7.39</v>
      </c>
    </row>
    <row r="68" spans="1:8" x14ac:dyDescent="0.2">
      <c r="A68" s="36">
        <v>16</v>
      </c>
      <c r="B68" s="37" t="s">
        <v>137</v>
      </c>
      <c r="C68" s="37" t="s">
        <v>138</v>
      </c>
      <c r="D68" s="37" t="s">
        <v>114</v>
      </c>
      <c r="E68" s="38">
        <v>600</v>
      </c>
      <c r="F68" s="39">
        <v>2871.8040000000001</v>
      </c>
      <c r="G68" s="40">
        <v>1.498038E-2</v>
      </c>
      <c r="H68" s="30">
        <v>7.4401000000000002</v>
      </c>
    </row>
    <row r="69" spans="1:8" x14ac:dyDescent="0.2">
      <c r="A69" s="36">
        <v>17</v>
      </c>
      <c r="B69" s="37" t="s">
        <v>319</v>
      </c>
      <c r="C69" s="37" t="s">
        <v>320</v>
      </c>
      <c r="D69" s="37" t="s">
        <v>114</v>
      </c>
      <c r="E69" s="38">
        <v>500</v>
      </c>
      <c r="F69" s="39">
        <v>2433.27</v>
      </c>
      <c r="G69" s="40">
        <v>1.269283E-2</v>
      </c>
      <c r="H69" s="30">
        <v>7.36</v>
      </c>
    </row>
    <row r="70" spans="1:8" x14ac:dyDescent="0.2">
      <c r="A70" s="36">
        <v>18</v>
      </c>
      <c r="B70" s="37" t="s">
        <v>321</v>
      </c>
      <c r="C70" s="37" t="s">
        <v>322</v>
      </c>
      <c r="D70" s="37" t="s">
        <v>114</v>
      </c>
      <c r="E70" s="38">
        <v>500</v>
      </c>
      <c r="F70" s="39">
        <v>2430.4775</v>
      </c>
      <c r="G70" s="40">
        <v>1.267826E-2</v>
      </c>
      <c r="H70" s="30">
        <v>7.3010999999999999</v>
      </c>
    </row>
    <row r="71" spans="1:8" ht="25.5" x14ac:dyDescent="0.2">
      <c r="A71" s="36">
        <v>19</v>
      </c>
      <c r="B71" s="37" t="s">
        <v>323</v>
      </c>
      <c r="C71" s="37" t="s">
        <v>324</v>
      </c>
      <c r="D71" s="37" t="s">
        <v>114</v>
      </c>
      <c r="E71" s="38">
        <v>500</v>
      </c>
      <c r="F71" s="39">
        <v>2424.7800000000002</v>
      </c>
      <c r="G71" s="40">
        <v>1.264854E-2</v>
      </c>
      <c r="H71" s="30">
        <v>7.3051000000000004</v>
      </c>
    </row>
    <row r="72" spans="1:8" x14ac:dyDescent="0.2">
      <c r="A72" s="36">
        <v>20</v>
      </c>
      <c r="B72" s="37" t="s">
        <v>325</v>
      </c>
      <c r="C72" s="37" t="s">
        <v>326</v>
      </c>
      <c r="D72" s="37" t="s">
        <v>114</v>
      </c>
      <c r="E72" s="38">
        <v>500</v>
      </c>
      <c r="F72" s="39">
        <v>2412.9425000000001</v>
      </c>
      <c r="G72" s="40">
        <v>1.258679E-2</v>
      </c>
      <c r="H72" s="30">
        <v>7.4401000000000002</v>
      </c>
    </row>
    <row r="73" spans="1:8" ht="25.5" x14ac:dyDescent="0.2">
      <c r="A73" s="36">
        <v>21</v>
      </c>
      <c r="B73" s="37" t="s">
        <v>327</v>
      </c>
      <c r="C73" s="37" t="s">
        <v>328</v>
      </c>
      <c r="D73" s="37" t="s">
        <v>114</v>
      </c>
      <c r="E73" s="38">
        <v>500</v>
      </c>
      <c r="F73" s="39">
        <v>2406.1950000000002</v>
      </c>
      <c r="G73" s="40">
        <v>1.25516E-2</v>
      </c>
      <c r="H73" s="30">
        <v>7.45</v>
      </c>
    </row>
    <row r="74" spans="1:8" x14ac:dyDescent="0.2">
      <c r="A74" s="36">
        <v>22</v>
      </c>
      <c r="B74" s="37" t="s">
        <v>329</v>
      </c>
      <c r="C74" s="37" t="s">
        <v>330</v>
      </c>
      <c r="D74" s="37" t="s">
        <v>114</v>
      </c>
      <c r="E74" s="38">
        <v>500</v>
      </c>
      <c r="F74" s="39">
        <v>2400.5825</v>
      </c>
      <c r="G74" s="40">
        <v>1.252232E-2</v>
      </c>
      <c r="H74" s="30">
        <v>7.41</v>
      </c>
    </row>
    <row r="75" spans="1:8" x14ac:dyDescent="0.2">
      <c r="A75" s="36">
        <v>23</v>
      </c>
      <c r="B75" s="37" t="s">
        <v>331</v>
      </c>
      <c r="C75" s="37" t="s">
        <v>332</v>
      </c>
      <c r="D75" s="37" t="s">
        <v>114</v>
      </c>
      <c r="E75" s="38">
        <v>500</v>
      </c>
      <c r="F75" s="39">
        <v>2399.4499999999998</v>
      </c>
      <c r="G75" s="40">
        <v>1.251641E-2</v>
      </c>
      <c r="H75" s="30">
        <v>7.4249999999999998</v>
      </c>
    </row>
    <row r="76" spans="1:8" ht="25.5" x14ac:dyDescent="0.2">
      <c r="A76" s="36">
        <v>24</v>
      </c>
      <c r="B76" s="37" t="s">
        <v>333</v>
      </c>
      <c r="C76" s="37" t="s">
        <v>334</v>
      </c>
      <c r="D76" s="37" t="s">
        <v>114</v>
      </c>
      <c r="E76" s="38">
        <v>500</v>
      </c>
      <c r="F76" s="39">
        <v>2398.8674999999998</v>
      </c>
      <c r="G76" s="40">
        <v>1.2513369999999999E-2</v>
      </c>
      <c r="H76" s="30">
        <v>7.4699</v>
      </c>
    </row>
    <row r="77" spans="1:8" x14ac:dyDescent="0.2">
      <c r="A77" s="36">
        <v>25</v>
      </c>
      <c r="B77" s="37" t="s">
        <v>120</v>
      </c>
      <c r="C77" s="37" t="s">
        <v>121</v>
      </c>
      <c r="D77" s="37" t="s">
        <v>122</v>
      </c>
      <c r="E77" s="38">
        <v>500</v>
      </c>
      <c r="F77" s="39">
        <v>2393.8575000000001</v>
      </c>
      <c r="G77" s="40">
        <v>1.248724E-2</v>
      </c>
      <c r="H77" s="30">
        <v>7.39</v>
      </c>
    </row>
    <row r="78" spans="1:8" x14ac:dyDescent="0.2">
      <c r="A78" s="36">
        <v>26</v>
      </c>
      <c r="B78" s="37" t="s">
        <v>127</v>
      </c>
      <c r="C78" s="37" t="s">
        <v>128</v>
      </c>
      <c r="D78" s="37" t="s">
        <v>114</v>
      </c>
      <c r="E78" s="38">
        <v>500</v>
      </c>
      <c r="F78" s="39">
        <v>2348.4250000000002</v>
      </c>
      <c r="G78" s="40">
        <v>1.2250250000000001E-2</v>
      </c>
      <c r="H78" s="30">
        <v>7.5750000000000002</v>
      </c>
    </row>
    <row r="79" spans="1:8" x14ac:dyDescent="0.2">
      <c r="A79" s="36">
        <v>27</v>
      </c>
      <c r="B79" s="37" t="s">
        <v>112</v>
      </c>
      <c r="C79" s="37" t="s">
        <v>113</v>
      </c>
      <c r="D79" s="37" t="s">
        <v>114</v>
      </c>
      <c r="E79" s="38">
        <v>440</v>
      </c>
      <c r="F79" s="39">
        <v>2190.0428000000002</v>
      </c>
      <c r="G79" s="40">
        <v>1.142407E-2</v>
      </c>
      <c r="H79" s="30">
        <v>6.9150999999999998</v>
      </c>
    </row>
    <row r="80" spans="1:8" x14ac:dyDescent="0.2">
      <c r="A80" s="36">
        <v>28</v>
      </c>
      <c r="B80" s="37" t="s">
        <v>150</v>
      </c>
      <c r="C80" s="37" t="s">
        <v>151</v>
      </c>
      <c r="D80" s="37" t="s">
        <v>114</v>
      </c>
      <c r="E80" s="38">
        <v>400</v>
      </c>
      <c r="F80" s="39">
        <v>1919.6079999999999</v>
      </c>
      <c r="G80" s="40">
        <v>1.0013380000000001E-2</v>
      </c>
      <c r="H80" s="30">
        <v>7.53</v>
      </c>
    </row>
    <row r="81" spans="1:8" x14ac:dyDescent="0.2">
      <c r="A81" s="36">
        <v>29</v>
      </c>
      <c r="B81" s="37" t="s">
        <v>185</v>
      </c>
      <c r="C81" s="37" t="s">
        <v>186</v>
      </c>
      <c r="D81" s="37" t="s">
        <v>114</v>
      </c>
      <c r="E81" s="38">
        <v>300</v>
      </c>
      <c r="F81" s="39">
        <v>1458.4665</v>
      </c>
      <c r="G81" s="40">
        <v>7.6078999999999999E-3</v>
      </c>
      <c r="H81" s="30">
        <v>7.32</v>
      </c>
    </row>
    <row r="82" spans="1:8" ht="25.5" x14ac:dyDescent="0.2">
      <c r="A82" s="36">
        <v>30</v>
      </c>
      <c r="B82" s="37" t="s">
        <v>135</v>
      </c>
      <c r="C82" s="37" t="s">
        <v>136</v>
      </c>
      <c r="D82" s="37" t="s">
        <v>114</v>
      </c>
      <c r="E82" s="38">
        <v>300</v>
      </c>
      <c r="F82" s="39">
        <v>1438.0664999999999</v>
      </c>
      <c r="G82" s="40">
        <v>7.5014799999999996E-3</v>
      </c>
      <c r="H82" s="30">
        <v>7.45</v>
      </c>
    </row>
    <row r="83" spans="1:8" x14ac:dyDescent="0.2">
      <c r="A83" s="36">
        <v>31</v>
      </c>
      <c r="B83" s="37" t="s">
        <v>118</v>
      </c>
      <c r="C83" s="37" t="s">
        <v>119</v>
      </c>
      <c r="D83" s="37" t="s">
        <v>114</v>
      </c>
      <c r="E83" s="38">
        <v>300</v>
      </c>
      <c r="F83" s="39">
        <v>1434.6285</v>
      </c>
      <c r="G83" s="40">
        <v>7.4835500000000003E-3</v>
      </c>
      <c r="H83" s="30">
        <v>7.4249999999999998</v>
      </c>
    </row>
    <row r="84" spans="1:8" ht="25.5" x14ac:dyDescent="0.2">
      <c r="A84" s="36">
        <v>32</v>
      </c>
      <c r="B84" s="37" t="s">
        <v>189</v>
      </c>
      <c r="C84" s="37" t="s">
        <v>190</v>
      </c>
      <c r="D84" s="37" t="s">
        <v>114</v>
      </c>
      <c r="E84" s="38">
        <v>300</v>
      </c>
      <c r="F84" s="39">
        <v>1434.1379999999999</v>
      </c>
      <c r="G84" s="40">
        <v>7.4809899999999999E-3</v>
      </c>
      <c r="H84" s="30">
        <v>7.45</v>
      </c>
    </row>
    <row r="85" spans="1:8" x14ac:dyDescent="0.2">
      <c r="A85" s="36">
        <v>33</v>
      </c>
      <c r="B85" s="37" t="s">
        <v>139</v>
      </c>
      <c r="C85" s="37" t="s">
        <v>140</v>
      </c>
      <c r="D85" s="37" t="s">
        <v>114</v>
      </c>
      <c r="E85" s="38">
        <v>300</v>
      </c>
      <c r="F85" s="39">
        <v>1431.1859999999999</v>
      </c>
      <c r="G85" s="40">
        <v>7.4655900000000002E-3</v>
      </c>
      <c r="H85" s="30">
        <v>7.5</v>
      </c>
    </row>
    <row r="86" spans="1:8" x14ac:dyDescent="0.2">
      <c r="A86" s="36">
        <v>34</v>
      </c>
      <c r="B86" s="37" t="s">
        <v>123</v>
      </c>
      <c r="C86" s="37" t="s">
        <v>124</v>
      </c>
      <c r="D86" s="37" t="s">
        <v>114</v>
      </c>
      <c r="E86" s="38">
        <v>200</v>
      </c>
      <c r="F86" s="39">
        <v>955.90499999999997</v>
      </c>
      <c r="G86" s="40">
        <v>4.9863499999999996E-3</v>
      </c>
      <c r="H86" s="30">
        <v>7.45</v>
      </c>
    </row>
    <row r="87" spans="1:8" x14ac:dyDescent="0.2">
      <c r="A87" s="28"/>
      <c r="B87" s="28"/>
      <c r="C87" s="29" t="s">
        <v>11</v>
      </c>
      <c r="D87" s="28"/>
      <c r="E87" s="28" t="s">
        <v>12</v>
      </c>
      <c r="F87" s="35">
        <v>104197.2537</v>
      </c>
      <c r="G87" s="32">
        <v>0.54353108999999999</v>
      </c>
      <c r="H87" s="30" t="s">
        <v>12</v>
      </c>
    </row>
    <row r="88" spans="1:8" x14ac:dyDescent="0.2">
      <c r="A88" s="28"/>
      <c r="B88" s="28"/>
      <c r="C88" s="33"/>
      <c r="D88" s="28"/>
      <c r="E88" s="28"/>
      <c r="F88" s="34"/>
      <c r="G88" s="34"/>
      <c r="H88" s="30" t="s">
        <v>12</v>
      </c>
    </row>
    <row r="89" spans="1:8" x14ac:dyDescent="0.2">
      <c r="A89" s="28"/>
      <c r="B89" s="28"/>
      <c r="C89" s="29" t="s">
        <v>61</v>
      </c>
      <c r="D89" s="28"/>
      <c r="E89" s="28"/>
      <c r="F89" s="34"/>
      <c r="G89" s="34"/>
      <c r="H89" s="30" t="s">
        <v>12</v>
      </c>
    </row>
    <row r="90" spans="1:8" ht="25.5" x14ac:dyDescent="0.2">
      <c r="A90" s="36">
        <v>1</v>
      </c>
      <c r="B90" s="37" t="s">
        <v>335</v>
      </c>
      <c r="C90" s="37" t="s">
        <v>585</v>
      </c>
      <c r="D90" s="37" t="s">
        <v>114</v>
      </c>
      <c r="E90" s="38">
        <v>1000</v>
      </c>
      <c r="F90" s="39">
        <v>4828.1850000000004</v>
      </c>
      <c r="G90" s="40">
        <v>2.5185579999999999E-2</v>
      </c>
      <c r="H90" s="30">
        <v>8.0675000000000008</v>
      </c>
    </row>
    <row r="91" spans="1:8" ht="25.5" x14ac:dyDescent="0.2">
      <c r="A91" s="36">
        <v>2</v>
      </c>
      <c r="B91" s="37" t="s">
        <v>336</v>
      </c>
      <c r="C91" s="37" t="s">
        <v>586</v>
      </c>
      <c r="D91" s="37" t="s">
        <v>114</v>
      </c>
      <c r="E91" s="38">
        <v>1000</v>
      </c>
      <c r="F91" s="39">
        <v>4777.46</v>
      </c>
      <c r="G91" s="40">
        <v>2.4920979999999999E-2</v>
      </c>
      <c r="H91" s="30">
        <v>7.49</v>
      </c>
    </row>
    <row r="92" spans="1:8" x14ac:dyDescent="0.2">
      <c r="A92" s="36">
        <v>3</v>
      </c>
      <c r="B92" s="37" t="s">
        <v>337</v>
      </c>
      <c r="C92" s="37" t="s">
        <v>587</v>
      </c>
      <c r="D92" s="37" t="s">
        <v>114</v>
      </c>
      <c r="E92" s="38">
        <v>1000</v>
      </c>
      <c r="F92" s="39">
        <v>4757.5200000000004</v>
      </c>
      <c r="G92" s="40">
        <v>2.4816970000000001E-2</v>
      </c>
      <c r="H92" s="30">
        <v>8.3049999999999997</v>
      </c>
    </row>
    <row r="93" spans="1:8" x14ac:dyDescent="0.2">
      <c r="A93" s="36">
        <v>4</v>
      </c>
      <c r="B93" s="37" t="s">
        <v>338</v>
      </c>
      <c r="C93" s="37" t="s">
        <v>588</v>
      </c>
      <c r="D93" s="37" t="s">
        <v>114</v>
      </c>
      <c r="E93" s="38">
        <v>1000</v>
      </c>
      <c r="F93" s="39">
        <v>4750.6350000000002</v>
      </c>
      <c r="G93" s="40">
        <v>2.4781049999999999E-2</v>
      </c>
      <c r="H93" s="30">
        <v>8.0500000000000007</v>
      </c>
    </row>
    <row r="94" spans="1:8" ht="25.5" x14ac:dyDescent="0.2">
      <c r="A94" s="36">
        <v>5</v>
      </c>
      <c r="B94" s="37" t="s">
        <v>155</v>
      </c>
      <c r="C94" s="37" t="s">
        <v>523</v>
      </c>
      <c r="D94" s="37" t="s">
        <v>114</v>
      </c>
      <c r="E94" s="38">
        <v>800</v>
      </c>
      <c r="F94" s="39">
        <v>3875.0680000000002</v>
      </c>
      <c r="G94" s="40">
        <v>2.0213780000000001E-2</v>
      </c>
      <c r="H94" s="30">
        <v>8.06</v>
      </c>
    </row>
    <row r="95" spans="1:8" x14ac:dyDescent="0.2">
      <c r="A95" s="36">
        <v>6</v>
      </c>
      <c r="B95" s="37" t="s">
        <v>274</v>
      </c>
      <c r="C95" s="37" t="s">
        <v>275</v>
      </c>
      <c r="D95" s="37" t="s">
        <v>114</v>
      </c>
      <c r="E95" s="38">
        <v>500</v>
      </c>
      <c r="F95" s="39">
        <v>2465.9475000000002</v>
      </c>
      <c r="G95" s="40">
        <v>1.2863289999999999E-2</v>
      </c>
      <c r="H95" s="30">
        <v>7.0002000000000004</v>
      </c>
    </row>
    <row r="96" spans="1:8" x14ac:dyDescent="0.2">
      <c r="A96" s="36">
        <v>7</v>
      </c>
      <c r="B96" s="37" t="s">
        <v>339</v>
      </c>
      <c r="C96" s="37" t="s">
        <v>589</v>
      </c>
      <c r="D96" s="37" t="s">
        <v>114</v>
      </c>
      <c r="E96" s="38">
        <v>500</v>
      </c>
      <c r="F96" s="39">
        <v>2387.4349999999999</v>
      </c>
      <c r="G96" s="40">
        <v>1.245374E-2</v>
      </c>
      <c r="H96" s="30">
        <v>7.45</v>
      </c>
    </row>
    <row r="97" spans="1:8" ht="25.5" x14ac:dyDescent="0.2">
      <c r="A97" s="36">
        <v>8</v>
      </c>
      <c r="B97" s="37" t="s">
        <v>340</v>
      </c>
      <c r="C97" s="37" t="s">
        <v>590</v>
      </c>
      <c r="D97" s="37" t="s">
        <v>114</v>
      </c>
      <c r="E97" s="38">
        <v>500</v>
      </c>
      <c r="F97" s="39">
        <v>2366.4650000000001</v>
      </c>
      <c r="G97" s="40">
        <v>1.234435E-2</v>
      </c>
      <c r="H97" s="30">
        <v>8.3049999999999997</v>
      </c>
    </row>
    <row r="98" spans="1:8" x14ac:dyDescent="0.2">
      <c r="A98" s="36">
        <v>9</v>
      </c>
      <c r="B98" s="37" t="s">
        <v>156</v>
      </c>
      <c r="C98" s="37" t="s">
        <v>524</v>
      </c>
      <c r="D98" s="37" t="s">
        <v>114</v>
      </c>
      <c r="E98" s="38">
        <v>300</v>
      </c>
      <c r="F98" s="39">
        <v>1431.4095</v>
      </c>
      <c r="G98" s="40">
        <v>7.4667600000000002E-3</v>
      </c>
      <c r="H98" s="30">
        <v>7.95</v>
      </c>
    </row>
    <row r="99" spans="1:8" ht="25.5" x14ac:dyDescent="0.2">
      <c r="A99" s="36">
        <v>10</v>
      </c>
      <c r="B99" s="37" t="s">
        <v>158</v>
      </c>
      <c r="C99" s="37" t="s">
        <v>525</v>
      </c>
      <c r="D99" s="37" t="s">
        <v>114</v>
      </c>
      <c r="E99" s="38">
        <v>300</v>
      </c>
      <c r="F99" s="39">
        <v>1407.3975</v>
      </c>
      <c r="G99" s="40">
        <v>7.3414999999999999E-3</v>
      </c>
      <c r="H99" s="30">
        <v>7.6</v>
      </c>
    </row>
    <row r="100" spans="1:8" x14ac:dyDescent="0.2">
      <c r="A100" s="28"/>
      <c r="B100" s="28"/>
      <c r="C100" s="29" t="s">
        <v>11</v>
      </c>
      <c r="D100" s="28"/>
      <c r="E100" s="28" t="s">
        <v>12</v>
      </c>
      <c r="F100" s="35">
        <v>33047.522499999999</v>
      </c>
      <c r="G100" s="32">
        <v>0.17238800000000001</v>
      </c>
      <c r="H100" s="30" t="s">
        <v>12</v>
      </c>
    </row>
    <row r="101" spans="1:8" x14ac:dyDescent="0.2">
      <c r="A101" s="28"/>
      <c r="B101" s="28"/>
      <c r="C101" s="33"/>
      <c r="D101" s="28"/>
      <c r="E101" s="28"/>
      <c r="F101" s="34"/>
      <c r="G101" s="34"/>
      <c r="H101" s="30" t="s">
        <v>12</v>
      </c>
    </row>
    <row r="102" spans="1:8" x14ac:dyDescent="0.2">
      <c r="A102" s="28"/>
      <c r="B102" s="28"/>
      <c r="C102" s="29" t="s">
        <v>62</v>
      </c>
      <c r="D102" s="28"/>
      <c r="E102" s="28"/>
      <c r="F102" s="34"/>
      <c r="G102" s="34"/>
      <c r="H102" s="30" t="s">
        <v>12</v>
      </c>
    </row>
    <row r="103" spans="1:8" x14ac:dyDescent="0.2">
      <c r="A103" s="36">
        <v>1</v>
      </c>
      <c r="B103" s="37" t="s">
        <v>341</v>
      </c>
      <c r="C103" s="37" t="s">
        <v>342</v>
      </c>
      <c r="D103" s="37" t="s">
        <v>50</v>
      </c>
      <c r="E103" s="38">
        <v>10000000</v>
      </c>
      <c r="F103" s="39">
        <v>9983.82</v>
      </c>
      <c r="G103" s="40">
        <v>5.2079269999999997E-2</v>
      </c>
      <c r="H103" s="30">
        <v>6.5717999999999996</v>
      </c>
    </row>
    <row r="104" spans="1:8" x14ac:dyDescent="0.2">
      <c r="A104" s="36">
        <v>2</v>
      </c>
      <c r="B104" s="37" t="s">
        <v>281</v>
      </c>
      <c r="C104" s="37" t="s">
        <v>282</v>
      </c>
      <c r="D104" s="37" t="s">
        <v>50</v>
      </c>
      <c r="E104" s="38">
        <v>5000000</v>
      </c>
      <c r="F104" s="39">
        <v>4973.53</v>
      </c>
      <c r="G104" s="40">
        <v>2.594376E-2</v>
      </c>
      <c r="H104" s="30">
        <v>6.4749999999999996</v>
      </c>
    </row>
    <row r="105" spans="1:8" x14ac:dyDescent="0.2">
      <c r="A105" s="36">
        <v>3</v>
      </c>
      <c r="B105" s="37" t="s">
        <v>343</v>
      </c>
      <c r="C105" s="37" t="s">
        <v>344</v>
      </c>
      <c r="D105" s="37" t="s">
        <v>50</v>
      </c>
      <c r="E105" s="38">
        <v>500000</v>
      </c>
      <c r="F105" s="39">
        <v>492.83199999999999</v>
      </c>
      <c r="G105" s="40">
        <v>2.5707899999999999E-3</v>
      </c>
      <c r="H105" s="30">
        <v>6.72</v>
      </c>
    </row>
    <row r="106" spans="1:8" x14ac:dyDescent="0.2">
      <c r="A106" s="28"/>
      <c r="B106" s="28"/>
      <c r="C106" s="29" t="s">
        <v>11</v>
      </c>
      <c r="D106" s="28"/>
      <c r="E106" s="28" t="s">
        <v>12</v>
      </c>
      <c r="F106" s="35">
        <v>15450.182000000001</v>
      </c>
      <c r="G106" s="32">
        <v>8.0593819999999997E-2</v>
      </c>
      <c r="H106" s="30" t="s">
        <v>12</v>
      </c>
    </row>
    <row r="107" spans="1:8" x14ac:dyDescent="0.2">
      <c r="A107" s="28"/>
      <c r="B107" s="28"/>
      <c r="C107" s="33"/>
      <c r="D107" s="28"/>
      <c r="E107" s="28"/>
      <c r="F107" s="34"/>
      <c r="G107" s="34"/>
      <c r="H107" s="30" t="s">
        <v>12</v>
      </c>
    </row>
    <row r="108" spans="1:8" x14ac:dyDescent="0.2">
      <c r="A108" s="28"/>
      <c r="B108" s="28"/>
      <c r="C108" s="29" t="s">
        <v>63</v>
      </c>
      <c r="D108" s="28"/>
      <c r="E108" s="28"/>
      <c r="F108" s="34"/>
      <c r="G108" s="34"/>
      <c r="H108" s="30" t="s">
        <v>12</v>
      </c>
    </row>
    <row r="109" spans="1:8" x14ac:dyDescent="0.2">
      <c r="A109" s="36">
        <v>1</v>
      </c>
      <c r="B109" s="37"/>
      <c r="C109" s="37" t="s">
        <v>64</v>
      </c>
      <c r="D109" s="37"/>
      <c r="E109" s="41"/>
      <c r="F109" s="39">
        <v>13496.791290957</v>
      </c>
      <c r="G109" s="40">
        <v>7.0404209999999995E-2</v>
      </c>
      <c r="H109" s="30">
        <v>6.35</v>
      </c>
    </row>
    <row r="110" spans="1:8" x14ac:dyDescent="0.2">
      <c r="A110" s="28"/>
      <c r="B110" s="28"/>
      <c r="C110" s="29" t="s">
        <v>11</v>
      </c>
      <c r="D110" s="28"/>
      <c r="E110" s="28" t="s">
        <v>12</v>
      </c>
      <c r="F110" s="35">
        <v>13496.791290957</v>
      </c>
      <c r="G110" s="32">
        <v>7.0404209999999995E-2</v>
      </c>
      <c r="H110" s="30" t="s">
        <v>12</v>
      </c>
    </row>
    <row r="111" spans="1:8" x14ac:dyDescent="0.2">
      <c r="A111" s="28"/>
      <c r="B111" s="28"/>
      <c r="C111" s="33"/>
      <c r="D111" s="28"/>
      <c r="E111" s="28"/>
      <c r="F111" s="34"/>
      <c r="G111" s="34"/>
      <c r="H111" s="30" t="s">
        <v>12</v>
      </c>
    </row>
    <row r="112" spans="1:8" x14ac:dyDescent="0.2">
      <c r="A112" s="28"/>
      <c r="B112" s="28"/>
      <c r="C112" s="29" t="s">
        <v>65</v>
      </c>
      <c r="D112" s="28"/>
      <c r="E112" s="28"/>
      <c r="F112" s="35">
        <v>166191.74949095701</v>
      </c>
      <c r="G112" s="32">
        <v>0.86691711999999999</v>
      </c>
      <c r="H112" s="30" t="s">
        <v>12</v>
      </c>
    </row>
    <row r="113" spans="1:18" x14ac:dyDescent="0.2">
      <c r="A113" s="28"/>
      <c r="B113" s="28"/>
      <c r="C113" s="34"/>
      <c r="D113" s="28"/>
      <c r="E113" s="28"/>
      <c r="F113" s="28"/>
      <c r="G113" s="28"/>
      <c r="H113" s="30" t="s">
        <v>12</v>
      </c>
    </row>
    <row r="114" spans="1:18" x14ac:dyDescent="0.2">
      <c r="A114" s="28"/>
      <c r="B114" s="28"/>
      <c r="C114" s="29" t="s">
        <v>66</v>
      </c>
      <c r="D114" s="28"/>
      <c r="E114" s="28"/>
      <c r="F114" s="28"/>
      <c r="G114" s="28"/>
      <c r="H114" s="30" t="s">
        <v>12</v>
      </c>
    </row>
    <row r="115" spans="1:18" x14ac:dyDescent="0.2">
      <c r="A115" s="28"/>
      <c r="B115" s="28"/>
      <c r="C115" s="29" t="s">
        <v>67</v>
      </c>
      <c r="D115" s="28"/>
      <c r="E115" s="28"/>
      <c r="F115" s="28"/>
      <c r="G115" s="28"/>
      <c r="H115" s="30" t="s">
        <v>12</v>
      </c>
    </row>
    <row r="116" spans="1:18" x14ac:dyDescent="0.2">
      <c r="A116" s="28"/>
      <c r="B116" s="28"/>
      <c r="C116" s="29" t="s">
        <v>11</v>
      </c>
      <c r="D116" s="28"/>
      <c r="E116" s="28" t="s">
        <v>12</v>
      </c>
      <c r="F116" s="31" t="s">
        <v>13</v>
      </c>
      <c r="G116" s="32">
        <v>0</v>
      </c>
      <c r="H116" s="30" t="s">
        <v>12</v>
      </c>
    </row>
    <row r="117" spans="1:18" x14ac:dyDescent="0.2">
      <c r="A117" s="28"/>
      <c r="B117" s="28"/>
      <c r="C117" s="33"/>
      <c r="D117" s="28"/>
      <c r="E117" s="28"/>
      <c r="F117" s="34"/>
      <c r="G117" s="34"/>
      <c r="H117" s="30" t="s">
        <v>12</v>
      </c>
    </row>
    <row r="118" spans="1:18" x14ac:dyDescent="0.2">
      <c r="A118" s="28"/>
      <c r="B118" s="28"/>
      <c r="C118" s="29" t="s">
        <v>70</v>
      </c>
      <c r="D118" s="28"/>
      <c r="E118" s="28"/>
      <c r="F118" s="28"/>
      <c r="G118" s="28"/>
      <c r="H118" s="30" t="s">
        <v>12</v>
      </c>
    </row>
    <row r="119" spans="1:18" x14ac:dyDescent="0.2">
      <c r="A119" s="28"/>
      <c r="B119" s="28"/>
      <c r="C119" s="29" t="s">
        <v>71</v>
      </c>
      <c r="D119" s="28"/>
      <c r="E119" s="28"/>
      <c r="F119" s="28"/>
      <c r="G119" s="28"/>
      <c r="H119" s="30" t="s">
        <v>12</v>
      </c>
    </row>
    <row r="120" spans="1:18" x14ac:dyDescent="0.2">
      <c r="A120" s="28"/>
      <c r="B120" s="28"/>
      <c r="C120" s="29" t="s">
        <v>11</v>
      </c>
      <c r="D120" s="28"/>
      <c r="E120" s="28" t="s">
        <v>12</v>
      </c>
      <c r="F120" s="31" t="s">
        <v>13</v>
      </c>
      <c r="G120" s="32">
        <v>0</v>
      </c>
      <c r="H120" s="30" t="s">
        <v>12</v>
      </c>
    </row>
    <row r="121" spans="1:18" x14ac:dyDescent="0.2">
      <c r="A121" s="28"/>
      <c r="B121" s="28"/>
      <c r="C121" s="33"/>
      <c r="D121" s="28"/>
      <c r="E121" s="28"/>
      <c r="F121" s="34"/>
      <c r="G121" s="34"/>
      <c r="H121" s="30" t="s">
        <v>12</v>
      </c>
    </row>
    <row r="122" spans="1:18" x14ac:dyDescent="0.2">
      <c r="A122" s="28"/>
      <c r="B122" s="28"/>
      <c r="C122" s="29" t="s">
        <v>72</v>
      </c>
      <c r="D122" s="28"/>
      <c r="E122" s="28"/>
      <c r="F122" s="34"/>
      <c r="G122" s="34"/>
      <c r="H122" s="30" t="s">
        <v>12</v>
      </c>
    </row>
    <row r="123" spans="1:18" x14ac:dyDescent="0.2">
      <c r="A123" s="28"/>
      <c r="B123" s="28"/>
      <c r="C123" s="29" t="s">
        <v>11</v>
      </c>
      <c r="D123" s="28"/>
      <c r="E123" s="28" t="s">
        <v>12</v>
      </c>
      <c r="F123" s="31" t="s">
        <v>13</v>
      </c>
      <c r="G123" s="32">
        <v>0</v>
      </c>
      <c r="H123" s="30" t="s">
        <v>12</v>
      </c>
    </row>
    <row r="124" spans="1:18" x14ac:dyDescent="0.2">
      <c r="A124" s="73"/>
      <c r="B124" s="73"/>
      <c r="C124" s="74"/>
      <c r="D124" s="73"/>
      <c r="E124" s="73"/>
      <c r="F124" s="75"/>
      <c r="G124" s="75"/>
      <c r="H124" s="30" t="s">
        <v>12</v>
      </c>
    </row>
    <row r="125" spans="1:18" x14ac:dyDescent="0.2">
      <c r="A125" s="76"/>
      <c r="B125" s="76"/>
      <c r="C125" s="64" t="s">
        <v>406</v>
      </c>
      <c r="D125" s="76"/>
      <c r="E125" s="76"/>
      <c r="F125" s="77"/>
      <c r="G125" s="77"/>
      <c r="H125" s="78"/>
      <c r="K125" s="5"/>
      <c r="L125" s="5"/>
      <c r="M125" s="5"/>
      <c r="N125" s="5"/>
      <c r="O125" s="5"/>
      <c r="P125" s="6"/>
      <c r="Q125" s="6"/>
      <c r="R125" s="6"/>
    </row>
    <row r="126" spans="1:18" ht="25.5" x14ac:dyDescent="0.2">
      <c r="A126" s="36">
        <v>1</v>
      </c>
      <c r="B126" s="37" t="s">
        <v>68</v>
      </c>
      <c r="C126" s="37" t="s">
        <v>69</v>
      </c>
      <c r="D126" s="37"/>
      <c r="E126" s="79">
        <v>4528.5039999999999</v>
      </c>
      <c r="F126" s="39">
        <v>466.79346003299997</v>
      </c>
      <c r="G126" s="40">
        <v>2.4349699999999998E-3</v>
      </c>
      <c r="H126" s="30"/>
    </row>
    <row r="127" spans="1:18" x14ac:dyDescent="0.2">
      <c r="A127" s="28"/>
      <c r="B127" s="28"/>
      <c r="C127" s="29" t="s">
        <v>11</v>
      </c>
      <c r="D127" s="28"/>
      <c r="E127" s="28" t="s">
        <v>12</v>
      </c>
      <c r="F127" s="35">
        <v>466.79346003299997</v>
      </c>
      <c r="G127" s="32">
        <v>2.4349699999999998E-3</v>
      </c>
      <c r="H127" s="30" t="s">
        <v>12</v>
      </c>
    </row>
    <row r="128" spans="1:18" x14ac:dyDescent="0.2">
      <c r="A128" s="28"/>
      <c r="B128" s="37"/>
      <c r="C128" s="37"/>
      <c r="D128" s="29"/>
      <c r="E128" s="28"/>
      <c r="F128" s="37"/>
      <c r="G128" s="41"/>
      <c r="H128" s="30" t="s">
        <v>12</v>
      </c>
    </row>
    <row r="129" spans="1:8" x14ac:dyDescent="0.2">
      <c r="A129" s="41"/>
      <c r="B129" s="37"/>
      <c r="C129" s="37" t="s">
        <v>73</v>
      </c>
      <c r="D129" s="37"/>
      <c r="E129" s="41"/>
      <c r="F129" s="39">
        <f>602.52198116+0.0000159299850463867</f>
        <v>602.52199708998501</v>
      </c>
      <c r="G129" s="40">
        <v>3.1429800000000001E-3</v>
      </c>
      <c r="H129" s="30" t="s">
        <v>12</v>
      </c>
    </row>
    <row r="130" spans="1:8" x14ac:dyDescent="0.2">
      <c r="A130" s="33"/>
      <c r="B130" s="33"/>
      <c r="C130" s="29" t="s">
        <v>74</v>
      </c>
      <c r="D130" s="34"/>
      <c r="E130" s="34"/>
      <c r="F130" s="35">
        <f>191704.31443215+0.0000159299850463867</f>
        <v>191704.31444807997</v>
      </c>
      <c r="G130" s="42">
        <v>1.0000000200000001</v>
      </c>
      <c r="H130" s="30" t="s">
        <v>12</v>
      </c>
    </row>
    <row r="131" spans="1:8" x14ac:dyDescent="0.2">
      <c r="A131" s="43"/>
      <c r="B131" s="43"/>
      <c r="C131" s="43"/>
      <c r="D131" s="44"/>
      <c r="E131" s="44"/>
      <c r="F131" s="44"/>
      <c r="G131" s="44"/>
    </row>
    <row r="132" spans="1:8" x14ac:dyDescent="0.2">
      <c r="A132" s="45"/>
      <c r="B132" s="110" t="s">
        <v>407</v>
      </c>
      <c r="C132" s="110"/>
      <c r="D132" s="110"/>
      <c r="E132" s="110"/>
      <c r="F132" s="110"/>
      <c r="G132" s="110"/>
      <c r="H132" s="110"/>
    </row>
    <row r="133" spans="1:8" x14ac:dyDescent="0.2">
      <c r="A133" s="45"/>
      <c r="B133" s="110" t="s">
        <v>408</v>
      </c>
      <c r="C133" s="110"/>
      <c r="D133" s="110"/>
      <c r="E133" s="110"/>
      <c r="F133" s="110"/>
      <c r="G133" s="110"/>
      <c r="H133" s="110"/>
    </row>
    <row r="134" spans="1:8" x14ac:dyDescent="0.2">
      <c r="A134" s="45"/>
      <c r="B134" s="110" t="s">
        <v>409</v>
      </c>
      <c r="C134" s="110"/>
      <c r="D134" s="110"/>
      <c r="E134" s="110"/>
      <c r="F134" s="110"/>
      <c r="G134" s="110"/>
      <c r="H134" s="110"/>
    </row>
    <row r="135" spans="1:8" x14ac:dyDescent="0.2">
      <c r="A135" s="47"/>
      <c r="B135" s="47"/>
      <c r="C135" s="47"/>
      <c r="D135" s="48"/>
      <c r="E135" s="48"/>
      <c r="F135" s="48"/>
      <c r="G135" s="48"/>
    </row>
    <row r="136" spans="1:8" x14ac:dyDescent="0.2">
      <c r="A136" s="47"/>
      <c r="B136" s="112" t="s">
        <v>75</v>
      </c>
      <c r="C136" s="113"/>
      <c r="D136" s="114"/>
      <c r="E136" s="49"/>
      <c r="F136" s="48"/>
      <c r="G136" s="48"/>
    </row>
    <row r="137" spans="1:8" ht="25.5" x14ac:dyDescent="0.2">
      <c r="A137" s="47"/>
      <c r="B137" s="115" t="s">
        <v>76</v>
      </c>
      <c r="C137" s="116"/>
      <c r="D137" s="64" t="s">
        <v>433</v>
      </c>
      <c r="E137" s="49"/>
      <c r="F137" s="48"/>
      <c r="G137" s="48"/>
    </row>
    <row r="138" spans="1:8" x14ac:dyDescent="0.2">
      <c r="A138" s="47"/>
      <c r="B138" s="115" t="s">
        <v>78</v>
      </c>
      <c r="C138" s="116"/>
      <c r="D138" s="29" t="s">
        <v>77</v>
      </c>
      <c r="E138" s="49"/>
      <c r="F138" s="48"/>
      <c r="G138" s="48"/>
    </row>
    <row r="139" spans="1:8" x14ac:dyDescent="0.2">
      <c r="A139" s="47"/>
      <c r="B139" s="115" t="s">
        <v>79</v>
      </c>
      <c r="C139" s="116"/>
      <c r="D139" s="34" t="s">
        <v>12</v>
      </c>
      <c r="E139" s="49"/>
      <c r="F139" s="48"/>
      <c r="G139" s="48"/>
    </row>
    <row r="140" spans="1:8" x14ac:dyDescent="0.2">
      <c r="A140" s="50"/>
      <c r="B140" s="51" t="s">
        <v>12</v>
      </c>
      <c r="C140" s="51" t="s">
        <v>458</v>
      </c>
      <c r="D140" s="51" t="s">
        <v>80</v>
      </c>
      <c r="E140" s="50"/>
      <c r="F140" s="50"/>
      <c r="G140" s="50"/>
      <c r="H140" s="52"/>
    </row>
    <row r="141" spans="1:8" x14ac:dyDescent="0.2">
      <c r="A141" s="53"/>
      <c r="B141" s="54" t="s">
        <v>81</v>
      </c>
      <c r="C141" s="55" t="s">
        <v>82</v>
      </c>
      <c r="D141" s="55" t="s">
        <v>83</v>
      </c>
      <c r="E141" s="53"/>
      <c r="F141" s="53"/>
      <c r="G141" s="53"/>
    </row>
    <row r="142" spans="1:8" x14ac:dyDescent="0.2">
      <c r="A142" s="53"/>
      <c r="B142" s="37" t="s">
        <v>84</v>
      </c>
      <c r="C142" s="56">
        <v>2715.8163</v>
      </c>
      <c r="D142" s="56">
        <v>2724.9587999999999</v>
      </c>
      <c r="E142" s="53"/>
      <c r="F142" s="57"/>
      <c r="G142" s="58"/>
    </row>
    <row r="143" spans="1:8" ht="25.5" x14ac:dyDescent="0.2">
      <c r="A143" s="53"/>
      <c r="B143" s="37" t="s">
        <v>85</v>
      </c>
      <c r="C143" s="56">
        <v>1063.8577</v>
      </c>
      <c r="D143" s="56">
        <v>1067.4367</v>
      </c>
      <c r="E143" s="53"/>
      <c r="F143" s="57"/>
      <c r="G143" s="58"/>
    </row>
    <row r="144" spans="1:8" ht="25.5" x14ac:dyDescent="0.2">
      <c r="A144" s="53"/>
      <c r="B144" s="37" t="s">
        <v>86</v>
      </c>
      <c r="C144" s="56">
        <v>1159.3484000000001</v>
      </c>
      <c r="D144" s="56">
        <v>1163.2529</v>
      </c>
      <c r="E144" s="53"/>
      <c r="F144" s="57"/>
      <c r="G144" s="58"/>
    </row>
    <row r="145" spans="1:15" x14ac:dyDescent="0.2">
      <c r="A145" s="53"/>
      <c r="B145" s="37" t="s">
        <v>89</v>
      </c>
      <c r="C145" s="56">
        <v>2521.2211000000002</v>
      </c>
      <c r="D145" s="56">
        <v>2528.4407999999999</v>
      </c>
      <c r="E145" s="53"/>
      <c r="F145" s="57"/>
      <c r="G145" s="58"/>
    </row>
    <row r="146" spans="1:15" ht="25.5" x14ac:dyDescent="0.2">
      <c r="A146" s="53"/>
      <c r="B146" s="37" t="s">
        <v>90</v>
      </c>
      <c r="C146" s="56">
        <v>1062.8806999999999</v>
      </c>
      <c r="D146" s="56">
        <v>1065.9241999999999</v>
      </c>
      <c r="E146" s="53"/>
      <c r="F146" s="57"/>
      <c r="G146" s="58"/>
    </row>
    <row r="147" spans="1:15" ht="25.5" x14ac:dyDescent="0.2">
      <c r="A147" s="53"/>
      <c r="B147" s="37" t="s">
        <v>91</v>
      </c>
      <c r="C147" s="56">
        <v>1122.9670000000001</v>
      </c>
      <c r="D147" s="56">
        <v>1126.1831</v>
      </c>
      <c r="E147" s="53"/>
      <c r="F147" s="57"/>
      <c r="G147" s="58"/>
    </row>
    <row r="148" spans="1:15" x14ac:dyDescent="0.2">
      <c r="A148" s="53"/>
      <c r="B148" s="53"/>
      <c r="C148" s="53"/>
      <c r="D148" s="53"/>
      <c r="E148" s="53"/>
      <c r="F148" s="53"/>
      <c r="G148" s="53"/>
    </row>
    <row r="149" spans="1:15" x14ac:dyDescent="0.2">
      <c r="A149" s="53"/>
      <c r="B149" s="115" t="s">
        <v>94</v>
      </c>
      <c r="C149" s="116"/>
      <c r="D149" s="64" t="s">
        <v>77</v>
      </c>
      <c r="E149" s="53"/>
      <c r="F149" s="53"/>
      <c r="G149" s="53"/>
    </row>
    <row r="150" spans="1:15" x14ac:dyDescent="0.2">
      <c r="A150" s="53"/>
      <c r="B150" s="66"/>
      <c r="C150" s="66"/>
      <c r="D150" s="66"/>
      <c r="E150" s="53"/>
      <c r="F150" s="53"/>
      <c r="G150" s="53"/>
    </row>
    <row r="151" spans="1:15" x14ac:dyDescent="0.2">
      <c r="A151" s="50"/>
      <c r="B151" s="117" t="s">
        <v>95</v>
      </c>
      <c r="C151" s="118"/>
      <c r="D151" s="64" t="s">
        <v>77</v>
      </c>
      <c r="E151" s="65"/>
      <c r="F151" s="50"/>
      <c r="G151" s="50"/>
    </row>
    <row r="152" spans="1:15" x14ac:dyDescent="0.2">
      <c r="A152" s="50"/>
      <c r="B152" s="117" t="s">
        <v>96</v>
      </c>
      <c r="C152" s="118"/>
      <c r="D152" s="64" t="s">
        <v>77</v>
      </c>
      <c r="E152" s="65"/>
      <c r="F152" s="50"/>
      <c r="G152" s="50"/>
    </row>
    <row r="153" spans="1:15" x14ac:dyDescent="0.2">
      <c r="A153" s="50"/>
      <c r="B153" s="117" t="s">
        <v>410</v>
      </c>
      <c r="C153" s="118"/>
      <c r="D153" s="64" t="s">
        <v>77</v>
      </c>
      <c r="E153" s="65"/>
      <c r="F153" s="50"/>
      <c r="G153" s="50"/>
    </row>
    <row r="154" spans="1:15" x14ac:dyDescent="0.2">
      <c r="A154" s="66"/>
      <c r="B154" s="66"/>
      <c r="C154" s="66"/>
      <c r="D154" s="66"/>
      <c r="E154" s="66"/>
      <c r="F154" s="66"/>
      <c r="G154" s="66"/>
    </row>
    <row r="155" spans="1:15" s="7" customFormat="1" x14ac:dyDescent="0.2">
      <c r="B155" s="93" t="s">
        <v>456</v>
      </c>
      <c r="C155" s="93"/>
      <c r="D155" s="93"/>
      <c r="E155" s="93"/>
      <c r="F155" s="93"/>
      <c r="G155" s="93"/>
      <c r="I155"/>
      <c r="J155" s="2"/>
      <c r="K155" s="5"/>
      <c r="L155" s="5"/>
      <c r="M155" s="5"/>
      <c r="N155" s="5"/>
      <c r="O155" s="8"/>
    </row>
    <row r="156" spans="1:15" s="7" customFormat="1" x14ac:dyDescent="0.2">
      <c r="B156" s="94"/>
      <c r="C156" s="94"/>
      <c r="D156" s="94"/>
      <c r="E156" s="94"/>
      <c r="F156" s="94"/>
      <c r="G156" s="94"/>
      <c r="I156"/>
      <c r="J156" s="2"/>
      <c r="K156" s="5"/>
      <c r="L156" s="5"/>
      <c r="M156" s="5"/>
      <c r="N156" s="5"/>
      <c r="O156" s="8"/>
    </row>
    <row r="157" spans="1:15" s="7" customFormat="1" ht="102" x14ac:dyDescent="0.2">
      <c r="B157" s="95" t="s">
        <v>424</v>
      </c>
      <c r="C157" s="95" t="s">
        <v>425</v>
      </c>
      <c r="D157" s="95" t="s">
        <v>426</v>
      </c>
      <c r="E157" s="95" t="s">
        <v>427</v>
      </c>
      <c r="F157" s="95" t="s">
        <v>428</v>
      </c>
      <c r="G157" s="94"/>
      <c r="I157"/>
      <c r="J157" s="2"/>
      <c r="K157" s="5"/>
      <c r="L157" s="5"/>
      <c r="M157" s="5"/>
      <c r="N157" s="5"/>
      <c r="O157" s="8"/>
    </row>
    <row r="158" spans="1:15" s="7" customFormat="1" x14ac:dyDescent="0.2">
      <c r="B158" s="96" t="s">
        <v>429</v>
      </c>
      <c r="C158" s="96" t="s">
        <v>430</v>
      </c>
      <c r="D158" s="10">
        <v>0</v>
      </c>
      <c r="E158" s="11">
        <v>0</v>
      </c>
      <c r="F158" s="97">
        <v>500</v>
      </c>
      <c r="G158" s="94"/>
      <c r="I158"/>
      <c r="J158" s="2"/>
      <c r="K158" s="5"/>
      <c r="L158" s="5"/>
      <c r="M158" s="5"/>
      <c r="N158" s="5"/>
      <c r="O158" s="8"/>
    </row>
    <row r="159" spans="1:15" s="7" customFormat="1" x14ac:dyDescent="0.2">
      <c r="I159"/>
      <c r="J159" s="2"/>
      <c r="K159" s="5"/>
      <c r="L159" s="5"/>
      <c r="M159" s="5"/>
      <c r="N159" s="5"/>
      <c r="O159" s="8"/>
    </row>
    <row r="160" spans="1:15" s="7" customFormat="1" x14ac:dyDescent="0.2">
      <c r="B160" s="119" t="s">
        <v>411</v>
      </c>
      <c r="C160" s="120"/>
      <c r="D160" s="121"/>
      <c r="I160"/>
      <c r="J160" s="2"/>
      <c r="K160" s="5"/>
      <c r="L160" s="5"/>
      <c r="M160" s="5"/>
      <c r="N160" s="5"/>
      <c r="O160" s="8"/>
    </row>
    <row r="161" spans="2:17" s="7" customFormat="1" ht="51" x14ac:dyDescent="0.2">
      <c r="B161" s="111" t="s">
        <v>412</v>
      </c>
      <c r="C161" s="111"/>
      <c r="D161" s="67" t="s">
        <v>306</v>
      </c>
      <c r="I161"/>
      <c r="J161" s="2"/>
      <c r="K161" s="5"/>
      <c r="L161" s="5"/>
      <c r="M161" s="5"/>
      <c r="N161" s="5"/>
      <c r="O161" s="8"/>
    </row>
    <row r="162" spans="2:17" s="7" customFormat="1" x14ac:dyDescent="0.2">
      <c r="B162" s="107" t="s">
        <v>413</v>
      </c>
      <c r="C162" s="107"/>
      <c r="D162" s="68"/>
      <c r="I162"/>
      <c r="J162" s="2"/>
      <c r="K162" s="5"/>
      <c r="L162" s="5"/>
      <c r="M162" s="5"/>
      <c r="N162" s="5"/>
      <c r="O162" s="8"/>
    </row>
    <row r="163" spans="2:17" s="7" customFormat="1" x14ac:dyDescent="0.2">
      <c r="B163" s="107"/>
      <c r="C163" s="107"/>
      <c r="D163" s="69"/>
      <c r="I163"/>
      <c r="J163" s="2"/>
      <c r="K163" s="5"/>
      <c r="L163" s="5"/>
      <c r="M163" s="5"/>
      <c r="N163" s="5"/>
      <c r="O163" s="8"/>
    </row>
    <row r="164" spans="2:17" s="7" customFormat="1" x14ac:dyDescent="0.2">
      <c r="B164" s="107" t="s">
        <v>414</v>
      </c>
      <c r="C164" s="107"/>
      <c r="D164" s="70">
        <v>7.4105563528211054</v>
      </c>
      <c r="I164"/>
      <c r="J164" s="2"/>
      <c r="K164" s="5"/>
      <c r="L164" s="5"/>
      <c r="M164" s="5"/>
      <c r="N164" s="5"/>
      <c r="O164" s="8"/>
    </row>
    <row r="165" spans="2:17" s="7" customFormat="1" x14ac:dyDescent="0.2">
      <c r="B165" s="107"/>
      <c r="C165" s="107"/>
      <c r="D165" s="69"/>
      <c r="I165"/>
      <c r="J165" s="2"/>
      <c r="K165" s="5"/>
      <c r="L165" s="5"/>
      <c r="M165" s="5"/>
      <c r="N165" s="5"/>
      <c r="O165" s="8"/>
    </row>
    <row r="166" spans="2:17" s="7" customFormat="1" x14ac:dyDescent="0.2">
      <c r="B166" s="107" t="s">
        <v>415</v>
      </c>
      <c r="C166" s="107"/>
      <c r="D166" s="70">
        <v>0.48169683356854109</v>
      </c>
      <c r="I166"/>
      <c r="J166" s="2"/>
      <c r="K166" s="5"/>
      <c r="L166" s="5"/>
      <c r="M166" s="5"/>
      <c r="N166" s="5"/>
      <c r="O166" s="8"/>
    </row>
    <row r="167" spans="2:17" s="7" customFormat="1" x14ac:dyDescent="0.2">
      <c r="B167" s="107" t="s">
        <v>416</v>
      </c>
      <c r="C167" s="107"/>
      <c r="D167" s="70">
        <v>0.48784623792027265</v>
      </c>
      <c r="I167"/>
      <c r="J167" s="2"/>
      <c r="K167" s="5"/>
      <c r="L167" s="5"/>
      <c r="M167" s="5"/>
      <c r="N167" s="5"/>
      <c r="O167" s="8"/>
    </row>
    <row r="168" spans="2:17" s="7" customFormat="1" x14ac:dyDescent="0.2">
      <c r="B168" s="107"/>
      <c r="C168" s="107"/>
      <c r="D168" s="69"/>
      <c r="I168"/>
      <c r="J168" s="2"/>
      <c r="K168" s="5"/>
      <c r="L168" s="5"/>
      <c r="M168" s="5"/>
      <c r="N168" s="5"/>
      <c r="O168" s="8"/>
    </row>
    <row r="169" spans="2:17" s="7" customFormat="1" x14ac:dyDescent="0.2">
      <c r="B169" s="107" t="s">
        <v>417</v>
      </c>
      <c r="C169" s="107"/>
      <c r="D169" s="71" t="s">
        <v>454</v>
      </c>
      <c r="I169"/>
      <c r="J169" s="2"/>
      <c r="K169" s="5"/>
      <c r="L169" s="5"/>
      <c r="M169" s="5"/>
      <c r="N169" s="5"/>
      <c r="O169" s="8"/>
    </row>
    <row r="170" spans="2:17" s="7" customFormat="1" x14ac:dyDescent="0.2">
      <c r="B170" s="105" t="s">
        <v>418</v>
      </c>
      <c r="C170" s="108"/>
      <c r="D170" s="106"/>
      <c r="I170"/>
      <c r="J170" s="2"/>
      <c r="K170" s="5"/>
      <c r="L170" s="5"/>
      <c r="M170" s="5"/>
      <c r="N170" s="5"/>
      <c r="O170" s="8"/>
      <c r="P170"/>
      <c r="Q170"/>
    </row>
  </sheetData>
  <mergeCells count="25">
    <mergeCell ref="B149:C149"/>
    <mergeCell ref="B153:C153"/>
    <mergeCell ref="B151:C151"/>
    <mergeCell ref="B152:C152"/>
    <mergeCell ref="B134:H134"/>
    <mergeCell ref="B136:D136"/>
    <mergeCell ref="B137:C137"/>
    <mergeCell ref="B138:C138"/>
    <mergeCell ref="B139:C139"/>
    <mergeCell ref="A1:H1"/>
    <mergeCell ref="A2:H2"/>
    <mergeCell ref="A3:H3"/>
    <mergeCell ref="B132:H132"/>
    <mergeCell ref="B133:H133"/>
    <mergeCell ref="B160:D160"/>
    <mergeCell ref="B161:C161"/>
    <mergeCell ref="B162:C162"/>
    <mergeCell ref="B163:C163"/>
    <mergeCell ref="B164:C164"/>
    <mergeCell ref="B170:D170"/>
    <mergeCell ref="B165:C165"/>
    <mergeCell ref="B166:C166"/>
    <mergeCell ref="B167:C167"/>
    <mergeCell ref="B168:C168"/>
    <mergeCell ref="B169:C169"/>
  </mergeCells>
  <hyperlinks>
    <hyperlink ref="I1" location="Index!B8" display="Index" xr:uid="{94E2C05C-1251-47E6-A955-6C7628D55FD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A298E-337A-4450-BE75-17CBC569F87D}">
  <sheetPr>
    <outlinePr summaryBelow="0" summaryRight="0"/>
  </sheetPr>
  <dimension ref="A1:R126"/>
  <sheetViews>
    <sheetView showGridLines="0" workbookViewId="0">
      <selection activeCell="E21" sqref="E21"/>
    </sheetView>
  </sheetViews>
  <sheetFormatPr defaultRowHeight="12.75" x14ac:dyDescent="0.2"/>
  <cols>
    <col min="1" max="1" width="5.85546875" bestFit="1" customWidth="1"/>
    <col min="2" max="2" width="19.710937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0" ht="15" x14ac:dyDescent="0.2">
      <c r="A1" s="109" t="s">
        <v>0</v>
      </c>
      <c r="B1" s="109"/>
      <c r="C1" s="109"/>
      <c r="D1" s="109"/>
      <c r="E1" s="109"/>
      <c r="F1" s="109"/>
      <c r="G1" s="109"/>
      <c r="H1" s="109"/>
      <c r="I1" s="1" t="s">
        <v>459</v>
      </c>
    </row>
    <row r="2" spans="1:10" ht="15" x14ac:dyDescent="0.2">
      <c r="A2" s="109" t="s">
        <v>345</v>
      </c>
      <c r="B2" s="109"/>
      <c r="C2" s="109"/>
      <c r="D2" s="109"/>
      <c r="E2" s="109"/>
      <c r="F2" s="109"/>
      <c r="G2" s="109"/>
      <c r="H2" s="109"/>
      <c r="J2" s="3" t="s">
        <v>460</v>
      </c>
    </row>
    <row r="3" spans="1:10" ht="15" x14ac:dyDescent="0.2">
      <c r="A3" s="109" t="s">
        <v>494</v>
      </c>
      <c r="B3" s="109"/>
      <c r="C3" s="109"/>
      <c r="D3" s="109"/>
      <c r="E3" s="109"/>
      <c r="F3" s="109"/>
      <c r="G3" s="109"/>
      <c r="H3" s="109"/>
    </row>
    <row r="4" spans="1:10" s="4" customFormat="1" ht="30" x14ac:dyDescent="0.2">
      <c r="A4" s="26" t="s">
        <v>2</v>
      </c>
      <c r="B4" s="26" t="s">
        <v>3</v>
      </c>
      <c r="C4" s="26" t="s">
        <v>4</v>
      </c>
      <c r="D4" s="26" t="s">
        <v>5</v>
      </c>
      <c r="E4" s="26" t="s">
        <v>6</v>
      </c>
      <c r="F4" s="26" t="s">
        <v>7</v>
      </c>
      <c r="G4" s="26" t="s">
        <v>8</v>
      </c>
      <c r="H4" s="27" t="s">
        <v>404</v>
      </c>
      <c r="I4"/>
      <c r="J4" s="2"/>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8"/>
    </row>
    <row r="13" spans="1:10" x14ac:dyDescent="0.2">
      <c r="A13" s="28"/>
      <c r="B13" s="28"/>
      <c r="C13" s="29" t="s">
        <v>11</v>
      </c>
      <c r="D13" s="28"/>
      <c r="E13" s="28" t="s">
        <v>12</v>
      </c>
      <c r="F13" s="31" t="s">
        <v>13</v>
      </c>
      <c r="G13" s="32">
        <v>0</v>
      </c>
      <c r="H13" s="30" t="s">
        <v>12</v>
      </c>
      <c r="J13" s="17"/>
    </row>
    <row r="14" spans="1:10" ht="25.5" x14ac:dyDescent="0.2">
      <c r="A14" s="28"/>
      <c r="B14" s="28"/>
      <c r="C14" s="33"/>
      <c r="D14" s="28"/>
      <c r="E14" s="28"/>
      <c r="F14" s="34"/>
      <c r="G14" s="34"/>
      <c r="H14" s="30" t="s">
        <v>12</v>
      </c>
      <c r="J14" s="17" t="s">
        <v>475</v>
      </c>
    </row>
    <row r="15" spans="1:10" x14ac:dyDescent="0.2">
      <c r="A15" s="28"/>
      <c r="B15" s="28"/>
      <c r="C15" s="29" t="s">
        <v>16</v>
      </c>
      <c r="D15" s="28"/>
      <c r="E15" s="28"/>
      <c r="F15" s="28"/>
      <c r="G15" s="28"/>
      <c r="H15" s="30" t="s">
        <v>12</v>
      </c>
      <c r="J15" s="17"/>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8"/>
    </row>
    <row r="23" spans="1:10" x14ac:dyDescent="0.2">
      <c r="A23" s="28"/>
      <c r="B23" s="28"/>
      <c r="C23" s="33"/>
      <c r="D23" s="28"/>
      <c r="E23" s="28"/>
      <c r="F23" s="34"/>
      <c r="G23" s="34"/>
      <c r="H23" s="30" t="s">
        <v>12</v>
      </c>
      <c r="J23" s="17"/>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ht="25.5" x14ac:dyDescent="0.2">
      <c r="A27" s="28"/>
      <c r="B27" s="28"/>
      <c r="C27" s="29" t="s">
        <v>10</v>
      </c>
      <c r="D27" s="28"/>
      <c r="E27" s="28"/>
      <c r="F27" s="34"/>
      <c r="G27" s="34"/>
      <c r="H27" s="30" t="s">
        <v>12</v>
      </c>
      <c r="J27" s="17" t="s">
        <v>476</v>
      </c>
    </row>
    <row r="28" spans="1:10" x14ac:dyDescent="0.2">
      <c r="A28" s="36">
        <v>1</v>
      </c>
      <c r="B28" s="37" t="s">
        <v>165</v>
      </c>
      <c r="C28" s="37" t="s">
        <v>529</v>
      </c>
      <c r="D28" s="37" t="s">
        <v>166</v>
      </c>
      <c r="E28" s="38">
        <v>100</v>
      </c>
      <c r="F28" s="39">
        <v>100.2388</v>
      </c>
      <c r="G28" s="40">
        <v>2.36169E-2</v>
      </c>
      <c r="H28" s="30">
        <v>8.64</v>
      </c>
    </row>
    <row r="29" spans="1:10" x14ac:dyDescent="0.2">
      <c r="A29" s="36">
        <v>2</v>
      </c>
      <c r="B29" s="37" t="s">
        <v>173</v>
      </c>
      <c r="C29" s="37" t="s">
        <v>535</v>
      </c>
      <c r="D29" s="37" t="s">
        <v>172</v>
      </c>
      <c r="E29" s="38">
        <v>100</v>
      </c>
      <c r="F29" s="39">
        <v>100.0214</v>
      </c>
      <c r="G29" s="40">
        <v>2.3565679999999999E-2</v>
      </c>
      <c r="H29" s="30">
        <v>8.35</v>
      </c>
    </row>
    <row r="30" spans="1:10" x14ac:dyDescent="0.2">
      <c r="A30" s="28"/>
      <c r="B30" s="28"/>
      <c r="C30" s="29" t="s">
        <v>11</v>
      </c>
      <c r="D30" s="28"/>
      <c r="E30" s="28" t="s">
        <v>12</v>
      </c>
      <c r="F30" s="35">
        <v>200.2602</v>
      </c>
      <c r="G30" s="32">
        <v>4.7182580000000002E-2</v>
      </c>
      <c r="H30" s="30" t="s">
        <v>12</v>
      </c>
    </row>
    <row r="31" spans="1:10" x14ac:dyDescent="0.2">
      <c r="A31" s="28"/>
      <c r="B31" s="28"/>
      <c r="C31" s="33"/>
      <c r="D31" s="28"/>
      <c r="E31" s="28"/>
      <c r="F31" s="34"/>
      <c r="G31" s="34"/>
      <c r="H31" s="30" t="s">
        <v>12</v>
      </c>
    </row>
    <row r="32" spans="1:10" x14ac:dyDescent="0.2">
      <c r="A32" s="28"/>
      <c r="B32" s="28"/>
      <c r="C32" s="29" t="s">
        <v>46</v>
      </c>
      <c r="D32" s="28"/>
      <c r="E32" s="28"/>
      <c r="F32" s="28"/>
      <c r="G32" s="28"/>
      <c r="H32" s="30" t="s">
        <v>12</v>
      </c>
    </row>
    <row r="33" spans="1:8" x14ac:dyDescent="0.2">
      <c r="A33" s="28"/>
      <c r="B33" s="28"/>
      <c r="C33" s="29" t="s">
        <v>11</v>
      </c>
      <c r="D33" s="28"/>
      <c r="E33" s="28" t="s">
        <v>12</v>
      </c>
      <c r="F33" s="31" t="s">
        <v>13</v>
      </c>
      <c r="G33" s="32">
        <v>0</v>
      </c>
      <c r="H33" s="30" t="s">
        <v>12</v>
      </c>
    </row>
    <row r="34" spans="1:8" x14ac:dyDescent="0.2">
      <c r="A34" s="28"/>
      <c r="B34" s="28"/>
      <c r="C34" s="33"/>
      <c r="D34" s="28"/>
      <c r="E34" s="28"/>
      <c r="F34" s="34"/>
      <c r="G34" s="34"/>
      <c r="H34" s="30" t="s">
        <v>12</v>
      </c>
    </row>
    <row r="35" spans="1:8" x14ac:dyDescent="0.2">
      <c r="A35" s="28"/>
      <c r="B35" s="28"/>
      <c r="C35" s="29" t="s">
        <v>47</v>
      </c>
      <c r="D35" s="28"/>
      <c r="E35" s="28"/>
      <c r="F35" s="28"/>
      <c r="G35" s="28"/>
      <c r="H35" s="30" t="s">
        <v>12</v>
      </c>
    </row>
    <row r="36" spans="1:8" x14ac:dyDescent="0.2">
      <c r="A36" s="36">
        <v>1</v>
      </c>
      <c r="B36" s="37" t="s">
        <v>48</v>
      </c>
      <c r="C36" s="37" t="s">
        <v>49</v>
      </c>
      <c r="D36" s="37" t="s">
        <v>50</v>
      </c>
      <c r="E36" s="38">
        <v>1500000</v>
      </c>
      <c r="F36" s="39">
        <v>1515.45</v>
      </c>
      <c r="G36" s="40">
        <v>0.35704967999999998</v>
      </c>
      <c r="H36" s="30">
        <v>7.1467000000000001</v>
      </c>
    </row>
    <row r="37" spans="1:8" ht="25.5" x14ac:dyDescent="0.2">
      <c r="A37" s="36">
        <v>2</v>
      </c>
      <c r="B37" s="37" t="s">
        <v>346</v>
      </c>
      <c r="C37" s="37" t="s">
        <v>347</v>
      </c>
      <c r="D37" s="37" t="s">
        <v>50</v>
      </c>
      <c r="E37" s="38">
        <v>1500000</v>
      </c>
      <c r="F37" s="39">
        <v>1462.9665</v>
      </c>
      <c r="G37" s="40">
        <v>0.34468422999999998</v>
      </c>
      <c r="H37" s="30">
        <v>7.0187999999999997</v>
      </c>
    </row>
    <row r="38" spans="1:8" ht="25.5" x14ac:dyDescent="0.2">
      <c r="A38" s="36">
        <v>3</v>
      </c>
      <c r="B38" s="37" t="s">
        <v>303</v>
      </c>
      <c r="C38" s="37" t="s">
        <v>304</v>
      </c>
      <c r="D38" s="37" t="s">
        <v>50</v>
      </c>
      <c r="E38" s="38">
        <v>230000</v>
      </c>
      <c r="F38" s="39">
        <v>231.82666</v>
      </c>
      <c r="G38" s="40">
        <v>5.4619840000000003E-2</v>
      </c>
      <c r="H38" s="30">
        <v>7.4558999999999997</v>
      </c>
    </row>
    <row r="39" spans="1:8" x14ac:dyDescent="0.2">
      <c r="A39" s="28"/>
      <c r="B39" s="28"/>
      <c r="C39" s="29" t="s">
        <v>11</v>
      </c>
      <c r="D39" s="28"/>
      <c r="E39" s="28" t="s">
        <v>12</v>
      </c>
      <c r="F39" s="35">
        <v>3210.24316</v>
      </c>
      <c r="G39" s="32">
        <v>0.75635375000000005</v>
      </c>
      <c r="H39" s="30" t="s">
        <v>12</v>
      </c>
    </row>
    <row r="40" spans="1:8" x14ac:dyDescent="0.2">
      <c r="A40" s="28"/>
      <c r="B40" s="28"/>
      <c r="C40" s="33"/>
      <c r="D40" s="28"/>
      <c r="E40" s="28"/>
      <c r="F40" s="34"/>
      <c r="G40" s="34"/>
      <c r="H40" s="30" t="s">
        <v>12</v>
      </c>
    </row>
    <row r="41" spans="1:8" x14ac:dyDescent="0.2">
      <c r="A41" s="28"/>
      <c r="B41" s="28"/>
      <c r="C41" s="29" t="s">
        <v>57</v>
      </c>
      <c r="D41" s="28"/>
      <c r="E41" s="28"/>
      <c r="F41" s="34"/>
      <c r="G41" s="34"/>
      <c r="H41" s="30" t="s">
        <v>12</v>
      </c>
    </row>
    <row r="42" spans="1:8" x14ac:dyDescent="0.2">
      <c r="A42" s="28"/>
      <c r="B42" s="28"/>
      <c r="C42" s="29" t="s">
        <v>11</v>
      </c>
      <c r="D42" s="28"/>
      <c r="E42" s="28" t="s">
        <v>12</v>
      </c>
      <c r="F42" s="31" t="s">
        <v>13</v>
      </c>
      <c r="G42" s="32">
        <v>0</v>
      </c>
      <c r="H42" s="30" t="s">
        <v>12</v>
      </c>
    </row>
    <row r="43" spans="1:8" x14ac:dyDescent="0.2">
      <c r="A43" s="28"/>
      <c r="B43" s="28"/>
      <c r="C43" s="33"/>
      <c r="D43" s="28"/>
      <c r="E43" s="28"/>
      <c r="F43" s="34"/>
      <c r="G43" s="34"/>
      <c r="H43" s="30" t="s">
        <v>12</v>
      </c>
    </row>
    <row r="44" spans="1:8" x14ac:dyDescent="0.2">
      <c r="A44" s="28"/>
      <c r="B44" s="28"/>
      <c r="C44" s="29" t="s">
        <v>58</v>
      </c>
      <c r="D44" s="28"/>
      <c r="E44" s="28"/>
      <c r="F44" s="35">
        <v>3410.5033600000002</v>
      </c>
      <c r="G44" s="32">
        <v>0.80353633000000002</v>
      </c>
      <c r="H44" s="30" t="s">
        <v>12</v>
      </c>
    </row>
    <row r="45" spans="1:8" x14ac:dyDescent="0.2">
      <c r="A45" s="28"/>
      <c r="B45" s="28"/>
      <c r="C45" s="33"/>
      <c r="D45" s="28"/>
      <c r="E45" s="28"/>
      <c r="F45" s="34"/>
      <c r="G45" s="34"/>
      <c r="H45" s="30" t="s">
        <v>12</v>
      </c>
    </row>
    <row r="46" spans="1:8" x14ac:dyDescent="0.2">
      <c r="A46" s="28"/>
      <c r="B46" s="28"/>
      <c r="C46" s="29" t="s">
        <v>59</v>
      </c>
      <c r="D46" s="28"/>
      <c r="E46" s="28"/>
      <c r="F46" s="34"/>
      <c r="G46" s="34"/>
      <c r="H46" s="30" t="s">
        <v>12</v>
      </c>
    </row>
    <row r="47" spans="1:8" x14ac:dyDescent="0.2">
      <c r="A47" s="28"/>
      <c r="B47" s="28"/>
      <c r="C47" s="29" t="s">
        <v>60</v>
      </c>
      <c r="D47" s="28"/>
      <c r="E47" s="28"/>
      <c r="F47" s="34"/>
      <c r="G47" s="34"/>
      <c r="H47" s="30" t="s">
        <v>12</v>
      </c>
    </row>
    <row r="48" spans="1:8" x14ac:dyDescent="0.2">
      <c r="A48" s="28"/>
      <c r="B48" s="28"/>
      <c r="C48" s="29" t="s">
        <v>11</v>
      </c>
      <c r="D48" s="28"/>
      <c r="E48" s="28" t="s">
        <v>12</v>
      </c>
      <c r="F48" s="31" t="s">
        <v>13</v>
      </c>
      <c r="G48" s="32">
        <v>0</v>
      </c>
      <c r="H48" s="30" t="s">
        <v>12</v>
      </c>
    </row>
    <row r="49" spans="1:8" x14ac:dyDescent="0.2">
      <c r="A49" s="28"/>
      <c r="B49" s="28"/>
      <c r="C49" s="33"/>
      <c r="D49" s="28"/>
      <c r="E49" s="28"/>
      <c r="F49" s="34"/>
      <c r="G49" s="34"/>
      <c r="H49" s="30" t="s">
        <v>12</v>
      </c>
    </row>
    <row r="50" spans="1:8" x14ac:dyDescent="0.2">
      <c r="A50" s="28"/>
      <c r="B50" s="28"/>
      <c r="C50" s="29" t="s">
        <v>61</v>
      </c>
      <c r="D50" s="28"/>
      <c r="E50" s="28"/>
      <c r="F50" s="34"/>
      <c r="G50" s="34"/>
      <c r="H50" s="30" t="s">
        <v>12</v>
      </c>
    </row>
    <row r="51" spans="1:8" x14ac:dyDescent="0.2">
      <c r="A51" s="28"/>
      <c r="B51" s="28"/>
      <c r="C51" s="29" t="s">
        <v>11</v>
      </c>
      <c r="D51" s="28"/>
      <c r="E51" s="28" t="s">
        <v>12</v>
      </c>
      <c r="F51" s="31" t="s">
        <v>13</v>
      </c>
      <c r="G51" s="32">
        <v>0</v>
      </c>
      <c r="H51" s="30" t="s">
        <v>12</v>
      </c>
    </row>
    <row r="52" spans="1:8" x14ac:dyDescent="0.2">
      <c r="A52" s="28"/>
      <c r="B52" s="28"/>
      <c r="C52" s="33"/>
      <c r="D52" s="28"/>
      <c r="E52" s="28"/>
      <c r="F52" s="34"/>
      <c r="G52" s="34"/>
      <c r="H52" s="30" t="s">
        <v>12</v>
      </c>
    </row>
    <row r="53" spans="1:8" x14ac:dyDescent="0.2">
      <c r="A53" s="28"/>
      <c r="B53" s="28"/>
      <c r="C53" s="29" t="s">
        <v>62</v>
      </c>
      <c r="D53" s="28"/>
      <c r="E53" s="28"/>
      <c r="F53" s="34"/>
      <c r="G53" s="34"/>
      <c r="H53" s="30" t="s">
        <v>12</v>
      </c>
    </row>
    <row r="54" spans="1:8" x14ac:dyDescent="0.2">
      <c r="A54" s="28"/>
      <c r="B54" s="28"/>
      <c r="C54" s="29" t="s">
        <v>11</v>
      </c>
      <c r="D54" s="28"/>
      <c r="E54" s="28" t="s">
        <v>12</v>
      </c>
      <c r="F54" s="31" t="s">
        <v>13</v>
      </c>
      <c r="G54" s="32">
        <v>0</v>
      </c>
      <c r="H54" s="30" t="s">
        <v>12</v>
      </c>
    </row>
    <row r="55" spans="1:8" x14ac:dyDescent="0.2">
      <c r="A55" s="28"/>
      <c r="B55" s="28"/>
      <c r="C55" s="33"/>
      <c r="D55" s="28"/>
      <c r="E55" s="28"/>
      <c r="F55" s="34"/>
      <c r="G55" s="34"/>
      <c r="H55" s="30" t="s">
        <v>12</v>
      </c>
    </row>
    <row r="56" spans="1:8" x14ac:dyDescent="0.2">
      <c r="A56" s="28"/>
      <c r="B56" s="28"/>
      <c r="C56" s="29" t="s">
        <v>63</v>
      </c>
      <c r="D56" s="28"/>
      <c r="E56" s="28"/>
      <c r="F56" s="34"/>
      <c r="G56" s="34"/>
      <c r="H56" s="30" t="s">
        <v>12</v>
      </c>
    </row>
    <row r="57" spans="1:8" x14ac:dyDescent="0.2">
      <c r="A57" s="36">
        <v>1</v>
      </c>
      <c r="B57" s="37"/>
      <c r="C57" s="37" t="s">
        <v>64</v>
      </c>
      <c r="D57" s="37"/>
      <c r="E57" s="41"/>
      <c r="F57" s="39">
        <v>744.27476900099998</v>
      </c>
      <c r="G57" s="40">
        <v>0.17535587999999999</v>
      </c>
      <c r="H57" s="30">
        <v>6.35</v>
      </c>
    </row>
    <row r="58" spans="1:8" x14ac:dyDescent="0.2">
      <c r="A58" s="28"/>
      <c r="B58" s="28"/>
      <c r="C58" s="29" t="s">
        <v>11</v>
      </c>
      <c r="D58" s="28"/>
      <c r="E58" s="28" t="s">
        <v>12</v>
      </c>
      <c r="F58" s="35">
        <v>744.27476900099998</v>
      </c>
      <c r="G58" s="32">
        <v>0.17535587999999999</v>
      </c>
      <c r="H58" s="30" t="s">
        <v>12</v>
      </c>
    </row>
    <row r="59" spans="1:8" x14ac:dyDescent="0.2">
      <c r="A59" s="28"/>
      <c r="B59" s="28"/>
      <c r="C59" s="33"/>
      <c r="D59" s="28"/>
      <c r="E59" s="28"/>
      <c r="F59" s="34"/>
      <c r="G59" s="34"/>
      <c r="H59" s="30" t="s">
        <v>12</v>
      </c>
    </row>
    <row r="60" spans="1:8" x14ac:dyDescent="0.2">
      <c r="A60" s="28"/>
      <c r="B60" s="28"/>
      <c r="C60" s="29" t="s">
        <v>65</v>
      </c>
      <c r="D60" s="28"/>
      <c r="E60" s="28"/>
      <c r="F60" s="35">
        <v>744.27476900099998</v>
      </c>
      <c r="G60" s="32">
        <v>0.17535587999999999</v>
      </c>
      <c r="H60" s="30" t="s">
        <v>12</v>
      </c>
    </row>
    <row r="61" spans="1:8" x14ac:dyDescent="0.2">
      <c r="A61" s="28"/>
      <c r="B61" s="28"/>
      <c r="C61" s="34"/>
      <c r="D61" s="28"/>
      <c r="E61" s="28"/>
      <c r="F61" s="28"/>
      <c r="G61" s="28"/>
      <c r="H61" s="30" t="s">
        <v>12</v>
      </c>
    </row>
    <row r="62" spans="1:8" x14ac:dyDescent="0.2">
      <c r="A62" s="28"/>
      <c r="B62" s="28"/>
      <c r="C62" s="29" t="s">
        <v>66</v>
      </c>
      <c r="D62" s="28"/>
      <c r="E62" s="28"/>
      <c r="F62" s="28"/>
      <c r="G62" s="28"/>
      <c r="H62" s="30" t="s">
        <v>12</v>
      </c>
    </row>
    <row r="63" spans="1:8" x14ac:dyDescent="0.2">
      <c r="A63" s="28"/>
      <c r="B63" s="28"/>
      <c r="C63" s="29" t="s">
        <v>67</v>
      </c>
      <c r="D63" s="28"/>
      <c r="E63" s="28"/>
      <c r="F63" s="28"/>
      <c r="G63" s="28"/>
      <c r="H63" s="30" t="s">
        <v>12</v>
      </c>
    </row>
    <row r="64" spans="1:8" x14ac:dyDescent="0.2">
      <c r="A64" s="28"/>
      <c r="B64" s="28"/>
      <c r="C64" s="29" t="s">
        <v>11</v>
      </c>
      <c r="D64" s="28"/>
      <c r="E64" s="28" t="s">
        <v>12</v>
      </c>
      <c r="F64" s="31" t="s">
        <v>13</v>
      </c>
      <c r="G64" s="32">
        <v>0</v>
      </c>
      <c r="H64" s="30" t="s">
        <v>12</v>
      </c>
    </row>
    <row r="65" spans="1:18" x14ac:dyDescent="0.2">
      <c r="A65" s="28"/>
      <c r="B65" s="28"/>
      <c r="C65" s="33"/>
      <c r="D65" s="28"/>
      <c r="E65" s="28"/>
      <c r="F65" s="34"/>
      <c r="G65" s="34"/>
      <c r="H65" s="30" t="s">
        <v>12</v>
      </c>
    </row>
    <row r="66" spans="1:18" x14ac:dyDescent="0.2">
      <c r="A66" s="28"/>
      <c r="B66" s="28"/>
      <c r="C66" s="29" t="s">
        <v>70</v>
      </c>
      <c r="D66" s="28"/>
      <c r="E66" s="28"/>
      <c r="F66" s="28"/>
      <c r="G66" s="28"/>
      <c r="H66" s="30" t="s">
        <v>12</v>
      </c>
    </row>
    <row r="67" spans="1:18" x14ac:dyDescent="0.2">
      <c r="A67" s="28"/>
      <c r="B67" s="28"/>
      <c r="C67" s="29" t="s">
        <v>71</v>
      </c>
      <c r="D67" s="28"/>
      <c r="E67" s="28"/>
      <c r="F67" s="28"/>
      <c r="G67" s="28"/>
      <c r="H67" s="30" t="s">
        <v>12</v>
      </c>
    </row>
    <row r="68" spans="1:18" x14ac:dyDescent="0.2">
      <c r="A68" s="28"/>
      <c r="B68" s="28"/>
      <c r="C68" s="29" t="s">
        <v>11</v>
      </c>
      <c r="D68" s="28"/>
      <c r="E68" s="28" t="s">
        <v>12</v>
      </c>
      <c r="F68" s="31" t="s">
        <v>13</v>
      </c>
      <c r="G68" s="32">
        <v>0</v>
      </c>
      <c r="H68" s="30" t="s">
        <v>12</v>
      </c>
    </row>
    <row r="69" spans="1:18" x14ac:dyDescent="0.2">
      <c r="A69" s="28"/>
      <c r="B69" s="28"/>
      <c r="C69" s="33"/>
      <c r="D69" s="28"/>
      <c r="E69" s="28"/>
      <c r="F69" s="34"/>
      <c r="G69" s="34"/>
      <c r="H69" s="30" t="s">
        <v>12</v>
      </c>
    </row>
    <row r="70" spans="1:18" x14ac:dyDescent="0.2">
      <c r="A70" s="28"/>
      <c r="B70" s="28"/>
      <c r="C70" s="29" t="s">
        <v>72</v>
      </c>
      <c r="D70" s="28"/>
      <c r="E70" s="28"/>
      <c r="F70" s="34"/>
      <c r="G70" s="34"/>
      <c r="H70" s="30" t="s">
        <v>12</v>
      </c>
    </row>
    <row r="71" spans="1:18" x14ac:dyDescent="0.2">
      <c r="A71" s="28"/>
      <c r="B71" s="28"/>
      <c r="C71" s="29" t="s">
        <v>11</v>
      </c>
      <c r="D71" s="28"/>
      <c r="E71" s="28" t="s">
        <v>12</v>
      </c>
      <c r="F71" s="31" t="s">
        <v>13</v>
      </c>
      <c r="G71" s="32">
        <v>0</v>
      </c>
      <c r="H71" s="30" t="s">
        <v>12</v>
      </c>
    </row>
    <row r="72" spans="1:18" x14ac:dyDescent="0.2">
      <c r="A72" s="73"/>
      <c r="B72" s="73"/>
      <c r="C72" s="74"/>
      <c r="D72" s="73"/>
      <c r="E72" s="73"/>
      <c r="F72" s="75"/>
      <c r="G72" s="75"/>
      <c r="H72" s="30" t="s">
        <v>12</v>
      </c>
    </row>
    <row r="73" spans="1:18" x14ac:dyDescent="0.2">
      <c r="A73" s="76"/>
      <c r="B73" s="76"/>
      <c r="C73" s="64" t="s">
        <v>406</v>
      </c>
      <c r="D73" s="76"/>
      <c r="E73" s="76"/>
      <c r="F73" s="77"/>
      <c r="G73" s="77"/>
      <c r="H73" s="78"/>
      <c r="K73" s="5"/>
      <c r="L73" s="5"/>
      <c r="M73" s="5"/>
      <c r="N73" s="5"/>
      <c r="O73" s="5"/>
      <c r="P73" s="6"/>
      <c r="Q73" s="6"/>
      <c r="R73" s="6"/>
    </row>
    <row r="74" spans="1:18" ht="25.5" x14ac:dyDescent="0.2">
      <c r="A74" s="36">
        <v>1</v>
      </c>
      <c r="B74" s="37" t="s">
        <v>68</v>
      </c>
      <c r="C74" s="37" t="s">
        <v>69</v>
      </c>
      <c r="D74" s="37"/>
      <c r="E74" s="79">
        <v>112.994</v>
      </c>
      <c r="F74" s="39">
        <v>11.647303441</v>
      </c>
      <c r="G74" s="40">
        <v>2.7441800000000001E-3</v>
      </c>
      <c r="H74" s="30"/>
    </row>
    <row r="75" spans="1:18" x14ac:dyDescent="0.2">
      <c r="A75" s="28"/>
      <c r="B75" s="28"/>
      <c r="C75" s="29" t="s">
        <v>11</v>
      </c>
      <c r="D75" s="28"/>
      <c r="E75" s="28" t="s">
        <v>12</v>
      </c>
      <c r="F75" s="35">
        <v>11.647303441</v>
      </c>
      <c r="G75" s="32">
        <v>2.7441800000000001E-3</v>
      </c>
      <c r="H75" s="30" t="s">
        <v>12</v>
      </c>
    </row>
    <row r="76" spans="1:18" x14ac:dyDescent="0.2">
      <c r="A76" s="28"/>
      <c r="B76" s="37"/>
      <c r="C76" s="37"/>
      <c r="D76" s="29"/>
      <c r="E76" s="28"/>
      <c r="F76" s="37"/>
      <c r="G76" s="41"/>
      <c r="H76" s="30" t="s">
        <v>12</v>
      </c>
    </row>
    <row r="77" spans="1:18" x14ac:dyDescent="0.2">
      <c r="A77" s="41"/>
      <c r="B77" s="37"/>
      <c r="C77" s="37" t="s">
        <v>73</v>
      </c>
      <c r="D77" s="37"/>
      <c r="E77" s="41"/>
      <c r="F77" s="39">
        <f>77.94188915+0.00100739799976349</f>
        <v>77.942896547999752</v>
      </c>
      <c r="G77" s="40">
        <v>1.8363609999999999E-2</v>
      </c>
      <c r="H77" s="30" t="s">
        <v>12</v>
      </c>
    </row>
    <row r="78" spans="1:18" x14ac:dyDescent="0.2">
      <c r="A78" s="33"/>
      <c r="B78" s="33"/>
      <c r="C78" s="29" t="s">
        <v>74</v>
      </c>
      <c r="D78" s="34"/>
      <c r="E78" s="34"/>
      <c r="F78" s="35">
        <f>4244.367321592+0.00100739799976349</f>
        <v>4244.36832899</v>
      </c>
      <c r="G78" s="42">
        <v>1</v>
      </c>
      <c r="H78" s="30" t="s">
        <v>12</v>
      </c>
    </row>
    <row r="79" spans="1:18" x14ac:dyDescent="0.2">
      <c r="A79" s="43"/>
      <c r="B79" s="43"/>
      <c r="C79" s="43"/>
      <c r="D79" s="44"/>
      <c r="E79" s="44"/>
      <c r="F79" s="44"/>
      <c r="G79" s="44"/>
    </row>
    <row r="80" spans="1:18" x14ac:dyDescent="0.2">
      <c r="A80" s="45"/>
      <c r="B80" s="110" t="s">
        <v>407</v>
      </c>
      <c r="C80" s="110"/>
      <c r="D80" s="110"/>
      <c r="E80" s="110"/>
      <c r="F80" s="110"/>
      <c r="G80" s="110"/>
      <c r="H80" s="110"/>
    </row>
    <row r="81" spans="1:8" x14ac:dyDescent="0.2">
      <c r="A81" s="45"/>
      <c r="B81" s="110" t="s">
        <v>408</v>
      </c>
      <c r="C81" s="110"/>
      <c r="D81" s="110"/>
      <c r="E81" s="110"/>
      <c r="F81" s="110"/>
      <c r="G81" s="110"/>
      <c r="H81" s="110"/>
    </row>
    <row r="82" spans="1:8" x14ac:dyDescent="0.2">
      <c r="A82" s="45"/>
      <c r="B82" s="110" t="s">
        <v>409</v>
      </c>
      <c r="C82" s="110"/>
      <c r="D82" s="110"/>
      <c r="E82" s="110"/>
      <c r="F82" s="110"/>
      <c r="G82" s="110"/>
      <c r="H82" s="110"/>
    </row>
    <row r="83" spans="1:8" x14ac:dyDescent="0.2">
      <c r="A83" s="47"/>
      <c r="B83" s="47"/>
      <c r="C83" s="47"/>
      <c r="D83" s="48"/>
      <c r="E83" s="48"/>
      <c r="F83" s="48"/>
      <c r="G83" s="48"/>
    </row>
    <row r="84" spans="1:8" x14ac:dyDescent="0.2">
      <c r="A84" s="47"/>
      <c r="B84" s="112" t="s">
        <v>75</v>
      </c>
      <c r="C84" s="113"/>
      <c r="D84" s="114"/>
      <c r="E84" s="49"/>
      <c r="F84" s="48"/>
      <c r="G84" s="48"/>
    </row>
    <row r="85" spans="1:8" ht="25.5" x14ac:dyDescent="0.2">
      <c r="A85" s="47"/>
      <c r="B85" s="115" t="s">
        <v>76</v>
      </c>
      <c r="C85" s="116"/>
      <c r="D85" s="64" t="s">
        <v>423</v>
      </c>
      <c r="E85" s="49"/>
      <c r="F85" s="48"/>
      <c r="G85" s="48"/>
    </row>
    <row r="86" spans="1:8" x14ac:dyDescent="0.2">
      <c r="A86" s="47"/>
      <c r="B86" s="115" t="s">
        <v>78</v>
      </c>
      <c r="C86" s="116"/>
      <c r="D86" s="29" t="s">
        <v>77</v>
      </c>
      <c r="E86" s="49"/>
      <c r="F86" s="48"/>
      <c r="G86" s="48"/>
    </row>
    <row r="87" spans="1:8" x14ac:dyDescent="0.2">
      <c r="A87" s="47"/>
      <c r="B87" s="115" t="s">
        <v>79</v>
      </c>
      <c r="C87" s="116"/>
      <c r="D87" s="34" t="s">
        <v>12</v>
      </c>
      <c r="E87" s="49"/>
      <c r="F87" s="48"/>
      <c r="G87" s="48"/>
    </row>
    <row r="88" spans="1:8" x14ac:dyDescent="0.2">
      <c r="A88" s="50"/>
      <c r="B88" s="51" t="s">
        <v>12</v>
      </c>
      <c r="C88" s="51" t="s">
        <v>458</v>
      </c>
      <c r="D88" s="51" t="s">
        <v>80</v>
      </c>
      <c r="E88" s="50"/>
      <c r="F88" s="50"/>
      <c r="G88" s="50"/>
      <c r="H88" s="52"/>
    </row>
    <row r="89" spans="1:8" x14ac:dyDescent="0.2">
      <c r="A89" s="53"/>
      <c r="B89" s="54" t="s">
        <v>81</v>
      </c>
      <c r="C89" s="55" t="s">
        <v>82</v>
      </c>
      <c r="D89" s="55" t="s">
        <v>83</v>
      </c>
      <c r="E89" s="53"/>
      <c r="F89" s="53"/>
      <c r="G89" s="53"/>
    </row>
    <row r="90" spans="1:8" x14ac:dyDescent="0.2">
      <c r="A90" s="53"/>
      <c r="B90" s="37" t="s">
        <v>84</v>
      </c>
      <c r="C90" s="56">
        <v>71.306299999999993</v>
      </c>
      <c r="D90" s="56">
        <v>71.546899999999994</v>
      </c>
      <c r="E90" s="53"/>
      <c r="F90" s="57"/>
      <c r="G90" s="58"/>
    </row>
    <row r="91" spans="1:8" ht="25.5" x14ac:dyDescent="0.2">
      <c r="A91" s="53"/>
      <c r="B91" s="37" t="s">
        <v>86</v>
      </c>
      <c r="C91" s="56">
        <v>25.669699999999999</v>
      </c>
      <c r="D91" s="56">
        <v>25.7563</v>
      </c>
      <c r="E91" s="53"/>
      <c r="F91" s="57"/>
      <c r="G91" s="58"/>
    </row>
    <row r="92" spans="1:8" ht="25.5" x14ac:dyDescent="0.2">
      <c r="A92" s="53"/>
      <c r="B92" s="37" t="s">
        <v>88</v>
      </c>
      <c r="C92" s="56">
        <v>14.700100000000001</v>
      </c>
      <c r="D92" s="56">
        <v>14.749700000000001</v>
      </c>
      <c r="E92" s="53"/>
      <c r="F92" s="57"/>
      <c r="G92" s="58"/>
    </row>
    <row r="93" spans="1:8" ht="25.5" x14ac:dyDescent="0.2">
      <c r="A93" s="53"/>
      <c r="B93" s="37" t="s">
        <v>348</v>
      </c>
      <c r="C93" s="56">
        <v>72.789900000000003</v>
      </c>
      <c r="D93" s="56">
        <v>73.008300000000006</v>
      </c>
      <c r="E93" s="53"/>
      <c r="F93" s="57"/>
      <c r="G93" s="58"/>
    </row>
    <row r="94" spans="1:8" x14ac:dyDescent="0.2">
      <c r="A94" s="53"/>
      <c r="B94" s="37" t="s">
        <v>89</v>
      </c>
      <c r="C94" s="56">
        <v>64.4148</v>
      </c>
      <c r="D94" s="56">
        <v>64.608099999999993</v>
      </c>
      <c r="E94" s="53"/>
      <c r="F94" s="57"/>
      <c r="G94" s="58"/>
    </row>
    <row r="95" spans="1:8" x14ac:dyDescent="0.2">
      <c r="A95" s="53"/>
      <c r="B95" s="37" t="s">
        <v>116</v>
      </c>
      <c r="C95" s="56">
        <v>22.001200000000001</v>
      </c>
      <c r="D95" s="56">
        <v>22.0672</v>
      </c>
      <c r="E95" s="53"/>
      <c r="F95" s="57"/>
      <c r="G95" s="58"/>
    </row>
    <row r="96" spans="1:8" ht="25.5" x14ac:dyDescent="0.2">
      <c r="A96" s="53"/>
      <c r="B96" s="37" t="s">
        <v>91</v>
      </c>
      <c r="C96" s="56">
        <v>12.84</v>
      </c>
      <c r="D96" s="56">
        <v>12.8786</v>
      </c>
      <c r="E96" s="53"/>
      <c r="F96" s="57"/>
      <c r="G96" s="58"/>
    </row>
    <row r="97" spans="1:15" ht="25.5" x14ac:dyDescent="0.2">
      <c r="A97" s="53"/>
      <c r="B97" s="37" t="s">
        <v>92</v>
      </c>
      <c r="C97" s="56">
        <v>13.194699999999999</v>
      </c>
      <c r="D97" s="56">
        <v>13.234299999999999</v>
      </c>
      <c r="E97" s="53"/>
      <c r="F97" s="57"/>
      <c r="G97" s="58"/>
    </row>
    <row r="98" spans="1:15" ht="25.5" x14ac:dyDescent="0.2">
      <c r="A98" s="53"/>
      <c r="B98" s="37" t="s">
        <v>93</v>
      </c>
      <c r="C98" s="56">
        <v>13.091900000000001</v>
      </c>
      <c r="D98" s="56">
        <v>13.1312</v>
      </c>
      <c r="E98" s="53"/>
      <c r="F98" s="57"/>
      <c r="G98" s="58"/>
    </row>
    <row r="99" spans="1:15" x14ac:dyDescent="0.2">
      <c r="A99" s="53"/>
      <c r="B99" s="53"/>
      <c r="C99" s="53"/>
      <c r="D99" s="53"/>
      <c r="E99" s="53"/>
      <c r="F99" s="53"/>
      <c r="G99" s="53"/>
    </row>
    <row r="100" spans="1:15" x14ac:dyDescent="0.2">
      <c r="A100" s="53"/>
      <c r="B100" s="115" t="s">
        <v>94</v>
      </c>
      <c r="C100" s="116"/>
      <c r="D100" s="64" t="s">
        <v>77</v>
      </c>
      <c r="E100" s="53"/>
      <c r="F100" s="53"/>
      <c r="G100" s="53"/>
    </row>
    <row r="101" spans="1:15" x14ac:dyDescent="0.2">
      <c r="A101" s="53"/>
      <c r="B101" s="66"/>
      <c r="C101" s="66"/>
      <c r="D101" s="66"/>
      <c r="E101" s="53"/>
      <c r="F101" s="53"/>
      <c r="G101" s="53"/>
    </row>
    <row r="102" spans="1:15" s="7" customFormat="1" ht="15" x14ac:dyDescent="0.25">
      <c r="A102" s="80"/>
      <c r="B102" s="117" t="s">
        <v>419</v>
      </c>
      <c r="C102" s="118"/>
      <c r="D102" s="64" t="s">
        <v>77</v>
      </c>
      <c r="E102" s="80"/>
      <c r="F102" s="46"/>
      <c r="G102" s="80"/>
      <c r="I102"/>
      <c r="J102" s="2"/>
      <c r="K102" s="13"/>
      <c r="L102" s="13"/>
      <c r="M102" s="13"/>
      <c r="N102" s="13"/>
      <c r="O102"/>
    </row>
    <row r="103" spans="1:15" ht="15" x14ac:dyDescent="0.25">
      <c r="A103" s="50"/>
      <c r="B103" s="117" t="s">
        <v>420</v>
      </c>
      <c r="C103" s="118"/>
      <c r="D103" s="64" t="s">
        <v>77</v>
      </c>
      <c r="E103" s="65"/>
      <c r="F103" s="50"/>
      <c r="G103" s="50"/>
      <c r="I103" s="13"/>
    </row>
    <row r="104" spans="1:15" x14ac:dyDescent="0.2">
      <c r="A104" s="50"/>
      <c r="B104" s="117" t="s">
        <v>421</v>
      </c>
      <c r="C104" s="118"/>
      <c r="D104" s="64" t="s">
        <v>77</v>
      </c>
      <c r="E104" s="65"/>
      <c r="F104" s="50"/>
      <c r="G104" s="50"/>
    </row>
    <row r="105" spans="1:15" x14ac:dyDescent="0.2">
      <c r="A105" s="50"/>
      <c r="B105" s="117" t="s">
        <v>422</v>
      </c>
      <c r="C105" s="118"/>
      <c r="D105" s="64" t="s">
        <v>77</v>
      </c>
      <c r="E105" s="65"/>
      <c r="F105" s="50"/>
      <c r="G105" s="50"/>
    </row>
    <row r="106" spans="1:15" ht="15" x14ac:dyDescent="0.25">
      <c r="A106" s="66"/>
      <c r="B106" s="66"/>
      <c r="C106" s="66"/>
      <c r="D106" s="66"/>
      <c r="E106" s="66"/>
      <c r="F106" s="66"/>
      <c r="G106" s="66"/>
      <c r="I106" s="13"/>
    </row>
    <row r="107" spans="1:15" s="7" customFormat="1" ht="15" x14ac:dyDescent="0.25">
      <c r="B107" s="131" t="s">
        <v>455</v>
      </c>
      <c r="C107" s="132"/>
      <c r="D107" s="132"/>
      <c r="E107" s="132"/>
      <c r="F107" s="132"/>
      <c r="G107" s="133"/>
      <c r="I107"/>
      <c r="J107" s="2"/>
      <c r="K107" s="13"/>
      <c r="L107" s="13"/>
      <c r="M107" s="13"/>
      <c r="N107" s="13"/>
      <c r="O107"/>
    </row>
    <row r="108" spans="1:15" s="7" customFormat="1" ht="45" customHeight="1" x14ac:dyDescent="0.25">
      <c r="B108" s="81" t="s">
        <v>434</v>
      </c>
      <c r="C108" s="81" t="s">
        <v>435</v>
      </c>
      <c r="D108" s="134" t="s">
        <v>426</v>
      </c>
      <c r="E108" s="135"/>
      <c r="F108" s="127" t="s">
        <v>427</v>
      </c>
      <c r="G108" s="127"/>
      <c r="H108" s="82"/>
      <c r="I108"/>
      <c r="J108" s="2"/>
      <c r="K108" s="13"/>
      <c r="L108" s="13"/>
      <c r="M108" s="13"/>
      <c r="N108" s="13"/>
      <c r="O108"/>
    </row>
    <row r="109" spans="1:15" s="7" customFormat="1" ht="25.5" x14ac:dyDescent="0.25">
      <c r="B109" s="83" t="s">
        <v>436</v>
      </c>
      <c r="C109" s="84" t="s">
        <v>437</v>
      </c>
      <c r="D109" s="136">
        <v>0</v>
      </c>
      <c r="E109" s="137"/>
      <c r="F109" s="136">
        <v>0</v>
      </c>
      <c r="G109" s="137"/>
      <c r="H109" s="85"/>
      <c r="I109" s="13"/>
      <c r="J109" s="2"/>
      <c r="K109" s="13"/>
      <c r="L109" s="13"/>
      <c r="M109" s="13"/>
      <c r="N109" s="13"/>
      <c r="O109"/>
    </row>
    <row r="110" spans="1:15" s="7" customFormat="1" ht="15" x14ac:dyDescent="0.25">
      <c r="B110" s="124" t="s">
        <v>438</v>
      </c>
      <c r="C110" s="125"/>
      <c r="D110" s="125"/>
      <c r="E110" s="125"/>
      <c r="F110" s="125"/>
      <c r="G110" s="126"/>
      <c r="H110" s="85"/>
      <c r="I110" s="14"/>
      <c r="J110" s="2"/>
      <c r="K110" s="16"/>
      <c r="L110" s="16"/>
      <c r="M110" s="16"/>
      <c r="N110" s="13"/>
      <c r="O110"/>
    </row>
    <row r="111" spans="1:15" s="7" customFormat="1" ht="15" x14ac:dyDescent="0.25">
      <c r="B111" s="127" t="s">
        <v>434</v>
      </c>
      <c r="C111" s="127" t="s">
        <v>435</v>
      </c>
      <c r="D111" s="124" t="s">
        <v>439</v>
      </c>
      <c r="E111" s="125"/>
      <c r="F111" s="126"/>
      <c r="G111" s="83"/>
      <c r="H111" s="85"/>
      <c r="I111" s="15"/>
      <c r="J111" s="2"/>
      <c r="K111" s="16"/>
      <c r="L111" s="16"/>
      <c r="M111" s="16"/>
      <c r="N111" s="13"/>
      <c r="O111"/>
    </row>
    <row r="112" spans="1:15" s="7" customFormat="1" ht="76.5" x14ac:dyDescent="0.25">
      <c r="B112" s="127"/>
      <c r="C112" s="127"/>
      <c r="D112" s="86" t="s">
        <v>440</v>
      </c>
      <c r="E112" s="86" t="s">
        <v>441</v>
      </c>
      <c r="F112" s="86" t="s">
        <v>442</v>
      </c>
      <c r="G112" s="86" t="s">
        <v>457</v>
      </c>
      <c r="H112" s="87"/>
      <c r="I112" s="16"/>
      <c r="J112" s="2"/>
      <c r="K112" s="16"/>
      <c r="L112" s="16"/>
      <c r="M112" s="16"/>
      <c r="N112" s="13"/>
      <c r="O112"/>
    </row>
    <row r="113" spans="2:17" s="7" customFormat="1" ht="25.5" x14ac:dyDescent="0.2">
      <c r="B113" s="88" t="s">
        <v>436</v>
      </c>
      <c r="C113" s="84" t="s">
        <v>437</v>
      </c>
      <c r="D113" s="89">
        <v>200</v>
      </c>
      <c r="E113" s="89">
        <v>6.8852450999999997</v>
      </c>
      <c r="F113" s="89">
        <v>206.88524509999999</v>
      </c>
      <c r="G113" s="90">
        <f>F113/F78</f>
        <v>4.8743471127829965E-2</v>
      </c>
      <c r="H113" s="91"/>
      <c r="I113"/>
      <c r="J113" s="2"/>
      <c r="K113"/>
      <c r="L113"/>
      <c r="M113"/>
      <c r="N113"/>
      <c r="O113"/>
    </row>
    <row r="114" spans="2:17" s="7" customFormat="1" ht="33.75" customHeight="1" x14ac:dyDescent="0.2">
      <c r="B114" s="128" t="s">
        <v>443</v>
      </c>
      <c r="C114" s="129"/>
      <c r="D114" s="129"/>
      <c r="E114" s="129"/>
      <c r="F114" s="129"/>
      <c r="G114" s="130"/>
      <c r="H114" s="92"/>
      <c r="I114"/>
      <c r="J114" s="2"/>
      <c r="K114"/>
      <c r="L114"/>
      <c r="M114"/>
      <c r="N114"/>
      <c r="O114"/>
    </row>
    <row r="115" spans="2:17" s="7" customFormat="1" x14ac:dyDescent="0.2">
      <c r="H115" s="92"/>
      <c r="I115"/>
      <c r="J115" s="2"/>
      <c r="K115"/>
      <c r="L115"/>
      <c r="M115"/>
      <c r="N115"/>
      <c r="O115"/>
    </row>
    <row r="116" spans="2:17" s="7" customFormat="1" x14ac:dyDescent="0.2">
      <c r="B116" s="119" t="s">
        <v>411</v>
      </c>
      <c r="C116" s="120"/>
      <c r="D116" s="121"/>
      <c r="I116"/>
      <c r="J116" s="2"/>
      <c r="K116"/>
      <c r="L116"/>
      <c r="M116"/>
      <c r="N116"/>
      <c r="O116"/>
    </row>
    <row r="117" spans="2:17" s="7" customFormat="1" ht="51" x14ac:dyDescent="0.2">
      <c r="B117" s="111" t="s">
        <v>412</v>
      </c>
      <c r="C117" s="111"/>
      <c r="D117" s="67" t="s">
        <v>345</v>
      </c>
      <c r="I117"/>
      <c r="J117" s="2"/>
      <c r="K117"/>
      <c r="L117"/>
      <c r="M117"/>
      <c r="N117"/>
      <c r="O117"/>
    </row>
    <row r="118" spans="2:17" s="7" customFormat="1" x14ac:dyDescent="0.2">
      <c r="B118" s="107" t="s">
        <v>413</v>
      </c>
      <c r="C118" s="107"/>
      <c r="D118" s="68"/>
      <c r="I118"/>
      <c r="J118" s="2"/>
      <c r="K118"/>
      <c r="L118"/>
      <c r="M118"/>
      <c r="N118"/>
      <c r="O118"/>
    </row>
    <row r="119" spans="2:17" s="7" customFormat="1" x14ac:dyDescent="0.2">
      <c r="B119" s="107"/>
      <c r="C119" s="107"/>
      <c r="D119" s="69"/>
      <c r="I119"/>
      <c r="J119" s="2"/>
      <c r="K119"/>
      <c r="L119"/>
      <c r="M119"/>
      <c r="N119"/>
      <c r="O119"/>
    </row>
    <row r="120" spans="2:17" s="7" customFormat="1" x14ac:dyDescent="0.2">
      <c r="B120" s="107" t="s">
        <v>414</v>
      </c>
      <c r="C120" s="107"/>
      <c r="D120" s="70">
        <v>7.0454109265604927</v>
      </c>
      <c r="I120"/>
      <c r="J120" s="2"/>
      <c r="K120"/>
      <c r="L120"/>
      <c r="M120"/>
      <c r="N120"/>
      <c r="O120"/>
    </row>
    <row r="121" spans="2:17" s="7" customFormat="1" x14ac:dyDescent="0.2">
      <c r="B121" s="107"/>
      <c r="C121" s="107"/>
      <c r="D121" s="69"/>
      <c r="I121"/>
      <c r="J121" s="2"/>
      <c r="K121"/>
      <c r="L121"/>
      <c r="M121"/>
      <c r="N121"/>
      <c r="O121"/>
    </row>
    <row r="122" spans="2:17" s="7" customFormat="1" x14ac:dyDescent="0.2">
      <c r="B122" s="107" t="s">
        <v>415</v>
      </c>
      <c r="C122" s="107"/>
      <c r="D122" s="70">
        <v>3.6821310421197997</v>
      </c>
      <c r="I122"/>
      <c r="J122" s="2"/>
      <c r="K122"/>
      <c r="L122"/>
      <c r="M122"/>
      <c r="N122"/>
      <c r="O122"/>
    </row>
    <row r="123" spans="2:17" s="7" customFormat="1" x14ac:dyDescent="0.2">
      <c r="B123" s="107" t="s">
        <v>416</v>
      </c>
      <c r="C123" s="107"/>
      <c r="D123" s="70">
        <v>4.7981942628241097</v>
      </c>
      <c r="I123"/>
      <c r="J123" s="2"/>
      <c r="K123"/>
      <c r="L123"/>
      <c r="M123"/>
      <c r="N123"/>
      <c r="O123"/>
    </row>
    <row r="124" spans="2:17" s="7" customFormat="1" x14ac:dyDescent="0.2">
      <c r="B124" s="107"/>
      <c r="C124" s="107"/>
      <c r="D124" s="69"/>
      <c r="I124"/>
      <c r="J124" s="2"/>
      <c r="K124"/>
      <c r="L124"/>
      <c r="M124"/>
      <c r="N124"/>
      <c r="O124"/>
    </row>
    <row r="125" spans="2:17" s="7" customFormat="1" x14ac:dyDescent="0.2">
      <c r="B125" s="107" t="s">
        <v>417</v>
      </c>
      <c r="C125" s="107"/>
      <c r="D125" s="71" t="s">
        <v>454</v>
      </c>
      <c r="I125"/>
      <c r="J125" s="2"/>
      <c r="K125"/>
      <c r="L125"/>
      <c r="M125"/>
      <c r="N125"/>
      <c r="O125"/>
    </row>
    <row r="126" spans="2:17" s="7" customFormat="1" x14ac:dyDescent="0.2">
      <c r="B126" s="105" t="s">
        <v>418</v>
      </c>
      <c r="C126" s="108"/>
      <c r="D126" s="106"/>
      <c r="I126"/>
      <c r="J126" s="2"/>
      <c r="K126"/>
      <c r="L126"/>
      <c r="M126"/>
      <c r="N126"/>
      <c r="O126"/>
      <c r="P126"/>
      <c r="Q126"/>
    </row>
  </sheetData>
  <mergeCells count="36">
    <mergeCell ref="B105:C105"/>
    <mergeCell ref="B107:G107"/>
    <mergeCell ref="D108:E108"/>
    <mergeCell ref="F108:G108"/>
    <mergeCell ref="D109:E109"/>
    <mergeCell ref="F109:G109"/>
    <mergeCell ref="B104:C104"/>
    <mergeCell ref="A1:H1"/>
    <mergeCell ref="A2:H2"/>
    <mergeCell ref="A3:H3"/>
    <mergeCell ref="B80:H80"/>
    <mergeCell ref="B81:H81"/>
    <mergeCell ref="B82:H82"/>
    <mergeCell ref="B102:C102"/>
    <mergeCell ref="B103:C103"/>
    <mergeCell ref="B84:D84"/>
    <mergeCell ref="B85:C85"/>
    <mergeCell ref="B86:C86"/>
    <mergeCell ref="B87:C87"/>
    <mergeCell ref="B100:C100"/>
    <mergeCell ref="B110:G110"/>
    <mergeCell ref="B111:B112"/>
    <mergeCell ref="C111:C112"/>
    <mergeCell ref="D111:F111"/>
    <mergeCell ref="B114:G114"/>
    <mergeCell ref="B116:D116"/>
    <mergeCell ref="B117:C117"/>
    <mergeCell ref="B118:C118"/>
    <mergeCell ref="B119:C119"/>
    <mergeCell ref="B120:C120"/>
    <mergeCell ref="B126:D126"/>
    <mergeCell ref="B121:C121"/>
    <mergeCell ref="B122:C122"/>
    <mergeCell ref="B123:C123"/>
    <mergeCell ref="B124:C124"/>
    <mergeCell ref="B125:C125"/>
  </mergeCells>
  <hyperlinks>
    <hyperlink ref="I1" location="Index!B9" display="Index" xr:uid="{DD87762A-B736-4174-BD90-E25A69B0094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1D54E-89E7-4E2A-9A70-B538154FC9CB}">
  <sheetPr>
    <outlinePr summaryBelow="0" summaryRight="0"/>
  </sheetPr>
  <dimension ref="A1:R128"/>
  <sheetViews>
    <sheetView showGridLines="0" workbookViewId="0">
      <selection activeCell="D16" sqref="D16"/>
    </sheetView>
  </sheetViews>
  <sheetFormatPr defaultRowHeight="12.75" x14ac:dyDescent="0.2"/>
  <cols>
    <col min="1" max="1" width="5.85546875" bestFit="1" customWidth="1"/>
    <col min="2" max="2" width="20.28515625" bestFit="1" customWidth="1"/>
    <col min="3" max="3" width="39.140625" bestFit="1" customWidth="1"/>
    <col min="4" max="4" width="16.570312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2" customWidth="1"/>
  </cols>
  <sheetData>
    <row r="1" spans="1:10" ht="15" x14ac:dyDescent="0.2">
      <c r="A1" s="109" t="s">
        <v>0</v>
      </c>
      <c r="B1" s="109"/>
      <c r="C1" s="109"/>
      <c r="D1" s="109"/>
      <c r="E1" s="109"/>
      <c r="F1" s="109"/>
      <c r="G1" s="109"/>
      <c r="H1" s="109"/>
      <c r="I1" s="1" t="s">
        <v>459</v>
      </c>
    </row>
    <row r="2" spans="1:10" ht="15" x14ac:dyDescent="0.2">
      <c r="A2" s="109" t="s">
        <v>349</v>
      </c>
      <c r="B2" s="109"/>
      <c r="C2" s="109"/>
      <c r="D2" s="109"/>
      <c r="E2" s="109"/>
      <c r="F2" s="109"/>
      <c r="G2" s="109"/>
      <c r="H2" s="109"/>
      <c r="J2" s="3" t="s">
        <v>460</v>
      </c>
    </row>
    <row r="3" spans="1:10" ht="15" x14ac:dyDescent="0.2">
      <c r="A3" s="109" t="s">
        <v>494</v>
      </c>
      <c r="B3" s="109"/>
      <c r="C3" s="109"/>
      <c r="D3" s="109"/>
      <c r="E3" s="109"/>
      <c r="F3" s="109"/>
      <c r="G3" s="109"/>
      <c r="H3" s="109"/>
    </row>
    <row r="4" spans="1:10" s="4" customFormat="1" ht="30" x14ac:dyDescent="0.2">
      <c r="A4" s="26" t="s">
        <v>2</v>
      </c>
      <c r="B4" s="26" t="s">
        <v>3</v>
      </c>
      <c r="C4" s="26" t="s">
        <v>4</v>
      </c>
      <c r="D4" s="26" t="s">
        <v>5</v>
      </c>
      <c r="E4" s="26" t="s">
        <v>6</v>
      </c>
      <c r="F4" s="26" t="s">
        <v>7</v>
      </c>
      <c r="G4" s="26" t="s">
        <v>8</v>
      </c>
      <c r="H4" s="27" t="s">
        <v>404</v>
      </c>
      <c r="J4" s="2"/>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36">
        <v>1</v>
      </c>
      <c r="B7" s="37" t="s">
        <v>350</v>
      </c>
      <c r="C7" s="37" t="s">
        <v>351</v>
      </c>
      <c r="D7" s="37" t="s">
        <v>352</v>
      </c>
      <c r="E7" s="38">
        <v>7000</v>
      </c>
      <c r="F7" s="39">
        <v>86.096500000000006</v>
      </c>
      <c r="G7" s="40">
        <v>3.2251479999999999E-2</v>
      </c>
      <c r="H7" s="30" t="s">
        <v>12</v>
      </c>
    </row>
    <row r="8" spans="1:10" x14ac:dyDescent="0.2">
      <c r="A8" s="36">
        <v>2</v>
      </c>
      <c r="B8" s="37" t="s">
        <v>353</v>
      </c>
      <c r="C8" s="37" t="s">
        <v>354</v>
      </c>
      <c r="D8" s="37" t="s">
        <v>355</v>
      </c>
      <c r="E8" s="38">
        <v>2400</v>
      </c>
      <c r="F8" s="39">
        <v>76.666799999999995</v>
      </c>
      <c r="G8" s="40">
        <v>2.8719140000000001E-2</v>
      </c>
      <c r="H8" s="30" t="s">
        <v>12</v>
      </c>
    </row>
    <row r="9" spans="1:10" x14ac:dyDescent="0.2">
      <c r="A9" s="36">
        <v>3</v>
      </c>
      <c r="B9" s="37" t="s">
        <v>356</v>
      </c>
      <c r="C9" s="37" t="s">
        <v>357</v>
      </c>
      <c r="D9" s="37" t="s">
        <v>352</v>
      </c>
      <c r="E9" s="38">
        <v>4400</v>
      </c>
      <c r="F9" s="39">
        <v>71.372399999999999</v>
      </c>
      <c r="G9" s="40">
        <v>2.673588E-2</v>
      </c>
      <c r="H9" s="30" t="s">
        <v>12</v>
      </c>
    </row>
    <row r="10" spans="1:10" x14ac:dyDescent="0.2">
      <c r="A10" s="36">
        <v>4</v>
      </c>
      <c r="B10" s="37" t="s">
        <v>358</v>
      </c>
      <c r="C10" s="37" t="s">
        <v>359</v>
      </c>
      <c r="D10" s="37" t="s">
        <v>360</v>
      </c>
      <c r="E10" s="38">
        <v>1750</v>
      </c>
      <c r="F10" s="39">
        <v>63.902999999999999</v>
      </c>
      <c r="G10" s="40">
        <v>2.3937859999999998E-2</v>
      </c>
      <c r="H10" s="30" t="s">
        <v>12</v>
      </c>
    </row>
    <row r="11" spans="1:10" x14ac:dyDescent="0.2">
      <c r="A11" s="36">
        <v>5</v>
      </c>
      <c r="B11" s="37" t="s">
        <v>361</v>
      </c>
      <c r="C11" s="37" t="s">
        <v>362</v>
      </c>
      <c r="D11" s="37" t="s">
        <v>352</v>
      </c>
      <c r="E11" s="38">
        <v>4750</v>
      </c>
      <c r="F11" s="39">
        <v>62.103875000000002</v>
      </c>
      <c r="G11" s="40">
        <v>2.326392E-2</v>
      </c>
      <c r="H11" s="30" t="s">
        <v>12</v>
      </c>
    </row>
    <row r="12" spans="1:10" ht="15" x14ac:dyDescent="0.2">
      <c r="A12" s="36">
        <v>6</v>
      </c>
      <c r="B12" s="37" t="s">
        <v>363</v>
      </c>
      <c r="C12" s="37" t="s">
        <v>364</v>
      </c>
      <c r="D12" s="37" t="s">
        <v>365</v>
      </c>
      <c r="E12" s="38">
        <v>3000</v>
      </c>
      <c r="F12" s="39">
        <v>48.835500000000003</v>
      </c>
      <c r="G12" s="40">
        <v>1.8293630000000002E-2</v>
      </c>
      <c r="H12" s="30" t="s">
        <v>12</v>
      </c>
      <c r="J12" s="18"/>
    </row>
    <row r="13" spans="1:10" x14ac:dyDescent="0.2">
      <c r="A13" s="36">
        <v>7</v>
      </c>
      <c r="B13" s="37" t="s">
        <v>366</v>
      </c>
      <c r="C13" s="37" t="s">
        <v>367</v>
      </c>
      <c r="D13" s="37" t="s">
        <v>368</v>
      </c>
      <c r="E13" s="38">
        <v>3000</v>
      </c>
      <c r="F13" s="39">
        <v>43.128</v>
      </c>
      <c r="G13" s="40">
        <v>1.6155610000000001E-2</v>
      </c>
      <c r="H13" s="30" t="s">
        <v>12</v>
      </c>
    </row>
    <row r="14" spans="1:10" x14ac:dyDescent="0.2">
      <c r="A14" s="36">
        <v>8</v>
      </c>
      <c r="B14" s="37" t="s">
        <v>369</v>
      </c>
      <c r="C14" s="37" t="s">
        <v>370</v>
      </c>
      <c r="D14" s="37" t="s">
        <v>371</v>
      </c>
      <c r="E14" s="38">
        <v>1750</v>
      </c>
      <c r="F14" s="39">
        <v>29.873374999999999</v>
      </c>
      <c r="G14" s="40">
        <v>1.1190469999999999E-2</v>
      </c>
      <c r="H14" s="30" t="s">
        <v>12</v>
      </c>
    </row>
    <row r="15" spans="1:10" ht="25.5" x14ac:dyDescent="0.2">
      <c r="A15" s="36">
        <v>9</v>
      </c>
      <c r="B15" s="37" t="s">
        <v>372</v>
      </c>
      <c r="C15" s="37" t="s">
        <v>373</v>
      </c>
      <c r="D15" s="37" t="s">
        <v>371</v>
      </c>
      <c r="E15" s="38">
        <v>1848</v>
      </c>
      <c r="F15" s="39">
        <v>29.006208000000001</v>
      </c>
      <c r="G15" s="40">
        <v>1.0865639999999999E-2</v>
      </c>
      <c r="H15" s="30" t="s">
        <v>12</v>
      </c>
      <c r="J15" s="17" t="s">
        <v>453</v>
      </c>
    </row>
    <row r="16" spans="1:10" ht="29.1" customHeight="1" x14ac:dyDescent="0.2">
      <c r="A16" s="36">
        <v>9</v>
      </c>
      <c r="B16" s="37" t="s">
        <v>450</v>
      </c>
      <c r="C16" s="37" t="s">
        <v>451</v>
      </c>
      <c r="D16" s="37" t="s">
        <v>452</v>
      </c>
      <c r="E16" s="38">
        <v>30000</v>
      </c>
      <c r="F16" s="39">
        <f>2879400/10^5</f>
        <v>28.794</v>
      </c>
      <c r="G16" s="40">
        <v>1.084676E-2</v>
      </c>
      <c r="H16" s="30"/>
      <c r="J16" s="17"/>
    </row>
    <row r="17" spans="1:10" x14ac:dyDescent="0.2">
      <c r="A17" s="36">
        <v>10</v>
      </c>
      <c r="B17" s="37" t="s">
        <v>374</v>
      </c>
      <c r="C17" s="37" t="s">
        <v>375</v>
      </c>
      <c r="D17" s="37" t="s">
        <v>352</v>
      </c>
      <c r="E17" s="38">
        <v>3000</v>
      </c>
      <c r="F17" s="39">
        <v>26.4405</v>
      </c>
      <c r="G17" s="40">
        <v>9.9045299999999999E-3</v>
      </c>
      <c r="H17" s="30" t="s">
        <v>12</v>
      </c>
    </row>
    <row r="18" spans="1:10" ht="25.5" x14ac:dyDescent="0.2">
      <c r="A18" s="36">
        <v>11</v>
      </c>
      <c r="B18" s="37" t="s">
        <v>376</v>
      </c>
      <c r="C18" s="37" t="s">
        <v>377</v>
      </c>
      <c r="D18" s="37" t="s">
        <v>378</v>
      </c>
      <c r="E18" s="38">
        <v>1000</v>
      </c>
      <c r="F18" s="39">
        <v>15.862</v>
      </c>
      <c r="G18" s="40">
        <v>5.9418600000000002E-3</v>
      </c>
      <c r="H18" s="30" t="s">
        <v>12</v>
      </c>
    </row>
    <row r="19" spans="1:10" ht="25.5" x14ac:dyDescent="0.2">
      <c r="A19" s="36">
        <v>12</v>
      </c>
      <c r="B19" s="37" t="s">
        <v>379</v>
      </c>
      <c r="C19" s="37" t="s">
        <v>380</v>
      </c>
      <c r="D19" s="37" t="s">
        <v>381</v>
      </c>
      <c r="E19" s="38">
        <v>125</v>
      </c>
      <c r="F19" s="39">
        <v>14.7920625</v>
      </c>
      <c r="G19" s="40">
        <v>5.5410600000000004E-3</v>
      </c>
      <c r="H19" s="30" t="s">
        <v>12</v>
      </c>
    </row>
    <row r="20" spans="1:10" ht="25.5" x14ac:dyDescent="0.2">
      <c r="A20" s="36">
        <v>13</v>
      </c>
      <c r="B20" s="37" t="s">
        <v>382</v>
      </c>
      <c r="C20" s="37" t="s">
        <v>383</v>
      </c>
      <c r="D20" s="37" t="s">
        <v>381</v>
      </c>
      <c r="E20" s="38">
        <v>450</v>
      </c>
      <c r="F20" s="39">
        <v>12.616875</v>
      </c>
      <c r="G20" s="40">
        <v>4.7262399999999996E-3</v>
      </c>
      <c r="H20" s="30" t="s">
        <v>12</v>
      </c>
    </row>
    <row r="21" spans="1:10" x14ac:dyDescent="0.2">
      <c r="A21" s="36">
        <v>14</v>
      </c>
      <c r="B21" s="37" t="s">
        <v>384</v>
      </c>
      <c r="C21" s="37" t="s">
        <v>385</v>
      </c>
      <c r="D21" s="37" t="s">
        <v>365</v>
      </c>
      <c r="E21" s="38">
        <v>900</v>
      </c>
      <c r="F21" s="39">
        <v>11.7333</v>
      </c>
      <c r="G21" s="40">
        <v>4.3952599999999998E-3</v>
      </c>
      <c r="H21" s="30" t="s">
        <v>12</v>
      </c>
    </row>
    <row r="22" spans="1:10" x14ac:dyDescent="0.2">
      <c r="A22" s="36">
        <v>15</v>
      </c>
      <c r="B22" s="37" t="s">
        <v>386</v>
      </c>
      <c r="C22" s="37" t="s">
        <v>448</v>
      </c>
      <c r="D22" s="37" t="s">
        <v>368</v>
      </c>
      <c r="E22" s="38">
        <v>218</v>
      </c>
      <c r="F22" s="39">
        <v>2.2561909999999998</v>
      </c>
      <c r="G22" s="40">
        <v>8.4515999999999997E-4</v>
      </c>
      <c r="H22" s="30" t="s">
        <v>12</v>
      </c>
    </row>
    <row r="23" spans="1:10" x14ac:dyDescent="0.2">
      <c r="A23" s="28"/>
      <c r="B23" s="28"/>
      <c r="C23" s="29" t="s">
        <v>11</v>
      </c>
      <c r="D23" s="28"/>
      <c r="E23" s="28" t="s">
        <v>12</v>
      </c>
      <c r="F23" s="35">
        <f>SUM(F7:F22)</f>
        <v>623.48058650000007</v>
      </c>
      <c r="G23" s="32">
        <f>SUM(G7:G22)</f>
        <v>0.2336145</v>
      </c>
      <c r="H23" s="30" t="s">
        <v>12</v>
      </c>
    </row>
    <row r="24" spans="1:10" ht="15" x14ac:dyDescent="0.2">
      <c r="A24" s="28"/>
      <c r="B24" s="28"/>
      <c r="C24" s="33"/>
      <c r="D24" s="28"/>
      <c r="E24" s="28"/>
      <c r="F24" s="34"/>
      <c r="G24" s="34"/>
      <c r="H24" s="30" t="s">
        <v>12</v>
      </c>
      <c r="J24" s="18"/>
    </row>
    <row r="25" spans="1:10" x14ac:dyDescent="0.2">
      <c r="A25" s="28"/>
      <c r="B25" s="28"/>
      <c r="C25" s="29" t="s">
        <v>14</v>
      </c>
      <c r="D25" s="28"/>
      <c r="E25" s="28"/>
      <c r="F25" s="28"/>
      <c r="G25" s="28"/>
      <c r="H25" s="30" t="s">
        <v>12</v>
      </c>
      <c r="J25" s="17"/>
    </row>
    <row r="26" spans="1:10" x14ac:dyDescent="0.2">
      <c r="A26" s="28"/>
      <c r="B26" s="28"/>
      <c r="C26" s="29" t="s">
        <v>11</v>
      </c>
      <c r="D26" s="28"/>
      <c r="E26" s="28" t="s">
        <v>12</v>
      </c>
      <c r="F26" s="31" t="s">
        <v>13</v>
      </c>
      <c r="G26" s="32">
        <v>0</v>
      </c>
      <c r="H26" s="30" t="s">
        <v>12</v>
      </c>
    </row>
    <row r="27" spans="1:10" x14ac:dyDescent="0.2">
      <c r="A27" s="28"/>
      <c r="B27" s="28"/>
      <c r="C27" s="33"/>
      <c r="D27" s="28"/>
      <c r="E27" s="28"/>
      <c r="F27" s="34"/>
      <c r="G27" s="34"/>
      <c r="H27" s="30" t="s">
        <v>12</v>
      </c>
    </row>
    <row r="28" spans="1:10" x14ac:dyDescent="0.2">
      <c r="A28" s="28"/>
      <c r="B28" s="28"/>
      <c r="C28" s="29" t="s">
        <v>15</v>
      </c>
      <c r="D28" s="28"/>
      <c r="E28" s="28"/>
      <c r="F28" s="28"/>
      <c r="G28" s="28"/>
      <c r="H28" s="30" t="s">
        <v>12</v>
      </c>
    </row>
    <row r="29" spans="1:10" x14ac:dyDescent="0.2">
      <c r="A29" s="28"/>
      <c r="B29" s="28"/>
      <c r="C29" s="29" t="s">
        <v>11</v>
      </c>
      <c r="D29" s="28"/>
      <c r="E29" s="28" t="s">
        <v>12</v>
      </c>
      <c r="F29" s="31" t="s">
        <v>13</v>
      </c>
      <c r="G29" s="32">
        <v>0</v>
      </c>
      <c r="H29" s="30" t="s">
        <v>12</v>
      </c>
      <c r="J29" s="17"/>
    </row>
    <row r="30" spans="1:10" x14ac:dyDescent="0.2">
      <c r="A30" s="28"/>
      <c r="B30" s="28"/>
      <c r="C30" s="33"/>
      <c r="D30" s="28"/>
      <c r="E30" s="28"/>
      <c r="F30" s="34"/>
      <c r="G30" s="34"/>
      <c r="H30" s="30" t="s">
        <v>12</v>
      </c>
    </row>
    <row r="31" spans="1:10" x14ac:dyDescent="0.2">
      <c r="A31" s="28"/>
      <c r="B31" s="28"/>
      <c r="C31" s="29" t="s">
        <v>16</v>
      </c>
      <c r="D31" s="28"/>
      <c r="E31" s="28"/>
      <c r="F31" s="28"/>
      <c r="G31" s="28"/>
      <c r="H31" s="30" t="s">
        <v>12</v>
      </c>
    </row>
    <row r="32" spans="1:10" x14ac:dyDescent="0.2">
      <c r="A32" s="28"/>
      <c r="B32" s="28"/>
      <c r="C32" s="29" t="s">
        <v>11</v>
      </c>
      <c r="D32" s="28"/>
      <c r="E32" s="28" t="s">
        <v>12</v>
      </c>
      <c r="F32" s="31" t="s">
        <v>13</v>
      </c>
      <c r="G32" s="32">
        <v>0</v>
      </c>
      <c r="H32" s="30" t="s">
        <v>12</v>
      </c>
    </row>
    <row r="33" spans="1:8" x14ac:dyDescent="0.2">
      <c r="A33" s="28"/>
      <c r="B33" s="28"/>
      <c r="C33" s="33"/>
      <c r="D33" s="28"/>
      <c r="E33" s="28"/>
      <c r="F33" s="34"/>
      <c r="G33" s="34"/>
      <c r="H33" s="30" t="s">
        <v>12</v>
      </c>
    </row>
    <row r="34" spans="1:8" x14ac:dyDescent="0.2">
      <c r="A34" s="28"/>
      <c r="B34" s="28"/>
      <c r="C34" s="29" t="s">
        <v>17</v>
      </c>
      <c r="D34" s="28"/>
      <c r="E34" s="28"/>
      <c r="F34" s="34"/>
      <c r="G34" s="34"/>
      <c r="H34" s="30" t="s">
        <v>12</v>
      </c>
    </row>
    <row r="35" spans="1:8" x14ac:dyDescent="0.2">
      <c r="A35" s="28"/>
      <c r="B35" s="28"/>
      <c r="C35" s="29" t="s">
        <v>11</v>
      </c>
      <c r="D35" s="28"/>
      <c r="E35" s="28" t="s">
        <v>12</v>
      </c>
      <c r="F35" s="31" t="s">
        <v>13</v>
      </c>
      <c r="G35" s="32">
        <v>0</v>
      </c>
      <c r="H35" s="30" t="s">
        <v>12</v>
      </c>
    </row>
    <row r="36" spans="1:8" x14ac:dyDescent="0.2">
      <c r="A36" s="28"/>
      <c r="B36" s="28"/>
      <c r="C36" s="33"/>
      <c r="D36" s="28"/>
      <c r="E36" s="28"/>
      <c r="F36" s="34"/>
      <c r="G36" s="34"/>
      <c r="H36" s="30" t="s">
        <v>12</v>
      </c>
    </row>
    <row r="37" spans="1:8" x14ac:dyDescent="0.2">
      <c r="A37" s="28"/>
      <c r="B37" s="28"/>
      <c r="C37" s="29" t="s">
        <v>18</v>
      </c>
      <c r="D37" s="28"/>
      <c r="E37" s="28"/>
      <c r="F37" s="34"/>
      <c r="G37" s="34"/>
      <c r="H37" s="30" t="s">
        <v>12</v>
      </c>
    </row>
    <row r="38" spans="1:8" x14ac:dyDescent="0.2">
      <c r="A38" s="28"/>
      <c r="B38" s="28"/>
      <c r="C38" s="29" t="s">
        <v>11</v>
      </c>
      <c r="D38" s="28"/>
      <c r="E38" s="28" t="s">
        <v>12</v>
      </c>
      <c r="F38" s="31" t="s">
        <v>13</v>
      </c>
      <c r="G38" s="32">
        <v>0</v>
      </c>
      <c r="H38" s="30" t="s">
        <v>12</v>
      </c>
    </row>
    <row r="39" spans="1:8" x14ac:dyDescent="0.2">
      <c r="A39" s="28"/>
      <c r="B39" s="28"/>
      <c r="C39" s="33"/>
      <c r="D39" s="28"/>
      <c r="E39" s="28"/>
      <c r="F39" s="34"/>
      <c r="G39" s="34"/>
      <c r="H39" s="30" t="s">
        <v>12</v>
      </c>
    </row>
    <row r="40" spans="1:8" x14ac:dyDescent="0.2">
      <c r="A40" s="28"/>
      <c r="B40" s="28"/>
      <c r="C40" s="29" t="s">
        <v>19</v>
      </c>
      <c r="D40" s="28"/>
      <c r="E40" s="28"/>
      <c r="F40" s="35">
        <f>F23</f>
        <v>623.48058650000007</v>
      </c>
      <c r="G40" s="32">
        <f>F40/$F$91</f>
        <v>0.2335538822427044</v>
      </c>
      <c r="H40" s="30" t="s">
        <v>12</v>
      </c>
    </row>
    <row r="41" spans="1:8" x14ac:dyDescent="0.2">
      <c r="A41" s="28"/>
      <c r="B41" s="28"/>
      <c r="C41" s="33"/>
      <c r="D41" s="28"/>
      <c r="E41" s="28"/>
      <c r="F41" s="34"/>
      <c r="G41" s="34"/>
      <c r="H41" s="30" t="s">
        <v>12</v>
      </c>
    </row>
    <row r="42" spans="1:8" x14ac:dyDescent="0.2">
      <c r="A42" s="28"/>
      <c r="B42" s="28"/>
      <c r="C42" s="29" t="s">
        <v>20</v>
      </c>
      <c r="D42" s="28"/>
      <c r="E42" s="28"/>
      <c r="F42" s="34"/>
      <c r="G42" s="34"/>
      <c r="H42" s="30" t="s">
        <v>12</v>
      </c>
    </row>
    <row r="43" spans="1:8" x14ac:dyDescent="0.2">
      <c r="A43" s="28"/>
      <c r="B43" s="28"/>
      <c r="C43" s="29" t="s">
        <v>10</v>
      </c>
      <c r="D43" s="28"/>
      <c r="E43" s="28"/>
      <c r="F43" s="34"/>
      <c r="G43" s="34"/>
      <c r="H43" s="30" t="s">
        <v>12</v>
      </c>
    </row>
    <row r="44" spans="1:8" x14ac:dyDescent="0.2">
      <c r="A44" s="28"/>
      <c r="B44" s="28"/>
      <c r="C44" s="29" t="s">
        <v>11</v>
      </c>
      <c r="D44" s="28"/>
      <c r="E44" s="28" t="s">
        <v>12</v>
      </c>
      <c r="F44" s="31" t="s">
        <v>13</v>
      </c>
      <c r="G44" s="32">
        <v>0</v>
      </c>
      <c r="H44" s="30" t="s">
        <v>12</v>
      </c>
    </row>
    <row r="45" spans="1:8" x14ac:dyDescent="0.2">
      <c r="A45" s="28"/>
      <c r="B45" s="28"/>
      <c r="C45" s="33"/>
      <c r="D45" s="28"/>
      <c r="E45" s="28"/>
      <c r="F45" s="34"/>
      <c r="G45" s="34"/>
      <c r="H45" s="30" t="s">
        <v>12</v>
      </c>
    </row>
    <row r="46" spans="1:8" x14ac:dyDescent="0.2">
      <c r="A46" s="28"/>
      <c r="B46" s="28"/>
      <c r="C46" s="29" t="s">
        <v>46</v>
      </c>
      <c r="D46" s="28"/>
      <c r="E46" s="28"/>
      <c r="F46" s="28"/>
      <c r="G46" s="28"/>
      <c r="H46" s="30" t="s">
        <v>12</v>
      </c>
    </row>
    <row r="47" spans="1:8" x14ac:dyDescent="0.2">
      <c r="A47" s="28"/>
      <c r="B47" s="28"/>
      <c r="C47" s="29" t="s">
        <v>11</v>
      </c>
      <c r="D47" s="28"/>
      <c r="E47" s="28" t="s">
        <v>12</v>
      </c>
      <c r="F47" s="31" t="s">
        <v>13</v>
      </c>
      <c r="G47" s="32">
        <v>0</v>
      </c>
      <c r="H47" s="30" t="s">
        <v>12</v>
      </c>
    </row>
    <row r="48" spans="1:8" x14ac:dyDescent="0.2">
      <c r="A48" s="28"/>
      <c r="B48" s="28"/>
      <c r="C48" s="33"/>
      <c r="D48" s="28"/>
      <c r="E48" s="28"/>
      <c r="F48" s="34"/>
      <c r="G48" s="34"/>
      <c r="H48" s="30" t="s">
        <v>12</v>
      </c>
    </row>
    <row r="49" spans="1:8" x14ac:dyDescent="0.2">
      <c r="A49" s="28"/>
      <c r="B49" s="28"/>
      <c r="C49" s="29" t="s">
        <v>47</v>
      </c>
      <c r="D49" s="28"/>
      <c r="E49" s="28"/>
      <c r="F49" s="28"/>
      <c r="G49" s="28"/>
      <c r="H49" s="30" t="s">
        <v>12</v>
      </c>
    </row>
    <row r="50" spans="1:8" x14ac:dyDescent="0.2">
      <c r="A50" s="36">
        <v>1</v>
      </c>
      <c r="B50" s="37" t="s">
        <v>48</v>
      </c>
      <c r="C50" s="37" t="s">
        <v>49</v>
      </c>
      <c r="D50" s="37" t="s">
        <v>50</v>
      </c>
      <c r="E50" s="38">
        <v>1100000</v>
      </c>
      <c r="F50" s="39">
        <v>1111.33</v>
      </c>
      <c r="G50" s="40">
        <v>0.41630075</v>
      </c>
      <c r="H50" s="30">
        <v>7.1467000000000001</v>
      </c>
    </row>
    <row r="51" spans="1:8" x14ac:dyDescent="0.2">
      <c r="A51" s="36">
        <v>2</v>
      </c>
      <c r="B51" s="37" t="s">
        <v>387</v>
      </c>
      <c r="C51" s="37" t="s">
        <v>388</v>
      </c>
      <c r="D51" s="37" t="s">
        <v>50</v>
      </c>
      <c r="E51" s="38">
        <v>500000</v>
      </c>
      <c r="F51" s="39">
        <v>514.53449999999998</v>
      </c>
      <c r="G51" s="40">
        <v>0.19274301999999999</v>
      </c>
      <c r="H51" s="30">
        <v>7.1868999999999996</v>
      </c>
    </row>
    <row r="52" spans="1:8" x14ac:dyDescent="0.2">
      <c r="A52" s="28"/>
      <c r="B52" s="28"/>
      <c r="C52" s="29" t="s">
        <v>11</v>
      </c>
      <c r="D52" s="28"/>
      <c r="E52" s="28" t="s">
        <v>12</v>
      </c>
      <c r="F52" s="35">
        <v>1625.8644999999999</v>
      </c>
      <c r="G52" s="32">
        <v>0.60904376999999998</v>
      </c>
      <c r="H52" s="30" t="s">
        <v>12</v>
      </c>
    </row>
    <row r="53" spans="1:8" x14ac:dyDescent="0.2">
      <c r="A53" s="28"/>
      <c r="B53" s="28"/>
      <c r="C53" s="33"/>
      <c r="D53" s="28"/>
      <c r="E53" s="28"/>
      <c r="F53" s="34"/>
      <c r="G53" s="34"/>
      <c r="H53" s="30" t="s">
        <v>12</v>
      </c>
    </row>
    <row r="54" spans="1:8" x14ac:dyDescent="0.2">
      <c r="A54" s="28"/>
      <c r="B54" s="28"/>
      <c r="C54" s="29" t="s">
        <v>57</v>
      </c>
      <c r="D54" s="28"/>
      <c r="E54" s="28"/>
      <c r="F54" s="34"/>
      <c r="G54" s="34"/>
      <c r="H54" s="30" t="s">
        <v>12</v>
      </c>
    </row>
    <row r="55" spans="1:8" x14ac:dyDescent="0.2">
      <c r="A55" s="28"/>
      <c r="B55" s="28"/>
      <c r="C55" s="29" t="s">
        <v>11</v>
      </c>
      <c r="D55" s="28"/>
      <c r="E55" s="28" t="s">
        <v>12</v>
      </c>
      <c r="F55" s="31" t="s">
        <v>13</v>
      </c>
      <c r="G55" s="32">
        <v>0</v>
      </c>
      <c r="H55" s="30" t="s">
        <v>12</v>
      </c>
    </row>
    <row r="56" spans="1:8" x14ac:dyDescent="0.2">
      <c r="A56" s="28"/>
      <c r="B56" s="28"/>
      <c r="C56" s="33"/>
      <c r="D56" s="28"/>
      <c r="E56" s="28"/>
      <c r="F56" s="34"/>
      <c r="G56" s="34"/>
      <c r="H56" s="30" t="s">
        <v>12</v>
      </c>
    </row>
    <row r="57" spans="1:8" x14ac:dyDescent="0.2">
      <c r="A57" s="28"/>
      <c r="B57" s="28"/>
      <c r="C57" s="29" t="s">
        <v>58</v>
      </c>
      <c r="D57" s="28"/>
      <c r="E57" s="28"/>
      <c r="F57" s="35">
        <v>1625.8644999999999</v>
      </c>
      <c r="G57" s="32">
        <f>F57/$F$91</f>
        <v>0.60904376847921859</v>
      </c>
      <c r="H57" s="30" t="s">
        <v>12</v>
      </c>
    </row>
    <row r="58" spans="1:8" x14ac:dyDescent="0.2">
      <c r="A58" s="28"/>
      <c r="B58" s="28"/>
      <c r="C58" s="33"/>
      <c r="D58" s="28"/>
      <c r="E58" s="28"/>
      <c r="F58" s="34"/>
      <c r="G58" s="34"/>
      <c r="H58" s="30" t="s">
        <v>12</v>
      </c>
    </row>
    <row r="59" spans="1:8" x14ac:dyDescent="0.2">
      <c r="A59" s="28"/>
      <c r="B59" s="28"/>
      <c r="C59" s="29" t="s">
        <v>59</v>
      </c>
      <c r="D59" s="28"/>
      <c r="E59" s="28"/>
      <c r="F59" s="34"/>
      <c r="G59" s="34"/>
      <c r="H59" s="30" t="s">
        <v>12</v>
      </c>
    </row>
    <row r="60" spans="1:8" x14ac:dyDescent="0.2">
      <c r="A60" s="28"/>
      <c r="B60" s="28"/>
      <c r="C60" s="29" t="s">
        <v>60</v>
      </c>
      <c r="D60" s="28"/>
      <c r="E60" s="28"/>
      <c r="F60" s="34"/>
      <c r="G60" s="34"/>
      <c r="H60" s="30" t="s">
        <v>12</v>
      </c>
    </row>
    <row r="61" spans="1:8" x14ac:dyDescent="0.2">
      <c r="A61" s="28"/>
      <c r="B61" s="28"/>
      <c r="C61" s="29" t="s">
        <v>11</v>
      </c>
      <c r="D61" s="28"/>
      <c r="E61" s="28" t="s">
        <v>12</v>
      </c>
      <c r="F61" s="31" t="s">
        <v>13</v>
      </c>
      <c r="G61" s="32">
        <v>0</v>
      </c>
      <c r="H61" s="30" t="s">
        <v>12</v>
      </c>
    </row>
    <row r="62" spans="1:8" x14ac:dyDescent="0.2">
      <c r="A62" s="28"/>
      <c r="B62" s="28"/>
      <c r="C62" s="33"/>
      <c r="D62" s="28"/>
      <c r="E62" s="28"/>
      <c r="F62" s="34"/>
      <c r="G62" s="34"/>
      <c r="H62" s="30" t="s">
        <v>12</v>
      </c>
    </row>
    <row r="63" spans="1:8" x14ac:dyDescent="0.2">
      <c r="A63" s="28"/>
      <c r="B63" s="28"/>
      <c r="C63" s="29" t="s">
        <v>61</v>
      </c>
      <c r="D63" s="28"/>
      <c r="E63" s="28"/>
      <c r="F63" s="34"/>
      <c r="G63" s="34"/>
      <c r="H63" s="30" t="s">
        <v>12</v>
      </c>
    </row>
    <row r="64" spans="1:8" x14ac:dyDescent="0.2">
      <c r="A64" s="28"/>
      <c r="B64" s="28"/>
      <c r="C64" s="29" t="s">
        <v>11</v>
      </c>
      <c r="D64" s="28"/>
      <c r="E64" s="28" t="s">
        <v>12</v>
      </c>
      <c r="F64" s="31" t="s">
        <v>13</v>
      </c>
      <c r="G64" s="32">
        <v>0</v>
      </c>
      <c r="H64" s="30" t="s">
        <v>12</v>
      </c>
    </row>
    <row r="65" spans="1:8" x14ac:dyDescent="0.2">
      <c r="A65" s="28"/>
      <c r="B65" s="28"/>
      <c r="C65" s="33"/>
      <c r="D65" s="28"/>
      <c r="E65" s="28"/>
      <c r="F65" s="34"/>
      <c r="G65" s="34"/>
      <c r="H65" s="30" t="s">
        <v>12</v>
      </c>
    </row>
    <row r="66" spans="1:8" x14ac:dyDescent="0.2">
      <c r="A66" s="28"/>
      <c r="B66" s="28"/>
      <c r="C66" s="29" t="s">
        <v>62</v>
      </c>
      <c r="D66" s="28"/>
      <c r="E66" s="28"/>
      <c r="F66" s="34"/>
      <c r="G66" s="34"/>
      <c r="H66" s="30" t="s">
        <v>12</v>
      </c>
    </row>
    <row r="67" spans="1:8" x14ac:dyDescent="0.2">
      <c r="A67" s="28"/>
      <c r="B67" s="28"/>
      <c r="C67" s="29" t="s">
        <v>11</v>
      </c>
      <c r="D67" s="28"/>
      <c r="E67" s="28" t="s">
        <v>12</v>
      </c>
      <c r="F67" s="31" t="s">
        <v>13</v>
      </c>
      <c r="G67" s="32">
        <v>0</v>
      </c>
      <c r="H67" s="30" t="s">
        <v>12</v>
      </c>
    </row>
    <row r="68" spans="1:8" x14ac:dyDescent="0.2">
      <c r="A68" s="28"/>
      <c r="B68" s="28"/>
      <c r="C68" s="33"/>
      <c r="D68" s="28"/>
      <c r="E68" s="28"/>
      <c r="F68" s="34"/>
      <c r="G68" s="34"/>
      <c r="H68" s="30" t="s">
        <v>12</v>
      </c>
    </row>
    <row r="69" spans="1:8" x14ac:dyDescent="0.2">
      <c r="A69" s="28"/>
      <c r="B69" s="28"/>
      <c r="C69" s="29" t="s">
        <v>63</v>
      </c>
      <c r="D69" s="28"/>
      <c r="E69" s="28"/>
      <c r="F69" s="34"/>
      <c r="G69" s="34"/>
      <c r="H69" s="30" t="s">
        <v>12</v>
      </c>
    </row>
    <row r="70" spans="1:8" x14ac:dyDescent="0.2">
      <c r="A70" s="36">
        <v>1</v>
      </c>
      <c r="B70" s="37"/>
      <c r="C70" s="37" t="s">
        <v>64</v>
      </c>
      <c r="D70" s="37"/>
      <c r="E70" s="41"/>
      <c r="F70" s="39">
        <v>365.666829001</v>
      </c>
      <c r="G70" s="40">
        <v>0.13697765000000001</v>
      </c>
      <c r="H70" s="30">
        <v>6.35</v>
      </c>
    </row>
    <row r="71" spans="1:8" x14ac:dyDescent="0.2">
      <c r="A71" s="28"/>
      <c r="B71" s="28"/>
      <c r="C71" s="29" t="s">
        <v>11</v>
      </c>
      <c r="D71" s="28"/>
      <c r="E71" s="28" t="s">
        <v>12</v>
      </c>
      <c r="F71" s="35">
        <v>365.666829001</v>
      </c>
      <c r="G71" s="32">
        <v>0.13697765000000001</v>
      </c>
      <c r="H71" s="30" t="s">
        <v>12</v>
      </c>
    </row>
    <row r="72" spans="1:8" x14ac:dyDescent="0.2">
      <c r="A72" s="28"/>
      <c r="B72" s="28"/>
      <c r="C72" s="33"/>
      <c r="D72" s="28"/>
      <c r="E72" s="28"/>
      <c r="F72" s="34"/>
      <c r="G72" s="34"/>
      <c r="H72" s="30" t="s">
        <v>12</v>
      </c>
    </row>
    <row r="73" spans="1:8" x14ac:dyDescent="0.2">
      <c r="A73" s="28"/>
      <c r="B73" s="28"/>
      <c r="C73" s="29" t="s">
        <v>65</v>
      </c>
      <c r="D73" s="28"/>
      <c r="E73" s="28"/>
      <c r="F73" s="35">
        <v>365.666829001</v>
      </c>
      <c r="G73" s="32">
        <f>F73/$F$91</f>
        <v>0.13697765314552046</v>
      </c>
      <c r="H73" s="30" t="s">
        <v>12</v>
      </c>
    </row>
    <row r="74" spans="1:8" x14ac:dyDescent="0.2">
      <c r="A74" s="28"/>
      <c r="B74" s="28"/>
      <c r="C74" s="34"/>
      <c r="D74" s="28"/>
      <c r="E74" s="28"/>
      <c r="F74" s="28"/>
      <c r="G74" s="28"/>
      <c r="H74" s="30" t="s">
        <v>12</v>
      </c>
    </row>
    <row r="75" spans="1:8" x14ac:dyDescent="0.2">
      <c r="A75" s="28"/>
      <c r="B75" s="28"/>
      <c r="C75" s="29" t="s">
        <v>66</v>
      </c>
      <c r="D75" s="28"/>
      <c r="E75" s="28"/>
      <c r="F75" s="28"/>
      <c r="G75" s="28"/>
      <c r="H75" s="30" t="s">
        <v>12</v>
      </c>
    </row>
    <row r="76" spans="1:8" x14ac:dyDescent="0.2">
      <c r="A76" s="28"/>
      <c r="B76" s="28"/>
      <c r="C76" s="29" t="s">
        <v>67</v>
      </c>
      <c r="D76" s="28"/>
      <c r="E76" s="28"/>
      <c r="F76" s="28"/>
      <c r="G76" s="28"/>
      <c r="H76" s="30" t="s">
        <v>12</v>
      </c>
    </row>
    <row r="77" spans="1:8" x14ac:dyDescent="0.2">
      <c r="A77" s="28"/>
      <c r="B77" s="28"/>
      <c r="C77" s="29" t="s">
        <v>11</v>
      </c>
      <c r="D77" s="28"/>
      <c r="E77" s="28" t="s">
        <v>12</v>
      </c>
      <c r="F77" s="31" t="s">
        <v>13</v>
      </c>
      <c r="G77" s="32">
        <v>0</v>
      </c>
      <c r="H77" s="30" t="s">
        <v>12</v>
      </c>
    </row>
    <row r="78" spans="1:8" x14ac:dyDescent="0.2">
      <c r="A78" s="28"/>
      <c r="B78" s="28"/>
      <c r="C78" s="33"/>
      <c r="D78" s="28"/>
      <c r="E78" s="28"/>
      <c r="F78" s="34"/>
      <c r="G78" s="34"/>
      <c r="H78" s="30" t="s">
        <v>12</v>
      </c>
    </row>
    <row r="79" spans="1:8" x14ac:dyDescent="0.2">
      <c r="A79" s="28"/>
      <c r="B79" s="28"/>
      <c r="C79" s="29" t="s">
        <v>70</v>
      </c>
      <c r="D79" s="28"/>
      <c r="E79" s="28"/>
      <c r="F79" s="28"/>
      <c r="G79" s="28"/>
      <c r="H79" s="30" t="s">
        <v>12</v>
      </c>
    </row>
    <row r="80" spans="1:8" x14ac:dyDescent="0.2">
      <c r="A80" s="28"/>
      <c r="B80" s="28"/>
      <c r="C80" s="29" t="s">
        <v>71</v>
      </c>
      <c r="D80" s="28"/>
      <c r="E80" s="28"/>
      <c r="F80" s="28"/>
      <c r="G80" s="28"/>
      <c r="H80" s="30" t="s">
        <v>12</v>
      </c>
    </row>
    <row r="81" spans="1:18" x14ac:dyDescent="0.2">
      <c r="A81" s="28"/>
      <c r="B81" s="28"/>
      <c r="C81" s="29" t="s">
        <v>11</v>
      </c>
      <c r="D81" s="28"/>
      <c r="E81" s="28" t="s">
        <v>12</v>
      </c>
      <c r="F81" s="31" t="s">
        <v>13</v>
      </c>
      <c r="G81" s="32">
        <v>0</v>
      </c>
      <c r="H81" s="30" t="s">
        <v>12</v>
      </c>
    </row>
    <row r="82" spans="1:18" x14ac:dyDescent="0.2">
      <c r="A82" s="28"/>
      <c r="B82" s="28"/>
      <c r="C82" s="33"/>
      <c r="D82" s="28"/>
      <c r="E82" s="28"/>
      <c r="F82" s="34"/>
      <c r="G82" s="34"/>
      <c r="H82" s="30" t="s">
        <v>12</v>
      </c>
    </row>
    <row r="83" spans="1:18" x14ac:dyDescent="0.2">
      <c r="A83" s="28"/>
      <c r="B83" s="28"/>
      <c r="C83" s="29" t="s">
        <v>72</v>
      </c>
      <c r="D83" s="28"/>
      <c r="E83" s="28"/>
      <c r="F83" s="34"/>
      <c r="G83" s="34"/>
      <c r="H83" s="30" t="s">
        <v>12</v>
      </c>
    </row>
    <row r="84" spans="1:18" x14ac:dyDescent="0.2">
      <c r="A84" s="28"/>
      <c r="B84" s="28"/>
      <c r="C84" s="29" t="s">
        <v>11</v>
      </c>
      <c r="D84" s="28"/>
      <c r="E84" s="28" t="s">
        <v>12</v>
      </c>
      <c r="F84" s="31" t="s">
        <v>13</v>
      </c>
      <c r="G84" s="32">
        <v>0</v>
      </c>
      <c r="H84" s="30" t="s">
        <v>12</v>
      </c>
    </row>
    <row r="85" spans="1:18" x14ac:dyDescent="0.2">
      <c r="A85" s="73"/>
      <c r="B85" s="73"/>
      <c r="C85" s="74"/>
      <c r="D85" s="73"/>
      <c r="E85" s="73"/>
      <c r="F85" s="75"/>
      <c r="G85" s="75"/>
      <c r="H85" s="30" t="s">
        <v>12</v>
      </c>
    </row>
    <row r="86" spans="1:18" x14ac:dyDescent="0.2">
      <c r="A86" s="76"/>
      <c r="B86" s="76"/>
      <c r="C86" s="64" t="s">
        <v>406</v>
      </c>
      <c r="D86" s="76"/>
      <c r="E86" s="76"/>
      <c r="F86" s="77"/>
      <c r="G86" s="77"/>
      <c r="H86" s="78"/>
      <c r="K86" s="5"/>
      <c r="L86" s="5"/>
      <c r="M86" s="5"/>
      <c r="N86" s="5"/>
      <c r="O86" s="5"/>
      <c r="P86" s="6"/>
      <c r="Q86" s="6"/>
      <c r="R86" s="6"/>
    </row>
    <row r="87" spans="1:18" ht="25.5" x14ac:dyDescent="0.2">
      <c r="A87" s="36">
        <v>1</v>
      </c>
      <c r="B87" s="37" t="s">
        <v>68</v>
      </c>
      <c r="C87" s="37" t="s">
        <v>69</v>
      </c>
      <c r="D87" s="37"/>
      <c r="E87" s="79">
        <v>76.796000000000006</v>
      </c>
      <c r="F87" s="39">
        <v>7.9160514280000003</v>
      </c>
      <c r="G87" s="40">
        <f>F87/$F$91</f>
        <v>2.9653281642993126E-3</v>
      </c>
      <c r="H87" s="30"/>
    </row>
    <row r="88" spans="1:18" x14ac:dyDescent="0.2">
      <c r="A88" s="28"/>
      <c r="B88" s="28"/>
      <c r="C88" s="29" t="s">
        <v>11</v>
      </c>
      <c r="D88" s="28"/>
      <c r="E88" s="28" t="s">
        <v>12</v>
      </c>
      <c r="F88" s="35">
        <v>7.9160514280000003</v>
      </c>
      <c r="G88" s="32">
        <v>2.96533E-3</v>
      </c>
      <c r="H88" s="30" t="s">
        <v>12</v>
      </c>
    </row>
    <row r="89" spans="1:18" x14ac:dyDescent="0.2">
      <c r="A89" s="28"/>
      <c r="B89" s="28"/>
      <c r="C89" s="33"/>
      <c r="D89" s="28"/>
      <c r="E89" s="28"/>
      <c r="F89" s="34"/>
      <c r="G89" s="34"/>
      <c r="H89" s="30" t="s">
        <v>12</v>
      </c>
    </row>
    <row r="90" spans="1:18" x14ac:dyDescent="0.2">
      <c r="A90" s="41"/>
      <c r="B90" s="37"/>
      <c r="C90" s="37" t="s">
        <v>73</v>
      </c>
      <c r="D90" s="37"/>
      <c r="E90" s="41"/>
      <c r="F90" s="39">
        <v>46.608418049999997</v>
      </c>
      <c r="G90" s="40">
        <f>F90/$F$91</f>
        <v>1.7459367968257398E-2</v>
      </c>
      <c r="H90" s="30" t="s">
        <v>12</v>
      </c>
    </row>
    <row r="91" spans="1:18" x14ac:dyDescent="0.2">
      <c r="A91" s="33"/>
      <c r="B91" s="33"/>
      <c r="C91" s="29" t="s">
        <v>74</v>
      </c>
      <c r="D91" s="34"/>
      <c r="E91" s="34"/>
      <c r="F91" s="35">
        <f>2640.742384979+F16</f>
        <v>2669.5363849789996</v>
      </c>
      <c r="G91" s="42">
        <f>G90+G88+G73+G57+G40</f>
        <v>1.0000000018357009</v>
      </c>
      <c r="H91" s="30" t="s">
        <v>12</v>
      </c>
    </row>
    <row r="92" spans="1:18" x14ac:dyDescent="0.2">
      <c r="A92" s="43"/>
      <c r="B92" s="43"/>
      <c r="C92" s="43"/>
      <c r="D92" s="44"/>
      <c r="E92" s="44"/>
      <c r="F92" s="44"/>
      <c r="G92" s="44"/>
    </row>
    <row r="93" spans="1:18" x14ac:dyDescent="0.2">
      <c r="A93" s="45"/>
      <c r="B93" s="110" t="s">
        <v>407</v>
      </c>
      <c r="C93" s="110"/>
      <c r="D93" s="110"/>
      <c r="E93" s="110"/>
      <c r="F93" s="110"/>
      <c r="G93" s="110"/>
      <c r="H93" s="110"/>
    </row>
    <row r="94" spans="1:18" x14ac:dyDescent="0.2">
      <c r="A94" s="45"/>
      <c r="B94" s="110" t="s">
        <v>408</v>
      </c>
      <c r="C94" s="110"/>
      <c r="D94" s="110"/>
      <c r="E94" s="110"/>
      <c r="F94" s="110"/>
      <c r="G94" s="110"/>
      <c r="H94" s="110"/>
    </row>
    <row r="95" spans="1:18" x14ac:dyDescent="0.2">
      <c r="A95" s="45"/>
      <c r="B95" s="110" t="s">
        <v>409</v>
      </c>
      <c r="C95" s="110"/>
      <c r="D95" s="110"/>
      <c r="E95" s="110"/>
      <c r="F95" s="110"/>
      <c r="G95" s="110"/>
      <c r="H95" s="110"/>
    </row>
    <row r="96" spans="1:18" x14ac:dyDescent="0.2">
      <c r="A96" s="47"/>
      <c r="B96" s="47"/>
      <c r="C96" s="47"/>
      <c r="D96" s="48"/>
      <c r="E96" s="48"/>
      <c r="F96" s="48"/>
      <c r="G96" s="48"/>
    </row>
    <row r="97" spans="1:8" x14ac:dyDescent="0.2">
      <c r="A97" s="47"/>
      <c r="B97" s="112" t="s">
        <v>75</v>
      </c>
      <c r="C97" s="113"/>
      <c r="D97" s="114"/>
      <c r="E97" s="49"/>
      <c r="F97" s="48"/>
      <c r="G97" s="48"/>
    </row>
    <row r="98" spans="1:8" x14ac:dyDescent="0.2">
      <c r="A98" s="47"/>
      <c r="B98" s="115" t="s">
        <v>76</v>
      </c>
      <c r="C98" s="116"/>
      <c r="D98" s="29" t="s">
        <v>77</v>
      </c>
      <c r="E98" s="49"/>
      <c r="F98" s="48"/>
      <c r="G98" s="48"/>
    </row>
    <row r="99" spans="1:8" x14ac:dyDescent="0.2">
      <c r="A99" s="47"/>
      <c r="B99" s="115" t="s">
        <v>78</v>
      </c>
      <c r="C99" s="116"/>
      <c r="D99" s="29" t="s">
        <v>77</v>
      </c>
      <c r="E99" s="49"/>
      <c r="F99" s="48"/>
      <c r="G99" s="48"/>
    </row>
    <row r="100" spans="1:8" x14ac:dyDescent="0.2">
      <c r="A100" s="47"/>
      <c r="B100" s="115" t="s">
        <v>79</v>
      </c>
      <c r="C100" s="116"/>
      <c r="D100" s="34" t="s">
        <v>12</v>
      </c>
      <c r="E100" s="49"/>
      <c r="F100" s="48"/>
      <c r="G100" s="48"/>
    </row>
    <row r="101" spans="1:8" x14ac:dyDescent="0.2">
      <c r="A101" s="50"/>
      <c r="B101" s="51" t="s">
        <v>12</v>
      </c>
      <c r="C101" s="51" t="s">
        <v>458</v>
      </c>
      <c r="D101" s="51" t="s">
        <v>80</v>
      </c>
      <c r="E101" s="50"/>
      <c r="F101" s="50"/>
      <c r="G101" s="50"/>
      <c r="H101" s="52"/>
    </row>
    <row r="102" spans="1:8" x14ac:dyDescent="0.2">
      <c r="A102" s="53"/>
      <c r="B102" s="54" t="s">
        <v>81</v>
      </c>
      <c r="C102" s="55" t="s">
        <v>82</v>
      </c>
      <c r="D102" s="55" t="s">
        <v>83</v>
      </c>
      <c r="E102" s="53"/>
      <c r="F102" s="53"/>
      <c r="G102" s="53"/>
    </row>
    <row r="103" spans="1:8" x14ac:dyDescent="0.2">
      <c r="A103" s="53"/>
      <c r="B103" s="37" t="s">
        <v>84</v>
      </c>
      <c r="C103" s="56">
        <v>30.578099999999999</v>
      </c>
      <c r="D103" s="56">
        <v>30.804600000000001</v>
      </c>
      <c r="E103" s="53"/>
      <c r="F103" s="57"/>
      <c r="G103" s="58"/>
    </row>
    <row r="104" spans="1:8" ht="25.5" x14ac:dyDescent="0.2">
      <c r="A104" s="53"/>
      <c r="B104" s="37" t="s">
        <v>85</v>
      </c>
      <c r="C104" s="56">
        <v>13.645799999999999</v>
      </c>
      <c r="D104" s="56">
        <v>13.7469</v>
      </c>
      <c r="E104" s="53"/>
      <c r="F104" s="57"/>
      <c r="G104" s="58"/>
    </row>
    <row r="105" spans="1:8" ht="25.5" x14ac:dyDescent="0.2">
      <c r="A105" s="53"/>
      <c r="B105" s="37" t="s">
        <v>86</v>
      </c>
      <c r="C105" s="56">
        <v>20.201799999999999</v>
      </c>
      <c r="D105" s="56">
        <v>20.351400000000002</v>
      </c>
      <c r="E105" s="53"/>
      <c r="F105" s="57"/>
      <c r="G105" s="58"/>
    </row>
    <row r="106" spans="1:8" ht="25.5" x14ac:dyDescent="0.2">
      <c r="A106" s="53"/>
      <c r="B106" s="37" t="s">
        <v>87</v>
      </c>
      <c r="C106" s="56">
        <v>20.183199999999999</v>
      </c>
      <c r="D106" s="56">
        <v>20.332699999999999</v>
      </c>
      <c r="E106" s="53"/>
      <c r="F106" s="57"/>
      <c r="G106" s="58"/>
    </row>
    <row r="107" spans="1:8" x14ac:dyDescent="0.2">
      <c r="A107" s="53"/>
      <c r="B107" s="37" t="s">
        <v>89</v>
      </c>
      <c r="C107" s="56">
        <v>28.006699999999999</v>
      </c>
      <c r="D107" s="56">
        <v>28.202100000000002</v>
      </c>
      <c r="E107" s="53"/>
      <c r="F107" s="57"/>
      <c r="G107" s="58"/>
    </row>
    <row r="108" spans="1:8" ht="25.5" x14ac:dyDescent="0.2">
      <c r="A108" s="53"/>
      <c r="B108" s="37" t="s">
        <v>90</v>
      </c>
      <c r="C108" s="56">
        <v>13.537599999999999</v>
      </c>
      <c r="D108" s="56">
        <v>13.632099999999999</v>
      </c>
      <c r="E108" s="53"/>
      <c r="F108" s="57"/>
      <c r="G108" s="58"/>
    </row>
    <row r="109" spans="1:8" ht="25.5" x14ac:dyDescent="0.2">
      <c r="A109" s="53"/>
      <c r="B109" s="37" t="s">
        <v>91</v>
      </c>
      <c r="C109" s="56">
        <v>18.401399999999999</v>
      </c>
      <c r="D109" s="56">
        <v>18.529800000000002</v>
      </c>
      <c r="E109" s="53"/>
      <c r="F109" s="57"/>
      <c r="G109" s="58"/>
    </row>
    <row r="110" spans="1:8" ht="25.5" x14ac:dyDescent="0.2">
      <c r="A110" s="53"/>
      <c r="B110" s="37" t="s">
        <v>92</v>
      </c>
      <c r="C110" s="56">
        <v>18.313700000000001</v>
      </c>
      <c r="D110" s="56">
        <v>18.441400000000002</v>
      </c>
      <c r="E110" s="53"/>
      <c r="F110" s="57"/>
      <c r="G110" s="58"/>
    </row>
    <row r="111" spans="1:8" x14ac:dyDescent="0.2">
      <c r="A111" s="53"/>
      <c r="B111" s="53"/>
      <c r="C111" s="53"/>
      <c r="D111" s="53"/>
      <c r="E111" s="53"/>
      <c r="F111" s="53"/>
      <c r="G111" s="53"/>
    </row>
    <row r="112" spans="1:8" x14ac:dyDescent="0.2">
      <c r="A112" s="53"/>
      <c r="B112" s="115" t="s">
        <v>94</v>
      </c>
      <c r="C112" s="116"/>
      <c r="D112" s="64" t="s">
        <v>77</v>
      </c>
      <c r="E112" s="53"/>
      <c r="F112" s="53"/>
      <c r="G112" s="53"/>
    </row>
    <row r="113" spans="1:18" x14ac:dyDescent="0.2">
      <c r="A113" s="53"/>
      <c r="B113" s="66"/>
      <c r="C113" s="66"/>
      <c r="D113" s="66"/>
      <c r="E113" s="53"/>
      <c r="F113" s="53"/>
      <c r="G113" s="53"/>
    </row>
    <row r="114" spans="1:18" x14ac:dyDescent="0.2">
      <c r="A114" s="50"/>
      <c r="B114" s="117" t="s">
        <v>95</v>
      </c>
      <c r="C114" s="118"/>
      <c r="D114" s="64" t="s">
        <v>77</v>
      </c>
      <c r="E114" s="65"/>
      <c r="F114" s="50"/>
      <c r="G114" s="50"/>
    </row>
    <row r="115" spans="1:18" x14ac:dyDescent="0.2">
      <c r="A115" s="50"/>
      <c r="B115" s="117" t="s">
        <v>96</v>
      </c>
      <c r="C115" s="118"/>
      <c r="D115" s="64" t="s">
        <v>77</v>
      </c>
      <c r="E115" s="65"/>
      <c r="F115" s="50"/>
      <c r="G115" s="50"/>
    </row>
    <row r="116" spans="1:18" x14ac:dyDescent="0.2">
      <c r="A116" s="50"/>
      <c r="B116" s="117" t="s">
        <v>410</v>
      </c>
      <c r="C116" s="118"/>
      <c r="D116" s="64" t="s">
        <v>77</v>
      </c>
      <c r="E116" s="65"/>
      <c r="F116" s="50"/>
      <c r="G116" s="50"/>
    </row>
    <row r="117" spans="1:18" x14ac:dyDescent="0.2">
      <c r="A117" s="66"/>
      <c r="B117" s="66"/>
      <c r="C117" s="66"/>
      <c r="D117" s="66"/>
      <c r="E117" s="66"/>
      <c r="F117" s="66"/>
      <c r="G117" s="66"/>
    </row>
    <row r="118" spans="1:18" s="7" customFormat="1" x14ac:dyDescent="0.2">
      <c r="B118" s="119" t="s">
        <v>411</v>
      </c>
      <c r="C118" s="120"/>
      <c r="D118" s="121"/>
      <c r="I118"/>
      <c r="J118" s="2"/>
      <c r="K118" s="5"/>
      <c r="L118" s="5"/>
      <c r="M118" s="5"/>
      <c r="N118" s="5"/>
      <c r="O118"/>
      <c r="R118"/>
    </row>
    <row r="119" spans="1:18" s="7" customFormat="1" ht="38.25" x14ac:dyDescent="0.2">
      <c r="B119" s="111" t="s">
        <v>412</v>
      </c>
      <c r="C119" s="111"/>
      <c r="D119" s="67" t="s">
        <v>349</v>
      </c>
      <c r="I119"/>
      <c r="J119" s="2"/>
      <c r="K119" s="5"/>
      <c r="L119" s="5"/>
      <c r="M119" s="5"/>
      <c r="N119" s="5"/>
      <c r="O119"/>
      <c r="R119"/>
    </row>
    <row r="120" spans="1:18" s="7" customFormat="1" x14ac:dyDescent="0.2">
      <c r="B120" s="107" t="s">
        <v>413</v>
      </c>
      <c r="C120" s="107"/>
      <c r="D120" s="68"/>
      <c r="I120"/>
      <c r="J120" s="2"/>
      <c r="K120" s="5"/>
      <c r="L120" s="5"/>
      <c r="M120" s="5"/>
      <c r="N120" s="5"/>
      <c r="O120"/>
      <c r="R120"/>
    </row>
    <row r="121" spans="1:18" s="7" customFormat="1" x14ac:dyDescent="0.2">
      <c r="B121" s="107"/>
      <c r="C121" s="107"/>
      <c r="D121" s="69"/>
      <c r="I121"/>
      <c r="J121" s="2"/>
      <c r="K121" s="5"/>
      <c r="L121" s="5"/>
      <c r="M121" s="5"/>
      <c r="N121" s="5"/>
      <c r="O121"/>
    </row>
    <row r="122" spans="1:18" s="7" customFormat="1" x14ac:dyDescent="0.2">
      <c r="B122" s="107" t="s">
        <v>414</v>
      </c>
      <c r="C122" s="107"/>
      <c r="D122" s="70">
        <v>7.0100451826038084</v>
      </c>
      <c r="I122"/>
      <c r="J122" s="2"/>
      <c r="K122" s="5"/>
      <c r="L122" s="5"/>
      <c r="M122" s="5"/>
      <c r="N122" s="5"/>
      <c r="O122"/>
    </row>
    <row r="123" spans="1:18" s="7" customFormat="1" x14ac:dyDescent="0.2">
      <c r="B123" s="107"/>
      <c r="C123" s="107"/>
      <c r="D123" s="69"/>
      <c r="I123"/>
      <c r="J123" s="2"/>
      <c r="K123" s="5"/>
      <c r="L123" s="5"/>
      <c r="M123" s="5"/>
      <c r="N123" s="5"/>
      <c r="O123"/>
    </row>
    <row r="124" spans="1:18" s="7" customFormat="1" x14ac:dyDescent="0.2">
      <c r="B124" s="107" t="s">
        <v>444</v>
      </c>
      <c r="C124" s="107"/>
      <c r="D124" s="70">
        <v>6.915061305608007</v>
      </c>
      <c r="I124"/>
      <c r="J124" s="2"/>
      <c r="K124" s="5"/>
      <c r="L124" s="5"/>
      <c r="M124" s="5"/>
      <c r="N124" s="5"/>
      <c r="O124"/>
    </row>
    <row r="125" spans="1:18" s="7" customFormat="1" x14ac:dyDescent="0.2">
      <c r="B125" s="107" t="s">
        <v>445</v>
      </c>
      <c r="C125" s="107"/>
      <c r="D125" s="70">
        <v>12.452600159538393</v>
      </c>
      <c r="I125"/>
      <c r="J125" s="2"/>
      <c r="K125" s="5"/>
      <c r="L125" s="5"/>
      <c r="M125" s="5"/>
      <c r="N125" s="5"/>
      <c r="O125"/>
    </row>
    <row r="126" spans="1:18" s="7" customFormat="1" x14ac:dyDescent="0.2">
      <c r="B126" s="107"/>
      <c r="C126" s="107"/>
      <c r="D126" s="69"/>
      <c r="I126"/>
      <c r="J126" s="2"/>
      <c r="K126" s="5"/>
      <c r="L126" s="5"/>
      <c r="M126" s="5"/>
      <c r="N126" s="5"/>
      <c r="O126"/>
    </row>
    <row r="127" spans="1:18" s="7" customFormat="1" x14ac:dyDescent="0.2">
      <c r="B127" s="107" t="s">
        <v>417</v>
      </c>
      <c r="C127" s="107"/>
      <c r="D127" s="71" t="s">
        <v>454</v>
      </c>
      <c r="I127"/>
      <c r="J127" s="2"/>
      <c r="K127" s="5"/>
      <c r="L127" s="5"/>
      <c r="M127" s="5"/>
      <c r="N127" s="5"/>
      <c r="O127"/>
    </row>
    <row r="128" spans="1:18" s="7" customFormat="1" x14ac:dyDescent="0.2">
      <c r="B128" s="105" t="s">
        <v>418</v>
      </c>
      <c r="C128" s="108"/>
      <c r="D128" s="106"/>
      <c r="I128"/>
      <c r="J128" s="2"/>
      <c r="K128" s="5"/>
      <c r="L128" s="5"/>
      <c r="M128" s="5"/>
      <c r="N128" s="5"/>
      <c r="O128"/>
    </row>
  </sheetData>
  <mergeCells count="25">
    <mergeCell ref="B95:H95"/>
    <mergeCell ref="B119:C119"/>
    <mergeCell ref="B120:C120"/>
    <mergeCell ref="B97:D97"/>
    <mergeCell ref="B98:C98"/>
    <mergeCell ref="B99:C99"/>
    <mergeCell ref="B100:C100"/>
    <mergeCell ref="B112:C112"/>
    <mergeCell ref="B116:C116"/>
    <mergeCell ref="B114:C114"/>
    <mergeCell ref="B115:C115"/>
    <mergeCell ref="B118:D118"/>
    <mergeCell ref="A1:H1"/>
    <mergeCell ref="A2:H2"/>
    <mergeCell ref="A3:H3"/>
    <mergeCell ref="B93:H93"/>
    <mergeCell ref="B94:H94"/>
    <mergeCell ref="B126:C126"/>
    <mergeCell ref="B127:C127"/>
    <mergeCell ref="B128:D128"/>
    <mergeCell ref="B121:C121"/>
    <mergeCell ref="B122:C122"/>
    <mergeCell ref="B123:C123"/>
    <mergeCell ref="B124:C124"/>
    <mergeCell ref="B125:C125"/>
  </mergeCells>
  <hyperlinks>
    <hyperlink ref="I1" location="Index!B10" display="Index" xr:uid="{6AACA3BF-7321-44FF-949D-61FCF1B5E8F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2F6FC-E3BB-4AF8-8377-2B9FE7093CE2}">
  <sheetPr>
    <outlinePr summaryBelow="0" summaryRight="0"/>
  </sheetPr>
  <dimension ref="A1:V125"/>
  <sheetViews>
    <sheetView showGridLines="0" tabSelected="1" workbookViewId="0">
      <selection activeCell="F16" sqref="F16"/>
    </sheetView>
  </sheetViews>
  <sheetFormatPr defaultRowHeight="12.75" x14ac:dyDescent="0.2"/>
  <cols>
    <col min="1" max="1" width="5.85546875" bestFit="1" customWidth="1"/>
    <col min="2" max="2" width="20.5703125" customWidth="1"/>
    <col min="3" max="3" width="39.140625" bestFit="1" customWidth="1"/>
    <col min="4" max="4" width="10.7109375" bestFit="1" customWidth="1"/>
    <col min="5" max="5" width="8.7109375" bestFit="1" customWidth="1"/>
    <col min="6" max="6" width="10.140625" bestFit="1" customWidth="1"/>
    <col min="7" max="7" width="14" bestFit="1" customWidth="1"/>
    <col min="8" max="8" width="6" customWidth="1"/>
    <col min="9" max="9" width="7.28515625" customWidth="1"/>
    <col min="10" max="10" width="50.7109375" style="2" customWidth="1"/>
  </cols>
  <sheetData>
    <row r="1" spans="1:10" ht="15" x14ac:dyDescent="0.2">
      <c r="A1" s="109" t="s">
        <v>0</v>
      </c>
      <c r="B1" s="109"/>
      <c r="C1" s="109"/>
      <c r="D1" s="109"/>
      <c r="E1" s="109"/>
      <c r="F1" s="109"/>
      <c r="G1" s="109"/>
      <c r="H1" s="109"/>
      <c r="I1" s="1" t="s">
        <v>459</v>
      </c>
    </row>
    <row r="2" spans="1:10" ht="15" x14ac:dyDescent="0.2">
      <c r="A2" s="109" t="s">
        <v>389</v>
      </c>
      <c r="B2" s="109"/>
      <c r="C2" s="109"/>
      <c r="D2" s="109"/>
      <c r="E2" s="109"/>
      <c r="F2" s="109"/>
      <c r="G2" s="109"/>
      <c r="H2" s="109"/>
      <c r="J2" s="3" t="s">
        <v>460</v>
      </c>
    </row>
    <row r="3" spans="1:10" ht="15" x14ac:dyDescent="0.2">
      <c r="A3" s="109" t="s">
        <v>494</v>
      </c>
      <c r="B3" s="109"/>
      <c r="C3" s="109"/>
      <c r="D3" s="109"/>
      <c r="E3" s="109"/>
      <c r="F3" s="109"/>
      <c r="G3" s="109"/>
      <c r="H3" s="109"/>
    </row>
    <row r="4" spans="1:10" s="4" customFormat="1" ht="30" x14ac:dyDescent="0.2">
      <c r="A4" s="26" t="s">
        <v>2</v>
      </c>
      <c r="B4" s="26" t="s">
        <v>3</v>
      </c>
      <c r="C4" s="26" t="s">
        <v>4</v>
      </c>
      <c r="D4" s="26" t="s">
        <v>5</v>
      </c>
      <c r="E4" s="26" t="s">
        <v>6</v>
      </c>
      <c r="F4" s="26" t="s">
        <v>7</v>
      </c>
      <c r="G4" s="26" t="s">
        <v>8</v>
      </c>
      <c r="H4" s="27" t="s">
        <v>405</v>
      </c>
      <c r="J4" s="2"/>
    </row>
    <row r="5" spans="1:10" x14ac:dyDescent="0.2">
      <c r="A5" s="28"/>
      <c r="B5" s="28"/>
      <c r="C5" s="29" t="s">
        <v>9</v>
      </c>
      <c r="D5" s="28"/>
      <c r="E5" s="28"/>
      <c r="F5" s="28"/>
      <c r="G5" s="28"/>
      <c r="H5" s="30" t="s">
        <v>12</v>
      </c>
    </row>
    <row r="6" spans="1:10" x14ac:dyDescent="0.2">
      <c r="A6" s="28"/>
      <c r="B6" s="28"/>
      <c r="C6" s="29" t="s">
        <v>10</v>
      </c>
      <c r="D6" s="28"/>
      <c r="E6" s="28"/>
      <c r="F6" s="28"/>
      <c r="G6" s="28"/>
      <c r="H6" s="30" t="s">
        <v>12</v>
      </c>
    </row>
    <row r="7" spans="1:10" x14ac:dyDescent="0.2">
      <c r="A7" s="28"/>
      <c r="B7" s="28"/>
      <c r="C7" s="29" t="s">
        <v>11</v>
      </c>
      <c r="D7" s="28"/>
      <c r="E7" s="28" t="s">
        <v>12</v>
      </c>
      <c r="F7" s="31" t="s">
        <v>13</v>
      </c>
      <c r="G7" s="32">
        <v>0</v>
      </c>
      <c r="H7" s="30" t="s">
        <v>12</v>
      </c>
    </row>
    <row r="8" spans="1:10" x14ac:dyDescent="0.2">
      <c r="A8" s="28"/>
      <c r="B8" s="28"/>
      <c r="C8" s="33"/>
      <c r="D8" s="28"/>
      <c r="E8" s="28"/>
      <c r="F8" s="34"/>
      <c r="G8" s="34"/>
      <c r="H8" s="30" t="s">
        <v>12</v>
      </c>
    </row>
    <row r="9" spans="1:10" x14ac:dyDescent="0.2">
      <c r="A9" s="28"/>
      <c r="B9" s="28"/>
      <c r="C9" s="29" t="s">
        <v>14</v>
      </c>
      <c r="D9" s="28"/>
      <c r="E9" s="28"/>
      <c r="F9" s="28"/>
      <c r="G9" s="28"/>
      <c r="H9" s="30" t="s">
        <v>12</v>
      </c>
    </row>
    <row r="10" spans="1:10" x14ac:dyDescent="0.2">
      <c r="A10" s="28"/>
      <c r="B10" s="28"/>
      <c r="C10" s="29" t="s">
        <v>11</v>
      </c>
      <c r="D10" s="28"/>
      <c r="E10" s="28" t="s">
        <v>12</v>
      </c>
      <c r="F10" s="31" t="s">
        <v>13</v>
      </c>
      <c r="G10" s="32">
        <v>0</v>
      </c>
      <c r="H10" s="30" t="s">
        <v>12</v>
      </c>
    </row>
    <row r="11" spans="1:10" x14ac:dyDescent="0.2">
      <c r="A11" s="28"/>
      <c r="B11" s="28"/>
      <c r="C11" s="33"/>
      <c r="D11" s="28"/>
      <c r="E11" s="28"/>
      <c r="F11" s="34"/>
      <c r="G11" s="34"/>
      <c r="H11" s="30" t="s">
        <v>12</v>
      </c>
    </row>
    <row r="12" spans="1:10" ht="15" x14ac:dyDescent="0.2">
      <c r="A12" s="28"/>
      <c r="B12" s="28"/>
      <c r="C12" s="29" t="s">
        <v>15</v>
      </c>
      <c r="D12" s="28"/>
      <c r="E12" s="28"/>
      <c r="F12" s="28"/>
      <c r="G12" s="28"/>
      <c r="H12" s="30" t="s">
        <v>12</v>
      </c>
      <c r="J12" s="18"/>
    </row>
    <row r="13" spans="1:10" x14ac:dyDescent="0.2">
      <c r="A13" s="28"/>
      <c r="B13" s="28"/>
      <c r="C13" s="29" t="s">
        <v>11</v>
      </c>
      <c r="D13" s="28"/>
      <c r="E13" s="28" t="s">
        <v>12</v>
      </c>
      <c r="F13" s="31" t="s">
        <v>13</v>
      </c>
      <c r="G13" s="32">
        <v>0</v>
      </c>
      <c r="H13" s="30" t="s">
        <v>12</v>
      </c>
      <c r="J13" s="17"/>
    </row>
    <row r="14" spans="1:10" x14ac:dyDescent="0.2">
      <c r="A14" s="28"/>
      <c r="B14" s="28"/>
      <c r="C14" s="33"/>
      <c r="D14" s="28"/>
      <c r="E14" s="28"/>
      <c r="F14" s="34"/>
      <c r="G14" s="34"/>
      <c r="H14" s="30" t="s">
        <v>12</v>
      </c>
      <c r="J14" s="17" t="s">
        <v>477</v>
      </c>
    </row>
    <row r="15" spans="1:10" x14ac:dyDescent="0.2">
      <c r="A15" s="28"/>
      <c r="B15" s="28"/>
      <c r="C15" s="29" t="s">
        <v>16</v>
      </c>
      <c r="D15" s="28"/>
      <c r="E15" s="28"/>
      <c r="F15" s="28"/>
      <c r="G15" s="28"/>
      <c r="H15" s="30" t="s">
        <v>12</v>
      </c>
    </row>
    <row r="16" spans="1:10" x14ac:dyDescent="0.2">
      <c r="A16" s="28"/>
      <c r="B16" s="28"/>
      <c r="C16" s="29" t="s">
        <v>11</v>
      </c>
      <c r="D16" s="28"/>
      <c r="E16" s="28" t="s">
        <v>12</v>
      </c>
      <c r="F16" s="31" t="s">
        <v>13</v>
      </c>
      <c r="G16" s="32">
        <v>0</v>
      </c>
      <c r="H16" s="30" t="s">
        <v>12</v>
      </c>
    </row>
    <row r="17" spans="1:10" x14ac:dyDescent="0.2">
      <c r="A17" s="28"/>
      <c r="B17" s="28"/>
      <c r="C17" s="33"/>
      <c r="D17" s="28"/>
      <c r="E17" s="28"/>
      <c r="F17" s="34"/>
      <c r="G17" s="34"/>
      <c r="H17" s="30" t="s">
        <v>12</v>
      </c>
    </row>
    <row r="18" spans="1:10" x14ac:dyDescent="0.2">
      <c r="A18" s="28"/>
      <c r="B18" s="28"/>
      <c r="C18" s="29" t="s">
        <v>17</v>
      </c>
      <c r="D18" s="28"/>
      <c r="E18" s="28"/>
      <c r="F18" s="34"/>
      <c r="G18" s="34"/>
      <c r="H18" s="30" t="s">
        <v>12</v>
      </c>
    </row>
    <row r="19" spans="1:10" x14ac:dyDescent="0.2">
      <c r="A19" s="28"/>
      <c r="B19" s="28"/>
      <c r="C19" s="29" t="s">
        <v>11</v>
      </c>
      <c r="D19" s="28"/>
      <c r="E19" s="28" t="s">
        <v>12</v>
      </c>
      <c r="F19" s="31" t="s">
        <v>13</v>
      </c>
      <c r="G19" s="32">
        <v>0</v>
      </c>
      <c r="H19" s="30" t="s">
        <v>12</v>
      </c>
    </row>
    <row r="20" spans="1:10" x14ac:dyDescent="0.2">
      <c r="A20" s="28"/>
      <c r="B20" s="28"/>
      <c r="C20" s="33"/>
      <c r="D20" s="28"/>
      <c r="E20" s="28"/>
      <c r="F20" s="34"/>
      <c r="G20" s="34"/>
      <c r="H20" s="30" t="s">
        <v>12</v>
      </c>
    </row>
    <row r="21" spans="1:10" x14ac:dyDescent="0.2">
      <c r="A21" s="28"/>
      <c r="B21" s="28"/>
      <c r="C21" s="29" t="s">
        <v>18</v>
      </c>
      <c r="D21" s="28"/>
      <c r="E21" s="28"/>
      <c r="F21" s="34"/>
      <c r="G21" s="34"/>
      <c r="H21" s="30" t="s">
        <v>12</v>
      </c>
    </row>
    <row r="22" spans="1:10" ht="15" x14ac:dyDescent="0.2">
      <c r="A22" s="28"/>
      <c r="B22" s="28"/>
      <c r="C22" s="29" t="s">
        <v>11</v>
      </c>
      <c r="D22" s="28"/>
      <c r="E22" s="28" t="s">
        <v>12</v>
      </c>
      <c r="F22" s="31" t="s">
        <v>13</v>
      </c>
      <c r="G22" s="32">
        <v>0</v>
      </c>
      <c r="H22" s="30" t="s">
        <v>12</v>
      </c>
      <c r="J22" s="18"/>
    </row>
    <row r="23" spans="1:10" x14ac:dyDescent="0.2">
      <c r="A23" s="28"/>
      <c r="B23" s="28"/>
      <c r="C23" s="33"/>
      <c r="D23" s="28"/>
      <c r="E23" s="28"/>
      <c r="F23" s="34"/>
      <c r="G23" s="34"/>
      <c r="H23" s="30" t="s">
        <v>12</v>
      </c>
      <c r="J23" s="17"/>
    </row>
    <row r="24" spans="1:10" x14ac:dyDescent="0.2">
      <c r="A24" s="28"/>
      <c r="B24" s="28"/>
      <c r="C24" s="29" t="s">
        <v>19</v>
      </c>
      <c r="D24" s="28"/>
      <c r="E24" s="28"/>
      <c r="F24" s="35">
        <v>0</v>
      </c>
      <c r="G24" s="32">
        <v>0</v>
      </c>
      <c r="H24" s="30" t="s">
        <v>12</v>
      </c>
    </row>
    <row r="25" spans="1:10" x14ac:dyDescent="0.2">
      <c r="A25" s="28"/>
      <c r="B25" s="28"/>
      <c r="C25" s="33"/>
      <c r="D25" s="28"/>
      <c r="E25" s="28"/>
      <c r="F25" s="34"/>
      <c r="G25" s="34"/>
      <c r="H25" s="30" t="s">
        <v>12</v>
      </c>
    </row>
    <row r="26" spans="1:10" x14ac:dyDescent="0.2">
      <c r="A26" s="28"/>
      <c r="B26" s="28"/>
      <c r="C26" s="29" t="s">
        <v>20</v>
      </c>
      <c r="D26" s="28"/>
      <c r="E26" s="28"/>
      <c r="F26" s="34"/>
      <c r="G26" s="34"/>
      <c r="H26" s="30" t="s">
        <v>12</v>
      </c>
    </row>
    <row r="27" spans="1:10" x14ac:dyDescent="0.2">
      <c r="A27" s="28"/>
      <c r="B27" s="28"/>
      <c r="C27" s="29" t="s">
        <v>10</v>
      </c>
      <c r="D27" s="28"/>
      <c r="E27" s="28"/>
      <c r="F27" s="34"/>
      <c r="G27" s="34"/>
      <c r="H27" s="30" t="s">
        <v>12</v>
      </c>
    </row>
    <row r="28" spans="1:10" x14ac:dyDescent="0.2">
      <c r="A28" s="28"/>
      <c r="B28" s="28"/>
      <c r="C28" s="29" t="s">
        <v>11</v>
      </c>
      <c r="D28" s="28"/>
      <c r="E28" s="28" t="s">
        <v>12</v>
      </c>
      <c r="F28" s="31" t="s">
        <v>13</v>
      </c>
      <c r="G28" s="32">
        <v>0</v>
      </c>
      <c r="H28" s="30" t="s">
        <v>12</v>
      </c>
      <c r="J28" s="17" t="s">
        <v>478</v>
      </c>
    </row>
    <row r="29" spans="1:10" x14ac:dyDescent="0.2">
      <c r="A29" s="28"/>
      <c r="B29" s="28"/>
      <c r="C29" s="33"/>
      <c r="D29" s="28"/>
      <c r="E29" s="28"/>
      <c r="F29" s="34"/>
      <c r="G29" s="34"/>
      <c r="H29" s="30" t="s">
        <v>12</v>
      </c>
    </row>
    <row r="30" spans="1:10" x14ac:dyDescent="0.2">
      <c r="A30" s="28"/>
      <c r="B30" s="28"/>
      <c r="C30" s="29" t="s">
        <v>46</v>
      </c>
      <c r="D30" s="28"/>
      <c r="E30" s="28"/>
      <c r="F30" s="28"/>
      <c r="G30" s="28"/>
      <c r="H30" s="30" t="s">
        <v>12</v>
      </c>
    </row>
    <row r="31" spans="1:10" x14ac:dyDescent="0.2">
      <c r="A31" s="28"/>
      <c r="B31" s="28"/>
      <c r="C31" s="29" t="s">
        <v>11</v>
      </c>
      <c r="D31" s="28"/>
      <c r="E31" s="28" t="s">
        <v>12</v>
      </c>
      <c r="F31" s="31" t="s">
        <v>13</v>
      </c>
      <c r="G31" s="32">
        <v>0</v>
      </c>
      <c r="H31" s="30" t="s">
        <v>12</v>
      </c>
    </row>
    <row r="32" spans="1:10" x14ac:dyDescent="0.2">
      <c r="A32" s="28"/>
      <c r="B32" s="28"/>
      <c r="C32" s="33"/>
      <c r="D32" s="28"/>
      <c r="E32" s="28"/>
      <c r="F32" s="34"/>
      <c r="G32" s="34"/>
      <c r="H32" s="30" t="s">
        <v>12</v>
      </c>
    </row>
    <row r="33" spans="1:8" x14ac:dyDescent="0.2">
      <c r="A33" s="28"/>
      <c r="B33" s="28"/>
      <c r="C33" s="29" t="s">
        <v>47</v>
      </c>
      <c r="D33" s="28"/>
      <c r="E33" s="28"/>
      <c r="F33" s="28"/>
      <c r="G33" s="28"/>
      <c r="H33" s="30" t="s">
        <v>12</v>
      </c>
    </row>
    <row r="34" spans="1:8" x14ac:dyDescent="0.2">
      <c r="A34" s="28"/>
      <c r="B34" s="28"/>
      <c r="C34" s="29" t="s">
        <v>11</v>
      </c>
      <c r="D34" s="28"/>
      <c r="E34" s="28" t="s">
        <v>12</v>
      </c>
      <c r="F34" s="31" t="s">
        <v>13</v>
      </c>
      <c r="G34" s="32">
        <v>0</v>
      </c>
      <c r="H34" s="30" t="s">
        <v>12</v>
      </c>
    </row>
    <row r="35" spans="1:8" x14ac:dyDescent="0.2">
      <c r="A35" s="28"/>
      <c r="B35" s="28"/>
      <c r="C35" s="33"/>
      <c r="D35" s="28"/>
      <c r="E35" s="28"/>
      <c r="F35" s="34"/>
      <c r="G35" s="34"/>
      <c r="H35" s="30" t="s">
        <v>12</v>
      </c>
    </row>
    <row r="36" spans="1:8" x14ac:dyDescent="0.2">
      <c r="A36" s="28"/>
      <c r="B36" s="28"/>
      <c r="C36" s="29" t="s">
        <v>57</v>
      </c>
      <c r="D36" s="28"/>
      <c r="E36" s="28"/>
      <c r="F36" s="34"/>
      <c r="G36" s="34"/>
      <c r="H36" s="30" t="s">
        <v>12</v>
      </c>
    </row>
    <row r="37" spans="1:8" x14ac:dyDescent="0.2">
      <c r="A37" s="28"/>
      <c r="B37" s="28"/>
      <c r="C37" s="29" t="s">
        <v>11</v>
      </c>
      <c r="D37" s="28"/>
      <c r="E37" s="28" t="s">
        <v>12</v>
      </c>
      <c r="F37" s="31" t="s">
        <v>13</v>
      </c>
      <c r="G37" s="32">
        <v>0</v>
      </c>
      <c r="H37" s="30" t="s">
        <v>12</v>
      </c>
    </row>
    <row r="38" spans="1:8" x14ac:dyDescent="0.2">
      <c r="A38" s="28"/>
      <c r="B38" s="28"/>
      <c r="C38" s="33"/>
      <c r="D38" s="28"/>
      <c r="E38" s="28"/>
      <c r="F38" s="34"/>
      <c r="G38" s="34"/>
      <c r="H38" s="30" t="s">
        <v>12</v>
      </c>
    </row>
    <row r="39" spans="1:8" x14ac:dyDescent="0.2">
      <c r="A39" s="28"/>
      <c r="B39" s="28"/>
      <c r="C39" s="29" t="s">
        <v>58</v>
      </c>
      <c r="D39" s="28"/>
      <c r="E39" s="28"/>
      <c r="F39" s="35">
        <v>0</v>
      </c>
      <c r="G39" s="32">
        <v>0</v>
      </c>
      <c r="H39" s="30" t="s">
        <v>12</v>
      </c>
    </row>
    <row r="40" spans="1:8" x14ac:dyDescent="0.2">
      <c r="A40" s="28"/>
      <c r="B40" s="28"/>
      <c r="C40" s="33"/>
      <c r="D40" s="28"/>
      <c r="E40" s="28"/>
      <c r="F40" s="34"/>
      <c r="G40" s="34"/>
      <c r="H40" s="30" t="s">
        <v>12</v>
      </c>
    </row>
    <row r="41" spans="1:8" x14ac:dyDescent="0.2">
      <c r="A41" s="28"/>
      <c r="B41" s="28"/>
      <c r="C41" s="29" t="s">
        <v>59</v>
      </c>
      <c r="D41" s="28"/>
      <c r="E41" s="28"/>
      <c r="F41" s="34"/>
      <c r="G41" s="34"/>
      <c r="H41" s="30" t="s">
        <v>12</v>
      </c>
    </row>
    <row r="42" spans="1:8" x14ac:dyDescent="0.2">
      <c r="A42" s="28"/>
      <c r="B42" s="28"/>
      <c r="C42" s="29" t="s">
        <v>60</v>
      </c>
      <c r="D42" s="28"/>
      <c r="E42" s="28"/>
      <c r="F42" s="34"/>
      <c r="G42" s="34"/>
      <c r="H42" s="30" t="s">
        <v>12</v>
      </c>
    </row>
    <row r="43" spans="1:8" x14ac:dyDescent="0.2">
      <c r="A43" s="28"/>
      <c r="B43" s="28"/>
      <c r="C43" s="29" t="s">
        <v>11</v>
      </c>
      <c r="D43" s="28"/>
      <c r="E43" s="28" t="s">
        <v>12</v>
      </c>
      <c r="F43" s="31" t="s">
        <v>13</v>
      </c>
      <c r="G43" s="32">
        <v>0</v>
      </c>
      <c r="H43" s="30" t="s">
        <v>12</v>
      </c>
    </row>
    <row r="44" spans="1:8" x14ac:dyDescent="0.2">
      <c r="A44" s="28"/>
      <c r="B44" s="28"/>
      <c r="C44" s="33"/>
      <c r="D44" s="28"/>
      <c r="E44" s="28"/>
      <c r="F44" s="34"/>
      <c r="G44" s="34"/>
      <c r="H44" s="30" t="s">
        <v>12</v>
      </c>
    </row>
    <row r="45" spans="1:8" x14ac:dyDescent="0.2">
      <c r="A45" s="28"/>
      <c r="B45" s="28"/>
      <c r="C45" s="29" t="s">
        <v>61</v>
      </c>
      <c r="D45" s="28"/>
      <c r="E45" s="28"/>
      <c r="F45" s="34"/>
      <c r="G45" s="34"/>
      <c r="H45" s="30" t="s">
        <v>12</v>
      </c>
    </row>
    <row r="46" spans="1:8" x14ac:dyDescent="0.2">
      <c r="A46" s="28"/>
      <c r="B46" s="28"/>
      <c r="C46" s="29" t="s">
        <v>11</v>
      </c>
      <c r="D46" s="28"/>
      <c r="E46" s="28" t="s">
        <v>12</v>
      </c>
      <c r="F46" s="31" t="s">
        <v>13</v>
      </c>
      <c r="G46" s="32">
        <v>0</v>
      </c>
      <c r="H46" s="30" t="s">
        <v>12</v>
      </c>
    </row>
    <row r="47" spans="1:8" x14ac:dyDescent="0.2">
      <c r="A47" s="28"/>
      <c r="B47" s="28"/>
      <c r="C47" s="33"/>
      <c r="D47" s="28"/>
      <c r="E47" s="28"/>
      <c r="F47" s="34"/>
      <c r="G47" s="34"/>
      <c r="H47" s="30" t="s">
        <v>12</v>
      </c>
    </row>
    <row r="48" spans="1:8" x14ac:dyDescent="0.2">
      <c r="A48" s="28"/>
      <c r="B48" s="28"/>
      <c r="C48" s="29" t="s">
        <v>62</v>
      </c>
      <c r="D48" s="28"/>
      <c r="E48" s="28"/>
      <c r="F48" s="34"/>
      <c r="G48" s="34"/>
      <c r="H48" s="30" t="s">
        <v>12</v>
      </c>
    </row>
    <row r="49" spans="1:8" x14ac:dyDescent="0.2">
      <c r="A49" s="36">
        <v>1</v>
      </c>
      <c r="B49" s="37" t="s">
        <v>390</v>
      </c>
      <c r="C49" s="37" t="s">
        <v>391</v>
      </c>
      <c r="D49" s="37" t="s">
        <v>50</v>
      </c>
      <c r="E49" s="38">
        <v>1500000</v>
      </c>
      <c r="F49" s="39">
        <v>1493.835</v>
      </c>
      <c r="G49" s="40">
        <v>1.8862259999999999E-2</v>
      </c>
      <c r="H49" s="30">
        <v>6.55</v>
      </c>
    </row>
    <row r="50" spans="1:8" x14ac:dyDescent="0.2">
      <c r="A50" s="36">
        <v>2</v>
      </c>
      <c r="B50" s="37" t="s">
        <v>392</v>
      </c>
      <c r="C50" s="37" t="s">
        <v>393</v>
      </c>
      <c r="D50" s="37" t="s">
        <v>50</v>
      </c>
      <c r="E50" s="38">
        <v>1000000</v>
      </c>
      <c r="F50" s="39">
        <v>999.46</v>
      </c>
      <c r="G50" s="40">
        <v>1.261992E-2</v>
      </c>
      <c r="H50" s="30">
        <v>6.5717999999999996</v>
      </c>
    </row>
    <row r="51" spans="1:8" x14ac:dyDescent="0.2">
      <c r="A51" s="36">
        <v>3</v>
      </c>
      <c r="B51" s="37" t="s">
        <v>394</v>
      </c>
      <c r="C51" s="37" t="s">
        <v>395</v>
      </c>
      <c r="D51" s="37" t="s">
        <v>50</v>
      </c>
      <c r="E51" s="38">
        <v>500000</v>
      </c>
      <c r="F51" s="39">
        <v>499.81900000000002</v>
      </c>
      <c r="G51" s="40">
        <v>6.3110800000000002E-3</v>
      </c>
      <c r="H51" s="30">
        <v>6.6</v>
      </c>
    </row>
    <row r="52" spans="1:8" x14ac:dyDescent="0.2">
      <c r="A52" s="36">
        <v>4</v>
      </c>
      <c r="B52" s="37" t="s">
        <v>396</v>
      </c>
      <c r="C52" s="37" t="s">
        <v>397</v>
      </c>
      <c r="D52" s="37" t="s">
        <v>50</v>
      </c>
      <c r="E52" s="38">
        <v>500000</v>
      </c>
      <c r="F52" s="39">
        <v>499.19099999999997</v>
      </c>
      <c r="G52" s="40">
        <v>6.3031500000000004E-3</v>
      </c>
      <c r="H52" s="30">
        <v>6.5717999999999996</v>
      </c>
    </row>
    <row r="53" spans="1:8" x14ac:dyDescent="0.2">
      <c r="A53" s="36">
        <v>5</v>
      </c>
      <c r="B53" s="37" t="s">
        <v>398</v>
      </c>
      <c r="C53" s="37" t="s">
        <v>399</v>
      </c>
      <c r="D53" s="37" t="s">
        <v>50</v>
      </c>
      <c r="E53" s="38">
        <v>500000</v>
      </c>
      <c r="F53" s="39">
        <v>499.19099999999997</v>
      </c>
      <c r="G53" s="40">
        <v>6.3031500000000004E-3</v>
      </c>
      <c r="H53" s="30">
        <v>6.5717999999999996</v>
      </c>
    </row>
    <row r="54" spans="1:8" x14ac:dyDescent="0.2">
      <c r="A54" s="28"/>
      <c r="B54" s="28"/>
      <c r="C54" s="29" t="s">
        <v>11</v>
      </c>
      <c r="D54" s="28"/>
      <c r="E54" s="28" t="s">
        <v>12</v>
      </c>
      <c r="F54" s="35">
        <v>3991.4960000000001</v>
      </c>
      <c r="G54" s="32">
        <v>5.0399560000000003E-2</v>
      </c>
      <c r="H54" s="30" t="s">
        <v>12</v>
      </c>
    </row>
    <row r="55" spans="1:8" x14ac:dyDescent="0.2">
      <c r="A55" s="28"/>
      <c r="B55" s="28"/>
      <c r="C55" s="33"/>
      <c r="D55" s="28"/>
      <c r="E55" s="28"/>
      <c r="F55" s="34"/>
      <c r="G55" s="34"/>
      <c r="H55" s="30" t="s">
        <v>12</v>
      </c>
    </row>
    <row r="56" spans="1:8" x14ac:dyDescent="0.2">
      <c r="A56" s="28"/>
      <c r="B56" s="28"/>
      <c r="C56" s="29" t="s">
        <v>63</v>
      </c>
      <c r="D56" s="28"/>
      <c r="E56" s="28"/>
      <c r="F56" s="34"/>
      <c r="G56" s="34"/>
      <c r="H56" s="30" t="s">
        <v>12</v>
      </c>
    </row>
    <row r="57" spans="1:8" x14ac:dyDescent="0.2">
      <c r="A57" s="36">
        <v>1</v>
      </c>
      <c r="B57" s="37"/>
      <c r="C57" s="37" t="s">
        <v>64</v>
      </c>
      <c r="D57" s="37"/>
      <c r="E57" s="41"/>
      <c r="F57" s="39">
        <v>78308.058696085005</v>
      </c>
      <c r="G57" s="40">
        <v>0.98877517999999998</v>
      </c>
      <c r="H57" s="30">
        <v>6.35</v>
      </c>
    </row>
    <row r="58" spans="1:8" x14ac:dyDescent="0.2">
      <c r="A58" s="28"/>
      <c r="B58" s="28"/>
      <c r="C58" s="29" t="s">
        <v>11</v>
      </c>
      <c r="D58" s="28"/>
      <c r="E58" s="28" t="s">
        <v>12</v>
      </c>
      <c r="F58" s="35">
        <v>78308.058696085005</v>
      </c>
      <c r="G58" s="32">
        <v>0.98877517999999998</v>
      </c>
      <c r="H58" s="30" t="s">
        <v>12</v>
      </c>
    </row>
    <row r="59" spans="1:8" x14ac:dyDescent="0.2">
      <c r="A59" s="28"/>
      <c r="B59" s="28"/>
      <c r="C59" s="33"/>
      <c r="D59" s="28"/>
      <c r="E59" s="28"/>
      <c r="F59" s="34"/>
      <c r="G59" s="34"/>
      <c r="H59" s="30" t="s">
        <v>12</v>
      </c>
    </row>
    <row r="60" spans="1:8" x14ac:dyDescent="0.2">
      <c r="A60" s="28"/>
      <c r="B60" s="28"/>
      <c r="C60" s="29" t="s">
        <v>65</v>
      </c>
      <c r="D60" s="28"/>
      <c r="E60" s="28"/>
      <c r="F60" s="35">
        <v>82299.554696085004</v>
      </c>
      <c r="G60" s="32">
        <v>1.03917474</v>
      </c>
      <c r="H60" s="30" t="s">
        <v>12</v>
      </c>
    </row>
    <row r="61" spans="1:8" x14ac:dyDescent="0.2">
      <c r="A61" s="28"/>
      <c r="B61" s="28"/>
      <c r="C61" s="34"/>
      <c r="D61" s="28"/>
      <c r="E61" s="28"/>
      <c r="F61" s="28"/>
      <c r="G61" s="28"/>
      <c r="H61" s="30" t="s">
        <v>12</v>
      </c>
    </row>
    <row r="62" spans="1:8" x14ac:dyDescent="0.2">
      <c r="A62" s="28"/>
      <c r="B62" s="28"/>
      <c r="C62" s="29" t="s">
        <v>66</v>
      </c>
      <c r="D62" s="28"/>
      <c r="E62" s="28"/>
      <c r="F62" s="28"/>
      <c r="G62" s="28"/>
      <c r="H62" s="30" t="s">
        <v>12</v>
      </c>
    </row>
    <row r="63" spans="1:8" x14ac:dyDescent="0.2">
      <c r="A63" s="28"/>
      <c r="B63" s="28"/>
      <c r="C63" s="29" t="s">
        <v>67</v>
      </c>
      <c r="D63" s="28"/>
      <c r="E63" s="28"/>
      <c r="F63" s="28"/>
      <c r="G63" s="28"/>
      <c r="H63" s="30" t="s">
        <v>12</v>
      </c>
    </row>
    <row r="64" spans="1:8" x14ac:dyDescent="0.2">
      <c r="A64" s="28"/>
      <c r="B64" s="28"/>
      <c r="C64" s="29" t="s">
        <v>11</v>
      </c>
      <c r="D64" s="28"/>
      <c r="E64" s="28" t="s">
        <v>12</v>
      </c>
      <c r="F64" s="31" t="s">
        <v>13</v>
      </c>
      <c r="G64" s="32">
        <v>0</v>
      </c>
      <c r="H64" s="30" t="s">
        <v>12</v>
      </c>
    </row>
    <row r="65" spans="1:8" x14ac:dyDescent="0.2">
      <c r="A65" s="28"/>
      <c r="B65" s="28"/>
      <c r="C65" s="33"/>
      <c r="D65" s="28"/>
      <c r="E65" s="28"/>
      <c r="F65" s="34"/>
      <c r="G65" s="34"/>
      <c r="H65" s="30" t="s">
        <v>12</v>
      </c>
    </row>
    <row r="66" spans="1:8" x14ac:dyDescent="0.2">
      <c r="A66" s="28"/>
      <c r="B66" s="28"/>
      <c r="C66" s="29" t="s">
        <v>70</v>
      </c>
      <c r="D66" s="28"/>
      <c r="E66" s="28"/>
      <c r="F66" s="28"/>
      <c r="G66" s="28"/>
      <c r="H66" s="30" t="s">
        <v>12</v>
      </c>
    </row>
    <row r="67" spans="1:8" x14ac:dyDescent="0.2">
      <c r="A67" s="28"/>
      <c r="B67" s="28"/>
      <c r="C67" s="29" t="s">
        <v>71</v>
      </c>
      <c r="D67" s="28"/>
      <c r="E67" s="28"/>
      <c r="F67" s="28"/>
      <c r="G67" s="28"/>
      <c r="H67" s="30" t="s">
        <v>12</v>
      </c>
    </row>
    <row r="68" spans="1:8" x14ac:dyDescent="0.2">
      <c r="A68" s="28"/>
      <c r="B68" s="28"/>
      <c r="C68" s="29" t="s">
        <v>11</v>
      </c>
      <c r="D68" s="28"/>
      <c r="E68" s="28" t="s">
        <v>12</v>
      </c>
      <c r="F68" s="31" t="s">
        <v>13</v>
      </c>
      <c r="G68" s="32">
        <v>0</v>
      </c>
      <c r="H68" s="30" t="s">
        <v>12</v>
      </c>
    </row>
    <row r="69" spans="1:8" x14ac:dyDescent="0.2">
      <c r="A69" s="28"/>
      <c r="B69" s="28"/>
      <c r="C69" s="33"/>
      <c r="D69" s="28"/>
      <c r="E69" s="28"/>
      <c r="F69" s="34"/>
      <c r="G69" s="34"/>
      <c r="H69" s="30" t="s">
        <v>12</v>
      </c>
    </row>
    <row r="70" spans="1:8" x14ac:dyDescent="0.2">
      <c r="A70" s="28"/>
      <c r="B70" s="28"/>
      <c r="C70" s="29" t="s">
        <v>72</v>
      </c>
      <c r="D70" s="28"/>
      <c r="E70" s="28"/>
      <c r="F70" s="34"/>
      <c r="G70" s="34"/>
      <c r="H70" s="30" t="s">
        <v>12</v>
      </c>
    </row>
    <row r="71" spans="1:8" x14ac:dyDescent="0.2">
      <c r="A71" s="28"/>
      <c r="B71" s="28"/>
      <c r="C71" s="29" t="s">
        <v>11</v>
      </c>
      <c r="D71" s="28"/>
      <c r="E71" s="28" t="s">
        <v>12</v>
      </c>
      <c r="F71" s="31" t="s">
        <v>13</v>
      </c>
      <c r="G71" s="32">
        <v>0</v>
      </c>
      <c r="H71" s="30" t="s">
        <v>12</v>
      </c>
    </row>
    <row r="72" spans="1:8" x14ac:dyDescent="0.2">
      <c r="A72" s="28"/>
      <c r="B72" s="37"/>
      <c r="C72" s="37"/>
      <c r="D72" s="29"/>
      <c r="E72" s="28"/>
      <c r="F72" s="37"/>
      <c r="G72" s="41"/>
      <c r="H72" s="30" t="s">
        <v>12</v>
      </c>
    </row>
    <row r="73" spans="1:8" x14ac:dyDescent="0.2">
      <c r="A73" s="41"/>
      <c r="B73" s="37"/>
      <c r="C73" s="37" t="s">
        <v>73</v>
      </c>
      <c r="D73" s="37"/>
      <c r="E73" s="41"/>
      <c r="F73" s="39">
        <v>-3102.52329766</v>
      </c>
      <c r="G73" s="40">
        <v>-3.917474E-2</v>
      </c>
      <c r="H73" s="30" t="s">
        <v>12</v>
      </c>
    </row>
    <row r="74" spans="1:8" x14ac:dyDescent="0.2">
      <c r="A74" s="33"/>
      <c r="B74" s="33"/>
      <c r="C74" s="29" t="s">
        <v>74</v>
      </c>
      <c r="D74" s="34"/>
      <c r="E74" s="34"/>
      <c r="F74" s="35">
        <v>79197.031398424995</v>
      </c>
      <c r="G74" s="42">
        <v>1</v>
      </c>
      <c r="H74" s="30" t="s">
        <v>12</v>
      </c>
    </row>
    <row r="75" spans="1:8" x14ac:dyDescent="0.2">
      <c r="A75" s="43"/>
      <c r="B75" s="43"/>
      <c r="C75" s="43"/>
      <c r="D75" s="44"/>
      <c r="E75" s="44"/>
      <c r="F75" s="44"/>
      <c r="G75" s="44"/>
    </row>
    <row r="76" spans="1:8" x14ac:dyDescent="0.2">
      <c r="A76" s="45"/>
      <c r="B76" s="110" t="s">
        <v>407</v>
      </c>
      <c r="C76" s="110"/>
      <c r="D76" s="110"/>
      <c r="E76" s="110"/>
      <c r="F76" s="110"/>
      <c r="G76" s="110"/>
      <c r="H76" s="110"/>
    </row>
    <row r="77" spans="1:8" x14ac:dyDescent="0.2">
      <c r="A77" s="45"/>
      <c r="B77" s="110" t="s">
        <v>408</v>
      </c>
      <c r="C77" s="110"/>
      <c r="D77" s="110"/>
      <c r="E77" s="110"/>
      <c r="F77" s="110"/>
      <c r="G77" s="110"/>
      <c r="H77" s="110"/>
    </row>
    <row r="78" spans="1:8" x14ac:dyDescent="0.2">
      <c r="A78" s="45"/>
      <c r="B78" s="110" t="s">
        <v>409</v>
      </c>
      <c r="C78" s="110"/>
      <c r="D78" s="110"/>
      <c r="E78" s="110"/>
      <c r="F78" s="110"/>
      <c r="G78" s="110"/>
      <c r="H78" s="110"/>
    </row>
    <row r="79" spans="1:8" x14ac:dyDescent="0.2">
      <c r="A79" s="47"/>
      <c r="B79" s="47"/>
      <c r="C79" s="47"/>
      <c r="D79" s="48"/>
      <c r="E79" s="48"/>
      <c r="F79" s="48"/>
      <c r="G79" s="48"/>
    </row>
    <row r="80" spans="1:8" x14ac:dyDescent="0.2">
      <c r="A80" s="47"/>
      <c r="B80" s="112" t="s">
        <v>75</v>
      </c>
      <c r="C80" s="113"/>
      <c r="D80" s="114"/>
      <c r="E80" s="49"/>
      <c r="F80" s="48"/>
      <c r="G80" s="48"/>
    </row>
    <row r="81" spans="1:8" x14ac:dyDescent="0.2">
      <c r="A81" s="47"/>
      <c r="B81" s="115" t="s">
        <v>76</v>
      </c>
      <c r="C81" s="116"/>
      <c r="D81" s="29" t="s">
        <v>77</v>
      </c>
      <c r="E81" s="49"/>
      <c r="F81" s="48"/>
      <c r="G81" s="48"/>
    </row>
    <row r="82" spans="1:8" x14ac:dyDescent="0.2">
      <c r="A82" s="47"/>
      <c r="B82" s="115" t="s">
        <v>78</v>
      </c>
      <c r="C82" s="116"/>
      <c r="D82" s="29" t="s">
        <v>77</v>
      </c>
      <c r="E82" s="49"/>
      <c r="F82" s="48"/>
      <c r="G82" s="48"/>
    </row>
    <row r="83" spans="1:8" x14ac:dyDescent="0.2">
      <c r="A83" s="47"/>
      <c r="B83" s="115" t="s">
        <v>79</v>
      </c>
      <c r="C83" s="116"/>
      <c r="D83" s="34" t="s">
        <v>12</v>
      </c>
      <c r="E83" s="49"/>
      <c r="F83" s="48"/>
      <c r="G83" s="48"/>
    </row>
    <row r="84" spans="1:8" x14ac:dyDescent="0.2">
      <c r="A84" s="50"/>
      <c r="B84" s="51" t="s">
        <v>12</v>
      </c>
      <c r="C84" s="51" t="s">
        <v>458</v>
      </c>
      <c r="D84" s="51" t="s">
        <v>80</v>
      </c>
      <c r="E84" s="50"/>
      <c r="F84" s="50"/>
      <c r="G84" s="50"/>
      <c r="H84" s="52"/>
    </row>
    <row r="85" spans="1:8" x14ac:dyDescent="0.2">
      <c r="A85" s="53"/>
      <c r="B85" s="54" t="s">
        <v>81</v>
      </c>
      <c r="C85" s="55" t="s">
        <v>82</v>
      </c>
      <c r="D85" s="55" t="s">
        <v>83</v>
      </c>
      <c r="E85" s="53"/>
      <c r="F85" s="53"/>
      <c r="G85" s="53"/>
    </row>
    <row r="86" spans="1:8" x14ac:dyDescent="0.2">
      <c r="A86" s="53"/>
      <c r="B86" s="37" t="s">
        <v>84</v>
      </c>
      <c r="C86" s="56">
        <v>1293.0832</v>
      </c>
      <c r="D86" s="56">
        <v>1296.472</v>
      </c>
      <c r="E86" s="53"/>
      <c r="F86" s="57"/>
      <c r="G86" s="58"/>
    </row>
    <row r="87" spans="1:8" ht="25.5" x14ac:dyDescent="0.2">
      <c r="A87" s="53"/>
      <c r="B87" s="37" t="s">
        <v>289</v>
      </c>
      <c r="C87" s="56">
        <v>1000.03</v>
      </c>
      <c r="D87" s="56">
        <v>1000.03</v>
      </c>
      <c r="E87" s="53"/>
      <c r="F87" s="57"/>
      <c r="G87" s="58"/>
    </row>
    <row r="88" spans="1:8" ht="25.5" x14ac:dyDescent="0.2">
      <c r="A88" s="53"/>
      <c r="B88" s="37" t="s">
        <v>290</v>
      </c>
      <c r="C88" s="56">
        <v>1048.7022999999999</v>
      </c>
      <c r="D88" s="56">
        <v>1048.8448000000001</v>
      </c>
      <c r="E88" s="53"/>
      <c r="F88" s="57"/>
      <c r="G88" s="58"/>
    </row>
    <row r="89" spans="1:8" ht="25.5" x14ac:dyDescent="0.2">
      <c r="A89" s="53"/>
      <c r="B89" s="37" t="s">
        <v>291</v>
      </c>
      <c r="C89" s="56">
        <v>1063.9584</v>
      </c>
      <c r="D89" s="56">
        <v>1064.1139000000001</v>
      </c>
      <c r="E89" s="53"/>
      <c r="F89" s="57"/>
      <c r="G89" s="58"/>
    </row>
    <row r="90" spans="1:8" ht="25.5" x14ac:dyDescent="0.2">
      <c r="A90" s="53"/>
      <c r="B90" s="37" t="s">
        <v>85</v>
      </c>
      <c r="C90" s="56">
        <v>1045.3431</v>
      </c>
      <c r="D90" s="56">
        <v>1048.0818999999999</v>
      </c>
      <c r="E90" s="53"/>
      <c r="F90" s="57"/>
      <c r="G90" s="58"/>
    </row>
    <row r="91" spans="1:8" x14ac:dyDescent="0.2">
      <c r="A91" s="53"/>
      <c r="B91" s="37" t="s">
        <v>89</v>
      </c>
      <c r="C91" s="56">
        <v>1286.3303000000001</v>
      </c>
      <c r="D91" s="56">
        <v>1289.6431</v>
      </c>
      <c r="E91" s="53"/>
      <c r="F91" s="57"/>
      <c r="G91" s="58"/>
    </row>
    <row r="92" spans="1:8" ht="25.5" x14ac:dyDescent="0.2">
      <c r="A92" s="53"/>
      <c r="B92" s="37" t="s">
        <v>292</v>
      </c>
      <c r="C92" s="56">
        <v>1000.03</v>
      </c>
      <c r="D92" s="56">
        <v>1000.03</v>
      </c>
      <c r="E92" s="53"/>
      <c r="F92" s="57"/>
      <c r="G92" s="58"/>
    </row>
    <row r="93" spans="1:8" ht="25.5" x14ac:dyDescent="0.2">
      <c r="A93" s="53"/>
      <c r="B93" s="37" t="s">
        <v>293</v>
      </c>
      <c r="C93" s="56">
        <v>1047.5454999999999</v>
      </c>
      <c r="D93" s="56">
        <v>1047.7879</v>
      </c>
      <c r="E93" s="53"/>
      <c r="F93" s="57"/>
      <c r="G93" s="58"/>
    </row>
    <row r="94" spans="1:8" ht="25.5" x14ac:dyDescent="0.2">
      <c r="A94" s="53"/>
      <c r="B94" s="37" t="s">
        <v>294</v>
      </c>
      <c r="C94" s="56">
        <v>1065.3825999999999</v>
      </c>
      <c r="D94" s="56">
        <v>1065.5441000000001</v>
      </c>
      <c r="E94" s="53"/>
      <c r="F94" s="57"/>
      <c r="G94" s="58"/>
    </row>
    <row r="95" spans="1:8" ht="25.5" x14ac:dyDescent="0.2">
      <c r="A95" s="53"/>
      <c r="B95" s="37" t="s">
        <v>90</v>
      </c>
      <c r="C95" s="56">
        <v>1041.5833</v>
      </c>
      <c r="D95" s="56">
        <v>1044.2657999999999</v>
      </c>
      <c r="E95" s="53"/>
      <c r="F95" s="57"/>
      <c r="G95" s="58"/>
    </row>
    <row r="96" spans="1:8" ht="38.25" x14ac:dyDescent="0.2">
      <c r="A96" s="53"/>
      <c r="B96" s="37" t="s">
        <v>400</v>
      </c>
      <c r="C96" s="56">
        <v>1000</v>
      </c>
      <c r="D96" s="56">
        <v>1000</v>
      </c>
      <c r="E96" s="53"/>
      <c r="F96" s="57"/>
      <c r="G96" s="58"/>
    </row>
    <row r="97" spans="1:9" ht="38.25" x14ac:dyDescent="0.2">
      <c r="A97" s="53"/>
      <c r="B97" s="37" t="s">
        <v>401</v>
      </c>
      <c r="C97" s="56">
        <v>1151.7532000000001</v>
      </c>
      <c r="D97" s="56">
        <v>1154.7716</v>
      </c>
      <c r="E97" s="53"/>
      <c r="F97" s="57"/>
      <c r="G97" s="58"/>
    </row>
    <row r="98" spans="1:9" ht="38.25" x14ac:dyDescent="0.2">
      <c r="A98" s="53"/>
      <c r="B98" s="37" t="s">
        <v>402</v>
      </c>
      <c r="C98" s="56">
        <v>1151.7385999999999</v>
      </c>
      <c r="D98" s="56">
        <v>1154.7569000000001</v>
      </c>
      <c r="E98" s="53"/>
      <c r="F98" s="57"/>
      <c r="G98" s="58"/>
    </row>
    <row r="99" spans="1:9" ht="38.25" x14ac:dyDescent="0.2">
      <c r="A99" s="53"/>
      <c r="B99" s="37" t="s">
        <v>403</v>
      </c>
      <c r="C99" s="56">
        <v>1000</v>
      </c>
      <c r="D99" s="56">
        <v>1000</v>
      </c>
      <c r="E99" s="53"/>
      <c r="F99" s="57"/>
      <c r="G99" s="58"/>
    </row>
    <row r="100" spans="1:9" x14ac:dyDescent="0.2">
      <c r="A100" s="53"/>
      <c r="B100" s="53"/>
      <c r="C100" s="53"/>
      <c r="D100" s="53"/>
      <c r="E100" s="53"/>
      <c r="F100" s="53"/>
      <c r="G100" s="53"/>
    </row>
    <row r="101" spans="1:9" x14ac:dyDescent="0.2">
      <c r="A101" s="53"/>
      <c r="B101" s="115" t="s">
        <v>94</v>
      </c>
      <c r="C101" s="116"/>
      <c r="D101" s="29" t="s">
        <v>12</v>
      </c>
      <c r="E101" s="53"/>
      <c r="F101" s="53"/>
      <c r="G101" s="53"/>
    </row>
    <row r="102" spans="1:9" x14ac:dyDescent="0.2">
      <c r="A102" s="53"/>
      <c r="B102" s="59" t="s">
        <v>81</v>
      </c>
      <c r="C102" s="60" t="s">
        <v>295</v>
      </c>
      <c r="D102" s="60" t="s">
        <v>296</v>
      </c>
      <c r="E102" s="53"/>
      <c r="F102" s="53"/>
      <c r="G102" s="53"/>
    </row>
    <row r="103" spans="1:9" ht="25.5" x14ac:dyDescent="0.2">
      <c r="A103" s="53"/>
      <c r="B103" s="37" t="s">
        <v>289</v>
      </c>
      <c r="C103" s="61">
        <v>2.6033750000000002</v>
      </c>
      <c r="D103" s="41" t="s">
        <v>297</v>
      </c>
      <c r="E103" s="53"/>
      <c r="F103" s="57"/>
      <c r="G103" s="58"/>
    </row>
    <row r="104" spans="1:9" ht="25.5" x14ac:dyDescent="0.2">
      <c r="A104" s="53"/>
      <c r="B104" s="37" t="s">
        <v>290</v>
      </c>
      <c r="C104" s="61">
        <v>2.6019999999999999</v>
      </c>
      <c r="D104" s="41" t="s">
        <v>297</v>
      </c>
      <c r="E104" s="53"/>
      <c r="F104" s="57"/>
      <c r="G104" s="58"/>
    </row>
    <row r="105" spans="1:9" ht="25.5" x14ac:dyDescent="0.2">
      <c r="A105" s="53"/>
      <c r="B105" s="37" t="s">
        <v>291</v>
      </c>
      <c r="C105" s="61">
        <v>2.6459000000000001</v>
      </c>
      <c r="D105" s="41" t="s">
        <v>297</v>
      </c>
      <c r="E105" s="53"/>
      <c r="F105" s="57"/>
      <c r="G105" s="58"/>
    </row>
    <row r="106" spans="1:9" ht="25.5" x14ac:dyDescent="0.2">
      <c r="A106" s="53"/>
      <c r="B106" s="37" t="s">
        <v>292</v>
      </c>
      <c r="C106" s="61">
        <v>2.5151629999999998</v>
      </c>
      <c r="D106" s="41" t="s">
        <v>297</v>
      </c>
      <c r="E106" s="53"/>
      <c r="F106" s="57"/>
      <c r="G106" s="58"/>
    </row>
    <row r="107" spans="1:9" ht="25.5" x14ac:dyDescent="0.2">
      <c r="A107" s="53"/>
      <c r="B107" s="37" t="s">
        <v>293</v>
      </c>
      <c r="C107" s="61">
        <v>2.4483000000000001</v>
      </c>
      <c r="D107" s="41" t="s">
        <v>297</v>
      </c>
      <c r="E107" s="53"/>
      <c r="F107" s="57"/>
      <c r="G107" s="58"/>
    </row>
    <row r="108" spans="1:9" ht="25.5" x14ac:dyDescent="0.2">
      <c r="A108" s="53"/>
      <c r="B108" s="37" t="s">
        <v>294</v>
      </c>
      <c r="C108" s="61">
        <v>2.5802</v>
      </c>
      <c r="D108" s="41" t="s">
        <v>297</v>
      </c>
      <c r="E108" s="53"/>
      <c r="F108" s="57"/>
      <c r="G108" s="58"/>
    </row>
    <row r="109" spans="1:9" x14ac:dyDescent="0.2">
      <c r="A109" s="53"/>
      <c r="B109" s="62"/>
      <c r="C109" s="62"/>
      <c r="D109" s="63"/>
      <c r="E109" s="53"/>
      <c r="F109" s="57"/>
      <c r="G109" s="58"/>
      <c r="I109" s="5"/>
    </row>
    <row r="110" spans="1:9" x14ac:dyDescent="0.2">
      <c r="A110" s="50"/>
      <c r="B110" s="117" t="s">
        <v>95</v>
      </c>
      <c r="C110" s="118"/>
      <c r="D110" s="64" t="s">
        <v>77</v>
      </c>
      <c r="E110" s="65"/>
      <c r="F110" s="50"/>
      <c r="G110" s="50"/>
      <c r="I110" s="5"/>
    </row>
    <row r="111" spans="1:9" x14ac:dyDescent="0.2">
      <c r="A111" s="50"/>
      <c r="B111" s="117" t="s">
        <v>96</v>
      </c>
      <c r="C111" s="118"/>
      <c r="D111" s="64" t="s">
        <v>77</v>
      </c>
      <c r="E111" s="65"/>
      <c r="F111" s="50"/>
      <c r="G111" s="50"/>
      <c r="I111" s="5"/>
    </row>
    <row r="112" spans="1:9" x14ac:dyDescent="0.2">
      <c r="A112" s="50"/>
      <c r="B112" s="117" t="s">
        <v>410</v>
      </c>
      <c r="C112" s="118"/>
      <c r="D112" s="64" t="s">
        <v>77</v>
      </c>
      <c r="E112" s="65"/>
      <c r="F112" s="50"/>
      <c r="G112" s="50"/>
      <c r="I112" s="5"/>
    </row>
    <row r="113" spans="1:22" x14ac:dyDescent="0.2">
      <c r="A113" s="66"/>
      <c r="B113" s="66"/>
      <c r="C113" s="66"/>
      <c r="D113" s="66"/>
      <c r="E113" s="66"/>
      <c r="F113" s="66"/>
      <c r="G113" s="66"/>
      <c r="I113" s="5"/>
    </row>
    <row r="114" spans="1:22" s="7" customFormat="1" x14ac:dyDescent="0.2">
      <c r="B114" s="119" t="s">
        <v>411</v>
      </c>
      <c r="C114" s="120"/>
      <c r="D114" s="121"/>
      <c r="I114" s="5"/>
      <c r="J114" s="2"/>
      <c r="K114" s="5"/>
      <c r="L114" s="5"/>
      <c r="M114" s="5"/>
      <c r="N114" s="5"/>
      <c r="O114" s="8"/>
      <c r="R114"/>
      <c r="S114"/>
      <c r="T114"/>
      <c r="U114"/>
      <c r="V114"/>
    </row>
    <row r="115" spans="1:22" s="7" customFormat="1" ht="38.25" x14ac:dyDescent="0.2">
      <c r="B115" s="111" t="s">
        <v>412</v>
      </c>
      <c r="C115" s="111"/>
      <c r="D115" s="67" t="s">
        <v>389</v>
      </c>
      <c r="I115"/>
      <c r="J115" s="2"/>
      <c r="K115" s="5"/>
      <c r="L115" s="5"/>
      <c r="M115" s="5"/>
      <c r="N115" s="5"/>
      <c r="O115" s="8"/>
      <c r="R115"/>
      <c r="S115"/>
      <c r="T115"/>
      <c r="U115"/>
      <c r="V115"/>
    </row>
    <row r="116" spans="1:22" s="7" customFormat="1" x14ac:dyDescent="0.2">
      <c r="B116" s="107" t="s">
        <v>413</v>
      </c>
      <c r="C116" s="107"/>
      <c r="D116" s="68"/>
      <c r="I116"/>
      <c r="J116" s="2"/>
      <c r="K116" s="5"/>
      <c r="L116" s="5"/>
      <c r="M116" s="5"/>
      <c r="N116" s="5"/>
      <c r="O116" s="8"/>
    </row>
    <row r="117" spans="1:22" s="7" customFormat="1" x14ac:dyDescent="0.2">
      <c r="B117" s="107"/>
      <c r="C117" s="107"/>
      <c r="D117" s="69"/>
      <c r="I117"/>
      <c r="J117" s="2"/>
      <c r="K117" s="5"/>
      <c r="L117" s="5"/>
      <c r="M117" s="5"/>
      <c r="N117" s="5"/>
      <c r="O117" s="8"/>
    </row>
    <row r="118" spans="1:22" s="7" customFormat="1" x14ac:dyDescent="0.2">
      <c r="B118" s="107" t="s">
        <v>414</v>
      </c>
      <c r="C118" s="107"/>
      <c r="D118" s="70">
        <v>6.3172528751367354</v>
      </c>
      <c r="I118"/>
      <c r="J118" s="2"/>
      <c r="K118" s="5"/>
      <c r="L118" s="5"/>
      <c r="M118" s="5"/>
      <c r="N118" s="5"/>
      <c r="O118" s="8"/>
    </row>
    <row r="119" spans="1:22" s="7" customFormat="1" x14ac:dyDescent="0.2">
      <c r="B119" s="107"/>
      <c r="C119" s="107"/>
      <c r="D119" s="69"/>
      <c r="I119"/>
      <c r="J119" s="2"/>
      <c r="K119" s="5"/>
      <c r="L119" s="5"/>
      <c r="M119" s="5"/>
      <c r="N119" s="5"/>
      <c r="O119" s="8"/>
    </row>
    <row r="120" spans="1:22" s="7" customFormat="1" x14ac:dyDescent="0.2">
      <c r="B120" s="107" t="s">
        <v>446</v>
      </c>
      <c r="C120" s="107"/>
      <c r="D120" s="70">
        <v>1</v>
      </c>
      <c r="I120"/>
      <c r="J120" s="2"/>
      <c r="K120" s="5"/>
      <c r="L120" s="5"/>
      <c r="M120" s="5"/>
      <c r="N120" s="5"/>
      <c r="O120" s="8"/>
    </row>
    <row r="121" spans="1:22" s="7" customFormat="1" x14ac:dyDescent="0.2">
      <c r="B121" s="107" t="s">
        <v>447</v>
      </c>
      <c r="C121" s="107"/>
      <c r="D121" s="70">
        <v>1</v>
      </c>
      <c r="I121"/>
      <c r="J121" s="2"/>
      <c r="K121" s="5"/>
      <c r="L121" s="5"/>
      <c r="M121" s="5"/>
      <c r="N121" s="5"/>
      <c r="O121" s="8"/>
    </row>
    <row r="122" spans="1:22" s="7" customFormat="1" x14ac:dyDescent="0.2">
      <c r="B122" s="107"/>
      <c r="C122" s="107"/>
      <c r="D122" s="69"/>
      <c r="I122"/>
      <c r="J122" s="2"/>
      <c r="K122" s="5"/>
      <c r="L122" s="5"/>
      <c r="M122" s="5"/>
      <c r="N122" s="5"/>
      <c r="O122" s="8"/>
    </row>
    <row r="123" spans="1:22" s="7" customFormat="1" x14ac:dyDescent="0.2">
      <c r="B123" s="107" t="s">
        <v>417</v>
      </c>
      <c r="C123" s="107"/>
      <c r="D123" s="71" t="s">
        <v>454</v>
      </c>
      <c r="I123"/>
      <c r="J123" s="2"/>
      <c r="K123" s="5"/>
      <c r="L123" s="5"/>
      <c r="M123" s="5"/>
      <c r="N123" s="5"/>
      <c r="O123" s="8"/>
    </row>
    <row r="124" spans="1:22" s="7" customFormat="1" x14ac:dyDescent="0.2">
      <c r="B124" s="105" t="s">
        <v>418</v>
      </c>
      <c r="C124" s="108"/>
      <c r="D124" s="106"/>
      <c r="I124"/>
      <c r="J124" s="2"/>
      <c r="K124" s="5"/>
      <c r="L124" s="5"/>
      <c r="M124" s="5"/>
      <c r="N124" s="5"/>
      <c r="O124" s="8"/>
    </row>
    <row r="125" spans="1:22" x14ac:dyDescent="0.2">
      <c r="H125" s="72"/>
    </row>
  </sheetData>
  <mergeCells count="25">
    <mergeCell ref="B78:H78"/>
    <mergeCell ref="B112:C112"/>
    <mergeCell ref="B115:C115"/>
    <mergeCell ref="B80:D80"/>
    <mergeCell ref="B81:C81"/>
    <mergeCell ref="B82:C82"/>
    <mergeCell ref="B83:C83"/>
    <mergeCell ref="B101:C101"/>
    <mergeCell ref="B111:C111"/>
    <mergeCell ref="B110:C110"/>
    <mergeCell ref="B114:D114"/>
    <mergeCell ref="A1:H1"/>
    <mergeCell ref="A2:H2"/>
    <mergeCell ref="A3:H3"/>
    <mergeCell ref="B76:H76"/>
    <mergeCell ref="B77:H77"/>
    <mergeCell ref="B121:C121"/>
    <mergeCell ref="B122:C122"/>
    <mergeCell ref="B123:C123"/>
    <mergeCell ref="B124:D124"/>
    <mergeCell ref="B116:C116"/>
    <mergeCell ref="B117:C117"/>
    <mergeCell ref="B118:C118"/>
    <mergeCell ref="B119:C119"/>
    <mergeCell ref="B120:C120"/>
  </mergeCells>
  <hyperlinks>
    <hyperlink ref="I1" location="Index!B11" display="Index" xr:uid="{32BD3837-60C6-41A1-9CEB-8747C524848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Swapna.N - Sundaram Mutual</cp:lastModifiedBy>
  <dcterms:created xsi:type="dcterms:W3CDTF">2024-07-16T15:17:02Z</dcterms:created>
  <dcterms:modified xsi:type="dcterms:W3CDTF">2024-07-18T11:39:54Z</dcterms:modified>
</cp:coreProperties>
</file>