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20. 15 Dec 2024\"/>
    </mc:Choice>
  </mc:AlternateContent>
  <xr:revisionPtr revIDLastSave="0" documentId="13_ncr:1_{74FEDDB1-F58D-4029-A0AA-149B1BB13A3B}" xr6:coauthVersionLast="47" xr6:coauthVersionMax="47" xr10:uidLastSave="{00000000-0000-0000-0000-000000000000}"/>
  <bookViews>
    <workbookView xWindow="-120" yWindow="-120" windowWidth="19440" windowHeight="15000" tabRatio="828" activeTab="1" xr2:uid="{55C3AB36-81F6-406C-819A-63CAF8669E41}"/>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5" i="7" l="1"/>
  <c r="F42" i="7"/>
  <c r="G42" i="7"/>
  <c r="J148" i="9"/>
  <c r="F13" i="9"/>
  <c r="F34" i="9" s="1"/>
  <c r="F51" i="9" s="1"/>
  <c r="G120" i="8"/>
  <c r="I160" i="6"/>
  <c r="J160" i="6" s="1"/>
  <c r="I159" i="6"/>
  <c r="J159" i="6" s="1"/>
  <c r="I158" i="6"/>
  <c r="J158" i="6" s="1"/>
  <c r="G158" i="6"/>
  <c r="I157" i="6"/>
  <c r="J157" i="6" s="1"/>
  <c r="I166" i="4"/>
  <c r="J166" i="4" s="1"/>
  <c r="I165" i="4"/>
  <c r="J165" i="4" s="1"/>
  <c r="I164" i="4"/>
  <c r="J164" i="4" s="1"/>
  <c r="G92" i="9" l="1"/>
  <c r="F92" i="9"/>
  <c r="G13" i="9" s="1"/>
  <c r="G34" i="9" s="1"/>
  <c r="G51" i="9" s="1"/>
  <c r="G72" i="8"/>
  <c r="F72" i="8"/>
  <c r="G125" i="7"/>
  <c r="F125" i="7"/>
  <c r="G89" i="6"/>
  <c r="F89" i="6"/>
  <c r="G143" i="5"/>
  <c r="F143" i="5"/>
  <c r="G99" i="4"/>
  <c r="F99" i="4"/>
  <c r="G99" i="3"/>
  <c r="F99" i="3"/>
  <c r="G86" i="2"/>
  <c r="F86" i="2"/>
  <c r="G94" i="1"/>
  <c r="F94" i="1"/>
  <c r="F53" i="7" l="1"/>
  <c r="G53" i="7"/>
</calcChain>
</file>

<file path=xl/sharedStrings.xml><?xml version="1.0" encoding="utf-8"?>
<sst xmlns="http://schemas.openxmlformats.org/spreadsheetml/2006/main" count="3277" uniqueCount="712">
  <si>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</si>
  <si>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</si>
  <si>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</si>
  <si>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</si>
  <si>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</si>
  <si>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</si>
  <si>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</si>
  <si>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</si>
  <si>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</si>
  <si>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</si>
  <si>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</si>
  <si>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</si>
  <si>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</si>
  <si>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</si>
  <si>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</si>
  <si>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</si>
  <si>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</si>
  <si>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</si>
  <si>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</si>
  <si>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</si>
  <si>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</si>
  <si>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</si>
  <si>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</si>
  <si>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</si>
  <si>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</si>
  <si>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</si>
  <si>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</si>
  <si>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</si>
  <si>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</si>
  <si>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</si>
  <si>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</si>
  <si>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</si>
  <si>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</si>
  <si>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</si>
  <si>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</si>
  <si>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</si>
  <si>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</si>
  <si>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</si>
  <si>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</si>
  <si>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</si>
  <si>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</si>
  <si>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</si>
  <si>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</si>
  <si>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</si>
  <si>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</si>
  <si>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INE296A07SV1</t>
  </si>
  <si>
    <t>Bajaj Finance Ltd - 7.82% - 31/01/2034**</t>
  </si>
  <si>
    <t>INE134E08MX3</t>
  </si>
  <si>
    <t>Power Finance Corporation Ltd - 7.6% - 13/04/2029**</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</si>
  <si>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</si>
  <si>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</si>
  <si>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</si>
  <si>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</si>
  <si>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</si>
  <si>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</si>
  <si>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</si>
  <si>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</si>
  <si>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</si>
  <si>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</si>
  <si>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</si>
  <si>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</si>
  <si>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</si>
  <si>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</si>
  <si>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</si>
  <si>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</si>
  <si>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</si>
  <si>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</si>
  <si>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</si>
  <si>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</si>
  <si>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</si>
  <si>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</si>
  <si>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</si>
  <si>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</si>
  <si>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</si>
  <si>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</si>
  <si>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</si>
  <si>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</si>
  <si>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</si>
  <si>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</si>
  <si>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</si>
  <si>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</si>
  <si>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</si>
  <si>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</si>
  <si>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</si>
  <si>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</si>
  <si>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</si>
  <si>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</si>
  <si>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</si>
  <si>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</si>
  <si>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</si>
  <si>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</si>
  <si>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</si>
  <si>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</si>
  <si>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</si>
  <si>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</si>
  <si>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</si>
  <si>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</si>
  <si>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</si>
  <si>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</si>
  <si>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</si>
  <si>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</si>
  <si>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</si>
  <si>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</si>
  <si>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</si>
  <si>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</si>
  <si>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</si>
  <si>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</si>
  <si>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</si>
  <si>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</si>
  <si>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</si>
  <si>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</si>
  <si>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</si>
  <si>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</si>
  <si>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</si>
  <si>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</si>
  <si>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</si>
  <si>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</si>
  <si>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</si>
  <si>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</si>
  <si>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</si>
  <si>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</si>
  <si>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</si>
  <si>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</si>
  <si>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</si>
  <si>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</si>
  <si>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</si>
  <si>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</si>
  <si>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</si>
  <si>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</si>
  <si>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</si>
  <si>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</si>
  <si>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</si>
  <si>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</si>
  <si>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</si>
  <si>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</si>
  <si>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</si>
  <si>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</si>
  <si>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</si>
  <si>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</si>
  <si>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</si>
  <si>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</si>
  <si>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</si>
  <si>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</si>
  <si>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</si>
  <si>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INE261F16843</t>
  </si>
  <si>
    <t>National Bank for Agriculture &amp; Rural Development - 12/03/2025**</t>
  </si>
  <si>
    <t>CRISIL A1+</t>
  </si>
  <si>
    <t>INE090AD6147</t>
  </si>
  <si>
    <t>ICICI Bank Ltd - 17/03/2025**</t>
  </si>
  <si>
    <t>ICRA A1+</t>
  </si>
  <si>
    <t>INE028A16GR2</t>
  </si>
  <si>
    <t>Bank of Baroda - 15/05/2025**</t>
  </si>
  <si>
    <t>IND A1+</t>
  </si>
  <si>
    <t>INE949L16CY1</t>
  </si>
  <si>
    <t>AU Small Finance Bank Ltd - 28/10/2025**</t>
  </si>
  <si>
    <t>INE171A16MK3</t>
  </si>
  <si>
    <t>The Federal Bank Ltd - 25/11/2025**</t>
  </si>
  <si>
    <t>INE084A16CS2</t>
  </si>
  <si>
    <t>Bank of India - 28/11/2025**</t>
  </si>
  <si>
    <t>INE692A16IC3</t>
  </si>
  <si>
    <t>Union Bank of India - 04/12/2025**</t>
  </si>
  <si>
    <t>INE040A16FY5</t>
  </si>
  <si>
    <t>HDFC Bank Ltd - 04/12/2025**</t>
  </si>
  <si>
    <t>INE095A16X85</t>
  </si>
  <si>
    <t>IndusInd Bank Ltd - 05/12/2025**</t>
  </si>
  <si>
    <t>INE092T16XM4</t>
  </si>
  <si>
    <t>IDFC First Bank Ltd - 28/05/2025**</t>
  </si>
  <si>
    <t>INE476A16YB0</t>
  </si>
  <si>
    <t>Canara Bank - 20/03/2025**</t>
  </si>
  <si>
    <t>INE562A16MZ1</t>
  </si>
  <si>
    <t>Indian Bank - 23/05/2025**</t>
  </si>
  <si>
    <t>INE01GA16228</t>
  </si>
  <si>
    <t>DBS BANK LTD - 07/03/2025**</t>
  </si>
  <si>
    <t>INE095A16X69</t>
  </si>
  <si>
    <t>IndusInd Bank Ltd - 21/11/2025**</t>
  </si>
  <si>
    <t>INE090AD6170</t>
  </si>
  <si>
    <t>ICICI Bank Ltd - 25/07/2025**</t>
  </si>
  <si>
    <t>INE092T16WB9</t>
  </si>
  <si>
    <t>IDFC First Bank Ltd - 21/02/2025**</t>
  </si>
  <si>
    <t>INE095A16V79</t>
  </si>
  <si>
    <t>IndusInd Bank Ltd - 24/02/2025**</t>
  </si>
  <si>
    <t>INE090AD6113</t>
  </si>
  <si>
    <t>ICICI Bank Ltd - 31/01/2025**</t>
  </si>
  <si>
    <t>INE171A16LP4</t>
  </si>
  <si>
    <t>The Federal Bank Ltd - 04/02/2025**</t>
  </si>
  <si>
    <t>INE028A16GP6</t>
  </si>
  <si>
    <t>Bank of Baroda - 05/05/2025</t>
  </si>
  <si>
    <t>INE238AD6967</t>
  </si>
  <si>
    <t>Axis Bank Ltd - 19/05/2025**</t>
  </si>
  <si>
    <t>INE040A16FA5</t>
  </si>
  <si>
    <t>HDFC Bank Ltd - 24/06/2025**</t>
  </si>
  <si>
    <t>INE338I14IN8</t>
  </si>
  <si>
    <t>Motilal Oswal Financial Services Ltd - 29/01/2025**</t>
  </si>
  <si>
    <t>INE121A14WW7</t>
  </si>
  <si>
    <t>Cholamandalam Investment and Finance Co Ltd - 10/02/2025**</t>
  </si>
  <si>
    <t>INE403D14544</t>
  </si>
  <si>
    <t>Bharti Telecom Ltd - 17/10/2025**</t>
  </si>
  <si>
    <t>INE556F16AX2</t>
  </si>
  <si>
    <t>Small Industries Development Bank of India - 05/12/2025**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</si>
  <si>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</si>
  <si>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</si>
  <si>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</si>
  <si>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</si>
  <si>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</si>
  <si>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</si>
  <si>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</si>
  <si>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</si>
  <si>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INE556F14KH9</t>
  </si>
  <si>
    <t>Small Industries Development Bank of India - 28/05/2025**</t>
  </si>
  <si>
    <t>IN002024Y290</t>
  </si>
  <si>
    <t>182 Days - T Bill - 01/05/2025</t>
  </si>
  <si>
    <t>IN002024Y324</t>
  </si>
  <si>
    <t>182 Days - T Bill - 23/05/2025</t>
  </si>
  <si>
    <t>IN002024Y332</t>
  </si>
  <si>
    <t>182 Days - T Bill - 29/05/2025</t>
  </si>
  <si>
    <t>IN002024Y241</t>
  </si>
  <si>
    <t>182 Days - T Bill - 13/03/2025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</si>
  <si>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</si>
  <si>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</si>
  <si>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</si>
  <si>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</si>
  <si>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</si>
  <si>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</si>
  <si>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</si>
  <si>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</si>
  <si>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</si>
  <si>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</si>
  <si>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</si>
  <si>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</si>
  <si>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</si>
  <si>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</si>
  <si>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INE115A07OY6</t>
  </si>
  <si>
    <t>LIC Housing Finance Ltd - 5.776% - 11/09/2025**</t>
  </si>
  <si>
    <t>INE403D08181</t>
  </si>
  <si>
    <t>Bharti Telecom Ltd - 8.9% - 04/12/2025**</t>
  </si>
  <si>
    <t>INE572E07183</t>
  </si>
  <si>
    <t>PNB Housing Finance Ltd - 8.15% - 29/07/2027**</t>
  </si>
  <si>
    <t>INE020B08ED9</t>
  </si>
  <si>
    <t>REC LTD - 7.56%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</si>
  <si>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</si>
  <si>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</si>
  <si>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</si>
  <si>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</si>
  <si>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</si>
  <si>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</si>
  <si>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</si>
  <si>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</si>
  <si>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</si>
  <si>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</si>
  <si>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</si>
  <si>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</si>
  <si>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</si>
  <si>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</si>
  <si>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</si>
  <si>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</si>
  <si>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</si>
  <si>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</si>
  <si>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</si>
  <si>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</si>
  <si>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</si>
  <si>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</si>
  <si>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</si>
  <si>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</si>
  <si>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</si>
  <si>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</si>
  <si>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</si>
  <si>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</si>
  <si>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INE237A168Y2</t>
  </si>
  <si>
    <t>Kotak Mahindra Bank Ltd - 04/12/2025**</t>
  </si>
  <si>
    <t>INE466L14DI2</t>
  </si>
  <si>
    <t>360 ONE WAM Ltd (Prev IIFL Wealth Management Ltd) - 14/03/2025**</t>
  </si>
  <si>
    <t>Sundaram Liquid Fund</t>
  </si>
  <si>
    <t>INE557F08FG1</t>
  </si>
  <si>
    <t>National Housing Bank - 7.05% - 18/12/2024**</t>
  </si>
  <si>
    <t>INE115A07OX8</t>
  </si>
  <si>
    <t>LIC Housing Finance Ltd - 5.5315% - 20/12/2024**</t>
  </si>
  <si>
    <t>INE572E07118</t>
  </si>
  <si>
    <t>PNB Housing Finance Ltd - 8.53% - 29/12/2024**</t>
  </si>
  <si>
    <t>INE115A07PD7</t>
  </si>
  <si>
    <t>LIC Housing Finance Ltd - 6.4% - 24/01/2025**</t>
  </si>
  <si>
    <t>INE040A08682</t>
  </si>
  <si>
    <t>HDFC Bank Ltd - 8.4% - 23/01/2025**</t>
  </si>
  <si>
    <t>INE261F08DI1</t>
  </si>
  <si>
    <t>National Bank for Agriculture &amp; Rural Development - 5.23% - 31/01/2025**</t>
  </si>
  <si>
    <t>INE062A16549</t>
  </si>
  <si>
    <t>State Bank of India - 27/12/2024</t>
  </si>
  <si>
    <t>INE238AD6694</t>
  </si>
  <si>
    <t>Axis Bank Ltd - 21/02/2025**</t>
  </si>
  <si>
    <t>INE562A16MT4</t>
  </si>
  <si>
    <t>Indian Bank - 10/03/2025</t>
  </si>
  <si>
    <t>INE040A16ER2</t>
  </si>
  <si>
    <t>HDFC Bank Ltd - 06/03/2025</t>
  </si>
  <si>
    <t>INE040A16EU6</t>
  </si>
  <si>
    <t>HDFC Bank Ltd - 12/03/2025</t>
  </si>
  <si>
    <t>INE238AD6629</t>
  </si>
  <si>
    <t>Axis Bank Ltd - 10/01/2025**</t>
  </si>
  <si>
    <t>INE476A16XI7</t>
  </si>
  <si>
    <t>Canara Bank - 16/01/2025**</t>
  </si>
  <si>
    <t>INE476A16YV8</t>
  </si>
  <si>
    <t>Canara Bank - 03/02/2025**</t>
  </si>
  <si>
    <t>INE040A16EM3</t>
  </si>
  <si>
    <t>HDFC Bank Ltd - 03/02/2025</t>
  </si>
  <si>
    <t>INE008A16X32</t>
  </si>
  <si>
    <t>IDBI Bank Ltd - 04/02/2025**</t>
  </si>
  <si>
    <t>INE028A16EU1</t>
  </si>
  <si>
    <t>Bank of Baroda - 07/02/2025</t>
  </si>
  <si>
    <t>INE692A16GY1</t>
  </si>
  <si>
    <t>Union Bank of India - 25/02/2025**</t>
  </si>
  <si>
    <t>INE084A16CR4</t>
  </si>
  <si>
    <t>Bank of India - 27/02/2025**</t>
  </si>
  <si>
    <t>INE476A16YZ9</t>
  </si>
  <si>
    <t>Canara Bank - 28/02/2025</t>
  </si>
  <si>
    <t>INE084A16CN3</t>
  </si>
  <si>
    <t>Bank of India - 03/03/2025**</t>
  </si>
  <si>
    <t>INE160A16QO9</t>
  </si>
  <si>
    <t>Punjab National Bank - 13/03/2025**</t>
  </si>
  <si>
    <t>INE457A16MO8</t>
  </si>
  <si>
    <t>Bank of Maharashtra - 13/03/2025**</t>
  </si>
  <si>
    <t>INE160A16PX2</t>
  </si>
  <si>
    <t>Punjab National Bank - 20/12/2024</t>
  </si>
  <si>
    <t>INE476A16YR6</t>
  </si>
  <si>
    <t>Canara Bank - 16/12/2024</t>
  </si>
  <si>
    <t>INE238AD6926</t>
  </si>
  <si>
    <t>Axis Bank Ltd - 24/12/2024</t>
  </si>
  <si>
    <t>INE476A16ZJ0</t>
  </si>
  <si>
    <t>Canara Bank - 26/12/2024**</t>
  </si>
  <si>
    <t>INE040A16EJ9</t>
  </si>
  <si>
    <t>HDFC Bank Ltd - 27/12/2024</t>
  </si>
  <si>
    <t>INE556F16AO1</t>
  </si>
  <si>
    <t>Small Industries Development Bank of India - 10/01/2025**</t>
  </si>
  <si>
    <t>INE092T16XJ0</t>
  </si>
  <si>
    <t>IDFC First Bank Ltd - 17/01/2025</t>
  </si>
  <si>
    <t>INE028A16GT8</t>
  </si>
  <si>
    <t>Bank of Baroda - 04/02/2025</t>
  </si>
  <si>
    <t>INE562A16NL9</t>
  </si>
  <si>
    <t>Indian Bank - 05/02/2025**</t>
  </si>
  <si>
    <t>INE160A16QI1</t>
  </si>
  <si>
    <t>Punjab National Bank - 11/02/2025**</t>
  </si>
  <si>
    <t>INE160A16PK9</t>
  </si>
  <si>
    <t>Punjab National Bank - 20/02/2025**</t>
  </si>
  <si>
    <t>INE028A16EX5</t>
  </si>
  <si>
    <t>Bank of Baroda - 20/02/2025**</t>
  </si>
  <si>
    <t>INE261F16835</t>
  </si>
  <si>
    <t>National Bank for Agriculture &amp; Rural Development - 07/03/2025</t>
  </si>
  <si>
    <t>INE476A16ZC5</t>
  </si>
  <si>
    <t>Canara Bank - 07/03/2025</t>
  </si>
  <si>
    <t>INE237A165X0</t>
  </si>
  <si>
    <t>Kotak Mahindra Bank Ltd - 20/12/2024**</t>
  </si>
  <si>
    <t>INE238AD6603</t>
  </si>
  <si>
    <t>Axis Bank Ltd - 26/12/2024</t>
  </si>
  <si>
    <t>INE261F16769</t>
  </si>
  <si>
    <t>National Bank for Agriculture &amp; Rural Development - 17/01/2025</t>
  </si>
  <si>
    <t>INE556F14KR8</t>
  </si>
  <si>
    <t>Small Industries Development Bank of India - 12/03/2025**</t>
  </si>
  <si>
    <t>INE417C14645</t>
  </si>
  <si>
    <t>Pilani Investment and Industries Corporation Ltd. - 14/01/2025**</t>
  </si>
  <si>
    <t>INE763G14WD3</t>
  </si>
  <si>
    <t>ICICI Securities Ltd - 11/02/2025**</t>
  </si>
  <si>
    <t>INE115A14EQ9</t>
  </si>
  <si>
    <t>LIC Housing Finance Ltd - 17/12/2024**</t>
  </si>
  <si>
    <t>INE860H144B8</t>
  </si>
  <si>
    <t>Aditya Birla Finance Ltd - 24/12/2024**</t>
  </si>
  <si>
    <t>INE09OL14FX2</t>
  </si>
  <si>
    <t>Birla Group Holdings Pvt Ltd - 27/12/2024**</t>
  </si>
  <si>
    <t>INE514E14RY1</t>
  </si>
  <si>
    <t>Export Import Bank of India - 24/01/2025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</si>
  <si>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</si>
  <si>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</si>
  <si>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</si>
  <si>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</si>
  <si>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</si>
  <si>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</si>
  <si>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</si>
  <si>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</si>
  <si>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</si>
  <si>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</si>
  <si>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</si>
  <si>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</si>
  <si>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INE824H14QJ0</t>
  </si>
  <si>
    <t>Julius Baer Capital (India) Private Ltd - 30/12/2024**</t>
  </si>
  <si>
    <t>INE121A14WX5</t>
  </si>
  <si>
    <t>Cholamandalam Investment and Finance Co Ltd - 29/01/2025**</t>
  </si>
  <si>
    <t>INE700G14MJ3</t>
  </si>
  <si>
    <t>HDFC Securities Ltd - 27/02/2025**</t>
  </si>
  <si>
    <t>INE071G14GH5</t>
  </si>
  <si>
    <t>ICICI Home Finance Company Ltd - 13/03/2025**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</si>
  <si>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</si>
  <si>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</si>
  <si>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</si>
  <si>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</si>
  <si>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</si>
  <si>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</si>
  <si>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</si>
  <si>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</si>
  <si>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</si>
  <si>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</si>
  <si>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</si>
  <si>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</si>
  <si>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</si>
  <si>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</si>
  <si>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</si>
  <si>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</si>
  <si>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</si>
  <si>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</si>
  <si>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INE261F14ML4</t>
  </si>
  <si>
    <t>National Bank for Agriculture &amp; Rural Development - 21/02/2025**</t>
  </si>
  <si>
    <t>INE865C14MH7</t>
  </si>
  <si>
    <t>Aditya Birla Money Ltd - 26/12/2024**</t>
  </si>
  <si>
    <t>INE692Q14BH8</t>
  </si>
  <si>
    <t>TOYOTA FINANCIAL SERVICES - 27/01/2025**</t>
  </si>
  <si>
    <t>INE865C14MJ3</t>
  </si>
  <si>
    <t>Aditya Birla Money Ltd - 05/02/2025**</t>
  </si>
  <si>
    <t>INE027214738</t>
  </si>
  <si>
    <t>BOBCARD Ltd - 27/02/2025**</t>
  </si>
  <si>
    <t>IN002023Z455</t>
  </si>
  <si>
    <t>364 Days - T Bill - 23/01/2025</t>
  </si>
  <si>
    <t>IN002023Z414</t>
  </si>
  <si>
    <t>364 Days - T Bill - 26/12/2024</t>
  </si>
  <si>
    <t>IN002024X276</t>
  </si>
  <si>
    <t>91 Days - T Bill - 09/01/2025</t>
  </si>
  <si>
    <t>IN002024X300</t>
  </si>
  <si>
    <t>91 Days - T Bill - 30/01/2025</t>
  </si>
  <si>
    <t>IN002024Y183</t>
  </si>
  <si>
    <t>182 Days - T Bill - 30/01/2025</t>
  </si>
  <si>
    <t>IN002023Z471</t>
  </si>
  <si>
    <t>364 Days- T Bill-06/02/2025</t>
  </si>
  <si>
    <t>IN002023Z430</t>
  </si>
  <si>
    <t>364 Days -T Bill- 09/01/2025</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</si>
  <si>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</si>
  <si>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</si>
  <si>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</si>
  <si>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</si>
  <si>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</si>
  <si>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</si>
  <si>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</si>
  <si>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</si>
  <si>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</si>
  <si>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</si>
  <si>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</si>
  <si>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</si>
  <si>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</si>
  <si>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</si>
  <si>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</si>
  <si>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</si>
  <si>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</si>
  <si>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</si>
  <si>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</si>
  <si>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</si>
  <si>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</si>
  <si>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</si>
  <si>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</si>
  <si>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</si>
  <si>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</si>
  <si>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</si>
  <si>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</si>
  <si>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</si>
  <si>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</si>
  <si>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</si>
  <si>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</si>
  <si>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</si>
  <si>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INE476A16ZO0</t>
  </si>
  <si>
    <t>Canara Bank - 04/12/2025**</t>
  </si>
  <si>
    <t>INE237A160W3</t>
  </si>
  <si>
    <t>Kotak Mahindra Bank Ltd - 05/02/2025**</t>
  </si>
  <si>
    <t>INE556F16AQ6</t>
  </si>
  <si>
    <t>Small Industries Development Bank of India - 07/02/2025**</t>
  </si>
  <si>
    <t>INE160A16OL0</t>
  </si>
  <si>
    <t>Punjab National Bank - 07/02/2025**</t>
  </si>
  <si>
    <t>INE084A16CT0</t>
  </si>
  <si>
    <t>Bank of India - 28/05/2025**</t>
  </si>
  <si>
    <t>INE095A16X10</t>
  </si>
  <si>
    <t>IndusInd Bank Ltd - 19/08/2025**</t>
  </si>
  <si>
    <t>INE238AD6884</t>
  </si>
  <si>
    <t>Axis Bank Ltd - 22/08/2025**</t>
  </si>
  <si>
    <t>INE414G14TC1</t>
  </si>
  <si>
    <t>Muthoot Finance Ltd - 25/02/2025**</t>
  </si>
  <si>
    <t>INE477S14CC9</t>
  </si>
  <si>
    <t>Tata Motors Finance Ltd - 11/03/2025**</t>
  </si>
  <si>
    <t>INE514E14SL6</t>
  </si>
  <si>
    <t>Export Import Bank of India - 03/06/2025**</t>
  </si>
  <si>
    <t>INE790I14EV2</t>
  </si>
  <si>
    <t>HSBC InvestDirect Financial Services India Limited - 24/12/2024**</t>
  </si>
  <si>
    <t>INE115A14EV9</t>
  </si>
  <si>
    <t>LIC Housing Finance Ltd - 04/03/2025**</t>
  </si>
  <si>
    <t>INE417C14710</t>
  </si>
  <si>
    <t>Pilani Investment and Industries Corporation Ltd. - 21/03/2025**</t>
  </si>
  <si>
    <t>INE763G14TX7</t>
  </si>
  <si>
    <t>ICICI Securities Ltd - 10/03/2025**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</si>
  <si>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</si>
  <si>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</si>
  <si>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</si>
  <si>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</si>
  <si>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</si>
  <si>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</si>
  <si>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</si>
  <si>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</si>
  <si>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</si>
  <si>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</si>
  <si>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</si>
  <si>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</si>
  <si>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</si>
  <si>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</si>
  <si>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</si>
  <si>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</si>
  <si>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</si>
  <si>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</si>
  <si>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</si>
  <si>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</si>
  <si>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</si>
  <si>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</si>
  <si>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</si>
  <si>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INE018A01030</t>
  </si>
  <si>
    <t>Larsen &amp; Toubro Ltd</t>
  </si>
  <si>
    <t>Construction</t>
  </si>
  <si>
    <t>INE238A01034</t>
  </si>
  <si>
    <t>Axis Bank Ltd</t>
  </si>
  <si>
    <t>INE062A01020</t>
  </si>
  <si>
    <t>State Bank of India</t>
  </si>
  <si>
    <t>INE154A01025</t>
  </si>
  <si>
    <t>ITC Ltd</t>
  </si>
  <si>
    <t>Diversified Fmcg</t>
  </si>
  <si>
    <t>INE044A01036</t>
  </si>
  <si>
    <t>Sun Pharmaceutical Industries Ltd</t>
  </si>
  <si>
    <t>Pharmaceuticals &amp; Biotechnology</t>
  </si>
  <si>
    <t>INE200M01039</t>
  </si>
  <si>
    <t>Varun Beverages Ltd</t>
  </si>
  <si>
    <t>Beverages</t>
  </si>
  <si>
    <t>INE481G01011</t>
  </si>
  <si>
    <t>Ultratech Cement Ltd</t>
  </si>
  <si>
    <t>Cement &amp; Cement Products</t>
  </si>
  <si>
    <t>INE029A01011</t>
  </si>
  <si>
    <t>Bharat Petroleum Corporation Ltd</t>
  </si>
  <si>
    <t>INE917I01010</t>
  </si>
  <si>
    <t>Bajaj Auto Ltd</t>
  </si>
  <si>
    <t>Automobiles</t>
  </si>
  <si>
    <t>INE726G01019</t>
  </si>
  <si>
    <t>ICICI Prudential Life Insurance Company Ltd</t>
  </si>
  <si>
    <t>Insurance</t>
  </si>
  <si>
    <t>INE797F01020</t>
  </si>
  <si>
    <t>Jubilant Foodworks Ltd</t>
  </si>
  <si>
    <t>Leisure Services</t>
  </si>
  <si>
    <t>INE854D01024</t>
  </si>
  <si>
    <t>United Spirits Ltd</t>
  </si>
  <si>
    <t>INE540L01014</t>
  </si>
  <si>
    <t>Alkem Laboratories Ltd</t>
  </si>
  <si>
    <t>INE196A01026</t>
  </si>
  <si>
    <t>Marico Ltd</t>
  </si>
  <si>
    <t>Agricultural Food &amp; Other Products</t>
  </si>
  <si>
    <t>INE603J01030</t>
  </si>
  <si>
    <t>PI Industries Ltd</t>
  </si>
  <si>
    <t>Fertilizers &amp; Agrochemicals</t>
  </si>
  <si>
    <t>INE047A01021</t>
  </si>
  <si>
    <t>Grasim Industries Ltd</t>
  </si>
  <si>
    <t>INE585B01010</t>
  </si>
  <si>
    <t>Maruti Suzuki India Ltd</t>
  </si>
  <si>
    <t>INE438A01022</t>
  </si>
  <si>
    <t>Apollo Tyres Ltd</t>
  </si>
  <si>
    <t>Auto Components</t>
  </si>
  <si>
    <t>INE028A01039</t>
  </si>
  <si>
    <t>Bank of Baroda</t>
  </si>
  <si>
    <t>IN9397D01014</t>
  </si>
  <si>
    <t>Sundaram Overnight Fund</t>
  </si>
  <si>
    <t>S. No.</t>
  </si>
  <si>
    <t>ACRONYM</t>
  </si>
  <si>
    <t>SCHEME NAME</t>
  </si>
  <si>
    <t>SFRLTP</t>
  </si>
  <si>
    <t>SFRSTP</t>
  </si>
  <si>
    <t>SMMF</t>
  </si>
  <si>
    <t>SPLDF</t>
  </si>
  <si>
    <t>SPMON</t>
  </si>
  <si>
    <t>SPSDF</t>
  </si>
  <si>
    <t>SPUSDF</t>
  </si>
  <si>
    <t>SUNBDS</t>
  </si>
  <si>
    <t>SUNMIA</t>
  </si>
  <si>
    <t>SUNONF</t>
  </si>
  <si>
    <t>YTM (%)*</t>
  </si>
  <si>
    <t>Index</t>
  </si>
  <si>
    <t>Fortnightly Portfolio Statement as on 15 December 2024</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</si>
  <si>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</si>
  <si>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</si>
  <si>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</si>
  <si>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</si>
  <si>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</si>
  <si>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</si>
  <si>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</si>
  <si>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</si>
  <si>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</si>
  <si>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</si>
  <si>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</si>
  <si>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</si>
  <si>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</si>
  <si>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</si>
  <si>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</si>
  <si>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</si>
  <si>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</si>
  <si>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</si>
  <si>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</si>
  <si>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</si>
  <si>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d) IDCW declared during the period (Rupees per unit)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</si>
  <si>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</si>
  <si>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</si>
  <si>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</si>
  <si>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</si>
  <si>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</si>
  <si>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</si>
  <si>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</si>
  <si>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</si>
  <si>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</si>
  <si>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</si>
  <si>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</si>
  <si>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</si>
  <si>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</si>
  <si>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</si>
  <si>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</si>
  <si>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</si>
  <si>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</si>
  <si>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</si>
  <si>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</si>
  <si>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</si>
  <si>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</si>
  <si>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</si>
  <si>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</si>
  <si>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</si>
  <si>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</si>
  <si>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</si>
  <si>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</si>
  <si>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</si>
  <si>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</si>
  <si>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</si>
  <si>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</si>
  <si>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</si>
  <si>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</si>
  <si>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</si>
  <si>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</si>
  <si>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</si>
  <si>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</si>
  <si>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</si>
  <si>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</si>
  <si>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</si>
  <si>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</si>
  <si>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</si>
  <si>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</si>
  <si>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</si>
  <si>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</si>
  <si>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</si>
  <si>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</si>
  <si>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</si>
  <si>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 Aggregate Investments by Other schemes of Sundaram Mutual Fund - Rs.11,102.54 Lakhs</t>
  </si>
  <si>
    <t>++ Aggregate Investments by Other schemes of Sundaram Mutual Fund - Rs.6,715.60 Lakhs</t>
  </si>
  <si>
    <t>Net receivable/ Market value  (Rs. Lakh)</t>
  </si>
  <si>
    <t>% to NAV</t>
  </si>
  <si>
    <t xml:space="preserve">                      NIFTY Liquid Index A-I</t>
  </si>
  <si>
    <t xml:space="preserve">                       NIFTY Liquid Index</t>
  </si>
  <si>
    <t>7.30% Central Government Securities_Floating Rate Bond - 04/10/2028 ~</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</si>
  <si>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</si>
  <si>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</si>
  <si>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</si>
  <si>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</si>
  <si>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</si>
  <si>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</si>
  <si>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</si>
  <si>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</si>
  <si>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</si>
  <si>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</si>
  <si>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</si>
  <si>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</si>
  <si>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</si>
  <si>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Total Amount(Principal &amp; Interest)  (Rs. Lakh)</t>
  </si>
  <si>
    <t xml:space="preserve">          NIFTY Ultra Short Duration Debt Index A-I</t>
  </si>
  <si>
    <t xml:space="preserve">              NIFTY Ultra Short Duration Debt Index</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</si>
  <si>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</si>
  <si>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</si>
  <si>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</si>
  <si>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</si>
  <si>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</si>
  <si>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</si>
  <si>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</si>
  <si>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</si>
  <si>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</si>
  <si>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</si>
  <si>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</si>
  <si>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</si>
  <si>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</si>
  <si>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</si>
  <si>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</si>
  <si>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</si>
  <si>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</si>
  <si>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</si>
  <si>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</si>
  <si>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VALUE OF THE SECURITY CONSIDERED 
UNDER NET RECEIVABLES</t>
  </si>
  <si>
    <t>Macaulay Duration (Days)</t>
  </si>
  <si>
    <t>Average Maturity (Days)</t>
  </si>
  <si>
    <t xml:space="preserve">                        NIFTY 1D Rate Index</t>
  </si>
  <si>
    <t xml:space="preserve">                         NIFTY 1D Rate Index</t>
  </si>
  <si>
    <t>15-Dec-2024</t>
  </si>
  <si>
    <t>i) Exposure to securities classified as below investment grade or default as on 15-Dec-2024:-</t>
  </si>
  <si>
    <t>h) Exposure to securities classified as below investment grade or default as on 15-Dec-2024:-</t>
  </si>
  <si>
    <t>% to AUM as on  15-Dec-2024</t>
  </si>
  <si>
    <t>h)  Hedging Positions through Swaps as on 15-Dec-2024:-</t>
  </si>
  <si>
    <t>Swap Type</t>
  </si>
  <si>
    <t>Underlying Security</t>
  </si>
  <si>
    <t>Long Position</t>
  </si>
  <si>
    <t>Short Position</t>
  </si>
  <si>
    <t>Notional Value (Rs. in lacs.)</t>
  </si>
  <si>
    <t>Maturity date</t>
  </si>
  <si>
    <t>Fixed to Float</t>
  </si>
  <si>
    <t>Receiving Floating</t>
  </si>
  <si>
    <t>Pay Fixed</t>
  </si>
  <si>
    <t xml:space="preserve">Shriram Finance Ltd </t>
  </si>
  <si>
    <t>Interest Rate Swaps</t>
  </si>
  <si>
    <t>#</t>
  </si>
  <si>
    <t>Interest Rate Swaps Pay Fix Receive Floating (11/12/2025) (FV 2500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</si>
</sst>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_(* #,##0.00_);_(* \(#,##0.00\);_(* &quot;-&quot;??_);_(@_)"/>
    <numFmt numFmtId="174" formatCode="dd\-mmm\-yyyy"/>
    <numFmt numFmtId="175" formatCode="[$-1014009]#,##0;\(#,##0\)"/>
    <numFmt numFmtId="176" formatCode="[$-409]d\-mmm\-yy;@"/>
  </numFmts>
  <fonts count="41"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sz val="10"/>
      <color indexed="8"/>
      <name val="Calibri"/>
      <family val="2"/>
    </font>
    <font>
      <sz val="10"/>
      <name val="Calibri"/>
      <family val="2"/>
    </font>
    <font>
      <u/>
      <sz val="11"/>
      <color rgb="FF002060"/>
      <name val="Aptos Narrow"/>
      <family val="2"/>
      <scheme val="minor"/>
    </font>
    <font>
      <sz val="10"/>
      <name val="Arial"/>
      <family val="2"/>
    </font>
    <font>
      <b/>
      <sz val="11"/>
      <name val="Aptos Narrow"/>
      <family val="2"/>
      <scheme val="minor"/>
    </font>
    <font>
      <b/>
      <i/>
      <sz val="10"/>
      <color indexed="8"/>
      <name val="Calibri"/>
      <family val="2"/>
    </font>
    <font>
      <b/>
      <sz val="10"/>
      <color indexed="8"/>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sz val="11"/>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Arial"/>
      <family val="2"/>
    </font>
    <font>
      <sz val="10"/>
      <color theme="1"/>
      <name val="Tahoma"/>
      <family val="2"/>
    </font>
    <font>
      <sz val="10"/>
      <color rgb="FF000000"/>
      <name val="Tahoma"/>
      <family val="2"/>
    </font>
  </fonts>
  <fills count="3">
    <fill>
      <patternFill patternType="none"/>
    </fill>
    <fill>
      <patternFill patternType="gray125"/>
    </fill>
    <fill>
      <patternFill patternType="solid">
        <fgColor indexed="9"/>
      </patternFill>
    </fill>
  </fills>
  <borders count="16">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s>
  <cellStyleXfs count="11">
    <xf numFmtId="0" fontId="0" fillId="0" borderId="0">
      <alignment wrapText="1"/>
    </xf>
    <xf numFmtId="43" fontId="8" fillId="0" borderId="0" applyFont="0" applyFill="0" applyBorder="0" applyAlignment="0" applyProtection="0"/>
    <xf numFmtId="0" fontId="2" fillId="0" borderId="0"/>
    <xf numFmtId="0" fontId="2" fillId="0" borderId="0"/>
    <xf numFmtId="0" fontId="14" fillId="0" borderId="0" applyNumberFormat="0" applyFill="0" applyBorder="0" applyAlignment="0" applyProtection="0">
      <alignment wrapText="1"/>
    </xf>
    <xf numFmtId="0" fontId="21" fillId="0" borderId="0">
      <alignment wrapText="1"/>
    </xf>
    <xf numFmtId="43" fontId="21"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0" fontId="2" fillId="0" borderId="0"/>
    <xf numFmtId="0" fontId="1" fillId="0" borderId="0"/>
  </cellStyleXfs>
  <cellXfs count="222">
    <xf numFmtId="0" fontId="0" fillId="0" borderId="0" xfId="0">
      <alignment wrapText="1"/>
    </xf>
    <xf numFmtId="0" fontId="11" fillId="0" borderId="7" xfId="2" applyFont="1" applyBorder="1" applyAlignment="1">
      <alignment horizontal="center"/>
    </xf>
    <xf numFmtId="0" fontId="12" fillId="0" borderId="7" xfId="2" applyFont="1" applyBorder="1" applyAlignment="1">
      <alignment horizontal="center" vertical="center"/>
    </xf>
    <xf numFmtId="0" fontId="13" fillId="0" borderId="0" xfId="3" applyFont="1"/>
    <xf numFmtId="0" fontId="13" fillId="0" borderId="7" xfId="2" applyFont="1" applyBorder="1" applyAlignment="1">
      <alignment horizontal="center"/>
    </xf>
    <xf numFmtId="0" fontId="15" fillId="0" borderId="7" xfId="4" applyFont="1" applyBorder="1" applyAlignment="1">
      <alignment vertical="center"/>
    </xf>
    <xf numFmtId="0" fontId="16" fillId="0" borderId="7" xfId="2" applyFont="1" applyBorder="1" applyAlignment="1">
      <alignment vertical="top"/>
    </xf>
    <xf numFmtId="0" fontId="20" fillId="0" borderId="0" xfId="4" applyFont="1" applyFill="1" applyBorder="1" applyAlignment="1">
      <alignment horizontal="center" vertical="center" wrapText="1"/>
    </xf>
    <xf numFmtId="43" fontId="19" fillId="0" borderId="7" xfId="6" applyFont="1" applyFill="1" applyBorder="1" applyAlignment="1">
      <alignment vertical="center"/>
    </xf>
    <xf numFmtId="43" fontId="28" fillId="0" borderId="7" xfId="6" applyFont="1" applyFill="1" applyBorder="1" applyAlignment="1">
      <alignment vertical="center"/>
    </xf>
    <xf numFmtId="4" fontId="30" fillId="0" borderId="7" xfId="7" applyNumberFormat="1" applyFont="1" applyFill="1" applyBorder="1"/>
    <xf numFmtId="10" fontId="28" fillId="0" borderId="7" xfId="8" applyNumberFormat="1" applyFont="1" applyFill="1" applyBorder="1" applyAlignment="1">
      <alignment vertical="center"/>
    </xf>
    <xf numFmtId="4" fontId="30" fillId="0" borderId="0" xfId="7" applyNumberFormat="1" applyFont="1" applyFill="1" applyBorder="1"/>
    <xf numFmtId="0" fontId="3" fillId="0" borderId="4" xfId="0" applyFont="1" applyBorder="1" applyAlignment="1">
      <alignment horizontal="center" vertical="center" wrapText="1" readingOrder="1"/>
    </xf>
    <xf numFmtId="43" fontId="17" fillId="0" borderId="7" xfId="1" applyFont="1" applyFill="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5" fontId="18" fillId="0" borderId="7" xfId="0" applyNumberFormat="1" applyFont="1" applyBorder="1" applyAlignment="1">
      <alignment horizontal="right" vertical="center" wrapText="1" readingOrder="1"/>
    </xf>
    <xf numFmtId="0" fontId="5" fillId="0" borderId="4" xfId="0"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7" fontId="4" fillId="0" borderId="4"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18" fillId="0" borderId="4" xfId="0" applyFont="1" applyBorder="1" applyAlignment="1">
      <alignment horizontal="right" vertical="top" wrapText="1" readingOrder="1"/>
    </xf>
    <xf numFmtId="0" fontId="23" fillId="0" borderId="4" xfId="0" applyFont="1" applyBorder="1" applyAlignment="1">
      <alignment horizontal="left" vertical="center" wrapText="1" readingOrder="1"/>
    </xf>
    <xf numFmtId="0" fontId="23" fillId="0" borderId="4" xfId="0" applyFont="1" applyBorder="1" applyAlignment="1">
      <alignment horizontal="right" vertical="center" wrapText="1" readingOrder="1"/>
    </xf>
    <xf numFmtId="0" fontId="24" fillId="0" borderId="4" xfId="0" applyFont="1" applyBorder="1" applyAlignment="1">
      <alignment horizontal="left" vertical="center" wrapText="1" readingOrder="1"/>
    </xf>
    <xf numFmtId="165" fontId="18" fillId="0" borderId="4" xfId="0" applyNumberFormat="1" applyFont="1" applyBorder="1" applyAlignment="1">
      <alignment horizontal="right" vertical="center" wrapText="1" readingOrder="1"/>
    </xf>
    <xf numFmtId="0" fontId="21" fillId="0" borderId="0" xfId="5">
      <alignment wrapText="1"/>
    </xf>
    <xf numFmtId="0" fontId="19" fillId="0" borderId="0" xfId="0" applyFont="1">
      <alignment wrapText="1"/>
    </xf>
    <xf numFmtId="166" fontId="18" fillId="0" borderId="4" xfId="0" applyNumberFormat="1" applyFont="1" applyBorder="1" applyAlignment="1">
      <alignment horizontal="right" vertical="center" wrapText="1" readingOrder="1"/>
    </xf>
    <xf numFmtId="0" fontId="18" fillId="0" borderId="4" xfId="0" applyFont="1" applyBorder="1" applyAlignment="1">
      <alignment horizontal="left" vertical="center" wrapText="1" readingOrder="1"/>
    </xf>
    <xf numFmtId="168" fontId="18" fillId="0" borderId="4" xfId="0" applyNumberFormat="1" applyFont="1" applyBorder="1" applyAlignment="1">
      <alignment horizontal="right" vertical="center" wrapText="1" readingOrder="1"/>
    </xf>
    <xf numFmtId="164" fontId="18" fillId="0" borderId="4" xfId="0" applyNumberFormat="1" applyFont="1" applyBorder="1" applyAlignment="1">
      <alignment horizontal="right" vertical="center" wrapText="1" readingOrder="1"/>
    </xf>
    <xf numFmtId="165" fontId="24" fillId="0" borderId="4" xfId="0" applyNumberFormat="1" applyFont="1" applyBorder="1" applyAlignment="1">
      <alignment horizontal="right" vertical="center" wrapText="1" readingOrder="1"/>
    </xf>
    <xf numFmtId="164" fontId="24" fillId="0" borderId="4" xfId="0" applyNumberFormat="1"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23" fillId="0" borderId="0" xfId="0" applyFont="1" applyAlignment="1">
      <alignment horizontal="left" vertical="center" wrapText="1" readingOrder="1"/>
    </xf>
    <xf numFmtId="0" fontId="18" fillId="0" borderId="0" xfId="0" applyFont="1" applyAlignment="1">
      <alignment horizontal="lef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8" fillId="0" borderId="0" xfId="0" applyFont="1" applyAlignment="1">
      <alignment horizontal="right" vertical="top" wrapText="1" readingOrder="1"/>
    </xf>
    <xf numFmtId="0" fontId="24" fillId="0" borderId="4" xfId="0" applyFont="1" applyBorder="1" applyAlignment="1">
      <alignment horizontal="right" vertical="top" wrapText="1" readingOrder="1"/>
    </xf>
    <xf numFmtId="43" fontId="18" fillId="0" borderId="0" xfId="1" applyFont="1" applyFill="1" applyBorder="1" applyAlignment="1">
      <alignment horizontal="right" vertical="top" wrapText="1" readingOrder="1"/>
    </xf>
    <xf numFmtId="0" fontId="24" fillId="0" borderId="4" xfId="0" applyFont="1" applyBorder="1" applyAlignment="1">
      <alignment horizontal="left" vertical="top" wrapText="1" readingOrder="1"/>
    </xf>
    <xf numFmtId="174" fontId="24"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1"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8" fillId="0" borderId="6" xfId="0" applyFont="1" applyBorder="1" applyAlignment="1">
      <alignment horizontal="right" vertical="top" wrapText="1" readingOrder="1"/>
    </xf>
    <xf numFmtId="0" fontId="0" fillId="0" borderId="0" xfId="0" applyAlignment="1">
      <alignment horizontal="center" vertical="top" readingOrder="1"/>
    </xf>
    <xf numFmtId="0" fontId="19" fillId="0" borderId="0" xfId="0" applyFont="1" applyAlignment="1">
      <alignment vertical="center" wrapText="1"/>
    </xf>
    <xf numFmtId="0" fontId="25" fillId="0" borderId="7" xfId="0" applyFont="1" applyBorder="1" applyAlignment="1">
      <alignment horizontal="center" vertical="center" wrapText="1"/>
    </xf>
    <xf numFmtId="0" fontId="19" fillId="0" borderId="7" xfId="0" applyFont="1" applyBorder="1" applyAlignment="1">
      <alignment vertical="center" wrapText="1"/>
    </xf>
    <xf numFmtId="0" fontId="19" fillId="0" borderId="7" xfId="0" applyFont="1" applyBorder="1" applyAlignment="1">
      <alignment horizontal="justify" vertical="center" wrapText="1"/>
    </xf>
    <xf numFmtId="172" fontId="24" fillId="0" borderId="4" xfId="0" applyNumberFormat="1" applyFont="1" applyBorder="1" applyAlignment="1">
      <alignment horizontal="left" vertical="center" wrapText="1" readingOrder="1"/>
    </xf>
    <xf numFmtId="175" fontId="24"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26" fillId="0" borderId="0" xfId="0" applyFont="1">
      <alignment wrapText="1"/>
    </xf>
    <xf numFmtId="0" fontId="26" fillId="0" borderId="0" xfId="0" applyFont="1" applyAlignment="1"/>
    <xf numFmtId="0" fontId="0" fillId="0" borderId="0" xfId="0" applyAlignment="1"/>
    <xf numFmtId="0" fontId="18" fillId="0" borderId="0" xfId="0" applyFont="1" applyAlignment="1">
      <alignment horizontal="right" vertical="center" wrapText="1" readingOrder="1"/>
    </xf>
    <xf numFmtId="0" fontId="24" fillId="0" borderId="0" xfId="0" applyFont="1" applyAlignment="1">
      <alignment horizontal="left" vertical="center" wrapText="1" readingOrder="1"/>
    </xf>
    <xf numFmtId="0" fontId="25" fillId="0" borderId="0" xfId="0" applyFont="1" applyAlignment="1">
      <alignment vertical="center" readingOrder="1"/>
    </xf>
    <xf numFmtId="0" fontId="25" fillId="0" borderId="0" xfId="0" applyFont="1" applyAlignment="1">
      <alignment horizontal="left" vertical="center" readingOrder="1"/>
    </xf>
    <xf numFmtId="0" fontId="27" fillId="0" borderId="0" xfId="0" applyFont="1" applyAlignment="1">
      <alignment vertical="center" wrapText="1"/>
    </xf>
    <xf numFmtId="0" fontId="27" fillId="0" borderId="7" xfId="0" applyFont="1" applyBorder="1" applyAlignment="1">
      <alignment horizontal="center" vertical="center" wrapText="1"/>
    </xf>
    <xf numFmtId="0" fontId="19" fillId="0" borderId="0" xfId="0" applyFont="1" applyAlignment="1">
      <alignment vertical="center"/>
    </xf>
    <xf numFmtId="0" fontId="19" fillId="0" borderId="7" xfId="0" applyFont="1" applyBorder="1" applyAlignment="1">
      <alignment vertical="center"/>
    </xf>
    <xf numFmtId="4" fontId="19" fillId="0" borderId="7" xfId="0" applyNumberFormat="1" applyFont="1" applyBorder="1" applyAlignment="1">
      <alignment vertical="center"/>
    </xf>
    <xf numFmtId="0" fontId="19" fillId="0" borderId="0" xfId="0" applyFont="1" applyAlignment="1">
      <alignment horizontal="center" vertical="center" readingOrder="1"/>
    </xf>
    <xf numFmtId="0" fontId="29" fillId="0" borderId="7" xfId="2" applyFont="1" applyBorder="1" applyAlignment="1">
      <alignment horizontal="center"/>
    </xf>
    <xf numFmtId="0" fontId="30" fillId="0" borderId="7" xfId="2" applyFont="1" applyBorder="1"/>
    <xf numFmtId="0" fontId="30" fillId="0" borderId="7" xfId="2" applyFont="1" applyBorder="1" applyAlignment="1">
      <alignment wrapText="1"/>
    </xf>
    <xf numFmtId="0" fontId="29" fillId="0" borderId="7" xfId="2" applyFont="1" applyBorder="1" applyAlignment="1">
      <alignment horizontal="center" vertical="center"/>
    </xf>
    <xf numFmtId="0" fontId="29" fillId="0" borderId="7" xfId="2" applyFont="1" applyBorder="1" applyAlignment="1">
      <alignment horizontal="center" vertical="center" wrapText="1"/>
    </xf>
    <xf numFmtId="4" fontId="30" fillId="0" borderId="7" xfId="2" applyNumberFormat="1" applyFont="1" applyBorder="1"/>
    <xf numFmtId="43" fontId="30" fillId="0" borderId="7" xfId="6" applyFont="1" applyFill="1" applyBorder="1"/>
    <xf numFmtId="173" fontId="30" fillId="0" borderId="7" xfId="2" applyNumberFormat="1" applyFont="1" applyBorder="1"/>
    <xf numFmtId="0" fontId="32" fillId="0" borderId="0" xfId="0" applyFont="1" applyAlignment="1"/>
    <xf numFmtId="0" fontId="14" fillId="0" borderId="0" xfId="4" applyFill="1" applyAlignment="1"/>
    <xf numFmtId="2" fontId="19" fillId="0" borderId="7" xfId="0" applyNumberFormat="1" applyFont="1" applyBorder="1" applyAlignment="1">
      <alignment vertical="center"/>
    </xf>
    <xf numFmtId="0" fontId="23" fillId="0" borderId="0" xfId="2" applyFont="1" applyAlignment="1">
      <alignment horizontal="left" vertical="center" wrapText="1" readingOrder="1"/>
    </xf>
    <xf numFmtId="0" fontId="13" fillId="0" borderId="0" xfId="2" applyFont="1" applyAlignment="1">
      <alignment vertical="center" wrapText="1"/>
    </xf>
    <xf numFmtId="0" fontId="32" fillId="0" borderId="0" xfId="0" applyFont="1" applyAlignment="1">
      <alignment horizontal="left" vertical="top" readingOrder="1"/>
    </xf>
    <xf numFmtId="0" fontId="30" fillId="0" borderId="0" xfId="2" applyFont="1"/>
    <xf numFmtId="0" fontId="30" fillId="0" borderId="0" xfId="2" applyFont="1" applyAlignment="1">
      <alignment wrapText="1"/>
    </xf>
    <xf numFmtId="4" fontId="30" fillId="0" borderId="0" xfId="2" applyNumberFormat="1" applyFont="1"/>
    <xf numFmtId="43" fontId="30" fillId="0" borderId="0" xfId="6" applyFont="1" applyFill="1" applyBorder="1"/>
    <xf numFmtId="173" fontId="30" fillId="0" borderId="0" xfId="2" applyNumberFormat="1" applyFont="1"/>
    <xf numFmtId="0" fontId="32" fillId="0" borderId="0" xfId="10" applyFont="1"/>
    <xf numFmtId="0" fontId="38" fillId="0" borderId="0" xfId="0" applyFont="1" applyAlignment="1"/>
    <xf numFmtId="0" fontId="39" fillId="0" borderId="14" xfId="0" applyFont="1" applyBorder="1" applyAlignment="1"/>
    <xf numFmtId="0" fontId="40" fillId="0" borderId="14" xfId="0" applyFont="1" applyBorder="1">
      <alignment wrapText="1"/>
    </xf>
    <xf numFmtId="0" fontId="40" fillId="0" borderId="14" xfId="0" applyFont="1" applyBorder="1" applyAlignment="1"/>
    <xf numFmtId="43" fontId="39" fillId="0" borderId="14" xfId="1" applyFont="1" applyFill="1" applyBorder="1" applyAlignment="1"/>
    <xf numFmtId="176" fontId="39" fillId="0" borderId="14" xfId="0" applyNumberFormat="1" applyFont="1" applyBorder="1" applyAlignment="1"/>
    <xf numFmtId="0" fontId="27" fillId="0" borderId="7" xfId="0" applyFont="1" applyBorder="1" applyAlignment="1">
      <alignment vertical="center" wrapText="1"/>
    </xf>
    <xf numFmtId="0" fontId="9" fillId="0" borderId="0" xfId="9" applyFont="1" applyAlignment="1">
      <alignment horizontal="center" vertical="center"/>
    </xf>
    <xf numFmtId="0" fontId="2" fillId="0" borderId="0" xfId="9" applyAlignment="1">
      <alignment wrapText="1"/>
    </xf>
    <xf numFmtId="4" fontId="10" fillId="0" borderId="0" xfId="9" applyNumberFormat="1" applyFont="1"/>
    <xf numFmtId="0" fontId="33" fillId="0" borderId="0" xfId="9" applyFont="1" applyAlignment="1">
      <alignment wrapText="1"/>
    </xf>
    <xf numFmtId="0" fontId="27" fillId="0" borderId="7" xfId="9" applyFont="1" applyBorder="1" applyAlignment="1">
      <alignment horizontal="center" vertical="center"/>
    </xf>
    <xf numFmtId="0" fontId="27" fillId="0" borderId="0" xfId="9" applyFont="1" applyAlignment="1">
      <alignment horizontal="center" vertical="center"/>
    </xf>
    <xf numFmtId="0" fontId="28" fillId="0" borderId="7" xfId="9" applyFont="1" applyBorder="1" applyAlignment="1">
      <alignment vertical="center"/>
    </xf>
    <xf numFmtId="0" fontId="28" fillId="0" borderId="7" xfId="9" applyFont="1" applyBorder="1" applyAlignment="1">
      <alignment vertical="center" wrapText="1"/>
    </xf>
    <xf numFmtId="0" fontId="28" fillId="0" borderId="0" xfId="9" applyFont="1" applyAlignment="1">
      <alignment horizontal="center" vertical="center"/>
    </xf>
    <xf numFmtId="0" fontId="27" fillId="0" borderId="7" xfId="9" applyFont="1" applyBorder="1" applyAlignment="1">
      <alignment horizontal="center" vertical="center" wrapText="1"/>
    </xf>
    <xf numFmtId="0" fontId="22" fillId="0" borderId="0" xfId="9" applyFont="1" applyAlignment="1">
      <alignment horizontal="center" vertical="center"/>
    </xf>
    <xf numFmtId="0" fontId="28" fillId="0" borderId="7" xfId="9" applyFont="1" applyBorder="1" applyAlignment="1">
      <alignment horizontal="left" vertical="center"/>
    </xf>
    <xf numFmtId="4" fontId="28" fillId="0" borderId="7" xfId="9" applyNumberFormat="1" applyFont="1" applyBorder="1" applyAlignment="1">
      <alignment horizontal="right" vertical="center"/>
    </xf>
    <xf numFmtId="10" fontId="28" fillId="0" borderId="7" xfId="7" applyNumberFormat="1" applyFont="1" applyFill="1" applyBorder="1" applyAlignment="1">
      <alignment vertical="center"/>
    </xf>
    <xf numFmtId="43" fontId="33" fillId="0" borderId="0" xfId="6" applyFont="1" applyFill="1" applyAlignment="1">
      <alignment vertical="center"/>
    </xf>
    <xf numFmtId="43" fontId="28" fillId="0" borderId="0" xfId="6" applyFont="1" applyFill="1" applyAlignment="1">
      <alignment horizontal="center" vertical="center"/>
    </xf>
    <xf numFmtId="167" fontId="18" fillId="0" borderId="4" xfId="0" applyNumberFormat="1" applyFont="1" applyBorder="1" applyAlignment="1">
      <alignment horizontal="right" vertical="center" wrapText="1" readingOrder="1"/>
    </xf>
    <xf numFmtId="0" fontId="26" fillId="0" borderId="0" xfId="0" applyFont="1" applyAlignment="1">
      <alignment horizontal="center" vertical="center" wrapText="1"/>
    </xf>
    <xf numFmtId="14" fontId="19" fillId="0" borderId="7" xfId="0" quotePrefix="1" applyNumberFormat="1" applyFont="1" applyBorder="1" applyAlignment="1">
      <alignment horizontal="justify" vertical="center" wrapText="1"/>
    </xf>
    <xf numFmtId="0" fontId="21" fillId="0" borderId="0" xfId="5" applyAlignment="1">
      <alignment vertical="center" wrapText="1"/>
    </xf>
    <xf numFmtId="0" fontId="30" fillId="0" borderId="7" xfId="2" applyFont="1" applyBorder="1" applyAlignment="1">
      <alignment vertical="center"/>
    </xf>
    <xf numFmtId="2" fontId="30" fillId="0" borderId="7" xfId="2" applyNumberFormat="1" applyFont="1" applyBorder="1"/>
    <xf numFmtId="4" fontId="21" fillId="0" borderId="7" xfId="5" applyNumberFormat="1" applyBorder="1">
      <alignment wrapText="1"/>
    </xf>
    <xf numFmtId="175" fontId="24" fillId="0" borderId="4" xfId="0" applyNumberFormat="1" applyFont="1" applyBorder="1" applyAlignment="1">
      <alignment horizontal="left" vertical="center" wrapText="1" readingOrder="1"/>
    </xf>
    <xf numFmtId="43" fontId="0" fillId="0" borderId="0" xfId="6" applyFont="1" applyFill="1" applyAlignment="1">
      <alignment wrapText="1"/>
    </xf>
    <xf numFmtId="165" fontId="18" fillId="0" borderId="12"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165" fontId="5" fillId="0" borderId="0" xfId="0" applyNumberFormat="1" applyFont="1" applyAlignment="1">
      <alignment horizontal="right" vertical="center" wrapText="1" readingOrder="1"/>
    </xf>
    <xf numFmtId="169" fontId="5" fillId="0" borderId="0" xfId="0" applyNumberFormat="1" applyFont="1" applyAlignment="1">
      <alignment horizontal="right" vertical="center" wrapText="1" readingOrder="1"/>
    </xf>
    <xf numFmtId="165" fontId="18" fillId="0" borderId="0" xfId="0" applyNumberFormat="1" applyFont="1" applyAlignment="1">
      <alignment horizontal="right" vertical="center" wrapText="1" readingOrder="1"/>
    </xf>
    <xf numFmtId="0" fontId="4" fillId="0" borderId="15" xfId="0" applyFont="1" applyBorder="1" applyAlignment="1">
      <alignment horizontal="right" vertical="center" wrapText="1" readingOrder="1"/>
    </xf>
    <xf numFmtId="0" fontId="4" fillId="0" borderId="15" xfId="0" applyFont="1" applyBorder="1" applyAlignment="1">
      <alignment horizontal="left" vertical="center" wrapText="1" readingOrder="1"/>
    </xf>
    <xf numFmtId="165" fontId="4" fillId="0" borderId="15" xfId="0" applyNumberFormat="1" applyFont="1" applyBorder="1" applyAlignment="1">
      <alignment horizontal="right" vertical="center" wrapText="1" readingOrder="1"/>
    </xf>
    <xf numFmtId="164" fontId="4" fillId="0" borderId="15" xfId="0" applyNumberFormat="1" applyFont="1" applyBorder="1" applyAlignment="1">
      <alignment horizontal="right" vertical="center" wrapText="1" readingOrder="1"/>
    </xf>
    <xf numFmtId="0" fontId="6" fillId="0" borderId="7" xfId="0" applyFont="1" applyBorder="1" applyAlignment="1">
      <alignment horizontal="left" vertical="center" wrapText="1" readingOrder="1"/>
    </xf>
    <xf numFmtId="0" fontId="5" fillId="0" borderId="7" xfId="0" applyFont="1" applyBorder="1" applyAlignment="1">
      <alignment horizontal="left" vertical="center" wrapText="1" readingOrder="1"/>
    </xf>
    <xf numFmtId="0" fontId="6" fillId="0" borderId="7" xfId="0" applyFont="1" applyBorder="1" applyAlignment="1">
      <alignment horizontal="right" vertical="center" wrapText="1" readingOrder="1"/>
    </xf>
    <xf numFmtId="165" fontId="5" fillId="0" borderId="7" xfId="0" applyNumberFormat="1" applyFont="1" applyBorder="1" applyAlignment="1">
      <alignment horizontal="right" vertical="center" wrapText="1" readingOrder="1"/>
    </xf>
    <xf numFmtId="169" fontId="5" fillId="0" borderId="7" xfId="0" applyNumberFormat="1" applyFont="1" applyBorder="1" applyAlignment="1">
      <alignment horizontal="right" vertical="center" wrapText="1" readingOrder="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165" fontId="4" fillId="2" borderId="7" xfId="0" applyNumberFormat="1" applyFont="1" applyFill="1" applyBorder="1" applyAlignment="1">
      <alignment horizontal="right" vertical="center" wrapText="1" readingOrder="1"/>
    </xf>
    <xf numFmtId="0" fontId="34" fillId="0" borderId="7" xfId="0" applyFont="1" applyBorder="1">
      <alignment wrapText="1"/>
    </xf>
    <xf numFmtId="0" fontId="0" fillId="0" borderId="7" xfId="0" applyBorder="1">
      <alignment wrapText="1"/>
    </xf>
    <xf numFmtId="0" fontId="35" fillId="0" borderId="7" xfId="0" applyFont="1" applyBorder="1">
      <alignment wrapText="1"/>
    </xf>
    <xf numFmtId="167" fontId="4" fillId="0" borderId="7" xfId="0" applyNumberFormat="1" applyFont="1" applyBorder="1" applyAlignment="1">
      <alignment horizontal="right" vertical="center" wrapText="1" readingOrder="1"/>
    </xf>
    <xf numFmtId="165" fontId="4" fillId="0" borderId="7" xfId="0" applyNumberFormat="1" applyFont="1" applyBorder="1" applyAlignment="1">
      <alignment horizontal="right" vertical="center" wrapText="1" readingOrder="1"/>
    </xf>
    <xf numFmtId="164" fontId="4" fillId="0" borderId="7" xfId="0" applyNumberFormat="1" applyFont="1" applyBorder="1" applyAlignment="1">
      <alignment horizontal="right" vertical="center" wrapText="1" readingOrder="1"/>
    </xf>
    <xf numFmtId="0" fontId="0" fillId="0" borderId="0" xfId="0" applyAlignment="1">
      <alignment horizontal="center" vertical="center"/>
    </xf>
    <xf numFmtId="0" fontId="36" fillId="0" borderId="14" xfId="0" applyFont="1" applyBorder="1" applyAlignment="1">
      <alignment horizontal="center" vertical="center" wrapText="1"/>
    </xf>
    <xf numFmtId="0" fontId="37" fillId="0" borderId="14" xfId="0" applyFont="1" applyBorder="1" applyAlignment="1">
      <alignment horizontal="center" vertical="center" wrapText="1"/>
    </xf>
    <xf numFmtId="0" fontId="18" fillId="0" borderId="7" xfId="0" applyFont="1" applyBorder="1" applyAlignment="1">
      <alignment horizontal="left" vertical="center" wrapText="1" readingOrder="1"/>
    </xf>
    <xf numFmtId="0" fontId="18" fillId="0" borderId="8" xfId="0" applyFont="1" applyBorder="1" applyAlignment="1">
      <alignment horizontal="left" vertical="center" wrapText="1" readingOrder="1"/>
    </xf>
    <xf numFmtId="0" fontId="18" fillId="0" borderId="10" xfId="0" applyFont="1" applyBorder="1" applyAlignment="1">
      <alignment horizontal="left" vertical="center" wrapText="1" readingOrder="1"/>
    </xf>
    <xf numFmtId="0" fontId="18" fillId="0" borderId="9" xfId="0" applyFont="1" applyBorder="1" applyAlignment="1">
      <alignment horizontal="left" vertical="center" wrapText="1" readingOrder="1"/>
    </xf>
    <xf numFmtId="0" fontId="17" fillId="0" borderId="7" xfId="0" applyFont="1" applyBorder="1" applyAlignment="1">
      <alignment horizontal="center" vertical="center" wrapText="1" readingOrder="1"/>
    </xf>
    <xf numFmtId="0" fontId="18" fillId="0" borderId="0" xfId="0" applyFont="1" applyAlignment="1">
      <alignment horizontal="left" vertical="center" wrapText="1" readingOrder="1"/>
    </xf>
    <xf numFmtId="0" fontId="18" fillId="0" borderId="1" xfId="0" applyFont="1" applyBorder="1" applyAlignment="1">
      <alignment horizontal="left" vertical="center" wrapText="1" readingOrder="1"/>
    </xf>
    <xf numFmtId="0" fontId="18" fillId="0" borderId="3" xfId="0" applyFont="1" applyBorder="1" applyAlignment="1">
      <alignment horizontal="left" vertical="center" wrapText="1" readingOrder="1"/>
    </xf>
    <xf numFmtId="0" fontId="24"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18" fillId="0" borderId="11" xfId="0" applyFont="1" applyBorder="1" applyAlignment="1">
      <alignment horizontal="left" vertical="center" wrapText="1" readingOrder="1"/>
    </xf>
    <xf numFmtId="0" fontId="18" fillId="0" borderId="0" xfId="0" quotePrefix="1" applyFont="1" applyAlignment="1">
      <alignment horizontal="left" vertical="center" wrapText="1" readingOrder="1"/>
    </xf>
    <xf numFmtId="0" fontId="24" fillId="0" borderId="8" xfId="0" applyFont="1" applyBorder="1" applyAlignment="1">
      <alignment horizontal="center" vertical="center" wrapText="1" readingOrder="1"/>
    </xf>
    <xf numFmtId="0" fontId="24" fillId="0" borderId="10" xfId="0" applyFont="1" applyBorder="1" applyAlignment="1">
      <alignment horizontal="center" vertical="center" wrapText="1" readingOrder="1"/>
    </xf>
    <xf numFmtId="0" fontId="29" fillId="0" borderId="12" xfId="2" applyFont="1" applyBorder="1" applyAlignment="1">
      <alignment horizontal="center" vertical="center" wrapText="1"/>
    </xf>
    <xf numFmtId="0" fontId="29" fillId="0" borderId="13" xfId="2" applyFont="1" applyBorder="1" applyAlignment="1">
      <alignment horizontal="center" vertical="center" wrapText="1"/>
    </xf>
    <xf numFmtId="0" fontId="29" fillId="0" borderId="7" xfId="2" applyFont="1" applyBorder="1" applyAlignment="1">
      <alignment horizontal="center" vertical="center"/>
    </xf>
    <xf numFmtId="0" fontId="29" fillId="0" borderId="7" xfId="2" applyFont="1" applyBorder="1" applyAlignment="1">
      <alignment horizontal="center" vertical="center" wrapText="1"/>
    </xf>
    <xf numFmtId="43" fontId="30" fillId="0" borderId="7" xfId="6" applyFont="1" applyFill="1" applyBorder="1" applyAlignment="1">
      <alignment horizontal="center"/>
    </xf>
    <xf numFmtId="0" fontId="30" fillId="0" borderId="7" xfId="2" applyFont="1" applyBorder="1" applyAlignment="1">
      <alignment horizontal="center"/>
    </xf>
    <xf numFmtId="0" fontId="29" fillId="0" borderId="7" xfId="2" applyFont="1" applyBorder="1" applyAlignment="1">
      <alignment horizontal="center"/>
    </xf>
    <xf numFmtId="0" fontId="29" fillId="0" borderId="7" xfId="2" applyFont="1" applyBorder="1" applyAlignment="1">
      <alignment horizontal="center" wrapText="1"/>
    </xf>
    <xf numFmtId="0" fontId="30" fillId="0" borderId="0" xfId="2" applyFont="1" applyAlignment="1">
      <alignment horizontal="left" vertical="center" wrapText="1"/>
    </xf>
    <xf numFmtId="0" fontId="18" fillId="0" borderId="0" xfId="0" applyFont="1" applyAlignment="1">
      <alignment horizontal="justify" vertical="top" wrapText="1" readingOrder="1"/>
    </xf>
    <xf numFmtId="43" fontId="30" fillId="0" borderId="8" xfId="6" applyFont="1" applyFill="1" applyBorder="1" applyAlignment="1">
      <alignment horizontal="center"/>
    </xf>
    <xf numFmtId="43" fontId="30" fillId="0" borderId="9" xfId="6" applyFont="1" applyFill="1" applyBorder="1" applyAlignment="1">
      <alignment horizontal="center"/>
    </xf>
    <xf numFmtId="43" fontId="30" fillId="0" borderId="10" xfId="6" applyFont="1" applyFill="1" applyBorder="1" applyAlignment="1">
      <alignment horizontal="center"/>
    </xf>
    <xf numFmtId="0" fontId="32" fillId="0" borderId="0" xfId="0" applyFont="1" applyAlignment="1">
      <alignment horizontal="left" vertical="top" readingOrder="1"/>
    </xf>
    <xf numFmtId="0" fontId="29" fillId="0" borderId="8" xfId="2" applyFont="1" applyBorder="1" applyAlignment="1">
      <alignment horizontal="center" wrapText="1"/>
    </xf>
    <xf numFmtId="0" fontId="29" fillId="0" borderId="9" xfId="2" applyFont="1" applyBorder="1" applyAlignment="1">
      <alignment horizontal="center" wrapText="1"/>
    </xf>
    <xf numFmtId="0" fontId="29" fillId="0" borderId="10" xfId="2" applyFont="1" applyBorder="1" applyAlignment="1">
      <alignment horizontal="center" wrapText="1"/>
    </xf>
    <xf numFmtId="0" fontId="29" fillId="0" borderId="8" xfId="2" applyFont="1" applyBorder="1" applyAlignment="1">
      <alignment horizontal="center"/>
    </xf>
    <xf numFmtId="0" fontId="29" fillId="0" borderId="10" xfId="2" applyFont="1" applyBorder="1" applyAlignment="1">
      <alignment horizontal="center"/>
    </xf>
    <xf numFmtId="0" fontId="28" fillId="0" borderId="8" xfId="9" applyFont="1" applyBorder="1" applyAlignment="1">
      <alignment horizontal="left" vertical="center" wrapText="1"/>
    </xf>
    <xf numFmtId="0" fontId="28" fillId="0" borderId="9" xfId="9" applyFont="1" applyBorder="1" applyAlignment="1">
      <alignment horizontal="left" vertical="center" wrapText="1"/>
    </xf>
    <xf numFmtId="0" fontId="28" fillId="0" borderId="10" xfId="9" applyFont="1" applyBorder="1" applyAlignment="1">
      <alignment horizontal="left" vertical="center" wrapText="1"/>
    </xf>
    <xf numFmtId="43" fontId="28" fillId="0" borderId="8" xfId="6" applyFont="1" applyFill="1" applyBorder="1" applyAlignment="1">
      <alignment horizontal="center" vertical="center"/>
    </xf>
    <xf numFmtId="43" fontId="28" fillId="0" borderId="10" xfId="6" applyFont="1" applyFill="1" applyBorder="1" applyAlignment="1">
      <alignment horizontal="center" vertical="center"/>
    </xf>
    <xf numFmtId="0" fontId="27" fillId="0" borderId="8" xfId="9" applyFont="1" applyBorder="1" applyAlignment="1">
      <alignment horizontal="center" vertical="center"/>
    </xf>
    <xf numFmtId="0" fontId="27" fillId="0" borderId="9" xfId="9" applyFont="1" applyBorder="1" applyAlignment="1">
      <alignment horizontal="center" vertical="center"/>
    </xf>
    <xf numFmtId="0" fontId="27" fillId="0" borderId="10" xfId="9" applyFont="1" applyBorder="1" applyAlignment="1">
      <alignment horizontal="center" vertical="center"/>
    </xf>
    <xf numFmtId="0" fontId="27" fillId="0" borderId="7" xfId="9" applyFont="1" applyBorder="1" applyAlignment="1">
      <alignment horizontal="center" vertical="center"/>
    </xf>
    <xf numFmtId="0" fontId="25" fillId="0" borderId="8" xfId="0" applyFont="1" applyBorder="1" applyAlignment="1">
      <alignment horizontal="left" vertical="center" readingOrder="1"/>
    </xf>
    <xf numFmtId="0" fontId="25" fillId="0" borderId="9" xfId="0" applyFont="1" applyBorder="1" applyAlignment="1">
      <alignment horizontal="left" vertical="center" readingOrder="1"/>
    </xf>
    <xf numFmtId="0" fontId="25" fillId="0" borderId="10" xfId="0" applyFont="1" applyBorder="1" applyAlignment="1">
      <alignment horizontal="left" vertical="center" readingOrder="1"/>
    </xf>
    <xf numFmtId="0" fontId="27" fillId="0" borderId="8" xfId="9" applyFont="1" applyBorder="1" applyAlignment="1">
      <alignment horizontal="center" vertical="center" wrapText="1"/>
    </xf>
    <xf numFmtId="0" fontId="27" fillId="0" borderId="10" xfId="9" applyFont="1" applyBorder="1" applyAlignment="1">
      <alignment horizontal="center" vertical="center" wrapText="1"/>
    </xf>
    <xf numFmtId="0" fontId="32" fillId="0" borderId="7" xfId="0" applyFont="1" applyBorder="1" applyAlignment="1">
      <alignment horizontal="left" vertical="top" readingOrder="1"/>
    </xf>
  </cellXfs>
  <cellStyles count="11">
    <cellStyle name="Comma" xfId="1" builtinId="3"/>
    <cellStyle name="Comma 2" xfId="6" xr:uid="{C7CA9667-29DC-4393-BD3A-15B4B4CD9502}"/>
    <cellStyle name="Hyperlink 2" xfId="4" xr:uid="{7F58BB90-050F-4442-9BBF-3AE3B927576F}"/>
    <cellStyle name="Normal" xfId="0" builtinId="0"/>
    <cellStyle name="Normal 2 2 2" xfId="2" xr:uid="{43775E36-C64F-4F6A-AD99-6F6824AEFE3D}"/>
    <cellStyle name="Normal 2 2 3" xfId="9" xr:uid="{A0418FA1-F62F-4D4F-A7DB-7940BC1C5626}"/>
    <cellStyle name="Normal 2 3" xfId="3" xr:uid="{7B920059-53D5-432C-965E-D8E047D933E3}"/>
    <cellStyle name="Normal 3" xfId="5" xr:uid="{529331D8-60FF-4D0D-98BF-9EF0A98438A7}"/>
    <cellStyle name="Normal 4" xfId="10" xr:uid="{7A0D8300-0AE7-4F04-8484-85454E0065D9}"/>
    <cellStyle name="Percent 2" xfId="7" xr:uid="{C596348F-0EC8-4726-BF94-99B8344E7931}"/>
    <cellStyle name="Percent 3" xfId="8" xr:uid="{DDA43F74-0E1F-4A7A-B188-E5B17A1F6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149</xdr:row>
      <xdr:rowOff>0</xdr:rowOff>
    </xdr:from>
    <xdr:to>
      <xdr:col>2</xdr:col>
      <xdr:colOff>1770822</xdr:colOff>
      <xdr:row>150</xdr:row>
      <xdr:rowOff>27375</xdr:rowOff>
    </xdr:to>
    <xdr:pic>
      <xdr:nvPicPr>
        <xdr:cNvPr id="5" name="Picture 4">
          <a:extLst>
            <a:ext uri="{FF2B5EF4-FFF2-40B4-BE49-F238E27FC236}">
              <a16:creationId xmlns:a16="http://schemas.microsoft.com/office/drawing/2014/main" id="{3747CEA2-1394-4D00-A6AF-BFE2FD4AF5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301085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85726</xdr:rowOff>
    </xdr:from>
    <xdr:to>
      <xdr:col>2</xdr:col>
      <xdr:colOff>2034089</xdr:colOff>
      <xdr:row>154</xdr:row>
      <xdr:rowOff>2065726</xdr:rowOff>
    </xdr:to>
    <xdr:pic>
      <xdr:nvPicPr>
        <xdr:cNvPr id="6" name="Picture 5">
          <a:extLst>
            <a:ext uri="{FF2B5EF4-FFF2-40B4-BE49-F238E27FC236}">
              <a16:creationId xmlns:a16="http://schemas.microsoft.com/office/drawing/2014/main" id="{9D2CF7AB-DD08-4BE0-B0DE-0CECBA1D0F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79457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154</xdr:row>
      <xdr:rowOff>76201</xdr:rowOff>
    </xdr:from>
    <xdr:to>
      <xdr:col>7</xdr:col>
      <xdr:colOff>424364</xdr:colOff>
      <xdr:row>154</xdr:row>
      <xdr:rowOff>2056201</xdr:rowOff>
    </xdr:to>
    <xdr:pic>
      <xdr:nvPicPr>
        <xdr:cNvPr id="7" name="Picture 6">
          <a:extLst>
            <a:ext uri="{FF2B5EF4-FFF2-40B4-BE49-F238E27FC236}">
              <a16:creationId xmlns:a16="http://schemas.microsoft.com/office/drawing/2014/main" id="{1BB2AB3D-7B16-4054-8B2F-FBFB537DC5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7850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1627948</xdr:colOff>
      <xdr:row>136</xdr:row>
      <xdr:rowOff>27375</xdr:rowOff>
    </xdr:to>
    <xdr:pic>
      <xdr:nvPicPr>
        <xdr:cNvPr id="5" name="Picture 4">
          <a:extLst>
            <a:ext uri="{FF2B5EF4-FFF2-40B4-BE49-F238E27FC236}">
              <a16:creationId xmlns:a16="http://schemas.microsoft.com/office/drawing/2014/main" id="{95BE7E28-05D8-4FB6-95F6-EC111E5BD7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8989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1910264</xdr:colOff>
      <xdr:row>140</xdr:row>
      <xdr:rowOff>1980000</xdr:rowOff>
    </xdr:to>
    <xdr:pic>
      <xdr:nvPicPr>
        <xdr:cNvPr id="6" name="Picture 5">
          <a:extLst>
            <a:ext uri="{FF2B5EF4-FFF2-40B4-BE49-F238E27FC236}">
              <a16:creationId xmlns:a16="http://schemas.microsoft.com/office/drawing/2014/main" id="{AF4D86F4-EC2D-4E16-8133-027D784B959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499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140</xdr:row>
      <xdr:rowOff>0</xdr:rowOff>
    </xdr:from>
    <xdr:to>
      <xdr:col>7</xdr:col>
      <xdr:colOff>271964</xdr:colOff>
      <xdr:row>140</xdr:row>
      <xdr:rowOff>1980000</xdr:rowOff>
    </xdr:to>
    <xdr:pic>
      <xdr:nvPicPr>
        <xdr:cNvPr id="7" name="Picture 6">
          <a:extLst>
            <a:ext uri="{FF2B5EF4-FFF2-40B4-BE49-F238E27FC236}">
              <a16:creationId xmlns:a16="http://schemas.microsoft.com/office/drawing/2014/main" id="{5FDFB7C0-7387-41B6-8364-8CBD5B470C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6250" y="32499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2034089</xdr:colOff>
      <xdr:row>156</xdr:row>
      <xdr:rowOff>1980000</xdr:rowOff>
    </xdr:to>
    <xdr:pic>
      <xdr:nvPicPr>
        <xdr:cNvPr id="6" name="Picture 5">
          <a:extLst>
            <a:ext uri="{FF2B5EF4-FFF2-40B4-BE49-F238E27FC236}">
              <a16:creationId xmlns:a16="http://schemas.microsoft.com/office/drawing/2014/main" id="{964D6AFC-2D9A-4A22-A583-C636758955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765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156</xdr:row>
      <xdr:rowOff>0</xdr:rowOff>
    </xdr:from>
    <xdr:to>
      <xdr:col>7</xdr:col>
      <xdr:colOff>481514</xdr:colOff>
      <xdr:row>156</xdr:row>
      <xdr:rowOff>1980000</xdr:rowOff>
    </xdr:to>
    <xdr:pic>
      <xdr:nvPicPr>
        <xdr:cNvPr id="7" name="Picture 6">
          <a:extLst>
            <a:ext uri="{FF2B5EF4-FFF2-40B4-BE49-F238E27FC236}">
              <a16:creationId xmlns:a16="http://schemas.microsoft.com/office/drawing/2014/main" id="{FEFF2CC9-DF12-4413-9F66-1C5A19F5A29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30765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2</xdr:col>
      <xdr:colOff>1751773</xdr:colOff>
      <xdr:row>152</xdr:row>
      <xdr:rowOff>27375</xdr:rowOff>
    </xdr:to>
    <xdr:pic>
      <xdr:nvPicPr>
        <xdr:cNvPr id="2" name="Picture 1">
          <a:extLst>
            <a:ext uri="{FF2B5EF4-FFF2-40B4-BE49-F238E27FC236}">
              <a16:creationId xmlns:a16="http://schemas.microsoft.com/office/drawing/2014/main" id="{9616C329-E5B1-49DC-BAAE-58AADCB8274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81654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178</xdr:row>
      <xdr:rowOff>0</xdr:rowOff>
    </xdr:from>
    <xdr:to>
      <xdr:col>2</xdr:col>
      <xdr:colOff>1751773</xdr:colOff>
      <xdr:row>179</xdr:row>
      <xdr:rowOff>27375</xdr:rowOff>
    </xdr:to>
    <xdr:pic>
      <xdr:nvPicPr>
        <xdr:cNvPr id="5" name="Picture 4">
          <a:extLst>
            <a:ext uri="{FF2B5EF4-FFF2-40B4-BE49-F238E27FC236}">
              <a16:creationId xmlns:a16="http://schemas.microsoft.com/office/drawing/2014/main" id="{4BDD131A-B8B8-475A-BEEE-131C875EC7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1379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xdr:row>
      <xdr:rowOff>0</xdr:rowOff>
    </xdr:from>
    <xdr:to>
      <xdr:col>2</xdr:col>
      <xdr:colOff>2034089</xdr:colOff>
      <xdr:row>183</xdr:row>
      <xdr:rowOff>1980000</xdr:rowOff>
    </xdr:to>
    <xdr:pic>
      <xdr:nvPicPr>
        <xdr:cNvPr id="6" name="Picture 5">
          <a:extLst>
            <a:ext uri="{FF2B5EF4-FFF2-40B4-BE49-F238E27FC236}">
              <a16:creationId xmlns:a16="http://schemas.microsoft.com/office/drawing/2014/main" id="{773E6B93-B6D9-42AF-BED4-27600F0CAD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738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183</xdr:row>
      <xdr:rowOff>0</xdr:rowOff>
    </xdr:from>
    <xdr:to>
      <xdr:col>6</xdr:col>
      <xdr:colOff>862514</xdr:colOff>
      <xdr:row>183</xdr:row>
      <xdr:rowOff>1980000</xdr:rowOff>
    </xdr:to>
    <xdr:pic>
      <xdr:nvPicPr>
        <xdr:cNvPr id="7" name="Picture 6">
          <a:extLst>
            <a:ext uri="{FF2B5EF4-FFF2-40B4-BE49-F238E27FC236}">
              <a16:creationId xmlns:a16="http://schemas.microsoft.com/office/drawing/2014/main" id="{612CA2B3-402C-4C7B-9611-821C694BDC1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9738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2034089</xdr:colOff>
      <xdr:row>204</xdr:row>
      <xdr:rowOff>27375</xdr:rowOff>
    </xdr:to>
    <xdr:pic>
      <xdr:nvPicPr>
        <xdr:cNvPr id="5" name="Picture 4">
          <a:extLst>
            <a:ext uri="{FF2B5EF4-FFF2-40B4-BE49-F238E27FC236}">
              <a16:creationId xmlns:a16="http://schemas.microsoft.com/office/drawing/2014/main" id="{767740C9-D6F1-48C3-972B-B62919AE63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528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208</xdr:row>
      <xdr:rowOff>0</xdr:rowOff>
    </xdr:from>
    <xdr:to>
      <xdr:col>2</xdr:col>
      <xdr:colOff>2034089</xdr:colOff>
      <xdr:row>208</xdr:row>
      <xdr:rowOff>1980000</xdr:rowOff>
    </xdr:to>
    <xdr:pic>
      <xdr:nvPicPr>
        <xdr:cNvPr id="6" name="Picture 5">
          <a:extLst>
            <a:ext uri="{FF2B5EF4-FFF2-40B4-BE49-F238E27FC236}">
              <a16:creationId xmlns:a16="http://schemas.microsoft.com/office/drawing/2014/main" id="{DECBDC1D-D7D9-4606-AFCB-9E430B6E03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1290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208</xdr:row>
      <xdr:rowOff>0</xdr:rowOff>
    </xdr:from>
    <xdr:to>
      <xdr:col>7</xdr:col>
      <xdr:colOff>214814</xdr:colOff>
      <xdr:row>208</xdr:row>
      <xdr:rowOff>1980000</xdr:rowOff>
    </xdr:to>
    <xdr:pic>
      <xdr:nvPicPr>
        <xdr:cNvPr id="7" name="Picture 6">
          <a:extLst>
            <a:ext uri="{FF2B5EF4-FFF2-40B4-BE49-F238E27FC236}">
              <a16:creationId xmlns:a16="http://schemas.microsoft.com/office/drawing/2014/main" id="{6CCBD6BD-F0B0-46A3-A0F9-CC692262EC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1290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1646998</xdr:colOff>
      <xdr:row>174</xdr:row>
      <xdr:rowOff>27375</xdr:rowOff>
    </xdr:to>
    <xdr:pic>
      <xdr:nvPicPr>
        <xdr:cNvPr id="5" name="Picture 4">
          <a:extLst>
            <a:ext uri="{FF2B5EF4-FFF2-40B4-BE49-F238E27FC236}">
              <a16:creationId xmlns:a16="http://schemas.microsoft.com/office/drawing/2014/main" id="{649E65EC-5E22-4DFB-BA21-D557057D70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4234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178</xdr:row>
      <xdr:rowOff>0</xdr:rowOff>
    </xdr:from>
    <xdr:to>
      <xdr:col>2</xdr:col>
      <xdr:colOff>1929314</xdr:colOff>
      <xdr:row>178</xdr:row>
      <xdr:rowOff>1980000</xdr:rowOff>
    </xdr:to>
    <xdr:pic>
      <xdr:nvPicPr>
        <xdr:cNvPr id="6" name="Picture 5">
          <a:extLst>
            <a:ext uri="{FF2B5EF4-FFF2-40B4-BE49-F238E27FC236}">
              <a16:creationId xmlns:a16="http://schemas.microsoft.com/office/drawing/2014/main" id="{C346C854-5A89-465D-89C9-AA572CF891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023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2505075</xdr:colOff>
      <xdr:row>178</xdr:row>
      <xdr:rowOff>0</xdr:rowOff>
    </xdr:from>
    <xdr:to>
      <xdr:col>6</xdr:col>
      <xdr:colOff>700589</xdr:colOff>
      <xdr:row>178</xdr:row>
      <xdr:rowOff>1980000</xdr:rowOff>
    </xdr:to>
    <xdr:pic>
      <xdr:nvPicPr>
        <xdr:cNvPr id="7" name="Picture 6">
          <a:extLst>
            <a:ext uri="{FF2B5EF4-FFF2-40B4-BE49-F238E27FC236}">
              <a16:creationId xmlns:a16="http://schemas.microsoft.com/office/drawing/2014/main" id="{361C801B-ADAC-4D93-8182-4D8CF07255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023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2034089</xdr:colOff>
      <xdr:row>192</xdr:row>
      <xdr:rowOff>1656150</xdr:rowOff>
    </xdr:to>
    <xdr:pic>
      <xdr:nvPicPr>
        <xdr:cNvPr id="5" name="Picture 4">
          <a:extLst>
            <a:ext uri="{FF2B5EF4-FFF2-40B4-BE49-F238E27FC236}">
              <a16:creationId xmlns:a16="http://schemas.microsoft.com/office/drawing/2014/main" id="{453642AC-F83A-4829-B880-621A9149BF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642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195</xdr:row>
      <xdr:rowOff>0</xdr:rowOff>
    </xdr:from>
    <xdr:to>
      <xdr:col>2</xdr:col>
      <xdr:colOff>2034089</xdr:colOff>
      <xdr:row>197</xdr:row>
      <xdr:rowOff>1656150</xdr:rowOff>
    </xdr:to>
    <xdr:pic>
      <xdr:nvPicPr>
        <xdr:cNvPr id="6" name="Picture 5">
          <a:extLst>
            <a:ext uri="{FF2B5EF4-FFF2-40B4-BE49-F238E27FC236}">
              <a16:creationId xmlns:a16="http://schemas.microsoft.com/office/drawing/2014/main" id="{3B222BAD-E76D-45E7-9A79-908A112B3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2428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2609850</xdr:colOff>
      <xdr:row>195</xdr:row>
      <xdr:rowOff>0</xdr:rowOff>
    </xdr:from>
    <xdr:to>
      <xdr:col>6</xdr:col>
      <xdr:colOff>195764</xdr:colOff>
      <xdr:row>197</xdr:row>
      <xdr:rowOff>1656150</xdr:rowOff>
    </xdr:to>
    <xdr:pic>
      <xdr:nvPicPr>
        <xdr:cNvPr id="7" name="Picture 6">
          <a:extLst>
            <a:ext uri="{FF2B5EF4-FFF2-40B4-BE49-F238E27FC236}">
              <a16:creationId xmlns:a16="http://schemas.microsoft.com/office/drawing/2014/main" id="{417799C2-0D11-40C5-BA44-3419B96363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2428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1608898</xdr:colOff>
      <xdr:row>136</xdr:row>
      <xdr:rowOff>27375</xdr:rowOff>
    </xdr:to>
    <xdr:pic>
      <xdr:nvPicPr>
        <xdr:cNvPr id="8" name="Picture 7">
          <a:extLst>
            <a:ext uri="{FF2B5EF4-FFF2-40B4-BE49-F238E27FC236}">
              <a16:creationId xmlns:a16="http://schemas.microsoft.com/office/drawing/2014/main" id="{44361D57-E0F7-4F1D-AA3B-7B666913EC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1176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140</xdr:row>
      <xdr:rowOff>38101</xdr:rowOff>
    </xdr:from>
    <xdr:to>
      <xdr:col>2</xdr:col>
      <xdr:colOff>1900740</xdr:colOff>
      <xdr:row>140</xdr:row>
      <xdr:rowOff>2018101</xdr:rowOff>
    </xdr:to>
    <xdr:pic>
      <xdr:nvPicPr>
        <xdr:cNvPr id="9" name="Picture 8">
          <a:extLst>
            <a:ext uri="{FF2B5EF4-FFF2-40B4-BE49-F238E27FC236}">
              <a16:creationId xmlns:a16="http://schemas.microsoft.com/office/drawing/2014/main" id="{9CD1D2F5-7F33-4129-8D4A-8F6CC15BD2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975610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2657475</xdr:colOff>
      <xdr:row>140</xdr:row>
      <xdr:rowOff>19050</xdr:rowOff>
    </xdr:from>
    <xdr:to>
      <xdr:col>7</xdr:col>
      <xdr:colOff>176714</xdr:colOff>
      <xdr:row>140</xdr:row>
      <xdr:rowOff>1999050</xdr:rowOff>
    </xdr:to>
    <xdr:pic>
      <xdr:nvPicPr>
        <xdr:cNvPr id="10" name="Picture 9">
          <a:extLst>
            <a:ext uri="{FF2B5EF4-FFF2-40B4-BE49-F238E27FC236}">
              <a16:creationId xmlns:a16="http://schemas.microsoft.com/office/drawing/2014/main" id="{EC1FCB07-9D15-4FDF-849A-33E0F1C3FA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43425" y="29737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1690105</xdr:colOff>
      <xdr:row>161</xdr:row>
      <xdr:rowOff>27375</xdr:rowOff>
    </xdr:to>
    <xdr:pic>
      <xdr:nvPicPr>
        <xdr:cNvPr id="4" name="Picture 3">
          <a:extLst>
            <a:ext uri="{FF2B5EF4-FFF2-40B4-BE49-F238E27FC236}">
              <a16:creationId xmlns:a16="http://schemas.microsoft.com/office/drawing/2014/main" id="{07C78818-540A-478C-AFA0-7FD2CFB3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7087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1690105</xdr:colOff>
      <xdr:row>165</xdr:row>
      <xdr:rowOff>1980000</xdr:rowOff>
    </xdr:to>
    <xdr:pic>
      <xdr:nvPicPr>
        <xdr:cNvPr id="5" name="Picture 4">
          <a:extLst>
            <a:ext uri="{FF2B5EF4-FFF2-40B4-BE49-F238E27FC236}">
              <a16:creationId xmlns:a16="http://schemas.microsoft.com/office/drawing/2014/main" id="{78DBE1E3-1B54-46BB-A188-1344A0F28B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30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1891214</xdr:colOff>
      <xdr:row>109</xdr:row>
      <xdr:rowOff>27375</xdr:rowOff>
    </xdr:to>
    <xdr:pic>
      <xdr:nvPicPr>
        <xdr:cNvPr id="5" name="Picture 4">
          <a:extLst>
            <a:ext uri="{FF2B5EF4-FFF2-40B4-BE49-F238E27FC236}">
              <a16:creationId xmlns:a16="http://schemas.microsoft.com/office/drawing/2014/main" id="{4D16C32E-BC33-40C3-9D35-586BC52EAF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87642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2</xdr:col>
      <xdr:colOff>1891214</xdr:colOff>
      <xdr:row>113</xdr:row>
      <xdr:rowOff>1980000</xdr:rowOff>
    </xdr:to>
    <xdr:pic>
      <xdr:nvPicPr>
        <xdr:cNvPr id="6" name="Picture 5">
          <a:extLst>
            <a:ext uri="{FF2B5EF4-FFF2-40B4-BE49-F238E27FC236}">
              <a16:creationId xmlns:a16="http://schemas.microsoft.com/office/drawing/2014/main" id="{330699CE-64F1-48C7-888C-E8EF02E43E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1364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113</xdr:row>
      <xdr:rowOff>0</xdr:rowOff>
    </xdr:from>
    <xdr:to>
      <xdr:col>7</xdr:col>
      <xdr:colOff>14789</xdr:colOff>
      <xdr:row>113</xdr:row>
      <xdr:rowOff>1980000</xdr:rowOff>
    </xdr:to>
    <xdr:pic>
      <xdr:nvPicPr>
        <xdr:cNvPr id="7" name="Picture 6">
          <a:extLst>
            <a:ext uri="{FF2B5EF4-FFF2-40B4-BE49-F238E27FC236}">
              <a16:creationId xmlns:a16="http://schemas.microsoft.com/office/drawing/2014/main" id="{3B3D9232-0CD0-430F-A833-99E62D3A75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71975" y="213645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71939-A113-43A2-90DB-1E11BD8B0984}">
  <dimension ref="A1:C11"/>
  <sheetViews>
    <sheetView workbookViewId="0"/>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562</v>
      </c>
      <c r="B1" s="2" t="s">
        <v>563</v>
      </c>
      <c r="C1" s="2" t="s">
        <v>564</v>
      </c>
    </row>
    <row r="2" spans="1:3" x14ac:dyDescent="0.25">
      <c r="A2" s="4">
        <v>1</v>
      </c>
      <c r="B2" s="5" t="s">
        <v>565</v>
      </c>
      <c r="C2" s="6" t="s">
        <v>1</v>
      </c>
    </row>
    <row r="3" spans="1:3" x14ac:dyDescent="0.25">
      <c r="A3" s="4">
        <v>2</v>
      </c>
      <c r="B3" s="5" t="s">
        <v>566</v>
      </c>
      <c r="C3" s="6" t="s">
        <v>120</v>
      </c>
    </row>
    <row r="4" spans="1:3" x14ac:dyDescent="0.25">
      <c r="A4" s="4">
        <v>3</v>
      </c>
      <c r="B4" s="5" t="s">
        <v>567</v>
      </c>
      <c r="C4" s="6" t="s">
        <v>143</v>
      </c>
    </row>
    <row r="5" spans="1:3" x14ac:dyDescent="0.25">
      <c r="A5" s="4">
        <v>4</v>
      </c>
      <c r="B5" s="5" t="s">
        <v>568</v>
      </c>
      <c r="C5" s="6" t="s">
        <v>219</v>
      </c>
    </row>
    <row r="6" spans="1:3" x14ac:dyDescent="0.25">
      <c r="A6" s="4">
        <v>5</v>
      </c>
      <c r="B6" s="5" t="s">
        <v>569</v>
      </c>
      <c r="C6" s="6" t="s">
        <v>271</v>
      </c>
    </row>
    <row r="7" spans="1:3" x14ac:dyDescent="0.25">
      <c r="A7" s="4">
        <v>6</v>
      </c>
      <c r="B7" s="5" t="s">
        <v>570</v>
      </c>
      <c r="C7" s="6" t="s">
        <v>429</v>
      </c>
    </row>
    <row r="8" spans="1:3" x14ac:dyDescent="0.25">
      <c r="A8" s="4">
        <v>7</v>
      </c>
      <c r="B8" s="5" t="s">
        <v>571</v>
      </c>
      <c r="C8" s="6" t="s">
        <v>445</v>
      </c>
    </row>
    <row r="9" spans="1:3" x14ac:dyDescent="0.25">
      <c r="A9" s="4">
        <v>8</v>
      </c>
      <c r="B9" s="5" t="s">
        <v>572</v>
      </c>
      <c r="C9" s="6" t="s">
        <v>490</v>
      </c>
    </row>
    <row r="10" spans="1:3" x14ac:dyDescent="0.25">
      <c r="A10" s="4">
        <v>9</v>
      </c>
      <c r="B10" s="5" t="s">
        <v>573</v>
      </c>
      <c r="C10" s="6" t="s">
        <v>494</v>
      </c>
    </row>
    <row r="11" spans="1:3" x14ac:dyDescent="0.25">
      <c r="A11" s="4">
        <v>10</v>
      </c>
      <c r="B11" s="5" t="s">
        <v>574</v>
      </c>
      <c r="C11" s="6" t="s">
        <v>561</v>
      </c>
    </row>
  </sheetData>
  <hyperlinks>
    <hyperlink ref="B3" location="SFRSTP!A1" display="SFRSTP" xr:uid="{5CA8EEA3-BF1D-403E-B130-8E830E5B961C}"/>
    <hyperlink ref="B4" location="SMMF!A1" display="SMMF" xr:uid="{32F6B4C7-AEA7-4D34-B771-10438BF68890}"/>
    <hyperlink ref="B5" location="SPLDF!A1" display="SPLDF" xr:uid="{730FBB7F-5DD4-4571-A24C-B2A19B58E3E5}"/>
    <hyperlink ref="B6" location="SPMON!A1" display="SPMON" xr:uid="{ABFEA148-12F3-482B-A5E3-C043259DC793}"/>
    <hyperlink ref="B7" location="SPSDF!A1" display="SPSDF" xr:uid="{77600B36-C8D0-46D1-ADB0-7CB49467D7C5}"/>
    <hyperlink ref="B8" location="SPUSDF!A1" display="SPUSDF" xr:uid="{481B8E7D-0ADE-4D1C-A3B7-23F2F1D25876}"/>
    <hyperlink ref="B9" location="SUNBDS!A1" display="SUNBDS" xr:uid="{39EF4F71-7EBF-480E-B5C0-96EB60DBC798}"/>
    <hyperlink ref="B10" location="SUNMIA!A1" display="SUNMIA" xr:uid="{1BAEC9DA-8ADD-4A6A-A241-87CB79A5BFEF}"/>
    <hyperlink ref="B11" location="SUNONF!A1" display="SUNONF" xr:uid="{CDDE21A5-29A9-4FB1-9BDE-3C9F01736EAF}"/>
    <hyperlink ref="B2" location="SFRLTP!A1" display="SFRLTP" xr:uid="{5550323A-29DC-4AF0-9A02-4A622F6BAB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0FBA-3C18-4949-8155-486C46F5542E}">
  <sheetPr>
    <outlinePr summaryBelow="0" summaryRight="0"/>
  </sheetPr>
  <dimension ref="A1:Q155"/>
  <sheetViews>
    <sheetView showGridLines="0" tabSelected="1"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1.28515625" bestFit="1" customWidth="1"/>
    <col min="5" max="5" width="9.42578125" bestFit="1" customWidth="1"/>
    <col min="6" max="6" width="10.140625" bestFit="1" customWidth="1"/>
    <col min="7" max="7" width="14" bestFit="1" customWidth="1"/>
    <col min="8" max="8" width="9.85546875" bestFit="1" customWidth="1"/>
    <col min="9" max="9" width="9.42578125" customWidth="1"/>
  </cols>
  <sheetData>
    <row r="1" spans="1:9" ht="15" x14ac:dyDescent="0.2">
      <c r="A1" s="171" t="s">
        <v>0</v>
      </c>
      <c r="B1" s="171"/>
      <c r="C1" s="171"/>
      <c r="D1" s="171"/>
      <c r="E1" s="171"/>
      <c r="F1" s="171"/>
      <c r="G1" s="171"/>
      <c r="H1" s="171"/>
      <c r="I1" s="7" t="s">
        <v>576</v>
      </c>
    </row>
    <row r="2" spans="1:9" ht="15" x14ac:dyDescent="0.2">
      <c r="A2" s="171" t="s">
        <v>1</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575</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ht="25.5" x14ac:dyDescent="0.2">
      <c r="A28" s="24">
        <v>1</v>
      </c>
      <c r="B28" s="25" t="s">
        <v>21</v>
      </c>
      <c r="C28" s="25" t="s">
        <v>22</v>
      </c>
      <c r="D28" s="25" t="s">
        <v>23</v>
      </c>
      <c r="E28" s="26">
        <v>5000</v>
      </c>
      <c r="F28" s="27">
        <v>5059.8649999999998</v>
      </c>
      <c r="G28" s="28">
        <v>7.0255280000000003E-2</v>
      </c>
      <c r="H28" s="18">
        <v>7.4634</v>
      </c>
    </row>
    <row r="29" spans="1:8" ht="25.5" x14ac:dyDescent="0.2">
      <c r="A29" s="24">
        <v>2</v>
      </c>
      <c r="B29" s="25" t="s">
        <v>24</v>
      </c>
      <c r="C29" s="25" t="s">
        <v>25</v>
      </c>
      <c r="D29" s="25" t="s">
        <v>23</v>
      </c>
      <c r="E29" s="26">
        <v>4000</v>
      </c>
      <c r="F29" s="27">
        <v>4021.0479999999998</v>
      </c>
      <c r="G29" s="28">
        <v>5.5831499999999999E-2</v>
      </c>
      <c r="H29" s="18">
        <v>7.24</v>
      </c>
    </row>
    <row r="30" spans="1:8" x14ac:dyDescent="0.2">
      <c r="A30" s="24">
        <v>3</v>
      </c>
      <c r="B30" s="25" t="s">
        <v>26</v>
      </c>
      <c r="C30" s="25" t="s">
        <v>27</v>
      </c>
      <c r="D30" s="25" t="s">
        <v>23</v>
      </c>
      <c r="E30" s="26">
        <v>4000</v>
      </c>
      <c r="F30" s="27">
        <v>3985.252</v>
      </c>
      <c r="G30" s="28">
        <v>5.5334479999999998E-2</v>
      </c>
      <c r="H30" s="18">
        <v>7.45</v>
      </c>
    </row>
    <row r="31" spans="1:8" x14ac:dyDescent="0.2">
      <c r="A31" s="24">
        <v>4</v>
      </c>
      <c r="B31" s="25" t="s">
        <v>28</v>
      </c>
      <c r="C31" s="25" t="s">
        <v>29</v>
      </c>
      <c r="D31" s="25" t="s">
        <v>23</v>
      </c>
      <c r="E31" s="26">
        <v>300</v>
      </c>
      <c r="F31" s="27">
        <v>3001.4189999999999</v>
      </c>
      <c r="G31" s="28">
        <v>4.1674139999999998E-2</v>
      </c>
      <c r="H31" s="18">
        <v>7.66</v>
      </c>
    </row>
    <row r="32" spans="1:8" ht="25.5" x14ac:dyDescent="0.2">
      <c r="A32" s="24">
        <v>5</v>
      </c>
      <c r="B32" s="25" t="s">
        <v>30</v>
      </c>
      <c r="C32" s="25" t="s">
        <v>31</v>
      </c>
      <c r="D32" s="25" t="s">
        <v>23</v>
      </c>
      <c r="E32" s="26">
        <v>2500</v>
      </c>
      <c r="F32" s="27">
        <v>2540.1999999999998</v>
      </c>
      <c r="G32" s="28">
        <v>3.5270200000000002E-2</v>
      </c>
      <c r="H32" s="18">
        <v>7.1338999999999997</v>
      </c>
    </row>
    <row r="33" spans="1:8" ht="25.5" x14ac:dyDescent="0.2">
      <c r="A33" s="24">
        <v>6</v>
      </c>
      <c r="B33" s="25" t="s">
        <v>32</v>
      </c>
      <c r="C33" s="25" t="s">
        <v>33</v>
      </c>
      <c r="D33" s="25" t="s">
        <v>23</v>
      </c>
      <c r="E33" s="26">
        <v>2500</v>
      </c>
      <c r="F33" s="27">
        <v>2527.3325</v>
      </c>
      <c r="G33" s="28">
        <v>3.5091539999999997E-2</v>
      </c>
      <c r="H33" s="18">
        <v>7.1550000000000002</v>
      </c>
    </row>
    <row r="34" spans="1:8" ht="25.5" x14ac:dyDescent="0.2">
      <c r="A34" s="24">
        <v>7</v>
      </c>
      <c r="B34" s="25" t="s">
        <v>34</v>
      </c>
      <c r="C34" s="25" t="s">
        <v>35</v>
      </c>
      <c r="D34" s="25" t="s">
        <v>36</v>
      </c>
      <c r="E34" s="26">
        <v>2500</v>
      </c>
      <c r="F34" s="27">
        <v>2521.0025000000001</v>
      </c>
      <c r="G34" s="28">
        <v>3.5003649999999997E-2</v>
      </c>
      <c r="H34" s="18">
        <v>7.43</v>
      </c>
    </row>
    <row r="35" spans="1:8" ht="25.5" x14ac:dyDescent="0.2">
      <c r="A35" s="24">
        <v>8</v>
      </c>
      <c r="B35" s="25" t="s">
        <v>37</v>
      </c>
      <c r="C35" s="25" t="s">
        <v>38</v>
      </c>
      <c r="D35" s="25" t="s">
        <v>23</v>
      </c>
      <c r="E35" s="26">
        <v>2500</v>
      </c>
      <c r="F35" s="27">
        <v>2514.7275</v>
      </c>
      <c r="G35" s="28">
        <v>3.491652E-2</v>
      </c>
      <c r="H35" s="18">
        <v>7.44</v>
      </c>
    </row>
    <row r="36" spans="1:8" x14ac:dyDescent="0.2">
      <c r="A36" s="24">
        <v>9</v>
      </c>
      <c r="B36" s="25" t="s">
        <v>39</v>
      </c>
      <c r="C36" s="25" t="s">
        <v>40</v>
      </c>
      <c r="D36" s="25" t="s">
        <v>23</v>
      </c>
      <c r="E36" s="26">
        <v>2500</v>
      </c>
      <c r="F36" s="27">
        <v>2503.25</v>
      </c>
      <c r="G36" s="28">
        <v>3.4757160000000002E-2</v>
      </c>
      <c r="H36" s="18">
        <v>7.3949999999999996</v>
      </c>
    </row>
    <row r="37" spans="1:8" x14ac:dyDescent="0.2">
      <c r="A37" s="24">
        <v>10</v>
      </c>
      <c r="B37" s="25" t="s">
        <v>41</v>
      </c>
      <c r="C37" s="25" t="s">
        <v>42</v>
      </c>
      <c r="D37" s="25" t="s">
        <v>23</v>
      </c>
      <c r="E37" s="26">
        <v>2500</v>
      </c>
      <c r="F37" s="27">
        <v>2495.25</v>
      </c>
      <c r="G37" s="28">
        <v>3.4646080000000003E-2</v>
      </c>
      <c r="H37" s="18">
        <v>7.5650000000000004</v>
      </c>
    </row>
    <row r="38" spans="1:8" ht="25.5" x14ac:dyDescent="0.2">
      <c r="A38" s="24">
        <v>11</v>
      </c>
      <c r="B38" s="25" t="s">
        <v>43</v>
      </c>
      <c r="C38" s="25" t="s">
        <v>44</v>
      </c>
      <c r="D38" s="25" t="s">
        <v>23</v>
      </c>
      <c r="E38" s="26">
        <v>2500</v>
      </c>
      <c r="F38" s="27">
        <v>2492.125</v>
      </c>
      <c r="G38" s="28">
        <v>3.4602689999999998E-2</v>
      </c>
      <c r="H38" s="18">
        <v>7.42</v>
      </c>
    </row>
    <row r="39" spans="1:8" x14ac:dyDescent="0.2">
      <c r="A39" s="24">
        <v>12</v>
      </c>
      <c r="B39" s="25" t="s">
        <v>45</v>
      </c>
      <c r="C39" s="25" t="s">
        <v>46</v>
      </c>
      <c r="D39" s="25" t="s">
        <v>23</v>
      </c>
      <c r="E39" s="26">
        <v>2000</v>
      </c>
      <c r="F39" s="27">
        <v>2017.874</v>
      </c>
      <c r="G39" s="28">
        <v>2.8017799999999999E-2</v>
      </c>
      <c r="H39" s="18">
        <v>7.6749999999999998</v>
      </c>
    </row>
    <row r="40" spans="1:8" ht="25.5" x14ac:dyDescent="0.2">
      <c r="A40" s="24">
        <v>13</v>
      </c>
      <c r="B40" s="25" t="s">
        <v>47</v>
      </c>
      <c r="C40" s="25" t="s">
        <v>48</v>
      </c>
      <c r="D40" s="25" t="s">
        <v>23</v>
      </c>
      <c r="E40" s="26">
        <v>2000</v>
      </c>
      <c r="F40" s="27">
        <v>2015.4380000000001</v>
      </c>
      <c r="G40" s="28">
        <v>2.7983979999999999E-2</v>
      </c>
      <c r="H40" s="18">
        <v>7.38</v>
      </c>
    </row>
    <row r="41" spans="1:8" ht="25.5" x14ac:dyDescent="0.2">
      <c r="A41" s="24">
        <v>14</v>
      </c>
      <c r="B41" s="25" t="s">
        <v>49</v>
      </c>
      <c r="C41" s="25" t="s">
        <v>50</v>
      </c>
      <c r="D41" s="25" t="s">
        <v>36</v>
      </c>
      <c r="E41" s="26">
        <v>200</v>
      </c>
      <c r="F41" s="27">
        <v>2009.3520000000001</v>
      </c>
      <c r="G41" s="28">
        <v>2.7899480000000001E-2</v>
      </c>
      <c r="H41" s="18">
        <v>7.2525000000000004</v>
      </c>
    </row>
    <row r="42" spans="1:8" x14ac:dyDescent="0.2">
      <c r="A42" s="24">
        <v>15</v>
      </c>
      <c r="B42" s="25" t="s">
        <v>51</v>
      </c>
      <c r="C42" s="25" t="s">
        <v>52</v>
      </c>
      <c r="D42" s="25" t="s">
        <v>23</v>
      </c>
      <c r="E42" s="26">
        <v>2000</v>
      </c>
      <c r="F42" s="27">
        <v>1997.4780000000001</v>
      </c>
      <c r="G42" s="28">
        <v>2.773461E-2</v>
      </c>
      <c r="H42" s="18">
        <v>7.45</v>
      </c>
    </row>
    <row r="43" spans="1:8" ht="25.5" x14ac:dyDescent="0.2">
      <c r="A43" s="24">
        <v>16</v>
      </c>
      <c r="B43" s="25" t="s">
        <v>53</v>
      </c>
      <c r="C43" s="25" t="s">
        <v>54</v>
      </c>
      <c r="D43" s="25" t="s">
        <v>23</v>
      </c>
      <c r="E43" s="26">
        <v>1500</v>
      </c>
      <c r="F43" s="27">
        <v>1531.806</v>
      </c>
      <c r="G43" s="28">
        <v>2.1268840000000001E-2</v>
      </c>
      <c r="H43" s="18">
        <v>7.44</v>
      </c>
    </row>
    <row r="44" spans="1:8" x14ac:dyDescent="0.2">
      <c r="A44" s="24">
        <v>17</v>
      </c>
      <c r="B44" s="25" t="s">
        <v>55</v>
      </c>
      <c r="C44" s="25" t="s">
        <v>56</v>
      </c>
      <c r="D44" s="25" t="s">
        <v>23</v>
      </c>
      <c r="E44" s="26">
        <v>1500</v>
      </c>
      <c r="F44" s="27">
        <v>1504.269</v>
      </c>
      <c r="G44" s="28">
        <v>2.0886499999999999E-2</v>
      </c>
      <c r="H44" s="18">
        <v>7.5650000000000004</v>
      </c>
    </row>
    <row r="45" spans="1:8" ht="25.5" x14ac:dyDescent="0.2">
      <c r="A45" s="24">
        <v>18</v>
      </c>
      <c r="B45" s="25" t="s">
        <v>57</v>
      </c>
      <c r="C45" s="25" t="s">
        <v>58</v>
      </c>
      <c r="D45" s="25" t="s">
        <v>23</v>
      </c>
      <c r="E45" s="26">
        <v>1500</v>
      </c>
      <c r="F45" s="27">
        <v>1498.8045</v>
      </c>
      <c r="G45" s="28">
        <v>2.0810619999999998E-2</v>
      </c>
      <c r="H45" s="18">
        <v>7.59</v>
      </c>
    </row>
    <row r="46" spans="1:8" x14ac:dyDescent="0.2">
      <c r="A46" s="24">
        <v>19</v>
      </c>
      <c r="B46" s="25" t="s">
        <v>59</v>
      </c>
      <c r="C46" s="25" t="s">
        <v>60</v>
      </c>
      <c r="D46" s="25" t="s">
        <v>23</v>
      </c>
      <c r="E46" s="26">
        <v>100</v>
      </c>
      <c r="F46" s="27">
        <v>1007.475</v>
      </c>
      <c r="G46" s="28">
        <v>1.39886E-2</v>
      </c>
      <c r="H46" s="18">
        <v>7.66</v>
      </c>
    </row>
    <row r="47" spans="1:8" ht="25.5" x14ac:dyDescent="0.2">
      <c r="A47" s="24">
        <v>20</v>
      </c>
      <c r="B47" s="25" t="s">
        <v>61</v>
      </c>
      <c r="C47" s="25" t="s">
        <v>62</v>
      </c>
      <c r="D47" s="25" t="s">
        <v>23</v>
      </c>
      <c r="E47" s="26">
        <v>1000</v>
      </c>
      <c r="F47" s="27">
        <v>999.88099999999997</v>
      </c>
      <c r="G47" s="28">
        <v>1.388316E-2</v>
      </c>
      <c r="H47" s="18">
        <v>8.0299999999999994</v>
      </c>
    </row>
    <row r="48" spans="1:8" ht="25.5" x14ac:dyDescent="0.2">
      <c r="A48" s="24">
        <v>21</v>
      </c>
      <c r="B48" s="25" t="s">
        <v>63</v>
      </c>
      <c r="C48" s="25" t="s">
        <v>64</v>
      </c>
      <c r="D48" s="25" t="s">
        <v>23</v>
      </c>
      <c r="E48" s="26">
        <v>1000</v>
      </c>
      <c r="F48" s="27">
        <v>997.43100000000004</v>
      </c>
      <c r="G48" s="28">
        <v>1.3849139999999999E-2</v>
      </c>
      <c r="H48" s="18">
        <v>7.56</v>
      </c>
    </row>
    <row r="49" spans="1:8" x14ac:dyDescent="0.2">
      <c r="A49" s="24">
        <v>22</v>
      </c>
      <c r="B49" s="25" t="s">
        <v>65</v>
      </c>
      <c r="C49" s="25" t="s">
        <v>66</v>
      </c>
      <c r="D49" s="25" t="s">
        <v>23</v>
      </c>
      <c r="E49" s="26">
        <v>500</v>
      </c>
      <c r="F49" s="27">
        <v>506.38400000000001</v>
      </c>
      <c r="G49" s="28">
        <v>7.0310499999999996E-3</v>
      </c>
      <c r="H49" s="18">
        <v>7.665</v>
      </c>
    </row>
    <row r="50" spans="1:8" ht="25.5" x14ac:dyDescent="0.2">
      <c r="A50" s="24">
        <v>23</v>
      </c>
      <c r="B50" s="25" t="s">
        <v>67</v>
      </c>
      <c r="C50" s="25" t="s">
        <v>68</v>
      </c>
      <c r="D50" s="25" t="s">
        <v>23</v>
      </c>
      <c r="E50" s="26">
        <v>500</v>
      </c>
      <c r="F50" s="27">
        <v>501.92700000000002</v>
      </c>
      <c r="G50" s="28">
        <v>6.9691600000000003E-3</v>
      </c>
      <c r="H50" s="18">
        <v>7.5133999999999999</v>
      </c>
    </row>
    <row r="51" spans="1:8" ht="25.5" x14ac:dyDescent="0.2">
      <c r="A51" s="24">
        <v>24</v>
      </c>
      <c r="B51" s="25" t="s">
        <v>69</v>
      </c>
      <c r="C51" s="25" t="s">
        <v>70</v>
      </c>
      <c r="D51" s="25" t="s">
        <v>36</v>
      </c>
      <c r="E51" s="26">
        <v>50</v>
      </c>
      <c r="F51" s="27">
        <v>497.25749999999999</v>
      </c>
      <c r="G51" s="28">
        <v>6.9043300000000002E-3</v>
      </c>
      <c r="H51" s="18">
        <v>7.53</v>
      </c>
    </row>
    <row r="52" spans="1:8" x14ac:dyDescent="0.2">
      <c r="A52" s="16"/>
      <c r="B52" s="16"/>
      <c r="C52" s="17" t="s">
        <v>11</v>
      </c>
      <c r="D52" s="16"/>
      <c r="E52" s="16" t="s">
        <v>12</v>
      </c>
      <c r="F52" s="23">
        <v>50746.8485</v>
      </c>
      <c r="G52" s="20">
        <v>0.70461050999999997</v>
      </c>
      <c r="H52" s="18" t="s">
        <v>12</v>
      </c>
    </row>
    <row r="53" spans="1:8" x14ac:dyDescent="0.2">
      <c r="A53" s="16"/>
      <c r="B53" s="16"/>
      <c r="C53" s="21"/>
      <c r="D53" s="16"/>
      <c r="E53" s="16"/>
      <c r="F53" s="22"/>
      <c r="G53" s="22"/>
      <c r="H53" s="18" t="s">
        <v>12</v>
      </c>
    </row>
    <row r="54" spans="1:8" x14ac:dyDescent="0.2">
      <c r="A54" s="16"/>
      <c r="B54" s="16"/>
      <c r="C54" s="17" t="s">
        <v>71</v>
      </c>
      <c r="D54" s="16"/>
      <c r="E54" s="16"/>
      <c r="F54" s="16"/>
      <c r="G54" s="16"/>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72</v>
      </c>
      <c r="D57" s="16"/>
      <c r="E57" s="16"/>
      <c r="F57" s="16"/>
      <c r="G57" s="16"/>
      <c r="H57" s="18" t="s">
        <v>12</v>
      </c>
    </row>
    <row r="58" spans="1:8" ht="25.5" x14ac:dyDescent="0.2">
      <c r="A58" s="24">
        <v>1</v>
      </c>
      <c r="B58" s="25" t="s">
        <v>73</v>
      </c>
      <c r="C58" s="25" t="s">
        <v>74</v>
      </c>
      <c r="D58" s="25" t="s">
        <v>75</v>
      </c>
      <c r="E58" s="26">
        <v>10500000</v>
      </c>
      <c r="F58" s="27">
        <v>10733.488499999999</v>
      </c>
      <c r="G58" s="28">
        <v>0.14903248999999999</v>
      </c>
      <c r="H58" s="18">
        <v>6.8868</v>
      </c>
    </row>
    <row r="59" spans="1:8" x14ac:dyDescent="0.2">
      <c r="A59" s="24">
        <v>2</v>
      </c>
      <c r="B59" s="25" t="s">
        <v>76</v>
      </c>
      <c r="C59" s="25" t="s">
        <v>77</v>
      </c>
      <c r="D59" s="25" t="s">
        <v>75</v>
      </c>
      <c r="E59" s="26">
        <v>2000000</v>
      </c>
      <c r="F59" s="27">
        <v>2057.6</v>
      </c>
      <c r="G59" s="28">
        <v>2.856939E-2</v>
      </c>
      <c r="H59" s="18">
        <v>6.8323999999999998</v>
      </c>
    </row>
    <row r="60" spans="1:8" x14ac:dyDescent="0.2">
      <c r="A60" s="24">
        <v>3</v>
      </c>
      <c r="B60" s="25" t="s">
        <v>78</v>
      </c>
      <c r="C60" s="25" t="s">
        <v>79</v>
      </c>
      <c r="D60" s="25" t="s">
        <v>75</v>
      </c>
      <c r="E60" s="26">
        <v>1500000</v>
      </c>
      <c r="F60" s="27">
        <v>1562.9925000000001</v>
      </c>
      <c r="G60" s="28">
        <v>2.170186E-2</v>
      </c>
      <c r="H60" s="18">
        <v>7.0803000000000003</v>
      </c>
    </row>
    <row r="61" spans="1:8" ht="25.5" x14ac:dyDescent="0.2">
      <c r="A61" s="24">
        <v>4</v>
      </c>
      <c r="B61" s="25" t="s">
        <v>80</v>
      </c>
      <c r="C61" s="25" t="s">
        <v>81</v>
      </c>
      <c r="D61" s="25" t="s">
        <v>75</v>
      </c>
      <c r="E61" s="26">
        <v>1500000</v>
      </c>
      <c r="F61" s="27">
        <v>1504.8465000000001</v>
      </c>
      <c r="G61" s="28">
        <v>2.0894510000000002E-2</v>
      </c>
      <c r="H61" s="18">
        <v>6.9824000000000002</v>
      </c>
    </row>
    <row r="62" spans="1:8" ht="25.5" x14ac:dyDescent="0.2">
      <c r="A62" s="24">
        <v>5</v>
      </c>
      <c r="B62" s="25" t="s">
        <v>82</v>
      </c>
      <c r="C62" s="25" t="s">
        <v>83</v>
      </c>
      <c r="D62" s="25" t="s">
        <v>75</v>
      </c>
      <c r="E62" s="26">
        <v>1000000</v>
      </c>
      <c r="F62" s="27">
        <v>1046.739</v>
      </c>
      <c r="G62" s="28">
        <v>1.453378E-2</v>
      </c>
      <c r="H62" s="18">
        <v>7.1109999999999998</v>
      </c>
    </row>
    <row r="63" spans="1:8" x14ac:dyDescent="0.2">
      <c r="A63" s="24">
        <v>6</v>
      </c>
      <c r="B63" s="25" t="s">
        <v>84</v>
      </c>
      <c r="C63" s="25" t="s">
        <v>85</v>
      </c>
      <c r="D63" s="25" t="s">
        <v>75</v>
      </c>
      <c r="E63" s="26">
        <v>1000000</v>
      </c>
      <c r="F63" s="27">
        <v>1023.276</v>
      </c>
      <c r="G63" s="28">
        <v>1.4208E-2</v>
      </c>
      <c r="H63" s="18">
        <v>6.7824999999999998</v>
      </c>
    </row>
    <row r="64" spans="1:8" x14ac:dyDescent="0.2">
      <c r="A64" s="24">
        <v>7</v>
      </c>
      <c r="B64" s="25" t="s">
        <v>86</v>
      </c>
      <c r="C64" s="25" t="s">
        <v>87</v>
      </c>
      <c r="D64" s="25" t="s">
        <v>75</v>
      </c>
      <c r="E64" s="26">
        <v>500000</v>
      </c>
      <c r="F64" s="27">
        <v>513.77</v>
      </c>
      <c r="G64" s="28">
        <v>7.1336000000000004E-3</v>
      </c>
      <c r="H64" s="18">
        <v>6.9664000000000001</v>
      </c>
    </row>
    <row r="65" spans="1:8" x14ac:dyDescent="0.2">
      <c r="A65" s="16"/>
      <c r="B65" s="16"/>
      <c r="C65" s="17" t="s">
        <v>11</v>
      </c>
      <c r="D65" s="16"/>
      <c r="E65" s="16" t="s">
        <v>12</v>
      </c>
      <c r="F65" s="23">
        <v>18442.712500000001</v>
      </c>
      <c r="G65" s="20">
        <v>0.25607363</v>
      </c>
      <c r="H65" s="18" t="s">
        <v>12</v>
      </c>
    </row>
    <row r="66" spans="1:8" x14ac:dyDescent="0.2">
      <c r="A66" s="16"/>
      <c r="B66" s="16"/>
      <c r="C66" s="21"/>
      <c r="D66" s="16"/>
      <c r="E66" s="16"/>
      <c r="F66" s="22"/>
      <c r="G66" s="22"/>
      <c r="H66" s="18" t="s">
        <v>12</v>
      </c>
    </row>
    <row r="67" spans="1:8" x14ac:dyDescent="0.2">
      <c r="A67" s="16"/>
      <c r="B67" s="16"/>
      <c r="C67" s="17" t="s">
        <v>88</v>
      </c>
      <c r="D67" s="16"/>
      <c r="E67" s="16"/>
      <c r="F67" s="22"/>
      <c r="G67" s="22"/>
      <c r="H67" s="18" t="s">
        <v>12</v>
      </c>
    </row>
    <row r="68" spans="1:8" x14ac:dyDescent="0.2">
      <c r="A68" s="16"/>
      <c r="B68" s="16"/>
      <c r="C68" s="17" t="s">
        <v>11</v>
      </c>
      <c r="D68" s="16"/>
      <c r="E68" s="16" t="s">
        <v>12</v>
      </c>
      <c r="F68" s="19" t="s">
        <v>13</v>
      </c>
      <c r="G68" s="20">
        <v>0</v>
      </c>
      <c r="H68" s="18" t="s">
        <v>12</v>
      </c>
    </row>
    <row r="69" spans="1:8" x14ac:dyDescent="0.2">
      <c r="A69" s="16"/>
      <c r="B69" s="16"/>
      <c r="C69" s="21"/>
      <c r="D69" s="16"/>
      <c r="E69" s="16"/>
      <c r="F69" s="22"/>
      <c r="G69" s="22"/>
      <c r="H69" s="18" t="s">
        <v>12</v>
      </c>
    </row>
    <row r="70" spans="1:8" x14ac:dyDescent="0.2">
      <c r="A70" s="16"/>
      <c r="B70" s="16"/>
      <c r="C70" s="17" t="s">
        <v>89</v>
      </c>
      <c r="D70" s="16"/>
      <c r="E70" s="16"/>
      <c r="F70" s="23">
        <v>69189.561000000002</v>
      </c>
      <c r="G70" s="20">
        <v>0.96068414000000002</v>
      </c>
      <c r="H70" s="18" t="s">
        <v>12</v>
      </c>
    </row>
    <row r="71" spans="1:8" x14ac:dyDescent="0.2">
      <c r="A71" s="16"/>
      <c r="B71" s="16"/>
      <c r="C71" s="21"/>
      <c r="D71" s="16"/>
      <c r="E71" s="16"/>
      <c r="F71" s="22"/>
      <c r="G71" s="22"/>
      <c r="H71" s="18" t="s">
        <v>12</v>
      </c>
    </row>
    <row r="72" spans="1:8" x14ac:dyDescent="0.2">
      <c r="A72" s="16"/>
      <c r="B72" s="16"/>
      <c r="C72" s="17" t="s">
        <v>90</v>
      </c>
      <c r="D72" s="16"/>
      <c r="E72" s="16"/>
      <c r="F72" s="22"/>
      <c r="G72" s="22"/>
      <c r="H72" s="18" t="s">
        <v>12</v>
      </c>
    </row>
    <row r="73" spans="1:8" x14ac:dyDescent="0.2">
      <c r="A73" s="16"/>
      <c r="B73" s="16"/>
      <c r="C73" s="17" t="s">
        <v>91</v>
      </c>
      <c r="D73" s="16"/>
      <c r="E73" s="16"/>
      <c r="F73" s="22"/>
      <c r="G73" s="22"/>
      <c r="H73" s="18" t="s">
        <v>12</v>
      </c>
    </row>
    <row r="74" spans="1:8" x14ac:dyDescent="0.2">
      <c r="A74" s="16"/>
      <c r="B74" s="16"/>
      <c r="C74" s="17" t="s">
        <v>11</v>
      </c>
      <c r="D74" s="16"/>
      <c r="E74" s="16" t="s">
        <v>12</v>
      </c>
      <c r="F74" s="19" t="s">
        <v>13</v>
      </c>
      <c r="G74" s="20">
        <v>0</v>
      </c>
      <c r="H74" s="18" t="s">
        <v>12</v>
      </c>
    </row>
    <row r="75" spans="1:8" x14ac:dyDescent="0.2">
      <c r="A75" s="16"/>
      <c r="B75" s="16"/>
      <c r="C75" s="21"/>
      <c r="D75" s="16"/>
      <c r="E75" s="16"/>
      <c r="F75" s="22"/>
      <c r="G75" s="22"/>
      <c r="H75" s="18" t="s">
        <v>12</v>
      </c>
    </row>
    <row r="76" spans="1:8" x14ac:dyDescent="0.2">
      <c r="A76" s="16"/>
      <c r="B76" s="16"/>
      <c r="C76" s="17" t="s">
        <v>92</v>
      </c>
      <c r="D76" s="16"/>
      <c r="E76" s="16"/>
      <c r="F76" s="22"/>
      <c r="G76" s="22"/>
      <c r="H76" s="18" t="s">
        <v>12</v>
      </c>
    </row>
    <row r="77" spans="1:8" x14ac:dyDescent="0.2">
      <c r="A77" s="16"/>
      <c r="B77" s="16"/>
      <c r="C77" s="17" t="s">
        <v>11</v>
      </c>
      <c r="D77" s="16"/>
      <c r="E77" s="16" t="s">
        <v>12</v>
      </c>
      <c r="F77" s="19" t="s">
        <v>13</v>
      </c>
      <c r="G77" s="20">
        <v>0</v>
      </c>
      <c r="H77" s="18" t="s">
        <v>12</v>
      </c>
    </row>
    <row r="78" spans="1:8" x14ac:dyDescent="0.2">
      <c r="A78" s="16"/>
      <c r="B78" s="16"/>
      <c r="C78" s="21"/>
      <c r="D78" s="16"/>
      <c r="E78" s="16"/>
      <c r="F78" s="22"/>
      <c r="G78" s="22"/>
      <c r="H78" s="18" t="s">
        <v>12</v>
      </c>
    </row>
    <row r="79" spans="1:8" x14ac:dyDescent="0.2">
      <c r="A79" s="16"/>
      <c r="B79" s="16"/>
      <c r="C79" s="17" t="s">
        <v>93</v>
      </c>
      <c r="D79" s="16"/>
      <c r="E79" s="16"/>
      <c r="F79" s="22"/>
      <c r="G79" s="22"/>
      <c r="H79" s="18" t="s">
        <v>12</v>
      </c>
    </row>
    <row r="80" spans="1:8" x14ac:dyDescent="0.2">
      <c r="A80" s="16"/>
      <c r="B80" s="16"/>
      <c r="C80" s="17" t="s">
        <v>11</v>
      </c>
      <c r="D80" s="16"/>
      <c r="E80" s="16" t="s">
        <v>12</v>
      </c>
      <c r="F80" s="19" t="s">
        <v>13</v>
      </c>
      <c r="G80" s="20">
        <v>0</v>
      </c>
      <c r="H80" s="18" t="s">
        <v>12</v>
      </c>
    </row>
    <row r="81" spans="1:17" x14ac:dyDescent="0.2">
      <c r="A81" s="16"/>
      <c r="B81" s="16"/>
      <c r="C81" s="21"/>
      <c r="D81" s="16"/>
      <c r="E81" s="16"/>
      <c r="F81" s="22"/>
      <c r="G81" s="22"/>
      <c r="H81" s="18" t="s">
        <v>12</v>
      </c>
    </row>
    <row r="82" spans="1:17" x14ac:dyDescent="0.2">
      <c r="A82" s="16"/>
      <c r="B82" s="16"/>
      <c r="C82" s="17" t="s">
        <v>94</v>
      </c>
      <c r="D82" s="16"/>
      <c r="E82" s="16"/>
      <c r="F82" s="22"/>
      <c r="G82" s="22"/>
      <c r="H82" s="18" t="s">
        <v>12</v>
      </c>
    </row>
    <row r="83" spans="1:17" x14ac:dyDescent="0.2">
      <c r="A83" s="24">
        <v>1</v>
      </c>
      <c r="B83" s="25"/>
      <c r="C83" s="25" t="s">
        <v>95</v>
      </c>
      <c r="D83" s="25"/>
      <c r="E83" s="29"/>
      <c r="F83" s="27">
        <v>636.117475001</v>
      </c>
      <c r="G83" s="28">
        <v>8.8323700000000008E-3</v>
      </c>
      <c r="H83" s="18">
        <v>6.59</v>
      </c>
    </row>
    <row r="84" spans="1:17" x14ac:dyDescent="0.2">
      <c r="A84" s="16"/>
      <c r="B84" s="16"/>
      <c r="C84" s="17" t="s">
        <v>11</v>
      </c>
      <c r="D84" s="16"/>
      <c r="E84" s="16" t="s">
        <v>12</v>
      </c>
      <c r="F84" s="23">
        <v>636.117475001</v>
      </c>
      <c r="G84" s="20">
        <v>8.8323700000000008E-3</v>
      </c>
      <c r="H84" s="18" t="s">
        <v>12</v>
      </c>
    </row>
    <row r="85" spans="1:17" x14ac:dyDescent="0.2">
      <c r="A85" s="16"/>
      <c r="B85" s="16"/>
      <c r="C85" s="21"/>
      <c r="D85" s="16"/>
      <c r="E85" s="16"/>
      <c r="F85" s="22"/>
      <c r="G85" s="22"/>
      <c r="H85" s="18" t="s">
        <v>12</v>
      </c>
    </row>
    <row r="86" spans="1:17" x14ac:dyDescent="0.2">
      <c r="A86" s="16"/>
      <c r="B86" s="16"/>
      <c r="C86" s="17" t="s">
        <v>96</v>
      </c>
      <c r="D86" s="16"/>
      <c r="E86" s="16"/>
      <c r="F86" s="23">
        <v>636.117475001</v>
      </c>
      <c r="G86" s="20">
        <v>8.8323700000000008E-3</v>
      </c>
      <c r="H86" s="18" t="s">
        <v>12</v>
      </c>
    </row>
    <row r="87" spans="1:17" x14ac:dyDescent="0.2">
      <c r="A87" s="16"/>
      <c r="B87" s="16"/>
      <c r="C87" s="22"/>
      <c r="D87" s="16"/>
      <c r="E87" s="16"/>
      <c r="F87" s="16"/>
      <c r="G87" s="16"/>
      <c r="H87" s="18" t="s">
        <v>12</v>
      </c>
    </row>
    <row r="88" spans="1:17" x14ac:dyDescent="0.2">
      <c r="A88" s="16"/>
      <c r="B88" s="16"/>
      <c r="C88" s="17" t="s">
        <v>97</v>
      </c>
      <c r="D88" s="16"/>
      <c r="E88" s="16"/>
      <c r="F88" s="16"/>
      <c r="G88" s="16"/>
      <c r="H88" s="18" t="s">
        <v>12</v>
      </c>
    </row>
    <row r="89" spans="1:17" x14ac:dyDescent="0.2">
      <c r="A89" s="16"/>
      <c r="B89" s="16"/>
      <c r="C89" s="17" t="s">
        <v>98</v>
      </c>
      <c r="D89" s="16"/>
      <c r="E89" s="16"/>
      <c r="F89" s="16"/>
      <c r="G89" s="16"/>
      <c r="H89" s="18" t="s">
        <v>12</v>
      </c>
    </row>
    <row r="90" spans="1:17" x14ac:dyDescent="0.2">
      <c r="A90" s="16"/>
      <c r="B90" s="16"/>
      <c r="C90" s="17" t="s">
        <v>11</v>
      </c>
      <c r="D90" s="16"/>
      <c r="E90" s="16" t="s">
        <v>12</v>
      </c>
      <c r="F90" s="19" t="s">
        <v>13</v>
      </c>
      <c r="G90" s="20">
        <v>0</v>
      </c>
      <c r="H90" s="18" t="s">
        <v>12</v>
      </c>
    </row>
    <row r="91" spans="1:17" x14ac:dyDescent="0.2">
      <c r="A91" s="30"/>
      <c r="B91" s="30"/>
      <c r="C91" s="31"/>
      <c r="D91" s="30"/>
      <c r="E91" s="30"/>
      <c r="F91" s="32"/>
      <c r="G91" s="32"/>
      <c r="H91" s="18" t="s">
        <v>12</v>
      </c>
    </row>
    <row r="92" spans="1:17" x14ac:dyDescent="0.2">
      <c r="A92" s="30"/>
      <c r="B92" s="30"/>
      <c r="C92" s="33" t="s">
        <v>579</v>
      </c>
      <c r="D92" s="30"/>
      <c r="E92" s="30"/>
      <c r="F92" s="32"/>
      <c r="G92" s="32"/>
      <c r="H92" s="34"/>
      <c r="K92" s="35"/>
      <c r="L92" s="35"/>
      <c r="M92" s="35"/>
      <c r="N92" s="35"/>
      <c r="O92" s="36"/>
      <c r="P92" s="36"/>
      <c r="Q92" s="36"/>
    </row>
    <row r="93" spans="1:17" ht="25.5" x14ac:dyDescent="0.2">
      <c r="A93" s="37">
        <v>1</v>
      </c>
      <c r="B93" s="38" t="s">
        <v>99</v>
      </c>
      <c r="C93" s="38" t="s">
        <v>100</v>
      </c>
      <c r="D93" s="38"/>
      <c r="E93" s="39">
        <v>2586.3710000000001</v>
      </c>
      <c r="F93" s="34">
        <v>271.14720582699999</v>
      </c>
      <c r="G93" s="40">
        <v>3.7648299999999998E-3</v>
      </c>
      <c r="H93" s="18"/>
    </row>
    <row r="94" spans="1:17" x14ac:dyDescent="0.2">
      <c r="A94" s="30"/>
      <c r="B94" s="30"/>
      <c r="C94" s="33" t="s">
        <v>11</v>
      </c>
      <c r="D94" s="30"/>
      <c r="E94" s="30" t="s">
        <v>12</v>
      </c>
      <c r="F94" s="41">
        <f>SUM(F93)</f>
        <v>271.14720582699999</v>
      </c>
      <c r="G94" s="42">
        <f>SUM(G93)</f>
        <v>3.7648299999999998E-3</v>
      </c>
      <c r="H94" s="18" t="s">
        <v>12</v>
      </c>
    </row>
    <row r="95" spans="1:17" x14ac:dyDescent="0.2">
      <c r="A95" s="16"/>
      <c r="B95" s="16"/>
      <c r="C95" s="21"/>
      <c r="D95" s="16"/>
      <c r="E95" s="16"/>
      <c r="F95" s="22"/>
      <c r="G95" s="22"/>
      <c r="H95" s="18" t="s">
        <v>12</v>
      </c>
    </row>
    <row r="96" spans="1:17" x14ac:dyDescent="0.2">
      <c r="A96" s="16"/>
      <c r="B96" s="16"/>
      <c r="C96" s="17" t="s">
        <v>101</v>
      </c>
      <c r="D96" s="16"/>
      <c r="E96" s="16"/>
      <c r="F96" s="16"/>
      <c r="G96" s="16"/>
      <c r="H96" s="18" t="s">
        <v>12</v>
      </c>
    </row>
    <row r="97" spans="1:8" x14ac:dyDescent="0.2">
      <c r="A97" s="16"/>
      <c r="B97" s="16"/>
      <c r="C97" s="17" t="s">
        <v>102</v>
      </c>
      <c r="D97" s="16"/>
      <c r="E97" s="16"/>
      <c r="F97" s="16"/>
      <c r="G97" s="16"/>
      <c r="H97" s="18" t="s">
        <v>12</v>
      </c>
    </row>
    <row r="98" spans="1:8" x14ac:dyDescent="0.2">
      <c r="A98" s="16"/>
      <c r="B98" s="16"/>
      <c r="C98" s="17" t="s">
        <v>11</v>
      </c>
      <c r="D98" s="16"/>
      <c r="E98" s="16" t="s">
        <v>12</v>
      </c>
      <c r="F98" s="19" t="s">
        <v>13</v>
      </c>
      <c r="G98" s="20">
        <v>0</v>
      </c>
      <c r="H98" s="18" t="s">
        <v>12</v>
      </c>
    </row>
    <row r="99" spans="1:8" x14ac:dyDescent="0.2">
      <c r="A99" s="16"/>
      <c r="B99" s="16"/>
      <c r="C99" s="21"/>
      <c r="D99" s="16"/>
      <c r="E99" s="16"/>
      <c r="F99" s="22"/>
      <c r="G99" s="22"/>
      <c r="H99" s="18" t="s">
        <v>12</v>
      </c>
    </row>
    <row r="100" spans="1:8" x14ac:dyDescent="0.2">
      <c r="A100" s="16"/>
      <c r="B100" s="16"/>
      <c r="C100" s="17" t="s">
        <v>103</v>
      </c>
      <c r="D100" s="16"/>
      <c r="E100" s="16"/>
      <c r="F100" s="22"/>
      <c r="G100" s="22"/>
      <c r="H100" s="18" t="s">
        <v>12</v>
      </c>
    </row>
    <row r="101" spans="1:8" x14ac:dyDescent="0.2">
      <c r="A101" s="16"/>
      <c r="B101" s="16"/>
      <c r="C101" s="17" t="s">
        <v>11</v>
      </c>
      <c r="D101" s="16"/>
      <c r="E101" s="16" t="s">
        <v>12</v>
      </c>
      <c r="F101" s="19" t="s">
        <v>13</v>
      </c>
      <c r="G101" s="20">
        <v>0</v>
      </c>
      <c r="H101" s="18" t="s">
        <v>12</v>
      </c>
    </row>
    <row r="102" spans="1:8" x14ac:dyDescent="0.2">
      <c r="A102" s="16"/>
      <c r="B102" s="16"/>
      <c r="C102" s="21"/>
      <c r="D102" s="16"/>
      <c r="E102" s="16"/>
      <c r="F102" s="22"/>
      <c r="G102" s="22"/>
      <c r="H102" s="18" t="s">
        <v>12</v>
      </c>
    </row>
    <row r="103" spans="1:8" x14ac:dyDescent="0.2">
      <c r="A103" s="29"/>
      <c r="B103" s="25"/>
      <c r="C103" s="25" t="s">
        <v>104</v>
      </c>
      <c r="D103" s="25"/>
      <c r="E103" s="29"/>
      <c r="F103" s="27">
        <v>1924.30696616</v>
      </c>
      <c r="G103" s="28">
        <v>2.6718639999999998E-2</v>
      </c>
      <c r="H103" s="18" t="s">
        <v>12</v>
      </c>
    </row>
    <row r="104" spans="1:8" x14ac:dyDescent="0.2">
      <c r="A104" s="21"/>
      <c r="B104" s="21"/>
      <c r="C104" s="17" t="s">
        <v>105</v>
      </c>
      <c r="D104" s="22"/>
      <c r="E104" s="22"/>
      <c r="F104" s="23">
        <v>72021.132646988</v>
      </c>
      <c r="G104" s="43">
        <v>0.99999998000000001</v>
      </c>
      <c r="H104" s="18" t="s">
        <v>12</v>
      </c>
    </row>
    <row r="105" spans="1:8" x14ac:dyDescent="0.2">
      <c r="A105" s="44"/>
      <c r="B105" s="44"/>
      <c r="C105" s="44"/>
      <c r="D105" s="45"/>
      <c r="E105" s="45"/>
      <c r="F105" s="45"/>
      <c r="G105" s="45"/>
    </row>
    <row r="106" spans="1:8" x14ac:dyDescent="0.2">
      <c r="A106" s="46"/>
      <c r="B106" s="172" t="s">
        <v>580</v>
      </c>
      <c r="C106" s="172"/>
      <c r="D106" s="172"/>
      <c r="E106" s="172"/>
      <c r="F106" s="172"/>
      <c r="G106" s="172"/>
      <c r="H106" s="172"/>
    </row>
    <row r="107" spans="1:8" x14ac:dyDescent="0.2">
      <c r="A107" s="46"/>
      <c r="B107" s="172" t="s">
        <v>581</v>
      </c>
      <c r="C107" s="172"/>
      <c r="D107" s="172"/>
      <c r="E107" s="172"/>
      <c r="F107" s="172"/>
      <c r="G107" s="172"/>
      <c r="H107" s="172"/>
    </row>
    <row r="108" spans="1:8" x14ac:dyDescent="0.2">
      <c r="A108" s="46"/>
      <c r="B108" s="172" t="s">
        <v>582</v>
      </c>
      <c r="C108" s="172"/>
      <c r="D108" s="172"/>
      <c r="E108" s="172"/>
      <c r="F108" s="172"/>
      <c r="G108" s="172"/>
      <c r="H108" s="172"/>
    </row>
    <row r="109" spans="1:8" x14ac:dyDescent="0.2">
      <c r="A109" s="48"/>
      <c r="B109" s="48"/>
      <c r="C109" s="48"/>
      <c r="D109" s="49"/>
      <c r="E109" s="49"/>
      <c r="F109" s="49"/>
      <c r="G109" s="49"/>
    </row>
    <row r="110" spans="1:8" x14ac:dyDescent="0.2">
      <c r="A110" s="48"/>
      <c r="B110" s="176" t="s">
        <v>106</v>
      </c>
      <c r="C110" s="177"/>
      <c r="D110" s="178"/>
      <c r="E110" s="50"/>
      <c r="F110" s="49"/>
      <c r="G110" s="49"/>
    </row>
    <row r="111" spans="1:8" x14ac:dyDescent="0.2">
      <c r="A111" s="48"/>
      <c r="B111" s="179" t="s">
        <v>107</v>
      </c>
      <c r="C111" s="180"/>
      <c r="D111" s="17" t="s">
        <v>108</v>
      </c>
      <c r="E111" s="50"/>
      <c r="F111" s="49"/>
      <c r="G111" s="49"/>
    </row>
    <row r="112" spans="1:8" x14ac:dyDescent="0.2">
      <c r="A112" s="48"/>
      <c r="B112" s="179" t="s">
        <v>109</v>
      </c>
      <c r="C112" s="180"/>
      <c r="D112" s="17" t="s">
        <v>108</v>
      </c>
      <c r="E112" s="50"/>
      <c r="F112" s="49"/>
      <c r="G112" s="49"/>
    </row>
    <row r="113" spans="1:8" x14ac:dyDescent="0.2">
      <c r="A113" s="48"/>
      <c r="B113" s="179" t="s">
        <v>110</v>
      </c>
      <c r="C113" s="180"/>
      <c r="D113" s="22" t="s">
        <v>12</v>
      </c>
      <c r="E113" s="50"/>
      <c r="F113" s="49"/>
      <c r="G113" s="49"/>
    </row>
    <row r="114" spans="1:8" x14ac:dyDescent="0.2">
      <c r="A114" s="51"/>
      <c r="B114" s="52" t="s">
        <v>12</v>
      </c>
      <c r="C114" s="52" t="s">
        <v>583</v>
      </c>
      <c r="D114" s="52" t="s">
        <v>111</v>
      </c>
      <c r="E114" s="51"/>
      <c r="F114" s="51"/>
      <c r="G114" s="51"/>
      <c r="H114" s="53"/>
    </row>
    <row r="115" spans="1:8" x14ac:dyDescent="0.2">
      <c r="A115" s="51"/>
      <c r="B115" s="54" t="s">
        <v>112</v>
      </c>
      <c r="C115" s="55">
        <v>45626</v>
      </c>
      <c r="D115" s="55">
        <v>45641</v>
      </c>
      <c r="E115" s="51"/>
      <c r="F115" s="51"/>
      <c r="G115" s="51"/>
    </row>
    <row r="116" spans="1:8" x14ac:dyDescent="0.2">
      <c r="A116" s="56"/>
      <c r="B116" s="25" t="s">
        <v>113</v>
      </c>
      <c r="C116" s="57">
        <v>39.467199999999998</v>
      </c>
      <c r="D116" s="57">
        <v>39.601199999999999</v>
      </c>
      <c r="E116" s="56"/>
      <c r="F116" s="58"/>
      <c r="G116" s="59"/>
    </row>
    <row r="117" spans="1:8" ht="25.5" x14ac:dyDescent="0.2">
      <c r="A117" s="56"/>
      <c r="B117" s="25" t="s">
        <v>605</v>
      </c>
      <c r="C117" s="57">
        <v>17.481999999999999</v>
      </c>
      <c r="D117" s="57">
        <v>17.5413</v>
      </c>
      <c r="E117" s="56"/>
      <c r="F117" s="58"/>
      <c r="G117" s="59"/>
    </row>
    <row r="118" spans="1:8" ht="25.5" x14ac:dyDescent="0.2">
      <c r="A118" s="56"/>
      <c r="B118" s="25" t="s">
        <v>606</v>
      </c>
      <c r="C118" s="57">
        <v>19.371600000000001</v>
      </c>
      <c r="D118" s="57">
        <v>19.362200000000001</v>
      </c>
      <c r="E118" s="56"/>
      <c r="F118" s="58"/>
      <c r="G118" s="59"/>
    </row>
    <row r="119" spans="1:8" ht="25.5" x14ac:dyDescent="0.2">
      <c r="A119" s="56"/>
      <c r="B119" s="25" t="s">
        <v>607</v>
      </c>
      <c r="C119" s="57">
        <v>17.445900000000002</v>
      </c>
      <c r="D119" s="57">
        <v>17.505099999999999</v>
      </c>
      <c r="E119" s="56"/>
      <c r="F119" s="58"/>
      <c r="G119" s="59"/>
    </row>
    <row r="120" spans="1:8" ht="25.5" x14ac:dyDescent="0.2">
      <c r="A120" s="56"/>
      <c r="B120" s="25" t="s">
        <v>608</v>
      </c>
      <c r="C120" s="57">
        <v>17.559999999999999</v>
      </c>
      <c r="D120" s="57">
        <v>17.619700000000002</v>
      </c>
      <c r="E120" s="56"/>
      <c r="F120" s="58"/>
      <c r="G120" s="59"/>
    </row>
    <row r="121" spans="1:8" x14ac:dyDescent="0.2">
      <c r="A121" s="56"/>
      <c r="B121" s="25" t="s">
        <v>114</v>
      </c>
      <c r="C121" s="57">
        <v>38.217599999999997</v>
      </c>
      <c r="D121" s="57">
        <v>38.343699999999998</v>
      </c>
      <c r="E121" s="56"/>
      <c r="F121" s="58"/>
      <c r="G121" s="59"/>
    </row>
    <row r="122" spans="1:8" ht="25.5" x14ac:dyDescent="0.2">
      <c r="A122" s="56"/>
      <c r="B122" s="25" t="s">
        <v>609</v>
      </c>
      <c r="C122" s="57">
        <v>16.521999999999998</v>
      </c>
      <c r="D122" s="57">
        <v>16.576499999999999</v>
      </c>
      <c r="E122" s="56"/>
      <c r="F122" s="58"/>
      <c r="G122" s="59"/>
    </row>
    <row r="123" spans="1:8" ht="25.5" x14ac:dyDescent="0.2">
      <c r="A123" s="56"/>
      <c r="B123" s="25" t="s">
        <v>610</v>
      </c>
      <c r="C123" s="57">
        <v>18.797699999999999</v>
      </c>
      <c r="D123" s="57">
        <v>18.784600000000001</v>
      </c>
      <c r="E123" s="56"/>
      <c r="F123" s="58"/>
      <c r="G123" s="59"/>
    </row>
    <row r="124" spans="1:8" ht="25.5" x14ac:dyDescent="0.2">
      <c r="A124" s="56"/>
      <c r="B124" s="25" t="s">
        <v>611</v>
      </c>
      <c r="C124" s="57">
        <v>17.331499999999998</v>
      </c>
      <c r="D124" s="57">
        <v>17.3887</v>
      </c>
      <c r="E124" s="56"/>
      <c r="F124" s="58"/>
      <c r="G124" s="59"/>
    </row>
    <row r="125" spans="1:8" ht="25.5" x14ac:dyDescent="0.2">
      <c r="A125" s="56"/>
      <c r="B125" s="25" t="s">
        <v>612</v>
      </c>
      <c r="C125" s="57">
        <v>17.0395</v>
      </c>
      <c r="D125" s="57">
        <v>17.095600000000001</v>
      </c>
      <c r="E125" s="56"/>
      <c r="F125" s="58"/>
      <c r="G125" s="59"/>
    </row>
    <row r="126" spans="1:8" x14ac:dyDescent="0.2">
      <c r="A126" s="56"/>
      <c r="B126" s="56"/>
      <c r="C126" s="56"/>
      <c r="D126" s="56"/>
      <c r="E126" s="56"/>
      <c r="F126" s="56"/>
      <c r="G126" s="56"/>
    </row>
    <row r="127" spans="1:8" x14ac:dyDescent="0.2">
      <c r="A127" s="56"/>
      <c r="B127" s="179" t="s">
        <v>598</v>
      </c>
      <c r="C127" s="180"/>
      <c r="D127" s="17" t="s">
        <v>12</v>
      </c>
      <c r="E127" s="56"/>
      <c r="F127" s="56"/>
      <c r="G127" s="56"/>
    </row>
    <row r="128" spans="1:8" x14ac:dyDescent="0.2">
      <c r="A128" s="56"/>
      <c r="B128" s="60" t="s">
        <v>112</v>
      </c>
      <c r="C128" s="61" t="s">
        <v>115</v>
      </c>
      <c r="D128" s="61" t="s">
        <v>116</v>
      </c>
      <c r="E128" s="56"/>
      <c r="F128" s="56"/>
      <c r="G128" s="56"/>
    </row>
    <row r="129" spans="1:14" ht="25.5" x14ac:dyDescent="0.2">
      <c r="A129" s="56"/>
      <c r="B129" s="25" t="s">
        <v>606</v>
      </c>
      <c r="C129" s="62">
        <v>7.4999999999999997E-2</v>
      </c>
      <c r="D129" s="29" t="s">
        <v>117</v>
      </c>
      <c r="E129" s="56"/>
      <c r="F129" s="58"/>
      <c r="G129" s="59"/>
    </row>
    <row r="130" spans="1:14" ht="25.5" x14ac:dyDescent="0.2">
      <c r="A130" s="56"/>
      <c r="B130" s="25" t="s">
        <v>610</v>
      </c>
      <c r="C130" s="62">
        <v>7.4999999999999997E-2</v>
      </c>
      <c r="D130" s="62">
        <v>7.4999999999999997E-2</v>
      </c>
      <c r="E130" s="56"/>
      <c r="F130" s="58"/>
      <c r="G130" s="59"/>
    </row>
    <row r="131" spans="1:14" x14ac:dyDescent="0.2">
      <c r="A131" s="56"/>
      <c r="B131" s="63"/>
      <c r="C131" s="63"/>
      <c r="D131" s="64"/>
      <c r="E131" s="56"/>
      <c r="F131" s="58"/>
      <c r="G131" s="59"/>
    </row>
    <row r="132" spans="1:14" ht="25.5" customHeight="1" x14ac:dyDescent="0.2">
      <c r="A132" s="51"/>
      <c r="B132" s="173" t="s">
        <v>118</v>
      </c>
      <c r="C132" s="174"/>
      <c r="D132" s="33" t="s">
        <v>108</v>
      </c>
      <c r="E132" s="65"/>
      <c r="F132" s="51"/>
      <c r="G132" s="51"/>
    </row>
    <row r="133" spans="1:14" ht="26.25" customHeight="1" x14ac:dyDescent="0.2">
      <c r="A133" s="51"/>
      <c r="B133" s="173" t="s">
        <v>119</v>
      </c>
      <c r="C133" s="174"/>
      <c r="D133" s="33" t="s">
        <v>108</v>
      </c>
      <c r="E133" s="65"/>
      <c r="F133" s="51"/>
      <c r="G133" s="51"/>
    </row>
    <row r="134" spans="1:14" x14ac:dyDescent="0.2">
      <c r="A134" s="51"/>
      <c r="B134" s="173" t="s">
        <v>584</v>
      </c>
      <c r="C134" s="174"/>
      <c r="D134" s="33" t="s">
        <v>108</v>
      </c>
      <c r="E134" s="65"/>
      <c r="F134" s="51"/>
      <c r="G134" s="51"/>
    </row>
    <row r="135" spans="1:14" x14ac:dyDescent="0.2">
      <c r="A135" s="66"/>
      <c r="B135" s="66"/>
      <c r="C135" s="66"/>
      <c r="D135" s="66"/>
      <c r="E135" s="66"/>
      <c r="F135" s="66"/>
      <c r="G135" s="66"/>
    </row>
    <row r="136" spans="1:14" s="67" customFormat="1" x14ac:dyDescent="0.2">
      <c r="B136" s="181" t="s">
        <v>585</v>
      </c>
      <c r="C136" s="182"/>
      <c r="D136" s="183"/>
      <c r="I136"/>
      <c r="J136" s="35"/>
      <c r="K136" s="35"/>
      <c r="L136" s="35"/>
      <c r="M136" s="35"/>
      <c r="N136" s="35"/>
    </row>
    <row r="137" spans="1:14" s="67" customFormat="1" ht="38.25" x14ac:dyDescent="0.2">
      <c r="B137" s="175" t="s">
        <v>586</v>
      </c>
      <c r="C137" s="175"/>
      <c r="D137" s="68" t="s">
        <v>1</v>
      </c>
      <c r="I137"/>
      <c r="J137" s="35"/>
      <c r="K137" s="35"/>
      <c r="L137" s="35"/>
      <c r="M137" s="35"/>
      <c r="N137" s="35"/>
    </row>
    <row r="138" spans="1:14" s="67" customFormat="1" x14ac:dyDescent="0.2">
      <c r="B138" s="167" t="s">
        <v>587</v>
      </c>
      <c r="C138" s="167"/>
      <c r="D138" s="69"/>
      <c r="I138"/>
      <c r="J138" s="35"/>
      <c r="K138" s="35"/>
      <c r="L138" s="35"/>
      <c r="M138" s="35"/>
      <c r="N138" s="35"/>
    </row>
    <row r="139" spans="1:14" s="67" customFormat="1" x14ac:dyDescent="0.2">
      <c r="B139" s="168"/>
      <c r="C139" s="169"/>
      <c r="D139" s="70"/>
      <c r="I139"/>
      <c r="J139" s="35"/>
      <c r="K139" s="35"/>
      <c r="L139" s="35"/>
      <c r="M139" s="35"/>
      <c r="N139" s="35"/>
    </row>
    <row r="140" spans="1:14" s="67" customFormat="1" x14ac:dyDescent="0.2">
      <c r="B140" s="167" t="s">
        <v>588</v>
      </c>
      <c r="C140" s="167"/>
      <c r="D140" s="71">
        <v>7.2988747520677748</v>
      </c>
      <c r="I140"/>
      <c r="J140" s="35"/>
      <c r="K140" s="35"/>
      <c r="L140" s="35"/>
      <c r="M140" s="35"/>
      <c r="N140" s="35"/>
    </row>
    <row r="141" spans="1:14" s="67" customFormat="1" x14ac:dyDescent="0.2">
      <c r="B141" s="168"/>
      <c r="C141" s="169"/>
      <c r="D141" s="70"/>
      <c r="I141"/>
      <c r="J141" s="35"/>
      <c r="K141" s="35"/>
      <c r="L141" s="35"/>
      <c r="M141" s="35"/>
      <c r="N141" s="35"/>
    </row>
    <row r="142" spans="1:14" s="67" customFormat="1" x14ac:dyDescent="0.2">
      <c r="B142" s="167" t="s">
        <v>589</v>
      </c>
      <c r="C142" s="167"/>
      <c r="D142" s="71">
        <v>4.3137708451611463</v>
      </c>
      <c r="I142"/>
      <c r="J142" s="35"/>
      <c r="K142" s="35"/>
      <c r="L142" s="35"/>
      <c r="M142" s="35"/>
      <c r="N142" s="35"/>
    </row>
    <row r="143" spans="1:14" s="67" customFormat="1" x14ac:dyDescent="0.2">
      <c r="B143" s="167" t="s">
        <v>590</v>
      </c>
      <c r="C143" s="167"/>
      <c r="D143" s="71">
        <v>6.2196295731574498</v>
      </c>
      <c r="I143"/>
      <c r="J143" s="35"/>
      <c r="K143" s="35"/>
      <c r="L143" s="35"/>
      <c r="M143" s="35"/>
      <c r="N143" s="35"/>
    </row>
    <row r="144" spans="1:14" s="67" customFormat="1" x14ac:dyDescent="0.2">
      <c r="B144" s="168"/>
      <c r="C144" s="169"/>
      <c r="D144" s="70"/>
      <c r="I144"/>
      <c r="J144" s="35"/>
      <c r="K144" s="35"/>
      <c r="L144" s="35"/>
      <c r="M144" s="35"/>
      <c r="N144" s="35"/>
    </row>
    <row r="145" spans="2:14" s="67" customFormat="1" x14ac:dyDescent="0.2">
      <c r="B145" s="167" t="s">
        <v>591</v>
      </c>
      <c r="C145" s="167"/>
      <c r="D145" s="72" t="s">
        <v>694</v>
      </c>
      <c r="I145"/>
      <c r="J145" s="35"/>
      <c r="K145" s="35"/>
      <c r="L145" s="35"/>
      <c r="M145" s="35"/>
      <c r="N145" s="73"/>
    </row>
    <row r="146" spans="2:14" s="67" customFormat="1" x14ac:dyDescent="0.2">
      <c r="B146" s="168" t="s">
        <v>592</v>
      </c>
      <c r="C146" s="170"/>
      <c r="D146" s="169"/>
      <c r="I146"/>
      <c r="J146" s="35"/>
      <c r="K146" s="35"/>
      <c r="L146" s="35"/>
      <c r="M146" s="35"/>
      <c r="N146" s="35"/>
    </row>
    <row r="148" spans="2:14" ht="25.5" x14ac:dyDescent="0.2">
      <c r="B148" s="74" t="s">
        <v>593</v>
      </c>
    </row>
    <row r="150" spans="2:14" ht="153.75" customHeight="1" x14ac:dyDescent="0.2"/>
    <row r="153" spans="2:14" x14ac:dyDescent="0.2">
      <c r="B153" s="75" t="s">
        <v>594</v>
      </c>
      <c r="C153" s="76"/>
      <c r="D153" s="75" t="s">
        <v>595</v>
      </c>
    </row>
    <row r="154" spans="2:14" x14ac:dyDescent="0.2">
      <c r="B154" s="75" t="s">
        <v>596</v>
      </c>
      <c r="D154" s="75" t="s">
        <v>597</v>
      </c>
    </row>
    <row r="155" spans="2:14" ht="165" customHeight="1" x14ac:dyDescent="0.2"/>
  </sheetData>
  <mergeCells count="25">
    <mergeCell ref="B108:H108"/>
    <mergeCell ref="B134:C134"/>
    <mergeCell ref="B137:C137"/>
    <mergeCell ref="B110:D110"/>
    <mergeCell ref="B111:C111"/>
    <mergeCell ref="B112:C112"/>
    <mergeCell ref="B113:C113"/>
    <mergeCell ref="B127:C127"/>
    <mergeCell ref="B133:C133"/>
    <mergeCell ref="B132:C132"/>
    <mergeCell ref="B136:D136"/>
    <mergeCell ref="A1:H1"/>
    <mergeCell ref="A2:H2"/>
    <mergeCell ref="A3:H3"/>
    <mergeCell ref="B106:H106"/>
    <mergeCell ref="B107:H107"/>
    <mergeCell ref="B143:C143"/>
    <mergeCell ref="B144:C144"/>
    <mergeCell ref="B145:C145"/>
    <mergeCell ref="B146:D146"/>
    <mergeCell ref="B138:C138"/>
    <mergeCell ref="B139:C139"/>
    <mergeCell ref="B140:C140"/>
    <mergeCell ref="B141:C141"/>
    <mergeCell ref="B142:C142"/>
  </mergeCells>
  <hyperlinks>
    <hyperlink ref="I1" location="Index!B2" display="Index" xr:uid="{FFFD918D-FA4D-44D2-92D9-F18244BB71B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ADB0-83C7-43DA-868C-3DD1A0361AAF}">
  <sheetPr>
    <outlinePr summaryBelow="0" summaryRight="0"/>
  </sheetPr>
  <dimension ref="A1:R144"/>
  <sheetViews>
    <sheetView showGridLines="0" workbookViewId="0">
      <selection sqref="A1:H1"/>
    </sheetView>
  </sheetViews>
  <sheetFormatPr defaultRowHeight="12.75" x14ac:dyDescent="0.2"/>
  <cols>
    <col min="1" max="1" width="5.85546875" bestFit="1" customWidth="1"/>
    <col min="2" max="2" width="22.140625" customWidth="1"/>
    <col min="3" max="3" width="41.85546875" customWidth="1"/>
    <col min="4" max="4" width="13.140625" customWidth="1"/>
    <col min="5" max="5" width="9.42578125" bestFit="1" customWidth="1"/>
    <col min="6" max="6" width="10.140625" bestFit="1" customWidth="1"/>
    <col min="7" max="7" width="14" bestFit="1" customWidth="1"/>
    <col min="8" max="8" width="8" customWidth="1"/>
    <col min="9" max="9" width="5.7109375" bestFit="1" customWidth="1"/>
  </cols>
  <sheetData>
    <row r="1" spans="1:9" ht="15" x14ac:dyDescent="0.2">
      <c r="A1" s="171" t="s">
        <v>0</v>
      </c>
      <c r="B1" s="171"/>
      <c r="C1" s="171"/>
      <c r="D1" s="171"/>
      <c r="E1" s="171"/>
      <c r="F1" s="171"/>
      <c r="G1" s="171"/>
      <c r="H1" s="171"/>
      <c r="I1" s="7" t="s">
        <v>576</v>
      </c>
    </row>
    <row r="2" spans="1:9" ht="15" x14ac:dyDescent="0.2">
      <c r="A2" s="171" t="s">
        <v>120</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575</v>
      </c>
    </row>
    <row r="5" spans="1:9" x14ac:dyDescent="0.2">
      <c r="A5" s="16"/>
      <c r="B5" s="16"/>
      <c r="C5" s="17" t="s">
        <v>9</v>
      </c>
      <c r="D5" s="16"/>
      <c r="E5" s="16"/>
      <c r="F5" s="16"/>
      <c r="G5" s="16"/>
      <c r="H5" s="18" t="s">
        <v>12</v>
      </c>
    </row>
    <row r="6" spans="1:9" ht="24" customHeight="1" x14ac:dyDescent="0.2">
      <c r="A6" s="16"/>
      <c r="B6" s="16"/>
      <c r="C6" s="17" t="s">
        <v>10</v>
      </c>
      <c r="D6" s="16"/>
      <c r="E6" s="16"/>
      <c r="F6" s="16"/>
      <c r="G6" s="16"/>
      <c r="H6" s="18" t="s">
        <v>12</v>
      </c>
    </row>
    <row r="7" spans="1:9" ht="14.1" customHeight="1" x14ac:dyDescent="0.2">
      <c r="A7" s="16"/>
      <c r="B7" s="16"/>
      <c r="C7" s="17" t="s">
        <v>11</v>
      </c>
      <c r="D7" s="16"/>
      <c r="E7" s="16" t="s">
        <v>12</v>
      </c>
      <c r="F7" s="19" t="s">
        <v>13</v>
      </c>
      <c r="G7" s="20">
        <v>0</v>
      </c>
      <c r="H7" s="18" t="s">
        <v>12</v>
      </c>
    </row>
    <row r="8" spans="1:9" ht="14.1" customHeight="1" x14ac:dyDescent="0.2">
      <c r="A8" s="16"/>
      <c r="B8" s="16"/>
      <c r="C8" s="21"/>
      <c r="D8" s="16"/>
      <c r="E8" s="16"/>
      <c r="F8" s="22"/>
      <c r="G8" s="22"/>
      <c r="H8" s="18" t="s">
        <v>12</v>
      </c>
    </row>
    <row r="9" spans="1:9" ht="14.1" customHeight="1" x14ac:dyDescent="0.2">
      <c r="A9" s="16"/>
      <c r="B9" s="16"/>
      <c r="C9" s="17" t="s">
        <v>14</v>
      </c>
      <c r="D9" s="16"/>
      <c r="E9" s="16"/>
      <c r="F9" s="16"/>
      <c r="G9" s="16"/>
      <c r="H9" s="18" t="s">
        <v>12</v>
      </c>
    </row>
    <row r="10" spans="1:9" ht="14.1" customHeight="1" x14ac:dyDescent="0.2">
      <c r="A10" s="16"/>
      <c r="B10" s="16"/>
      <c r="C10" s="17" t="s">
        <v>11</v>
      </c>
      <c r="D10" s="16"/>
      <c r="E10" s="16" t="s">
        <v>12</v>
      </c>
      <c r="F10" s="19" t="s">
        <v>13</v>
      </c>
      <c r="G10" s="20">
        <v>0</v>
      </c>
      <c r="H10" s="18" t="s">
        <v>12</v>
      </c>
    </row>
    <row r="11" spans="1:9" ht="14.1" customHeight="1" x14ac:dyDescent="0.2">
      <c r="A11" s="16"/>
      <c r="B11" s="16"/>
      <c r="C11" s="21"/>
      <c r="D11" s="16"/>
      <c r="E11" s="16"/>
      <c r="F11" s="22"/>
      <c r="G11" s="22"/>
      <c r="H11" s="18" t="s">
        <v>12</v>
      </c>
    </row>
    <row r="12" spans="1:9" ht="14.1" customHeight="1" x14ac:dyDescent="0.2">
      <c r="A12" s="16"/>
      <c r="B12" s="16"/>
      <c r="C12" s="17" t="s">
        <v>15</v>
      </c>
      <c r="D12" s="16"/>
      <c r="E12" s="16"/>
      <c r="F12" s="16"/>
      <c r="G12" s="16"/>
      <c r="H12" s="18" t="s">
        <v>12</v>
      </c>
    </row>
    <row r="13" spans="1:9" ht="14.1" customHeight="1" x14ac:dyDescent="0.2">
      <c r="A13" s="16"/>
      <c r="B13" s="16"/>
      <c r="C13" s="17" t="s">
        <v>11</v>
      </c>
      <c r="D13" s="16"/>
      <c r="E13" s="16" t="s">
        <v>12</v>
      </c>
      <c r="F13" s="19" t="s">
        <v>13</v>
      </c>
      <c r="G13" s="20">
        <v>0</v>
      </c>
      <c r="H13" s="18" t="s">
        <v>12</v>
      </c>
    </row>
    <row r="14" spans="1:9" ht="14.1" customHeight="1" x14ac:dyDescent="0.2">
      <c r="A14" s="16"/>
      <c r="B14" s="16"/>
      <c r="C14" s="21"/>
      <c r="D14" s="16"/>
      <c r="E14" s="16"/>
      <c r="F14" s="22"/>
      <c r="G14" s="22"/>
      <c r="H14" s="18" t="s">
        <v>12</v>
      </c>
    </row>
    <row r="15" spans="1:9" ht="14.1" customHeight="1" x14ac:dyDescent="0.2">
      <c r="A15" s="16"/>
      <c r="B15" s="16"/>
      <c r="C15" s="17" t="s">
        <v>16</v>
      </c>
      <c r="D15" s="16"/>
      <c r="E15" s="16"/>
      <c r="F15" s="16"/>
      <c r="G15" s="16"/>
      <c r="H15" s="18" t="s">
        <v>12</v>
      </c>
    </row>
    <row r="16" spans="1:9" ht="14.1" customHeight="1" x14ac:dyDescent="0.2">
      <c r="A16" s="16"/>
      <c r="B16" s="16"/>
      <c r="C16" s="17" t="s">
        <v>11</v>
      </c>
      <c r="D16" s="16"/>
      <c r="E16" s="16" t="s">
        <v>12</v>
      </c>
      <c r="F16" s="19" t="s">
        <v>13</v>
      </c>
      <c r="G16" s="20">
        <v>0</v>
      </c>
      <c r="H16" s="18" t="s">
        <v>12</v>
      </c>
    </row>
    <row r="17" spans="1:8" ht="14.1" customHeight="1" x14ac:dyDescent="0.2">
      <c r="A17" s="16"/>
      <c r="B17" s="16"/>
      <c r="C17" s="21"/>
      <c r="D17" s="16"/>
      <c r="E17" s="16"/>
      <c r="F17" s="22"/>
      <c r="G17" s="22"/>
      <c r="H17" s="18" t="s">
        <v>12</v>
      </c>
    </row>
    <row r="18" spans="1:8" ht="14.1" customHeight="1" x14ac:dyDescent="0.2">
      <c r="A18" s="16"/>
      <c r="B18" s="16"/>
      <c r="C18" s="17" t="s">
        <v>17</v>
      </c>
      <c r="D18" s="16"/>
      <c r="E18" s="16"/>
      <c r="F18" s="22"/>
      <c r="G18" s="22"/>
      <c r="H18" s="18" t="s">
        <v>12</v>
      </c>
    </row>
    <row r="19" spans="1:8" ht="14.1" customHeight="1" x14ac:dyDescent="0.2">
      <c r="A19" s="16"/>
      <c r="B19" s="16"/>
      <c r="C19" s="17" t="s">
        <v>11</v>
      </c>
      <c r="D19" s="16"/>
      <c r="E19" s="16" t="s">
        <v>12</v>
      </c>
      <c r="F19" s="19" t="s">
        <v>13</v>
      </c>
      <c r="G19" s="20">
        <v>0</v>
      </c>
      <c r="H19" s="18" t="s">
        <v>12</v>
      </c>
    </row>
    <row r="20" spans="1:8" ht="14.1" customHeight="1" x14ac:dyDescent="0.2">
      <c r="A20" s="16"/>
      <c r="B20" s="16"/>
      <c r="C20" s="21"/>
      <c r="D20" s="16"/>
      <c r="E20" s="16"/>
      <c r="F20" s="22"/>
      <c r="G20" s="22"/>
      <c r="H20" s="18" t="s">
        <v>12</v>
      </c>
    </row>
    <row r="21" spans="1:8" ht="14.1" customHeight="1" x14ac:dyDescent="0.2">
      <c r="A21" s="16"/>
      <c r="B21" s="16"/>
      <c r="C21" s="17" t="s">
        <v>18</v>
      </c>
      <c r="D21" s="16"/>
      <c r="E21" s="16"/>
      <c r="F21" s="22"/>
      <c r="G21" s="22"/>
      <c r="H21" s="18" t="s">
        <v>12</v>
      </c>
    </row>
    <row r="22" spans="1:8" ht="14.1" customHeight="1" x14ac:dyDescent="0.2">
      <c r="A22" s="16"/>
      <c r="B22" s="16"/>
      <c r="C22" s="17" t="s">
        <v>11</v>
      </c>
      <c r="D22" s="16"/>
      <c r="E22" s="16" t="s">
        <v>12</v>
      </c>
      <c r="F22" s="19" t="s">
        <v>13</v>
      </c>
      <c r="G22" s="20">
        <v>0</v>
      </c>
      <c r="H22" s="18" t="s">
        <v>12</v>
      </c>
    </row>
    <row r="23" spans="1:8" ht="14.1" customHeight="1" x14ac:dyDescent="0.2">
      <c r="A23" s="16"/>
      <c r="B23" s="16"/>
      <c r="C23" s="21"/>
      <c r="D23" s="16"/>
      <c r="E23" s="16"/>
      <c r="F23" s="22"/>
      <c r="G23" s="22"/>
      <c r="H23" s="18" t="s">
        <v>12</v>
      </c>
    </row>
    <row r="24" spans="1:8" ht="18" customHeight="1" x14ac:dyDescent="0.2">
      <c r="A24" s="16"/>
      <c r="B24" s="16"/>
      <c r="C24" s="17" t="s">
        <v>19</v>
      </c>
      <c r="D24" s="16"/>
      <c r="E24" s="16"/>
      <c r="F24" s="23">
        <v>0</v>
      </c>
      <c r="G24" s="20">
        <v>0</v>
      </c>
      <c r="H24" s="18" t="s">
        <v>12</v>
      </c>
    </row>
    <row r="25" spans="1:8" ht="14.1" customHeight="1" x14ac:dyDescent="0.2">
      <c r="A25" s="16"/>
      <c r="B25" s="16"/>
      <c r="C25" s="21"/>
      <c r="D25" s="16"/>
      <c r="E25" s="16"/>
      <c r="F25" s="22"/>
      <c r="G25" s="22"/>
      <c r="H25" s="18" t="s">
        <v>12</v>
      </c>
    </row>
    <row r="26" spans="1:8" ht="14.1" customHeight="1" x14ac:dyDescent="0.2">
      <c r="A26" s="16"/>
      <c r="B26" s="16"/>
      <c r="C26" s="17" t="s">
        <v>20</v>
      </c>
      <c r="D26" s="16"/>
      <c r="E26" s="16"/>
      <c r="F26" s="22"/>
      <c r="G26" s="22"/>
      <c r="H26" s="18" t="s">
        <v>12</v>
      </c>
    </row>
    <row r="27" spans="1:8" ht="24" customHeight="1" x14ac:dyDescent="0.2">
      <c r="A27" s="16"/>
      <c r="B27" s="16"/>
      <c r="C27" s="17" t="s">
        <v>10</v>
      </c>
      <c r="D27" s="16"/>
      <c r="E27" s="16"/>
      <c r="F27" s="22"/>
      <c r="G27" s="22"/>
      <c r="H27" s="18" t="s">
        <v>12</v>
      </c>
    </row>
    <row r="28" spans="1:8" ht="29.1" customHeight="1" x14ac:dyDescent="0.2">
      <c r="A28" s="24">
        <v>1</v>
      </c>
      <c r="B28" s="25" t="s">
        <v>49</v>
      </c>
      <c r="C28" s="25" t="s">
        <v>50</v>
      </c>
      <c r="D28" s="25" t="s">
        <v>36</v>
      </c>
      <c r="E28" s="26">
        <v>300</v>
      </c>
      <c r="F28" s="27">
        <v>3014.0279999999998</v>
      </c>
      <c r="G28" s="28">
        <v>8.9620649999999996E-2</v>
      </c>
      <c r="H28" s="18">
        <v>7.2525000000000004</v>
      </c>
    </row>
    <row r="29" spans="1:8" ht="17.100000000000001" customHeight="1" x14ac:dyDescent="0.2">
      <c r="A29" s="24">
        <v>2</v>
      </c>
      <c r="B29" s="25" t="s">
        <v>121</v>
      </c>
      <c r="C29" s="25" t="s">
        <v>122</v>
      </c>
      <c r="D29" s="25" t="s">
        <v>36</v>
      </c>
      <c r="E29" s="26">
        <v>250</v>
      </c>
      <c r="F29" s="27">
        <v>2509.2150000000001</v>
      </c>
      <c r="G29" s="28">
        <v>7.4610280000000001E-2</v>
      </c>
      <c r="H29" s="18">
        <v>7.4</v>
      </c>
    </row>
    <row r="30" spans="1:8" ht="17.100000000000001" customHeight="1" x14ac:dyDescent="0.2">
      <c r="A30" s="24">
        <v>3</v>
      </c>
      <c r="B30" s="25" t="s">
        <v>123</v>
      </c>
      <c r="C30" s="25" t="s">
        <v>124</v>
      </c>
      <c r="D30" s="25" t="s">
        <v>23</v>
      </c>
      <c r="E30" s="26">
        <v>2500</v>
      </c>
      <c r="F30" s="27">
        <v>2506.2049999999999</v>
      </c>
      <c r="G30" s="28">
        <v>7.4520779999999995E-2</v>
      </c>
      <c r="H30" s="18">
        <v>7.5913000000000004</v>
      </c>
    </row>
    <row r="31" spans="1:8" ht="29.1" customHeight="1" x14ac:dyDescent="0.2">
      <c r="A31" s="24">
        <v>4</v>
      </c>
      <c r="B31" s="25" t="s">
        <v>125</v>
      </c>
      <c r="C31" s="25" t="s">
        <v>126</v>
      </c>
      <c r="D31" s="25" t="s">
        <v>23</v>
      </c>
      <c r="E31" s="26">
        <v>2000</v>
      </c>
      <c r="F31" s="27">
        <v>2009.134</v>
      </c>
      <c r="G31" s="28">
        <v>5.9740620000000001E-2</v>
      </c>
      <c r="H31" s="18">
        <v>7.37</v>
      </c>
    </row>
    <row r="32" spans="1:8" ht="29.1" customHeight="1" x14ac:dyDescent="0.2">
      <c r="A32" s="24">
        <v>5</v>
      </c>
      <c r="B32" s="25" t="s">
        <v>127</v>
      </c>
      <c r="C32" s="25" t="s">
        <v>128</v>
      </c>
      <c r="D32" s="25" t="s">
        <v>36</v>
      </c>
      <c r="E32" s="26">
        <v>200</v>
      </c>
      <c r="F32" s="27">
        <v>1998.91</v>
      </c>
      <c r="G32" s="28">
        <v>5.9436610000000001E-2</v>
      </c>
      <c r="H32" s="18">
        <v>7.61</v>
      </c>
    </row>
    <row r="33" spans="1:8" ht="29.1" customHeight="1" x14ac:dyDescent="0.2">
      <c r="A33" s="24">
        <v>6</v>
      </c>
      <c r="B33" s="25" t="s">
        <v>129</v>
      </c>
      <c r="C33" s="25" t="s">
        <v>130</v>
      </c>
      <c r="D33" s="25" t="s">
        <v>36</v>
      </c>
      <c r="E33" s="26">
        <v>200</v>
      </c>
      <c r="F33" s="27">
        <v>1953.2460000000001</v>
      </c>
      <c r="G33" s="28">
        <v>5.8078820000000003E-2</v>
      </c>
      <c r="H33" s="18">
        <v>7.58</v>
      </c>
    </row>
    <row r="34" spans="1:8" ht="29.1" customHeight="1" x14ac:dyDescent="0.2">
      <c r="A34" s="24">
        <v>7</v>
      </c>
      <c r="B34" s="25" t="s">
        <v>37</v>
      </c>
      <c r="C34" s="25" t="s">
        <v>38</v>
      </c>
      <c r="D34" s="25" t="s">
        <v>23</v>
      </c>
      <c r="E34" s="26">
        <v>1500</v>
      </c>
      <c r="F34" s="27">
        <v>1508.8364999999999</v>
      </c>
      <c r="G34" s="28">
        <v>4.4864519999999998E-2</v>
      </c>
      <c r="H34" s="18">
        <v>7.44</v>
      </c>
    </row>
    <row r="35" spans="1:8" ht="29.1" customHeight="1" x14ac:dyDescent="0.2">
      <c r="A35" s="24">
        <v>8</v>
      </c>
      <c r="B35" s="25" t="s">
        <v>131</v>
      </c>
      <c r="C35" s="25" t="s">
        <v>132</v>
      </c>
      <c r="D35" s="25" t="s">
        <v>36</v>
      </c>
      <c r="E35" s="26">
        <v>150</v>
      </c>
      <c r="F35" s="27">
        <v>1496.2845</v>
      </c>
      <c r="G35" s="28">
        <v>4.4491290000000003E-2</v>
      </c>
      <c r="H35" s="18">
        <v>7.61</v>
      </c>
    </row>
    <row r="36" spans="1:8" ht="29.1" customHeight="1" x14ac:dyDescent="0.2">
      <c r="A36" s="24">
        <v>9</v>
      </c>
      <c r="B36" s="25" t="s">
        <v>43</v>
      </c>
      <c r="C36" s="25" t="s">
        <v>44</v>
      </c>
      <c r="D36" s="25" t="s">
        <v>23</v>
      </c>
      <c r="E36" s="26">
        <v>1500</v>
      </c>
      <c r="F36" s="27">
        <v>1495.2750000000001</v>
      </c>
      <c r="G36" s="28">
        <v>4.4461269999999997E-2</v>
      </c>
      <c r="H36" s="18">
        <v>7.42</v>
      </c>
    </row>
    <row r="37" spans="1:8" ht="29.1" customHeight="1" x14ac:dyDescent="0.2">
      <c r="A37" s="24">
        <v>10</v>
      </c>
      <c r="B37" s="25" t="s">
        <v>133</v>
      </c>
      <c r="C37" s="25" t="s">
        <v>134</v>
      </c>
      <c r="D37" s="25" t="s">
        <v>23</v>
      </c>
      <c r="E37" s="26">
        <v>1000</v>
      </c>
      <c r="F37" s="27">
        <v>1012.771</v>
      </c>
      <c r="G37" s="28">
        <v>3.0114249999999999E-2</v>
      </c>
      <c r="H37" s="18">
        <v>7.1527000000000003</v>
      </c>
    </row>
    <row r="38" spans="1:8" ht="29.1" customHeight="1" x14ac:dyDescent="0.2">
      <c r="A38" s="24">
        <v>11</v>
      </c>
      <c r="B38" s="25" t="s">
        <v>24</v>
      </c>
      <c r="C38" s="25" t="s">
        <v>25</v>
      </c>
      <c r="D38" s="25" t="s">
        <v>23</v>
      </c>
      <c r="E38" s="26">
        <v>1000</v>
      </c>
      <c r="F38" s="27">
        <v>1005.2619999999999</v>
      </c>
      <c r="G38" s="28">
        <v>2.9890969999999999E-2</v>
      </c>
      <c r="H38" s="18">
        <v>7.24</v>
      </c>
    </row>
    <row r="39" spans="1:8" ht="29.1" customHeight="1" x14ac:dyDescent="0.2">
      <c r="A39" s="24">
        <v>12</v>
      </c>
      <c r="B39" s="25" t="s">
        <v>30</v>
      </c>
      <c r="C39" s="25" t="s">
        <v>31</v>
      </c>
      <c r="D39" s="25" t="s">
        <v>23</v>
      </c>
      <c r="E39" s="26">
        <v>500</v>
      </c>
      <c r="F39" s="27">
        <v>508.04</v>
      </c>
      <c r="G39" s="28">
        <v>1.5106319999999999E-2</v>
      </c>
      <c r="H39" s="18">
        <v>7.1338999999999997</v>
      </c>
    </row>
    <row r="40" spans="1:8" ht="29.1" customHeight="1" x14ac:dyDescent="0.2">
      <c r="A40" s="24">
        <v>13</v>
      </c>
      <c r="B40" s="25" t="s">
        <v>135</v>
      </c>
      <c r="C40" s="25" t="s">
        <v>136</v>
      </c>
      <c r="D40" s="25" t="s">
        <v>23</v>
      </c>
      <c r="E40" s="26">
        <v>500</v>
      </c>
      <c r="F40" s="27">
        <v>507.1755</v>
      </c>
      <c r="G40" s="28">
        <v>1.5080619999999999E-2</v>
      </c>
      <c r="H40" s="18">
        <v>7.2074999999999996</v>
      </c>
    </row>
    <row r="41" spans="1:8" ht="29.1" customHeight="1" x14ac:dyDescent="0.2">
      <c r="A41" s="24">
        <v>14</v>
      </c>
      <c r="B41" s="25" t="s">
        <v>47</v>
      </c>
      <c r="C41" s="25" t="s">
        <v>48</v>
      </c>
      <c r="D41" s="25" t="s">
        <v>23</v>
      </c>
      <c r="E41" s="26">
        <v>500</v>
      </c>
      <c r="F41" s="27">
        <v>503.85950000000003</v>
      </c>
      <c r="G41" s="28">
        <v>1.498202E-2</v>
      </c>
      <c r="H41" s="18">
        <v>7.38</v>
      </c>
    </row>
    <row r="42" spans="1:8" ht="29.1" customHeight="1" x14ac:dyDescent="0.2">
      <c r="A42" s="24">
        <v>15</v>
      </c>
      <c r="B42" s="25" t="s">
        <v>137</v>
      </c>
      <c r="C42" s="25" t="s">
        <v>138</v>
      </c>
      <c r="D42" s="25" t="s">
        <v>23</v>
      </c>
      <c r="E42" s="26">
        <v>500</v>
      </c>
      <c r="F42" s="27">
        <v>502.19499999999999</v>
      </c>
      <c r="G42" s="28">
        <v>1.4932519999999999E-2</v>
      </c>
      <c r="H42" s="18">
        <v>7.42</v>
      </c>
    </row>
    <row r="43" spans="1:8" ht="17.100000000000001" customHeight="1" x14ac:dyDescent="0.2">
      <c r="A43" s="24">
        <v>16</v>
      </c>
      <c r="B43" s="25" t="s">
        <v>55</v>
      </c>
      <c r="C43" s="25" t="s">
        <v>56</v>
      </c>
      <c r="D43" s="25" t="s">
        <v>23</v>
      </c>
      <c r="E43" s="26">
        <v>500</v>
      </c>
      <c r="F43" s="27">
        <v>501.423</v>
      </c>
      <c r="G43" s="28">
        <v>1.490957E-2</v>
      </c>
      <c r="H43" s="18">
        <v>7.5650000000000004</v>
      </c>
    </row>
    <row r="44" spans="1:8" ht="29.1" customHeight="1" x14ac:dyDescent="0.2">
      <c r="A44" s="24">
        <v>17</v>
      </c>
      <c r="B44" s="25" t="s">
        <v>51</v>
      </c>
      <c r="C44" s="25" t="s">
        <v>52</v>
      </c>
      <c r="D44" s="25" t="s">
        <v>23</v>
      </c>
      <c r="E44" s="26">
        <v>500</v>
      </c>
      <c r="F44" s="27">
        <v>499.36950000000002</v>
      </c>
      <c r="G44" s="28">
        <v>1.4848510000000001E-2</v>
      </c>
      <c r="H44" s="18">
        <v>7.45</v>
      </c>
    </row>
    <row r="45" spans="1:8" ht="14.1" customHeight="1" x14ac:dyDescent="0.2">
      <c r="A45" s="16"/>
      <c r="B45" s="16"/>
      <c r="C45" s="17" t="s">
        <v>11</v>
      </c>
      <c r="D45" s="16"/>
      <c r="E45" s="16" t="s">
        <v>12</v>
      </c>
      <c r="F45" s="23">
        <v>23531.229500000001</v>
      </c>
      <c r="G45" s="20">
        <v>0.69968962000000001</v>
      </c>
      <c r="H45" s="18" t="s">
        <v>12</v>
      </c>
    </row>
    <row r="46" spans="1:8" ht="14.1" customHeight="1" x14ac:dyDescent="0.2">
      <c r="A46" s="16"/>
      <c r="B46" s="16"/>
      <c r="C46" s="21"/>
      <c r="D46" s="16"/>
      <c r="E46" s="16"/>
      <c r="F46" s="22"/>
      <c r="G46" s="22"/>
      <c r="H46" s="18" t="s">
        <v>12</v>
      </c>
    </row>
    <row r="47" spans="1:8" ht="14.1" customHeight="1" x14ac:dyDescent="0.2">
      <c r="A47" s="16"/>
      <c r="B47" s="16"/>
      <c r="C47" s="17" t="s">
        <v>71</v>
      </c>
      <c r="D47" s="16"/>
      <c r="E47" s="16"/>
      <c r="F47" s="16"/>
      <c r="G47" s="16"/>
      <c r="H47" s="18" t="s">
        <v>12</v>
      </c>
    </row>
    <row r="48" spans="1:8" ht="14.1" customHeight="1" x14ac:dyDescent="0.2">
      <c r="A48" s="16"/>
      <c r="B48" s="16"/>
      <c r="C48" s="17" t="s">
        <v>11</v>
      </c>
      <c r="D48" s="16"/>
      <c r="E48" s="16" t="s">
        <v>12</v>
      </c>
      <c r="F48" s="19" t="s">
        <v>13</v>
      </c>
      <c r="G48" s="20">
        <v>0</v>
      </c>
      <c r="H48" s="18" t="s">
        <v>12</v>
      </c>
    </row>
    <row r="49" spans="1:8" ht="14.1" customHeight="1" x14ac:dyDescent="0.2">
      <c r="A49" s="16"/>
      <c r="B49" s="16"/>
      <c r="C49" s="21"/>
      <c r="D49" s="16"/>
      <c r="E49" s="16"/>
      <c r="F49" s="22"/>
      <c r="G49" s="22"/>
      <c r="H49" s="18" t="s">
        <v>12</v>
      </c>
    </row>
    <row r="50" spans="1:8" ht="14.1" customHeight="1" x14ac:dyDescent="0.2">
      <c r="A50" s="16"/>
      <c r="B50" s="16"/>
      <c r="C50" s="17" t="s">
        <v>72</v>
      </c>
      <c r="D50" s="16"/>
      <c r="E50" s="16"/>
      <c r="F50" s="16"/>
      <c r="G50" s="16"/>
      <c r="H50" s="18" t="s">
        <v>12</v>
      </c>
    </row>
    <row r="51" spans="1:8" ht="29.1" customHeight="1" x14ac:dyDescent="0.2">
      <c r="A51" s="24">
        <v>1</v>
      </c>
      <c r="B51" s="25" t="s">
        <v>73</v>
      </c>
      <c r="C51" s="25" t="s">
        <v>74</v>
      </c>
      <c r="D51" s="25" t="s">
        <v>75</v>
      </c>
      <c r="E51" s="26">
        <v>4550000</v>
      </c>
      <c r="F51" s="27">
        <v>4651.1783500000001</v>
      </c>
      <c r="G51" s="28">
        <v>0.13830050999999999</v>
      </c>
      <c r="H51" s="18">
        <v>6.8868</v>
      </c>
    </row>
    <row r="52" spans="1:8" ht="17.100000000000001" customHeight="1" x14ac:dyDescent="0.2">
      <c r="A52" s="24">
        <v>2</v>
      </c>
      <c r="B52" s="25" t="s">
        <v>76</v>
      </c>
      <c r="C52" s="25" t="s">
        <v>77</v>
      </c>
      <c r="D52" s="25" t="s">
        <v>75</v>
      </c>
      <c r="E52" s="26">
        <v>1000000</v>
      </c>
      <c r="F52" s="27">
        <v>1028.8</v>
      </c>
      <c r="G52" s="28">
        <v>3.0590869999999999E-2</v>
      </c>
      <c r="H52" s="18">
        <v>6.8323999999999998</v>
      </c>
    </row>
    <row r="53" spans="1:8" ht="29.1" customHeight="1" x14ac:dyDescent="0.2">
      <c r="A53" s="24">
        <v>3</v>
      </c>
      <c r="B53" s="25" t="s">
        <v>80</v>
      </c>
      <c r="C53" s="25" t="s">
        <v>81</v>
      </c>
      <c r="D53" s="25" t="s">
        <v>75</v>
      </c>
      <c r="E53" s="26">
        <v>1000000</v>
      </c>
      <c r="F53" s="27">
        <v>1003.231</v>
      </c>
      <c r="G53" s="28">
        <v>2.9830579999999999E-2</v>
      </c>
      <c r="H53" s="18">
        <v>6.9824000000000002</v>
      </c>
    </row>
    <row r="54" spans="1:8" ht="29.1" customHeight="1" x14ac:dyDescent="0.2">
      <c r="A54" s="24">
        <v>4</v>
      </c>
      <c r="B54" s="25" t="s">
        <v>82</v>
      </c>
      <c r="C54" s="25" t="s">
        <v>83</v>
      </c>
      <c r="D54" s="25" t="s">
        <v>75</v>
      </c>
      <c r="E54" s="26">
        <v>500000</v>
      </c>
      <c r="F54" s="27">
        <v>523.36950000000002</v>
      </c>
      <c r="G54" s="28">
        <v>1.556214E-2</v>
      </c>
      <c r="H54" s="18">
        <v>7.1109999999999998</v>
      </c>
    </row>
    <row r="55" spans="1:8" ht="29.1" customHeight="1" x14ac:dyDescent="0.2">
      <c r="A55" s="24">
        <v>5</v>
      </c>
      <c r="B55" s="25" t="s">
        <v>78</v>
      </c>
      <c r="C55" s="25" t="s">
        <v>79</v>
      </c>
      <c r="D55" s="25" t="s">
        <v>75</v>
      </c>
      <c r="E55" s="26">
        <v>500000</v>
      </c>
      <c r="F55" s="27">
        <v>520.99749999999995</v>
      </c>
      <c r="G55" s="28">
        <v>1.5491609999999999E-2</v>
      </c>
      <c r="H55" s="18">
        <v>7.0803000000000003</v>
      </c>
    </row>
    <row r="56" spans="1:8" ht="29.1" customHeight="1" x14ac:dyDescent="0.2">
      <c r="A56" s="24">
        <v>6</v>
      </c>
      <c r="B56" s="25" t="s">
        <v>139</v>
      </c>
      <c r="C56" s="25" t="s">
        <v>140</v>
      </c>
      <c r="D56" s="25" t="s">
        <v>75</v>
      </c>
      <c r="E56" s="26">
        <v>500000</v>
      </c>
      <c r="F56" s="27">
        <v>517.48800000000006</v>
      </c>
      <c r="G56" s="28">
        <v>1.538725E-2</v>
      </c>
      <c r="H56" s="18">
        <v>6.9587000000000003</v>
      </c>
    </row>
    <row r="57" spans="1:8" ht="14.1" customHeight="1" x14ac:dyDescent="0.2">
      <c r="A57" s="16"/>
      <c r="B57" s="16"/>
      <c r="C57" s="17" t="s">
        <v>11</v>
      </c>
      <c r="D57" s="16"/>
      <c r="E57" s="16" t="s">
        <v>12</v>
      </c>
      <c r="F57" s="23">
        <v>8245.0643500000006</v>
      </c>
      <c r="G57" s="20">
        <v>0.24516296000000001</v>
      </c>
      <c r="H57" s="18" t="s">
        <v>12</v>
      </c>
    </row>
    <row r="58" spans="1:8" ht="14.1" customHeight="1" x14ac:dyDescent="0.2">
      <c r="A58" s="16"/>
      <c r="B58" s="16"/>
      <c r="C58" s="21"/>
      <c r="D58" s="16"/>
      <c r="E58" s="16"/>
      <c r="F58" s="22"/>
      <c r="G58" s="22"/>
      <c r="H58" s="18" t="s">
        <v>12</v>
      </c>
    </row>
    <row r="59" spans="1:8" ht="14.1" customHeight="1" x14ac:dyDescent="0.2">
      <c r="A59" s="16"/>
      <c r="B59" s="16"/>
      <c r="C59" s="17" t="s">
        <v>88</v>
      </c>
      <c r="D59" s="16"/>
      <c r="E59" s="16"/>
      <c r="F59" s="22"/>
      <c r="G59" s="22"/>
      <c r="H59" s="18" t="s">
        <v>12</v>
      </c>
    </row>
    <row r="60" spans="1:8" ht="14.1" customHeight="1" x14ac:dyDescent="0.2">
      <c r="A60" s="16"/>
      <c r="B60" s="16"/>
      <c r="C60" s="17" t="s">
        <v>11</v>
      </c>
      <c r="D60" s="16"/>
      <c r="E60" s="16" t="s">
        <v>12</v>
      </c>
      <c r="F60" s="19" t="s">
        <v>13</v>
      </c>
      <c r="G60" s="20">
        <v>0</v>
      </c>
      <c r="H60" s="18" t="s">
        <v>12</v>
      </c>
    </row>
    <row r="61" spans="1:8" ht="14.1" customHeight="1" x14ac:dyDescent="0.2">
      <c r="A61" s="16"/>
      <c r="B61" s="16"/>
      <c r="C61" s="21"/>
      <c r="D61" s="16"/>
      <c r="E61" s="16"/>
      <c r="F61" s="22"/>
      <c r="G61" s="22"/>
      <c r="H61" s="18" t="s">
        <v>12</v>
      </c>
    </row>
    <row r="62" spans="1:8" ht="14.1" customHeight="1" x14ac:dyDescent="0.2">
      <c r="A62" s="16"/>
      <c r="B62" s="16"/>
      <c r="C62" s="17" t="s">
        <v>89</v>
      </c>
      <c r="D62" s="16"/>
      <c r="E62" s="16"/>
      <c r="F62" s="23">
        <v>31776.293849999998</v>
      </c>
      <c r="G62" s="20">
        <v>0.94485258000000005</v>
      </c>
      <c r="H62" s="18" t="s">
        <v>12</v>
      </c>
    </row>
    <row r="63" spans="1:8" ht="14.1" customHeight="1" x14ac:dyDescent="0.2">
      <c r="A63" s="16"/>
      <c r="B63" s="16"/>
      <c r="C63" s="21"/>
      <c r="D63" s="16"/>
      <c r="E63" s="16"/>
      <c r="F63" s="22"/>
      <c r="G63" s="22"/>
      <c r="H63" s="18" t="s">
        <v>12</v>
      </c>
    </row>
    <row r="64" spans="1:8" ht="14.1" customHeight="1" x14ac:dyDescent="0.2">
      <c r="A64" s="16"/>
      <c r="B64" s="16"/>
      <c r="C64" s="17" t="s">
        <v>90</v>
      </c>
      <c r="D64" s="16"/>
      <c r="E64" s="16"/>
      <c r="F64" s="22"/>
      <c r="G64" s="22"/>
      <c r="H64" s="18" t="s">
        <v>12</v>
      </c>
    </row>
    <row r="65" spans="1:8" ht="14.1" customHeight="1" x14ac:dyDescent="0.2">
      <c r="A65" s="16"/>
      <c r="B65" s="16"/>
      <c r="C65" s="17" t="s">
        <v>91</v>
      </c>
      <c r="D65" s="16"/>
      <c r="E65" s="16"/>
      <c r="F65" s="22"/>
      <c r="G65" s="22"/>
      <c r="H65" s="18" t="s">
        <v>12</v>
      </c>
    </row>
    <row r="66" spans="1:8" ht="14.1" customHeight="1" x14ac:dyDescent="0.2">
      <c r="A66" s="16"/>
      <c r="B66" s="16"/>
      <c r="C66" s="17" t="s">
        <v>11</v>
      </c>
      <c r="D66" s="16"/>
      <c r="E66" s="16" t="s">
        <v>12</v>
      </c>
      <c r="F66" s="19" t="s">
        <v>13</v>
      </c>
      <c r="G66" s="20">
        <v>0</v>
      </c>
      <c r="H66" s="18" t="s">
        <v>12</v>
      </c>
    </row>
    <row r="67" spans="1:8" ht="14.1" customHeight="1" x14ac:dyDescent="0.2">
      <c r="A67" s="16"/>
      <c r="B67" s="16"/>
      <c r="C67" s="21"/>
      <c r="D67" s="16"/>
      <c r="E67" s="16"/>
      <c r="F67" s="22"/>
      <c r="G67" s="22"/>
      <c r="H67" s="18" t="s">
        <v>12</v>
      </c>
    </row>
    <row r="68" spans="1:8" ht="14.1" customHeight="1" x14ac:dyDescent="0.2">
      <c r="A68" s="16"/>
      <c r="B68" s="16"/>
      <c r="C68" s="17" t="s">
        <v>92</v>
      </c>
      <c r="D68" s="16"/>
      <c r="E68" s="16"/>
      <c r="F68" s="22"/>
      <c r="G68" s="22"/>
      <c r="H68" s="18" t="s">
        <v>12</v>
      </c>
    </row>
    <row r="69" spans="1:8" ht="14.1" customHeight="1" x14ac:dyDescent="0.2">
      <c r="A69" s="16"/>
      <c r="B69" s="16"/>
      <c r="C69" s="17" t="s">
        <v>11</v>
      </c>
      <c r="D69" s="16"/>
      <c r="E69" s="16" t="s">
        <v>12</v>
      </c>
      <c r="F69" s="19" t="s">
        <v>13</v>
      </c>
      <c r="G69" s="20">
        <v>0</v>
      </c>
      <c r="H69" s="18" t="s">
        <v>12</v>
      </c>
    </row>
    <row r="70" spans="1:8" ht="14.1" customHeight="1" x14ac:dyDescent="0.2">
      <c r="A70" s="16"/>
      <c r="B70" s="16"/>
      <c r="C70" s="21"/>
      <c r="D70" s="16"/>
      <c r="E70" s="16"/>
      <c r="F70" s="22"/>
      <c r="G70" s="22"/>
      <c r="H70" s="18" t="s">
        <v>12</v>
      </c>
    </row>
    <row r="71" spans="1:8" ht="14.1" customHeight="1" x14ac:dyDescent="0.2">
      <c r="A71" s="16"/>
      <c r="B71" s="16"/>
      <c r="C71" s="17" t="s">
        <v>93</v>
      </c>
      <c r="D71" s="16"/>
      <c r="E71" s="16"/>
      <c r="F71" s="22"/>
      <c r="G71" s="22"/>
      <c r="H71" s="18" t="s">
        <v>12</v>
      </c>
    </row>
    <row r="72" spans="1:8" ht="14.1" customHeight="1" x14ac:dyDescent="0.2">
      <c r="A72" s="16"/>
      <c r="B72" s="16"/>
      <c r="C72" s="17" t="s">
        <v>11</v>
      </c>
      <c r="D72" s="16"/>
      <c r="E72" s="16" t="s">
        <v>12</v>
      </c>
      <c r="F72" s="19" t="s">
        <v>13</v>
      </c>
      <c r="G72" s="20">
        <v>0</v>
      </c>
      <c r="H72" s="18" t="s">
        <v>12</v>
      </c>
    </row>
    <row r="73" spans="1:8" ht="14.1" customHeight="1" x14ac:dyDescent="0.2">
      <c r="A73" s="16"/>
      <c r="B73" s="16"/>
      <c r="C73" s="21"/>
      <c r="D73" s="16"/>
      <c r="E73" s="16"/>
      <c r="F73" s="22"/>
      <c r="G73" s="22"/>
      <c r="H73" s="18" t="s">
        <v>12</v>
      </c>
    </row>
    <row r="74" spans="1:8" ht="14.1" customHeight="1" x14ac:dyDescent="0.2">
      <c r="A74" s="16"/>
      <c r="B74" s="16"/>
      <c r="C74" s="17" t="s">
        <v>94</v>
      </c>
      <c r="D74" s="16"/>
      <c r="E74" s="16"/>
      <c r="F74" s="22"/>
      <c r="G74" s="22"/>
      <c r="H74" s="18" t="s">
        <v>12</v>
      </c>
    </row>
    <row r="75" spans="1:8" ht="17.100000000000001" customHeight="1" x14ac:dyDescent="0.2">
      <c r="A75" s="24">
        <v>1</v>
      </c>
      <c r="B75" s="25"/>
      <c r="C75" s="25" t="s">
        <v>95</v>
      </c>
      <c r="D75" s="25"/>
      <c r="E75" s="29"/>
      <c r="F75" s="27">
        <v>562.08977900000002</v>
      </c>
      <c r="G75" s="28">
        <v>1.6713470000000001E-2</v>
      </c>
      <c r="H75" s="18">
        <v>6.59</v>
      </c>
    </row>
    <row r="76" spans="1:8" ht="14.1" customHeight="1" x14ac:dyDescent="0.2">
      <c r="A76" s="16"/>
      <c r="B76" s="16"/>
      <c r="C76" s="17" t="s">
        <v>11</v>
      </c>
      <c r="D76" s="16"/>
      <c r="E76" s="16" t="s">
        <v>12</v>
      </c>
      <c r="F76" s="23">
        <v>562.08977900000002</v>
      </c>
      <c r="G76" s="20">
        <v>1.6713470000000001E-2</v>
      </c>
      <c r="H76" s="18" t="s">
        <v>12</v>
      </c>
    </row>
    <row r="77" spans="1:8" ht="14.1" customHeight="1" x14ac:dyDescent="0.2">
      <c r="A77" s="16"/>
      <c r="B77" s="16"/>
      <c r="C77" s="21"/>
      <c r="D77" s="16"/>
      <c r="E77" s="16"/>
      <c r="F77" s="22"/>
      <c r="G77" s="22"/>
      <c r="H77" s="18" t="s">
        <v>12</v>
      </c>
    </row>
    <row r="78" spans="1:8" ht="14.1" customHeight="1" x14ac:dyDescent="0.2">
      <c r="A78" s="16"/>
      <c r="B78" s="16"/>
      <c r="C78" s="17" t="s">
        <v>96</v>
      </c>
      <c r="D78" s="16"/>
      <c r="E78" s="16"/>
      <c r="F78" s="23">
        <v>562.08977900000002</v>
      </c>
      <c r="G78" s="20">
        <v>1.6713470000000001E-2</v>
      </c>
      <c r="H78" s="18" t="s">
        <v>12</v>
      </c>
    </row>
    <row r="79" spans="1:8" ht="14.1" customHeight="1" x14ac:dyDescent="0.2">
      <c r="A79" s="16"/>
      <c r="B79" s="16"/>
      <c r="C79" s="22"/>
      <c r="D79" s="16"/>
      <c r="E79" s="16"/>
      <c r="F79" s="16"/>
      <c r="G79" s="16"/>
      <c r="H79" s="18" t="s">
        <v>12</v>
      </c>
    </row>
    <row r="80" spans="1:8" ht="14.1" customHeight="1" x14ac:dyDescent="0.2">
      <c r="A80" s="16"/>
      <c r="B80" s="16"/>
      <c r="C80" s="17" t="s">
        <v>97</v>
      </c>
      <c r="D80" s="16"/>
      <c r="E80" s="16"/>
      <c r="F80" s="16"/>
      <c r="G80" s="16"/>
      <c r="H80" s="18" t="s">
        <v>12</v>
      </c>
    </row>
    <row r="81" spans="1:17" ht="14.1" customHeight="1" x14ac:dyDescent="0.2">
      <c r="A81" s="16"/>
      <c r="B81" s="16"/>
      <c r="C81" s="17" t="s">
        <v>98</v>
      </c>
      <c r="D81" s="16"/>
      <c r="E81" s="16"/>
      <c r="F81" s="16"/>
      <c r="G81" s="16"/>
      <c r="H81" s="18" t="s">
        <v>12</v>
      </c>
    </row>
    <row r="82" spans="1:17" ht="14.1" customHeight="1" x14ac:dyDescent="0.2">
      <c r="A82" s="16"/>
      <c r="B82" s="16"/>
      <c r="C82" s="17" t="s">
        <v>11</v>
      </c>
      <c r="D82" s="16"/>
      <c r="E82" s="16" t="s">
        <v>12</v>
      </c>
      <c r="F82" s="19" t="s">
        <v>13</v>
      </c>
      <c r="G82" s="20">
        <v>0</v>
      </c>
      <c r="H82" s="18" t="s">
        <v>12</v>
      </c>
    </row>
    <row r="83" spans="1:17" x14ac:dyDescent="0.2">
      <c r="A83" s="30"/>
      <c r="B83" s="30"/>
      <c r="C83" s="31"/>
      <c r="D83" s="30"/>
      <c r="E83" s="30"/>
      <c r="F83" s="32"/>
      <c r="G83" s="32"/>
      <c r="H83" s="18" t="s">
        <v>12</v>
      </c>
    </row>
    <row r="84" spans="1:17" x14ac:dyDescent="0.2">
      <c r="A84" s="30"/>
      <c r="B84" s="30"/>
      <c r="C84" s="33" t="s">
        <v>579</v>
      </c>
      <c r="D84" s="30"/>
      <c r="E84" s="30"/>
      <c r="F84" s="32"/>
      <c r="G84" s="32"/>
      <c r="H84" s="34"/>
      <c r="K84" s="35"/>
      <c r="L84" s="35"/>
      <c r="M84" s="35"/>
      <c r="N84" s="35"/>
      <c r="O84" s="36"/>
      <c r="P84" s="36"/>
      <c r="Q84" s="36"/>
    </row>
    <row r="85" spans="1:17" ht="25.5" x14ac:dyDescent="0.2">
      <c r="A85" s="37">
        <v>1</v>
      </c>
      <c r="B85" s="38" t="s">
        <v>99</v>
      </c>
      <c r="C85" s="38" t="s">
        <v>100</v>
      </c>
      <c r="D85" s="38"/>
      <c r="E85" s="39">
        <v>1138.2429999999999</v>
      </c>
      <c r="F85" s="34">
        <v>119.329906267</v>
      </c>
      <c r="G85" s="40">
        <v>3.5482199999999999E-3</v>
      </c>
      <c r="H85" s="18"/>
    </row>
    <row r="86" spans="1:17" x14ac:dyDescent="0.2">
      <c r="A86" s="30"/>
      <c r="B86" s="30"/>
      <c r="C86" s="33" t="s">
        <v>11</v>
      </c>
      <c r="D86" s="30"/>
      <c r="E86" s="30" t="s">
        <v>12</v>
      </c>
      <c r="F86" s="41">
        <f>SUM(F85)</f>
        <v>119.329906267</v>
      </c>
      <c r="G86" s="42">
        <f>SUM(G85)</f>
        <v>3.5482199999999999E-3</v>
      </c>
      <c r="H86" s="18" t="s">
        <v>12</v>
      </c>
    </row>
    <row r="87" spans="1:17" ht="14.1" customHeight="1" x14ac:dyDescent="0.2">
      <c r="A87" s="16"/>
      <c r="B87" s="16"/>
      <c r="C87" s="21"/>
      <c r="D87" s="16"/>
      <c r="E87" s="16"/>
      <c r="F87" s="22"/>
      <c r="G87" s="22"/>
      <c r="H87" s="18" t="s">
        <v>12</v>
      </c>
    </row>
    <row r="88" spans="1:17" ht="14.1" customHeight="1" x14ac:dyDescent="0.2">
      <c r="A88" s="16"/>
      <c r="B88" s="16"/>
      <c r="C88" s="17" t="s">
        <v>101</v>
      </c>
      <c r="D88" s="16"/>
      <c r="E88" s="16"/>
      <c r="F88" s="16"/>
      <c r="G88" s="16"/>
      <c r="H88" s="18" t="s">
        <v>12</v>
      </c>
    </row>
    <row r="89" spans="1:17" ht="14.1" customHeight="1" x14ac:dyDescent="0.2">
      <c r="A89" s="16"/>
      <c r="B89" s="16"/>
      <c r="C89" s="17" t="s">
        <v>102</v>
      </c>
      <c r="D89" s="16"/>
      <c r="E89" s="16"/>
      <c r="F89" s="16"/>
      <c r="G89" s="16"/>
      <c r="H89" s="18" t="s">
        <v>12</v>
      </c>
    </row>
    <row r="90" spans="1:17" ht="14.1" customHeight="1" x14ac:dyDescent="0.2">
      <c r="A90" s="16"/>
      <c r="B90" s="16"/>
      <c r="C90" s="17" t="s">
        <v>11</v>
      </c>
      <c r="D90" s="16"/>
      <c r="E90" s="16" t="s">
        <v>12</v>
      </c>
      <c r="F90" s="19" t="s">
        <v>13</v>
      </c>
      <c r="G90" s="20">
        <v>0</v>
      </c>
      <c r="H90" s="18" t="s">
        <v>12</v>
      </c>
    </row>
    <row r="91" spans="1:17" ht="14.1" customHeight="1" x14ac:dyDescent="0.2">
      <c r="A91" s="16"/>
      <c r="B91" s="16"/>
      <c r="C91" s="21"/>
      <c r="D91" s="16"/>
      <c r="E91" s="16"/>
      <c r="F91" s="22"/>
      <c r="G91" s="22"/>
      <c r="H91" s="18" t="s">
        <v>12</v>
      </c>
    </row>
    <row r="92" spans="1:17" x14ac:dyDescent="0.2">
      <c r="A92" s="16"/>
      <c r="B92" s="16"/>
      <c r="C92" s="17" t="s">
        <v>103</v>
      </c>
      <c r="D92" s="16"/>
      <c r="E92" s="16"/>
      <c r="F92" s="22"/>
      <c r="G92" s="22"/>
      <c r="H92" s="18" t="s">
        <v>12</v>
      </c>
    </row>
    <row r="93" spans="1:17" ht="14.1" customHeight="1" x14ac:dyDescent="0.2">
      <c r="A93" s="16"/>
      <c r="B93" s="16"/>
      <c r="C93" s="17" t="s">
        <v>11</v>
      </c>
      <c r="D93" s="16"/>
      <c r="E93" s="16" t="s">
        <v>12</v>
      </c>
      <c r="F93" s="19" t="s">
        <v>13</v>
      </c>
      <c r="G93" s="20">
        <v>0</v>
      </c>
      <c r="H93" s="18" t="s">
        <v>12</v>
      </c>
    </row>
    <row r="94" spans="1:17" ht="14.1" customHeight="1" x14ac:dyDescent="0.2">
      <c r="A94" s="16"/>
      <c r="B94" s="16"/>
      <c r="C94" s="21"/>
      <c r="D94" s="16"/>
      <c r="E94" s="16"/>
      <c r="F94" s="22"/>
      <c r="G94" s="22"/>
      <c r="H94" s="18" t="s">
        <v>12</v>
      </c>
    </row>
    <row r="95" spans="1:17" ht="18" customHeight="1" x14ac:dyDescent="0.2">
      <c r="A95" s="29"/>
      <c r="B95" s="25"/>
      <c r="C95" s="25" t="s">
        <v>104</v>
      </c>
      <c r="D95" s="25"/>
      <c r="E95" s="29"/>
      <c r="F95" s="27">
        <v>1173.2411537829946</v>
      </c>
      <c r="G95" s="28">
        <v>3.4885760000000002E-2</v>
      </c>
      <c r="H95" s="18" t="s">
        <v>12</v>
      </c>
    </row>
    <row r="96" spans="1:17" ht="14.1" customHeight="1" x14ac:dyDescent="0.2">
      <c r="A96" s="21"/>
      <c r="B96" s="21"/>
      <c r="C96" s="17" t="s">
        <v>105</v>
      </c>
      <c r="D96" s="22"/>
      <c r="E96" s="22"/>
      <c r="F96" s="23">
        <v>33630.954689049991</v>
      </c>
      <c r="G96" s="43">
        <v>1.00000003</v>
      </c>
      <c r="H96" s="18" t="s">
        <v>12</v>
      </c>
    </row>
    <row r="97" spans="1:8" ht="14.1" customHeight="1" x14ac:dyDescent="0.2">
      <c r="A97" s="44"/>
      <c r="B97" s="44"/>
      <c r="C97" s="44"/>
      <c r="D97" s="45"/>
      <c r="E97" s="45"/>
      <c r="F97" s="45"/>
      <c r="G97" s="45"/>
    </row>
    <row r="98" spans="1:8" x14ac:dyDescent="0.2">
      <c r="A98" s="46"/>
      <c r="B98" s="172" t="s">
        <v>580</v>
      </c>
      <c r="C98" s="172"/>
      <c r="D98" s="172"/>
      <c r="E98" s="172"/>
      <c r="F98" s="172"/>
      <c r="G98" s="172"/>
      <c r="H98" s="172"/>
    </row>
    <row r="99" spans="1:8" x14ac:dyDescent="0.2">
      <c r="A99" s="46"/>
      <c r="B99" s="172" t="s">
        <v>581</v>
      </c>
      <c r="C99" s="172"/>
      <c r="D99" s="172"/>
      <c r="E99" s="172"/>
      <c r="F99" s="172"/>
      <c r="G99" s="172"/>
      <c r="H99" s="172"/>
    </row>
    <row r="100" spans="1:8" x14ac:dyDescent="0.2">
      <c r="A100" s="46"/>
      <c r="B100" s="172" t="s">
        <v>582</v>
      </c>
      <c r="C100" s="172"/>
      <c r="D100" s="172"/>
      <c r="E100" s="172"/>
      <c r="F100" s="172"/>
      <c r="G100" s="172"/>
      <c r="H100" s="172"/>
    </row>
    <row r="101" spans="1:8" ht="14.1" customHeight="1" x14ac:dyDescent="0.2">
      <c r="A101" s="48"/>
      <c r="B101" s="48"/>
      <c r="C101" s="48"/>
      <c r="D101" s="49"/>
      <c r="E101" s="49"/>
      <c r="F101" s="49"/>
      <c r="G101" s="49"/>
    </row>
    <row r="102" spans="1:8" ht="14.1" customHeight="1" x14ac:dyDescent="0.2">
      <c r="A102" s="48"/>
      <c r="B102" s="176" t="s">
        <v>106</v>
      </c>
      <c r="C102" s="177"/>
      <c r="D102" s="178"/>
      <c r="E102" s="50"/>
      <c r="F102" s="49"/>
      <c r="G102" s="49"/>
    </row>
    <row r="103" spans="1:8" ht="29.1" customHeight="1" x14ac:dyDescent="0.2">
      <c r="A103" s="48"/>
      <c r="B103" s="179" t="s">
        <v>107</v>
      </c>
      <c r="C103" s="180"/>
      <c r="D103" s="17" t="s">
        <v>108</v>
      </c>
      <c r="E103" s="50"/>
      <c r="F103" s="49"/>
      <c r="G103" s="49"/>
    </row>
    <row r="104" spans="1:8" ht="17.100000000000001" customHeight="1" x14ac:dyDescent="0.2">
      <c r="A104" s="48"/>
      <c r="B104" s="179" t="s">
        <v>109</v>
      </c>
      <c r="C104" s="180"/>
      <c r="D104" s="17" t="s">
        <v>108</v>
      </c>
      <c r="E104" s="50"/>
      <c r="F104" s="49"/>
      <c r="G104" s="49"/>
    </row>
    <row r="105" spans="1:8" ht="17.100000000000001" customHeight="1" x14ac:dyDescent="0.2">
      <c r="A105" s="48"/>
      <c r="B105" s="179" t="s">
        <v>110</v>
      </c>
      <c r="C105" s="180"/>
      <c r="D105" s="22" t="s">
        <v>12</v>
      </c>
      <c r="E105" s="50"/>
      <c r="F105" s="49"/>
      <c r="G105" s="49"/>
    </row>
    <row r="106" spans="1:8" x14ac:dyDescent="0.2">
      <c r="A106" s="51"/>
      <c r="B106" s="52" t="s">
        <v>12</v>
      </c>
      <c r="C106" s="52" t="s">
        <v>583</v>
      </c>
      <c r="D106" s="52" t="s">
        <v>111</v>
      </c>
      <c r="E106" s="51"/>
      <c r="F106" s="51"/>
      <c r="G106" s="51"/>
      <c r="H106" s="53"/>
    </row>
    <row r="107" spans="1:8" x14ac:dyDescent="0.2">
      <c r="A107" s="51"/>
      <c r="B107" s="54" t="s">
        <v>112</v>
      </c>
      <c r="C107" s="55">
        <v>45626</v>
      </c>
      <c r="D107" s="55">
        <v>45641</v>
      </c>
      <c r="E107" s="51"/>
      <c r="F107" s="51"/>
      <c r="G107" s="51"/>
    </row>
    <row r="108" spans="1:8" ht="17.100000000000001" customHeight="1" x14ac:dyDescent="0.2">
      <c r="A108" s="56"/>
      <c r="B108" s="25" t="s">
        <v>113</v>
      </c>
      <c r="C108" s="57">
        <v>41.516100000000002</v>
      </c>
      <c r="D108" s="57">
        <v>41.660800000000002</v>
      </c>
      <c r="E108" s="56"/>
      <c r="F108" s="58"/>
      <c r="G108" s="59"/>
    </row>
    <row r="109" spans="1:8" ht="17.100000000000001" customHeight="1" x14ac:dyDescent="0.2">
      <c r="A109" s="56"/>
      <c r="B109" s="25" t="s">
        <v>141</v>
      </c>
      <c r="C109" s="57">
        <v>20.769200000000001</v>
      </c>
      <c r="D109" s="57">
        <v>20.8416</v>
      </c>
      <c r="E109" s="56"/>
      <c r="F109" s="58"/>
      <c r="G109" s="59"/>
    </row>
    <row r="110" spans="1:8" ht="29.1" customHeight="1" x14ac:dyDescent="0.2">
      <c r="A110" s="56"/>
      <c r="B110" s="25" t="s">
        <v>605</v>
      </c>
      <c r="C110" s="57">
        <v>11.547599999999999</v>
      </c>
      <c r="D110" s="57">
        <v>11.587899999999999</v>
      </c>
      <c r="E110" s="56"/>
      <c r="F110" s="58"/>
      <c r="G110" s="59"/>
    </row>
    <row r="111" spans="1:8" ht="17.100000000000001" customHeight="1" x14ac:dyDescent="0.2">
      <c r="A111" s="56"/>
      <c r="B111" s="25" t="s">
        <v>114</v>
      </c>
      <c r="C111" s="57">
        <v>40.968800000000002</v>
      </c>
      <c r="D111" s="57">
        <v>41.109299999999998</v>
      </c>
      <c r="E111" s="56"/>
      <c r="F111" s="58"/>
      <c r="G111" s="59"/>
    </row>
    <row r="112" spans="1:8" ht="17.100000000000001" customHeight="1" x14ac:dyDescent="0.2">
      <c r="A112" s="56"/>
      <c r="B112" s="25" t="s">
        <v>142</v>
      </c>
      <c r="C112" s="57">
        <v>20.659400000000002</v>
      </c>
      <c r="D112" s="57">
        <v>20.7303</v>
      </c>
      <c r="E112" s="56"/>
      <c r="F112" s="58"/>
      <c r="G112" s="59"/>
    </row>
    <row r="113" spans="1:15" ht="29.1" customHeight="1" x14ac:dyDescent="0.2">
      <c r="A113" s="56"/>
      <c r="B113" s="25" t="s">
        <v>609</v>
      </c>
      <c r="C113" s="57">
        <v>11.5999</v>
      </c>
      <c r="D113" s="57">
        <v>11.639699999999999</v>
      </c>
      <c r="E113" s="56"/>
      <c r="F113" s="58"/>
      <c r="G113" s="59"/>
    </row>
    <row r="114" spans="1:15" ht="14.1" customHeight="1" x14ac:dyDescent="0.2">
      <c r="A114" s="56"/>
      <c r="B114" s="56"/>
      <c r="C114" s="56"/>
      <c r="D114" s="56"/>
      <c r="E114" s="56"/>
      <c r="F114" s="56"/>
      <c r="G114" s="56"/>
    </row>
    <row r="115" spans="1:15" x14ac:dyDescent="0.2">
      <c r="A115" s="51"/>
      <c r="B115" s="173" t="s">
        <v>598</v>
      </c>
      <c r="C115" s="174"/>
      <c r="D115" s="33" t="s">
        <v>108</v>
      </c>
      <c r="E115" s="51"/>
      <c r="F115" s="51"/>
      <c r="G115" s="51"/>
    </row>
    <row r="116" spans="1:15" x14ac:dyDescent="0.2">
      <c r="A116" s="51"/>
      <c r="B116" s="66"/>
      <c r="C116" s="66"/>
      <c r="D116" s="66"/>
      <c r="E116" s="51"/>
      <c r="F116" s="51"/>
      <c r="G116" s="51"/>
    </row>
    <row r="117" spans="1:15" s="67" customFormat="1" x14ac:dyDescent="0.2">
      <c r="A117" s="77"/>
      <c r="B117" s="173" t="s">
        <v>599</v>
      </c>
      <c r="C117" s="174"/>
      <c r="D117" s="33" t="s">
        <v>108</v>
      </c>
      <c r="E117" s="77"/>
      <c r="F117" s="47"/>
      <c r="G117" s="77"/>
      <c r="I117"/>
      <c r="J117"/>
      <c r="K117" s="35"/>
      <c r="L117" s="35"/>
      <c r="M117" s="35"/>
      <c r="N117" s="35"/>
      <c r="O117" s="73"/>
    </row>
    <row r="118" spans="1:15" x14ac:dyDescent="0.2">
      <c r="A118" s="51"/>
      <c r="B118" s="173" t="s">
        <v>600</v>
      </c>
      <c r="C118" s="174"/>
      <c r="D118" s="33" t="s">
        <v>108</v>
      </c>
      <c r="E118" s="65"/>
      <c r="F118" s="51"/>
      <c r="G118" s="51"/>
    </row>
    <row r="119" spans="1:15" x14ac:dyDescent="0.2">
      <c r="A119" s="51"/>
      <c r="B119" s="173" t="s">
        <v>601</v>
      </c>
      <c r="C119" s="174"/>
      <c r="D119" s="33" t="s">
        <v>108</v>
      </c>
      <c r="E119" s="65"/>
      <c r="F119" s="51"/>
      <c r="G119" s="51"/>
    </row>
    <row r="120" spans="1:15" x14ac:dyDescent="0.2">
      <c r="A120" s="51"/>
      <c r="B120" s="173" t="s">
        <v>602</v>
      </c>
      <c r="C120" s="174"/>
      <c r="D120" s="33" t="s">
        <v>108</v>
      </c>
      <c r="E120" s="65"/>
      <c r="F120" s="51"/>
      <c r="G120" s="51"/>
    </row>
    <row r="121" spans="1:15" x14ac:dyDescent="0.2">
      <c r="A121" s="66"/>
      <c r="B121" s="66"/>
      <c r="C121" s="66"/>
      <c r="D121" s="66"/>
      <c r="E121" s="66"/>
      <c r="F121" s="66"/>
      <c r="G121" s="66"/>
    </row>
    <row r="122" spans="1:15" s="67" customFormat="1" x14ac:dyDescent="0.2">
      <c r="B122" s="181" t="s">
        <v>585</v>
      </c>
      <c r="C122" s="182"/>
      <c r="D122" s="183"/>
      <c r="I122"/>
      <c r="J122" s="15"/>
      <c r="K122" s="35"/>
      <c r="L122" s="35"/>
      <c r="M122" s="35"/>
      <c r="N122" s="35"/>
      <c r="O122" s="73"/>
    </row>
    <row r="123" spans="1:15" s="67" customFormat="1" ht="38.25" x14ac:dyDescent="0.2">
      <c r="B123" s="175" t="s">
        <v>586</v>
      </c>
      <c r="C123" s="175"/>
      <c r="D123" s="68" t="s">
        <v>120</v>
      </c>
      <c r="I123"/>
      <c r="J123" s="15"/>
      <c r="K123" s="35"/>
      <c r="L123" s="35"/>
      <c r="M123" s="35"/>
      <c r="N123" s="35"/>
      <c r="O123" s="73"/>
    </row>
    <row r="124" spans="1:15" s="67" customFormat="1" x14ac:dyDescent="0.2">
      <c r="B124" s="167" t="s">
        <v>587</v>
      </c>
      <c r="C124" s="167"/>
      <c r="D124" s="69"/>
      <c r="I124"/>
      <c r="J124" s="15"/>
      <c r="K124" s="35"/>
      <c r="L124" s="35"/>
      <c r="M124" s="35"/>
      <c r="N124" s="35"/>
      <c r="O124" s="73"/>
    </row>
    <row r="125" spans="1:15" s="67" customFormat="1" x14ac:dyDescent="0.2">
      <c r="B125" s="167"/>
      <c r="C125" s="167"/>
      <c r="D125" s="70"/>
      <c r="I125"/>
      <c r="J125"/>
      <c r="K125" s="35"/>
      <c r="L125" s="35"/>
      <c r="M125" s="35"/>
      <c r="N125" s="35"/>
      <c r="O125" s="73"/>
    </row>
    <row r="126" spans="1:15" s="67" customFormat="1" x14ac:dyDescent="0.2">
      <c r="B126" s="167" t="s">
        <v>588</v>
      </c>
      <c r="C126" s="167"/>
      <c r="D126" s="71">
        <v>7.2827919881610326</v>
      </c>
      <c r="I126"/>
      <c r="J126"/>
      <c r="K126" s="35"/>
      <c r="L126" s="35"/>
      <c r="M126" s="35"/>
      <c r="N126" s="35"/>
      <c r="O126" s="73"/>
    </row>
    <row r="127" spans="1:15" s="67" customFormat="1" x14ac:dyDescent="0.2">
      <c r="B127" s="167"/>
      <c r="C127" s="167"/>
      <c r="D127" s="70"/>
      <c r="I127"/>
      <c r="J127" s="15"/>
      <c r="K127" s="35"/>
      <c r="L127" s="35"/>
      <c r="M127" s="35"/>
      <c r="N127" s="35"/>
      <c r="O127" s="73"/>
    </row>
    <row r="128" spans="1:15" s="67" customFormat="1" x14ac:dyDescent="0.2">
      <c r="B128" s="167" t="s">
        <v>589</v>
      </c>
      <c r="C128" s="167"/>
      <c r="D128" s="71">
        <v>3.882345221806534</v>
      </c>
      <c r="I128"/>
      <c r="J128" s="15"/>
      <c r="K128" s="35"/>
      <c r="L128" s="35"/>
      <c r="M128" s="35"/>
      <c r="N128" s="35"/>
      <c r="O128" s="73"/>
    </row>
    <row r="129" spans="2:18" s="67" customFormat="1" x14ac:dyDescent="0.2">
      <c r="B129" s="167" t="s">
        <v>590</v>
      </c>
      <c r="C129" s="167"/>
      <c r="D129" s="71">
        <v>5.4186524381230106</v>
      </c>
      <c r="I129"/>
      <c r="J129" s="15"/>
      <c r="K129" s="35"/>
      <c r="L129" s="35"/>
      <c r="M129" s="35"/>
      <c r="N129" s="35"/>
      <c r="O129" s="73"/>
    </row>
    <row r="130" spans="2:18" s="67" customFormat="1" x14ac:dyDescent="0.2">
      <c r="B130" s="167"/>
      <c r="C130" s="167"/>
      <c r="D130" s="70"/>
      <c r="I130"/>
      <c r="J130" s="15"/>
      <c r="K130" s="35"/>
      <c r="L130" s="35"/>
      <c r="M130" s="35"/>
      <c r="N130" s="35"/>
      <c r="O130" s="73"/>
      <c r="R130"/>
    </row>
    <row r="131" spans="2:18" s="67" customFormat="1" x14ac:dyDescent="0.2">
      <c r="B131" s="167" t="s">
        <v>591</v>
      </c>
      <c r="C131" s="167"/>
      <c r="D131" s="72" t="s">
        <v>694</v>
      </c>
      <c r="I131"/>
      <c r="J131" s="15"/>
      <c r="K131" s="35"/>
      <c r="L131" s="35"/>
      <c r="M131" s="35"/>
      <c r="N131" s="35"/>
      <c r="O131" s="73"/>
    </row>
    <row r="132" spans="2:18" s="67" customFormat="1" x14ac:dyDescent="0.2">
      <c r="B132" s="168" t="s">
        <v>592</v>
      </c>
      <c r="C132" s="170"/>
      <c r="D132" s="169"/>
      <c r="I132"/>
      <c r="J132" s="15"/>
      <c r="K132" s="35"/>
      <c r="L132" s="35"/>
      <c r="M132" s="35"/>
      <c r="N132" s="35"/>
      <c r="O132" s="73"/>
      <c r="R132"/>
    </row>
    <row r="133" spans="2:18" x14ac:dyDescent="0.2">
      <c r="J133" s="15"/>
    </row>
    <row r="134" spans="2:18" x14ac:dyDescent="0.2">
      <c r="B134" s="74" t="s">
        <v>593</v>
      </c>
    </row>
    <row r="136" spans="2:18" ht="153.75" customHeight="1" x14ac:dyDescent="0.2"/>
    <row r="139" spans="2:18" x14ac:dyDescent="0.2">
      <c r="B139" s="75" t="s">
        <v>594</v>
      </c>
      <c r="C139" s="76"/>
      <c r="D139" s="75" t="s">
        <v>595</v>
      </c>
    </row>
    <row r="140" spans="2:18" x14ac:dyDescent="0.2">
      <c r="B140" s="75" t="s">
        <v>603</v>
      </c>
      <c r="D140" s="75" t="s">
        <v>604</v>
      </c>
    </row>
    <row r="141" spans="2:18" ht="165" customHeight="1" x14ac:dyDescent="0.2"/>
    <row r="142" spans="2:18" x14ac:dyDescent="0.2">
      <c r="J142" s="15"/>
    </row>
    <row r="143" spans="2:18" x14ac:dyDescent="0.2">
      <c r="J143" s="15"/>
    </row>
    <row r="144" spans="2:18" x14ac:dyDescent="0.2">
      <c r="J144" s="15"/>
    </row>
  </sheetData>
  <mergeCells count="26">
    <mergeCell ref="B118:C118"/>
    <mergeCell ref="B119:C119"/>
    <mergeCell ref="B120:C120"/>
    <mergeCell ref="B122:D122"/>
    <mergeCell ref="B117:C117"/>
    <mergeCell ref="A1:H1"/>
    <mergeCell ref="A2:H2"/>
    <mergeCell ref="A3:H3"/>
    <mergeCell ref="B98:H98"/>
    <mergeCell ref="B99:H99"/>
    <mergeCell ref="B100:H100"/>
    <mergeCell ref="B115:C115"/>
    <mergeCell ref="B102:D102"/>
    <mergeCell ref="B103:C103"/>
    <mergeCell ref="B104:C104"/>
    <mergeCell ref="B105:C105"/>
    <mergeCell ref="B123:C123"/>
    <mergeCell ref="B124:C124"/>
    <mergeCell ref="B125:C125"/>
    <mergeCell ref="B126:C126"/>
    <mergeCell ref="B127:C127"/>
    <mergeCell ref="B128:C128"/>
    <mergeCell ref="B129:C129"/>
    <mergeCell ref="B130:C130"/>
    <mergeCell ref="B131:C131"/>
    <mergeCell ref="B132:D132"/>
  </mergeCells>
  <hyperlinks>
    <hyperlink ref="I1" location="Index!B2" display="Index" xr:uid="{BBC03B3A-8A6C-4C7B-985E-E1EC930F3D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E60E-9726-4582-8CAA-3F8D0E44B295}">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8.85546875" bestFit="1" customWidth="1"/>
    <col min="9" max="9" width="5.7109375" bestFit="1" customWidth="1"/>
  </cols>
  <sheetData>
    <row r="1" spans="1:9" ht="15" x14ac:dyDescent="0.2">
      <c r="A1" s="171" t="s">
        <v>0</v>
      </c>
      <c r="B1" s="171"/>
      <c r="C1" s="171"/>
      <c r="D1" s="171"/>
      <c r="E1" s="171"/>
      <c r="F1" s="171"/>
      <c r="G1" s="171"/>
      <c r="H1" s="171"/>
      <c r="I1" s="7" t="s">
        <v>576</v>
      </c>
    </row>
    <row r="2" spans="1:9" ht="15" x14ac:dyDescent="0.2">
      <c r="A2" s="171" t="s">
        <v>143</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578</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71</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72</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88</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89</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90</v>
      </c>
      <c r="D41" s="16"/>
      <c r="E41" s="16"/>
      <c r="F41" s="22"/>
      <c r="G41" s="22"/>
      <c r="H41" s="18" t="s">
        <v>12</v>
      </c>
    </row>
    <row r="42" spans="1:8" x14ac:dyDescent="0.2">
      <c r="A42" s="16"/>
      <c r="B42" s="16"/>
      <c r="C42" s="17" t="s">
        <v>91</v>
      </c>
      <c r="D42" s="16"/>
      <c r="E42" s="16"/>
      <c r="F42" s="22"/>
      <c r="G42" s="22"/>
      <c r="H42" s="18" t="s">
        <v>12</v>
      </c>
    </row>
    <row r="43" spans="1:8" ht="25.5" x14ac:dyDescent="0.2">
      <c r="A43" s="24">
        <v>1</v>
      </c>
      <c r="B43" s="25" t="s">
        <v>144</v>
      </c>
      <c r="C43" s="25" t="s">
        <v>145</v>
      </c>
      <c r="D43" s="25" t="s">
        <v>146</v>
      </c>
      <c r="E43" s="26">
        <v>500</v>
      </c>
      <c r="F43" s="27">
        <v>2458.2975000000001</v>
      </c>
      <c r="G43" s="28">
        <v>4.3478610000000001E-2</v>
      </c>
      <c r="H43" s="18">
        <v>7.2000999999999999</v>
      </c>
    </row>
    <row r="44" spans="1:8" x14ac:dyDescent="0.2">
      <c r="A44" s="24">
        <v>2</v>
      </c>
      <c r="B44" s="25" t="s">
        <v>147</v>
      </c>
      <c r="C44" s="25" t="s">
        <v>148</v>
      </c>
      <c r="D44" s="25" t="s">
        <v>149</v>
      </c>
      <c r="E44" s="26">
        <v>500</v>
      </c>
      <c r="F44" s="27">
        <v>2455.915</v>
      </c>
      <c r="G44" s="28">
        <v>4.3436469999999998E-2</v>
      </c>
      <c r="H44" s="18">
        <v>7.2000999999999999</v>
      </c>
    </row>
    <row r="45" spans="1:8" x14ac:dyDescent="0.2">
      <c r="A45" s="24">
        <v>3</v>
      </c>
      <c r="B45" s="25" t="s">
        <v>150</v>
      </c>
      <c r="C45" s="25" t="s">
        <v>151</v>
      </c>
      <c r="D45" s="25" t="s">
        <v>152</v>
      </c>
      <c r="E45" s="26">
        <v>500</v>
      </c>
      <c r="F45" s="27">
        <v>2425.25</v>
      </c>
      <c r="G45" s="28">
        <v>4.2894109999999999E-2</v>
      </c>
      <c r="H45" s="18">
        <v>7.5000999999999998</v>
      </c>
    </row>
    <row r="46" spans="1:8" x14ac:dyDescent="0.2">
      <c r="A46" s="24">
        <v>4</v>
      </c>
      <c r="B46" s="25" t="s">
        <v>153</v>
      </c>
      <c r="C46" s="25" t="s">
        <v>154</v>
      </c>
      <c r="D46" s="25" t="s">
        <v>146</v>
      </c>
      <c r="E46" s="26">
        <v>500</v>
      </c>
      <c r="F46" s="27">
        <v>2335.5124999999998</v>
      </c>
      <c r="G46" s="28">
        <v>4.1306969999999998E-2</v>
      </c>
      <c r="H46" s="18">
        <v>8.1349999999999998</v>
      </c>
    </row>
    <row r="47" spans="1:8" x14ac:dyDescent="0.2">
      <c r="A47" s="24">
        <v>5</v>
      </c>
      <c r="B47" s="25" t="s">
        <v>155</v>
      </c>
      <c r="C47" s="25" t="s">
        <v>156</v>
      </c>
      <c r="D47" s="25" t="s">
        <v>146</v>
      </c>
      <c r="E47" s="26">
        <v>500</v>
      </c>
      <c r="F47" s="27">
        <v>2331.1574999999998</v>
      </c>
      <c r="G47" s="28">
        <v>4.1229950000000001E-2</v>
      </c>
      <c r="H47" s="18">
        <v>7.6849999999999996</v>
      </c>
    </row>
    <row r="48" spans="1:8" x14ac:dyDescent="0.2">
      <c r="A48" s="24">
        <v>6</v>
      </c>
      <c r="B48" s="25" t="s">
        <v>157</v>
      </c>
      <c r="C48" s="25" t="s">
        <v>158</v>
      </c>
      <c r="D48" s="25" t="s">
        <v>146</v>
      </c>
      <c r="E48" s="26">
        <v>500</v>
      </c>
      <c r="F48" s="27">
        <v>2330.7150000000001</v>
      </c>
      <c r="G48" s="28">
        <v>4.1222120000000001E-2</v>
      </c>
      <c r="H48" s="18">
        <v>7.64</v>
      </c>
    </row>
    <row r="49" spans="1:8" x14ac:dyDescent="0.2">
      <c r="A49" s="24">
        <v>7</v>
      </c>
      <c r="B49" s="25" t="s">
        <v>159</v>
      </c>
      <c r="C49" s="25" t="s">
        <v>160</v>
      </c>
      <c r="D49" s="25" t="s">
        <v>149</v>
      </c>
      <c r="E49" s="26">
        <v>500</v>
      </c>
      <c r="F49" s="27">
        <v>2329.6675</v>
      </c>
      <c r="G49" s="28">
        <v>4.12036E-2</v>
      </c>
      <c r="H49" s="18">
        <v>7.5601000000000003</v>
      </c>
    </row>
    <row r="50" spans="1:8" x14ac:dyDescent="0.2">
      <c r="A50" s="24">
        <v>8</v>
      </c>
      <c r="B50" s="25" t="s">
        <v>161</v>
      </c>
      <c r="C50" s="25" t="s">
        <v>162</v>
      </c>
      <c r="D50" s="25" t="s">
        <v>146</v>
      </c>
      <c r="E50" s="26">
        <v>500</v>
      </c>
      <c r="F50" s="27">
        <v>2328.41</v>
      </c>
      <c r="G50" s="28">
        <v>4.118136E-2</v>
      </c>
      <c r="H50" s="18">
        <v>7.62</v>
      </c>
    </row>
    <row r="51" spans="1:8" x14ac:dyDescent="0.2">
      <c r="A51" s="24">
        <v>9</v>
      </c>
      <c r="B51" s="25" t="s">
        <v>163</v>
      </c>
      <c r="C51" s="25" t="s">
        <v>164</v>
      </c>
      <c r="D51" s="25" t="s">
        <v>146</v>
      </c>
      <c r="E51" s="26">
        <v>500</v>
      </c>
      <c r="F51" s="27">
        <v>2326.38</v>
      </c>
      <c r="G51" s="28">
        <v>4.114545E-2</v>
      </c>
      <c r="H51" s="18">
        <v>7.6950000000000003</v>
      </c>
    </row>
    <row r="52" spans="1:8" x14ac:dyDescent="0.2">
      <c r="A52" s="24">
        <v>10</v>
      </c>
      <c r="B52" s="25" t="s">
        <v>165</v>
      </c>
      <c r="C52" s="25" t="s">
        <v>166</v>
      </c>
      <c r="D52" s="25" t="s">
        <v>146</v>
      </c>
      <c r="E52" s="26">
        <v>400</v>
      </c>
      <c r="F52" s="27">
        <v>1934.2660000000001</v>
      </c>
      <c r="G52" s="28">
        <v>3.4210339999999999E-2</v>
      </c>
      <c r="H52" s="18">
        <v>7.6101000000000001</v>
      </c>
    </row>
    <row r="53" spans="1:8" x14ac:dyDescent="0.2">
      <c r="A53" s="24">
        <v>11</v>
      </c>
      <c r="B53" s="25" t="s">
        <v>167</v>
      </c>
      <c r="C53" s="25" t="s">
        <v>168</v>
      </c>
      <c r="D53" s="25" t="s">
        <v>146</v>
      </c>
      <c r="E53" s="26">
        <v>300</v>
      </c>
      <c r="F53" s="27">
        <v>1472.5815</v>
      </c>
      <c r="G53" s="28">
        <v>2.6044769999999998E-2</v>
      </c>
      <c r="H53" s="18">
        <v>7.23</v>
      </c>
    </row>
    <row r="54" spans="1:8" x14ac:dyDescent="0.2">
      <c r="A54" s="24">
        <v>12</v>
      </c>
      <c r="B54" s="25" t="s">
        <v>169</v>
      </c>
      <c r="C54" s="25" t="s">
        <v>170</v>
      </c>
      <c r="D54" s="25" t="s">
        <v>146</v>
      </c>
      <c r="E54" s="26">
        <v>300</v>
      </c>
      <c r="F54" s="27">
        <v>1452.8340000000001</v>
      </c>
      <c r="G54" s="28">
        <v>2.5695510000000001E-2</v>
      </c>
      <c r="H54" s="18">
        <v>7.5</v>
      </c>
    </row>
    <row r="55" spans="1:8" x14ac:dyDescent="0.2">
      <c r="A55" s="24">
        <v>13</v>
      </c>
      <c r="B55" s="25" t="s">
        <v>171</v>
      </c>
      <c r="C55" s="25" t="s">
        <v>172</v>
      </c>
      <c r="D55" s="25" t="s">
        <v>146</v>
      </c>
      <c r="E55" s="26">
        <v>200</v>
      </c>
      <c r="F55" s="27">
        <v>984.23099999999999</v>
      </c>
      <c r="G55" s="28">
        <v>1.7407570000000001E-2</v>
      </c>
      <c r="H55" s="18">
        <v>7.22</v>
      </c>
    </row>
    <row r="56" spans="1:8" x14ac:dyDescent="0.2">
      <c r="A56" s="24">
        <v>14</v>
      </c>
      <c r="B56" s="25" t="s">
        <v>173</v>
      </c>
      <c r="C56" s="25" t="s">
        <v>174</v>
      </c>
      <c r="D56" s="25" t="s">
        <v>146</v>
      </c>
      <c r="E56" s="26">
        <v>200</v>
      </c>
      <c r="F56" s="27">
        <v>933.11500000000001</v>
      </c>
      <c r="G56" s="28">
        <v>1.6503509999999999E-2</v>
      </c>
      <c r="H56" s="18">
        <v>7.6950000000000003</v>
      </c>
    </row>
    <row r="57" spans="1:8" ht="25.5" x14ac:dyDescent="0.2">
      <c r="A57" s="24">
        <v>15</v>
      </c>
      <c r="B57" s="25" t="s">
        <v>197</v>
      </c>
      <c r="C57" s="25" t="s">
        <v>198</v>
      </c>
      <c r="D57" s="25" t="s">
        <v>146</v>
      </c>
      <c r="E57" s="26">
        <v>500</v>
      </c>
      <c r="F57" s="27">
        <v>2328.1675</v>
      </c>
      <c r="G57" s="28">
        <v>4.1177070000000003E-2</v>
      </c>
      <c r="H57" s="18">
        <v>7.61</v>
      </c>
    </row>
    <row r="58" spans="1:8" x14ac:dyDescent="0.2">
      <c r="A58" s="24">
        <v>16</v>
      </c>
      <c r="B58" s="25" t="s">
        <v>175</v>
      </c>
      <c r="C58" s="25" t="s">
        <v>176</v>
      </c>
      <c r="D58" s="25" t="s">
        <v>149</v>
      </c>
      <c r="E58" s="26">
        <v>160</v>
      </c>
      <c r="F58" s="27">
        <v>765.072</v>
      </c>
      <c r="G58" s="28">
        <v>1.3531420000000001E-2</v>
      </c>
      <c r="H58" s="18">
        <v>7.54</v>
      </c>
    </row>
    <row r="59" spans="1:8" x14ac:dyDescent="0.2">
      <c r="A59" s="24">
        <v>17</v>
      </c>
      <c r="B59" s="25" t="s">
        <v>177</v>
      </c>
      <c r="C59" s="25" t="s">
        <v>178</v>
      </c>
      <c r="D59" s="25" t="s">
        <v>146</v>
      </c>
      <c r="E59" s="26">
        <v>140</v>
      </c>
      <c r="F59" s="27">
        <v>690.74390000000005</v>
      </c>
      <c r="G59" s="28">
        <v>1.221682E-2</v>
      </c>
      <c r="H59" s="18">
        <v>7.3002000000000002</v>
      </c>
    </row>
    <row r="60" spans="1:8" x14ac:dyDescent="0.2">
      <c r="A60" s="24">
        <v>18</v>
      </c>
      <c r="B60" s="25" t="s">
        <v>179</v>
      </c>
      <c r="C60" s="25" t="s">
        <v>180</v>
      </c>
      <c r="D60" s="25" t="s">
        <v>146</v>
      </c>
      <c r="E60" s="26">
        <v>140</v>
      </c>
      <c r="F60" s="27">
        <v>690.32249999999999</v>
      </c>
      <c r="G60" s="28">
        <v>1.2209370000000001E-2</v>
      </c>
      <c r="H60" s="18">
        <v>7.3101000000000003</v>
      </c>
    </row>
    <row r="61" spans="1:8" x14ac:dyDescent="0.2">
      <c r="A61" s="24">
        <v>19</v>
      </c>
      <c r="B61" s="25" t="s">
        <v>181</v>
      </c>
      <c r="C61" s="25" t="s">
        <v>182</v>
      </c>
      <c r="D61" s="25" t="s">
        <v>149</v>
      </c>
      <c r="E61" s="26">
        <v>100</v>
      </c>
      <c r="F61" s="27">
        <v>495.47</v>
      </c>
      <c r="G61" s="28">
        <v>8.7631199999999992E-3</v>
      </c>
      <c r="H61" s="18">
        <v>7.2550999999999997</v>
      </c>
    </row>
    <row r="62" spans="1:8" x14ac:dyDescent="0.2">
      <c r="A62" s="24">
        <v>20</v>
      </c>
      <c r="B62" s="25" t="s">
        <v>183</v>
      </c>
      <c r="C62" s="25" t="s">
        <v>184</v>
      </c>
      <c r="D62" s="25" t="s">
        <v>146</v>
      </c>
      <c r="E62" s="26">
        <v>100</v>
      </c>
      <c r="F62" s="27">
        <v>495.04450000000003</v>
      </c>
      <c r="G62" s="28">
        <v>8.7555900000000006E-3</v>
      </c>
      <c r="H62" s="18">
        <v>7.3075000000000001</v>
      </c>
    </row>
    <row r="63" spans="1:8" x14ac:dyDescent="0.2">
      <c r="A63" s="24">
        <v>21</v>
      </c>
      <c r="B63" s="25" t="s">
        <v>185</v>
      </c>
      <c r="C63" s="25" t="s">
        <v>186</v>
      </c>
      <c r="D63" s="25" t="s">
        <v>152</v>
      </c>
      <c r="E63" s="26">
        <v>100</v>
      </c>
      <c r="F63" s="27">
        <v>486.01850000000002</v>
      </c>
      <c r="G63" s="28">
        <v>8.5959499999999998E-3</v>
      </c>
      <c r="H63" s="18">
        <v>7.5000999999999998</v>
      </c>
    </row>
    <row r="64" spans="1:8" x14ac:dyDescent="0.2">
      <c r="A64" s="24">
        <v>22</v>
      </c>
      <c r="B64" s="25" t="s">
        <v>187</v>
      </c>
      <c r="C64" s="25" t="s">
        <v>188</v>
      </c>
      <c r="D64" s="25" t="s">
        <v>146</v>
      </c>
      <c r="E64" s="26">
        <v>100</v>
      </c>
      <c r="F64" s="27">
        <v>484.5745</v>
      </c>
      <c r="G64" s="28">
        <v>8.5704100000000005E-3</v>
      </c>
      <c r="H64" s="18">
        <v>7.5449999999999999</v>
      </c>
    </row>
    <row r="65" spans="1:8" x14ac:dyDescent="0.2">
      <c r="A65" s="24">
        <v>23</v>
      </c>
      <c r="B65" s="25" t="s">
        <v>189</v>
      </c>
      <c r="C65" s="25" t="s">
        <v>190</v>
      </c>
      <c r="D65" s="25" t="s">
        <v>146</v>
      </c>
      <c r="E65" s="26">
        <v>100</v>
      </c>
      <c r="F65" s="27">
        <v>481.14049999999997</v>
      </c>
      <c r="G65" s="28">
        <v>8.5096800000000004E-3</v>
      </c>
      <c r="H65" s="18">
        <v>7.53</v>
      </c>
    </row>
    <row r="66" spans="1:8" x14ac:dyDescent="0.2">
      <c r="A66" s="16"/>
      <c r="B66" s="16"/>
      <c r="C66" s="17" t="s">
        <v>11</v>
      </c>
      <c r="D66" s="16"/>
      <c r="E66" s="16" t="s">
        <v>12</v>
      </c>
      <c r="F66" s="23">
        <v>35014.886400000003</v>
      </c>
      <c r="G66" s="20">
        <v>0.61928977000000007</v>
      </c>
      <c r="H66" s="18" t="s">
        <v>12</v>
      </c>
    </row>
    <row r="67" spans="1:8" x14ac:dyDescent="0.2">
      <c r="A67" s="16"/>
      <c r="B67" s="16"/>
      <c r="C67" s="21"/>
      <c r="D67" s="16"/>
      <c r="E67" s="16"/>
      <c r="F67" s="22"/>
      <c r="G67" s="22"/>
      <c r="H67" s="18" t="s">
        <v>12</v>
      </c>
    </row>
    <row r="68" spans="1:8" x14ac:dyDescent="0.2">
      <c r="A68" s="16"/>
      <c r="B68" s="16"/>
      <c r="C68" s="17" t="s">
        <v>92</v>
      </c>
      <c r="D68" s="16"/>
      <c r="E68" s="16"/>
      <c r="F68" s="22"/>
      <c r="G68" s="22"/>
      <c r="H68" s="18" t="s">
        <v>12</v>
      </c>
    </row>
    <row r="69" spans="1:8" ht="25.5" x14ac:dyDescent="0.2">
      <c r="A69" s="24">
        <v>1</v>
      </c>
      <c r="B69" s="25" t="s">
        <v>191</v>
      </c>
      <c r="C69" s="25" t="s">
        <v>192</v>
      </c>
      <c r="D69" s="25" t="s">
        <v>146</v>
      </c>
      <c r="E69" s="26">
        <v>500</v>
      </c>
      <c r="F69" s="27">
        <v>2476.5050000000001</v>
      </c>
      <c r="G69" s="28">
        <v>4.380063E-2</v>
      </c>
      <c r="H69" s="18">
        <v>7.87</v>
      </c>
    </row>
    <row r="70" spans="1:8" ht="25.5" x14ac:dyDescent="0.2">
      <c r="A70" s="24">
        <v>2</v>
      </c>
      <c r="B70" s="25" t="s">
        <v>193</v>
      </c>
      <c r="C70" s="25" t="s">
        <v>194</v>
      </c>
      <c r="D70" s="25" t="s">
        <v>146</v>
      </c>
      <c r="E70" s="26">
        <v>500</v>
      </c>
      <c r="F70" s="27">
        <v>2471.1475</v>
      </c>
      <c r="G70" s="28">
        <v>4.3705880000000003E-2</v>
      </c>
      <c r="H70" s="18">
        <v>7.6101000000000001</v>
      </c>
    </row>
    <row r="71" spans="1:8" x14ac:dyDescent="0.2">
      <c r="A71" s="24">
        <v>3</v>
      </c>
      <c r="B71" s="25" t="s">
        <v>195</v>
      </c>
      <c r="C71" s="25" t="s">
        <v>196</v>
      </c>
      <c r="D71" s="25" t="s">
        <v>146</v>
      </c>
      <c r="E71" s="26">
        <v>500</v>
      </c>
      <c r="F71" s="27">
        <v>2339.2275</v>
      </c>
      <c r="G71" s="28">
        <v>4.1372680000000002E-2</v>
      </c>
      <c r="H71" s="18">
        <v>8.2249999999999996</v>
      </c>
    </row>
    <row r="72" spans="1:8" ht="25.5" x14ac:dyDescent="0.2">
      <c r="A72" s="24">
        <v>4</v>
      </c>
      <c r="B72" s="25" t="s">
        <v>199</v>
      </c>
      <c r="C72" s="25" t="s">
        <v>200</v>
      </c>
      <c r="D72" s="25" t="s">
        <v>146</v>
      </c>
      <c r="E72" s="26">
        <v>300</v>
      </c>
      <c r="F72" s="27">
        <v>1440.7665</v>
      </c>
      <c r="G72" s="28">
        <v>2.5482080000000001E-2</v>
      </c>
      <c r="H72" s="18">
        <v>8.1999999999999993</v>
      </c>
    </row>
    <row r="73" spans="1:8" x14ac:dyDescent="0.2">
      <c r="A73" s="24">
        <v>5</v>
      </c>
      <c r="B73" s="25" t="s">
        <v>201</v>
      </c>
      <c r="C73" s="25" t="s">
        <v>202</v>
      </c>
      <c r="D73" s="25" t="s">
        <v>146</v>
      </c>
      <c r="E73" s="26">
        <v>300</v>
      </c>
      <c r="F73" s="27">
        <v>1414.3035</v>
      </c>
      <c r="G73" s="28">
        <v>2.5014040000000001E-2</v>
      </c>
      <c r="H73" s="18">
        <v>7.8150000000000004</v>
      </c>
    </row>
    <row r="74" spans="1:8" x14ac:dyDescent="0.2">
      <c r="A74" s="24">
        <v>6</v>
      </c>
      <c r="B74" s="25" t="s">
        <v>203</v>
      </c>
      <c r="C74" s="25" t="s">
        <v>204</v>
      </c>
      <c r="D74" s="25" t="s">
        <v>146</v>
      </c>
      <c r="E74" s="26">
        <v>200</v>
      </c>
      <c r="F74" s="27">
        <v>986.42</v>
      </c>
      <c r="G74" s="28">
        <v>1.744629E-2</v>
      </c>
      <c r="H74" s="18">
        <v>7.5</v>
      </c>
    </row>
    <row r="75" spans="1:8" x14ac:dyDescent="0.2">
      <c r="A75" s="24">
        <v>7</v>
      </c>
      <c r="B75" s="25" t="s">
        <v>205</v>
      </c>
      <c r="C75" s="25" t="s">
        <v>206</v>
      </c>
      <c r="D75" s="25" t="s">
        <v>146</v>
      </c>
      <c r="E75" s="26">
        <v>200</v>
      </c>
      <c r="F75" s="27">
        <v>981.34199999999998</v>
      </c>
      <c r="G75" s="28">
        <v>1.7356480000000001E-2</v>
      </c>
      <c r="H75" s="18">
        <v>7.3049999999999997</v>
      </c>
    </row>
    <row r="76" spans="1:8" ht="25.5" x14ac:dyDescent="0.2">
      <c r="A76" s="24">
        <v>8</v>
      </c>
      <c r="B76" s="25" t="s">
        <v>207</v>
      </c>
      <c r="C76" s="25" t="s">
        <v>208</v>
      </c>
      <c r="D76" s="25" t="s">
        <v>146</v>
      </c>
      <c r="E76" s="26">
        <v>200</v>
      </c>
      <c r="F76" s="27">
        <v>967.35199999999998</v>
      </c>
      <c r="G76" s="28">
        <v>1.7109039999999999E-2</v>
      </c>
      <c r="H76" s="18">
        <v>7.5575000000000001</v>
      </c>
    </row>
    <row r="77" spans="1:8" x14ac:dyDescent="0.2">
      <c r="A77" s="16"/>
      <c r="B77" s="16"/>
      <c r="C77" s="17" t="s">
        <v>11</v>
      </c>
      <c r="D77" s="16"/>
      <c r="E77" s="16" t="s">
        <v>12</v>
      </c>
      <c r="F77" s="23">
        <v>13077.064000000002</v>
      </c>
      <c r="G77" s="20">
        <v>0.23128712000000001</v>
      </c>
      <c r="H77" s="18" t="s">
        <v>12</v>
      </c>
    </row>
    <row r="78" spans="1:8" x14ac:dyDescent="0.2">
      <c r="A78" s="16"/>
      <c r="B78" s="16"/>
      <c r="C78" s="21"/>
      <c r="D78" s="16"/>
      <c r="E78" s="16"/>
      <c r="F78" s="22"/>
      <c r="G78" s="22"/>
      <c r="H78" s="18" t="s">
        <v>12</v>
      </c>
    </row>
    <row r="79" spans="1:8" x14ac:dyDescent="0.2">
      <c r="A79" s="16"/>
      <c r="B79" s="16"/>
      <c r="C79" s="17" t="s">
        <v>93</v>
      </c>
      <c r="D79" s="16"/>
      <c r="E79" s="16"/>
      <c r="F79" s="22"/>
      <c r="G79" s="22"/>
      <c r="H79" s="18" t="s">
        <v>12</v>
      </c>
    </row>
    <row r="80" spans="1:8" x14ac:dyDescent="0.2">
      <c r="A80" s="24">
        <v>1</v>
      </c>
      <c r="B80" s="25" t="s">
        <v>209</v>
      </c>
      <c r="C80" s="25" t="s">
        <v>210</v>
      </c>
      <c r="D80" s="25" t="s">
        <v>75</v>
      </c>
      <c r="E80" s="26">
        <v>2500000</v>
      </c>
      <c r="F80" s="27">
        <v>2440.395</v>
      </c>
      <c r="G80" s="28">
        <v>4.3161980000000003E-2</v>
      </c>
      <c r="H80" s="18">
        <v>6.5549999999999997</v>
      </c>
    </row>
    <row r="81" spans="1:8" x14ac:dyDescent="0.2">
      <c r="A81" s="24">
        <v>2</v>
      </c>
      <c r="B81" s="25" t="s">
        <v>211</v>
      </c>
      <c r="C81" s="25" t="s">
        <v>212</v>
      </c>
      <c r="D81" s="25" t="s">
        <v>75</v>
      </c>
      <c r="E81" s="26">
        <v>1500000</v>
      </c>
      <c r="F81" s="27">
        <v>1458.6120000000001</v>
      </c>
      <c r="G81" s="28">
        <v>2.57977E-2</v>
      </c>
      <c r="H81" s="18">
        <v>6.5549999999999997</v>
      </c>
    </row>
    <row r="82" spans="1:8" x14ac:dyDescent="0.2">
      <c r="A82" s="24">
        <v>3</v>
      </c>
      <c r="B82" s="25" t="s">
        <v>213</v>
      </c>
      <c r="C82" s="25" t="s">
        <v>214</v>
      </c>
      <c r="D82" s="25" t="s">
        <v>75</v>
      </c>
      <c r="E82" s="26">
        <v>1500000</v>
      </c>
      <c r="F82" s="27">
        <v>1457.085</v>
      </c>
      <c r="G82" s="28">
        <v>2.5770689999999999E-2</v>
      </c>
      <c r="H82" s="18">
        <v>6.5549999999999997</v>
      </c>
    </row>
    <row r="83" spans="1:8" x14ac:dyDescent="0.2">
      <c r="A83" s="24">
        <v>4</v>
      </c>
      <c r="B83" s="25" t="s">
        <v>215</v>
      </c>
      <c r="C83" s="25" t="s">
        <v>216</v>
      </c>
      <c r="D83" s="25" t="s">
        <v>75</v>
      </c>
      <c r="E83" s="26">
        <v>1000000</v>
      </c>
      <c r="F83" s="27">
        <v>984.87599999999998</v>
      </c>
      <c r="G83" s="28">
        <v>1.7418980000000001E-2</v>
      </c>
      <c r="H83" s="18">
        <v>6.4424999999999999</v>
      </c>
    </row>
    <row r="84" spans="1:8" x14ac:dyDescent="0.2">
      <c r="A84" s="24">
        <v>5</v>
      </c>
      <c r="B84" s="25" t="s">
        <v>217</v>
      </c>
      <c r="C84" s="25" t="s">
        <v>218</v>
      </c>
      <c r="D84" s="25" t="s">
        <v>75</v>
      </c>
      <c r="E84" s="26">
        <v>1000000</v>
      </c>
      <c r="F84" s="27">
        <v>973.76900000000001</v>
      </c>
      <c r="G84" s="28">
        <v>1.7222540000000001E-2</v>
      </c>
      <c r="H84" s="18">
        <v>6.5549999999999997</v>
      </c>
    </row>
    <row r="85" spans="1:8" x14ac:dyDescent="0.2">
      <c r="A85" s="16"/>
      <c r="B85" s="16"/>
      <c r="C85" s="17" t="s">
        <v>11</v>
      </c>
      <c r="D85" s="16"/>
      <c r="E85" s="16" t="s">
        <v>12</v>
      </c>
      <c r="F85" s="23">
        <v>7314.7370000000001</v>
      </c>
      <c r="G85" s="20">
        <v>0.12937188999999999</v>
      </c>
      <c r="H85" s="18" t="s">
        <v>12</v>
      </c>
    </row>
    <row r="86" spans="1:8" x14ac:dyDescent="0.2">
      <c r="A86" s="16"/>
      <c r="B86" s="16"/>
      <c r="C86" s="21"/>
      <c r="D86" s="16"/>
      <c r="E86" s="16"/>
      <c r="F86" s="22"/>
      <c r="G86" s="22"/>
      <c r="H86" s="18" t="s">
        <v>12</v>
      </c>
    </row>
    <row r="87" spans="1:8" x14ac:dyDescent="0.2">
      <c r="A87" s="16"/>
      <c r="B87" s="16"/>
      <c r="C87" s="17" t="s">
        <v>94</v>
      </c>
      <c r="D87" s="16"/>
      <c r="E87" s="16"/>
      <c r="F87" s="22"/>
      <c r="G87" s="22"/>
      <c r="H87" s="18" t="s">
        <v>12</v>
      </c>
    </row>
    <row r="88" spans="1:8" x14ac:dyDescent="0.2">
      <c r="A88" s="24">
        <v>1</v>
      </c>
      <c r="B88" s="25"/>
      <c r="C88" s="25" t="s">
        <v>95</v>
      </c>
      <c r="D88" s="25"/>
      <c r="E88" s="29"/>
      <c r="F88" s="27">
        <v>1068.6131899980001</v>
      </c>
      <c r="G88" s="28">
        <v>1.89E-2</v>
      </c>
      <c r="H88" s="18">
        <v>6.59</v>
      </c>
    </row>
    <row r="89" spans="1:8" x14ac:dyDescent="0.2">
      <c r="A89" s="16"/>
      <c r="B89" s="16"/>
      <c r="C89" s="17" t="s">
        <v>11</v>
      </c>
      <c r="D89" s="16"/>
      <c r="E89" s="16" t="s">
        <v>12</v>
      </c>
      <c r="F89" s="23">
        <v>1068.6131899980001</v>
      </c>
      <c r="G89" s="20">
        <v>1.89E-2</v>
      </c>
      <c r="H89" s="18" t="s">
        <v>12</v>
      </c>
    </row>
    <row r="90" spans="1:8" x14ac:dyDescent="0.2">
      <c r="A90" s="16"/>
      <c r="B90" s="16"/>
      <c r="C90" s="21"/>
      <c r="D90" s="16"/>
      <c r="E90" s="16"/>
      <c r="F90" s="22"/>
      <c r="G90" s="22"/>
      <c r="H90" s="18" t="s">
        <v>12</v>
      </c>
    </row>
    <row r="91" spans="1:8" x14ac:dyDescent="0.2">
      <c r="A91" s="16"/>
      <c r="B91" s="16"/>
      <c r="C91" s="17" t="s">
        <v>96</v>
      </c>
      <c r="D91" s="16"/>
      <c r="E91" s="16"/>
      <c r="F91" s="23">
        <v>56475.300589997998</v>
      </c>
      <c r="G91" s="20">
        <v>0.99884877999999999</v>
      </c>
      <c r="H91" s="18" t="s">
        <v>12</v>
      </c>
    </row>
    <row r="92" spans="1:8" x14ac:dyDescent="0.2">
      <c r="A92" s="16"/>
      <c r="B92" s="16"/>
      <c r="C92" s="22"/>
      <c r="D92" s="16"/>
      <c r="E92" s="16"/>
      <c r="F92" s="16"/>
      <c r="G92" s="16"/>
      <c r="H92" s="18" t="s">
        <v>12</v>
      </c>
    </row>
    <row r="93" spans="1:8" x14ac:dyDescent="0.2">
      <c r="A93" s="16"/>
      <c r="B93" s="16"/>
      <c r="C93" s="17" t="s">
        <v>97</v>
      </c>
      <c r="D93" s="16"/>
      <c r="E93" s="16"/>
      <c r="F93" s="16"/>
      <c r="G93" s="16"/>
      <c r="H93" s="18" t="s">
        <v>12</v>
      </c>
    </row>
    <row r="94" spans="1:8" x14ac:dyDescent="0.2">
      <c r="A94" s="16"/>
      <c r="B94" s="16"/>
      <c r="C94" s="17" t="s">
        <v>98</v>
      </c>
      <c r="D94" s="16"/>
      <c r="E94" s="16"/>
      <c r="F94" s="16"/>
      <c r="G94" s="16"/>
      <c r="H94" s="18" t="s">
        <v>12</v>
      </c>
    </row>
    <row r="95" spans="1:8" x14ac:dyDescent="0.2">
      <c r="A95" s="16"/>
      <c r="B95" s="16"/>
      <c r="C95" s="17" t="s">
        <v>11</v>
      </c>
      <c r="D95" s="16"/>
      <c r="E95" s="16" t="s">
        <v>12</v>
      </c>
      <c r="F95" s="19" t="s">
        <v>13</v>
      </c>
      <c r="G95" s="20">
        <v>0</v>
      </c>
      <c r="H95" s="18" t="s">
        <v>12</v>
      </c>
    </row>
    <row r="96" spans="1:8" x14ac:dyDescent="0.2">
      <c r="A96" s="30"/>
      <c r="B96" s="30"/>
      <c r="C96" s="31"/>
      <c r="D96" s="30"/>
      <c r="E96" s="30"/>
      <c r="F96" s="32"/>
      <c r="G96" s="32"/>
      <c r="H96" s="18" t="s">
        <v>12</v>
      </c>
    </row>
    <row r="97" spans="1:17" x14ac:dyDescent="0.2">
      <c r="A97" s="30"/>
      <c r="B97" s="30"/>
      <c r="C97" s="33" t="s">
        <v>579</v>
      </c>
      <c r="D97" s="30"/>
      <c r="E97" s="30"/>
      <c r="F97" s="32"/>
      <c r="G97" s="32"/>
      <c r="H97" s="34"/>
      <c r="K97" s="35"/>
      <c r="L97" s="35"/>
      <c r="M97" s="35"/>
      <c r="N97" s="35"/>
      <c r="O97" s="36"/>
      <c r="P97" s="36"/>
      <c r="Q97" s="36"/>
    </row>
    <row r="98" spans="1:17" ht="25.5" x14ac:dyDescent="0.2">
      <c r="A98" s="37">
        <v>1</v>
      </c>
      <c r="B98" s="38" t="s">
        <v>99</v>
      </c>
      <c r="C98" s="38" t="s">
        <v>100</v>
      </c>
      <c r="D98" s="38"/>
      <c r="E98" s="39">
        <v>649.726</v>
      </c>
      <c r="F98" s="34">
        <v>68.115281780000004</v>
      </c>
      <c r="G98" s="40">
        <v>1.2047200000000001E-3</v>
      </c>
      <c r="H98" s="18"/>
    </row>
    <row r="99" spans="1:17" x14ac:dyDescent="0.2">
      <c r="A99" s="30"/>
      <c r="B99" s="30"/>
      <c r="C99" s="33" t="s">
        <v>11</v>
      </c>
      <c r="D99" s="30"/>
      <c r="E99" s="30" t="s">
        <v>12</v>
      </c>
      <c r="F99" s="41">
        <f>SUM(F98)</f>
        <v>68.115281780000004</v>
      </c>
      <c r="G99" s="42">
        <f>SUM(G98)</f>
        <v>1.2047200000000001E-3</v>
      </c>
      <c r="H99" s="18" t="s">
        <v>12</v>
      </c>
    </row>
    <row r="100" spans="1:17" x14ac:dyDescent="0.2">
      <c r="A100" s="16"/>
      <c r="B100" s="16"/>
      <c r="C100" s="21"/>
      <c r="D100" s="16"/>
      <c r="E100" s="16"/>
      <c r="F100" s="22"/>
      <c r="G100" s="22"/>
      <c r="H100" s="18" t="s">
        <v>12</v>
      </c>
    </row>
    <row r="101" spans="1:17" x14ac:dyDescent="0.2">
      <c r="A101" s="16"/>
      <c r="B101" s="16"/>
      <c r="C101" s="17" t="s">
        <v>101</v>
      </c>
      <c r="D101" s="16"/>
      <c r="E101" s="16"/>
      <c r="F101" s="16"/>
      <c r="G101" s="16"/>
      <c r="H101" s="18" t="s">
        <v>12</v>
      </c>
    </row>
    <row r="102" spans="1:17" x14ac:dyDescent="0.2">
      <c r="A102" s="16"/>
      <c r="B102" s="16"/>
      <c r="C102" s="17" t="s">
        <v>102</v>
      </c>
      <c r="D102" s="16"/>
      <c r="E102" s="16"/>
      <c r="F102" s="16"/>
      <c r="G102" s="16"/>
      <c r="H102" s="18" t="s">
        <v>12</v>
      </c>
    </row>
    <row r="103" spans="1:17" x14ac:dyDescent="0.2">
      <c r="A103" s="16"/>
      <c r="B103" s="16"/>
      <c r="C103" s="17" t="s">
        <v>11</v>
      </c>
      <c r="D103" s="16"/>
      <c r="E103" s="16" t="s">
        <v>12</v>
      </c>
      <c r="F103" s="19" t="s">
        <v>13</v>
      </c>
      <c r="G103" s="20">
        <v>0</v>
      </c>
      <c r="H103" s="18" t="s">
        <v>12</v>
      </c>
    </row>
    <row r="104" spans="1:17" x14ac:dyDescent="0.2">
      <c r="A104" s="16"/>
      <c r="B104" s="16"/>
      <c r="C104" s="21"/>
      <c r="D104" s="16"/>
      <c r="E104" s="16"/>
      <c r="F104" s="22"/>
      <c r="G104" s="22"/>
      <c r="H104" s="18" t="s">
        <v>12</v>
      </c>
    </row>
    <row r="105" spans="1:17" x14ac:dyDescent="0.2">
      <c r="A105" s="16"/>
      <c r="B105" s="16"/>
      <c r="C105" s="17" t="s">
        <v>103</v>
      </c>
      <c r="D105" s="16"/>
      <c r="E105" s="16"/>
      <c r="F105" s="22"/>
      <c r="G105" s="22"/>
      <c r="H105" s="18" t="s">
        <v>12</v>
      </c>
    </row>
    <row r="106" spans="1:17" x14ac:dyDescent="0.2">
      <c r="A106" s="16"/>
      <c r="B106" s="16"/>
      <c r="C106" s="17" t="s">
        <v>11</v>
      </c>
      <c r="D106" s="16"/>
      <c r="E106" s="16" t="s">
        <v>12</v>
      </c>
      <c r="F106" s="19" t="s">
        <v>13</v>
      </c>
      <c r="G106" s="20">
        <v>0</v>
      </c>
      <c r="H106" s="18" t="s">
        <v>12</v>
      </c>
    </row>
    <row r="107" spans="1:17" x14ac:dyDescent="0.2">
      <c r="A107" s="16"/>
      <c r="B107" s="16"/>
      <c r="C107" s="21"/>
      <c r="D107" s="16"/>
      <c r="E107" s="16"/>
      <c r="F107" s="22"/>
      <c r="G107" s="22"/>
      <c r="H107" s="18" t="s">
        <v>12</v>
      </c>
    </row>
    <row r="108" spans="1:17" x14ac:dyDescent="0.2">
      <c r="A108" s="29"/>
      <c r="B108" s="25"/>
      <c r="C108" s="25" t="s">
        <v>104</v>
      </c>
      <c r="D108" s="25"/>
      <c r="E108" s="29"/>
      <c r="F108" s="27">
        <v>-3.02406811</v>
      </c>
      <c r="G108" s="28">
        <v>-5.3489999999999998E-5</v>
      </c>
      <c r="H108" s="18" t="s">
        <v>12</v>
      </c>
    </row>
    <row r="109" spans="1:17" x14ac:dyDescent="0.2">
      <c r="A109" s="21"/>
      <c r="B109" s="21"/>
      <c r="C109" s="17" t="s">
        <v>105</v>
      </c>
      <c r="D109" s="22"/>
      <c r="E109" s="22"/>
      <c r="F109" s="23">
        <v>56540.391803667997</v>
      </c>
      <c r="G109" s="43">
        <v>1.0000000099999999</v>
      </c>
      <c r="H109" s="18" t="s">
        <v>12</v>
      </c>
    </row>
    <row r="110" spans="1:17" x14ac:dyDescent="0.2">
      <c r="A110" s="44"/>
      <c r="B110" s="44"/>
      <c r="C110" s="44"/>
      <c r="D110" s="45"/>
      <c r="E110" s="45"/>
      <c r="F110" s="45"/>
      <c r="G110" s="45"/>
    </row>
    <row r="111" spans="1:17" x14ac:dyDescent="0.2">
      <c r="A111" s="46"/>
      <c r="B111" s="172" t="s">
        <v>580</v>
      </c>
      <c r="C111" s="172"/>
      <c r="D111" s="172"/>
      <c r="E111" s="172"/>
      <c r="F111" s="172"/>
      <c r="G111" s="172"/>
      <c r="H111" s="172"/>
    </row>
    <row r="112" spans="1:17" x14ac:dyDescent="0.2">
      <c r="A112" s="46"/>
      <c r="B112" s="172" t="s">
        <v>581</v>
      </c>
      <c r="C112" s="172"/>
      <c r="D112" s="172"/>
      <c r="E112" s="172"/>
      <c r="F112" s="172"/>
      <c r="G112" s="172"/>
      <c r="H112" s="172"/>
    </row>
    <row r="113" spans="1:8" x14ac:dyDescent="0.2">
      <c r="A113" s="46"/>
      <c r="B113" s="172" t="s">
        <v>582</v>
      </c>
      <c r="C113" s="172"/>
      <c r="D113" s="172"/>
      <c r="E113" s="172"/>
      <c r="F113" s="172"/>
      <c r="G113" s="172"/>
      <c r="H113" s="172"/>
    </row>
    <row r="114" spans="1:8" x14ac:dyDescent="0.2">
      <c r="A114" s="46"/>
      <c r="B114" s="185" t="s">
        <v>647</v>
      </c>
      <c r="C114" s="172"/>
      <c r="D114" s="172"/>
      <c r="E114" s="172"/>
      <c r="F114" s="172"/>
      <c r="G114" s="172"/>
      <c r="H114" s="172"/>
    </row>
    <row r="115" spans="1:8" x14ac:dyDescent="0.2">
      <c r="A115" s="48"/>
      <c r="B115" s="48"/>
      <c r="C115" s="48"/>
      <c r="D115" s="49"/>
      <c r="E115" s="49"/>
      <c r="F115" s="49"/>
      <c r="G115" s="49"/>
    </row>
    <row r="116" spans="1:8" x14ac:dyDescent="0.2">
      <c r="A116" s="48"/>
      <c r="B116" s="176" t="s">
        <v>106</v>
      </c>
      <c r="C116" s="177"/>
      <c r="D116" s="178"/>
      <c r="E116" s="50"/>
      <c r="F116" s="49"/>
      <c r="G116" s="49"/>
    </row>
    <row r="117" spans="1:8" x14ac:dyDescent="0.2">
      <c r="A117" s="48"/>
      <c r="B117" s="179" t="s">
        <v>107</v>
      </c>
      <c r="C117" s="180"/>
      <c r="D117" s="17" t="s">
        <v>108</v>
      </c>
      <c r="E117" s="50"/>
      <c r="F117" s="49"/>
      <c r="G117" s="49"/>
    </row>
    <row r="118" spans="1:8" x14ac:dyDescent="0.2">
      <c r="A118" s="48"/>
      <c r="B118" s="179" t="s">
        <v>109</v>
      </c>
      <c r="C118" s="180"/>
      <c r="D118" s="17" t="s">
        <v>108</v>
      </c>
      <c r="E118" s="50"/>
      <c r="F118" s="49"/>
      <c r="G118" s="49"/>
    </row>
    <row r="119" spans="1:8" x14ac:dyDescent="0.2">
      <c r="A119" s="48"/>
      <c r="B119" s="179" t="s">
        <v>110</v>
      </c>
      <c r="C119" s="180"/>
      <c r="D119" s="22" t="s">
        <v>12</v>
      </c>
      <c r="E119" s="50"/>
      <c r="F119" s="49"/>
      <c r="G119" s="49"/>
    </row>
    <row r="120" spans="1:8" x14ac:dyDescent="0.2">
      <c r="A120" s="51"/>
      <c r="B120" s="52" t="s">
        <v>12</v>
      </c>
      <c r="C120" s="52" t="s">
        <v>583</v>
      </c>
      <c r="D120" s="52" t="s">
        <v>111</v>
      </c>
      <c r="E120" s="51"/>
      <c r="F120" s="51"/>
      <c r="G120" s="51"/>
      <c r="H120" s="53"/>
    </row>
    <row r="121" spans="1:8" x14ac:dyDescent="0.2">
      <c r="A121" s="51"/>
      <c r="B121" s="54" t="s">
        <v>112</v>
      </c>
      <c r="C121" s="55">
        <v>45626</v>
      </c>
      <c r="D121" s="55">
        <v>45641</v>
      </c>
      <c r="E121" s="51"/>
      <c r="F121" s="51"/>
      <c r="G121" s="51"/>
    </row>
    <row r="122" spans="1:8" x14ac:dyDescent="0.2">
      <c r="A122" s="56"/>
      <c r="B122" s="25" t="s">
        <v>113</v>
      </c>
      <c r="C122" s="57">
        <v>14.4183</v>
      </c>
      <c r="D122" s="57">
        <v>14.457599999999999</v>
      </c>
      <c r="E122" s="56"/>
      <c r="F122" s="58"/>
      <c r="G122" s="59"/>
    </row>
    <row r="123" spans="1:8" ht="25.5" x14ac:dyDescent="0.2">
      <c r="A123" s="56"/>
      <c r="B123" s="25" t="s">
        <v>605</v>
      </c>
      <c r="C123" s="57">
        <v>11.184799999999999</v>
      </c>
      <c r="D123" s="57">
        <v>11.215299999999999</v>
      </c>
      <c r="E123" s="56"/>
      <c r="F123" s="58"/>
      <c r="G123" s="59"/>
    </row>
    <row r="124" spans="1:8" ht="25.5" x14ac:dyDescent="0.2">
      <c r="A124" s="56"/>
      <c r="B124" s="25" t="s">
        <v>606</v>
      </c>
      <c r="C124" s="57">
        <v>12.4825</v>
      </c>
      <c r="D124" s="57">
        <v>12.4413</v>
      </c>
      <c r="E124" s="56"/>
      <c r="F124" s="58"/>
      <c r="G124" s="59"/>
    </row>
    <row r="125" spans="1:8" x14ac:dyDescent="0.2">
      <c r="A125" s="56"/>
      <c r="B125" s="25" t="s">
        <v>114</v>
      </c>
      <c r="C125" s="57">
        <v>14.337</v>
      </c>
      <c r="D125" s="57">
        <v>14.375400000000001</v>
      </c>
      <c r="E125" s="56"/>
      <c r="F125" s="58"/>
      <c r="G125" s="59"/>
    </row>
    <row r="126" spans="1:8" ht="25.5" x14ac:dyDescent="0.2">
      <c r="A126" s="56"/>
      <c r="B126" s="25" t="s">
        <v>609</v>
      </c>
      <c r="C126" s="57">
        <v>11.1638</v>
      </c>
      <c r="D126" s="57">
        <v>11.1937</v>
      </c>
      <c r="E126" s="56"/>
      <c r="F126" s="58"/>
      <c r="G126" s="59"/>
    </row>
    <row r="127" spans="1:8" ht="25.5" x14ac:dyDescent="0.2">
      <c r="A127" s="56"/>
      <c r="B127" s="25" t="s">
        <v>610</v>
      </c>
      <c r="C127" s="57">
        <v>12.410399999999999</v>
      </c>
      <c r="D127" s="57">
        <v>12.368600000000001</v>
      </c>
      <c r="E127" s="56"/>
      <c r="F127" s="58"/>
      <c r="G127" s="59"/>
    </row>
    <row r="128" spans="1:8" x14ac:dyDescent="0.2">
      <c r="A128" s="56"/>
      <c r="B128" s="56"/>
      <c r="C128" s="56"/>
      <c r="D128" s="56"/>
      <c r="E128" s="56"/>
      <c r="F128" s="56"/>
      <c r="G128" s="56"/>
    </row>
    <row r="129" spans="1:14" x14ac:dyDescent="0.2">
      <c r="A129" s="56"/>
      <c r="B129" s="179" t="s">
        <v>598</v>
      </c>
      <c r="C129" s="180"/>
      <c r="D129" s="17" t="s">
        <v>12</v>
      </c>
      <c r="E129" s="56"/>
      <c r="F129" s="56"/>
      <c r="G129" s="56"/>
    </row>
    <row r="130" spans="1:14" x14ac:dyDescent="0.2">
      <c r="A130" s="56"/>
      <c r="B130" s="60" t="s">
        <v>112</v>
      </c>
      <c r="C130" s="61" t="s">
        <v>115</v>
      </c>
      <c r="D130" s="61" t="s">
        <v>116</v>
      </c>
      <c r="E130" s="56"/>
      <c r="F130" s="56"/>
      <c r="G130" s="56"/>
    </row>
    <row r="131" spans="1:14" ht="25.5" x14ac:dyDescent="0.2">
      <c r="A131" s="56"/>
      <c r="B131" s="25" t="s">
        <v>606</v>
      </c>
      <c r="C131" s="62">
        <v>7.4999999999999997E-2</v>
      </c>
      <c r="D131" s="29" t="s">
        <v>117</v>
      </c>
      <c r="E131" s="56"/>
      <c r="F131" s="58"/>
      <c r="G131" s="59"/>
    </row>
    <row r="132" spans="1:14" ht="25.5" x14ac:dyDescent="0.2">
      <c r="A132" s="56"/>
      <c r="B132" s="25" t="s">
        <v>610</v>
      </c>
      <c r="C132" s="62">
        <v>7.4999999999999997E-2</v>
      </c>
      <c r="D132" s="29" t="s">
        <v>117</v>
      </c>
      <c r="E132" s="56"/>
      <c r="F132" s="58"/>
      <c r="G132" s="59"/>
    </row>
    <row r="133" spans="1:14" x14ac:dyDescent="0.2">
      <c r="A133" s="56"/>
      <c r="B133" s="63"/>
      <c r="C133" s="63"/>
      <c r="D133" s="64"/>
      <c r="E133" s="56"/>
      <c r="F133" s="58"/>
      <c r="G133" s="59"/>
    </row>
    <row r="134" spans="1:14" x14ac:dyDescent="0.2">
      <c r="A134" s="51"/>
      <c r="B134" s="173" t="s">
        <v>118</v>
      </c>
      <c r="C134" s="174"/>
      <c r="D134" s="33" t="s">
        <v>108</v>
      </c>
      <c r="E134" s="65"/>
      <c r="F134" s="51"/>
      <c r="G134" s="51"/>
    </row>
    <row r="135" spans="1:14" ht="25.5" customHeight="1" x14ac:dyDescent="0.2">
      <c r="A135" s="51"/>
      <c r="B135" s="173" t="s">
        <v>119</v>
      </c>
      <c r="C135" s="174"/>
      <c r="D135" s="33" t="s">
        <v>108</v>
      </c>
      <c r="E135" s="65"/>
      <c r="F135" s="51"/>
      <c r="G135" s="51"/>
    </row>
    <row r="136" spans="1:14" ht="26.25" customHeight="1" x14ac:dyDescent="0.2">
      <c r="A136" s="51"/>
      <c r="B136" s="173" t="s">
        <v>584</v>
      </c>
      <c r="C136" s="174"/>
      <c r="D136" s="33" t="s">
        <v>108</v>
      </c>
      <c r="E136" s="65"/>
      <c r="F136" s="51"/>
      <c r="G136" s="51"/>
    </row>
    <row r="137" spans="1:14" x14ac:dyDescent="0.2">
      <c r="A137" s="66"/>
      <c r="B137" s="66"/>
      <c r="C137" s="66"/>
      <c r="D137" s="66"/>
      <c r="E137" s="66"/>
      <c r="F137" s="66"/>
      <c r="G137" s="66"/>
    </row>
    <row r="138" spans="1:14" s="67" customFormat="1" x14ac:dyDescent="0.2">
      <c r="B138" s="181" t="s">
        <v>585</v>
      </c>
      <c r="C138" s="182"/>
      <c r="D138" s="183"/>
      <c r="I138"/>
      <c r="J138" s="35"/>
      <c r="K138" s="35"/>
      <c r="L138" s="35"/>
      <c r="M138" s="35"/>
      <c r="N138" s="73"/>
    </row>
    <row r="139" spans="1:14" s="67" customFormat="1" ht="51" x14ac:dyDescent="0.2">
      <c r="B139" s="186" t="s">
        <v>586</v>
      </c>
      <c r="C139" s="187"/>
      <c r="D139" s="68" t="s">
        <v>143</v>
      </c>
      <c r="I139"/>
      <c r="J139" s="35"/>
      <c r="K139" s="35"/>
      <c r="L139" s="35"/>
      <c r="M139" s="35"/>
      <c r="N139" s="73"/>
    </row>
    <row r="140" spans="1:14" s="67" customFormat="1" x14ac:dyDescent="0.2">
      <c r="B140" s="168" t="s">
        <v>587</v>
      </c>
      <c r="C140" s="169"/>
      <c r="D140" s="69"/>
      <c r="I140"/>
      <c r="J140" s="35"/>
      <c r="K140" s="35"/>
      <c r="L140" s="35"/>
      <c r="M140" s="35"/>
      <c r="N140" s="73"/>
    </row>
    <row r="141" spans="1:14" s="67" customFormat="1" x14ac:dyDescent="0.2">
      <c r="B141" s="168"/>
      <c r="C141" s="169"/>
      <c r="D141" s="70"/>
      <c r="I141"/>
      <c r="J141" s="35"/>
      <c r="K141" s="35"/>
      <c r="L141" s="35"/>
      <c r="M141" s="35"/>
      <c r="N141" s="73"/>
    </row>
    <row r="142" spans="1:14" s="67" customFormat="1" x14ac:dyDescent="0.2">
      <c r="B142" s="168" t="s">
        <v>588</v>
      </c>
      <c r="C142" s="184"/>
      <c r="D142" s="71">
        <v>7.4544851869926969</v>
      </c>
      <c r="I142"/>
      <c r="J142" s="35"/>
      <c r="K142" s="35"/>
      <c r="L142" s="35"/>
      <c r="M142" s="35"/>
      <c r="N142" s="73"/>
    </row>
    <row r="143" spans="1:14" s="67" customFormat="1" x14ac:dyDescent="0.2">
      <c r="B143" s="168"/>
      <c r="C143" s="169"/>
      <c r="D143" s="70"/>
      <c r="I143"/>
      <c r="J143" s="35"/>
      <c r="K143" s="35"/>
      <c r="L143" s="35"/>
      <c r="M143" s="35"/>
      <c r="N143" s="73"/>
    </row>
    <row r="144" spans="1:14" s="67" customFormat="1" x14ac:dyDescent="0.2">
      <c r="B144" s="168" t="s">
        <v>589</v>
      </c>
      <c r="C144" s="184"/>
      <c r="D144" s="71">
        <v>0.53822091357009427</v>
      </c>
      <c r="I144"/>
      <c r="J144" s="35"/>
      <c r="K144" s="35"/>
      <c r="L144" s="35"/>
      <c r="M144" s="35"/>
      <c r="N144" s="73"/>
    </row>
    <row r="145" spans="2:16" s="67" customFormat="1" x14ac:dyDescent="0.2">
      <c r="B145" s="168" t="s">
        <v>590</v>
      </c>
      <c r="C145" s="184"/>
      <c r="D145" s="71">
        <v>0.53822091357009427</v>
      </c>
      <c r="I145"/>
      <c r="J145" s="35"/>
      <c r="K145" s="35"/>
      <c r="L145" s="35"/>
      <c r="M145" s="35"/>
      <c r="N145" s="73"/>
    </row>
    <row r="146" spans="2:16" s="67" customFormat="1" x14ac:dyDescent="0.2">
      <c r="B146" s="168"/>
      <c r="C146" s="169"/>
      <c r="D146" s="70"/>
      <c r="I146"/>
      <c r="J146" s="35"/>
      <c r="K146" s="35"/>
      <c r="L146" s="35"/>
      <c r="M146" s="35"/>
      <c r="N146" s="73"/>
    </row>
    <row r="147" spans="2:16" s="67" customFormat="1" ht="25.5" x14ac:dyDescent="0.2">
      <c r="B147" s="167" t="s">
        <v>591</v>
      </c>
      <c r="C147" s="167"/>
      <c r="D147" s="72" t="s">
        <v>694</v>
      </c>
      <c r="I147"/>
      <c r="J147" s="35"/>
      <c r="K147" s="35"/>
      <c r="L147" s="35"/>
      <c r="M147" s="35"/>
      <c r="N147" s="73"/>
    </row>
    <row r="148" spans="2:16" s="67" customFormat="1" x14ac:dyDescent="0.2">
      <c r="B148" s="168" t="s">
        <v>592</v>
      </c>
      <c r="C148" s="170"/>
      <c r="D148" s="169"/>
      <c r="I148"/>
      <c r="J148" s="35"/>
      <c r="K148" s="35"/>
      <c r="L148" s="35"/>
      <c r="M148" s="35"/>
      <c r="N148" s="73"/>
      <c r="O148"/>
      <c r="P148"/>
    </row>
    <row r="150" spans="2:16" ht="25.5" x14ac:dyDescent="0.2">
      <c r="B150" s="74" t="s">
        <v>593</v>
      </c>
    </row>
    <row r="152" spans="2:16" ht="153.75" customHeight="1" x14ac:dyDescent="0.2"/>
    <row r="155" spans="2:16" x14ac:dyDescent="0.2">
      <c r="B155" s="75" t="s">
        <v>594</v>
      </c>
      <c r="C155" s="76"/>
      <c r="D155" s="75" t="s">
        <v>595</v>
      </c>
    </row>
    <row r="156" spans="2:16" x14ac:dyDescent="0.2">
      <c r="B156" s="75" t="s">
        <v>613</v>
      </c>
      <c r="D156" s="75" t="s">
        <v>614</v>
      </c>
    </row>
    <row r="157" spans="2:16" ht="165" customHeight="1" x14ac:dyDescent="0.2"/>
  </sheetData>
  <mergeCells count="26">
    <mergeCell ref="B113:H113"/>
    <mergeCell ref="B114:H114"/>
    <mergeCell ref="B136:C136"/>
    <mergeCell ref="B139:C139"/>
    <mergeCell ref="B116:D116"/>
    <mergeCell ref="B117:C117"/>
    <mergeCell ref="B118:C118"/>
    <mergeCell ref="B119:C119"/>
    <mergeCell ref="B129:C129"/>
    <mergeCell ref="B135:C135"/>
    <mergeCell ref="B134:C134"/>
    <mergeCell ref="B138:D138"/>
    <mergeCell ref="A1:H1"/>
    <mergeCell ref="A2:H2"/>
    <mergeCell ref="A3:H3"/>
    <mergeCell ref="B111:H111"/>
    <mergeCell ref="B112:H112"/>
    <mergeCell ref="B145:C145"/>
    <mergeCell ref="B146:C146"/>
    <mergeCell ref="B147:C147"/>
    <mergeCell ref="B148:D148"/>
    <mergeCell ref="B140:C140"/>
    <mergeCell ref="B141:C141"/>
    <mergeCell ref="B142:C142"/>
    <mergeCell ref="B143:C143"/>
    <mergeCell ref="B144:C144"/>
  </mergeCells>
  <hyperlinks>
    <hyperlink ref="I1" location="Index!B2" display="Index" xr:uid="{8E402698-5D35-43A7-A207-D1B8EBA255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9F01-E246-441C-9BA4-973DC52A2C5A}">
  <sheetPr>
    <outlinePr summaryBelow="0" summaryRight="0"/>
  </sheetPr>
  <dimension ref="A1:T186"/>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3.42578125" customWidth="1"/>
    <col min="5" max="5" width="9.42578125" bestFit="1" customWidth="1"/>
    <col min="6" max="6" width="15" customWidth="1"/>
    <col min="7" max="7" width="14" bestFit="1" customWidth="1"/>
    <col min="8" max="8" width="8.85546875" customWidth="1"/>
    <col min="9" max="9" width="8.140625" customWidth="1"/>
    <col min="10" max="10" width="12" customWidth="1"/>
  </cols>
  <sheetData>
    <row r="1" spans="1:9" ht="15" x14ac:dyDescent="0.2">
      <c r="A1" s="171" t="s">
        <v>0</v>
      </c>
      <c r="B1" s="171"/>
      <c r="C1" s="171"/>
      <c r="D1" s="171"/>
      <c r="E1" s="171"/>
      <c r="F1" s="171"/>
      <c r="G1" s="171"/>
      <c r="H1" s="171"/>
      <c r="I1" s="7" t="s">
        <v>576</v>
      </c>
    </row>
    <row r="2" spans="1:9" ht="15" x14ac:dyDescent="0.2">
      <c r="A2" s="171" t="s">
        <v>219</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575</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ht="25.5" x14ac:dyDescent="0.2">
      <c r="A28" s="24">
        <v>1</v>
      </c>
      <c r="B28" s="25" t="s">
        <v>220</v>
      </c>
      <c r="C28" s="25" t="s">
        <v>221</v>
      </c>
      <c r="D28" s="25" t="s">
        <v>23</v>
      </c>
      <c r="E28" s="26">
        <v>250</v>
      </c>
      <c r="F28" s="27">
        <v>2491.8575000000001</v>
      </c>
      <c r="G28" s="28">
        <v>5.6277349999999997E-2</v>
      </c>
      <c r="H28" s="18">
        <v>7.64</v>
      </c>
    </row>
    <row r="29" spans="1:8" x14ac:dyDescent="0.2">
      <c r="A29" s="24">
        <v>2</v>
      </c>
      <c r="B29" s="25" t="s">
        <v>222</v>
      </c>
      <c r="C29" s="25" t="s">
        <v>223</v>
      </c>
      <c r="D29" s="25" t="s">
        <v>224</v>
      </c>
      <c r="E29" s="26">
        <v>2000</v>
      </c>
      <c r="F29" s="27">
        <v>2000.5340000000001</v>
      </c>
      <c r="G29" s="28">
        <v>4.518105E-2</v>
      </c>
      <c r="H29" s="18">
        <v>7.4749999999999996</v>
      </c>
    </row>
    <row r="30" spans="1:8" x14ac:dyDescent="0.2">
      <c r="A30" s="24">
        <v>3</v>
      </c>
      <c r="B30" s="25" t="s">
        <v>225</v>
      </c>
      <c r="C30" s="25" t="s">
        <v>226</v>
      </c>
      <c r="D30" s="25" t="s">
        <v>227</v>
      </c>
      <c r="E30" s="26">
        <v>1500</v>
      </c>
      <c r="F30" s="27">
        <v>1510.6755000000001</v>
      </c>
      <c r="G30" s="28">
        <v>3.4117849999999998E-2</v>
      </c>
      <c r="H30" s="18">
        <v>7.91</v>
      </c>
    </row>
    <row r="31" spans="1:8" x14ac:dyDescent="0.2">
      <c r="A31" s="24">
        <v>4</v>
      </c>
      <c r="B31" s="25" t="s">
        <v>228</v>
      </c>
      <c r="C31" s="25" t="s">
        <v>229</v>
      </c>
      <c r="D31" s="25" t="s">
        <v>230</v>
      </c>
      <c r="E31" s="26">
        <v>1500</v>
      </c>
      <c r="F31" s="27">
        <v>1506.7139999999999</v>
      </c>
      <c r="G31" s="28">
        <v>3.4028379999999997E-2</v>
      </c>
      <c r="H31" s="18">
        <v>8.7797999999999998</v>
      </c>
    </row>
    <row r="32" spans="1:8" ht="25.5" x14ac:dyDescent="0.2">
      <c r="A32" s="24">
        <v>5</v>
      </c>
      <c r="B32" s="25" t="s">
        <v>231</v>
      </c>
      <c r="C32" s="25" t="s">
        <v>232</v>
      </c>
      <c r="D32" s="25" t="s">
        <v>23</v>
      </c>
      <c r="E32" s="26">
        <v>140</v>
      </c>
      <c r="F32" s="27">
        <v>1379.4872</v>
      </c>
      <c r="G32" s="28">
        <v>3.1155019999999999E-2</v>
      </c>
      <c r="H32" s="18">
        <v>7.76</v>
      </c>
    </row>
    <row r="33" spans="1:8" x14ac:dyDescent="0.2">
      <c r="A33" s="24">
        <v>6</v>
      </c>
      <c r="B33" s="25" t="s">
        <v>233</v>
      </c>
      <c r="C33" s="25" t="s">
        <v>234</v>
      </c>
      <c r="D33" s="25" t="s">
        <v>230</v>
      </c>
      <c r="E33" s="26">
        <v>1200</v>
      </c>
      <c r="F33" s="27">
        <v>1206.6096</v>
      </c>
      <c r="G33" s="28">
        <v>2.7250670000000001E-2</v>
      </c>
      <c r="H33" s="18">
        <v>8.2608999999999995</v>
      </c>
    </row>
    <row r="34" spans="1:8" ht="25.5" x14ac:dyDescent="0.2">
      <c r="A34" s="24">
        <v>7</v>
      </c>
      <c r="B34" s="25" t="s">
        <v>67</v>
      </c>
      <c r="C34" s="25" t="s">
        <v>68</v>
      </c>
      <c r="D34" s="25" t="s">
        <v>23</v>
      </c>
      <c r="E34" s="26">
        <v>1000</v>
      </c>
      <c r="F34" s="27">
        <v>1003.854</v>
      </c>
      <c r="G34" s="28">
        <v>2.267154E-2</v>
      </c>
      <c r="H34" s="18">
        <v>7.5133999999999999</v>
      </c>
    </row>
    <row r="35" spans="1:8" ht="25.5" x14ac:dyDescent="0.2">
      <c r="A35" s="24">
        <v>8</v>
      </c>
      <c r="B35" s="25" t="s">
        <v>235</v>
      </c>
      <c r="C35" s="25" t="s">
        <v>236</v>
      </c>
      <c r="D35" s="25" t="s">
        <v>227</v>
      </c>
      <c r="E35" s="26">
        <v>1000</v>
      </c>
      <c r="F35" s="27">
        <v>1000.537</v>
      </c>
      <c r="G35" s="28">
        <v>2.2596629999999999E-2</v>
      </c>
      <c r="H35" s="18">
        <v>8.1289999999999996</v>
      </c>
    </row>
    <row r="36" spans="1:8" x14ac:dyDescent="0.2">
      <c r="A36" s="24">
        <v>9</v>
      </c>
      <c r="B36" s="25" t="s">
        <v>237</v>
      </c>
      <c r="C36" s="25" t="s">
        <v>238</v>
      </c>
      <c r="D36" s="25" t="s">
        <v>23</v>
      </c>
      <c r="E36" s="26">
        <v>1000</v>
      </c>
      <c r="F36" s="27">
        <v>999.24599999999998</v>
      </c>
      <c r="G36" s="28">
        <v>2.2567469999999999E-2</v>
      </c>
      <c r="H36" s="18">
        <v>7.5650000000000004</v>
      </c>
    </row>
    <row r="37" spans="1:8" ht="25.5" x14ac:dyDescent="0.2">
      <c r="A37" s="24">
        <v>10</v>
      </c>
      <c r="B37" s="25" t="s">
        <v>239</v>
      </c>
      <c r="C37" s="25" t="s">
        <v>240</v>
      </c>
      <c r="D37" s="25" t="s">
        <v>241</v>
      </c>
      <c r="E37" s="26">
        <v>1000</v>
      </c>
      <c r="F37" s="27">
        <v>998.17</v>
      </c>
      <c r="G37" s="28">
        <v>2.2543170000000001E-2</v>
      </c>
      <c r="H37" s="18">
        <v>9.35</v>
      </c>
    </row>
    <row r="38" spans="1:8" x14ac:dyDescent="0.2">
      <c r="A38" s="24">
        <v>11</v>
      </c>
      <c r="B38" s="25" t="s">
        <v>242</v>
      </c>
      <c r="C38" s="25" t="s">
        <v>243</v>
      </c>
      <c r="D38" s="25" t="s">
        <v>230</v>
      </c>
      <c r="E38" s="26">
        <v>100</v>
      </c>
      <c r="F38" s="27">
        <v>997.38400000000001</v>
      </c>
      <c r="G38" s="28">
        <v>2.2525420000000001E-2</v>
      </c>
      <c r="H38" s="18">
        <v>8.5500000000000007</v>
      </c>
    </row>
    <row r="39" spans="1:8" ht="25.5" x14ac:dyDescent="0.2">
      <c r="A39" s="24">
        <v>12</v>
      </c>
      <c r="B39" s="25" t="s">
        <v>244</v>
      </c>
      <c r="C39" s="25" t="s">
        <v>245</v>
      </c>
      <c r="D39" s="25" t="s">
        <v>23</v>
      </c>
      <c r="E39" s="26">
        <v>100</v>
      </c>
      <c r="F39" s="27">
        <v>996.90599999999995</v>
      </c>
      <c r="G39" s="28">
        <v>2.2514619999999999E-2</v>
      </c>
      <c r="H39" s="18">
        <v>7.665</v>
      </c>
    </row>
    <row r="40" spans="1:8" ht="25.5" x14ac:dyDescent="0.2">
      <c r="A40" s="24">
        <v>13</v>
      </c>
      <c r="B40" s="25" t="s">
        <v>43</v>
      </c>
      <c r="C40" s="25" t="s">
        <v>44</v>
      </c>
      <c r="D40" s="25" t="s">
        <v>23</v>
      </c>
      <c r="E40" s="26">
        <v>1000</v>
      </c>
      <c r="F40" s="27">
        <v>996.85</v>
      </c>
      <c r="G40" s="28">
        <v>2.251336E-2</v>
      </c>
      <c r="H40" s="18">
        <v>7.42</v>
      </c>
    </row>
    <row r="41" spans="1:8" x14ac:dyDescent="0.2">
      <c r="A41" s="24">
        <v>14</v>
      </c>
      <c r="B41" s="25" t="s">
        <v>246</v>
      </c>
      <c r="C41" s="25" t="s">
        <v>247</v>
      </c>
      <c r="D41" s="25" t="s">
        <v>230</v>
      </c>
      <c r="E41" s="26">
        <v>900</v>
      </c>
      <c r="F41" s="27">
        <v>902.83770000000004</v>
      </c>
      <c r="G41" s="28">
        <v>2.0390140000000001E-2</v>
      </c>
      <c r="H41" s="18">
        <v>8.11</v>
      </c>
    </row>
    <row r="42" spans="1:8" x14ac:dyDescent="0.2">
      <c r="A42" s="24">
        <v>15</v>
      </c>
      <c r="B42" s="25" t="s">
        <v>248</v>
      </c>
      <c r="C42" s="25" t="s">
        <v>249</v>
      </c>
      <c r="D42" s="25" t="s">
        <v>230</v>
      </c>
      <c r="E42" s="26">
        <v>500</v>
      </c>
      <c r="F42" s="27">
        <v>502.62700000000001</v>
      </c>
      <c r="G42" s="28">
        <v>1.135158E-2</v>
      </c>
      <c r="H42" s="18">
        <v>8.68</v>
      </c>
    </row>
    <row r="43" spans="1:8" x14ac:dyDescent="0.2">
      <c r="A43" s="24">
        <v>16</v>
      </c>
      <c r="B43" s="25" t="s">
        <v>55</v>
      </c>
      <c r="C43" s="25" t="s">
        <v>56</v>
      </c>
      <c r="D43" s="25" t="s">
        <v>23</v>
      </c>
      <c r="E43" s="26">
        <v>500</v>
      </c>
      <c r="F43" s="27">
        <v>501.423</v>
      </c>
      <c r="G43" s="28">
        <v>1.132439E-2</v>
      </c>
      <c r="H43" s="18">
        <v>7.5650000000000004</v>
      </c>
    </row>
    <row r="44" spans="1:8" x14ac:dyDescent="0.2">
      <c r="A44" s="24">
        <v>17</v>
      </c>
      <c r="B44" s="25" t="s">
        <v>250</v>
      </c>
      <c r="C44" s="25" t="s">
        <v>251</v>
      </c>
      <c r="D44" s="25" t="s">
        <v>36</v>
      </c>
      <c r="E44" s="26">
        <v>500</v>
      </c>
      <c r="F44" s="27">
        <v>500.96550000000002</v>
      </c>
      <c r="G44" s="28">
        <v>1.1314050000000001E-2</v>
      </c>
      <c r="H44" s="18">
        <v>7.4550000000000001</v>
      </c>
    </row>
    <row r="45" spans="1:8" ht="25.5" x14ac:dyDescent="0.2">
      <c r="A45" s="24">
        <v>18</v>
      </c>
      <c r="B45" s="25" t="s">
        <v>252</v>
      </c>
      <c r="C45" s="25" t="s">
        <v>253</v>
      </c>
      <c r="D45" s="25" t="s">
        <v>254</v>
      </c>
      <c r="E45" s="26">
        <v>50</v>
      </c>
      <c r="F45" s="27">
        <v>500.89550000000003</v>
      </c>
      <c r="G45" s="28">
        <v>1.131247E-2</v>
      </c>
      <c r="H45" s="18">
        <v>8.1957000000000004</v>
      </c>
    </row>
    <row r="46" spans="1:8" ht="25.5" x14ac:dyDescent="0.2">
      <c r="A46" s="24">
        <v>19</v>
      </c>
      <c r="B46" s="25" t="s">
        <v>61</v>
      </c>
      <c r="C46" s="25" t="s">
        <v>62</v>
      </c>
      <c r="D46" s="25" t="s">
        <v>23</v>
      </c>
      <c r="E46" s="26">
        <v>500</v>
      </c>
      <c r="F46" s="27">
        <v>499.94049999999999</v>
      </c>
      <c r="G46" s="28">
        <v>1.1290909999999999E-2</v>
      </c>
      <c r="H46" s="18">
        <v>8.0299999999999994</v>
      </c>
    </row>
    <row r="47" spans="1:8" x14ac:dyDescent="0.2">
      <c r="A47" s="16"/>
      <c r="B47" s="16"/>
      <c r="C47" s="17" t="s">
        <v>11</v>
      </c>
      <c r="D47" s="16"/>
      <c r="E47" s="16" t="s">
        <v>12</v>
      </c>
      <c r="F47" s="23">
        <v>20497.513999999999</v>
      </c>
      <c r="G47" s="20">
        <v>0.46292607000000002</v>
      </c>
      <c r="H47" s="18" t="s">
        <v>12</v>
      </c>
    </row>
    <row r="48" spans="1:8" x14ac:dyDescent="0.2">
      <c r="A48" s="16"/>
      <c r="B48" s="16"/>
      <c r="C48" s="21"/>
      <c r="D48" s="16"/>
      <c r="E48" s="16"/>
      <c r="F48" s="22"/>
      <c r="G48" s="22"/>
      <c r="H48" s="18" t="s">
        <v>12</v>
      </c>
    </row>
    <row r="49" spans="1:8" x14ac:dyDescent="0.2">
      <c r="A49" s="16"/>
      <c r="B49" s="16"/>
      <c r="C49" s="17" t="s">
        <v>71</v>
      </c>
      <c r="D49" s="16"/>
      <c r="E49" s="16"/>
      <c r="F49" s="16"/>
      <c r="G49" s="16"/>
      <c r="H49" s="18" t="s">
        <v>12</v>
      </c>
    </row>
    <row r="50" spans="1:8" x14ac:dyDescent="0.2">
      <c r="A50" s="16"/>
      <c r="B50" s="16"/>
      <c r="C50" s="17" t="s">
        <v>11</v>
      </c>
      <c r="D50" s="16"/>
      <c r="E50" s="16" t="s">
        <v>12</v>
      </c>
      <c r="F50" s="19" t="s">
        <v>13</v>
      </c>
      <c r="G50" s="20">
        <v>0</v>
      </c>
      <c r="H50" s="18" t="s">
        <v>12</v>
      </c>
    </row>
    <row r="51" spans="1:8" x14ac:dyDescent="0.2">
      <c r="A51" s="16"/>
      <c r="B51" s="16"/>
      <c r="C51" s="21"/>
      <c r="D51" s="16"/>
      <c r="E51" s="16"/>
      <c r="F51" s="22"/>
      <c r="G51" s="22"/>
      <c r="H51" s="18" t="s">
        <v>12</v>
      </c>
    </row>
    <row r="52" spans="1:8" x14ac:dyDescent="0.2">
      <c r="A52" s="16"/>
      <c r="B52" s="16"/>
      <c r="C52" s="17" t="s">
        <v>72</v>
      </c>
      <c r="D52" s="16"/>
      <c r="E52" s="16"/>
      <c r="F52" s="16"/>
      <c r="G52" s="16"/>
      <c r="H52" s="18" t="s">
        <v>12</v>
      </c>
    </row>
    <row r="53" spans="1:8" ht="25.5" x14ac:dyDescent="0.2">
      <c r="A53" s="24">
        <v>1</v>
      </c>
      <c r="B53" s="25" t="s">
        <v>255</v>
      </c>
      <c r="C53" s="25" t="s">
        <v>256</v>
      </c>
      <c r="D53" s="25" t="s">
        <v>75</v>
      </c>
      <c r="E53" s="26">
        <v>1000000</v>
      </c>
      <c r="F53" s="27">
        <v>1016.03</v>
      </c>
      <c r="G53" s="28">
        <v>2.294653E-2</v>
      </c>
      <c r="H53" s="18">
        <v>6.7869000000000002</v>
      </c>
    </row>
    <row r="54" spans="1:8" ht="25.5" x14ac:dyDescent="0.2">
      <c r="A54" s="24">
        <v>2</v>
      </c>
      <c r="B54" s="25" t="s">
        <v>257</v>
      </c>
      <c r="C54" s="25" t="s">
        <v>258</v>
      </c>
      <c r="D54" s="25" t="s">
        <v>75</v>
      </c>
      <c r="E54" s="26">
        <v>900000</v>
      </c>
      <c r="F54" s="27">
        <v>912.95190000000002</v>
      </c>
      <c r="G54" s="28">
        <v>2.0618560000000001E-2</v>
      </c>
      <c r="H54" s="18">
        <v>6.7718999999999996</v>
      </c>
    </row>
    <row r="55" spans="1:8" x14ac:dyDescent="0.2">
      <c r="A55" s="24">
        <v>3</v>
      </c>
      <c r="B55" s="25" t="s">
        <v>76</v>
      </c>
      <c r="C55" s="25" t="s">
        <v>77</v>
      </c>
      <c r="D55" s="25" t="s">
        <v>75</v>
      </c>
      <c r="E55" s="26">
        <v>700000</v>
      </c>
      <c r="F55" s="27">
        <v>720.16</v>
      </c>
      <c r="G55" s="28">
        <v>1.626445E-2</v>
      </c>
      <c r="H55" s="18">
        <v>6.8323999999999998</v>
      </c>
    </row>
    <row r="56" spans="1:8" x14ac:dyDescent="0.2">
      <c r="A56" s="16"/>
      <c r="B56" s="16"/>
      <c r="C56" s="17" t="s">
        <v>11</v>
      </c>
      <c r="D56" s="16"/>
      <c r="E56" s="16" t="s">
        <v>12</v>
      </c>
      <c r="F56" s="23">
        <v>2649.1419000000001</v>
      </c>
      <c r="G56" s="20">
        <v>5.982954E-2</v>
      </c>
      <c r="H56" s="18" t="s">
        <v>12</v>
      </c>
    </row>
    <row r="57" spans="1:8" x14ac:dyDescent="0.2">
      <c r="A57" s="16"/>
      <c r="B57" s="16"/>
      <c r="C57" s="21"/>
      <c r="D57" s="16"/>
      <c r="E57" s="16"/>
      <c r="F57" s="22"/>
      <c r="G57" s="22"/>
      <c r="H57" s="18" t="s">
        <v>12</v>
      </c>
    </row>
    <row r="58" spans="1:8" x14ac:dyDescent="0.2">
      <c r="A58" s="16"/>
      <c r="B58" s="16"/>
      <c r="C58" s="17" t="s">
        <v>88</v>
      </c>
      <c r="D58" s="16"/>
      <c r="E58" s="16"/>
      <c r="F58" s="22"/>
      <c r="G58" s="22"/>
      <c r="H58" s="18" t="s">
        <v>12</v>
      </c>
    </row>
    <row r="59" spans="1:8" x14ac:dyDescent="0.2">
      <c r="A59" s="16"/>
      <c r="B59" s="16"/>
      <c r="C59" s="17" t="s">
        <v>11</v>
      </c>
      <c r="D59" s="16"/>
      <c r="E59" s="16" t="s">
        <v>12</v>
      </c>
      <c r="F59" s="19" t="s">
        <v>13</v>
      </c>
      <c r="G59" s="20">
        <v>0</v>
      </c>
      <c r="H59" s="18" t="s">
        <v>12</v>
      </c>
    </row>
    <row r="60" spans="1:8" x14ac:dyDescent="0.2">
      <c r="A60" s="16"/>
      <c r="B60" s="16"/>
      <c r="C60" s="21"/>
      <c r="D60" s="16"/>
      <c r="E60" s="16"/>
      <c r="F60" s="22"/>
      <c r="G60" s="22"/>
      <c r="H60" s="18" t="s">
        <v>12</v>
      </c>
    </row>
    <row r="61" spans="1:8" x14ac:dyDescent="0.2">
      <c r="A61" s="16"/>
      <c r="B61" s="16"/>
      <c r="C61" s="17" t="s">
        <v>89</v>
      </c>
      <c r="D61" s="16"/>
      <c r="E61" s="16"/>
      <c r="F61" s="23">
        <v>23146.655900000002</v>
      </c>
      <c r="G61" s="20">
        <v>0.52275561000000004</v>
      </c>
      <c r="H61" s="18" t="s">
        <v>12</v>
      </c>
    </row>
    <row r="62" spans="1:8" x14ac:dyDescent="0.2">
      <c r="A62" s="16"/>
      <c r="B62" s="16"/>
      <c r="C62" s="21"/>
      <c r="D62" s="16"/>
      <c r="E62" s="16"/>
      <c r="F62" s="22"/>
      <c r="G62" s="22"/>
      <c r="H62" s="18" t="s">
        <v>12</v>
      </c>
    </row>
    <row r="63" spans="1:8" x14ac:dyDescent="0.2">
      <c r="A63" s="16"/>
      <c r="B63" s="16"/>
      <c r="C63" s="17" t="s">
        <v>90</v>
      </c>
      <c r="D63" s="16"/>
      <c r="E63" s="16"/>
      <c r="F63" s="22"/>
      <c r="G63" s="22"/>
      <c r="H63" s="18" t="s">
        <v>12</v>
      </c>
    </row>
    <row r="64" spans="1:8" x14ac:dyDescent="0.2">
      <c r="A64" s="16"/>
      <c r="B64" s="16"/>
      <c r="C64" s="17" t="s">
        <v>91</v>
      </c>
      <c r="D64" s="16"/>
      <c r="E64" s="16"/>
      <c r="F64" s="22"/>
      <c r="G64" s="22"/>
      <c r="H64" s="18" t="s">
        <v>12</v>
      </c>
    </row>
    <row r="65" spans="1:8" x14ac:dyDescent="0.2">
      <c r="A65" s="24">
        <v>1</v>
      </c>
      <c r="B65" s="25" t="s">
        <v>259</v>
      </c>
      <c r="C65" s="25" t="s">
        <v>260</v>
      </c>
      <c r="D65" s="25" t="s">
        <v>146</v>
      </c>
      <c r="E65" s="26">
        <v>500</v>
      </c>
      <c r="F65" s="27">
        <v>2348.7175000000002</v>
      </c>
      <c r="G65" s="28">
        <v>5.3044599999999997E-2</v>
      </c>
      <c r="H65" s="18">
        <v>8.1349999999999998</v>
      </c>
    </row>
    <row r="66" spans="1:8" x14ac:dyDescent="0.2">
      <c r="A66" s="24">
        <v>2</v>
      </c>
      <c r="B66" s="25" t="s">
        <v>261</v>
      </c>
      <c r="C66" s="25" t="s">
        <v>262</v>
      </c>
      <c r="D66" s="25" t="s">
        <v>146</v>
      </c>
      <c r="E66" s="26">
        <v>400</v>
      </c>
      <c r="F66" s="27">
        <v>1966.914</v>
      </c>
      <c r="G66" s="28">
        <v>4.4421759999999998E-2</v>
      </c>
      <c r="H66" s="18">
        <v>7.2232000000000003</v>
      </c>
    </row>
    <row r="67" spans="1:8" x14ac:dyDescent="0.2">
      <c r="A67" s="24">
        <v>3</v>
      </c>
      <c r="B67" s="25" t="s">
        <v>263</v>
      </c>
      <c r="C67" s="25" t="s">
        <v>264</v>
      </c>
      <c r="D67" s="25" t="s">
        <v>149</v>
      </c>
      <c r="E67" s="26">
        <v>300</v>
      </c>
      <c r="F67" s="27">
        <v>1473.1185</v>
      </c>
      <c r="G67" s="28">
        <v>3.3269640000000003E-2</v>
      </c>
      <c r="H67" s="18">
        <v>7.24</v>
      </c>
    </row>
    <row r="68" spans="1:8" x14ac:dyDescent="0.2">
      <c r="A68" s="24">
        <v>4</v>
      </c>
      <c r="B68" s="25" t="s">
        <v>173</v>
      </c>
      <c r="C68" s="25" t="s">
        <v>174</v>
      </c>
      <c r="D68" s="25" t="s">
        <v>146</v>
      </c>
      <c r="E68" s="26">
        <v>300</v>
      </c>
      <c r="F68" s="27">
        <v>1399.6724999999999</v>
      </c>
      <c r="G68" s="28">
        <v>3.1610899999999997E-2</v>
      </c>
      <c r="H68" s="18">
        <v>7.6950000000000003</v>
      </c>
    </row>
    <row r="69" spans="1:8" x14ac:dyDescent="0.2">
      <c r="A69" s="24">
        <v>5</v>
      </c>
      <c r="B69" s="25" t="s">
        <v>181</v>
      </c>
      <c r="C69" s="25" t="s">
        <v>182</v>
      </c>
      <c r="D69" s="25" t="s">
        <v>149</v>
      </c>
      <c r="E69" s="26">
        <v>200</v>
      </c>
      <c r="F69" s="27">
        <v>990.94</v>
      </c>
      <c r="G69" s="28">
        <v>2.2379880000000001E-2</v>
      </c>
      <c r="H69" s="18">
        <v>7.2550999999999997</v>
      </c>
    </row>
    <row r="70" spans="1:8" ht="25.5" x14ac:dyDescent="0.2">
      <c r="A70" s="24">
        <v>6</v>
      </c>
      <c r="B70" s="25" t="s">
        <v>265</v>
      </c>
      <c r="C70" s="25" t="s">
        <v>266</v>
      </c>
      <c r="D70" s="25" t="s">
        <v>146</v>
      </c>
      <c r="E70" s="26">
        <v>200</v>
      </c>
      <c r="F70" s="27">
        <v>989.58199999999999</v>
      </c>
      <c r="G70" s="28">
        <v>2.2349210000000001E-2</v>
      </c>
      <c r="H70" s="18">
        <v>7.2500999999999998</v>
      </c>
    </row>
    <row r="71" spans="1:8" x14ac:dyDescent="0.2">
      <c r="A71" s="24">
        <v>7</v>
      </c>
      <c r="B71" s="25" t="s">
        <v>177</v>
      </c>
      <c r="C71" s="25" t="s">
        <v>178</v>
      </c>
      <c r="D71" s="25" t="s">
        <v>146</v>
      </c>
      <c r="E71" s="26">
        <v>200</v>
      </c>
      <c r="F71" s="27">
        <v>986.77700000000004</v>
      </c>
      <c r="G71" s="28">
        <v>2.2285860000000001E-2</v>
      </c>
      <c r="H71" s="18">
        <v>7.3002000000000002</v>
      </c>
    </row>
    <row r="72" spans="1:8" x14ac:dyDescent="0.2">
      <c r="A72" s="24">
        <v>8</v>
      </c>
      <c r="B72" s="25" t="s">
        <v>179</v>
      </c>
      <c r="C72" s="25" t="s">
        <v>180</v>
      </c>
      <c r="D72" s="25" t="s">
        <v>146</v>
      </c>
      <c r="E72" s="26">
        <v>200</v>
      </c>
      <c r="F72" s="27">
        <v>986.17499999999995</v>
      </c>
      <c r="G72" s="28">
        <v>2.227227E-2</v>
      </c>
      <c r="H72" s="18">
        <v>7.3101000000000003</v>
      </c>
    </row>
    <row r="73" spans="1:8" x14ac:dyDescent="0.2">
      <c r="A73" s="24">
        <v>9</v>
      </c>
      <c r="B73" s="25" t="s">
        <v>167</v>
      </c>
      <c r="C73" s="25" t="s">
        <v>168</v>
      </c>
      <c r="D73" s="25" t="s">
        <v>146</v>
      </c>
      <c r="E73" s="26">
        <v>200</v>
      </c>
      <c r="F73" s="27">
        <v>981.721</v>
      </c>
      <c r="G73" s="28">
        <v>2.2171679999999999E-2</v>
      </c>
      <c r="H73" s="18">
        <v>7.23</v>
      </c>
    </row>
    <row r="74" spans="1:8" x14ac:dyDescent="0.2">
      <c r="A74" s="24">
        <v>10</v>
      </c>
      <c r="B74" s="25" t="s">
        <v>169</v>
      </c>
      <c r="C74" s="25" t="s">
        <v>170</v>
      </c>
      <c r="D74" s="25" t="s">
        <v>146</v>
      </c>
      <c r="E74" s="26">
        <v>200</v>
      </c>
      <c r="F74" s="27">
        <v>968.55600000000004</v>
      </c>
      <c r="G74" s="28">
        <v>2.1874350000000001E-2</v>
      </c>
      <c r="H74" s="18">
        <v>7.5</v>
      </c>
    </row>
    <row r="75" spans="1:8" x14ac:dyDescent="0.2">
      <c r="A75" s="24">
        <v>11</v>
      </c>
      <c r="B75" s="25" t="s">
        <v>267</v>
      </c>
      <c r="C75" s="25" t="s">
        <v>268</v>
      </c>
      <c r="D75" s="25" t="s">
        <v>146</v>
      </c>
      <c r="E75" s="26">
        <v>200</v>
      </c>
      <c r="F75" s="27">
        <v>931.95100000000002</v>
      </c>
      <c r="G75" s="28">
        <v>2.1047639999999999E-2</v>
      </c>
      <c r="H75" s="18">
        <v>7.55</v>
      </c>
    </row>
    <row r="76" spans="1:8" x14ac:dyDescent="0.2">
      <c r="A76" s="16"/>
      <c r="B76" s="16"/>
      <c r="C76" s="17" t="s">
        <v>11</v>
      </c>
      <c r="D76" s="16"/>
      <c r="E76" s="16" t="s">
        <v>12</v>
      </c>
      <c r="F76" s="23">
        <v>14024.1245</v>
      </c>
      <c r="G76" s="20">
        <v>0.31672779000000001</v>
      </c>
      <c r="H76" s="18" t="s">
        <v>12</v>
      </c>
    </row>
    <row r="77" spans="1:8" x14ac:dyDescent="0.2">
      <c r="A77" s="16"/>
      <c r="B77" s="16"/>
      <c r="C77" s="21"/>
      <c r="D77" s="16"/>
      <c r="E77" s="16"/>
      <c r="F77" s="22"/>
      <c r="G77" s="22"/>
      <c r="H77" s="18" t="s">
        <v>12</v>
      </c>
    </row>
    <row r="78" spans="1:8" x14ac:dyDescent="0.2">
      <c r="A78" s="16"/>
      <c r="B78" s="16"/>
      <c r="C78" s="17" t="s">
        <v>92</v>
      </c>
      <c r="D78" s="16"/>
      <c r="E78" s="16"/>
      <c r="F78" s="22"/>
      <c r="G78" s="22"/>
      <c r="H78" s="18" t="s">
        <v>12</v>
      </c>
    </row>
    <row r="79" spans="1:8" ht="25.5" x14ac:dyDescent="0.2">
      <c r="A79" s="24">
        <v>1</v>
      </c>
      <c r="B79" s="25" t="s">
        <v>269</v>
      </c>
      <c r="C79" s="25" t="s">
        <v>270</v>
      </c>
      <c r="D79" s="25" t="s">
        <v>146</v>
      </c>
      <c r="E79" s="26">
        <v>300</v>
      </c>
      <c r="F79" s="27">
        <v>1471.347</v>
      </c>
      <c r="G79" s="28">
        <v>3.3229630000000003E-2</v>
      </c>
      <c r="H79" s="18">
        <v>8.0775000000000006</v>
      </c>
    </row>
    <row r="80" spans="1:8" ht="25.5" x14ac:dyDescent="0.2">
      <c r="A80" s="24">
        <v>2</v>
      </c>
      <c r="B80" s="25" t="s">
        <v>199</v>
      </c>
      <c r="C80" s="25" t="s">
        <v>200</v>
      </c>
      <c r="D80" s="25" t="s">
        <v>146</v>
      </c>
      <c r="E80" s="26">
        <v>200</v>
      </c>
      <c r="F80" s="27">
        <v>960.51099999999997</v>
      </c>
      <c r="G80" s="28">
        <v>2.1692659999999999E-2</v>
      </c>
      <c r="H80" s="18">
        <v>8.1999999999999993</v>
      </c>
    </row>
    <row r="81" spans="1:8" x14ac:dyDescent="0.2">
      <c r="A81" s="16"/>
      <c r="B81" s="16"/>
      <c r="C81" s="17" t="s">
        <v>11</v>
      </c>
      <c r="D81" s="16"/>
      <c r="E81" s="16" t="s">
        <v>12</v>
      </c>
      <c r="F81" s="23">
        <v>2431.8580000000002</v>
      </c>
      <c r="G81" s="20">
        <v>5.4922289999999999E-2</v>
      </c>
      <c r="H81" s="18" t="s">
        <v>12</v>
      </c>
    </row>
    <row r="82" spans="1:8" x14ac:dyDescent="0.2">
      <c r="A82" s="16"/>
      <c r="B82" s="16"/>
      <c r="C82" s="21"/>
      <c r="D82" s="16"/>
      <c r="E82" s="16"/>
      <c r="F82" s="22"/>
      <c r="G82" s="22"/>
      <c r="H82" s="18" t="s">
        <v>12</v>
      </c>
    </row>
    <row r="83" spans="1:8" x14ac:dyDescent="0.2">
      <c r="A83" s="16"/>
      <c r="B83" s="16"/>
      <c r="C83" s="17" t="s">
        <v>93</v>
      </c>
      <c r="D83" s="16"/>
      <c r="E83" s="16"/>
      <c r="F83" s="22"/>
      <c r="G83" s="22"/>
      <c r="H83" s="18" t="s">
        <v>12</v>
      </c>
    </row>
    <row r="84" spans="1:8" x14ac:dyDescent="0.2">
      <c r="A84" s="24">
        <v>1</v>
      </c>
      <c r="B84" s="25" t="s">
        <v>213</v>
      </c>
      <c r="C84" s="25" t="s">
        <v>214</v>
      </c>
      <c r="D84" s="25" t="s">
        <v>75</v>
      </c>
      <c r="E84" s="26">
        <v>1000000</v>
      </c>
      <c r="F84" s="27">
        <v>971.39</v>
      </c>
      <c r="G84" s="28">
        <v>2.1938349999999999E-2</v>
      </c>
      <c r="H84" s="18">
        <v>6.5549999999999997</v>
      </c>
    </row>
    <row r="85" spans="1:8" x14ac:dyDescent="0.2">
      <c r="A85" s="16"/>
      <c r="B85" s="16"/>
      <c r="C85" s="17" t="s">
        <v>11</v>
      </c>
      <c r="D85" s="16"/>
      <c r="E85" s="16" t="s">
        <v>12</v>
      </c>
      <c r="F85" s="23">
        <v>971.39</v>
      </c>
      <c r="G85" s="20">
        <v>2.1938349999999999E-2</v>
      </c>
      <c r="H85" s="18" t="s">
        <v>12</v>
      </c>
    </row>
    <row r="86" spans="1:8" x14ac:dyDescent="0.2">
      <c r="A86" s="16"/>
      <c r="B86" s="16"/>
      <c r="C86" s="21"/>
      <c r="D86" s="16"/>
      <c r="E86" s="16"/>
      <c r="F86" s="22"/>
      <c r="G86" s="22"/>
      <c r="H86" s="18" t="s">
        <v>12</v>
      </c>
    </row>
    <row r="87" spans="1:8" x14ac:dyDescent="0.2">
      <c r="A87" s="16"/>
      <c r="B87" s="16"/>
      <c r="C87" s="17" t="s">
        <v>94</v>
      </c>
      <c r="D87" s="16"/>
      <c r="E87" s="16"/>
      <c r="F87" s="22"/>
      <c r="G87" s="22"/>
      <c r="H87" s="18" t="s">
        <v>12</v>
      </c>
    </row>
    <row r="88" spans="1:8" x14ac:dyDescent="0.2">
      <c r="A88" s="24">
        <v>1</v>
      </c>
      <c r="B88" s="25"/>
      <c r="C88" s="25" t="s">
        <v>95</v>
      </c>
      <c r="D88" s="25"/>
      <c r="E88" s="29"/>
      <c r="F88" s="27">
        <v>2728.0673150040002</v>
      </c>
      <c r="G88" s="28">
        <v>6.1612029999999998E-2</v>
      </c>
      <c r="H88" s="18">
        <v>6.59</v>
      </c>
    </row>
    <row r="89" spans="1:8" x14ac:dyDescent="0.2">
      <c r="A89" s="16"/>
      <c r="B89" s="16"/>
      <c r="C89" s="17" t="s">
        <v>11</v>
      </c>
      <c r="D89" s="16"/>
      <c r="E89" s="16" t="s">
        <v>12</v>
      </c>
      <c r="F89" s="23">
        <v>2728.0673150040002</v>
      </c>
      <c r="G89" s="20">
        <v>6.1612029999999998E-2</v>
      </c>
      <c r="H89" s="18" t="s">
        <v>12</v>
      </c>
    </row>
    <row r="90" spans="1:8" x14ac:dyDescent="0.2">
      <c r="A90" s="16"/>
      <c r="B90" s="16"/>
      <c r="C90" s="21"/>
      <c r="D90" s="16"/>
      <c r="E90" s="16"/>
      <c r="F90" s="22"/>
      <c r="G90" s="22"/>
      <c r="H90" s="18" t="s">
        <v>12</v>
      </c>
    </row>
    <row r="91" spans="1:8" x14ac:dyDescent="0.2">
      <c r="A91" s="16"/>
      <c r="B91" s="16"/>
      <c r="C91" s="17" t="s">
        <v>96</v>
      </c>
      <c r="D91" s="16"/>
      <c r="E91" s="16"/>
      <c r="F91" s="23">
        <v>20155.439815004</v>
      </c>
      <c r="G91" s="20">
        <v>0.45520045999999997</v>
      </c>
      <c r="H91" s="18" t="s">
        <v>12</v>
      </c>
    </row>
    <row r="92" spans="1:8" x14ac:dyDescent="0.2">
      <c r="A92" s="16"/>
      <c r="B92" s="16"/>
      <c r="C92" s="22"/>
      <c r="D92" s="16"/>
      <c r="E92" s="16"/>
      <c r="F92" s="16"/>
      <c r="G92" s="16"/>
      <c r="H92" s="18" t="s">
        <v>12</v>
      </c>
    </row>
    <row r="93" spans="1:8" x14ac:dyDescent="0.2">
      <c r="A93" s="16"/>
      <c r="B93" s="16"/>
      <c r="C93" s="17" t="s">
        <v>97</v>
      </c>
      <c r="D93" s="16"/>
      <c r="E93" s="16"/>
      <c r="F93" s="16"/>
      <c r="G93" s="16"/>
      <c r="H93" s="18" t="s">
        <v>12</v>
      </c>
    </row>
    <row r="94" spans="1:8" x14ac:dyDescent="0.2">
      <c r="A94" s="16"/>
      <c r="B94" s="16"/>
      <c r="C94" s="17" t="s">
        <v>98</v>
      </c>
      <c r="D94" s="16"/>
      <c r="E94" s="16"/>
      <c r="F94" s="16"/>
      <c r="G94" s="16"/>
      <c r="H94" s="18" t="s">
        <v>12</v>
      </c>
    </row>
    <row r="95" spans="1:8" x14ac:dyDescent="0.2">
      <c r="A95" s="16"/>
      <c r="B95" s="16"/>
      <c r="C95" s="17" t="s">
        <v>11</v>
      </c>
      <c r="D95" s="16"/>
      <c r="E95" s="16" t="s">
        <v>12</v>
      </c>
      <c r="F95" s="19" t="s">
        <v>13</v>
      </c>
      <c r="G95" s="20">
        <v>0</v>
      </c>
      <c r="H95" s="18" t="s">
        <v>12</v>
      </c>
    </row>
    <row r="96" spans="1:8" x14ac:dyDescent="0.2">
      <c r="A96" s="30"/>
      <c r="B96" s="30"/>
      <c r="C96" s="31"/>
      <c r="D96" s="30"/>
      <c r="E96" s="30"/>
      <c r="F96" s="32"/>
      <c r="G96" s="32"/>
      <c r="H96" s="18" t="s">
        <v>12</v>
      </c>
    </row>
    <row r="97" spans="1:17" x14ac:dyDescent="0.2">
      <c r="A97" s="30"/>
      <c r="B97" s="30"/>
      <c r="C97" s="33" t="s">
        <v>579</v>
      </c>
      <c r="D97" s="30"/>
      <c r="E97" s="30"/>
      <c r="F97" s="32"/>
      <c r="G97" s="32"/>
      <c r="H97" s="34"/>
      <c r="K97" s="35"/>
      <c r="L97" s="35"/>
      <c r="M97" s="35"/>
      <c r="N97" s="35"/>
      <c r="O97" s="36"/>
      <c r="P97" s="36"/>
      <c r="Q97" s="36"/>
    </row>
    <row r="98" spans="1:17" ht="25.5" x14ac:dyDescent="0.2">
      <c r="A98" s="37">
        <v>1</v>
      </c>
      <c r="B98" s="38" t="s">
        <v>99</v>
      </c>
      <c r="C98" s="38" t="s">
        <v>100</v>
      </c>
      <c r="D98" s="38"/>
      <c r="E98" s="39">
        <v>1043.4449999999999</v>
      </c>
      <c r="F98" s="34">
        <v>109.39157459800001</v>
      </c>
      <c r="G98" s="40">
        <v>2.4705500000000002E-3</v>
      </c>
      <c r="H98" s="18"/>
    </row>
    <row r="99" spans="1:17" x14ac:dyDescent="0.2">
      <c r="A99" s="30"/>
      <c r="B99" s="30"/>
      <c r="C99" s="33" t="s">
        <v>11</v>
      </c>
      <c r="D99" s="30"/>
      <c r="E99" s="30" t="s">
        <v>12</v>
      </c>
      <c r="F99" s="41">
        <f>SUM(F98)</f>
        <v>109.39157459800001</v>
      </c>
      <c r="G99" s="42">
        <f>SUM(G98)</f>
        <v>2.4705500000000002E-3</v>
      </c>
      <c r="H99" s="18" t="s">
        <v>12</v>
      </c>
    </row>
    <row r="100" spans="1:17" x14ac:dyDescent="0.2">
      <c r="A100" s="16"/>
      <c r="B100" s="16"/>
      <c r="C100" s="21"/>
      <c r="D100" s="16"/>
      <c r="E100" s="16"/>
      <c r="F100" s="22"/>
      <c r="G100" s="22"/>
      <c r="H100" s="18" t="s">
        <v>12</v>
      </c>
    </row>
    <row r="101" spans="1:17" x14ac:dyDescent="0.2">
      <c r="A101" s="16"/>
      <c r="B101" s="16"/>
      <c r="C101" s="17" t="s">
        <v>101</v>
      </c>
      <c r="D101" s="16"/>
      <c r="E101" s="16"/>
      <c r="F101" s="16"/>
      <c r="G101" s="16"/>
      <c r="H101" s="18" t="s">
        <v>12</v>
      </c>
    </row>
    <row r="102" spans="1:17" x14ac:dyDescent="0.2">
      <c r="A102" s="16"/>
      <c r="B102" s="16"/>
      <c r="C102" s="17" t="s">
        <v>102</v>
      </c>
      <c r="D102" s="16"/>
      <c r="E102" s="16"/>
      <c r="F102" s="16"/>
      <c r="G102" s="16"/>
      <c r="H102" s="18" t="s">
        <v>12</v>
      </c>
    </row>
    <row r="103" spans="1:17" x14ac:dyDescent="0.2">
      <c r="A103" s="16"/>
      <c r="B103" s="16"/>
      <c r="C103" s="17" t="s">
        <v>11</v>
      </c>
      <c r="D103" s="16"/>
      <c r="E103" s="16" t="s">
        <v>12</v>
      </c>
      <c r="F103" s="19" t="s">
        <v>13</v>
      </c>
      <c r="G103" s="20">
        <v>0</v>
      </c>
      <c r="H103" s="18" t="s">
        <v>12</v>
      </c>
    </row>
    <row r="104" spans="1:17" x14ac:dyDescent="0.2">
      <c r="A104" s="16"/>
      <c r="B104" s="16"/>
      <c r="C104" s="21"/>
      <c r="D104" s="16"/>
      <c r="E104" s="16"/>
      <c r="F104" s="22"/>
      <c r="G104" s="22"/>
      <c r="H104" s="18" t="s">
        <v>12</v>
      </c>
    </row>
    <row r="105" spans="1:17" x14ac:dyDescent="0.2">
      <c r="A105" s="16"/>
      <c r="B105" s="16"/>
      <c r="C105" s="17" t="s">
        <v>103</v>
      </c>
      <c r="D105" s="16"/>
      <c r="E105" s="16"/>
      <c r="F105" s="22"/>
      <c r="G105" s="22"/>
      <c r="H105" s="18" t="s">
        <v>12</v>
      </c>
    </row>
    <row r="106" spans="1:17" x14ac:dyDescent="0.2">
      <c r="A106" s="16"/>
      <c r="B106" s="16"/>
      <c r="C106" s="17" t="s">
        <v>11</v>
      </c>
      <c r="D106" s="16"/>
      <c r="E106" s="16" t="s">
        <v>12</v>
      </c>
      <c r="F106" s="19" t="s">
        <v>13</v>
      </c>
      <c r="G106" s="20">
        <v>0</v>
      </c>
      <c r="H106" s="18" t="s">
        <v>12</v>
      </c>
    </row>
    <row r="107" spans="1:17" x14ac:dyDescent="0.2">
      <c r="A107" s="16"/>
      <c r="B107" s="16"/>
      <c r="C107" s="21"/>
      <c r="D107" s="16"/>
      <c r="E107" s="16"/>
      <c r="F107" s="22"/>
      <c r="G107" s="22"/>
      <c r="H107" s="18" t="s">
        <v>12</v>
      </c>
    </row>
    <row r="108" spans="1:17" x14ac:dyDescent="0.2">
      <c r="A108" s="29"/>
      <c r="B108" s="25"/>
      <c r="C108" s="25" t="s">
        <v>104</v>
      </c>
      <c r="D108" s="25"/>
      <c r="E108" s="29"/>
      <c r="F108" s="27">
        <v>866.67415732799327</v>
      </c>
      <c r="G108" s="28">
        <v>1.9573400000000001E-2</v>
      </c>
      <c r="H108" s="18" t="s">
        <v>12</v>
      </c>
    </row>
    <row r="109" spans="1:17" x14ac:dyDescent="0.2">
      <c r="A109" s="21"/>
      <c r="B109" s="21"/>
      <c r="C109" s="17" t="s">
        <v>105</v>
      </c>
      <c r="D109" s="22"/>
      <c r="E109" s="22"/>
      <c r="F109" s="23">
        <v>44278.161446929997</v>
      </c>
      <c r="G109" s="43">
        <v>1.0000000200000001</v>
      </c>
      <c r="H109" s="18" t="s">
        <v>12</v>
      </c>
    </row>
    <row r="110" spans="1:17" x14ac:dyDescent="0.2">
      <c r="A110" s="44"/>
      <c r="B110" s="44"/>
      <c r="C110" s="44"/>
      <c r="D110" s="45"/>
      <c r="E110" s="45"/>
      <c r="F110" s="45"/>
      <c r="G110" s="45"/>
    </row>
    <row r="111" spans="1:17" x14ac:dyDescent="0.2">
      <c r="A111" s="46"/>
      <c r="B111" s="172" t="s">
        <v>580</v>
      </c>
      <c r="C111" s="172"/>
      <c r="D111" s="172"/>
      <c r="E111" s="172"/>
      <c r="F111" s="172"/>
      <c r="G111" s="172"/>
      <c r="H111" s="172"/>
    </row>
    <row r="112" spans="1:17" x14ac:dyDescent="0.2">
      <c r="A112" s="46"/>
      <c r="B112" s="172" t="s">
        <v>581</v>
      </c>
      <c r="C112" s="172"/>
      <c r="D112" s="172"/>
      <c r="E112" s="172"/>
      <c r="F112" s="172"/>
      <c r="G112" s="172"/>
      <c r="H112" s="172"/>
    </row>
    <row r="113" spans="1:8" x14ac:dyDescent="0.2">
      <c r="A113" s="46"/>
      <c r="B113" s="172" t="s">
        <v>582</v>
      </c>
      <c r="C113" s="172"/>
      <c r="D113" s="172"/>
      <c r="E113" s="172"/>
      <c r="F113" s="172"/>
      <c r="G113" s="172"/>
      <c r="H113" s="172"/>
    </row>
    <row r="114" spans="1:8" x14ac:dyDescent="0.2">
      <c r="A114" s="48"/>
      <c r="B114" s="48"/>
      <c r="C114" s="48"/>
      <c r="D114" s="49"/>
      <c r="E114" s="49"/>
      <c r="F114" s="49"/>
      <c r="G114" s="49"/>
    </row>
    <row r="115" spans="1:8" x14ac:dyDescent="0.2">
      <c r="A115" s="48"/>
      <c r="B115" s="176" t="s">
        <v>106</v>
      </c>
      <c r="C115" s="177"/>
      <c r="D115" s="178"/>
      <c r="E115" s="50"/>
      <c r="F115" s="49"/>
      <c r="G115" s="49"/>
    </row>
    <row r="116" spans="1:8" ht="25.5" x14ac:dyDescent="0.2">
      <c r="A116" s="48"/>
      <c r="B116" s="179" t="s">
        <v>107</v>
      </c>
      <c r="C116" s="180"/>
      <c r="D116" s="33" t="s">
        <v>615</v>
      </c>
      <c r="E116" s="50"/>
      <c r="F116" s="49"/>
      <c r="G116" s="49"/>
    </row>
    <row r="117" spans="1:8" x14ac:dyDescent="0.2">
      <c r="A117" s="48"/>
      <c r="B117" s="179" t="s">
        <v>109</v>
      </c>
      <c r="C117" s="180"/>
      <c r="D117" s="17" t="s">
        <v>108</v>
      </c>
      <c r="E117" s="50"/>
      <c r="F117" s="49"/>
      <c r="G117" s="49"/>
    </row>
    <row r="118" spans="1:8" x14ac:dyDescent="0.2">
      <c r="A118" s="48"/>
      <c r="B118" s="179" t="s">
        <v>110</v>
      </c>
      <c r="C118" s="180"/>
      <c r="D118" s="22" t="s">
        <v>12</v>
      </c>
      <c r="E118" s="50"/>
      <c r="F118" s="49"/>
      <c r="G118" s="49"/>
    </row>
    <row r="119" spans="1:8" x14ac:dyDescent="0.2">
      <c r="A119" s="51"/>
      <c r="B119" s="52" t="s">
        <v>12</v>
      </c>
      <c r="C119" s="52" t="s">
        <v>583</v>
      </c>
      <c r="D119" s="52" t="s">
        <v>111</v>
      </c>
      <c r="E119" s="51"/>
      <c r="F119" s="51"/>
      <c r="G119" s="51"/>
      <c r="H119" s="53"/>
    </row>
    <row r="120" spans="1:8" x14ac:dyDescent="0.2">
      <c r="A120" s="51"/>
      <c r="B120" s="54" t="s">
        <v>112</v>
      </c>
      <c r="C120" s="55">
        <v>45626</v>
      </c>
      <c r="D120" s="55">
        <v>45641</v>
      </c>
      <c r="E120" s="51"/>
      <c r="F120" s="51"/>
      <c r="G120" s="51"/>
    </row>
    <row r="121" spans="1:8" x14ac:dyDescent="0.2">
      <c r="A121" s="56"/>
      <c r="B121" s="25" t="s">
        <v>113</v>
      </c>
      <c r="C121" s="57">
        <v>3539.3751000000002</v>
      </c>
      <c r="D121" s="57">
        <v>3550.1109999999999</v>
      </c>
      <c r="E121" s="56"/>
      <c r="F121" s="58"/>
      <c r="G121" s="59"/>
    </row>
    <row r="122" spans="1:8" ht="25.5" x14ac:dyDescent="0.2">
      <c r="A122" s="56"/>
      <c r="B122" s="25" t="s">
        <v>605</v>
      </c>
      <c r="C122" s="57">
        <v>1098.2402</v>
      </c>
      <c r="D122" s="57">
        <v>1101.5715</v>
      </c>
      <c r="E122" s="56"/>
      <c r="F122" s="58"/>
      <c r="G122" s="59"/>
    </row>
    <row r="123" spans="1:8" ht="25.5" x14ac:dyDescent="0.2">
      <c r="A123" s="56"/>
      <c r="B123" s="25" t="s">
        <v>606</v>
      </c>
      <c r="C123" s="57">
        <v>1231.6452999999999</v>
      </c>
      <c r="D123" s="57">
        <v>1227.8690999999999</v>
      </c>
      <c r="E123" s="56"/>
      <c r="F123" s="58"/>
      <c r="G123" s="59"/>
    </row>
    <row r="124" spans="1:8" x14ac:dyDescent="0.2">
      <c r="A124" s="56"/>
      <c r="B124" s="25" t="s">
        <v>114</v>
      </c>
      <c r="C124" s="57">
        <v>3315.8845999999999</v>
      </c>
      <c r="D124" s="57">
        <v>3324.9312</v>
      </c>
      <c r="E124" s="56"/>
      <c r="F124" s="58"/>
      <c r="G124" s="59"/>
    </row>
    <row r="125" spans="1:8" x14ac:dyDescent="0.2">
      <c r="A125" s="56"/>
      <c r="B125" s="25" t="s">
        <v>142</v>
      </c>
      <c r="C125" s="57">
        <v>1284.1510000000001</v>
      </c>
      <c r="D125" s="57">
        <v>1287.6543999999999</v>
      </c>
      <c r="E125" s="56"/>
      <c r="F125" s="58"/>
      <c r="G125" s="59"/>
    </row>
    <row r="126" spans="1:8" ht="25.5" x14ac:dyDescent="0.2">
      <c r="A126" s="56"/>
      <c r="B126" s="25" t="s">
        <v>609</v>
      </c>
      <c r="C126" s="57">
        <v>1088.1584</v>
      </c>
      <c r="D126" s="57">
        <v>1091.1274000000001</v>
      </c>
      <c r="E126" s="56"/>
      <c r="F126" s="58"/>
      <c r="G126" s="59"/>
    </row>
    <row r="127" spans="1:8" ht="25.5" x14ac:dyDescent="0.2">
      <c r="A127" s="56"/>
      <c r="B127" s="25" t="s">
        <v>610</v>
      </c>
      <c r="C127" s="57">
        <v>1193.3044</v>
      </c>
      <c r="D127" s="57">
        <v>1189.0507</v>
      </c>
      <c r="E127" s="56"/>
      <c r="F127" s="58"/>
      <c r="G127" s="59"/>
    </row>
    <row r="128" spans="1:8" x14ac:dyDescent="0.2">
      <c r="A128" s="56"/>
      <c r="B128" s="56"/>
      <c r="C128" s="56"/>
      <c r="D128" s="56"/>
      <c r="E128" s="56"/>
      <c r="F128" s="56"/>
      <c r="G128" s="56"/>
    </row>
    <row r="129" spans="1:17" x14ac:dyDescent="0.2">
      <c r="A129" s="56"/>
      <c r="B129" s="179" t="s">
        <v>598</v>
      </c>
      <c r="C129" s="180"/>
      <c r="D129" s="17" t="s">
        <v>12</v>
      </c>
      <c r="E129" s="56"/>
      <c r="F129" s="56"/>
      <c r="G129" s="56"/>
    </row>
    <row r="130" spans="1:17" x14ac:dyDescent="0.2">
      <c r="A130" s="56"/>
      <c r="B130" s="60" t="s">
        <v>112</v>
      </c>
      <c r="C130" s="61" t="s">
        <v>115</v>
      </c>
      <c r="D130" s="61" t="s">
        <v>116</v>
      </c>
      <c r="E130" s="56"/>
      <c r="F130" s="56"/>
      <c r="G130" s="56"/>
    </row>
    <row r="131" spans="1:17" ht="25.5" x14ac:dyDescent="0.2">
      <c r="A131" s="56"/>
      <c r="B131" s="25" t="s">
        <v>606</v>
      </c>
      <c r="C131" s="62">
        <v>7.5</v>
      </c>
      <c r="D131" s="62">
        <v>7.5</v>
      </c>
      <c r="E131" s="56"/>
      <c r="F131" s="58"/>
      <c r="G131" s="59"/>
    </row>
    <row r="132" spans="1:17" ht="25.5" x14ac:dyDescent="0.2">
      <c r="A132" s="56"/>
      <c r="B132" s="25" t="s">
        <v>610</v>
      </c>
      <c r="C132" s="62">
        <v>7.5</v>
      </c>
      <c r="D132" s="62">
        <v>7.5</v>
      </c>
      <c r="E132" s="56"/>
      <c r="F132" s="58"/>
      <c r="G132" s="59"/>
    </row>
    <row r="133" spans="1:17" x14ac:dyDescent="0.2">
      <c r="A133" s="56"/>
      <c r="B133" s="63"/>
      <c r="C133" s="63"/>
      <c r="D133" s="64"/>
      <c r="E133" s="56"/>
      <c r="F133" s="58"/>
      <c r="G133" s="59"/>
    </row>
    <row r="134" spans="1:17" s="67" customFormat="1" x14ac:dyDescent="0.2">
      <c r="A134" s="77"/>
      <c r="B134" s="173" t="s">
        <v>599</v>
      </c>
      <c r="C134" s="174"/>
      <c r="D134" s="33" t="s">
        <v>108</v>
      </c>
      <c r="G134" s="77"/>
      <c r="I134"/>
      <c r="J134" s="15"/>
      <c r="K134" s="35"/>
      <c r="L134" s="35"/>
      <c r="M134" s="35"/>
      <c r="N134" s="35"/>
      <c r="O134" s="73"/>
    </row>
    <row r="135" spans="1:17" ht="25.5" customHeight="1" x14ac:dyDescent="0.2">
      <c r="A135" s="51"/>
      <c r="B135" s="173" t="s">
        <v>600</v>
      </c>
      <c r="C135" s="174"/>
      <c r="D135" s="33" t="s">
        <v>108</v>
      </c>
      <c r="E135" s="65"/>
      <c r="F135" s="51"/>
      <c r="G135" s="51"/>
      <c r="J135" s="15"/>
    </row>
    <row r="136" spans="1:17" ht="26.25" customHeight="1" x14ac:dyDescent="0.2">
      <c r="A136" s="51"/>
      <c r="B136" s="173" t="s">
        <v>601</v>
      </c>
      <c r="C136" s="174"/>
      <c r="D136" s="33" t="s">
        <v>108</v>
      </c>
      <c r="E136" s="65"/>
      <c r="F136" s="51"/>
      <c r="G136" s="51"/>
      <c r="J136" s="15"/>
    </row>
    <row r="137" spans="1:17" x14ac:dyDescent="0.2">
      <c r="A137" s="51"/>
      <c r="B137" s="173" t="s">
        <v>602</v>
      </c>
      <c r="C137" s="174"/>
      <c r="D137" s="33" t="s">
        <v>108</v>
      </c>
      <c r="E137" s="65"/>
      <c r="F137" s="51"/>
      <c r="G137" s="51"/>
      <c r="J137" s="15"/>
    </row>
    <row r="138" spans="1:17" x14ac:dyDescent="0.2">
      <c r="A138" s="51"/>
      <c r="B138" s="47"/>
      <c r="C138" s="47"/>
      <c r="D138" s="78"/>
      <c r="E138" s="51"/>
      <c r="F138" s="51"/>
      <c r="G138" s="51"/>
      <c r="J138" s="15"/>
    </row>
    <row r="139" spans="1:17" s="67" customFormat="1" x14ac:dyDescent="0.2">
      <c r="B139" s="181" t="s">
        <v>585</v>
      </c>
      <c r="C139" s="182"/>
      <c r="D139" s="183"/>
      <c r="I139"/>
      <c r="J139" s="15"/>
      <c r="K139" s="35"/>
      <c r="L139" s="35"/>
      <c r="M139" s="35"/>
      <c r="N139" s="35"/>
      <c r="O139" s="73"/>
    </row>
    <row r="140" spans="1:17" s="67" customFormat="1" ht="25.5" x14ac:dyDescent="0.2">
      <c r="B140" s="175" t="s">
        <v>586</v>
      </c>
      <c r="C140" s="175"/>
      <c r="D140" s="68" t="s">
        <v>219</v>
      </c>
      <c r="I140"/>
      <c r="J140" s="15"/>
      <c r="K140" s="35"/>
      <c r="L140" s="35"/>
      <c r="M140" s="35"/>
      <c r="N140" s="35"/>
      <c r="O140" s="73"/>
    </row>
    <row r="141" spans="1:17" s="67" customFormat="1" x14ac:dyDescent="0.2">
      <c r="B141" s="167" t="s">
        <v>587</v>
      </c>
      <c r="C141" s="167"/>
      <c r="D141" s="69"/>
      <c r="I141"/>
      <c r="J141" s="15"/>
      <c r="K141" s="35"/>
      <c r="L141" s="35"/>
      <c r="M141" s="35"/>
      <c r="N141" s="35"/>
      <c r="O141" s="73"/>
    </row>
    <row r="142" spans="1:17" s="67" customFormat="1" x14ac:dyDescent="0.2">
      <c r="B142" s="167"/>
      <c r="C142" s="167"/>
      <c r="D142" s="70"/>
      <c r="I142"/>
      <c r="J142" s="15"/>
      <c r="K142" s="35"/>
      <c r="L142" s="35"/>
      <c r="M142" s="35"/>
      <c r="N142" s="35"/>
      <c r="O142" s="73"/>
    </row>
    <row r="143" spans="1:17" s="67" customFormat="1" x14ac:dyDescent="0.2">
      <c r="B143" s="167" t="s">
        <v>588</v>
      </c>
      <c r="C143" s="167"/>
      <c r="D143" s="71">
        <v>7.634014112862161</v>
      </c>
      <c r="I143"/>
      <c r="J143" s="15"/>
      <c r="K143" s="35"/>
      <c r="L143" s="35"/>
      <c r="M143" s="35"/>
      <c r="N143" s="35"/>
      <c r="O143" s="73"/>
    </row>
    <row r="144" spans="1:17" s="67" customFormat="1" x14ac:dyDescent="0.2">
      <c r="B144" s="167"/>
      <c r="C144" s="167"/>
      <c r="D144" s="70"/>
      <c r="I144"/>
      <c r="J144" s="15"/>
      <c r="K144" s="35"/>
      <c r="L144" s="35"/>
      <c r="M144" s="35"/>
      <c r="N144" s="35"/>
      <c r="O144" s="73"/>
      <c r="P144"/>
      <c r="Q144"/>
    </row>
    <row r="145" spans="1:20" s="67" customFormat="1" x14ac:dyDescent="0.2">
      <c r="B145" s="167" t="s">
        <v>589</v>
      </c>
      <c r="C145" s="167"/>
      <c r="D145" s="71">
        <v>0.9381570397512069</v>
      </c>
      <c r="I145"/>
      <c r="J145" s="15"/>
      <c r="K145" s="35"/>
      <c r="L145" s="35"/>
      <c r="M145" s="35"/>
      <c r="N145" s="35"/>
      <c r="O145" s="73"/>
      <c r="P145"/>
      <c r="Q145"/>
    </row>
    <row r="146" spans="1:20" s="67" customFormat="1" x14ac:dyDescent="0.2">
      <c r="B146" s="167" t="s">
        <v>616</v>
      </c>
      <c r="C146" s="167"/>
      <c r="D146" s="71">
        <v>1.1142814643949801</v>
      </c>
      <c r="I146"/>
      <c r="J146" s="15"/>
      <c r="K146" s="35"/>
      <c r="L146" s="35"/>
      <c r="M146" s="35"/>
      <c r="N146" s="35"/>
      <c r="O146"/>
      <c r="P146"/>
      <c r="Q146"/>
    </row>
    <row r="147" spans="1:20" s="67" customFormat="1" x14ac:dyDescent="0.2">
      <c r="B147" s="167"/>
      <c r="C147" s="167"/>
      <c r="D147" s="70"/>
      <c r="I147"/>
      <c r="J147" s="15"/>
      <c r="K147" s="35"/>
      <c r="L147" s="35"/>
      <c r="M147" s="35"/>
      <c r="N147" s="35"/>
      <c r="O147"/>
      <c r="P147"/>
      <c r="Q147"/>
    </row>
    <row r="148" spans="1:20" s="67" customFormat="1" x14ac:dyDescent="0.2">
      <c r="B148" s="167" t="s">
        <v>591</v>
      </c>
      <c r="C148" s="167"/>
      <c r="D148" s="72" t="s">
        <v>694</v>
      </c>
      <c r="I148"/>
      <c r="J148" s="15"/>
      <c r="K148" s="35"/>
      <c r="L148" s="35"/>
      <c r="M148" s="35"/>
      <c r="N148" s="35"/>
      <c r="O148" s="73"/>
    </row>
    <row r="149" spans="1:20" s="67" customFormat="1" x14ac:dyDescent="0.2">
      <c r="B149" s="168" t="s">
        <v>592</v>
      </c>
      <c r="C149" s="170"/>
      <c r="D149" s="169"/>
      <c r="I149"/>
      <c r="J149" s="15"/>
      <c r="K149" s="35"/>
      <c r="L149" s="35"/>
      <c r="M149" s="35"/>
      <c r="N149" s="35"/>
      <c r="O149"/>
      <c r="P149"/>
      <c r="Q149"/>
      <c r="R149"/>
      <c r="S149"/>
      <c r="T149"/>
    </row>
    <row r="150" spans="1:20" x14ac:dyDescent="0.2">
      <c r="A150" s="66"/>
      <c r="B150" s="66"/>
      <c r="C150" s="66"/>
      <c r="D150" s="66"/>
      <c r="E150" s="66"/>
      <c r="F150" s="66"/>
      <c r="G150" s="66"/>
      <c r="J150" s="15"/>
    </row>
    <row r="151" spans="1:20" s="67" customFormat="1" x14ac:dyDescent="0.2">
      <c r="B151" s="79" t="s">
        <v>695</v>
      </c>
      <c r="C151" s="79"/>
      <c r="D151" s="79"/>
      <c r="E151" s="79"/>
      <c r="F151" s="79"/>
      <c r="G151" s="79"/>
      <c r="H151" s="79"/>
      <c r="I151"/>
      <c r="J151" s="15"/>
      <c r="K151" s="35"/>
      <c r="L151" s="35"/>
      <c r="M151" s="35"/>
      <c r="N151" s="35"/>
      <c r="O151" s="73"/>
    </row>
    <row r="152" spans="1:20" s="67" customFormat="1" x14ac:dyDescent="0.2">
      <c r="B152" s="80"/>
      <c r="C152" s="80"/>
      <c r="D152" s="80"/>
      <c r="E152" s="80"/>
      <c r="F152" s="80"/>
      <c r="G152" s="80"/>
      <c r="H152" s="80"/>
      <c r="I152"/>
      <c r="J152" s="15"/>
      <c r="K152" s="35"/>
      <c r="L152" s="35"/>
      <c r="M152" s="35"/>
      <c r="N152" s="35"/>
      <c r="O152" s="73"/>
    </row>
    <row r="153" spans="1:20" s="67" customFormat="1" ht="63.75" x14ac:dyDescent="0.2">
      <c r="A153" s="81"/>
      <c r="B153" s="82" t="s">
        <v>617</v>
      </c>
      <c r="C153" s="82" t="s">
        <v>618</v>
      </c>
      <c r="D153" s="82" t="s">
        <v>619</v>
      </c>
      <c r="E153" s="82" t="s">
        <v>620</v>
      </c>
      <c r="F153" s="82" t="s">
        <v>621</v>
      </c>
      <c r="G153" s="80"/>
      <c r="H153" s="80"/>
      <c r="I153"/>
      <c r="J153" s="15"/>
      <c r="K153" s="35"/>
      <c r="L153" s="35"/>
      <c r="M153" s="35"/>
      <c r="N153" s="35"/>
      <c r="O153" s="73"/>
    </row>
    <row r="154" spans="1:20" s="67" customFormat="1" x14ac:dyDescent="0.2">
      <c r="A154" s="83"/>
      <c r="B154" s="84" t="s">
        <v>622</v>
      </c>
      <c r="C154" s="84" t="s">
        <v>623</v>
      </c>
      <c r="D154" s="8">
        <v>0</v>
      </c>
      <c r="E154" s="9">
        <v>0</v>
      </c>
      <c r="F154" s="85">
        <v>300</v>
      </c>
      <c r="G154" s="80"/>
      <c r="H154" s="80"/>
      <c r="I154"/>
      <c r="J154" s="15"/>
      <c r="K154" s="35"/>
      <c r="L154" s="35"/>
      <c r="M154" s="35"/>
      <c r="N154" s="35"/>
      <c r="O154" s="73"/>
    </row>
    <row r="155" spans="1:20" s="67" customFormat="1" x14ac:dyDescent="0.2">
      <c r="A155" s="86"/>
      <c r="B155" s="86"/>
      <c r="C155" s="86"/>
      <c r="D155" s="86"/>
      <c r="E155" s="86"/>
      <c r="F155" s="86"/>
      <c r="G155" s="86"/>
      <c r="I155"/>
      <c r="J155" s="15"/>
      <c r="K155" s="35"/>
      <c r="L155" s="35"/>
      <c r="M155" s="35"/>
      <c r="N155" s="35"/>
      <c r="O155" s="73"/>
    </row>
    <row r="156" spans="1:20" ht="13.5" x14ac:dyDescent="0.25">
      <c r="B156" s="87" t="s">
        <v>624</v>
      </c>
      <c r="C156" s="87" t="s">
        <v>625</v>
      </c>
      <c r="D156" s="195" t="s">
        <v>619</v>
      </c>
      <c r="E156" s="195"/>
      <c r="F156" s="195"/>
      <c r="G156" s="194" t="s">
        <v>620</v>
      </c>
      <c r="H156" s="194"/>
      <c r="J156" s="15"/>
      <c r="K156" s="35"/>
      <c r="L156" s="35"/>
      <c r="M156" s="35"/>
      <c r="N156" s="35"/>
      <c r="P156" s="35"/>
    </row>
    <row r="157" spans="1:20" ht="27" x14ac:dyDescent="0.25">
      <c r="B157" s="88" t="s">
        <v>626</v>
      </c>
      <c r="C157" s="89" t="s">
        <v>627</v>
      </c>
      <c r="D157" s="192">
        <v>0</v>
      </c>
      <c r="E157" s="192"/>
      <c r="F157" s="192"/>
      <c r="G157" s="192">
        <v>0</v>
      </c>
      <c r="H157" s="192"/>
      <c r="J157" s="15"/>
      <c r="K157" s="35"/>
      <c r="L157" s="35"/>
      <c r="M157" s="35"/>
      <c r="N157" s="35"/>
      <c r="P157" s="35"/>
    </row>
    <row r="158" spans="1:20" ht="27" x14ac:dyDescent="0.25">
      <c r="B158" s="88" t="s">
        <v>628</v>
      </c>
      <c r="C158" s="89" t="s">
        <v>629</v>
      </c>
      <c r="D158" s="192">
        <v>0</v>
      </c>
      <c r="E158" s="192"/>
      <c r="F158" s="192"/>
      <c r="G158" s="192">
        <v>0</v>
      </c>
      <c r="H158" s="192"/>
      <c r="J158" s="15"/>
      <c r="K158" s="35"/>
      <c r="L158" s="35"/>
      <c r="M158" s="35"/>
      <c r="N158" s="35"/>
      <c r="P158" s="35"/>
    </row>
    <row r="159" spans="1:20" ht="27" x14ac:dyDescent="0.25">
      <c r="B159" s="88" t="s">
        <v>630</v>
      </c>
      <c r="C159" s="89" t="s">
        <v>631</v>
      </c>
      <c r="D159" s="192">
        <v>0</v>
      </c>
      <c r="E159" s="192"/>
      <c r="F159" s="192"/>
      <c r="G159" s="192">
        <v>0</v>
      </c>
      <c r="H159" s="192"/>
      <c r="J159" s="15"/>
      <c r="K159" s="35"/>
      <c r="L159" s="35"/>
      <c r="M159" s="35"/>
      <c r="N159" s="35"/>
      <c r="P159" s="35"/>
    </row>
    <row r="160" spans="1:20" ht="13.5" x14ac:dyDescent="0.25">
      <c r="B160" s="88"/>
      <c r="C160" s="88"/>
      <c r="D160" s="193"/>
      <c r="E160" s="193"/>
      <c r="F160" s="193"/>
      <c r="G160" s="193"/>
      <c r="H160" s="193"/>
      <c r="J160" s="15"/>
      <c r="K160" s="35"/>
      <c r="L160" s="35"/>
      <c r="M160" s="35"/>
      <c r="N160" s="35"/>
      <c r="P160" s="35"/>
    </row>
    <row r="161" spans="2:16" ht="13.5" x14ac:dyDescent="0.25">
      <c r="B161" s="194" t="s">
        <v>632</v>
      </c>
      <c r="C161" s="194"/>
      <c r="D161" s="194"/>
      <c r="E161" s="194"/>
      <c r="F161" s="194"/>
      <c r="G161" s="194"/>
      <c r="H161" s="194"/>
      <c r="J161" s="15"/>
      <c r="K161" s="35"/>
      <c r="L161" s="35"/>
      <c r="M161" s="35"/>
      <c r="N161" s="35"/>
      <c r="P161" s="35"/>
    </row>
    <row r="162" spans="2:16" ht="13.5" customHeight="1" x14ac:dyDescent="0.2">
      <c r="B162" s="190" t="s">
        <v>624</v>
      </c>
      <c r="C162" s="190" t="s">
        <v>625</v>
      </c>
      <c r="D162" s="190" t="s">
        <v>633</v>
      </c>
      <c r="E162" s="190"/>
      <c r="F162" s="190"/>
      <c r="G162" s="190"/>
      <c r="H162" s="191" t="s">
        <v>634</v>
      </c>
      <c r="I162" s="191" t="s">
        <v>635</v>
      </c>
      <c r="J162" s="188" t="s">
        <v>636</v>
      </c>
      <c r="K162" s="35"/>
      <c r="L162" s="35"/>
      <c r="M162" s="35"/>
      <c r="N162" s="35"/>
      <c r="O162" s="35"/>
      <c r="P162" s="35"/>
    </row>
    <row r="163" spans="2:16" ht="94.5" customHeight="1" x14ac:dyDescent="0.2">
      <c r="B163" s="190"/>
      <c r="C163" s="190"/>
      <c r="D163" s="91" t="s">
        <v>637</v>
      </c>
      <c r="E163" s="91" t="s">
        <v>638</v>
      </c>
      <c r="F163" s="91" t="s">
        <v>639</v>
      </c>
      <c r="G163" s="91" t="s">
        <v>640</v>
      </c>
      <c r="H163" s="191"/>
      <c r="I163" s="191"/>
      <c r="J163" s="189"/>
      <c r="K163" s="35"/>
      <c r="L163" s="35"/>
      <c r="M163" s="35"/>
      <c r="N163" s="35"/>
      <c r="O163" s="35"/>
      <c r="P163" s="35"/>
    </row>
    <row r="164" spans="2:16" ht="27" x14ac:dyDescent="0.25">
      <c r="B164" s="88" t="s">
        <v>626</v>
      </c>
      <c r="C164" s="89" t="s">
        <v>627</v>
      </c>
      <c r="D164" s="92">
        <v>1500</v>
      </c>
      <c r="E164" s="92">
        <v>99.850684900000005</v>
      </c>
      <c r="F164" s="93">
        <v>36.275342200000004</v>
      </c>
      <c r="G164" s="94">
        <v>1636.1260271000001</v>
      </c>
      <c r="H164" s="10">
        <v>726.67232000000001</v>
      </c>
      <c r="I164" s="10">
        <f>1250521/10^5</f>
        <v>12.50521</v>
      </c>
      <c r="J164" s="10">
        <f>H164+I164</f>
        <v>739.17753000000005</v>
      </c>
      <c r="K164" s="35"/>
      <c r="L164" s="35"/>
      <c r="M164" s="35"/>
      <c r="N164" s="35"/>
      <c r="O164" s="35"/>
      <c r="P164" s="35"/>
    </row>
    <row r="165" spans="2:16" ht="27" x14ac:dyDescent="0.25">
      <c r="B165" s="88" t="s">
        <v>628</v>
      </c>
      <c r="C165" s="89" t="s">
        <v>629</v>
      </c>
      <c r="D165" s="92">
        <v>2517.2199999999998</v>
      </c>
      <c r="E165" s="92">
        <v>183.25361600000002</v>
      </c>
      <c r="F165" s="93">
        <v>45.813405699999997</v>
      </c>
      <c r="G165" s="94">
        <v>2746.2870217</v>
      </c>
      <c r="H165" s="10">
        <v>1225.53333</v>
      </c>
      <c r="I165" s="10">
        <f>2109013/10^5</f>
        <v>21.090129999999998</v>
      </c>
      <c r="J165" s="10">
        <f>H165+I165</f>
        <v>1246.62346</v>
      </c>
      <c r="K165" s="35"/>
      <c r="L165" s="35"/>
      <c r="M165" s="35"/>
      <c r="N165" s="35"/>
      <c r="O165" s="35"/>
      <c r="P165" s="35"/>
    </row>
    <row r="166" spans="2:16" ht="27" x14ac:dyDescent="0.25">
      <c r="B166" s="88" t="s">
        <v>630</v>
      </c>
      <c r="C166" s="89" t="s">
        <v>631</v>
      </c>
      <c r="D166" s="92">
        <v>4882.25</v>
      </c>
      <c r="E166" s="92">
        <v>323.21163799999999</v>
      </c>
      <c r="F166" s="93">
        <v>117.42144879999999</v>
      </c>
      <c r="G166" s="94">
        <v>5322.8830868000005</v>
      </c>
      <c r="H166" s="10">
        <v>2364.0489899999998</v>
      </c>
      <c r="I166" s="10">
        <f>4068280/10^5</f>
        <v>40.6828</v>
      </c>
      <c r="J166" s="10">
        <f>H166+I166</f>
        <v>2404.7317899999998</v>
      </c>
      <c r="K166" s="35"/>
      <c r="L166" s="35"/>
      <c r="M166" s="35"/>
      <c r="N166" s="35"/>
      <c r="O166" s="35"/>
      <c r="P166" s="35"/>
    </row>
    <row r="167" spans="2:16" x14ac:dyDescent="0.2">
      <c r="I167" s="35"/>
      <c r="J167" s="15"/>
      <c r="K167" s="35"/>
      <c r="L167" s="35"/>
      <c r="M167" s="35"/>
      <c r="N167" s="35"/>
      <c r="O167" s="35"/>
      <c r="P167" s="35"/>
    </row>
    <row r="168" spans="2:16" x14ac:dyDescent="0.2">
      <c r="I168" s="35"/>
      <c r="J168" s="15"/>
      <c r="K168" s="35"/>
      <c r="L168" s="35"/>
      <c r="M168" s="35"/>
      <c r="N168" s="35"/>
      <c r="O168" s="35"/>
      <c r="P168" s="35"/>
    </row>
    <row r="169" spans="2:16" ht="13.5" x14ac:dyDescent="0.25">
      <c r="B169" s="95" t="s">
        <v>641</v>
      </c>
      <c r="I169" s="35"/>
      <c r="J169" s="15"/>
      <c r="K169" s="35"/>
      <c r="L169" s="35"/>
      <c r="M169" s="35"/>
      <c r="N169" s="35"/>
      <c r="O169" s="35"/>
      <c r="P169" s="35"/>
    </row>
    <row r="170" spans="2:16" x14ac:dyDescent="0.2">
      <c r="B170" s="35"/>
      <c r="C170" s="35"/>
      <c r="D170" s="35"/>
      <c r="E170" s="35"/>
      <c r="F170" s="35"/>
      <c r="G170" s="35"/>
      <c r="H170" s="35"/>
      <c r="I170" s="35"/>
      <c r="J170" s="15"/>
      <c r="K170" s="35"/>
      <c r="L170" s="35"/>
      <c r="M170" s="35"/>
      <c r="N170" s="35"/>
      <c r="O170" s="35"/>
      <c r="P170" s="35"/>
    </row>
    <row r="171" spans="2:16" x14ac:dyDescent="0.2">
      <c r="B171" s="96" t="s">
        <v>642</v>
      </c>
      <c r="C171" s="35"/>
      <c r="D171" s="35"/>
      <c r="E171" s="35"/>
      <c r="F171" s="35"/>
      <c r="G171" s="35"/>
      <c r="H171" s="35"/>
      <c r="I171" s="35"/>
      <c r="J171" s="15"/>
      <c r="K171" s="35"/>
      <c r="L171" s="35"/>
      <c r="M171" s="35"/>
      <c r="N171" s="35"/>
      <c r="O171" s="35"/>
      <c r="P171" s="35"/>
    </row>
    <row r="172" spans="2:16" x14ac:dyDescent="0.2">
      <c r="B172" s="35"/>
      <c r="C172" s="35"/>
      <c r="D172" s="35"/>
      <c r="E172" s="35"/>
      <c r="F172" s="35"/>
      <c r="G172" s="35"/>
      <c r="H172" s="35"/>
      <c r="I172" s="35"/>
      <c r="J172" s="15"/>
      <c r="K172" s="35"/>
      <c r="L172" s="35"/>
      <c r="M172" s="35"/>
      <c r="N172" s="35"/>
      <c r="O172" s="35"/>
      <c r="P172" s="35"/>
    </row>
    <row r="173" spans="2:16" x14ac:dyDescent="0.2">
      <c r="B173" s="96" t="s">
        <v>643</v>
      </c>
      <c r="C173" s="35"/>
      <c r="D173" s="35"/>
      <c r="E173" s="35"/>
      <c r="F173" s="35"/>
      <c r="G173" s="35"/>
      <c r="H173" s="35"/>
      <c r="I173" s="35"/>
      <c r="J173" s="15"/>
      <c r="K173" s="35"/>
      <c r="L173" s="35"/>
      <c r="M173" s="35"/>
      <c r="N173" s="35"/>
      <c r="O173" s="35"/>
      <c r="P173" s="35"/>
    </row>
    <row r="174" spans="2:16" x14ac:dyDescent="0.2">
      <c r="J174" s="15"/>
    </row>
    <row r="175" spans="2:16" x14ac:dyDescent="0.2">
      <c r="B175" s="96" t="s">
        <v>644</v>
      </c>
      <c r="J175" s="15"/>
      <c r="K175" s="35"/>
      <c r="L175" s="35"/>
      <c r="M175" s="35"/>
      <c r="N175" s="35"/>
      <c r="O175" s="35"/>
    </row>
    <row r="176" spans="2:16" x14ac:dyDescent="0.2">
      <c r="J176" s="15"/>
    </row>
    <row r="177" spans="2:10" ht="25.5" x14ac:dyDescent="0.2">
      <c r="B177" s="74" t="s">
        <v>593</v>
      </c>
    </row>
    <row r="179" spans="2:10" ht="153.75" customHeight="1" x14ac:dyDescent="0.2"/>
    <row r="182" spans="2:10" x14ac:dyDescent="0.2">
      <c r="B182" s="75" t="s">
        <v>594</v>
      </c>
      <c r="C182" s="76"/>
      <c r="D182" s="75" t="s">
        <v>595</v>
      </c>
    </row>
    <row r="183" spans="2:10" x14ac:dyDescent="0.2">
      <c r="B183" s="75" t="s">
        <v>645</v>
      </c>
      <c r="D183" s="75" t="s">
        <v>646</v>
      </c>
    </row>
    <row r="184" spans="2:10" ht="165" customHeight="1" x14ac:dyDescent="0.2"/>
    <row r="186" spans="2:10" x14ac:dyDescent="0.2">
      <c r="J186" s="15"/>
    </row>
  </sheetData>
  <mergeCells count="43">
    <mergeCell ref="B139:D139"/>
    <mergeCell ref="B113:H113"/>
    <mergeCell ref="B136:C136"/>
    <mergeCell ref="B137:C137"/>
    <mergeCell ref="B115:D115"/>
    <mergeCell ref="B116:C116"/>
    <mergeCell ref="B117:C117"/>
    <mergeCell ref="B118:C118"/>
    <mergeCell ref="B129:C129"/>
    <mergeCell ref="B135:C135"/>
    <mergeCell ref="B134:C134"/>
    <mergeCell ref="A1:H1"/>
    <mergeCell ref="A2:H2"/>
    <mergeCell ref="A3:H3"/>
    <mergeCell ref="B111:H111"/>
    <mergeCell ref="B112:H112"/>
    <mergeCell ref="B140:C140"/>
    <mergeCell ref="B141:C141"/>
    <mergeCell ref="B142:C142"/>
    <mergeCell ref="B143:C143"/>
    <mergeCell ref="B144:C144"/>
    <mergeCell ref="B145:C145"/>
    <mergeCell ref="B146:C146"/>
    <mergeCell ref="B147:C147"/>
    <mergeCell ref="B148:C148"/>
    <mergeCell ref="B149:D149"/>
    <mergeCell ref="D156:F156"/>
    <mergeCell ref="G156:H156"/>
    <mergeCell ref="D157:F157"/>
    <mergeCell ref="G157:H157"/>
    <mergeCell ref="D158:F158"/>
    <mergeCell ref="G158:H158"/>
    <mergeCell ref="D159:F159"/>
    <mergeCell ref="G159:H159"/>
    <mergeCell ref="D160:F160"/>
    <mergeCell ref="G160:H160"/>
    <mergeCell ref="B161:H161"/>
    <mergeCell ref="J162:J163"/>
    <mergeCell ref="B162:B163"/>
    <mergeCell ref="C162:C163"/>
    <mergeCell ref="D162:G162"/>
    <mergeCell ref="H162:H163"/>
    <mergeCell ref="I162:I163"/>
  </mergeCells>
  <hyperlinks>
    <hyperlink ref="I1" location="Index!B2" display="Index" xr:uid="{B75AA310-1B7D-4E6B-869F-089E28B4DE8F}"/>
    <hyperlink ref="B171" r:id="rId1" xr:uid="{182FD116-EB80-473F-8E4A-4119F3BEF7E6}"/>
    <hyperlink ref="B173" r:id="rId2" xr:uid="{5DA0F642-E91B-4837-BC74-F48B59E6E8BC}"/>
    <hyperlink ref="B175" r:id="rId3" xr:uid="{37FF3237-E8E0-4FAD-A6CD-67B7BB091183}"/>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ABE79-DC6A-4847-9078-AA7306CA6084}">
  <sheetPr>
    <outlinePr summaryBelow="0" summaryRight="0"/>
  </sheetPr>
  <dimension ref="A1:R211"/>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3" customWidth="1"/>
    <col min="5" max="5" width="10.42578125" bestFit="1" customWidth="1"/>
    <col min="6" max="6" width="10.140625" bestFit="1" customWidth="1"/>
    <col min="7" max="7" width="14" bestFit="1" customWidth="1"/>
    <col min="8" max="8" width="8.85546875" bestFit="1" customWidth="1"/>
    <col min="9" max="9" width="5.7109375" bestFit="1" customWidth="1"/>
  </cols>
  <sheetData>
    <row r="1" spans="1:9" ht="15" x14ac:dyDescent="0.2">
      <c r="A1" s="171" t="s">
        <v>0</v>
      </c>
      <c r="B1" s="171"/>
      <c r="C1" s="171"/>
      <c r="D1" s="171"/>
      <c r="E1" s="171"/>
      <c r="F1" s="171"/>
      <c r="G1" s="171"/>
      <c r="H1" s="171"/>
      <c r="I1" s="7" t="s">
        <v>576</v>
      </c>
    </row>
    <row r="2" spans="1:9" ht="15" x14ac:dyDescent="0.2">
      <c r="A2" s="171" t="s">
        <v>271</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578</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272</v>
      </c>
      <c r="C28" s="25" t="s">
        <v>273</v>
      </c>
      <c r="D28" s="25" t="s">
        <v>23</v>
      </c>
      <c r="E28" s="26">
        <v>1000</v>
      </c>
      <c r="F28" s="27">
        <v>9999.66</v>
      </c>
      <c r="G28" s="28">
        <v>1.3914309999999999E-2</v>
      </c>
      <c r="H28" s="18">
        <v>7.165</v>
      </c>
    </row>
    <row r="29" spans="1:8" ht="25.5" x14ac:dyDescent="0.2">
      <c r="A29" s="24">
        <v>2</v>
      </c>
      <c r="B29" s="25" t="s">
        <v>274</v>
      </c>
      <c r="C29" s="25" t="s">
        <v>275</v>
      </c>
      <c r="D29" s="25" t="s">
        <v>23</v>
      </c>
      <c r="E29" s="26">
        <v>1000</v>
      </c>
      <c r="F29" s="27">
        <v>9997.84</v>
      </c>
      <c r="G29" s="28">
        <v>1.391178E-2</v>
      </c>
      <c r="H29" s="18">
        <v>7.125</v>
      </c>
    </row>
    <row r="30" spans="1:8" ht="25.5" x14ac:dyDescent="0.2">
      <c r="A30" s="24">
        <v>3</v>
      </c>
      <c r="B30" s="25" t="s">
        <v>276</v>
      </c>
      <c r="C30" s="25" t="s">
        <v>277</v>
      </c>
      <c r="D30" s="25" t="s">
        <v>230</v>
      </c>
      <c r="E30" s="26">
        <v>8000</v>
      </c>
      <c r="F30" s="27">
        <v>8003.6639999999998</v>
      </c>
      <c r="G30" s="28">
        <v>1.113692E-2</v>
      </c>
      <c r="H30" s="18">
        <v>7.5250000000000004</v>
      </c>
    </row>
    <row r="31" spans="1:8" x14ac:dyDescent="0.2">
      <c r="A31" s="24">
        <v>4</v>
      </c>
      <c r="B31" s="25" t="s">
        <v>278</v>
      </c>
      <c r="C31" s="25" t="s">
        <v>279</v>
      </c>
      <c r="D31" s="25" t="s">
        <v>23</v>
      </c>
      <c r="E31" s="26">
        <v>750</v>
      </c>
      <c r="F31" s="27">
        <v>7487.88</v>
      </c>
      <c r="G31" s="28">
        <v>1.041922E-2</v>
      </c>
      <c r="H31" s="18">
        <v>7.5</v>
      </c>
    </row>
    <row r="32" spans="1:8" x14ac:dyDescent="0.2">
      <c r="A32" s="24">
        <v>5</v>
      </c>
      <c r="B32" s="25" t="s">
        <v>280</v>
      </c>
      <c r="C32" s="25" t="s">
        <v>281</v>
      </c>
      <c r="D32" s="25" t="s">
        <v>23</v>
      </c>
      <c r="E32" s="26">
        <v>1000</v>
      </c>
      <c r="F32" s="27">
        <v>5001.0349999999999</v>
      </c>
      <c r="G32" s="28">
        <v>6.9588300000000001E-3</v>
      </c>
      <c r="H32" s="18">
        <v>7.625</v>
      </c>
    </row>
    <row r="33" spans="1:8" ht="25.5" x14ac:dyDescent="0.2">
      <c r="A33" s="24">
        <v>6</v>
      </c>
      <c r="B33" s="25" t="s">
        <v>282</v>
      </c>
      <c r="C33" s="25" t="s">
        <v>283</v>
      </c>
      <c r="D33" s="25" t="s">
        <v>36</v>
      </c>
      <c r="E33" s="26">
        <v>500</v>
      </c>
      <c r="F33" s="27">
        <v>4984.0600000000004</v>
      </c>
      <c r="G33" s="28">
        <v>6.9352099999999998E-3</v>
      </c>
      <c r="H33" s="18">
        <v>7.45</v>
      </c>
    </row>
    <row r="34" spans="1:8" x14ac:dyDescent="0.2">
      <c r="A34" s="16"/>
      <c r="B34" s="16"/>
      <c r="C34" s="17" t="s">
        <v>11</v>
      </c>
      <c r="D34" s="16"/>
      <c r="E34" s="16" t="s">
        <v>12</v>
      </c>
      <c r="F34" s="23">
        <v>45474.139000000003</v>
      </c>
      <c r="G34" s="20">
        <v>6.3276269999999996E-2</v>
      </c>
      <c r="H34" s="18" t="s">
        <v>12</v>
      </c>
    </row>
    <row r="35" spans="1:8" x14ac:dyDescent="0.2">
      <c r="A35" s="16"/>
      <c r="B35" s="16"/>
      <c r="C35" s="21"/>
      <c r="D35" s="16"/>
      <c r="E35" s="16"/>
      <c r="F35" s="22"/>
      <c r="G35" s="22"/>
      <c r="H35" s="18" t="s">
        <v>12</v>
      </c>
    </row>
    <row r="36" spans="1:8" x14ac:dyDescent="0.2">
      <c r="A36" s="16"/>
      <c r="B36" s="16"/>
      <c r="C36" s="17" t="s">
        <v>71</v>
      </c>
      <c r="D36" s="16"/>
      <c r="E36" s="16"/>
      <c r="F36" s="16"/>
      <c r="G36" s="16"/>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72</v>
      </c>
      <c r="D39" s="16"/>
      <c r="E39" s="16"/>
      <c r="F39" s="16"/>
      <c r="G39" s="16"/>
      <c r="H39" s="18" t="s">
        <v>12</v>
      </c>
    </row>
    <row r="40" spans="1:8" x14ac:dyDescent="0.2">
      <c r="A40" s="16"/>
      <c r="B40" s="16"/>
      <c r="C40" s="17" t="s">
        <v>11</v>
      </c>
      <c r="D40" s="16"/>
      <c r="E40" s="16" t="s">
        <v>12</v>
      </c>
      <c r="F40" s="19" t="s">
        <v>13</v>
      </c>
      <c r="G40" s="20">
        <v>0</v>
      </c>
      <c r="H40" s="18" t="s">
        <v>12</v>
      </c>
    </row>
    <row r="41" spans="1:8" x14ac:dyDescent="0.2">
      <c r="A41" s="16"/>
      <c r="B41" s="16"/>
      <c r="C41" s="21"/>
      <c r="D41" s="16"/>
      <c r="E41" s="16"/>
      <c r="F41" s="22"/>
      <c r="G41" s="22"/>
      <c r="H41" s="18" t="s">
        <v>12</v>
      </c>
    </row>
    <row r="42" spans="1:8" x14ac:dyDescent="0.2">
      <c r="A42" s="16"/>
      <c r="B42" s="16"/>
      <c r="C42" s="17" t="s">
        <v>88</v>
      </c>
      <c r="D42" s="16"/>
      <c r="E42" s="16"/>
      <c r="F42" s="22"/>
      <c r="G42" s="22"/>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89</v>
      </c>
      <c r="D45" s="16"/>
      <c r="E45" s="16"/>
      <c r="F45" s="23">
        <v>45474.139000000003</v>
      </c>
      <c r="G45" s="20">
        <v>6.3276269999999996E-2</v>
      </c>
      <c r="H45" s="18" t="s">
        <v>12</v>
      </c>
    </row>
    <row r="46" spans="1:8" x14ac:dyDescent="0.2">
      <c r="A46" s="16"/>
      <c r="B46" s="16"/>
      <c r="C46" s="21"/>
      <c r="D46" s="16"/>
      <c r="E46" s="16"/>
      <c r="F46" s="22"/>
      <c r="G46" s="22"/>
      <c r="H46" s="18" t="s">
        <v>12</v>
      </c>
    </row>
    <row r="47" spans="1:8" x14ac:dyDescent="0.2">
      <c r="A47" s="16"/>
      <c r="B47" s="16"/>
      <c r="C47" s="17" t="s">
        <v>90</v>
      </c>
      <c r="D47" s="16"/>
      <c r="E47" s="16"/>
      <c r="F47" s="22"/>
      <c r="G47" s="22"/>
      <c r="H47" s="18" t="s">
        <v>12</v>
      </c>
    </row>
    <row r="48" spans="1:8" x14ac:dyDescent="0.2">
      <c r="A48" s="16"/>
      <c r="B48" s="16"/>
      <c r="C48" s="17" t="s">
        <v>91</v>
      </c>
      <c r="D48" s="16"/>
      <c r="E48" s="16"/>
      <c r="F48" s="22"/>
      <c r="G48" s="22"/>
      <c r="H48" s="18" t="s">
        <v>12</v>
      </c>
    </row>
    <row r="49" spans="1:8" x14ac:dyDescent="0.2">
      <c r="A49" s="24">
        <v>1</v>
      </c>
      <c r="B49" s="25" t="s">
        <v>284</v>
      </c>
      <c r="C49" s="25" t="s">
        <v>285</v>
      </c>
      <c r="D49" s="25" t="s">
        <v>152</v>
      </c>
      <c r="E49" s="26">
        <v>3000</v>
      </c>
      <c r="F49" s="27">
        <v>14968.38</v>
      </c>
      <c r="G49" s="28">
        <v>2.082817E-2</v>
      </c>
      <c r="H49" s="18">
        <v>7.0095000000000001</v>
      </c>
    </row>
    <row r="50" spans="1:8" x14ac:dyDescent="0.2">
      <c r="A50" s="24">
        <v>2</v>
      </c>
      <c r="B50" s="25" t="s">
        <v>286</v>
      </c>
      <c r="C50" s="25" t="s">
        <v>287</v>
      </c>
      <c r="D50" s="25" t="s">
        <v>146</v>
      </c>
      <c r="E50" s="26">
        <v>3000</v>
      </c>
      <c r="F50" s="27">
        <v>14802.465</v>
      </c>
      <c r="G50" s="28">
        <v>2.0597310000000001E-2</v>
      </c>
      <c r="H50" s="18">
        <v>7.2698999999999998</v>
      </c>
    </row>
    <row r="51" spans="1:8" x14ac:dyDescent="0.2">
      <c r="A51" s="24">
        <v>3</v>
      </c>
      <c r="B51" s="25" t="s">
        <v>288</v>
      </c>
      <c r="C51" s="25" t="s">
        <v>289</v>
      </c>
      <c r="D51" s="25" t="s">
        <v>146</v>
      </c>
      <c r="E51" s="26">
        <v>3000</v>
      </c>
      <c r="F51" s="27">
        <v>14754.84</v>
      </c>
      <c r="G51" s="28">
        <v>2.053104E-2</v>
      </c>
      <c r="H51" s="18">
        <v>7.2199</v>
      </c>
    </row>
    <row r="52" spans="1:8" x14ac:dyDescent="0.2">
      <c r="A52" s="24">
        <v>4</v>
      </c>
      <c r="B52" s="25" t="s">
        <v>290</v>
      </c>
      <c r="C52" s="25" t="s">
        <v>291</v>
      </c>
      <c r="D52" s="25" t="s">
        <v>146</v>
      </c>
      <c r="E52" s="26">
        <v>2500</v>
      </c>
      <c r="F52" s="27">
        <v>12305.8</v>
      </c>
      <c r="G52" s="28">
        <v>1.712325E-2</v>
      </c>
      <c r="H52" s="18">
        <v>7.2000999999999999</v>
      </c>
    </row>
    <row r="53" spans="1:8" x14ac:dyDescent="0.2">
      <c r="A53" s="24">
        <v>5</v>
      </c>
      <c r="B53" s="25" t="s">
        <v>292</v>
      </c>
      <c r="C53" s="25" t="s">
        <v>293</v>
      </c>
      <c r="D53" s="25" t="s">
        <v>146</v>
      </c>
      <c r="E53" s="26">
        <v>2500</v>
      </c>
      <c r="F53" s="27">
        <v>12291.5875</v>
      </c>
      <c r="G53" s="28">
        <v>1.7103480000000001E-2</v>
      </c>
      <c r="H53" s="18">
        <v>7.1963999999999997</v>
      </c>
    </row>
    <row r="54" spans="1:8" x14ac:dyDescent="0.2">
      <c r="A54" s="24">
        <v>6</v>
      </c>
      <c r="B54" s="25" t="s">
        <v>294</v>
      </c>
      <c r="C54" s="25" t="s">
        <v>295</v>
      </c>
      <c r="D54" s="25" t="s">
        <v>146</v>
      </c>
      <c r="E54" s="26">
        <v>2000</v>
      </c>
      <c r="F54" s="27">
        <v>9950.76</v>
      </c>
      <c r="G54" s="28">
        <v>1.3846270000000001E-2</v>
      </c>
      <c r="H54" s="18">
        <v>7.2248999999999999</v>
      </c>
    </row>
    <row r="55" spans="1:8" x14ac:dyDescent="0.2">
      <c r="A55" s="24">
        <v>7</v>
      </c>
      <c r="B55" s="25" t="s">
        <v>296</v>
      </c>
      <c r="C55" s="25" t="s">
        <v>297</v>
      </c>
      <c r="D55" s="25" t="s">
        <v>146</v>
      </c>
      <c r="E55" s="26">
        <v>2000</v>
      </c>
      <c r="F55" s="27">
        <v>9938.59</v>
      </c>
      <c r="G55" s="28">
        <v>1.3829330000000001E-2</v>
      </c>
      <c r="H55" s="18">
        <v>7.2750000000000004</v>
      </c>
    </row>
    <row r="56" spans="1:8" x14ac:dyDescent="0.2">
      <c r="A56" s="24">
        <v>8</v>
      </c>
      <c r="B56" s="25" t="s">
        <v>298</v>
      </c>
      <c r="C56" s="25" t="s">
        <v>299</v>
      </c>
      <c r="D56" s="25" t="s">
        <v>146</v>
      </c>
      <c r="E56" s="26">
        <v>2000</v>
      </c>
      <c r="F56" s="27">
        <v>9903.61</v>
      </c>
      <c r="G56" s="28">
        <v>1.378066E-2</v>
      </c>
      <c r="H56" s="18">
        <v>7.2499000000000002</v>
      </c>
    </row>
    <row r="57" spans="1:8" x14ac:dyDescent="0.2">
      <c r="A57" s="24">
        <v>9</v>
      </c>
      <c r="B57" s="25" t="s">
        <v>300</v>
      </c>
      <c r="C57" s="25" t="s">
        <v>301</v>
      </c>
      <c r="D57" s="25" t="s">
        <v>146</v>
      </c>
      <c r="E57" s="26">
        <v>2000</v>
      </c>
      <c r="F57" s="27">
        <v>9903.48</v>
      </c>
      <c r="G57" s="28">
        <v>1.3780479999999999E-2</v>
      </c>
      <c r="H57" s="18">
        <v>7.26</v>
      </c>
    </row>
    <row r="58" spans="1:8" x14ac:dyDescent="0.2">
      <c r="A58" s="24">
        <v>10</v>
      </c>
      <c r="B58" s="25" t="s">
        <v>302</v>
      </c>
      <c r="C58" s="25" t="s">
        <v>303</v>
      </c>
      <c r="D58" s="25" t="s">
        <v>146</v>
      </c>
      <c r="E58" s="26">
        <v>2000</v>
      </c>
      <c r="F58" s="27">
        <v>9900.32</v>
      </c>
      <c r="G58" s="28">
        <v>1.377608E-2</v>
      </c>
      <c r="H58" s="18">
        <v>7.3502000000000001</v>
      </c>
    </row>
    <row r="59" spans="1:8" x14ac:dyDescent="0.2">
      <c r="A59" s="24">
        <v>11</v>
      </c>
      <c r="B59" s="25" t="s">
        <v>304</v>
      </c>
      <c r="C59" s="25" t="s">
        <v>305</v>
      </c>
      <c r="D59" s="25" t="s">
        <v>152</v>
      </c>
      <c r="E59" s="26">
        <v>2000</v>
      </c>
      <c r="F59" s="27">
        <v>9895.25</v>
      </c>
      <c r="G59" s="28">
        <v>1.376902E-2</v>
      </c>
      <c r="H59" s="18">
        <v>7.2901999999999996</v>
      </c>
    </row>
    <row r="60" spans="1:8" x14ac:dyDescent="0.2">
      <c r="A60" s="24">
        <v>12</v>
      </c>
      <c r="B60" s="25" t="s">
        <v>306</v>
      </c>
      <c r="C60" s="25" t="s">
        <v>307</v>
      </c>
      <c r="D60" s="25" t="s">
        <v>149</v>
      </c>
      <c r="E60" s="26">
        <v>2000</v>
      </c>
      <c r="F60" s="27">
        <v>9860.93</v>
      </c>
      <c r="G60" s="28">
        <v>1.3721270000000001E-2</v>
      </c>
      <c r="H60" s="18">
        <v>7.25</v>
      </c>
    </row>
    <row r="61" spans="1:8" x14ac:dyDescent="0.2">
      <c r="A61" s="24">
        <v>13</v>
      </c>
      <c r="B61" s="25" t="s">
        <v>308</v>
      </c>
      <c r="C61" s="25" t="s">
        <v>309</v>
      </c>
      <c r="D61" s="25" t="s">
        <v>146</v>
      </c>
      <c r="E61" s="26">
        <v>2000</v>
      </c>
      <c r="F61" s="27">
        <v>9856.49</v>
      </c>
      <c r="G61" s="28">
        <v>1.3715089999999999E-2</v>
      </c>
      <c r="H61" s="18">
        <v>7.28</v>
      </c>
    </row>
    <row r="62" spans="1:8" x14ac:dyDescent="0.2">
      <c r="A62" s="24">
        <v>14</v>
      </c>
      <c r="B62" s="25" t="s">
        <v>310</v>
      </c>
      <c r="C62" s="25" t="s">
        <v>311</v>
      </c>
      <c r="D62" s="25" t="s">
        <v>146</v>
      </c>
      <c r="E62" s="26">
        <v>2000</v>
      </c>
      <c r="F62" s="27">
        <v>9855.14</v>
      </c>
      <c r="G62" s="28">
        <v>1.371321E-2</v>
      </c>
      <c r="H62" s="18">
        <v>7.2499000000000002</v>
      </c>
    </row>
    <row r="63" spans="1:8" x14ac:dyDescent="0.2">
      <c r="A63" s="24">
        <v>15</v>
      </c>
      <c r="B63" s="25" t="s">
        <v>312</v>
      </c>
      <c r="C63" s="25" t="s">
        <v>313</v>
      </c>
      <c r="D63" s="25" t="s">
        <v>146</v>
      </c>
      <c r="E63" s="26">
        <v>2000</v>
      </c>
      <c r="F63" s="27">
        <v>9849.77</v>
      </c>
      <c r="G63" s="28">
        <v>1.3705739999999999E-2</v>
      </c>
      <c r="H63" s="18">
        <v>7.23</v>
      </c>
    </row>
    <row r="64" spans="1:8" x14ac:dyDescent="0.2">
      <c r="A64" s="24">
        <v>16</v>
      </c>
      <c r="B64" s="25" t="s">
        <v>314</v>
      </c>
      <c r="C64" s="25" t="s">
        <v>315</v>
      </c>
      <c r="D64" s="25" t="s">
        <v>146</v>
      </c>
      <c r="E64" s="26">
        <v>2000</v>
      </c>
      <c r="F64" s="27">
        <v>9830.7800000000007</v>
      </c>
      <c r="G64" s="28">
        <v>1.367932E-2</v>
      </c>
      <c r="H64" s="18">
        <v>7.2215999999999996</v>
      </c>
    </row>
    <row r="65" spans="1:8" x14ac:dyDescent="0.2">
      <c r="A65" s="24">
        <v>17</v>
      </c>
      <c r="B65" s="25" t="s">
        <v>316</v>
      </c>
      <c r="C65" s="25" t="s">
        <v>317</v>
      </c>
      <c r="D65" s="25" t="s">
        <v>146</v>
      </c>
      <c r="E65" s="26">
        <v>2000</v>
      </c>
      <c r="F65" s="27">
        <v>9830.02</v>
      </c>
      <c r="G65" s="28">
        <v>1.3678259999999999E-2</v>
      </c>
      <c r="H65" s="18">
        <v>7.2549999999999999</v>
      </c>
    </row>
    <row r="66" spans="1:8" x14ac:dyDescent="0.2">
      <c r="A66" s="24">
        <v>18</v>
      </c>
      <c r="B66" s="25" t="s">
        <v>318</v>
      </c>
      <c r="C66" s="25" t="s">
        <v>319</v>
      </c>
      <c r="D66" s="25" t="s">
        <v>146</v>
      </c>
      <c r="E66" s="26">
        <v>1500</v>
      </c>
      <c r="F66" s="27">
        <v>7494.2475000000004</v>
      </c>
      <c r="G66" s="28">
        <v>1.0428079999999999E-2</v>
      </c>
      <c r="H66" s="18">
        <v>7.0016999999999996</v>
      </c>
    </row>
    <row r="67" spans="1:8" x14ac:dyDescent="0.2">
      <c r="A67" s="24">
        <v>19</v>
      </c>
      <c r="B67" s="25" t="s">
        <v>320</v>
      </c>
      <c r="C67" s="25" t="s">
        <v>321</v>
      </c>
      <c r="D67" s="25" t="s">
        <v>146</v>
      </c>
      <c r="E67" s="26">
        <v>1000</v>
      </c>
      <c r="F67" s="27">
        <v>5000</v>
      </c>
      <c r="G67" s="28">
        <v>6.9573899999999999E-3</v>
      </c>
      <c r="H67" s="18">
        <v>6.6612</v>
      </c>
    </row>
    <row r="68" spans="1:8" x14ac:dyDescent="0.2">
      <c r="A68" s="24">
        <v>20</v>
      </c>
      <c r="B68" s="25" t="s">
        <v>322</v>
      </c>
      <c r="C68" s="25" t="s">
        <v>323</v>
      </c>
      <c r="D68" s="25" t="s">
        <v>146</v>
      </c>
      <c r="E68" s="26">
        <v>1000</v>
      </c>
      <c r="F68" s="27">
        <v>4992.2299999999996</v>
      </c>
      <c r="G68" s="28">
        <v>6.9465799999999999E-3</v>
      </c>
      <c r="H68" s="18">
        <v>7.1018999999999997</v>
      </c>
    </row>
    <row r="69" spans="1:8" x14ac:dyDescent="0.2">
      <c r="A69" s="24">
        <v>21</v>
      </c>
      <c r="B69" s="25" t="s">
        <v>324</v>
      </c>
      <c r="C69" s="25" t="s">
        <v>325</v>
      </c>
      <c r="D69" s="25" t="s">
        <v>146</v>
      </c>
      <c r="E69" s="26">
        <v>1000</v>
      </c>
      <c r="F69" s="27">
        <v>4990.3950000000004</v>
      </c>
      <c r="G69" s="28">
        <v>6.9440300000000003E-3</v>
      </c>
      <c r="H69" s="18">
        <v>7.0250000000000004</v>
      </c>
    </row>
    <row r="70" spans="1:8" x14ac:dyDescent="0.2">
      <c r="A70" s="24">
        <v>22</v>
      </c>
      <c r="B70" s="25" t="s">
        <v>326</v>
      </c>
      <c r="C70" s="25" t="s">
        <v>327</v>
      </c>
      <c r="D70" s="25" t="s">
        <v>146</v>
      </c>
      <c r="E70" s="26">
        <v>1000</v>
      </c>
      <c r="F70" s="27">
        <v>4989.38</v>
      </c>
      <c r="G70" s="28">
        <v>6.9426100000000001E-3</v>
      </c>
      <c r="H70" s="18">
        <v>7.0629999999999997</v>
      </c>
    </row>
    <row r="71" spans="1:8" ht="25.5" x14ac:dyDescent="0.2">
      <c r="A71" s="24">
        <v>23</v>
      </c>
      <c r="B71" s="25" t="s">
        <v>328</v>
      </c>
      <c r="C71" s="25" t="s">
        <v>329</v>
      </c>
      <c r="D71" s="25" t="s">
        <v>146</v>
      </c>
      <c r="E71" s="26">
        <v>1000</v>
      </c>
      <c r="F71" s="27">
        <v>4975.415</v>
      </c>
      <c r="G71" s="28">
        <v>6.9231800000000001E-3</v>
      </c>
      <c r="H71" s="18">
        <v>7.2149000000000001</v>
      </c>
    </row>
    <row r="72" spans="1:8" x14ac:dyDescent="0.2">
      <c r="A72" s="24">
        <v>24</v>
      </c>
      <c r="B72" s="25" t="s">
        <v>330</v>
      </c>
      <c r="C72" s="25" t="s">
        <v>331</v>
      </c>
      <c r="D72" s="25" t="s">
        <v>146</v>
      </c>
      <c r="E72" s="26">
        <v>1000</v>
      </c>
      <c r="F72" s="27">
        <v>4968.2449999999999</v>
      </c>
      <c r="G72" s="28">
        <v>6.9132000000000004E-3</v>
      </c>
      <c r="H72" s="18">
        <v>7.2900999999999998</v>
      </c>
    </row>
    <row r="73" spans="1:8" x14ac:dyDescent="0.2">
      <c r="A73" s="24">
        <v>25</v>
      </c>
      <c r="B73" s="25" t="s">
        <v>332</v>
      </c>
      <c r="C73" s="25" t="s">
        <v>333</v>
      </c>
      <c r="D73" s="25" t="s">
        <v>152</v>
      </c>
      <c r="E73" s="26">
        <v>1000</v>
      </c>
      <c r="F73" s="27">
        <v>4950.63</v>
      </c>
      <c r="G73" s="28">
        <v>6.8886900000000003E-3</v>
      </c>
      <c r="H73" s="18">
        <v>7.2797000000000001</v>
      </c>
    </row>
    <row r="74" spans="1:8" x14ac:dyDescent="0.2">
      <c r="A74" s="24">
        <v>26</v>
      </c>
      <c r="B74" s="25" t="s">
        <v>334</v>
      </c>
      <c r="C74" s="25" t="s">
        <v>335</v>
      </c>
      <c r="D74" s="25" t="s">
        <v>146</v>
      </c>
      <c r="E74" s="26">
        <v>1000</v>
      </c>
      <c r="F74" s="27">
        <v>4949.6850000000004</v>
      </c>
      <c r="G74" s="28">
        <v>6.8873800000000002E-3</v>
      </c>
      <c r="H74" s="18">
        <v>7.2750000000000004</v>
      </c>
    </row>
    <row r="75" spans="1:8" x14ac:dyDescent="0.2">
      <c r="A75" s="24">
        <v>27</v>
      </c>
      <c r="B75" s="25" t="s">
        <v>336</v>
      </c>
      <c r="C75" s="25" t="s">
        <v>337</v>
      </c>
      <c r="D75" s="25" t="s">
        <v>146</v>
      </c>
      <c r="E75" s="26">
        <v>1000</v>
      </c>
      <c r="F75" s="27">
        <v>4943.95</v>
      </c>
      <c r="G75" s="28">
        <v>6.8793999999999999E-3</v>
      </c>
      <c r="H75" s="18">
        <v>7.26</v>
      </c>
    </row>
    <row r="76" spans="1:8" x14ac:dyDescent="0.2">
      <c r="A76" s="24">
        <v>28</v>
      </c>
      <c r="B76" s="25" t="s">
        <v>338</v>
      </c>
      <c r="C76" s="25" t="s">
        <v>339</v>
      </c>
      <c r="D76" s="25" t="s">
        <v>146</v>
      </c>
      <c r="E76" s="26">
        <v>1000</v>
      </c>
      <c r="F76" s="27">
        <v>4935.21</v>
      </c>
      <c r="G76" s="28">
        <v>6.8672400000000001E-3</v>
      </c>
      <c r="H76" s="18">
        <v>7.26</v>
      </c>
    </row>
    <row r="77" spans="1:8" x14ac:dyDescent="0.2">
      <c r="A77" s="24">
        <v>29</v>
      </c>
      <c r="B77" s="25" t="s">
        <v>340</v>
      </c>
      <c r="C77" s="25" t="s">
        <v>341</v>
      </c>
      <c r="D77" s="25" t="s">
        <v>152</v>
      </c>
      <c r="E77" s="26">
        <v>1000</v>
      </c>
      <c r="F77" s="27">
        <v>4935.1549999999997</v>
      </c>
      <c r="G77" s="28">
        <v>6.8671599999999998E-3</v>
      </c>
      <c r="H77" s="18">
        <v>7.2666000000000004</v>
      </c>
    </row>
    <row r="78" spans="1:8" ht="25.5" x14ac:dyDescent="0.2">
      <c r="A78" s="24">
        <v>30</v>
      </c>
      <c r="B78" s="25" t="s">
        <v>342</v>
      </c>
      <c r="C78" s="25" t="s">
        <v>343</v>
      </c>
      <c r="D78" s="25" t="s">
        <v>146</v>
      </c>
      <c r="E78" s="26">
        <v>1000</v>
      </c>
      <c r="F78" s="27">
        <v>4921.3649999999998</v>
      </c>
      <c r="G78" s="28">
        <v>6.8479700000000001E-3</v>
      </c>
      <c r="H78" s="18">
        <v>7.2000999999999999</v>
      </c>
    </row>
    <row r="79" spans="1:8" x14ac:dyDescent="0.2">
      <c r="A79" s="24">
        <v>31</v>
      </c>
      <c r="B79" s="25" t="s">
        <v>344</v>
      </c>
      <c r="C79" s="25" t="s">
        <v>345</v>
      </c>
      <c r="D79" s="25" t="s">
        <v>146</v>
      </c>
      <c r="E79" s="26">
        <v>1000</v>
      </c>
      <c r="F79" s="27">
        <v>4921.3649999999998</v>
      </c>
      <c r="G79" s="28">
        <v>6.8479700000000001E-3</v>
      </c>
      <c r="H79" s="18">
        <v>7.2000999999999999</v>
      </c>
    </row>
    <row r="80" spans="1:8" x14ac:dyDescent="0.2">
      <c r="A80" s="24">
        <v>32</v>
      </c>
      <c r="B80" s="25" t="s">
        <v>261</v>
      </c>
      <c r="C80" s="25" t="s">
        <v>262</v>
      </c>
      <c r="D80" s="25" t="s">
        <v>146</v>
      </c>
      <c r="E80" s="26">
        <v>1000</v>
      </c>
      <c r="F80" s="27">
        <v>4917.2849999999999</v>
      </c>
      <c r="G80" s="28">
        <v>6.8422999999999999E-3</v>
      </c>
      <c r="H80" s="18">
        <v>7.2232000000000003</v>
      </c>
    </row>
    <row r="81" spans="1:8" x14ac:dyDescent="0.2">
      <c r="A81" s="24">
        <v>33</v>
      </c>
      <c r="B81" s="25" t="s">
        <v>346</v>
      </c>
      <c r="C81" s="25" t="s">
        <v>347</v>
      </c>
      <c r="D81" s="25" t="s">
        <v>146</v>
      </c>
      <c r="E81" s="26">
        <v>500</v>
      </c>
      <c r="F81" s="27">
        <v>2498.1025</v>
      </c>
      <c r="G81" s="28">
        <v>3.47606E-3</v>
      </c>
      <c r="H81" s="18">
        <v>6.9297000000000004</v>
      </c>
    </row>
    <row r="82" spans="1:8" x14ac:dyDescent="0.2">
      <c r="A82" s="24">
        <v>34</v>
      </c>
      <c r="B82" s="25" t="s">
        <v>348</v>
      </c>
      <c r="C82" s="25" t="s">
        <v>349</v>
      </c>
      <c r="D82" s="25" t="s">
        <v>146</v>
      </c>
      <c r="E82" s="26">
        <v>500</v>
      </c>
      <c r="F82" s="27">
        <v>2495.1174999999998</v>
      </c>
      <c r="G82" s="28">
        <v>3.4719E-3</v>
      </c>
      <c r="H82" s="18">
        <v>7.1424000000000003</v>
      </c>
    </row>
    <row r="83" spans="1:8" ht="25.5" x14ac:dyDescent="0.2">
      <c r="A83" s="24">
        <v>35</v>
      </c>
      <c r="B83" s="25" t="s">
        <v>350</v>
      </c>
      <c r="C83" s="25" t="s">
        <v>351</v>
      </c>
      <c r="D83" s="25" t="s">
        <v>146</v>
      </c>
      <c r="E83" s="26">
        <v>500</v>
      </c>
      <c r="F83" s="27">
        <v>2484.1025</v>
      </c>
      <c r="G83" s="28">
        <v>3.45657E-3</v>
      </c>
      <c r="H83" s="18">
        <v>7.2995999999999999</v>
      </c>
    </row>
    <row r="84" spans="1:8" x14ac:dyDescent="0.2">
      <c r="A84" s="16"/>
      <c r="B84" s="16"/>
      <c r="C84" s="17" t="s">
        <v>11</v>
      </c>
      <c r="D84" s="16"/>
      <c r="E84" s="16" t="s">
        <v>12</v>
      </c>
      <c r="F84" s="23">
        <v>272060.09250000003</v>
      </c>
      <c r="G84" s="20">
        <v>0.37856569000000001</v>
      </c>
      <c r="H84" s="18" t="s">
        <v>12</v>
      </c>
    </row>
    <row r="85" spans="1:8" x14ac:dyDescent="0.2">
      <c r="A85" s="16"/>
      <c r="B85" s="16"/>
      <c r="C85" s="21"/>
      <c r="D85" s="16"/>
      <c r="E85" s="16"/>
      <c r="F85" s="22"/>
      <c r="G85" s="22"/>
      <c r="H85" s="18" t="s">
        <v>12</v>
      </c>
    </row>
    <row r="86" spans="1:8" x14ac:dyDescent="0.2">
      <c r="A86" s="16"/>
      <c r="B86" s="16"/>
      <c r="C86" s="17" t="s">
        <v>92</v>
      </c>
      <c r="D86" s="16"/>
      <c r="E86" s="16"/>
      <c r="F86" s="22"/>
      <c r="G86" s="22"/>
      <c r="H86" s="18" t="s">
        <v>12</v>
      </c>
    </row>
    <row r="87" spans="1:8" ht="25.5" x14ac:dyDescent="0.2">
      <c r="A87" s="24">
        <v>1</v>
      </c>
      <c r="B87" s="25" t="s">
        <v>352</v>
      </c>
      <c r="C87" s="25" t="s">
        <v>353</v>
      </c>
      <c r="D87" s="25" t="s">
        <v>146</v>
      </c>
      <c r="E87" s="26">
        <v>3000</v>
      </c>
      <c r="F87" s="27">
        <v>14748.75</v>
      </c>
      <c r="G87" s="28">
        <v>2.0522559999999999E-2</v>
      </c>
      <c r="H87" s="18">
        <v>7.23</v>
      </c>
    </row>
    <row r="88" spans="1:8" ht="25.5" x14ac:dyDescent="0.2">
      <c r="A88" s="24">
        <v>2</v>
      </c>
      <c r="B88" s="25" t="s">
        <v>354</v>
      </c>
      <c r="C88" s="25" t="s">
        <v>355</v>
      </c>
      <c r="D88" s="25" t="s">
        <v>146</v>
      </c>
      <c r="E88" s="26">
        <v>2500</v>
      </c>
      <c r="F88" s="27">
        <v>12424.025</v>
      </c>
      <c r="G88" s="28">
        <v>1.7287759999999999E-2</v>
      </c>
      <c r="H88" s="18">
        <v>7.6969000000000003</v>
      </c>
    </row>
    <row r="89" spans="1:8" x14ac:dyDescent="0.2">
      <c r="A89" s="24">
        <v>3</v>
      </c>
      <c r="B89" s="25" t="s">
        <v>356</v>
      </c>
      <c r="C89" s="25" t="s">
        <v>357</v>
      </c>
      <c r="D89" s="25" t="s">
        <v>146</v>
      </c>
      <c r="E89" s="26">
        <v>2500</v>
      </c>
      <c r="F89" s="27">
        <v>12355.2875</v>
      </c>
      <c r="G89" s="28">
        <v>1.719211E-2</v>
      </c>
      <c r="H89" s="18">
        <v>7.5</v>
      </c>
    </row>
    <row r="90" spans="1:8" x14ac:dyDescent="0.2">
      <c r="A90" s="24">
        <v>4</v>
      </c>
      <c r="B90" s="25" t="s">
        <v>358</v>
      </c>
      <c r="C90" s="25" t="s">
        <v>359</v>
      </c>
      <c r="D90" s="25" t="s">
        <v>146</v>
      </c>
      <c r="E90" s="26">
        <v>2000</v>
      </c>
      <c r="F90" s="27">
        <v>9998.08</v>
      </c>
      <c r="G90" s="28">
        <v>1.391211E-2</v>
      </c>
      <c r="H90" s="18">
        <v>7.0149999999999997</v>
      </c>
    </row>
    <row r="91" spans="1:8" x14ac:dyDescent="0.2">
      <c r="A91" s="24">
        <v>5</v>
      </c>
      <c r="B91" s="25" t="s">
        <v>360</v>
      </c>
      <c r="C91" s="25" t="s">
        <v>361</v>
      </c>
      <c r="D91" s="25" t="s">
        <v>146</v>
      </c>
      <c r="E91" s="26">
        <v>2000</v>
      </c>
      <c r="F91" s="27">
        <v>9983.59</v>
      </c>
      <c r="G91" s="28">
        <v>1.389195E-2</v>
      </c>
      <c r="H91" s="18">
        <v>7.4999000000000002</v>
      </c>
    </row>
    <row r="92" spans="1:8" x14ac:dyDescent="0.2">
      <c r="A92" s="24">
        <v>6</v>
      </c>
      <c r="B92" s="25" t="s">
        <v>362</v>
      </c>
      <c r="C92" s="25" t="s">
        <v>363</v>
      </c>
      <c r="D92" s="25" t="s">
        <v>146</v>
      </c>
      <c r="E92" s="26">
        <v>2000</v>
      </c>
      <c r="F92" s="27">
        <v>9977.33</v>
      </c>
      <c r="G92" s="28">
        <v>1.388324E-2</v>
      </c>
      <c r="H92" s="18">
        <v>7.5396000000000001</v>
      </c>
    </row>
    <row r="93" spans="1:8" x14ac:dyDescent="0.2">
      <c r="A93" s="24">
        <v>7</v>
      </c>
      <c r="B93" s="25" t="s">
        <v>364</v>
      </c>
      <c r="C93" s="25" t="s">
        <v>365</v>
      </c>
      <c r="D93" s="25" t="s">
        <v>146</v>
      </c>
      <c r="E93" s="26">
        <v>2000</v>
      </c>
      <c r="F93" s="27">
        <v>9922.08</v>
      </c>
      <c r="G93" s="28">
        <v>1.380636E-2</v>
      </c>
      <c r="H93" s="18">
        <v>7.3498000000000001</v>
      </c>
    </row>
    <row r="94" spans="1:8" x14ac:dyDescent="0.2">
      <c r="A94" s="24">
        <v>8</v>
      </c>
      <c r="B94" s="25" t="s">
        <v>366</v>
      </c>
      <c r="C94" s="25" t="s">
        <v>367</v>
      </c>
      <c r="D94" s="25" t="s">
        <v>146</v>
      </c>
      <c r="E94" s="26">
        <v>2000</v>
      </c>
      <c r="F94" s="27">
        <v>9882.23</v>
      </c>
      <c r="G94" s="28">
        <v>1.375091E-2</v>
      </c>
      <c r="H94" s="18">
        <v>7.25</v>
      </c>
    </row>
    <row r="95" spans="1:8" x14ac:dyDescent="0.2">
      <c r="A95" s="24">
        <v>9</v>
      </c>
      <c r="B95" s="25" t="s">
        <v>368</v>
      </c>
      <c r="C95" s="25" t="s">
        <v>369</v>
      </c>
      <c r="D95" s="25" t="s">
        <v>146</v>
      </c>
      <c r="E95" s="26">
        <v>2000</v>
      </c>
      <c r="F95" s="27">
        <v>9874.06</v>
      </c>
      <c r="G95" s="28">
        <v>1.373954E-2</v>
      </c>
      <c r="H95" s="18">
        <v>7.2740999999999998</v>
      </c>
    </row>
    <row r="96" spans="1:8" x14ac:dyDescent="0.2">
      <c r="A96" s="24">
        <v>10</v>
      </c>
      <c r="B96" s="25" t="s">
        <v>370</v>
      </c>
      <c r="C96" s="25" t="s">
        <v>371</v>
      </c>
      <c r="D96" s="25" t="s">
        <v>146</v>
      </c>
      <c r="E96" s="26">
        <v>2000</v>
      </c>
      <c r="F96" s="27">
        <v>9855.7199999999993</v>
      </c>
      <c r="G96" s="28">
        <v>1.371402E-2</v>
      </c>
      <c r="H96" s="18">
        <v>7.32</v>
      </c>
    </row>
    <row r="97" spans="1:8" ht="25.5" x14ac:dyDescent="0.2">
      <c r="A97" s="24">
        <v>11</v>
      </c>
      <c r="B97" s="25" t="s">
        <v>372</v>
      </c>
      <c r="C97" s="25" t="s">
        <v>373</v>
      </c>
      <c r="D97" s="25" t="s">
        <v>146</v>
      </c>
      <c r="E97" s="26">
        <v>2000</v>
      </c>
      <c r="F97" s="27">
        <v>9854.65</v>
      </c>
      <c r="G97" s="28">
        <v>1.3712530000000001E-2</v>
      </c>
      <c r="H97" s="18">
        <v>7.2750000000000004</v>
      </c>
    </row>
    <row r="98" spans="1:8" ht="25.5" x14ac:dyDescent="0.2">
      <c r="A98" s="24">
        <v>12</v>
      </c>
      <c r="B98" s="25" t="s">
        <v>374</v>
      </c>
      <c r="C98" s="25" t="s">
        <v>375</v>
      </c>
      <c r="D98" s="25" t="s">
        <v>146</v>
      </c>
      <c r="E98" s="26">
        <v>2000</v>
      </c>
      <c r="F98" s="27">
        <v>9844.01</v>
      </c>
      <c r="G98" s="28">
        <v>1.369773E-2</v>
      </c>
      <c r="H98" s="18">
        <v>7.23</v>
      </c>
    </row>
    <row r="99" spans="1:8" ht="25.5" x14ac:dyDescent="0.2">
      <c r="A99" s="24">
        <v>13</v>
      </c>
      <c r="B99" s="25" t="s">
        <v>376</v>
      </c>
      <c r="C99" s="25" t="s">
        <v>377</v>
      </c>
      <c r="D99" s="25" t="s">
        <v>146</v>
      </c>
      <c r="E99" s="26">
        <v>2000</v>
      </c>
      <c r="F99" s="27">
        <v>9830.7000000000007</v>
      </c>
      <c r="G99" s="28">
        <v>1.3679200000000001E-2</v>
      </c>
      <c r="H99" s="18">
        <v>7.2253999999999996</v>
      </c>
    </row>
    <row r="100" spans="1:8" ht="25.5" x14ac:dyDescent="0.2">
      <c r="A100" s="24">
        <v>14</v>
      </c>
      <c r="B100" s="25" t="s">
        <v>378</v>
      </c>
      <c r="C100" s="25" t="s">
        <v>379</v>
      </c>
      <c r="D100" s="25" t="s">
        <v>146</v>
      </c>
      <c r="E100" s="26">
        <v>1500</v>
      </c>
      <c r="F100" s="27">
        <v>7478.0024999999996</v>
      </c>
      <c r="G100" s="28">
        <v>1.040548E-2</v>
      </c>
      <c r="H100" s="18">
        <v>7.67</v>
      </c>
    </row>
    <row r="101" spans="1:8" ht="25.5" x14ac:dyDescent="0.2">
      <c r="A101" s="24">
        <v>15</v>
      </c>
      <c r="B101" s="25" t="s">
        <v>380</v>
      </c>
      <c r="C101" s="25" t="s">
        <v>381</v>
      </c>
      <c r="D101" s="25" t="s">
        <v>146</v>
      </c>
      <c r="E101" s="26">
        <v>1500</v>
      </c>
      <c r="F101" s="27">
        <v>7430.94</v>
      </c>
      <c r="G101" s="28">
        <v>1.033999E-2</v>
      </c>
      <c r="H101" s="18">
        <v>7.7100999999999997</v>
      </c>
    </row>
    <row r="102" spans="1:8" x14ac:dyDescent="0.2">
      <c r="A102" s="24">
        <v>16</v>
      </c>
      <c r="B102" s="25" t="s">
        <v>382</v>
      </c>
      <c r="C102" s="25" t="s">
        <v>383</v>
      </c>
      <c r="D102" s="25" t="s">
        <v>146</v>
      </c>
      <c r="E102" s="26">
        <v>1500</v>
      </c>
      <c r="F102" s="27">
        <v>7389.1274999999996</v>
      </c>
      <c r="G102" s="28">
        <v>1.0281810000000001E-2</v>
      </c>
      <c r="H102" s="18">
        <v>7.5025000000000004</v>
      </c>
    </row>
    <row r="103" spans="1:8" ht="25.5" x14ac:dyDescent="0.2">
      <c r="A103" s="24">
        <v>17</v>
      </c>
      <c r="B103" s="25" t="s">
        <v>384</v>
      </c>
      <c r="C103" s="25" t="s">
        <v>385</v>
      </c>
      <c r="D103" s="25" t="s">
        <v>149</v>
      </c>
      <c r="E103" s="26">
        <v>1500</v>
      </c>
      <c r="F103" s="27">
        <v>7372.86</v>
      </c>
      <c r="G103" s="28">
        <v>1.025917E-2</v>
      </c>
      <c r="H103" s="18">
        <v>7.2350000000000003</v>
      </c>
    </row>
    <row r="104" spans="1:8" ht="25.5" x14ac:dyDescent="0.2">
      <c r="A104" s="24">
        <v>18</v>
      </c>
      <c r="B104" s="25" t="s">
        <v>386</v>
      </c>
      <c r="C104" s="25" t="s">
        <v>387</v>
      </c>
      <c r="D104" s="25" t="s">
        <v>146</v>
      </c>
      <c r="E104" s="26">
        <v>1000</v>
      </c>
      <c r="F104" s="27">
        <v>4947.41</v>
      </c>
      <c r="G104" s="28">
        <v>6.88421E-3</v>
      </c>
      <c r="H104" s="18">
        <v>7.76</v>
      </c>
    </row>
    <row r="105" spans="1:8" x14ac:dyDescent="0.2">
      <c r="A105" s="24">
        <v>19</v>
      </c>
      <c r="B105" s="25" t="s">
        <v>388</v>
      </c>
      <c r="C105" s="25" t="s">
        <v>389</v>
      </c>
      <c r="D105" s="25" t="s">
        <v>146</v>
      </c>
      <c r="E105" s="26">
        <v>1000</v>
      </c>
      <c r="F105" s="27">
        <v>4943.92</v>
      </c>
      <c r="G105" s="28">
        <v>6.8793600000000002E-3</v>
      </c>
      <c r="H105" s="18">
        <v>7.2641</v>
      </c>
    </row>
    <row r="106" spans="1:8" x14ac:dyDescent="0.2">
      <c r="A106" s="24">
        <v>20</v>
      </c>
      <c r="B106" s="25" t="s">
        <v>390</v>
      </c>
      <c r="C106" s="25" t="s">
        <v>391</v>
      </c>
      <c r="D106" s="25" t="s">
        <v>146</v>
      </c>
      <c r="E106" s="26">
        <v>1000</v>
      </c>
      <c r="F106" s="27">
        <v>4941.0950000000003</v>
      </c>
      <c r="G106" s="28">
        <v>6.8754300000000001E-3</v>
      </c>
      <c r="H106" s="18">
        <v>7.5025000000000004</v>
      </c>
    </row>
    <row r="107" spans="1:8" x14ac:dyDescent="0.2">
      <c r="A107" s="24">
        <v>21</v>
      </c>
      <c r="B107" s="25" t="s">
        <v>392</v>
      </c>
      <c r="C107" s="25" t="s">
        <v>393</v>
      </c>
      <c r="D107" s="25" t="s">
        <v>146</v>
      </c>
      <c r="E107" s="26">
        <v>1000</v>
      </c>
      <c r="F107" s="27">
        <v>4940.585</v>
      </c>
      <c r="G107" s="28">
        <v>6.87472E-3</v>
      </c>
      <c r="H107" s="18">
        <v>7.44</v>
      </c>
    </row>
    <row r="108" spans="1:8" x14ac:dyDescent="0.2">
      <c r="A108" s="24">
        <v>22</v>
      </c>
      <c r="B108" s="25" t="s">
        <v>394</v>
      </c>
      <c r="C108" s="25" t="s">
        <v>395</v>
      </c>
      <c r="D108" s="25" t="s">
        <v>146</v>
      </c>
      <c r="E108" s="26">
        <v>1000</v>
      </c>
      <c r="F108" s="27">
        <v>4928.67</v>
      </c>
      <c r="G108" s="28">
        <v>6.8581400000000004E-3</v>
      </c>
      <c r="H108" s="18">
        <v>7.44</v>
      </c>
    </row>
    <row r="109" spans="1:8" x14ac:dyDescent="0.2">
      <c r="A109" s="24">
        <v>23</v>
      </c>
      <c r="B109" s="25" t="s">
        <v>396</v>
      </c>
      <c r="C109" s="25" t="s">
        <v>397</v>
      </c>
      <c r="D109" s="25" t="s">
        <v>146</v>
      </c>
      <c r="E109" s="26">
        <v>1000</v>
      </c>
      <c r="F109" s="27">
        <v>4927.4250000000002</v>
      </c>
      <c r="G109" s="28">
        <v>6.8564000000000003E-3</v>
      </c>
      <c r="H109" s="18">
        <v>7.2649999999999997</v>
      </c>
    </row>
    <row r="110" spans="1:8" ht="25.5" x14ac:dyDescent="0.2">
      <c r="A110" s="24">
        <v>24</v>
      </c>
      <c r="B110" s="25" t="s">
        <v>398</v>
      </c>
      <c r="C110" s="25" t="s">
        <v>399</v>
      </c>
      <c r="D110" s="25" t="s">
        <v>149</v>
      </c>
      <c r="E110" s="26">
        <v>1000</v>
      </c>
      <c r="F110" s="27">
        <v>4920.99</v>
      </c>
      <c r="G110" s="28">
        <v>6.8474499999999997E-3</v>
      </c>
      <c r="H110" s="18">
        <v>7.2350000000000003</v>
      </c>
    </row>
    <row r="111" spans="1:8" ht="25.5" x14ac:dyDescent="0.2">
      <c r="A111" s="24">
        <v>25</v>
      </c>
      <c r="B111" s="25" t="s">
        <v>400</v>
      </c>
      <c r="C111" s="25" t="s">
        <v>401</v>
      </c>
      <c r="D111" s="25" t="s">
        <v>146</v>
      </c>
      <c r="E111" s="26">
        <v>1000</v>
      </c>
      <c r="F111" s="27">
        <v>4911.0950000000003</v>
      </c>
      <c r="G111" s="28">
        <v>6.83368E-3</v>
      </c>
      <c r="H111" s="18">
        <v>7.5949999999999998</v>
      </c>
    </row>
    <row r="112" spans="1:8" ht="25.5" x14ac:dyDescent="0.2">
      <c r="A112" s="24">
        <v>26</v>
      </c>
      <c r="B112" s="25" t="s">
        <v>402</v>
      </c>
      <c r="C112" s="25" t="s">
        <v>403</v>
      </c>
      <c r="D112" s="25" t="s">
        <v>146</v>
      </c>
      <c r="E112" s="26">
        <v>1000</v>
      </c>
      <c r="F112" s="27">
        <v>4910.96</v>
      </c>
      <c r="G112" s="28">
        <v>6.8334900000000002E-3</v>
      </c>
      <c r="H112" s="18">
        <v>7.6069000000000004</v>
      </c>
    </row>
    <row r="113" spans="1:8" ht="25.5" x14ac:dyDescent="0.2">
      <c r="A113" s="24">
        <v>27</v>
      </c>
      <c r="B113" s="25" t="s">
        <v>404</v>
      </c>
      <c r="C113" s="25" t="s">
        <v>405</v>
      </c>
      <c r="D113" s="25" t="s">
        <v>146</v>
      </c>
      <c r="E113" s="26">
        <v>600</v>
      </c>
      <c r="F113" s="27">
        <v>2960.3580000000002</v>
      </c>
      <c r="G113" s="28">
        <v>4.1192700000000004E-3</v>
      </c>
      <c r="H113" s="18">
        <v>7.2953999999999999</v>
      </c>
    </row>
    <row r="114" spans="1:8" x14ac:dyDescent="0.2">
      <c r="A114" s="24">
        <v>28</v>
      </c>
      <c r="B114" s="25" t="s">
        <v>406</v>
      </c>
      <c r="C114" s="25" t="s">
        <v>407</v>
      </c>
      <c r="D114" s="25" t="s">
        <v>146</v>
      </c>
      <c r="E114" s="26">
        <v>500</v>
      </c>
      <c r="F114" s="27">
        <v>2494.83</v>
      </c>
      <c r="G114" s="28">
        <v>3.4715000000000002E-3</v>
      </c>
      <c r="H114" s="18">
        <v>7.5647000000000002</v>
      </c>
    </row>
    <row r="115" spans="1:8" x14ac:dyDescent="0.2">
      <c r="A115" s="24">
        <v>29</v>
      </c>
      <c r="B115" s="25" t="s">
        <v>408</v>
      </c>
      <c r="C115" s="25" t="s">
        <v>409</v>
      </c>
      <c r="D115" s="25" t="s">
        <v>146</v>
      </c>
      <c r="E115" s="26">
        <v>500</v>
      </c>
      <c r="F115" s="27">
        <v>2478.27</v>
      </c>
      <c r="G115" s="28">
        <v>3.44846E-3</v>
      </c>
      <c r="H115" s="18">
        <v>7.6199000000000003</v>
      </c>
    </row>
    <row r="116" spans="1:8" x14ac:dyDescent="0.2">
      <c r="A116" s="24">
        <v>30</v>
      </c>
      <c r="B116" s="25" t="s">
        <v>410</v>
      </c>
      <c r="C116" s="25" t="s">
        <v>411</v>
      </c>
      <c r="D116" s="25" t="s">
        <v>146</v>
      </c>
      <c r="E116" s="26">
        <v>500</v>
      </c>
      <c r="F116" s="27">
        <v>2473.4225000000001</v>
      </c>
      <c r="G116" s="28">
        <v>3.4417100000000002E-3</v>
      </c>
      <c r="H116" s="18">
        <v>7.69</v>
      </c>
    </row>
    <row r="117" spans="1:8" x14ac:dyDescent="0.2">
      <c r="A117" s="24">
        <v>31</v>
      </c>
      <c r="B117" s="25" t="s">
        <v>412</v>
      </c>
      <c r="C117" s="25" t="s">
        <v>413</v>
      </c>
      <c r="D117" s="25" t="s">
        <v>146</v>
      </c>
      <c r="E117" s="26">
        <v>500</v>
      </c>
      <c r="F117" s="27">
        <v>2463.0725000000002</v>
      </c>
      <c r="G117" s="28">
        <v>3.4273099999999998E-3</v>
      </c>
      <c r="H117" s="18">
        <v>7.4962999999999997</v>
      </c>
    </row>
    <row r="118" spans="1:8" x14ac:dyDescent="0.2">
      <c r="A118" s="16"/>
      <c r="B118" s="16"/>
      <c r="C118" s="17" t="s">
        <v>11</v>
      </c>
      <c r="D118" s="16"/>
      <c r="E118" s="16" t="s">
        <v>12</v>
      </c>
      <c r="F118" s="23">
        <v>225463.54550000001</v>
      </c>
      <c r="G118" s="20">
        <v>0.3137276</v>
      </c>
      <c r="H118" s="18" t="s">
        <v>12</v>
      </c>
    </row>
    <row r="119" spans="1:8" x14ac:dyDescent="0.2">
      <c r="A119" s="16"/>
      <c r="B119" s="16"/>
      <c r="C119" s="21"/>
      <c r="D119" s="16"/>
      <c r="E119" s="16"/>
      <c r="F119" s="22"/>
      <c r="G119" s="22"/>
      <c r="H119" s="18" t="s">
        <v>12</v>
      </c>
    </row>
    <row r="120" spans="1:8" x14ac:dyDescent="0.2">
      <c r="A120" s="16"/>
      <c r="B120" s="16"/>
      <c r="C120" s="17" t="s">
        <v>93</v>
      </c>
      <c r="D120" s="16"/>
      <c r="E120" s="16"/>
      <c r="F120" s="22"/>
      <c r="G120" s="22"/>
      <c r="H120" s="18" t="s">
        <v>12</v>
      </c>
    </row>
    <row r="121" spans="1:8" x14ac:dyDescent="0.2">
      <c r="A121" s="24">
        <v>1</v>
      </c>
      <c r="B121" s="25" t="s">
        <v>414</v>
      </c>
      <c r="C121" s="25" t="s">
        <v>415</v>
      </c>
      <c r="D121" s="25" t="s">
        <v>75</v>
      </c>
      <c r="E121" s="26">
        <v>15000000</v>
      </c>
      <c r="F121" s="27">
        <v>14898.405000000001</v>
      </c>
      <c r="G121" s="28">
        <v>2.0730809999999999E-2</v>
      </c>
      <c r="H121" s="18">
        <v>6.55</v>
      </c>
    </row>
    <row r="122" spans="1:8" x14ac:dyDescent="0.2">
      <c r="A122" s="24">
        <v>2</v>
      </c>
      <c r="B122" s="25" t="s">
        <v>416</v>
      </c>
      <c r="C122" s="25" t="s">
        <v>417</v>
      </c>
      <c r="D122" s="25" t="s">
        <v>75</v>
      </c>
      <c r="E122" s="26">
        <v>10000000</v>
      </c>
      <c r="F122" s="27">
        <v>9981.67</v>
      </c>
      <c r="G122" s="28">
        <v>1.388928E-2</v>
      </c>
      <c r="H122" s="18">
        <v>6.7042000000000002</v>
      </c>
    </row>
    <row r="123" spans="1:8" x14ac:dyDescent="0.2">
      <c r="A123" s="24">
        <v>3</v>
      </c>
      <c r="B123" s="25" t="s">
        <v>418</v>
      </c>
      <c r="C123" s="25" t="s">
        <v>419</v>
      </c>
      <c r="D123" s="25" t="s">
        <v>75</v>
      </c>
      <c r="E123" s="26">
        <v>10000000</v>
      </c>
      <c r="F123" s="27">
        <v>9957.3799999999992</v>
      </c>
      <c r="G123" s="28">
        <v>1.385548E-2</v>
      </c>
      <c r="H123" s="18">
        <v>6.51</v>
      </c>
    </row>
    <row r="124" spans="1:8" x14ac:dyDescent="0.2">
      <c r="A124" s="24">
        <v>4</v>
      </c>
      <c r="B124" s="25" t="s">
        <v>420</v>
      </c>
      <c r="C124" s="25" t="s">
        <v>421</v>
      </c>
      <c r="D124" s="25" t="s">
        <v>75</v>
      </c>
      <c r="E124" s="26">
        <v>10000000</v>
      </c>
      <c r="F124" s="27">
        <v>9919.89</v>
      </c>
      <c r="G124" s="28">
        <v>1.3803309999999999E-2</v>
      </c>
      <c r="H124" s="18">
        <v>6.55</v>
      </c>
    </row>
    <row r="125" spans="1:8" x14ac:dyDescent="0.2">
      <c r="A125" s="24">
        <v>5</v>
      </c>
      <c r="B125" s="25" t="s">
        <v>422</v>
      </c>
      <c r="C125" s="25" t="s">
        <v>423</v>
      </c>
      <c r="D125" s="25" t="s">
        <v>75</v>
      </c>
      <c r="E125" s="26">
        <v>10000000</v>
      </c>
      <c r="F125" s="27">
        <v>9919.89</v>
      </c>
      <c r="G125" s="28">
        <v>1.3803309999999999E-2</v>
      </c>
      <c r="H125" s="18">
        <v>6.55</v>
      </c>
    </row>
    <row r="126" spans="1:8" x14ac:dyDescent="0.2">
      <c r="A126" s="24">
        <v>6</v>
      </c>
      <c r="B126" s="25" t="s">
        <v>424</v>
      </c>
      <c r="C126" s="25" t="s">
        <v>425</v>
      </c>
      <c r="D126" s="25" t="s">
        <v>75</v>
      </c>
      <c r="E126" s="26">
        <v>10000000</v>
      </c>
      <c r="F126" s="27">
        <v>9908.48</v>
      </c>
      <c r="G126" s="28">
        <v>1.378743E-2</v>
      </c>
      <c r="H126" s="18">
        <v>6.4832999999999998</v>
      </c>
    </row>
    <row r="127" spans="1:8" x14ac:dyDescent="0.2">
      <c r="A127" s="24">
        <v>7</v>
      </c>
      <c r="B127" s="25" t="s">
        <v>426</v>
      </c>
      <c r="C127" s="25" t="s">
        <v>427</v>
      </c>
      <c r="D127" s="25" t="s">
        <v>75</v>
      </c>
      <c r="E127" s="26">
        <v>2000000</v>
      </c>
      <c r="F127" s="27">
        <v>1991.4760000000001</v>
      </c>
      <c r="G127" s="28">
        <v>2.7710999999999999E-3</v>
      </c>
      <c r="H127" s="18">
        <v>6.51</v>
      </c>
    </row>
    <row r="128" spans="1:8" x14ac:dyDescent="0.2">
      <c r="A128" s="16"/>
      <c r="B128" s="16"/>
      <c r="C128" s="17" t="s">
        <v>11</v>
      </c>
      <c r="D128" s="16"/>
      <c r="E128" s="16" t="s">
        <v>12</v>
      </c>
      <c r="F128" s="23">
        <v>66577.191000000006</v>
      </c>
      <c r="G128" s="20">
        <v>9.2640719999999996E-2</v>
      </c>
      <c r="H128" s="18" t="s">
        <v>12</v>
      </c>
    </row>
    <row r="129" spans="1:17" x14ac:dyDescent="0.2">
      <c r="A129" s="16"/>
      <c r="B129" s="16"/>
      <c r="C129" s="21"/>
      <c r="D129" s="16"/>
      <c r="E129" s="16"/>
      <c r="F129" s="22"/>
      <c r="G129" s="22"/>
      <c r="H129" s="18" t="s">
        <v>12</v>
      </c>
    </row>
    <row r="130" spans="1:17" x14ac:dyDescent="0.2">
      <c r="A130" s="16"/>
      <c r="B130" s="16"/>
      <c r="C130" s="17" t="s">
        <v>94</v>
      </c>
      <c r="D130" s="16"/>
      <c r="E130" s="16"/>
      <c r="F130" s="22"/>
      <c r="G130" s="22"/>
      <c r="H130" s="18" t="s">
        <v>12</v>
      </c>
    </row>
    <row r="131" spans="1:17" x14ac:dyDescent="0.2">
      <c r="A131" s="24">
        <v>1</v>
      </c>
      <c r="B131" s="25"/>
      <c r="C131" s="25" t="s">
        <v>428</v>
      </c>
      <c r="D131" s="25"/>
      <c r="E131" s="29"/>
      <c r="F131" s="27">
        <v>70326.576274999999</v>
      </c>
      <c r="G131" s="28">
        <v>9.7857899999999998E-2</v>
      </c>
      <c r="H131" s="18">
        <v>6.68</v>
      </c>
    </row>
    <row r="132" spans="1:17" x14ac:dyDescent="0.2">
      <c r="A132" s="24">
        <v>2</v>
      </c>
      <c r="B132" s="25"/>
      <c r="C132" s="25" t="s">
        <v>95</v>
      </c>
      <c r="D132" s="25"/>
      <c r="E132" s="29"/>
      <c r="F132" s="27">
        <v>34017.058437079002</v>
      </c>
      <c r="G132" s="28">
        <v>4.7333989999999999E-2</v>
      </c>
      <c r="H132" s="18">
        <v>6.59</v>
      </c>
    </row>
    <row r="133" spans="1:17" x14ac:dyDescent="0.2">
      <c r="A133" s="16"/>
      <c r="B133" s="16"/>
      <c r="C133" s="17" t="s">
        <v>11</v>
      </c>
      <c r="D133" s="16"/>
      <c r="E133" s="16" t="s">
        <v>12</v>
      </c>
      <c r="F133" s="23">
        <v>104343.634712079</v>
      </c>
      <c r="G133" s="20">
        <v>0.14519188999999999</v>
      </c>
      <c r="H133" s="18" t="s">
        <v>12</v>
      </c>
    </row>
    <row r="134" spans="1:17" x14ac:dyDescent="0.2">
      <c r="A134" s="16"/>
      <c r="B134" s="16"/>
      <c r="C134" s="21"/>
      <c r="D134" s="16"/>
      <c r="E134" s="16"/>
      <c r="F134" s="22"/>
      <c r="G134" s="22"/>
      <c r="H134" s="18" t="s">
        <v>12</v>
      </c>
    </row>
    <row r="135" spans="1:17" x14ac:dyDescent="0.2">
      <c r="A135" s="16"/>
      <c r="B135" s="16"/>
      <c r="C135" s="17" t="s">
        <v>96</v>
      </c>
      <c r="D135" s="16"/>
      <c r="E135" s="16"/>
      <c r="F135" s="23">
        <v>668444.46371207898</v>
      </c>
      <c r="G135" s="20">
        <v>0.93012589999999995</v>
      </c>
      <c r="H135" s="18" t="s">
        <v>12</v>
      </c>
    </row>
    <row r="136" spans="1:17" x14ac:dyDescent="0.2">
      <c r="A136" s="16"/>
      <c r="B136" s="16"/>
      <c r="C136" s="22"/>
      <c r="D136" s="16"/>
      <c r="E136" s="16"/>
      <c r="F136" s="16"/>
      <c r="G136" s="16"/>
      <c r="H136" s="18" t="s">
        <v>12</v>
      </c>
    </row>
    <row r="137" spans="1:17" x14ac:dyDescent="0.2">
      <c r="A137" s="16"/>
      <c r="B137" s="16"/>
      <c r="C137" s="17" t="s">
        <v>97</v>
      </c>
      <c r="D137" s="16"/>
      <c r="E137" s="16"/>
      <c r="F137" s="16"/>
      <c r="G137" s="16"/>
      <c r="H137" s="18" t="s">
        <v>12</v>
      </c>
    </row>
    <row r="138" spans="1:17" x14ac:dyDescent="0.2">
      <c r="A138" s="16"/>
      <c r="B138" s="16"/>
      <c r="C138" s="17" t="s">
        <v>98</v>
      </c>
      <c r="D138" s="16"/>
      <c r="E138" s="16"/>
      <c r="F138" s="16"/>
      <c r="G138" s="16"/>
      <c r="H138" s="18" t="s">
        <v>12</v>
      </c>
    </row>
    <row r="139" spans="1:17" x14ac:dyDescent="0.2">
      <c r="A139" s="16"/>
      <c r="B139" s="16"/>
      <c r="C139" s="17" t="s">
        <v>11</v>
      </c>
      <c r="D139" s="16"/>
      <c r="E139" s="16" t="s">
        <v>12</v>
      </c>
      <c r="F139" s="19" t="s">
        <v>13</v>
      </c>
      <c r="G139" s="20">
        <v>0</v>
      </c>
      <c r="H139" s="18" t="s">
        <v>12</v>
      </c>
    </row>
    <row r="140" spans="1:17" x14ac:dyDescent="0.2">
      <c r="A140" s="30"/>
      <c r="B140" s="30"/>
      <c r="C140" s="31"/>
      <c r="D140" s="30"/>
      <c r="E140" s="30"/>
      <c r="F140" s="32"/>
      <c r="G140" s="32"/>
      <c r="H140" s="18" t="s">
        <v>12</v>
      </c>
    </row>
    <row r="141" spans="1:17" x14ac:dyDescent="0.2">
      <c r="A141" s="30"/>
      <c r="B141" s="30"/>
      <c r="C141" s="33" t="s">
        <v>579</v>
      </c>
      <c r="D141" s="30"/>
      <c r="E141" s="30"/>
      <c r="F141" s="32"/>
      <c r="G141" s="32"/>
      <c r="H141" s="34"/>
      <c r="K141" s="35"/>
      <c r="L141" s="35"/>
      <c r="M141" s="35"/>
      <c r="N141" s="35"/>
      <c r="O141" s="36"/>
      <c r="P141" s="36"/>
      <c r="Q141" s="36"/>
    </row>
    <row r="142" spans="1:17" ht="25.5" x14ac:dyDescent="0.2">
      <c r="A142" s="37">
        <v>1</v>
      </c>
      <c r="B142" s="38" t="s">
        <v>99</v>
      </c>
      <c r="C142" s="38" t="s">
        <v>100</v>
      </c>
      <c r="D142" s="38"/>
      <c r="E142" s="39">
        <v>13479.374400000001</v>
      </c>
      <c r="F142" s="34">
        <v>1413.136284334</v>
      </c>
      <c r="G142" s="40">
        <v>1.96635E-3</v>
      </c>
      <c r="H142" s="18"/>
    </row>
    <row r="143" spans="1:17" x14ac:dyDescent="0.2">
      <c r="A143" s="30"/>
      <c r="B143" s="30"/>
      <c r="C143" s="33" t="s">
        <v>11</v>
      </c>
      <c r="D143" s="30"/>
      <c r="E143" s="30" t="s">
        <v>12</v>
      </c>
      <c r="F143" s="41">
        <f>SUM(F142)</f>
        <v>1413.136284334</v>
      </c>
      <c r="G143" s="42">
        <f>SUM(G142)</f>
        <v>1.96635E-3</v>
      </c>
      <c r="H143" s="18" t="s">
        <v>12</v>
      </c>
    </row>
    <row r="144" spans="1:17" x14ac:dyDescent="0.2">
      <c r="A144" s="16"/>
      <c r="B144" s="16"/>
      <c r="C144" s="21"/>
      <c r="D144" s="16"/>
      <c r="E144" s="16"/>
      <c r="F144" s="22"/>
      <c r="G144" s="22"/>
      <c r="H144" s="18" t="s">
        <v>12</v>
      </c>
    </row>
    <row r="145" spans="1:8" x14ac:dyDescent="0.2">
      <c r="A145" s="16"/>
      <c r="B145" s="16"/>
      <c r="C145" s="17" t="s">
        <v>101</v>
      </c>
      <c r="D145" s="16"/>
      <c r="E145" s="16"/>
      <c r="F145" s="16"/>
      <c r="G145" s="16"/>
      <c r="H145" s="18" t="s">
        <v>12</v>
      </c>
    </row>
    <row r="146" spans="1:8" x14ac:dyDescent="0.2">
      <c r="A146" s="16"/>
      <c r="B146" s="16"/>
      <c r="C146" s="17" t="s">
        <v>102</v>
      </c>
      <c r="D146" s="16"/>
      <c r="E146" s="16"/>
      <c r="F146" s="16"/>
      <c r="G146" s="16"/>
      <c r="H146" s="18" t="s">
        <v>12</v>
      </c>
    </row>
    <row r="147" spans="1:8" x14ac:dyDescent="0.2">
      <c r="A147" s="16"/>
      <c r="B147" s="16"/>
      <c r="C147" s="17" t="s">
        <v>11</v>
      </c>
      <c r="D147" s="16"/>
      <c r="E147" s="16" t="s">
        <v>12</v>
      </c>
      <c r="F147" s="19" t="s">
        <v>13</v>
      </c>
      <c r="G147" s="20">
        <v>0</v>
      </c>
      <c r="H147" s="18" t="s">
        <v>12</v>
      </c>
    </row>
    <row r="148" spans="1:8" x14ac:dyDescent="0.2">
      <c r="A148" s="16"/>
      <c r="B148" s="16"/>
      <c r="C148" s="21"/>
      <c r="D148" s="16"/>
      <c r="E148" s="16"/>
      <c r="F148" s="22"/>
      <c r="G148" s="22"/>
      <c r="H148" s="18" t="s">
        <v>12</v>
      </c>
    </row>
    <row r="149" spans="1:8" x14ac:dyDescent="0.2">
      <c r="A149" s="16"/>
      <c r="B149" s="16"/>
      <c r="C149" s="17" t="s">
        <v>103</v>
      </c>
      <c r="D149" s="16"/>
      <c r="E149" s="16"/>
      <c r="F149" s="22"/>
      <c r="G149" s="22"/>
      <c r="H149" s="18" t="s">
        <v>12</v>
      </c>
    </row>
    <row r="150" spans="1:8" x14ac:dyDescent="0.2">
      <c r="A150" s="16"/>
      <c r="B150" s="16"/>
      <c r="C150" s="17" t="s">
        <v>11</v>
      </c>
      <c r="D150" s="16"/>
      <c r="E150" s="16" t="s">
        <v>12</v>
      </c>
      <c r="F150" s="19" t="s">
        <v>13</v>
      </c>
      <c r="G150" s="20">
        <v>0</v>
      </c>
      <c r="H150" s="18" t="s">
        <v>12</v>
      </c>
    </row>
    <row r="151" spans="1:8" x14ac:dyDescent="0.2">
      <c r="A151" s="16"/>
      <c r="B151" s="16"/>
      <c r="C151" s="21"/>
      <c r="D151" s="16"/>
      <c r="E151" s="16"/>
      <c r="F151" s="22"/>
      <c r="G151" s="22"/>
      <c r="H151" s="18" t="s">
        <v>12</v>
      </c>
    </row>
    <row r="152" spans="1:8" x14ac:dyDescent="0.2">
      <c r="A152" s="29"/>
      <c r="B152" s="25"/>
      <c r="C152" s="25" t="s">
        <v>104</v>
      </c>
      <c r="D152" s="25"/>
      <c r="E152" s="29"/>
      <c r="F152" s="27">
        <v>3328.4750659570227</v>
      </c>
      <c r="G152" s="28">
        <v>4.6315000000000002E-3</v>
      </c>
      <c r="H152" s="18" t="s">
        <v>12</v>
      </c>
    </row>
    <row r="153" spans="1:8" x14ac:dyDescent="0.2">
      <c r="A153" s="21"/>
      <c r="B153" s="21"/>
      <c r="C153" s="17" t="s">
        <v>105</v>
      </c>
      <c r="D153" s="22"/>
      <c r="E153" s="22"/>
      <c r="F153" s="23">
        <v>718660.21406237001</v>
      </c>
      <c r="G153" s="43">
        <v>1.0000000200000001</v>
      </c>
      <c r="H153" s="18" t="s">
        <v>12</v>
      </c>
    </row>
    <row r="154" spans="1:8" x14ac:dyDescent="0.2">
      <c r="A154" s="44"/>
      <c r="B154" s="44"/>
      <c r="C154" s="44"/>
      <c r="D154" s="45"/>
      <c r="E154" s="45"/>
      <c r="F154" s="45"/>
      <c r="G154" s="45"/>
    </row>
    <row r="155" spans="1:8" x14ac:dyDescent="0.2">
      <c r="A155" s="46"/>
      <c r="B155" s="172" t="s">
        <v>580</v>
      </c>
      <c r="C155" s="172"/>
      <c r="D155" s="172"/>
      <c r="E155" s="172"/>
      <c r="F155" s="172"/>
      <c r="G155" s="172"/>
      <c r="H155" s="172"/>
    </row>
    <row r="156" spans="1:8" x14ac:dyDescent="0.2">
      <c r="A156" s="46"/>
      <c r="B156" s="172" t="s">
        <v>581</v>
      </c>
      <c r="C156" s="172"/>
      <c r="D156" s="172"/>
      <c r="E156" s="172"/>
      <c r="F156" s="172"/>
      <c r="G156" s="172"/>
      <c r="H156" s="172"/>
    </row>
    <row r="157" spans="1:8" x14ac:dyDescent="0.2">
      <c r="A157" s="46"/>
      <c r="B157" s="172" t="s">
        <v>582</v>
      </c>
      <c r="C157" s="172"/>
      <c r="D157" s="172"/>
      <c r="E157" s="172"/>
      <c r="F157" s="172"/>
      <c r="G157" s="172"/>
      <c r="H157" s="172"/>
    </row>
    <row r="158" spans="1:8" x14ac:dyDescent="0.2">
      <c r="A158" s="46"/>
      <c r="B158" s="185" t="s">
        <v>648</v>
      </c>
      <c r="C158" s="172"/>
      <c r="D158" s="172"/>
      <c r="E158" s="172"/>
      <c r="F158" s="172"/>
      <c r="G158" s="172"/>
      <c r="H158" s="172"/>
    </row>
    <row r="159" spans="1:8" x14ac:dyDescent="0.2">
      <c r="A159" s="48"/>
      <c r="B159" s="48"/>
      <c r="C159" s="48"/>
      <c r="D159" s="49"/>
      <c r="E159" s="49"/>
      <c r="F159" s="49"/>
      <c r="G159" s="49"/>
    </row>
    <row r="160" spans="1:8" x14ac:dyDescent="0.2">
      <c r="A160" s="48"/>
      <c r="B160" s="176" t="s">
        <v>106</v>
      </c>
      <c r="C160" s="177"/>
      <c r="D160" s="178"/>
      <c r="E160" s="50"/>
      <c r="F160" s="49"/>
      <c r="G160" s="49"/>
    </row>
    <row r="161" spans="1:8" ht="25.5" x14ac:dyDescent="0.2">
      <c r="A161" s="48"/>
      <c r="B161" s="179" t="s">
        <v>107</v>
      </c>
      <c r="C161" s="180"/>
      <c r="D161" s="33" t="s">
        <v>615</v>
      </c>
      <c r="E161" s="50"/>
      <c r="F161" s="49"/>
      <c r="G161" s="49"/>
    </row>
    <row r="162" spans="1:8" x14ac:dyDescent="0.2">
      <c r="A162" s="48"/>
      <c r="B162" s="179" t="s">
        <v>109</v>
      </c>
      <c r="C162" s="180"/>
      <c r="D162" s="17" t="s">
        <v>108</v>
      </c>
      <c r="E162" s="50"/>
      <c r="F162" s="49"/>
      <c r="G162" s="49"/>
    </row>
    <row r="163" spans="1:8" x14ac:dyDescent="0.2">
      <c r="A163" s="48"/>
      <c r="B163" s="179" t="s">
        <v>110</v>
      </c>
      <c r="C163" s="180"/>
      <c r="D163" s="22" t="s">
        <v>12</v>
      </c>
      <c r="E163" s="50"/>
      <c r="F163" s="49"/>
      <c r="G163" s="49"/>
    </row>
    <row r="164" spans="1:8" x14ac:dyDescent="0.2">
      <c r="A164" s="51"/>
      <c r="B164" s="52" t="s">
        <v>12</v>
      </c>
      <c r="C164" s="52" t="s">
        <v>583</v>
      </c>
      <c r="D164" s="52" t="s">
        <v>111</v>
      </c>
      <c r="E164" s="51"/>
      <c r="F164" s="51"/>
      <c r="G164" s="51"/>
      <c r="H164" s="53"/>
    </row>
    <row r="165" spans="1:8" x14ac:dyDescent="0.2">
      <c r="A165" s="51"/>
      <c r="B165" s="54" t="s">
        <v>112</v>
      </c>
      <c r="C165" s="55">
        <v>45626</v>
      </c>
      <c r="D165" s="55">
        <v>45641</v>
      </c>
      <c r="E165" s="51"/>
      <c r="F165" s="51"/>
      <c r="G165" s="51"/>
    </row>
    <row r="166" spans="1:8" x14ac:dyDescent="0.2">
      <c r="A166" s="56"/>
      <c r="B166" s="25" t="s">
        <v>113</v>
      </c>
      <c r="C166" s="57">
        <v>2236.4142000000002</v>
      </c>
      <c r="D166" s="57">
        <v>2242.6217999999999</v>
      </c>
      <c r="E166" s="56"/>
      <c r="F166" s="58"/>
      <c r="G166" s="59"/>
    </row>
    <row r="167" spans="1:8" x14ac:dyDescent="0.2">
      <c r="A167" s="56"/>
      <c r="B167" s="25" t="s">
        <v>141</v>
      </c>
      <c r="C167" s="57">
        <v>1229.8197</v>
      </c>
      <c r="D167" s="57">
        <v>1233.2331999999999</v>
      </c>
      <c r="E167" s="56"/>
      <c r="F167" s="58"/>
      <c r="G167" s="59"/>
    </row>
    <row r="168" spans="1:8" ht="25.5" x14ac:dyDescent="0.2">
      <c r="A168" s="56"/>
      <c r="B168" s="25" t="s">
        <v>605</v>
      </c>
      <c r="C168" s="57">
        <v>1027.2156</v>
      </c>
      <c r="D168" s="57">
        <v>1030.0669</v>
      </c>
      <c r="E168" s="56"/>
      <c r="F168" s="58"/>
      <c r="G168" s="59"/>
    </row>
    <row r="169" spans="1:8" ht="25.5" x14ac:dyDescent="0.2">
      <c r="A169" s="56"/>
      <c r="B169" s="25" t="s">
        <v>606</v>
      </c>
      <c r="C169" s="57">
        <v>1138.4840999999999</v>
      </c>
      <c r="D169" s="57">
        <v>1134.1306999999999</v>
      </c>
      <c r="E169" s="56"/>
      <c r="F169" s="58"/>
      <c r="G169" s="59"/>
    </row>
    <row r="170" spans="1:8" x14ac:dyDescent="0.2">
      <c r="A170" s="56"/>
      <c r="B170" s="25" t="s">
        <v>114</v>
      </c>
      <c r="C170" s="57">
        <v>2213.3389000000002</v>
      </c>
      <c r="D170" s="57">
        <v>2219.3090999999999</v>
      </c>
      <c r="E170" s="56"/>
      <c r="F170" s="58"/>
      <c r="G170" s="59"/>
    </row>
    <row r="171" spans="1:8" x14ac:dyDescent="0.2">
      <c r="A171" s="56"/>
      <c r="B171" s="25" t="s">
        <v>142</v>
      </c>
      <c r="C171" s="57">
        <v>1225.1502</v>
      </c>
      <c r="D171" s="57">
        <v>1228.4549</v>
      </c>
      <c r="E171" s="56"/>
      <c r="F171" s="58"/>
      <c r="G171" s="59"/>
    </row>
    <row r="172" spans="1:8" ht="25.5" x14ac:dyDescent="0.2">
      <c r="A172" s="56"/>
      <c r="B172" s="25" t="s">
        <v>609</v>
      </c>
      <c r="C172" s="57">
        <v>1027.0745999999999</v>
      </c>
      <c r="D172" s="57">
        <v>1029.8451</v>
      </c>
      <c r="E172" s="56"/>
      <c r="F172" s="58"/>
      <c r="G172" s="59"/>
    </row>
    <row r="173" spans="1:8" ht="25.5" x14ac:dyDescent="0.2">
      <c r="A173" s="56"/>
      <c r="B173" s="25" t="s">
        <v>610</v>
      </c>
      <c r="C173" s="57">
        <v>1134.3961999999999</v>
      </c>
      <c r="D173" s="57">
        <v>1129.9439</v>
      </c>
      <c r="E173" s="56"/>
      <c r="F173" s="58"/>
      <c r="G173" s="59"/>
    </row>
    <row r="174" spans="1:8" x14ac:dyDescent="0.2">
      <c r="A174" s="56"/>
      <c r="B174" s="56"/>
      <c r="C174" s="56"/>
      <c r="D174" s="56"/>
      <c r="E174" s="56"/>
      <c r="F174" s="56"/>
      <c r="G174" s="56"/>
    </row>
    <row r="175" spans="1:8" x14ac:dyDescent="0.2">
      <c r="A175" s="56"/>
      <c r="B175" s="179" t="s">
        <v>598</v>
      </c>
      <c r="C175" s="180"/>
      <c r="D175" s="17" t="s">
        <v>12</v>
      </c>
      <c r="E175" s="56"/>
      <c r="F175" s="56"/>
      <c r="G175" s="56"/>
    </row>
    <row r="176" spans="1:8" x14ac:dyDescent="0.2">
      <c r="A176" s="56"/>
      <c r="B176" s="60" t="s">
        <v>112</v>
      </c>
      <c r="C176" s="61" t="s">
        <v>115</v>
      </c>
      <c r="D176" s="61" t="s">
        <v>116</v>
      </c>
      <c r="E176" s="56"/>
      <c r="F176" s="56"/>
      <c r="G176" s="56"/>
    </row>
    <row r="177" spans="1:18" ht="25.5" x14ac:dyDescent="0.2">
      <c r="A177" s="56"/>
      <c r="B177" s="25" t="s">
        <v>606</v>
      </c>
      <c r="C177" s="62">
        <v>7.5</v>
      </c>
      <c r="D177" s="29" t="s">
        <v>117</v>
      </c>
      <c r="E177" s="56"/>
      <c r="F177" s="58"/>
      <c r="G177" s="59"/>
    </row>
    <row r="178" spans="1:18" ht="25.5" x14ac:dyDescent="0.2">
      <c r="A178" s="56"/>
      <c r="B178" s="25" t="s">
        <v>610</v>
      </c>
      <c r="C178" s="62">
        <v>7.5</v>
      </c>
      <c r="D178" s="29" t="s">
        <v>117</v>
      </c>
      <c r="E178" s="56"/>
      <c r="F178" s="58"/>
      <c r="G178" s="59"/>
    </row>
    <row r="179" spans="1:18" x14ac:dyDescent="0.2">
      <c r="A179" s="56"/>
      <c r="B179" s="63"/>
      <c r="C179" s="63"/>
      <c r="D179" s="64"/>
      <c r="E179" s="56"/>
      <c r="F179" s="58"/>
      <c r="G179" s="59"/>
    </row>
    <row r="180" spans="1:18" s="67" customFormat="1" x14ac:dyDescent="0.2">
      <c r="A180" s="77"/>
      <c r="B180" s="173" t="s">
        <v>599</v>
      </c>
      <c r="C180" s="174"/>
      <c r="D180" s="33" t="s">
        <v>108</v>
      </c>
      <c r="E180" s="77"/>
      <c r="F180" s="77"/>
      <c r="G180" s="77"/>
      <c r="I180"/>
      <c r="J180" s="15"/>
      <c r="K180" s="35"/>
      <c r="L180" s="35"/>
      <c r="M180" s="35"/>
      <c r="N180" s="35"/>
      <c r="O180" s="73"/>
      <c r="P180"/>
      <c r="Q180"/>
    </row>
    <row r="181" spans="1:18" ht="27.75" customHeight="1" x14ac:dyDescent="0.2">
      <c r="A181" s="51"/>
      <c r="B181" s="173" t="s">
        <v>600</v>
      </c>
      <c r="C181" s="174"/>
      <c r="D181" s="33" t="s">
        <v>108</v>
      </c>
      <c r="E181" s="65"/>
      <c r="F181" s="51"/>
      <c r="G181" s="51"/>
      <c r="J181" s="15"/>
    </row>
    <row r="182" spans="1:18" ht="26.25" customHeight="1" x14ac:dyDescent="0.2">
      <c r="A182" s="51"/>
      <c r="B182" s="173" t="s">
        <v>601</v>
      </c>
      <c r="C182" s="174"/>
      <c r="D182" s="33" t="s">
        <v>108</v>
      </c>
      <c r="E182" s="65"/>
      <c r="F182" s="51"/>
      <c r="G182" s="51"/>
      <c r="J182" s="15"/>
    </row>
    <row r="183" spans="1:18" x14ac:dyDescent="0.2">
      <c r="A183" s="51"/>
      <c r="B183" s="173" t="s">
        <v>602</v>
      </c>
      <c r="C183" s="174"/>
      <c r="D183" s="33" t="s">
        <v>108</v>
      </c>
      <c r="E183" s="65"/>
      <c r="F183" s="51"/>
      <c r="G183" s="51"/>
      <c r="J183" s="15"/>
    </row>
    <row r="184" spans="1:18" x14ac:dyDescent="0.2">
      <c r="A184" s="66"/>
      <c r="B184" s="66"/>
      <c r="C184" s="66"/>
      <c r="D184" s="66"/>
      <c r="E184" s="66"/>
      <c r="F184" s="66"/>
      <c r="G184" s="66"/>
      <c r="J184" s="15"/>
    </row>
    <row r="185" spans="1:18" s="67" customFormat="1" x14ac:dyDescent="0.2">
      <c r="B185" s="79" t="s">
        <v>695</v>
      </c>
      <c r="C185" s="79"/>
      <c r="D185" s="79"/>
      <c r="E185" s="79"/>
      <c r="F185" s="79"/>
      <c r="G185" s="79"/>
      <c r="I185"/>
      <c r="J185" s="15"/>
      <c r="K185" s="35"/>
      <c r="L185" s="35"/>
      <c r="M185" s="35"/>
      <c r="N185" s="35"/>
      <c r="O185"/>
    </row>
    <row r="186" spans="1:18" s="67" customFormat="1" x14ac:dyDescent="0.2">
      <c r="B186" s="79"/>
      <c r="C186" s="79"/>
      <c r="D186" s="79"/>
      <c r="E186" s="79"/>
      <c r="F186" s="79"/>
      <c r="G186" s="79"/>
      <c r="I186"/>
      <c r="J186" s="15"/>
      <c r="K186" s="35"/>
      <c r="L186" s="35"/>
      <c r="M186" s="35"/>
      <c r="N186" s="35"/>
      <c r="O186"/>
    </row>
    <row r="187" spans="1:18" s="67" customFormat="1" ht="63.75" x14ac:dyDescent="0.2">
      <c r="B187" s="82" t="s">
        <v>618</v>
      </c>
      <c r="C187" s="82" t="s">
        <v>617</v>
      </c>
      <c r="D187" s="82" t="s">
        <v>649</v>
      </c>
      <c r="E187" s="82" t="s">
        <v>650</v>
      </c>
      <c r="F187" s="82" t="s">
        <v>621</v>
      </c>
      <c r="I187"/>
      <c r="J187" s="15"/>
      <c r="K187" s="35"/>
      <c r="L187" s="35"/>
      <c r="M187" s="35"/>
      <c r="N187" s="35"/>
      <c r="O187"/>
    </row>
    <row r="188" spans="1:18" s="67" customFormat="1" ht="25.5" x14ac:dyDescent="0.2">
      <c r="B188" s="69" t="s">
        <v>623</v>
      </c>
      <c r="C188" s="84" t="s">
        <v>622</v>
      </c>
      <c r="D188" s="97">
        <v>0</v>
      </c>
      <c r="E188" s="11">
        <v>0</v>
      </c>
      <c r="F188" s="85">
        <v>5650</v>
      </c>
      <c r="I188"/>
      <c r="J188" s="15"/>
      <c r="K188" s="35"/>
      <c r="L188" s="35"/>
      <c r="M188" s="35"/>
      <c r="N188" s="35"/>
      <c r="O188"/>
      <c r="R188"/>
    </row>
    <row r="189" spans="1:18" s="67" customFormat="1" x14ac:dyDescent="0.2">
      <c r="I189"/>
      <c r="J189" s="15"/>
      <c r="K189" s="35"/>
      <c r="L189" s="35"/>
      <c r="M189" s="35"/>
      <c r="N189" s="35"/>
      <c r="O189"/>
      <c r="R189"/>
    </row>
    <row r="190" spans="1:18" s="67" customFormat="1" x14ac:dyDescent="0.2">
      <c r="B190" s="181" t="s">
        <v>585</v>
      </c>
      <c r="C190" s="182"/>
      <c r="D190" s="183"/>
      <c r="I190"/>
      <c r="J190" s="15"/>
      <c r="K190" s="35"/>
      <c r="L190" s="35"/>
      <c r="M190" s="35"/>
      <c r="N190" s="35"/>
      <c r="O190"/>
      <c r="R190"/>
    </row>
    <row r="191" spans="1:18" s="67" customFormat="1" ht="25.5" x14ac:dyDescent="0.2">
      <c r="B191" s="175" t="s">
        <v>586</v>
      </c>
      <c r="C191" s="175"/>
      <c r="D191" s="68" t="s">
        <v>271</v>
      </c>
      <c r="I191"/>
      <c r="J191" s="15"/>
      <c r="K191" s="35"/>
      <c r="L191" s="35"/>
      <c r="M191" s="35"/>
      <c r="N191" s="35"/>
      <c r="O191"/>
      <c r="R191"/>
    </row>
    <row r="192" spans="1:18" s="67" customFormat="1" x14ac:dyDescent="0.2">
      <c r="B192" s="167" t="s">
        <v>587</v>
      </c>
      <c r="C192" s="167"/>
      <c r="D192" s="69"/>
      <c r="I192"/>
      <c r="J192" s="15"/>
      <c r="K192" s="35"/>
      <c r="L192" s="35"/>
      <c r="M192" s="35"/>
      <c r="N192" s="35"/>
      <c r="O192"/>
      <c r="R192"/>
    </row>
    <row r="193" spans="2:18" s="67" customFormat="1" x14ac:dyDescent="0.2">
      <c r="B193" s="167"/>
      <c r="C193" s="167"/>
      <c r="D193" s="70"/>
      <c r="I193"/>
      <c r="J193" s="15"/>
      <c r="K193" s="35"/>
      <c r="L193" s="35"/>
      <c r="M193" s="35"/>
      <c r="N193" s="35"/>
      <c r="O193"/>
      <c r="R193"/>
    </row>
    <row r="194" spans="2:18" s="67" customFormat="1" x14ac:dyDescent="0.2">
      <c r="B194" s="167" t="s">
        <v>588</v>
      </c>
      <c r="C194" s="167"/>
      <c r="D194" s="71">
        <v>7.1292884963872076</v>
      </c>
      <c r="I194"/>
      <c r="J194" s="15"/>
      <c r="K194" s="35"/>
      <c r="L194" s="35"/>
      <c r="M194" s="35"/>
      <c r="N194" s="35"/>
      <c r="O194"/>
      <c r="R194"/>
    </row>
    <row r="195" spans="2:18" s="67" customFormat="1" x14ac:dyDescent="0.2">
      <c r="B195" s="167"/>
      <c r="C195" s="167"/>
      <c r="D195" s="70"/>
      <c r="I195"/>
      <c r="J195" s="15"/>
      <c r="K195" s="35"/>
      <c r="L195" s="35"/>
      <c r="M195" s="35"/>
      <c r="N195" s="35"/>
      <c r="O195"/>
      <c r="R195"/>
    </row>
    <row r="196" spans="2:18" s="67" customFormat="1" x14ac:dyDescent="0.2">
      <c r="B196" s="167" t="s">
        <v>589</v>
      </c>
      <c r="C196" s="167"/>
      <c r="D196" s="71">
        <v>0.11925187094104515</v>
      </c>
      <c r="I196"/>
      <c r="J196" s="15"/>
      <c r="K196" s="35"/>
      <c r="L196" s="35"/>
      <c r="M196" s="35"/>
      <c r="N196" s="35"/>
      <c r="O196"/>
      <c r="R196"/>
    </row>
    <row r="197" spans="2:18" s="67" customFormat="1" x14ac:dyDescent="0.2">
      <c r="B197" s="167" t="s">
        <v>590</v>
      </c>
      <c r="C197" s="167"/>
      <c r="D197" s="71">
        <v>0.11925187094104515</v>
      </c>
      <c r="I197"/>
      <c r="J197" s="15"/>
      <c r="K197" s="35"/>
      <c r="L197" s="35"/>
      <c r="M197" s="35"/>
      <c r="N197" s="35"/>
      <c r="O197"/>
      <c r="R197"/>
    </row>
    <row r="198" spans="2:18" s="67" customFormat="1" x14ac:dyDescent="0.2">
      <c r="B198" s="167"/>
      <c r="C198" s="167"/>
      <c r="D198" s="70"/>
      <c r="I198"/>
      <c r="J198" s="15"/>
      <c r="K198" s="35"/>
      <c r="L198" s="35"/>
      <c r="M198" s="35"/>
      <c r="N198" s="35"/>
      <c r="O198"/>
      <c r="P198"/>
      <c r="Q198"/>
      <c r="R198"/>
    </row>
    <row r="199" spans="2:18" s="67" customFormat="1" x14ac:dyDescent="0.2">
      <c r="B199" s="167" t="s">
        <v>591</v>
      </c>
      <c r="C199" s="167"/>
      <c r="D199" s="72" t="s">
        <v>694</v>
      </c>
      <c r="I199"/>
      <c r="J199" s="15"/>
      <c r="K199" s="35"/>
      <c r="L199" s="35"/>
      <c r="M199" s="35"/>
      <c r="N199" s="35"/>
      <c r="O199" s="73"/>
    </row>
    <row r="200" spans="2:18" s="67" customFormat="1" x14ac:dyDescent="0.2">
      <c r="B200" s="168" t="s">
        <v>592</v>
      </c>
      <c r="C200" s="170"/>
      <c r="D200" s="169"/>
      <c r="I200"/>
      <c r="J200" s="15"/>
      <c r="K200" s="35"/>
      <c r="L200" s="35"/>
      <c r="M200" s="35"/>
      <c r="N200" s="35"/>
      <c r="O200"/>
      <c r="P200"/>
      <c r="Q200"/>
      <c r="R200"/>
    </row>
    <row r="201" spans="2:18" x14ac:dyDescent="0.2">
      <c r="J201" s="15"/>
    </row>
    <row r="202" spans="2:18" ht="25.5" x14ac:dyDescent="0.2">
      <c r="B202" s="74" t="s">
        <v>593</v>
      </c>
    </row>
    <row r="204" spans="2:18" ht="153.75" customHeight="1" x14ac:dyDescent="0.2"/>
    <row r="207" spans="2:18" x14ac:dyDescent="0.2">
      <c r="B207" s="75" t="s">
        <v>594</v>
      </c>
      <c r="C207" s="76"/>
      <c r="D207" s="75" t="s">
        <v>595</v>
      </c>
    </row>
    <row r="208" spans="2:18" x14ac:dyDescent="0.2">
      <c r="B208" s="75" t="s">
        <v>651</v>
      </c>
      <c r="D208" s="75" t="s">
        <v>652</v>
      </c>
    </row>
    <row r="209" spans="10:10" ht="165" customHeight="1" x14ac:dyDescent="0.2"/>
    <row r="211" spans="10:10" x14ac:dyDescent="0.2">
      <c r="J211" s="15"/>
    </row>
  </sheetData>
  <mergeCells count="27">
    <mergeCell ref="B157:H157"/>
    <mergeCell ref="B158:H158"/>
    <mergeCell ref="B182:C182"/>
    <mergeCell ref="B183:C183"/>
    <mergeCell ref="B160:D160"/>
    <mergeCell ref="B161:C161"/>
    <mergeCell ref="B162:C162"/>
    <mergeCell ref="B163:C163"/>
    <mergeCell ref="B175:C175"/>
    <mergeCell ref="B181:C181"/>
    <mergeCell ref="B180:C180"/>
    <mergeCell ref="A1:H1"/>
    <mergeCell ref="A2:H2"/>
    <mergeCell ref="A3:H3"/>
    <mergeCell ref="B155:H155"/>
    <mergeCell ref="B156:H156"/>
    <mergeCell ref="B190:D190"/>
    <mergeCell ref="B191:C191"/>
    <mergeCell ref="B192:C192"/>
    <mergeCell ref="B193:C193"/>
    <mergeCell ref="B194:C194"/>
    <mergeCell ref="B200:D200"/>
    <mergeCell ref="B195:C195"/>
    <mergeCell ref="B196:C196"/>
    <mergeCell ref="B197:C197"/>
    <mergeCell ref="B198:C198"/>
    <mergeCell ref="B199:C199"/>
  </mergeCells>
  <hyperlinks>
    <hyperlink ref="I1" location="Index!B2" display="Index" xr:uid="{DC6CF2D5-E56C-4E09-B95E-776BA2620EC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2252-0647-44A6-B979-AEE03FD53FB2}">
  <sheetPr>
    <outlinePr summaryBelow="0" summaryRight="0"/>
  </sheetPr>
  <dimension ref="A1:S181"/>
  <sheetViews>
    <sheetView showGridLines="0" workbookViewId="0">
      <selection sqref="A1:H1"/>
    </sheetView>
  </sheetViews>
  <sheetFormatPr defaultRowHeight="12.75" x14ac:dyDescent="0.2"/>
  <cols>
    <col min="1" max="1" width="5.85546875" bestFit="1" customWidth="1"/>
    <col min="2" max="2" width="21.85546875" customWidth="1"/>
    <col min="3" max="3" width="40.140625" customWidth="1"/>
    <col min="4" max="4" width="16.5703125" customWidth="1"/>
    <col min="5" max="5" width="9.5703125" customWidth="1"/>
    <col min="6" max="6" width="11.5703125" customWidth="1"/>
    <col min="7" max="7" width="14" bestFit="1" customWidth="1"/>
    <col min="8" max="8" width="8.42578125" customWidth="1"/>
    <col min="9" max="9" width="10" customWidth="1"/>
    <col min="10" max="10" width="11.5703125" customWidth="1"/>
  </cols>
  <sheetData>
    <row r="1" spans="1:9" ht="15" x14ac:dyDescent="0.2">
      <c r="A1" s="171" t="s">
        <v>0</v>
      </c>
      <c r="B1" s="171"/>
      <c r="C1" s="171"/>
      <c r="D1" s="171"/>
      <c r="E1" s="171"/>
      <c r="F1" s="171"/>
      <c r="G1" s="171"/>
      <c r="H1" s="171"/>
      <c r="I1" s="7" t="s">
        <v>576</v>
      </c>
    </row>
    <row r="2" spans="1:9" ht="15" x14ac:dyDescent="0.2">
      <c r="A2" s="171" t="s">
        <v>429</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575</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233</v>
      </c>
      <c r="C28" s="25" t="s">
        <v>234</v>
      </c>
      <c r="D28" s="25" t="s">
        <v>230</v>
      </c>
      <c r="E28" s="26">
        <v>1100</v>
      </c>
      <c r="F28" s="27">
        <v>1106.0588</v>
      </c>
      <c r="G28" s="28">
        <v>4.657472E-2</v>
      </c>
      <c r="H28" s="18">
        <v>8.2608999999999995</v>
      </c>
    </row>
    <row r="29" spans="1:8" ht="25.5" x14ac:dyDescent="0.2">
      <c r="A29" s="24">
        <v>2</v>
      </c>
      <c r="B29" s="25" t="s">
        <v>430</v>
      </c>
      <c r="C29" s="25" t="s">
        <v>431</v>
      </c>
      <c r="D29" s="25" t="s">
        <v>23</v>
      </c>
      <c r="E29" s="26">
        <v>1000</v>
      </c>
      <c r="F29" s="27">
        <v>1010.812</v>
      </c>
      <c r="G29" s="28">
        <v>4.2563999999999998E-2</v>
      </c>
      <c r="H29" s="18">
        <v>7.375</v>
      </c>
    </row>
    <row r="30" spans="1:8" ht="25.5" x14ac:dyDescent="0.2">
      <c r="A30" s="24">
        <v>3</v>
      </c>
      <c r="B30" s="25" t="s">
        <v>37</v>
      </c>
      <c r="C30" s="25" t="s">
        <v>38</v>
      </c>
      <c r="D30" s="25" t="s">
        <v>23</v>
      </c>
      <c r="E30" s="26">
        <v>1000</v>
      </c>
      <c r="F30" s="27">
        <v>1005.891</v>
      </c>
      <c r="G30" s="28">
        <v>4.2356779999999997E-2</v>
      </c>
      <c r="H30" s="18">
        <v>7.44</v>
      </c>
    </row>
    <row r="31" spans="1:8" x14ac:dyDescent="0.2">
      <c r="A31" s="24">
        <v>4</v>
      </c>
      <c r="B31" s="25" t="s">
        <v>235</v>
      </c>
      <c r="C31" s="25" t="s">
        <v>236</v>
      </c>
      <c r="D31" s="25" t="s">
        <v>227</v>
      </c>
      <c r="E31" s="26">
        <v>1000</v>
      </c>
      <c r="F31" s="27">
        <v>1000.537</v>
      </c>
      <c r="G31" s="28">
        <v>4.2131330000000002E-2</v>
      </c>
      <c r="H31" s="18">
        <v>8.1289999999999996</v>
      </c>
    </row>
    <row r="32" spans="1:8" ht="25.5" x14ac:dyDescent="0.2">
      <c r="A32" s="24">
        <v>5</v>
      </c>
      <c r="B32" s="25" t="s">
        <v>432</v>
      </c>
      <c r="C32" s="25" t="s">
        <v>433</v>
      </c>
      <c r="D32" s="25" t="s">
        <v>254</v>
      </c>
      <c r="E32" s="26">
        <v>500</v>
      </c>
      <c r="F32" s="27">
        <v>505.2595</v>
      </c>
      <c r="G32" s="28">
        <v>2.1275829999999999E-2</v>
      </c>
      <c r="H32" s="18">
        <v>8.2200000000000006</v>
      </c>
    </row>
    <row r="33" spans="1:8" x14ac:dyDescent="0.2">
      <c r="A33" s="24">
        <v>6</v>
      </c>
      <c r="B33" s="25" t="s">
        <v>59</v>
      </c>
      <c r="C33" s="25" t="s">
        <v>60</v>
      </c>
      <c r="D33" s="25" t="s">
        <v>23</v>
      </c>
      <c r="E33" s="26">
        <v>50</v>
      </c>
      <c r="F33" s="27">
        <v>503.73750000000001</v>
      </c>
      <c r="G33" s="28">
        <v>2.121174E-2</v>
      </c>
      <c r="H33" s="18">
        <v>7.66</v>
      </c>
    </row>
    <row r="34" spans="1:8" ht="25.5" x14ac:dyDescent="0.2">
      <c r="A34" s="24">
        <v>7</v>
      </c>
      <c r="B34" s="25" t="s">
        <v>434</v>
      </c>
      <c r="C34" s="25" t="s">
        <v>435</v>
      </c>
      <c r="D34" s="25" t="s">
        <v>36</v>
      </c>
      <c r="E34" s="26">
        <v>500</v>
      </c>
      <c r="F34" s="27">
        <v>502.53300000000002</v>
      </c>
      <c r="G34" s="28">
        <v>2.1161019999999999E-2</v>
      </c>
      <c r="H34" s="18">
        <v>7.52</v>
      </c>
    </row>
    <row r="35" spans="1:8" x14ac:dyDescent="0.2">
      <c r="A35" s="24">
        <v>8</v>
      </c>
      <c r="B35" s="25" t="s">
        <v>125</v>
      </c>
      <c r="C35" s="25" t="s">
        <v>126</v>
      </c>
      <c r="D35" s="25" t="s">
        <v>23</v>
      </c>
      <c r="E35" s="26">
        <v>500</v>
      </c>
      <c r="F35" s="27">
        <v>502.2835</v>
      </c>
      <c r="G35" s="28">
        <v>2.1150519999999999E-2</v>
      </c>
      <c r="H35" s="18">
        <v>7.37</v>
      </c>
    </row>
    <row r="36" spans="1:8" x14ac:dyDescent="0.2">
      <c r="A36" s="24">
        <v>9</v>
      </c>
      <c r="B36" s="25" t="s">
        <v>228</v>
      </c>
      <c r="C36" s="25" t="s">
        <v>229</v>
      </c>
      <c r="D36" s="25" t="s">
        <v>230</v>
      </c>
      <c r="E36" s="26">
        <v>500</v>
      </c>
      <c r="F36" s="27">
        <v>502.238</v>
      </c>
      <c r="G36" s="28">
        <v>2.11486E-2</v>
      </c>
      <c r="H36" s="18">
        <v>8.7797999999999998</v>
      </c>
    </row>
    <row r="37" spans="1:8" x14ac:dyDescent="0.2">
      <c r="A37" s="24">
        <v>10</v>
      </c>
      <c r="B37" s="25" t="s">
        <v>222</v>
      </c>
      <c r="C37" s="25" t="s">
        <v>223</v>
      </c>
      <c r="D37" s="25" t="s">
        <v>224</v>
      </c>
      <c r="E37" s="26">
        <v>500</v>
      </c>
      <c r="F37" s="27">
        <v>500.13350000000003</v>
      </c>
      <c r="G37" s="28">
        <v>2.1059979999999999E-2</v>
      </c>
      <c r="H37" s="18">
        <v>7.4749999999999996</v>
      </c>
    </row>
    <row r="38" spans="1:8" ht="25.5" x14ac:dyDescent="0.2">
      <c r="A38" s="24">
        <v>11</v>
      </c>
      <c r="B38" s="25" t="s">
        <v>61</v>
      </c>
      <c r="C38" s="25" t="s">
        <v>62</v>
      </c>
      <c r="D38" s="25" t="s">
        <v>23</v>
      </c>
      <c r="E38" s="26">
        <v>500</v>
      </c>
      <c r="F38" s="27">
        <v>499.94049999999999</v>
      </c>
      <c r="G38" s="28">
        <v>2.105185E-2</v>
      </c>
      <c r="H38" s="18">
        <v>8.0299999999999994</v>
      </c>
    </row>
    <row r="39" spans="1:8" x14ac:dyDescent="0.2">
      <c r="A39" s="24">
        <v>12</v>
      </c>
      <c r="B39" s="25" t="s">
        <v>436</v>
      </c>
      <c r="C39" s="25" t="s">
        <v>437</v>
      </c>
      <c r="D39" s="25" t="s">
        <v>23</v>
      </c>
      <c r="E39" s="26">
        <v>500</v>
      </c>
      <c r="F39" s="27">
        <v>499.27350000000001</v>
      </c>
      <c r="G39" s="28">
        <v>2.1023770000000001E-2</v>
      </c>
      <c r="H39" s="18">
        <v>7.5650000000000004</v>
      </c>
    </row>
    <row r="40" spans="1:8" ht="25.5" x14ac:dyDescent="0.2">
      <c r="A40" s="24">
        <v>13</v>
      </c>
      <c r="B40" s="25" t="s">
        <v>438</v>
      </c>
      <c r="C40" s="25" t="s">
        <v>439</v>
      </c>
      <c r="D40" s="25" t="s">
        <v>23</v>
      </c>
      <c r="E40" s="26">
        <v>50</v>
      </c>
      <c r="F40" s="27">
        <v>496.6035</v>
      </c>
      <c r="G40" s="28">
        <v>2.091134E-2</v>
      </c>
      <c r="H40" s="18">
        <v>7.58</v>
      </c>
    </row>
    <row r="41" spans="1:8" x14ac:dyDescent="0.2">
      <c r="A41" s="24">
        <v>14</v>
      </c>
      <c r="B41" s="25" t="s">
        <v>440</v>
      </c>
      <c r="C41" s="25" t="s">
        <v>441</v>
      </c>
      <c r="D41" s="25" t="s">
        <v>23</v>
      </c>
      <c r="E41" s="26">
        <v>50</v>
      </c>
      <c r="F41" s="27">
        <v>487.78500000000003</v>
      </c>
      <c r="G41" s="28">
        <v>2.0539999999999999E-2</v>
      </c>
      <c r="H41" s="18">
        <v>7.7149999999999999</v>
      </c>
    </row>
    <row r="42" spans="1:8" x14ac:dyDescent="0.2">
      <c r="A42" s="24">
        <v>15</v>
      </c>
      <c r="B42" s="25" t="s">
        <v>225</v>
      </c>
      <c r="C42" s="25" t="s">
        <v>226</v>
      </c>
      <c r="D42" s="25" t="s">
        <v>227</v>
      </c>
      <c r="E42" s="26">
        <v>300</v>
      </c>
      <c r="F42" s="27">
        <v>302.13510000000002</v>
      </c>
      <c r="G42" s="28">
        <v>1.2722519999999999E-2</v>
      </c>
      <c r="H42" s="18">
        <v>7.91</v>
      </c>
    </row>
    <row r="43" spans="1:8" x14ac:dyDescent="0.2">
      <c r="A43" s="16"/>
      <c r="B43" s="16"/>
      <c r="C43" s="17" t="s">
        <v>11</v>
      </c>
      <c r="D43" s="16"/>
      <c r="E43" s="16" t="s">
        <v>12</v>
      </c>
      <c r="F43" s="23">
        <v>9425.2214000000004</v>
      </c>
      <c r="G43" s="20">
        <v>0.39688400000000001</v>
      </c>
      <c r="H43" s="18" t="s">
        <v>12</v>
      </c>
    </row>
    <row r="44" spans="1:8" x14ac:dyDescent="0.2">
      <c r="A44" s="16"/>
      <c r="B44" s="16"/>
      <c r="C44" s="21"/>
      <c r="D44" s="16"/>
      <c r="E44" s="16"/>
      <c r="F44" s="22"/>
      <c r="G44" s="22"/>
      <c r="H44" s="18" t="s">
        <v>12</v>
      </c>
    </row>
    <row r="45" spans="1:8" x14ac:dyDescent="0.2">
      <c r="A45" s="16"/>
      <c r="B45" s="16"/>
      <c r="C45" s="17" t="s">
        <v>71</v>
      </c>
      <c r="D45" s="16"/>
      <c r="E45" s="16"/>
      <c r="F45" s="16"/>
      <c r="G45" s="16"/>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72</v>
      </c>
      <c r="D48" s="16"/>
      <c r="E48" s="16"/>
      <c r="F48" s="16"/>
      <c r="G48" s="16"/>
      <c r="H48" s="18" t="s">
        <v>12</v>
      </c>
    </row>
    <row r="49" spans="1:8" ht="25.5" x14ac:dyDescent="0.2">
      <c r="A49" s="24">
        <v>1</v>
      </c>
      <c r="B49" s="25" t="s">
        <v>73</v>
      </c>
      <c r="C49" s="25" t="s">
        <v>74</v>
      </c>
      <c r="D49" s="25" t="s">
        <v>75</v>
      </c>
      <c r="E49" s="26">
        <v>3350000</v>
      </c>
      <c r="F49" s="27">
        <v>3424.49395</v>
      </c>
      <c r="G49" s="28">
        <v>0.14420105999999999</v>
      </c>
      <c r="H49" s="18">
        <v>6.8868</v>
      </c>
    </row>
    <row r="50" spans="1:8" x14ac:dyDescent="0.2">
      <c r="A50" s="24">
        <v>2</v>
      </c>
      <c r="B50" s="25" t="s">
        <v>84</v>
      </c>
      <c r="C50" s="25" t="s">
        <v>85</v>
      </c>
      <c r="D50" s="25" t="s">
        <v>75</v>
      </c>
      <c r="E50" s="26">
        <v>1500000</v>
      </c>
      <c r="F50" s="27">
        <v>1534.914</v>
      </c>
      <c r="G50" s="28">
        <v>6.4633259999999998E-2</v>
      </c>
      <c r="H50" s="18">
        <v>6.7824999999999998</v>
      </c>
    </row>
    <row r="51" spans="1:8" ht="25.5" x14ac:dyDescent="0.2">
      <c r="A51" s="24">
        <v>3</v>
      </c>
      <c r="B51" s="25" t="s">
        <v>255</v>
      </c>
      <c r="C51" s="25" t="s">
        <v>256</v>
      </c>
      <c r="D51" s="25" t="s">
        <v>75</v>
      </c>
      <c r="E51" s="26">
        <v>1000000</v>
      </c>
      <c r="F51" s="27">
        <v>1016.03</v>
      </c>
      <c r="G51" s="28">
        <v>4.2783719999999997E-2</v>
      </c>
      <c r="H51" s="18">
        <v>6.7869000000000002</v>
      </c>
    </row>
    <row r="52" spans="1:8" x14ac:dyDescent="0.2">
      <c r="A52" s="24">
        <v>4</v>
      </c>
      <c r="B52" s="25" t="s">
        <v>86</v>
      </c>
      <c r="C52" s="25" t="s">
        <v>87</v>
      </c>
      <c r="D52" s="25" t="s">
        <v>75</v>
      </c>
      <c r="E52" s="26">
        <v>500000</v>
      </c>
      <c r="F52" s="27">
        <v>513.77</v>
      </c>
      <c r="G52" s="28">
        <v>2.1634199999999999E-2</v>
      </c>
      <c r="H52" s="18">
        <v>6.9664000000000001</v>
      </c>
    </row>
    <row r="53" spans="1:8" ht="25.5" x14ac:dyDescent="0.2">
      <c r="A53" s="24">
        <v>5</v>
      </c>
      <c r="B53" s="25" t="s">
        <v>442</v>
      </c>
      <c r="C53" s="25" t="s">
        <v>443</v>
      </c>
      <c r="D53" s="25" t="s">
        <v>75</v>
      </c>
      <c r="E53" s="26">
        <v>500000</v>
      </c>
      <c r="F53" s="27">
        <v>512.20399999999995</v>
      </c>
      <c r="G53" s="28">
        <v>2.1568259999999999E-2</v>
      </c>
      <c r="H53" s="18">
        <v>7.1989999999999998</v>
      </c>
    </row>
    <row r="54" spans="1:8" ht="25.5" x14ac:dyDescent="0.2">
      <c r="A54" s="24">
        <v>6</v>
      </c>
      <c r="B54" s="25" t="s">
        <v>444</v>
      </c>
      <c r="C54" s="38" t="s">
        <v>653</v>
      </c>
      <c r="D54" s="25" t="s">
        <v>75</v>
      </c>
      <c r="E54" s="26">
        <v>500000</v>
      </c>
      <c r="F54" s="27">
        <v>501.875</v>
      </c>
      <c r="G54" s="28">
        <v>2.1133309999999999E-2</v>
      </c>
      <c r="H54" s="18">
        <v>7.1684587813620064</v>
      </c>
    </row>
    <row r="55" spans="1:8" x14ac:dyDescent="0.2">
      <c r="A55" s="24">
        <v>7</v>
      </c>
      <c r="B55" s="25" t="s">
        <v>76</v>
      </c>
      <c r="C55" s="25" t="s">
        <v>77</v>
      </c>
      <c r="D55" s="25" t="s">
        <v>75</v>
      </c>
      <c r="E55" s="26">
        <v>300000</v>
      </c>
      <c r="F55" s="27">
        <v>308.64</v>
      </c>
      <c r="G55" s="28">
        <v>1.299644E-2</v>
      </c>
      <c r="H55" s="18">
        <v>6.8323999999999998</v>
      </c>
    </row>
    <row r="56" spans="1:8" x14ac:dyDescent="0.2">
      <c r="A56" s="16"/>
      <c r="B56" s="16"/>
      <c r="C56" s="17" t="s">
        <v>11</v>
      </c>
      <c r="D56" s="16"/>
      <c r="E56" s="16" t="s">
        <v>12</v>
      </c>
      <c r="F56" s="23">
        <v>7811.92695</v>
      </c>
      <c r="G56" s="20">
        <v>0.32895025</v>
      </c>
      <c r="H56" s="18" t="s">
        <v>12</v>
      </c>
    </row>
    <row r="57" spans="1:8" x14ac:dyDescent="0.2">
      <c r="A57" s="16"/>
      <c r="B57" s="16"/>
      <c r="C57" s="21"/>
      <c r="D57" s="16"/>
      <c r="E57" s="16"/>
      <c r="F57" s="22"/>
      <c r="G57" s="22"/>
      <c r="H57" s="18" t="s">
        <v>12</v>
      </c>
    </row>
    <row r="58" spans="1:8" x14ac:dyDescent="0.2">
      <c r="A58" s="16"/>
      <c r="B58" s="16"/>
      <c r="C58" s="17" t="s">
        <v>88</v>
      </c>
      <c r="D58" s="16"/>
      <c r="E58" s="16"/>
      <c r="F58" s="22"/>
      <c r="G58" s="22"/>
      <c r="H58" s="18" t="s">
        <v>12</v>
      </c>
    </row>
    <row r="59" spans="1:8" x14ac:dyDescent="0.2">
      <c r="A59" s="16"/>
      <c r="B59" s="16"/>
      <c r="C59" s="17" t="s">
        <v>11</v>
      </c>
      <c r="D59" s="16"/>
      <c r="E59" s="16" t="s">
        <v>12</v>
      </c>
      <c r="F59" s="19" t="s">
        <v>13</v>
      </c>
      <c r="G59" s="20">
        <v>0</v>
      </c>
      <c r="H59" s="18" t="s">
        <v>12</v>
      </c>
    </row>
    <row r="60" spans="1:8" x14ac:dyDescent="0.2">
      <c r="A60" s="16"/>
      <c r="B60" s="16"/>
      <c r="C60" s="21"/>
      <c r="D60" s="16"/>
      <c r="E60" s="16"/>
      <c r="F60" s="22"/>
      <c r="G60" s="22"/>
      <c r="H60" s="18" t="s">
        <v>12</v>
      </c>
    </row>
    <row r="61" spans="1:8" x14ac:dyDescent="0.2">
      <c r="A61" s="16"/>
      <c r="B61" s="16"/>
      <c r="C61" s="17" t="s">
        <v>89</v>
      </c>
      <c r="D61" s="16"/>
      <c r="E61" s="16"/>
      <c r="F61" s="23">
        <v>17237.148349999999</v>
      </c>
      <c r="G61" s="20">
        <v>0.72583425000000001</v>
      </c>
      <c r="H61" s="18" t="s">
        <v>12</v>
      </c>
    </row>
    <row r="62" spans="1:8" x14ac:dyDescent="0.2">
      <c r="A62" s="16"/>
      <c r="B62" s="16"/>
      <c r="C62" s="21"/>
      <c r="D62" s="16"/>
      <c r="E62" s="16"/>
      <c r="F62" s="22"/>
      <c r="G62" s="22"/>
      <c r="H62" s="18" t="s">
        <v>12</v>
      </c>
    </row>
    <row r="63" spans="1:8" x14ac:dyDescent="0.2">
      <c r="A63" s="16"/>
      <c r="B63" s="16"/>
      <c r="C63" s="17" t="s">
        <v>90</v>
      </c>
      <c r="D63" s="16"/>
      <c r="E63" s="16"/>
      <c r="F63" s="22"/>
      <c r="G63" s="22"/>
      <c r="H63" s="18" t="s">
        <v>12</v>
      </c>
    </row>
    <row r="64" spans="1:8" x14ac:dyDescent="0.2">
      <c r="A64" s="16"/>
      <c r="B64" s="16"/>
      <c r="C64" s="17" t="s">
        <v>91</v>
      </c>
      <c r="D64" s="16"/>
      <c r="E64" s="16"/>
      <c r="F64" s="22"/>
      <c r="G64" s="22"/>
      <c r="H64" s="18" t="s">
        <v>12</v>
      </c>
    </row>
    <row r="65" spans="1:8" x14ac:dyDescent="0.2">
      <c r="A65" s="24">
        <v>1</v>
      </c>
      <c r="B65" s="25" t="s">
        <v>267</v>
      </c>
      <c r="C65" s="25" t="s">
        <v>268</v>
      </c>
      <c r="D65" s="25" t="s">
        <v>146</v>
      </c>
      <c r="E65" s="26">
        <v>200</v>
      </c>
      <c r="F65" s="27">
        <v>931.95100000000002</v>
      </c>
      <c r="G65" s="28">
        <v>3.9243260000000002E-2</v>
      </c>
      <c r="H65" s="18">
        <v>7.55</v>
      </c>
    </row>
    <row r="66" spans="1:8" x14ac:dyDescent="0.2">
      <c r="A66" s="24">
        <v>2</v>
      </c>
      <c r="B66" s="25" t="s">
        <v>181</v>
      </c>
      <c r="C66" s="25" t="s">
        <v>182</v>
      </c>
      <c r="D66" s="25" t="s">
        <v>149</v>
      </c>
      <c r="E66" s="26">
        <v>100</v>
      </c>
      <c r="F66" s="27">
        <v>495.47</v>
      </c>
      <c r="G66" s="28">
        <v>2.0863610000000001E-2</v>
      </c>
      <c r="H66" s="18">
        <v>7.2550999999999997</v>
      </c>
    </row>
    <row r="67" spans="1:8" x14ac:dyDescent="0.2">
      <c r="A67" s="24">
        <v>3</v>
      </c>
      <c r="B67" s="25" t="s">
        <v>261</v>
      </c>
      <c r="C67" s="25" t="s">
        <v>262</v>
      </c>
      <c r="D67" s="25" t="s">
        <v>146</v>
      </c>
      <c r="E67" s="26">
        <v>100</v>
      </c>
      <c r="F67" s="27">
        <v>491.7285</v>
      </c>
      <c r="G67" s="28">
        <v>2.0706059999999998E-2</v>
      </c>
      <c r="H67" s="18">
        <v>7.2232000000000003</v>
      </c>
    </row>
    <row r="68" spans="1:8" x14ac:dyDescent="0.2">
      <c r="A68" s="24">
        <v>4</v>
      </c>
      <c r="B68" s="25" t="s">
        <v>165</v>
      </c>
      <c r="C68" s="25" t="s">
        <v>166</v>
      </c>
      <c r="D68" s="25" t="s">
        <v>146</v>
      </c>
      <c r="E68" s="26">
        <v>100</v>
      </c>
      <c r="F68" s="27">
        <v>483.56650000000002</v>
      </c>
      <c r="G68" s="28">
        <v>2.0362370000000001E-2</v>
      </c>
      <c r="H68" s="18">
        <v>7.6101000000000001</v>
      </c>
    </row>
    <row r="69" spans="1:8" x14ac:dyDescent="0.2">
      <c r="A69" s="16"/>
      <c r="B69" s="16"/>
      <c r="C69" s="17" t="s">
        <v>11</v>
      </c>
      <c r="D69" s="16"/>
      <c r="E69" s="16" t="s">
        <v>12</v>
      </c>
      <c r="F69" s="23">
        <v>2402.7159999999999</v>
      </c>
      <c r="G69" s="20">
        <v>0.1011753</v>
      </c>
      <c r="H69" s="18" t="s">
        <v>12</v>
      </c>
    </row>
    <row r="70" spans="1:8" x14ac:dyDescent="0.2">
      <c r="A70" s="16"/>
      <c r="B70" s="16"/>
      <c r="C70" s="21"/>
      <c r="D70" s="16"/>
      <c r="E70" s="16"/>
      <c r="F70" s="22"/>
      <c r="G70" s="22"/>
      <c r="H70" s="18" t="s">
        <v>12</v>
      </c>
    </row>
    <row r="71" spans="1:8" x14ac:dyDescent="0.2">
      <c r="A71" s="16"/>
      <c r="B71" s="16"/>
      <c r="C71" s="17" t="s">
        <v>92</v>
      </c>
      <c r="D71" s="16"/>
      <c r="E71" s="16"/>
      <c r="F71" s="22"/>
      <c r="G71" s="22"/>
      <c r="H71" s="18" t="s">
        <v>12</v>
      </c>
    </row>
    <row r="72" spans="1:8" x14ac:dyDescent="0.2">
      <c r="A72" s="16"/>
      <c r="B72" s="16"/>
      <c r="C72" s="17" t="s">
        <v>11</v>
      </c>
      <c r="D72" s="16"/>
      <c r="E72" s="16" t="s">
        <v>12</v>
      </c>
      <c r="F72" s="19" t="s">
        <v>13</v>
      </c>
      <c r="G72" s="20">
        <v>0</v>
      </c>
      <c r="H72" s="18" t="s">
        <v>12</v>
      </c>
    </row>
    <row r="73" spans="1:8" x14ac:dyDescent="0.2">
      <c r="A73" s="16"/>
      <c r="B73" s="16"/>
      <c r="C73" s="21"/>
      <c r="D73" s="16"/>
      <c r="E73" s="16"/>
      <c r="F73" s="22"/>
      <c r="G73" s="22"/>
      <c r="H73" s="18" t="s">
        <v>12</v>
      </c>
    </row>
    <row r="74" spans="1:8" x14ac:dyDescent="0.2">
      <c r="A74" s="16"/>
      <c r="B74" s="16"/>
      <c r="C74" s="17" t="s">
        <v>93</v>
      </c>
      <c r="D74" s="16"/>
      <c r="E74" s="16"/>
      <c r="F74" s="22"/>
      <c r="G74" s="22"/>
      <c r="H74" s="18" t="s">
        <v>12</v>
      </c>
    </row>
    <row r="75" spans="1:8" x14ac:dyDescent="0.2">
      <c r="A75" s="16"/>
      <c r="B75" s="16"/>
      <c r="C75" s="17" t="s">
        <v>11</v>
      </c>
      <c r="D75" s="16"/>
      <c r="E75" s="16" t="s">
        <v>12</v>
      </c>
      <c r="F75" s="19" t="s">
        <v>13</v>
      </c>
      <c r="G75" s="20">
        <v>0</v>
      </c>
      <c r="H75" s="18" t="s">
        <v>12</v>
      </c>
    </row>
    <row r="76" spans="1:8" x14ac:dyDescent="0.2">
      <c r="A76" s="16"/>
      <c r="B76" s="16"/>
      <c r="C76" s="21"/>
      <c r="D76" s="16"/>
      <c r="E76" s="16"/>
      <c r="F76" s="22"/>
      <c r="G76" s="22"/>
      <c r="H76" s="18" t="s">
        <v>12</v>
      </c>
    </row>
    <row r="77" spans="1:8" x14ac:dyDescent="0.2">
      <c r="A77" s="16"/>
      <c r="B77" s="16"/>
      <c r="C77" s="17" t="s">
        <v>94</v>
      </c>
      <c r="D77" s="16"/>
      <c r="E77" s="16"/>
      <c r="F77" s="22"/>
      <c r="G77" s="22"/>
      <c r="H77" s="18" t="s">
        <v>12</v>
      </c>
    </row>
    <row r="78" spans="1:8" x14ac:dyDescent="0.2">
      <c r="A78" s="24">
        <v>1</v>
      </c>
      <c r="B78" s="25"/>
      <c r="C78" s="25" t="s">
        <v>95</v>
      </c>
      <c r="D78" s="25"/>
      <c r="E78" s="29"/>
      <c r="F78" s="27">
        <v>3205.7331369939998</v>
      </c>
      <c r="G78" s="28">
        <v>0.13498932</v>
      </c>
      <c r="H78" s="18">
        <v>6.59</v>
      </c>
    </row>
    <row r="79" spans="1:8" x14ac:dyDescent="0.2">
      <c r="A79" s="16"/>
      <c r="B79" s="16"/>
      <c r="C79" s="17" t="s">
        <v>11</v>
      </c>
      <c r="D79" s="16"/>
      <c r="E79" s="16" t="s">
        <v>12</v>
      </c>
      <c r="F79" s="23">
        <v>3205.7331369939998</v>
      </c>
      <c r="G79" s="20">
        <v>0.13498932</v>
      </c>
      <c r="H79" s="18" t="s">
        <v>12</v>
      </c>
    </row>
    <row r="80" spans="1:8" x14ac:dyDescent="0.2">
      <c r="A80" s="16"/>
      <c r="B80" s="16"/>
      <c r="C80" s="21"/>
      <c r="D80" s="16"/>
      <c r="E80" s="16"/>
      <c r="F80" s="22"/>
      <c r="G80" s="22"/>
      <c r="H80" s="18" t="s">
        <v>12</v>
      </c>
    </row>
    <row r="81" spans="1:17" x14ac:dyDescent="0.2">
      <c r="A81" s="16"/>
      <c r="B81" s="16"/>
      <c r="C81" s="17" t="s">
        <v>96</v>
      </c>
      <c r="D81" s="16"/>
      <c r="E81" s="16"/>
      <c r="F81" s="23">
        <v>5608.4491369939997</v>
      </c>
      <c r="G81" s="20">
        <v>0.23616461999999999</v>
      </c>
      <c r="H81" s="18" t="s">
        <v>12</v>
      </c>
    </row>
    <row r="82" spans="1:17" x14ac:dyDescent="0.2">
      <c r="A82" s="16"/>
      <c r="B82" s="16"/>
      <c r="C82" s="22"/>
      <c r="D82" s="16"/>
      <c r="E82" s="16"/>
      <c r="F82" s="16"/>
      <c r="G82" s="16"/>
      <c r="H82" s="18" t="s">
        <v>12</v>
      </c>
    </row>
    <row r="83" spans="1:17" x14ac:dyDescent="0.2">
      <c r="A83" s="16"/>
      <c r="B83" s="16"/>
      <c r="C83" s="17" t="s">
        <v>97</v>
      </c>
      <c r="D83" s="16"/>
      <c r="E83" s="16"/>
      <c r="F83" s="16"/>
      <c r="G83" s="16"/>
      <c r="H83" s="18" t="s">
        <v>12</v>
      </c>
    </row>
    <row r="84" spans="1:17" x14ac:dyDescent="0.2">
      <c r="A84" s="16"/>
      <c r="B84" s="16"/>
      <c r="C84" s="17" t="s">
        <v>98</v>
      </c>
      <c r="D84" s="16"/>
      <c r="E84" s="16"/>
      <c r="F84" s="16"/>
      <c r="G84" s="16"/>
      <c r="H84" s="18" t="s">
        <v>12</v>
      </c>
    </row>
    <row r="85" spans="1:17" x14ac:dyDescent="0.2">
      <c r="A85" s="16"/>
      <c r="B85" s="16"/>
      <c r="C85" s="17" t="s">
        <v>11</v>
      </c>
      <c r="D85" s="16"/>
      <c r="E85" s="16" t="s">
        <v>12</v>
      </c>
      <c r="F85" s="19" t="s">
        <v>13</v>
      </c>
      <c r="G85" s="20">
        <v>0</v>
      </c>
      <c r="H85" s="18" t="s">
        <v>12</v>
      </c>
    </row>
    <row r="86" spans="1:17" x14ac:dyDescent="0.2">
      <c r="A86" s="30"/>
      <c r="B86" s="30"/>
      <c r="C86" s="31"/>
      <c r="D86" s="30"/>
      <c r="E86" s="30"/>
      <c r="F86" s="32"/>
      <c r="G86" s="32"/>
      <c r="H86" s="18" t="s">
        <v>12</v>
      </c>
    </row>
    <row r="87" spans="1:17" x14ac:dyDescent="0.2">
      <c r="A87" s="30"/>
      <c r="B87" s="30"/>
      <c r="C87" s="33" t="s">
        <v>579</v>
      </c>
      <c r="D87" s="30"/>
      <c r="E87" s="30"/>
      <c r="F87" s="32"/>
      <c r="G87" s="32"/>
      <c r="H87" s="34"/>
      <c r="K87" s="35"/>
      <c r="L87" s="35"/>
      <c r="M87" s="35"/>
      <c r="N87" s="35"/>
      <c r="O87" s="36"/>
      <c r="P87" s="36"/>
      <c r="Q87" s="36"/>
    </row>
    <row r="88" spans="1:17" ht="25.5" x14ac:dyDescent="0.2">
      <c r="A88" s="37">
        <v>1</v>
      </c>
      <c r="B88" s="38" t="s">
        <v>99</v>
      </c>
      <c r="C88" s="38" t="s">
        <v>100</v>
      </c>
      <c r="D88" s="38"/>
      <c r="E88" s="39">
        <v>511.47399999999999</v>
      </c>
      <c r="F88" s="34">
        <v>53.621365980999997</v>
      </c>
      <c r="G88" s="40">
        <v>2.25793E-3</v>
      </c>
      <c r="H88" s="18"/>
    </row>
    <row r="89" spans="1:17" x14ac:dyDescent="0.2">
      <c r="A89" s="30"/>
      <c r="B89" s="30"/>
      <c r="C89" s="33" t="s">
        <v>11</v>
      </c>
      <c r="D89" s="30"/>
      <c r="E89" s="30" t="s">
        <v>12</v>
      </c>
      <c r="F89" s="41">
        <f>SUM(F88)</f>
        <v>53.621365980999997</v>
      </c>
      <c r="G89" s="42">
        <f>SUM(G88)</f>
        <v>2.25793E-3</v>
      </c>
      <c r="H89" s="18" t="s">
        <v>12</v>
      </c>
    </row>
    <row r="90" spans="1:17" x14ac:dyDescent="0.2">
      <c r="A90" s="16"/>
      <c r="B90" s="16"/>
      <c r="C90" s="21"/>
      <c r="D90" s="16"/>
      <c r="E90" s="16"/>
      <c r="F90" s="22"/>
      <c r="G90" s="22"/>
      <c r="H90" s="18" t="s">
        <v>12</v>
      </c>
    </row>
    <row r="91" spans="1:17" x14ac:dyDescent="0.2">
      <c r="A91" s="16"/>
      <c r="B91" s="16"/>
      <c r="C91" s="17" t="s">
        <v>101</v>
      </c>
      <c r="D91" s="16"/>
      <c r="E91" s="16"/>
      <c r="F91" s="16"/>
      <c r="G91" s="16"/>
      <c r="H91" s="18" t="s">
        <v>12</v>
      </c>
    </row>
    <row r="92" spans="1:17" x14ac:dyDescent="0.2">
      <c r="A92" s="16"/>
      <c r="B92" s="16"/>
      <c r="C92" s="17" t="s">
        <v>102</v>
      </c>
      <c r="D92" s="16"/>
      <c r="E92" s="16"/>
      <c r="F92" s="16"/>
      <c r="G92" s="16"/>
      <c r="H92" s="18" t="s">
        <v>12</v>
      </c>
    </row>
    <row r="93" spans="1:17" x14ac:dyDescent="0.2">
      <c r="A93" s="16"/>
      <c r="B93" s="16"/>
      <c r="C93" s="17" t="s">
        <v>11</v>
      </c>
      <c r="D93" s="16"/>
      <c r="E93" s="16" t="s">
        <v>12</v>
      </c>
      <c r="F93" s="19" t="s">
        <v>13</v>
      </c>
      <c r="G93" s="20">
        <v>0</v>
      </c>
      <c r="H93" s="18" t="s">
        <v>12</v>
      </c>
    </row>
    <row r="94" spans="1:17" x14ac:dyDescent="0.2">
      <c r="A94" s="16"/>
      <c r="B94" s="16"/>
      <c r="C94" s="21"/>
      <c r="D94" s="16"/>
      <c r="E94" s="16"/>
      <c r="F94" s="22"/>
      <c r="G94" s="22"/>
      <c r="H94" s="18" t="s">
        <v>12</v>
      </c>
    </row>
    <row r="95" spans="1:17" x14ac:dyDescent="0.2">
      <c r="A95" s="16"/>
      <c r="B95" s="16"/>
      <c r="C95" s="17" t="s">
        <v>103</v>
      </c>
      <c r="D95" s="16"/>
      <c r="E95" s="16"/>
      <c r="F95" s="22"/>
      <c r="G95" s="22"/>
      <c r="H95" s="18" t="s">
        <v>12</v>
      </c>
    </row>
    <row r="96" spans="1:17" x14ac:dyDescent="0.2">
      <c r="A96" s="16"/>
      <c r="B96" s="16"/>
      <c r="C96" s="17" t="s">
        <v>11</v>
      </c>
      <c r="D96" s="16"/>
      <c r="E96" s="16" t="s">
        <v>12</v>
      </c>
      <c r="F96" s="19" t="s">
        <v>13</v>
      </c>
      <c r="G96" s="20">
        <v>0</v>
      </c>
      <c r="H96" s="18" t="s">
        <v>12</v>
      </c>
    </row>
    <row r="97" spans="1:10" x14ac:dyDescent="0.2">
      <c r="A97" s="16"/>
      <c r="B97" s="25"/>
      <c r="C97" s="25"/>
      <c r="D97" s="17"/>
      <c r="E97" s="16"/>
      <c r="F97" s="25"/>
      <c r="G97" s="29"/>
      <c r="H97" s="18" t="s">
        <v>12</v>
      </c>
    </row>
    <row r="98" spans="1:10" x14ac:dyDescent="0.2">
      <c r="A98" s="29"/>
      <c r="B98" s="25"/>
      <c r="C98" s="25" t="s">
        <v>104</v>
      </c>
      <c r="D98" s="25"/>
      <c r="E98" s="29"/>
      <c r="F98" s="27">
        <v>848.8316140149966</v>
      </c>
      <c r="G98" s="28">
        <v>3.5743209999999997E-2</v>
      </c>
      <c r="H98" s="18" t="s">
        <v>12</v>
      </c>
    </row>
    <row r="99" spans="1:10" x14ac:dyDescent="0.2">
      <c r="A99" s="21"/>
      <c r="B99" s="21"/>
      <c r="C99" s="17" t="s">
        <v>105</v>
      </c>
      <c r="D99" s="22"/>
      <c r="E99" s="22"/>
      <c r="F99" s="23">
        <v>23748.050466989996</v>
      </c>
      <c r="G99" s="43">
        <v>1.0000000099999999</v>
      </c>
      <c r="H99" s="18" t="s">
        <v>12</v>
      </c>
    </row>
    <row r="100" spans="1:10" x14ac:dyDescent="0.2">
      <c r="A100" s="44"/>
      <c r="B100" s="44"/>
      <c r="C100" s="44"/>
      <c r="D100" s="45"/>
      <c r="E100" s="45"/>
      <c r="F100" s="45"/>
      <c r="G100" s="45"/>
    </row>
    <row r="101" spans="1:10" x14ac:dyDescent="0.2">
      <c r="A101" s="46"/>
      <c r="B101" s="172" t="s">
        <v>580</v>
      </c>
      <c r="C101" s="172"/>
      <c r="D101" s="172"/>
      <c r="E101" s="172"/>
      <c r="F101" s="172"/>
      <c r="G101" s="172"/>
      <c r="H101" s="172"/>
    </row>
    <row r="102" spans="1:10" x14ac:dyDescent="0.2">
      <c r="A102" s="46"/>
      <c r="B102" s="172" t="s">
        <v>581</v>
      </c>
      <c r="C102" s="172"/>
      <c r="D102" s="172"/>
      <c r="E102" s="172"/>
      <c r="F102" s="172"/>
      <c r="G102" s="172"/>
      <c r="H102" s="172"/>
    </row>
    <row r="103" spans="1:10" x14ac:dyDescent="0.2">
      <c r="A103" s="46"/>
      <c r="B103" s="172" t="s">
        <v>582</v>
      </c>
      <c r="C103" s="172"/>
      <c r="D103" s="172"/>
      <c r="E103" s="172"/>
      <c r="F103" s="172"/>
      <c r="G103" s="172"/>
      <c r="H103" s="172"/>
    </row>
    <row r="104" spans="1:10" s="99" customFormat="1" ht="67.5" customHeight="1" x14ac:dyDescent="0.2">
      <c r="A104" s="98"/>
      <c r="B104" s="197" t="s">
        <v>665</v>
      </c>
      <c r="C104" s="197"/>
      <c r="D104" s="197"/>
      <c r="E104" s="197"/>
      <c r="F104" s="197"/>
      <c r="G104" s="197"/>
      <c r="H104" s="197"/>
      <c r="I104"/>
      <c r="J104"/>
    </row>
    <row r="105" spans="1:10" x14ac:dyDescent="0.2">
      <c r="A105" s="48"/>
      <c r="B105" s="48"/>
      <c r="C105" s="48"/>
      <c r="D105" s="49"/>
      <c r="E105" s="49"/>
      <c r="F105" s="49"/>
      <c r="G105" s="49"/>
    </row>
    <row r="106" spans="1:10" x14ac:dyDescent="0.2">
      <c r="A106" s="48"/>
      <c r="B106" s="176" t="s">
        <v>106</v>
      </c>
      <c r="C106" s="177"/>
      <c r="D106" s="178"/>
      <c r="E106" s="50"/>
      <c r="F106" s="49"/>
      <c r="G106" s="49"/>
    </row>
    <row r="107" spans="1:10" ht="25.5" x14ac:dyDescent="0.2">
      <c r="A107" s="48"/>
      <c r="B107" s="179" t="s">
        <v>107</v>
      </c>
      <c r="C107" s="180"/>
      <c r="D107" s="33" t="s">
        <v>615</v>
      </c>
      <c r="E107" s="50"/>
      <c r="F107" s="49"/>
      <c r="G107" s="49"/>
    </row>
    <row r="108" spans="1:10" x14ac:dyDescent="0.2">
      <c r="A108" s="48"/>
      <c r="B108" s="179" t="s">
        <v>109</v>
      </c>
      <c r="C108" s="180"/>
      <c r="D108" s="17" t="s">
        <v>108</v>
      </c>
      <c r="E108" s="50"/>
      <c r="F108" s="49"/>
      <c r="G108" s="49"/>
    </row>
    <row r="109" spans="1:10" x14ac:dyDescent="0.2">
      <c r="A109" s="48"/>
      <c r="B109" s="179" t="s">
        <v>110</v>
      </c>
      <c r="C109" s="180"/>
      <c r="D109" s="22" t="s">
        <v>12</v>
      </c>
      <c r="E109" s="50"/>
      <c r="F109" s="49"/>
      <c r="G109" s="49"/>
    </row>
    <row r="110" spans="1:10" x14ac:dyDescent="0.2">
      <c r="A110" s="51"/>
      <c r="B110" s="52" t="s">
        <v>12</v>
      </c>
      <c r="C110" s="52" t="s">
        <v>583</v>
      </c>
      <c r="D110" s="52" t="s">
        <v>111</v>
      </c>
      <c r="E110" s="51"/>
      <c r="F110" s="51"/>
      <c r="G110" s="51"/>
      <c r="H110" s="53"/>
    </row>
    <row r="111" spans="1:10" x14ac:dyDescent="0.2">
      <c r="A111" s="51"/>
      <c r="B111" s="54" t="s">
        <v>112</v>
      </c>
      <c r="C111" s="55">
        <v>45626</v>
      </c>
      <c r="D111" s="55">
        <v>45641</v>
      </c>
      <c r="E111" s="51"/>
      <c r="F111" s="51"/>
      <c r="G111" s="51"/>
    </row>
    <row r="112" spans="1:10" x14ac:dyDescent="0.2">
      <c r="A112" s="56"/>
      <c r="B112" s="25" t="s">
        <v>113</v>
      </c>
      <c r="C112" s="57">
        <v>45.521900000000002</v>
      </c>
      <c r="D112" s="57">
        <v>45.664900000000003</v>
      </c>
      <c r="E112" s="56"/>
      <c r="F112" s="58"/>
      <c r="G112" s="59"/>
    </row>
    <row r="113" spans="1:7" ht="25.5" x14ac:dyDescent="0.2">
      <c r="A113" s="56"/>
      <c r="B113" s="25" t="s">
        <v>605</v>
      </c>
      <c r="C113" s="57">
        <v>12.934100000000001</v>
      </c>
      <c r="D113" s="57">
        <v>12.9747</v>
      </c>
      <c r="E113" s="56"/>
      <c r="F113" s="58"/>
      <c r="G113" s="59"/>
    </row>
    <row r="114" spans="1:7" ht="25.5" x14ac:dyDescent="0.2">
      <c r="A114" s="56"/>
      <c r="B114" s="25" t="s">
        <v>606</v>
      </c>
      <c r="C114" s="57">
        <v>14.7149</v>
      </c>
      <c r="D114" s="57">
        <v>14.686</v>
      </c>
      <c r="E114" s="56"/>
      <c r="F114" s="58"/>
      <c r="G114" s="59"/>
    </row>
    <row r="115" spans="1:7" ht="25.5" x14ac:dyDescent="0.2">
      <c r="A115" s="56"/>
      <c r="B115" s="25" t="s">
        <v>607</v>
      </c>
      <c r="C115" s="57">
        <v>14.5441</v>
      </c>
      <c r="D115" s="57">
        <v>14.589700000000001</v>
      </c>
      <c r="E115" s="56"/>
      <c r="F115" s="58"/>
      <c r="G115" s="59"/>
    </row>
    <row r="116" spans="1:7" ht="25.5" x14ac:dyDescent="0.2">
      <c r="A116" s="56"/>
      <c r="B116" s="25" t="s">
        <v>608</v>
      </c>
      <c r="C116" s="57">
        <v>14.5459</v>
      </c>
      <c r="D116" s="57">
        <v>14.5915</v>
      </c>
      <c r="E116" s="56"/>
      <c r="F116" s="58"/>
      <c r="G116" s="59"/>
    </row>
    <row r="117" spans="1:7" x14ac:dyDescent="0.2">
      <c r="A117" s="56"/>
      <c r="B117" s="25" t="s">
        <v>114</v>
      </c>
      <c r="C117" s="57">
        <v>42.220199999999998</v>
      </c>
      <c r="D117" s="57">
        <v>42.343400000000003</v>
      </c>
      <c r="E117" s="56"/>
      <c r="F117" s="58"/>
      <c r="G117" s="59"/>
    </row>
    <row r="118" spans="1:7" x14ac:dyDescent="0.2">
      <c r="A118" s="56"/>
      <c r="B118" s="25" t="s">
        <v>142</v>
      </c>
      <c r="C118" s="57">
        <v>15.250999999999999</v>
      </c>
      <c r="D118" s="57">
        <v>15.295500000000001</v>
      </c>
      <c r="E118" s="56"/>
      <c r="F118" s="58"/>
      <c r="G118" s="59"/>
    </row>
    <row r="119" spans="1:7" ht="25.5" x14ac:dyDescent="0.2">
      <c r="A119" s="56"/>
      <c r="B119" s="25" t="s">
        <v>609</v>
      </c>
      <c r="C119" s="57">
        <v>12.8962</v>
      </c>
      <c r="D119" s="57">
        <v>12.9338</v>
      </c>
      <c r="E119" s="56"/>
      <c r="F119" s="58"/>
      <c r="G119" s="59"/>
    </row>
    <row r="120" spans="1:7" ht="25.5" x14ac:dyDescent="0.2">
      <c r="A120" s="56"/>
      <c r="B120" s="25" t="s">
        <v>610</v>
      </c>
      <c r="C120" s="57">
        <v>14.4255</v>
      </c>
      <c r="D120" s="57">
        <v>14.3925</v>
      </c>
      <c r="E120" s="56"/>
      <c r="F120" s="58"/>
      <c r="G120" s="59"/>
    </row>
    <row r="121" spans="1:7" ht="25.5" x14ac:dyDescent="0.2">
      <c r="A121" s="56"/>
      <c r="B121" s="25" t="s">
        <v>611</v>
      </c>
      <c r="C121" s="57">
        <v>14.255100000000001</v>
      </c>
      <c r="D121" s="57">
        <v>14.2967</v>
      </c>
      <c r="E121" s="56"/>
      <c r="F121" s="58"/>
      <c r="G121" s="59"/>
    </row>
    <row r="122" spans="1:7" ht="25.5" x14ac:dyDescent="0.2">
      <c r="A122" s="56"/>
      <c r="B122" s="25" t="s">
        <v>612</v>
      </c>
      <c r="C122" s="57">
        <v>14.255000000000001</v>
      </c>
      <c r="D122" s="57">
        <v>14.2966</v>
      </c>
      <c r="E122" s="56"/>
      <c r="F122" s="58"/>
      <c r="G122" s="59"/>
    </row>
    <row r="123" spans="1:7" x14ac:dyDescent="0.2">
      <c r="A123" s="56"/>
      <c r="B123" s="56"/>
      <c r="C123" s="56"/>
      <c r="D123" s="56"/>
      <c r="E123" s="56"/>
      <c r="F123" s="56"/>
      <c r="G123" s="56"/>
    </row>
    <row r="124" spans="1:7" x14ac:dyDescent="0.2">
      <c r="A124" s="56"/>
      <c r="B124" s="179" t="s">
        <v>598</v>
      </c>
      <c r="C124" s="180"/>
      <c r="D124" s="17" t="s">
        <v>12</v>
      </c>
      <c r="E124" s="56"/>
      <c r="F124" s="56"/>
      <c r="G124" s="56"/>
    </row>
    <row r="125" spans="1:7" x14ac:dyDescent="0.2">
      <c r="A125" s="56"/>
      <c r="B125" s="60" t="s">
        <v>112</v>
      </c>
      <c r="C125" s="61" t="s">
        <v>115</v>
      </c>
      <c r="D125" s="61" t="s">
        <v>116</v>
      </c>
      <c r="E125" s="56"/>
      <c r="F125" s="56"/>
      <c r="G125" s="56"/>
    </row>
    <row r="126" spans="1:7" ht="25.5" x14ac:dyDescent="0.2">
      <c r="A126" s="56"/>
      <c r="B126" s="25" t="s">
        <v>606</v>
      </c>
      <c r="C126" s="62">
        <v>7.4999999999999997E-2</v>
      </c>
      <c r="D126" s="29" t="s">
        <v>117</v>
      </c>
      <c r="E126" s="56"/>
      <c r="F126" s="58"/>
      <c r="G126" s="59"/>
    </row>
    <row r="127" spans="1:7" ht="25.5" x14ac:dyDescent="0.2">
      <c r="A127" s="56"/>
      <c r="B127" s="25" t="s">
        <v>610</v>
      </c>
      <c r="C127" s="62">
        <v>7.4999999999999997E-2</v>
      </c>
      <c r="D127" s="29" t="s">
        <v>117</v>
      </c>
      <c r="E127" s="56"/>
      <c r="F127" s="58"/>
      <c r="G127" s="59"/>
    </row>
    <row r="128" spans="1:7" x14ac:dyDescent="0.2">
      <c r="A128" s="56"/>
      <c r="B128" s="63"/>
      <c r="C128" s="63"/>
      <c r="D128" s="64"/>
      <c r="E128" s="56"/>
      <c r="F128" s="58"/>
      <c r="G128" s="59"/>
    </row>
    <row r="129" spans="1:19" s="67" customFormat="1" x14ac:dyDescent="0.2">
      <c r="A129" s="77"/>
      <c r="B129" s="173" t="s">
        <v>599</v>
      </c>
      <c r="C129" s="174"/>
      <c r="D129" s="33" t="s">
        <v>108</v>
      </c>
      <c r="E129" s="77"/>
      <c r="F129" s="77"/>
      <c r="G129" s="77"/>
      <c r="I129"/>
      <c r="J129" s="15"/>
      <c r="K129"/>
      <c r="L129" s="35"/>
      <c r="M129" s="35"/>
      <c r="N129" s="35"/>
      <c r="O129" s="73"/>
      <c r="P129"/>
      <c r="Q129"/>
    </row>
    <row r="130" spans="1:19" ht="25.5" customHeight="1" x14ac:dyDescent="0.2">
      <c r="A130" s="51"/>
      <c r="B130" s="173" t="s">
        <v>600</v>
      </c>
      <c r="C130" s="174"/>
      <c r="D130" s="33" t="s">
        <v>108</v>
      </c>
      <c r="E130" s="65"/>
      <c r="F130" s="51"/>
      <c r="G130" s="51"/>
      <c r="J130" s="15"/>
    </row>
    <row r="131" spans="1:19" ht="24.75" customHeight="1" x14ac:dyDescent="0.2">
      <c r="A131" s="51"/>
      <c r="B131" s="173" t="s">
        <v>601</v>
      </c>
      <c r="C131" s="174"/>
      <c r="D131" s="33" t="s">
        <v>108</v>
      </c>
      <c r="E131" s="65"/>
      <c r="F131" s="51"/>
      <c r="G131" s="51"/>
      <c r="J131" s="15"/>
    </row>
    <row r="132" spans="1:19" x14ac:dyDescent="0.2">
      <c r="A132" s="51"/>
      <c r="B132" s="173" t="s">
        <v>602</v>
      </c>
      <c r="C132" s="174"/>
      <c r="D132" s="33" t="s">
        <v>108</v>
      </c>
      <c r="E132" s="65"/>
      <c r="F132" s="51"/>
      <c r="G132" s="51"/>
      <c r="J132" s="15"/>
    </row>
    <row r="133" spans="1:19" x14ac:dyDescent="0.2">
      <c r="A133" s="66"/>
      <c r="B133" s="66"/>
      <c r="C133" s="66"/>
      <c r="D133" s="66"/>
      <c r="E133" s="66"/>
      <c r="F133" s="66"/>
      <c r="G133" s="66"/>
      <c r="J133" s="15"/>
    </row>
    <row r="134" spans="1:19" s="67" customFormat="1" x14ac:dyDescent="0.2">
      <c r="B134" s="181" t="s">
        <v>585</v>
      </c>
      <c r="C134" s="182"/>
      <c r="D134" s="183"/>
      <c r="I134"/>
      <c r="J134" s="15"/>
      <c r="K134"/>
      <c r="L134" s="35"/>
      <c r="M134" s="35"/>
      <c r="N134" s="35"/>
      <c r="O134" s="73"/>
      <c r="R134"/>
      <c r="S134"/>
    </row>
    <row r="135" spans="1:19" s="67" customFormat="1" ht="51" customHeight="1" x14ac:dyDescent="0.2">
      <c r="B135" s="175" t="s">
        <v>586</v>
      </c>
      <c r="C135" s="175"/>
      <c r="D135" s="68" t="s">
        <v>429</v>
      </c>
      <c r="I135"/>
      <c r="J135" s="15"/>
      <c r="K135"/>
      <c r="L135" s="35"/>
      <c r="M135" s="35"/>
      <c r="N135" s="35"/>
      <c r="O135" s="73"/>
      <c r="R135"/>
      <c r="S135"/>
    </row>
    <row r="136" spans="1:19" s="67" customFormat="1" x14ac:dyDescent="0.2">
      <c r="B136" s="167" t="s">
        <v>587</v>
      </c>
      <c r="C136" s="167"/>
      <c r="D136" s="69"/>
      <c r="I136"/>
      <c r="J136" s="15"/>
      <c r="K136"/>
      <c r="L136" s="35"/>
      <c r="M136" s="35"/>
      <c r="N136" s="35"/>
      <c r="O136" s="73"/>
      <c r="R136"/>
      <c r="S136"/>
    </row>
    <row r="137" spans="1:19" s="67" customFormat="1" x14ac:dyDescent="0.2">
      <c r="B137" s="167"/>
      <c r="C137" s="167"/>
      <c r="D137" s="70"/>
      <c r="I137"/>
      <c r="J137" s="15"/>
      <c r="K137"/>
      <c r="L137" s="35"/>
      <c r="M137" s="35"/>
      <c r="N137" s="35"/>
      <c r="O137" s="73"/>
      <c r="R137"/>
      <c r="S137"/>
    </row>
    <row r="138" spans="1:19" s="67" customFormat="1" x14ac:dyDescent="0.2">
      <c r="B138" s="167" t="s">
        <v>588</v>
      </c>
      <c r="C138" s="167"/>
      <c r="D138" s="71">
        <v>7.2918602000889656</v>
      </c>
      <c r="I138"/>
      <c r="J138" s="15"/>
      <c r="K138"/>
      <c r="L138" s="35"/>
      <c r="M138" s="35"/>
      <c r="N138" s="35"/>
      <c r="O138" s="73"/>
    </row>
    <row r="139" spans="1:19" s="67" customFormat="1" x14ac:dyDescent="0.2">
      <c r="B139" s="167"/>
      <c r="C139" s="167"/>
      <c r="D139" s="70"/>
      <c r="I139"/>
      <c r="J139" s="15"/>
      <c r="K139"/>
      <c r="L139" s="35"/>
      <c r="M139" s="35"/>
      <c r="N139" s="35"/>
      <c r="O139" s="73"/>
    </row>
    <row r="140" spans="1:19" s="67" customFormat="1" x14ac:dyDescent="0.2">
      <c r="B140" s="167" t="s">
        <v>589</v>
      </c>
      <c r="C140" s="167"/>
      <c r="D140" s="71">
        <v>2.7203431739304533</v>
      </c>
      <c r="I140"/>
      <c r="J140" s="15"/>
      <c r="K140"/>
      <c r="L140" s="35"/>
      <c r="M140" s="35"/>
      <c r="N140" s="35"/>
      <c r="O140" s="73"/>
    </row>
    <row r="141" spans="1:19" s="67" customFormat="1" x14ac:dyDescent="0.2">
      <c r="B141" s="167" t="s">
        <v>616</v>
      </c>
      <c r="C141" s="167"/>
      <c r="D141" s="71">
        <v>3.5281466443244063</v>
      </c>
      <c r="I141"/>
      <c r="J141" s="15"/>
      <c r="K141"/>
      <c r="L141" s="35"/>
      <c r="M141" s="35"/>
      <c r="N141" s="35"/>
      <c r="O141" s="73"/>
    </row>
    <row r="142" spans="1:19" s="67" customFormat="1" x14ac:dyDescent="0.2">
      <c r="B142" s="167"/>
      <c r="C142" s="167"/>
      <c r="D142" s="70"/>
      <c r="I142"/>
      <c r="J142" s="15"/>
      <c r="K142"/>
      <c r="L142" s="35"/>
      <c r="M142" s="35"/>
      <c r="N142" s="35"/>
      <c r="O142" s="73"/>
    </row>
    <row r="143" spans="1:19" s="67" customFormat="1" x14ac:dyDescent="0.2">
      <c r="B143" s="167" t="s">
        <v>591</v>
      </c>
      <c r="C143" s="167"/>
      <c r="D143" s="72" t="s">
        <v>694</v>
      </c>
      <c r="I143"/>
      <c r="J143" s="15"/>
      <c r="K143" s="35"/>
      <c r="L143" s="35"/>
      <c r="M143" s="35"/>
      <c r="N143" s="35"/>
      <c r="O143" s="73"/>
    </row>
    <row r="144" spans="1:19" s="67" customFormat="1" x14ac:dyDescent="0.2">
      <c r="B144" s="168" t="s">
        <v>592</v>
      </c>
      <c r="C144" s="170"/>
      <c r="D144" s="169"/>
      <c r="I144"/>
      <c r="J144" s="15"/>
      <c r="K144"/>
      <c r="L144" s="35"/>
      <c r="M144" s="35"/>
      <c r="N144" s="35"/>
      <c r="O144" s="73"/>
    </row>
    <row r="145" spans="2:15" x14ac:dyDescent="0.2">
      <c r="J145" s="15"/>
    </row>
    <row r="146" spans="2:15" ht="13.5" x14ac:dyDescent="0.2">
      <c r="B146" s="201" t="s">
        <v>695</v>
      </c>
      <c r="C146" s="201"/>
      <c r="D146" s="201"/>
      <c r="E146" s="201"/>
      <c r="F146" s="201"/>
      <c r="G146" s="201"/>
      <c r="H146" s="201"/>
    </row>
    <row r="147" spans="2:15" ht="13.5" x14ac:dyDescent="0.2">
      <c r="B147" s="100"/>
      <c r="C147" s="100"/>
      <c r="D147" s="100"/>
      <c r="E147" s="100"/>
      <c r="F147" s="100"/>
      <c r="G147" s="100"/>
      <c r="H147" s="100"/>
      <c r="J147" s="35"/>
      <c r="K147" s="35"/>
      <c r="L147" s="35"/>
      <c r="M147" s="35"/>
      <c r="N147" s="35"/>
      <c r="O147" s="35"/>
    </row>
    <row r="148" spans="2:15" ht="13.5" x14ac:dyDescent="0.25">
      <c r="B148" s="87" t="s">
        <v>624</v>
      </c>
      <c r="C148" s="87" t="s">
        <v>625</v>
      </c>
      <c r="D148" s="202" t="s">
        <v>619</v>
      </c>
      <c r="E148" s="203"/>
      <c r="F148" s="204"/>
      <c r="G148" s="205" t="s">
        <v>620</v>
      </c>
      <c r="H148" s="206"/>
      <c r="J148" s="35"/>
      <c r="K148" s="35"/>
      <c r="L148" s="35"/>
      <c r="M148" s="35"/>
      <c r="N148" s="35"/>
      <c r="O148" s="35"/>
    </row>
    <row r="149" spans="2:15" ht="27" x14ac:dyDescent="0.25">
      <c r="B149" s="88" t="s">
        <v>630</v>
      </c>
      <c r="C149" s="89" t="s">
        <v>654</v>
      </c>
      <c r="D149" s="198">
        <v>0</v>
      </c>
      <c r="E149" s="199"/>
      <c r="F149" s="200"/>
      <c r="G149" s="198">
        <v>0</v>
      </c>
      <c r="H149" s="200"/>
      <c r="J149" s="35"/>
      <c r="K149" s="35"/>
      <c r="L149" s="35"/>
      <c r="M149" s="35"/>
      <c r="N149" s="35"/>
      <c r="O149" s="35"/>
    </row>
    <row r="150" spans="2:15" ht="27" x14ac:dyDescent="0.25">
      <c r="B150" s="88" t="s">
        <v>626</v>
      </c>
      <c r="C150" s="89" t="s">
        <v>655</v>
      </c>
      <c r="D150" s="198">
        <v>0</v>
      </c>
      <c r="E150" s="199"/>
      <c r="F150" s="200"/>
      <c r="G150" s="198">
        <v>0</v>
      </c>
      <c r="H150" s="200"/>
      <c r="J150" s="35"/>
      <c r="K150" s="35"/>
      <c r="L150" s="35"/>
      <c r="M150" s="35"/>
      <c r="N150" s="35"/>
      <c r="O150" s="35"/>
    </row>
    <row r="151" spans="2:15" ht="27" x14ac:dyDescent="0.25">
      <c r="B151" s="88" t="s">
        <v>656</v>
      </c>
      <c r="C151" s="89" t="s">
        <v>657</v>
      </c>
      <c r="D151" s="198">
        <v>0</v>
      </c>
      <c r="E151" s="199"/>
      <c r="F151" s="200"/>
      <c r="G151" s="198">
        <v>0</v>
      </c>
      <c r="H151" s="200"/>
      <c r="J151" s="35"/>
      <c r="K151" s="35"/>
      <c r="L151" s="35"/>
      <c r="M151" s="35"/>
      <c r="N151" s="35"/>
      <c r="O151" s="35"/>
    </row>
    <row r="152" spans="2:15" ht="27" x14ac:dyDescent="0.25">
      <c r="B152" s="88" t="s">
        <v>628</v>
      </c>
      <c r="C152" s="89" t="s">
        <v>658</v>
      </c>
      <c r="D152" s="198">
        <v>0</v>
      </c>
      <c r="E152" s="199"/>
      <c r="F152" s="200"/>
      <c r="G152" s="198">
        <v>0</v>
      </c>
      <c r="H152" s="200"/>
      <c r="J152" s="35"/>
      <c r="K152" s="35"/>
      <c r="L152" s="35"/>
      <c r="M152" s="35"/>
      <c r="N152" s="35"/>
      <c r="O152" s="35"/>
    </row>
    <row r="153" spans="2:15" ht="13.5" x14ac:dyDescent="0.25">
      <c r="B153" s="88"/>
      <c r="C153" s="88"/>
      <c r="D153" s="193"/>
      <c r="E153" s="193"/>
      <c r="F153" s="193"/>
      <c r="G153" s="193"/>
      <c r="H153" s="193"/>
      <c r="J153" s="35"/>
      <c r="K153" s="35"/>
      <c r="L153" s="35"/>
      <c r="M153" s="35"/>
      <c r="N153" s="35"/>
      <c r="O153" s="35"/>
    </row>
    <row r="154" spans="2:15" ht="13.5" x14ac:dyDescent="0.25">
      <c r="B154" s="194" t="s">
        <v>632</v>
      </c>
      <c r="C154" s="194"/>
      <c r="D154" s="194"/>
      <c r="E154" s="194"/>
      <c r="F154" s="194"/>
      <c r="G154" s="194"/>
      <c r="H154" s="194"/>
      <c r="J154" s="35"/>
      <c r="K154" s="35"/>
      <c r="L154" s="35"/>
      <c r="M154" s="35"/>
      <c r="N154" s="35"/>
      <c r="O154" s="35"/>
    </row>
    <row r="155" spans="2:15" ht="13.5" customHeight="1" x14ac:dyDescent="0.2">
      <c r="B155" s="190" t="s">
        <v>624</v>
      </c>
      <c r="C155" s="190" t="s">
        <v>625</v>
      </c>
      <c r="D155" s="190" t="s">
        <v>633</v>
      </c>
      <c r="E155" s="190"/>
      <c r="F155" s="190"/>
      <c r="G155" s="190"/>
      <c r="H155" s="191" t="s">
        <v>634</v>
      </c>
      <c r="I155" s="191" t="s">
        <v>659</v>
      </c>
      <c r="J155" s="191" t="s">
        <v>636</v>
      </c>
      <c r="K155" s="35"/>
      <c r="L155" s="35"/>
      <c r="M155" s="35"/>
      <c r="N155" s="35"/>
      <c r="O155" s="35"/>
    </row>
    <row r="156" spans="2:15" ht="94.5" x14ac:dyDescent="0.2">
      <c r="B156" s="190"/>
      <c r="C156" s="190"/>
      <c r="D156" s="91" t="s">
        <v>637</v>
      </c>
      <c r="E156" s="91" t="s">
        <v>638</v>
      </c>
      <c r="F156" s="91" t="s">
        <v>639</v>
      </c>
      <c r="G156" s="91" t="s">
        <v>660</v>
      </c>
      <c r="H156" s="191"/>
      <c r="I156" s="191"/>
      <c r="J156" s="191"/>
      <c r="K156" s="35"/>
      <c r="L156" s="35"/>
      <c r="M156" s="35"/>
      <c r="N156" s="35"/>
      <c r="O156" s="35"/>
    </row>
    <row r="157" spans="2:15" ht="27" x14ac:dyDescent="0.25">
      <c r="B157" s="88" t="s">
        <v>630</v>
      </c>
      <c r="C157" s="89" t="s">
        <v>654</v>
      </c>
      <c r="D157" s="92">
        <v>3000</v>
      </c>
      <c r="E157" s="92">
        <v>198.60410960000002</v>
      </c>
      <c r="F157" s="93">
        <v>72.152053199999997</v>
      </c>
      <c r="G157" s="94">
        <v>3270.7561627999999</v>
      </c>
      <c r="H157" s="10">
        <v>1452.6372699999999</v>
      </c>
      <c r="I157" s="10">
        <f>2499839/10^5</f>
        <v>24.998390000000001</v>
      </c>
      <c r="J157" s="10">
        <f>H157+I157</f>
        <v>1477.6356599999999</v>
      </c>
      <c r="K157" s="35"/>
      <c r="L157" s="35"/>
      <c r="M157" s="35"/>
      <c r="N157" s="35"/>
      <c r="O157" s="35"/>
    </row>
    <row r="158" spans="2:15" ht="27" x14ac:dyDescent="0.25">
      <c r="B158" s="88" t="s">
        <v>626</v>
      </c>
      <c r="C158" s="89" t="s">
        <v>655</v>
      </c>
      <c r="D158" s="92">
        <v>500</v>
      </c>
      <c r="E158" s="92">
        <v>33.283561599999999</v>
      </c>
      <c r="F158" s="93">
        <v>12.091777499999999</v>
      </c>
      <c r="G158" s="94">
        <f>D158+E158+F158</f>
        <v>545.37533910000002</v>
      </c>
      <c r="H158" s="10">
        <v>242.22076999999999</v>
      </c>
      <c r="I158" s="10">
        <f>416840/10^5</f>
        <v>4.1684000000000001</v>
      </c>
      <c r="J158" s="10">
        <f>H158+I158</f>
        <v>246.38916999999998</v>
      </c>
      <c r="K158" s="35"/>
      <c r="L158" s="35"/>
      <c r="M158" s="35"/>
      <c r="N158" s="35"/>
      <c r="O158" s="35"/>
    </row>
    <row r="159" spans="2:15" ht="27" x14ac:dyDescent="0.25">
      <c r="B159" s="88" t="s">
        <v>656</v>
      </c>
      <c r="C159" s="89" t="s">
        <v>661</v>
      </c>
      <c r="D159" s="92">
        <v>2000</v>
      </c>
      <c r="E159" s="92">
        <v>39.762295099999996</v>
      </c>
      <c r="F159" s="93">
        <v>64.029485721917808</v>
      </c>
      <c r="G159" s="94">
        <v>2103.7917808219199</v>
      </c>
      <c r="H159" s="10">
        <v>933.64715000000001</v>
      </c>
      <c r="I159" s="10">
        <f>1606686/10^5</f>
        <v>16.066859999999998</v>
      </c>
      <c r="J159" s="10">
        <f>H159+I159</f>
        <v>949.71401000000003</v>
      </c>
      <c r="K159" s="35"/>
      <c r="L159" s="35"/>
      <c r="M159" s="35"/>
      <c r="N159" s="35"/>
      <c r="O159" s="35"/>
    </row>
    <row r="160" spans="2:15" ht="27" x14ac:dyDescent="0.25">
      <c r="B160" s="88" t="s">
        <v>628</v>
      </c>
      <c r="C160" s="89" t="s">
        <v>658</v>
      </c>
      <c r="D160" s="92">
        <v>1882.78</v>
      </c>
      <c r="E160" s="92">
        <v>137.066384</v>
      </c>
      <c r="F160" s="93">
        <v>34.266601500000007</v>
      </c>
      <c r="G160" s="94">
        <v>2054.1129854999999</v>
      </c>
      <c r="H160" s="10">
        <v>916.65184999999997</v>
      </c>
      <c r="I160" s="10">
        <f>1577458/10^5</f>
        <v>15.77458</v>
      </c>
      <c r="J160" s="10">
        <f>H160+I160</f>
        <v>932.42642999999998</v>
      </c>
      <c r="K160" s="35"/>
      <c r="L160" s="35"/>
      <c r="M160" s="35"/>
      <c r="N160" s="35"/>
      <c r="O160" s="35"/>
    </row>
    <row r="161" spans="2:15" ht="13.5" x14ac:dyDescent="0.25">
      <c r="B161" s="101"/>
      <c r="C161" s="102"/>
      <c r="D161" s="103"/>
      <c r="E161" s="103"/>
      <c r="F161" s="104"/>
      <c r="G161" s="105"/>
      <c r="H161" s="12"/>
      <c r="J161" s="15"/>
      <c r="K161" s="35"/>
      <c r="L161" s="35"/>
      <c r="M161" s="35"/>
      <c r="N161" s="35"/>
      <c r="O161" s="35"/>
    </row>
    <row r="162" spans="2:15" ht="39.75" customHeight="1" x14ac:dyDescent="0.2">
      <c r="B162" s="196" t="s">
        <v>662</v>
      </c>
      <c r="C162" s="196"/>
      <c r="D162" s="196"/>
      <c r="E162" s="196"/>
      <c r="F162" s="196"/>
      <c r="G162" s="196"/>
      <c r="H162" s="196"/>
      <c r="I162" s="196"/>
      <c r="J162" s="15"/>
      <c r="K162" s="35"/>
      <c r="L162" s="35"/>
      <c r="M162" s="35"/>
      <c r="N162" s="35"/>
      <c r="O162" s="35"/>
    </row>
    <row r="163" spans="2:15" x14ac:dyDescent="0.2">
      <c r="B163" s="35"/>
      <c r="C163" s="35"/>
      <c r="D163" s="35"/>
      <c r="E163" s="35"/>
      <c r="F163" s="35"/>
      <c r="G163" s="35"/>
      <c r="H163" s="35"/>
      <c r="J163" s="15"/>
      <c r="K163" s="35"/>
      <c r="L163" s="35"/>
      <c r="M163" s="35"/>
      <c r="N163" s="35"/>
      <c r="O163" s="35"/>
    </row>
    <row r="164" spans="2:15" ht="13.5" x14ac:dyDescent="0.25">
      <c r="B164" s="95" t="s">
        <v>641</v>
      </c>
      <c r="C164" s="35"/>
      <c r="D164" s="35"/>
      <c r="E164" s="35"/>
      <c r="F164" s="35"/>
      <c r="G164" s="35"/>
      <c r="H164" s="35"/>
      <c r="J164" s="15"/>
      <c r="K164" s="35"/>
      <c r="L164" s="35"/>
      <c r="M164" s="35"/>
      <c r="N164" s="35"/>
      <c r="O164" s="35"/>
    </row>
    <row r="165" spans="2:15" x14ac:dyDescent="0.2">
      <c r="B165" s="35"/>
      <c r="C165" s="35"/>
      <c r="D165" s="35"/>
      <c r="E165" s="35"/>
      <c r="F165" s="35"/>
      <c r="G165" s="35"/>
      <c r="H165" s="35"/>
      <c r="I165" s="35"/>
      <c r="J165" s="15"/>
      <c r="K165" s="35"/>
      <c r="L165" s="35"/>
      <c r="M165" s="35"/>
      <c r="N165" s="35"/>
      <c r="O165" s="35"/>
    </row>
    <row r="166" spans="2:15" x14ac:dyDescent="0.2">
      <c r="B166" s="96" t="s">
        <v>642</v>
      </c>
      <c r="C166" s="35"/>
      <c r="D166" s="35"/>
      <c r="E166" s="35"/>
      <c r="F166" s="35"/>
      <c r="G166" s="35"/>
      <c r="H166" s="35"/>
      <c r="I166" s="35"/>
      <c r="J166" s="15"/>
      <c r="K166" s="35"/>
      <c r="L166" s="35"/>
      <c r="M166" s="35"/>
      <c r="N166" s="35"/>
      <c r="O166" s="35"/>
    </row>
    <row r="167" spans="2:15" x14ac:dyDescent="0.2">
      <c r="B167" s="35"/>
      <c r="C167" s="35"/>
      <c r="D167" s="35"/>
      <c r="E167" s="35"/>
      <c r="F167" s="35"/>
      <c r="G167" s="35"/>
      <c r="H167" s="35"/>
      <c r="I167" s="35"/>
      <c r="J167" s="15"/>
      <c r="K167" s="35"/>
      <c r="L167" s="35"/>
      <c r="M167" s="35"/>
      <c r="N167" s="35"/>
      <c r="O167" s="35"/>
    </row>
    <row r="168" spans="2:15" x14ac:dyDescent="0.2">
      <c r="B168" s="96" t="s">
        <v>643</v>
      </c>
      <c r="C168" s="35"/>
      <c r="D168" s="35"/>
      <c r="E168" s="35"/>
      <c r="F168" s="35"/>
      <c r="G168" s="35"/>
      <c r="H168" s="35"/>
      <c r="I168" s="35"/>
      <c r="J168" s="15"/>
      <c r="K168" s="35"/>
      <c r="L168" s="35"/>
      <c r="M168" s="35"/>
      <c r="N168" s="35"/>
      <c r="O168" s="35"/>
    </row>
    <row r="169" spans="2:15" x14ac:dyDescent="0.2">
      <c r="I169" s="35"/>
      <c r="J169" s="15"/>
      <c r="K169" s="35"/>
      <c r="L169" s="35"/>
      <c r="M169" s="35"/>
      <c r="N169" s="35"/>
      <c r="O169" s="35"/>
    </row>
    <row r="170" spans="2:15" x14ac:dyDescent="0.2">
      <c r="B170" s="96" t="s">
        <v>644</v>
      </c>
      <c r="J170" s="15"/>
      <c r="K170" s="35"/>
      <c r="L170" s="35"/>
      <c r="M170" s="35"/>
      <c r="N170" s="35"/>
      <c r="O170" s="35"/>
    </row>
    <row r="171" spans="2:15" x14ac:dyDescent="0.2">
      <c r="I171" s="35"/>
      <c r="J171" s="15"/>
      <c r="K171" s="35"/>
      <c r="L171" s="35"/>
      <c r="M171" s="35"/>
      <c r="N171" s="35"/>
      <c r="O171" s="35"/>
    </row>
    <row r="172" spans="2:15" x14ac:dyDescent="0.2">
      <c r="B172" s="74" t="s">
        <v>593</v>
      </c>
    </row>
    <row r="174" spans="2:15" ht="153.75" customHeight="1" x14ac:dyDescent="0.2"/>
    <row r="177" spans="2:10" x14ac:dyDescent="0.2">
      <c r="B177" s="75" t="s">
        <v>594</v>
      </c>
      <c r="C177" s="76"/>
      <c r="D177" s="75" t="s">
        <v>595</v>
      </c>
    </row>
    <row r="178" spans="2:10" x14ac:dyDescent="0.2">
      <c r="B178" s="75" t="s">
        <v>663</v>
      </c>
      <c r="D178" s="75" t="s">
        <v>664</v>
      </c>
    </row>
    <row r="179" spans="2:10" ht="165" customHeight="1" x14ac:dyDescent="0.2"/>
    <row r="181" spans="2:10" x14ac:dyDescent="0.2">
      <c r="J181" s="15"/>
    </row>
  </sheetData>
  <mergeCells count="48">
    <mergeCell ref="B134:D134"/>
    <mergeCell ref="B103:H103"/>
    <mergeCell ref="B131:C131"/>
    <mergeCell ref="B132:C132"/>
    <mergeCell ref="B106:D106"/>
    <mergeCell ref="B107:C107"/>
    <mergeCell ref="B108:C108"/>
    <mergeCell ref="B109:C109"/>
    <mergeCell ref="B124:C124"/>
    <mergeCell ref="B130:C130"/>
    <mergeCell ref="B129:C129"/>
    <mergeCell ref="A1:H1"/>
    <mergeCell ref="A2:H2"/>
    <mergeCell ref="A3:H3"/>
    <mergeCell ref="B101:H101"/>
    <mergeCell ref="B102:H102"/>
    <mergeCell ref="B135:C135"/>
    <mergeCell ref="B136:C136"/>
    <mergeCell ref="B137:C137"/>
    <mergeCell ref="B138:C138"/>
    <mergeCell ref="B139:C139"/>
    <mergeCell ref="B140:C140"/>
    <mergeCell ref="B141:C141"/>
    <mergeCell ref="B142:C142"/>
    <mergeCell ref="B143:C143"/>
    <mergeCell ref="B144:D144"/>
    <mergeCell ref="G152:H152"/>
    <mergeCell ref="B146:H146"/>
    <mergeCell ref="D148:F148"/>
    <mergeCell ref="G148:H148"/>
    <mergeCell ref="D149:F149"/>
    <mergeCell ref="G149:H149"/>
    <mergeCell ref="I155:I156"/>
    <mergeCell ref="J155:J156"/>
    <mergeCell ref="B162:I162"/>
    <mergeCell ref="B104:H104"/>
    <mergeCell ref="D153:F153"/>
    <mergeCell ref="G153:H153"/>
    <mergeCell ref="B154:H154"/>
    <mergeCell ref="B155:B156"/>
    <mergeCell ref="C155:C156"/>
    <mergeCell ref="D155:G155"/>
    <mergeCell ref="H155:H156"/>
    <mergeCell ref="D150:F150"/>
    <mergeCell ref="G150:H150"/>
    <mergeCell ref="D151:F151"/>
    <mergeCell ref="G151:H151"/>
    <mergeCell ref="D152:F152"/>
  </mergeCells>
  <hyperlinks>
    <hyperlink ref="I1" location="Index!B2" display="Index" xr:uid="{4F620667-9779-4744-8B6D-D28A25ABB15C}"/>
    <hyperlink ref="B166" r:id="rId1" xr:uid="{1CC4AD26-E39B-4565-8ACE-7599A40AAE20}"/>
    <hyperlink ref="B168" r:id="rId2" xr:uid="{D49B8D9A-3716-4E3E-85E3-5734DABD1DF8}"/>
    <hyperlink ref="B170" r:id="rId3" xr:uid="{ED6A95B6-DD57-4AB5-894D-31204A6D4AB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5C73-6CFA-4C28-9109-55AB19082E6B}">
  <sheetPr>
    <outlinePr summaryBelow="0" summaryRight="0"/>
  </sheetPr>
  <dimension ref="A1:Q200"/>
  <sheetViews>
    <sheetView showGridLines="0" workbookViewId="0">
      <selection sqref="A1:H1"/>
    </sheetView>
  </sheetViews>
  <sheetFormatPr defaultRowHeight="12.75" x14ac:dyDescent="0.2"/>
  <cols>
    <col min="1" max="1" width="5.85546875" bestFit="1" customWidth="1"/>
    <col min="2" max="2" width="20.28515625" bestFit="1" customWidth="1"/>
    <col min="3" max="3" width="45.5703125" customWidth="1"/>
    <col min="4" max="4" width="17.5703125" customWidth="1"/>
    <col min="5" max="5" width="9.42578125" bestFit="1" customWidth="1"/>
    <col min="6" max="6" width="14.42578125" customWidth="1"/>
    <col min="7" max="7" width="14" bestFit="1" customWidth="1"/>
    <col min="8" max="8" width="8.85546875" bestFit="1" customWidth="1"/>
    <col min="9" max="9" width="11.5703125" bestFit="1" customWidth="1"/>
  </cols>
  <sheetData>
    <row r="1" spans="1:9" ht="15" x14ac:dyDescent="0.2">
      <c r="A1" s="171" t="s">
        <v>0</v>
      </c>
      <c r="B1" s="171"/>
      <c r="C1" s="171"/>
      <c r="D1" s="171"/>
      <c r="E1" s="171"/>
      <c r="F1" s="171"/>
      <c r="G1" s="171"/>
      <c r="H1" s="171"/>
      <c r="I1" s="7" t="s">
        <v>576</v>
      </c>
    </row>
    <row r="2" spans="1:9" ht="15" x14ac:dyDescent="0.2">
      <c r="A2" s="171" t="s">
        <v>445</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578</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446</v>
      </c>
      <c r="C28" s="25" t="s">
        <v>447</v>
      </c>
      <c r="D28" s="25" t="s">
        <v>227</v>
      </c>
      <c r="E28" s="26">
        <v>750</v>
      </c>
      <c r="F28" s="27">
        <v>7497.09</v>
      </c>
      <c r="G28" s="28">
        <v>3.4367660000000001E-2</v>
      </c>
      <c r="H28" s="18">
        <v>7.43</v>
      </c>
    </row>
    <row r="29" spans="1:8" x14ac:dyDescent="0.2">
      <c r="A29" s="24">
        <v>2</v>
      </c>
      <c r="B29" s="25" t="s">
        <v>233</v>
      </c>
      <c r="C29" s="25" t="s">
        <v>234</v>
      </c>
      <c r="D29" s="25" t="s">
        <v>230</v>
      </c>
      <c r="E29" s="26">
        <v>7000</v>
      </c>
      <c r="F29" s="27">
        <v>7038.5559999999996</v>
      </c>
      <c r="G29" s="28">
        <v>3.2265679999999998E-2</v>
      </c>
      <c r="H29" s="18">
        <v>8.2608999999999995</v>
      </c>
    </row>
    <row r="30" spans="1:8" x14ac:dyDescent="0.2">
      <c r="A30" s="24">
        <v>3</v>
      </c>
      <c r="B30" s="25" t="s">
        <v>228</v>
      </c>
      <c r="C30" s="25" t="s">
        <v>229</v>
      </c>
      <c r="D30" s="25" t="s">
        <v>230</v>
      </c>
      <c r="E30" s="26">
        <v>3000</v>
      </c>
      <c r="F30" s="27">
        <v>3013.4279999999999</v>
      </c>
      <c r="G30" s="28">
        <v>1.381396E-2</v>
      </c>
      <c r="H30" s="18">
        <v>8.7797999999999998</v>
      </c>
    </row>
    <row r="31" spans="1:8" x14ac:dyDescent="0.2">
      <c r="A31" s="24">
        <v>4</v>
      </c>
      <c r="B31" s="25" t="s">
        <v>448</v>
      </c>
      <c r="C31" s="25" t="s">
        <v>449</v>
      </c>
      <c r="D31" s="25" t="s">
        <v>23</v>
      </c>
      <c r="E31" s="26">
        <v>300</v>
      </c>
      <c r="F31" s="27">
        <v>2987.877</v>
      </c>
      <c r="G31" s="28">
        <v>1.369683E-2</v>
      </c>
      <c r="H31" s="18">
        <v>7.4</v>
      </c>
    </row>
    <row r="32" spans="1:8" x14ac:dyDescent="0.2">
      <c r="A32" s="24">
        <v>5</v>
      </c>
      <c r="B32" s="25" t="s">
        <v>450</v>
      </c>
      <c r="C32" s="25" t="s">
        <v>451</v>
      </c>
      <c r="D32" s="25" t="s">
        <v>254</v>
      </c>
      <c r="E32" s="26">
        <v>2500</v>
      </c>
      <c r="F32" s="27">
        <v>2501.5625</v>
      </c>
      <c r="G32" s="28">
        <v>1.14675E-2</v>
      </c>
      <c r="H32" s="18">
        <v>7.6749999999999998</v>
      </c>
    </row>
    <row r="33" spans="1:8" ht="25.5" x14ac:dyDescent="0.2">
      <c r="A33" s="24">
        <v>6</v>
      </c>
      <c r="B33" s="25" t="s">
        <v>452</v>
      </c>
      <c r="C33" s="25" t="s">
        <v>453</v>
      </c>
      <c r="D33" s="25" t="s">
        <v>254</v>
      </c>
      <c r="E33" s="26">
        <v>250000</v>
      </c>
      <c r="F33" s="27">
        <v>2499.66</v>
      </c>
      <c r="G33" s="28">
        <v>1.145878E-2</v>
      </c>
      <c r="H33" s="18">
        <v>7.9107000000000003</v>
      </c>
    </row>
    <row r="34" spans="1:8" ht="25.5" x14ac:dyDescent="0.2">
      <c r="A34" s="24">
        <v>7</v>
      </c>
      <c r="B34" s="25" t="s">
        <v>57</v>
      </c>
      <c r="C34" s="25" t="s">
        <v>58</v>
      </c>
      <c r="D34" s="25" t="s">
        <v>23</v>
      </c>
      <c r="E34" s="26">
        <v>2500</v>
      </c>
      <c r="F34" s="27">
        <v>2498.0075000000002</v>
      </c>
      <c r="G34" s="28">
        <v>1.14512E-2</v>
      </c>
      <c r="H34" s="18">
        <v>7.59</v>
      </c>
    </row>
    <row r="35" spans="1:8" x14ac:dyDescent="0.2">
      <c r="A35" s="24">
        <v>8</v>
      </c>
      <c r="B35" s="25" t="s">
        <v>454</v>
      </c>
      <c r="C35" s="25" t="s">
        <v>455</v>
      </c>
      <c r="D35" s="25" t="s">
        <v>23</v>
      </c>
      <c r="E35" s="26">
        <v>250</v>
      </c>
      <c r="F35" s="27">
        <v>2489.81</v>
      </c>
      <c r="G35" s="28">
        <v>1.1413619999999999E-2</v>
      </c>
      <c r="H35" s="18">
        <v>7.9249999999999998</v>
      </c>
    </row>
    <row r="36" spans="1:8" ht="25.5" x14ac:dyDescent="0.2">
      <c r="A36" s="24">
        <v>9</v>
      </c>
      <c r="B36" s="25" t="s">
        <v>456</v>
      </c>
      <c r="C36" s="25" t="s">
        <v>457</v>
      </c>
      <c r="D36" s="25" t="s">
        <v>23</v>
      </c>
      <c r="E36" s="26">
        <v>250</v>
      </c>
      <c r="F36" s="27">
        <v>2468.3874999999998</v>
      </c>
      <c r="G36" s="28">
        <v>1.131542E-2</v>
      </c>
      <c r="H36" s="18">
        <v>7.665</v>
      </c>
    </row>
    <row r="37" spans="1:8" ht="25.5" x14ac:dyDescent="0.2">
      <c r="A37" s="24">
        <v>10</v>
      </c>
      <c r="B37" s="25" t="s">
        <v>252</v>
      </c>
      <c r="C37" s="25" t="s">
        <v>253</v>
      </c>
      <c r="D37" s="25" t="s">
        <v>254</v>
      </c>
      <c r="E37" s="26">
        <v>200</v>
      </c>
      <c r="F37" s="27">
        <v>2003.5820000000001</v>
      </c>
      <c r="G37" s="28">
        <v>9.1846900000000006E-3</v>
      </c>
      <c r="H37" s="18">
        <v>8.1957000000000004</v>
      </c>
    </row>
    <row r="38" spans="1:8" x14ac:dyDescent="0.2">
      <c r="A38" s="24">
        <v>11</v>
      </c>
      <c r="B38" s="25" t="s">
        <v>225</v>
      </c>
      <c r="C38" s="25" t="s">
        <v>226</v>
      </c>
      <c r="D38" s="25" t="s">
        <v>227</v>
      </c>
      <c r="E38" s="26">
        <v>1600</v>
      </c>
      <c r="F38" s="27">
        <v>1611.3871999999999</v>
      </c>
      <c r="G38" s="28">
        <v>7.3868099999999997E-3</v>
      </c>
      <c r="H38" s="18">
        <v>7.91</v>
      </c>
    </row>
    <row r="39" spans="1:8" x14ac:dyDescent="0.2">
      <c r="A39" s="24">
        <v>12</v>
      </c>
      <c r="B39" s="25" t="s">
        <v>61</v>
      </c>
      <c r="C39" s="25" t="s">
        <v>62</v>
      </c>
      <c r="D39" s="25" t="s">
        <v>23</v>
      </c>
      <c r="E39" s="26">
        <v>1500</v>
      </c>
      <c r="F39" s="27">
        <v>1499.8215</v>
      </c>
      <c r="G39" s="28">
        <v>6.8753800000000004E-3</v>
      </c>
      <c r="H39" s="18">
        <v>8.0299999999999994</v>
      </c>
    </row>
    <row r="40" spans="1:8" x14ac:dyDescent="0.2">
      <c r="A40" s="24">
        <v>13</v>
      </c>
      <c r="B40" s="25" t="s">
        <v>237</v>
      </c>
      <c r="C40" s="25" t="s">
        <v>238</v>
      </c>
      <c r="D40" s="25" t="s">
        <v>23</v>
      </c>
      <c r="E40" s="26">
        <v>1500</v>
      </c>
      <c r="F40" s="27">
        <v>1498.8689999999999</v>
      </c>
      <c r="G40" s="28">
        <v>6.8710200000000003E-3</v>
      </c>
      <c r="H40" s="18">
        <v>7.5650000000000004</v>
      </c>
    </row>
    <row r="41" spans="1:8" x14ac:dyDescent="0.2">
      <c r="A41" s="24">
        <v>14</v>
      </c>
      <c r="B41" s="25" t="s">
        <v>248</v>
      </c>
      <c r="C41" s="25" t="s">
        <v>249</v>
      </c>
      <c r="D41" s="25" t="s">
        <v>230</v>
      </c>
      <c r="E41" s="26">
        <v>1000</v>
      </c>
      <c r="F41" s="27">
        <v>1005.254</v>
      </c>
      <c r="G41" s="28">
        <v>4.6082199999999997E-3</v>
      </c>
      <c r="H41" s="18">
        <v>8.68</v>
      </c>
    </row>
    <row r="42" spans="1:8" x14ac:dyDescent="0.2">
      <c r="A42" s="16"/>
      <c r="B42" s="16"/>
      <c r="C42" s="17" t="s">
        <v>11</v>
      </c>
      <c r="D42" s="16"/>
      <c r="E42" s="16" t="s">
        <v>12</v>
      </c>
      <c r="F42" s="23">
        <f>SUM(F28:F41)</f>
        <v>40613.292199999996</v>
      </c>
      <c r="G42" s="20">
        <f>SUM(G28:G41)</f>
        <v>0.18617676999999999</v>
      </c>
      <c r="H42" s="18" t="s">
        <v>12</v>
      </c>
    </row>
    <row r="43" spans="1:8" x14ac:dyDescent="0.2">
      <c r="A43" s="16"/>
      <c r="B43" s="16"/>
      <c r="C43" s="21"/>
      <c r="D43" s="16"/>
      <c r="E43" s="16"/>
      <c r="F43" s="22"/>
      <c r="G43" s="22"/>
      <c r="H43" s="18" t="s">
        <v>12</v>
      </c>
    </row>
    <row r="44" spans="1:8" x14ac:dyDescent="0.2">
      <c r="A44" s="16"/>
      <c r="B44" s="16"/>
      <c r="C44" s="17" t="s">
        <v>71</v>
      </c>
      <c r="D44" s="16"/>
      <c r="E44" s="16"/>
      <c r="F44" s="16"/>
      <c r="G44" s="16"/>
      <c r="H44" s="18" t="s">
        <v>12</v>
      </c>
    </row>
    <row r="45" spans="1:8" x14ac:dyDescent="0.2">
      <c r="A45" s="16"/>
      <c r="B45" s="16"/>
      <c r="C45" s="17" t="s">
        <v>11</v>
      </c>
      <c r="D45" s="16"/>
      <c r="E45" s="16" t="s">
        <v>12</v>
      </c>
      <c r="F45" s="19" t="s">
        <v>13</v>
      </c>
      <c r="G45" s="20">
        <v>0</v>
      </c>
      <c r="H45" s="18" t="s">
        <v>12</v>
      </c>
    </row>
    <row r="46" spans="1:8" x14ac:dyDescent="0.2">
      <c r="A46" s="16"/>
      <c r="B46" s="16"/>
      <c r="C46" s="21"/>
      <c r="D46" s="16"/>
      <c r="E46" s="16"/>
      <c r="F46" s="22"/>
      <c r="G46" s="22"/>
      <c r="H46" s="18" t="s">
        <v>12</v>
      </c>
    </row>
    <row r="47" spans="1:8" x14ac:dyDescent="0.2">
      <c r="A47" s="16"/>
      <c r="B47" s="16"/>
      <c r="C47" s="17" t="s">
        <v>72</v>
      </c>
      <c r="D47" s="16"/>
      <c r="E47" s="16"/>
      <c r="F47" s="16"/>
      <c r="G47" s="16"/>
      <c r="H47" s="18" t="s">
        <v>12</v>
      </c>
    </row>
    <row r="48" spans="1:8" x14ac:dyDescent="0.2">
      <c r="A48" s="16"/>
      <c r="B48" s="16"/>
      <c r="C48" s="17" t="s">
        <v>11</v>
      </c>
      <c r="D48" s="16"/>
      <c r="E48" s="16" t="s">
        <v>12</v>
      </c>
      <c r="F48" s="19" t="s">
        <v>13</v>
      </c>
      <c r="G48" s="20">
        <v>0</v>
      </c>
      <c r="H48" s="18" t="s">
        <v>12</v>
      </c>
    </row>
    <row r="49" spans="1:8" x14ac:dyDescent="0.2">
      <c r="A49" s="16"/>
      <c r="B49" s="16"/>
      <c r="C49" s="21"/>
      <c r="D49" s="16"/>
      <c r="E49" s="16"/>
      <c r="F49" s="22"/>
      <c r="G49" s="22"/>
      <c r="H49" s="18" t="s">
        <v>12</v>
      </c>
    </row>
    <row r="50" spans="1:8" x14ac:dyDescent="0.2">
      <c r="A50" s="16"/>
      <c r="B50" s="16"/>
      <c r="C50" s="17" t="s">
        <v>88</v>
      </c>
      <c r="D50" s="16"/>
      <c r="E50" s="16"/>
      <c r="F50" s="22"/>
      <c r="G50" s="22"/>
      <c r="H50" s="18" t="s">
        <v>12</v>
      </c>
    </row>
    <row r="51" spans="1:8" x14ac:dyDescent="0.2">
      <c r="A51" s="16"/>
      <c r="B51" s="16"/>
      <c r="C51" s="17" t="s">
        <v>11</v>
      </c>
      <c r="D51" s="16"/>
      <c r="E51" s="16" t="s">
        <v>12</v>
      </c>
      <c r="F51" s="19" t="s">
        <v>13</v>
      </c>
      <c r="G51" s="20">
        <v>0</v>
      </c>
      <c r="H51" s="18" t="s">
        <v>12</v>
      </c>
    </row>
    <row r="52" spans="1:8" x14ac:dyDescent="0.2">
      <c r="A52" s="16"/>
      <c r="B52" s="16"/>
      <c r="C52" s="21"/>
      <c r="D52" s="16"/>
      <c r="E52" s="16"/>
      <c r="F52" s="22"/>
      <c r="G52" s="22"/>
      <c r="H52" s="18" t="s">
        <v>12</v>
      </c>
    </row>
    <row r="53" spans="1:8" x14ac:dyDescent="0.2">
      <c r="A53" s="16"/>
      <c r="B53" s="16"/>
      <c r="C53" s="17" t="s">
        <v>89</v>
      </c>
      <c r="D53" s="16"/>
      <c r="E53" s="16"/>
      <c r="F53" s="23">
        <f>F42</f>
        <v>40613.292199999996</v>
      </c>
      <c r="G53" s="20">
        <f>G42</f>
        <v>0.18617676999999999</v>
      </c>
      <c r="H53" s="18" t="s">
        <v>12</v>
      </c>
    </row>
    <row r="54" spans="1:8" x14ac:dyDescent="0.2">
      <c r="A54" s="16"/>
      <c r="B54" s="16"/>
      <c r="C54" s="21"/>
      <c r="D54" s="16"/>
      <c r="E54" s="16"/>
      <c r="F54" s="22"/>
      <c r="G54" s="22"/>
      <c r="H54" s="18" t="s">
        <v>12</v>
      </c>
    </row>
    <row r="55" spans="1:8" x14ac:dyDescent="0.2">
      <c r="A55" s="16"/>
      <c r="B55" s="16"/>
      <c r="C55" s="17" t="s">
        <v>90</v>
      </c>
      <c r="D55" s="16"/>
      <c r="E55" s="16"/>
      <c r="F55" s="22"/>
      <c r="G55" s="22"/>
      <c r="H55" s="18" t="s">
        <v>12</v>
      </c>
    </row>
    <row r="56" spans="1:8" x14ac:dyDescent="0.2">
      <c r="A56" s="16"/>
      <c r="B56" s="16"/>
      <c r="C56" s="17" t="s">
        <v>91</v>
      </c>
      <c r="D56" s="16"/>
      <c r="E56" s="16"/>
      <c r="F56" s="22"/>
      <c r="G56" s="22"/>
      <c r="H56" s="18" t="s">
        <v>12</v>
      </c>
    </row>
    <row r="57" spans="1:8" x14ac:dyDescent="0.2">
      <c r="A57" s="24">
        <v>1</v>
      </c>
      <c r="B57" s="25" t="s">
        <v>261</v>
      </c>
      <c r="C57" s="25" t="s">
        <v>262</v>
      </c>
      <c r="D57" s="25" t="s">
        <v>146</v>
      </c>
      <c r="E57" s="26">
        <v>1500</v>
      </c>
      <c r="F57" s="27">
        <v>7375.9274999999998</v>
      </c>
      <c r="G57" s="28">
        <v>3.381224E-2</v>
      </c>
      <c r="H57" s="18">
        <v>7.2232000000000003</v>
      </c>
    </row>
    <row r="58" spans="1:8" x14ac:dyDescent="0.2">
      <c r="A58" s="24">
        <v>2</v>
      </c>
      <c r="B58" s="25" t="s">
        <v>458</v>
      </c>
      <c r="C58" s="25" t="s">
        <v>459</v>
      </c>
      <c r="D58" s="25" t="s">
        <v>146</v>
      </c>
      <c r="E58" s="26">
        <v>1000</v>
      </c>
      <c r="F58" s="27">
        <v>4928.3450000000003</v>
      </c>
      <c r="G58" s="28">
        <v>2.2592190000000002E-2</v>
      </c>
      <c r="H58" s="18">
        <v>7.2698999999999998</v>
      </c>
    </row>
    <row r="59" spans="1:8" x14ac:dyDescent="0.2">
      <c r="A59" s="24">
        <v>3</v>
      </c>
      <c r="B59" s="25" t="s">
        <v>159</v>
      </c>
      <c r="C59" s="25" t="s">
        <v>160</v>
      </c>
      <c r="D59" s="25" t="s">
        <v>149</v>
      </c>
      <c r="E59" s="26">
        <v>1000</v>
      </c>
      <c r="F59" s="27">
        <v>4659.335</v>
      </c>
      <c r="G59" s="28">
        <v>2.1359010000000001E-2</v>
      </c>
      <c r="H59" s="18">
        <v>7.5601000000000003</v>
      </c>
    </row>
    <row r="60" spans="1:8" x14ac:dyDescent="0.2">
      <c r="A60" s="24">
        <v>4</v>
      </c>
      <c r="B60" s="25" t="s">
        <v>460</v>
      </c>
      <c r="C60" s="25" t="s">
        <v>461</v>
      </c>
      <c r="D60" s="25" t="s">
        <v>146</v>
      </c>
      <c r="E60" s="26">
        <v>1000</v>
      </c>
      <c r="F60" s="27">
        <v>4658.915</v>
      </c>
      <c r="G60" s="28">
        <v>2.1357089999999999E-2</v>
      </c>
      <c r="H60" s="18">
        <v>7.57</v>
      </c>
    </row>
    <row r="61" spans="1:8" x14ac:dyDescent="0.2">
      <c r="A61" s="24">
        <v>5</v>
      </c>
      <c r="B61" s="25" t="s">
        <v>161</v>
      </c>
      <c r="C61" s="25" t="s">
        <v>162</v>
      </c>
      <c r="D61" s="25" t="s">
        <v>146</v>
      </c>
      <c r="E61" s="26">
        <v>1000</v>
      </c>
      <c r="F61" s="27">
        <v>4656.82</v>
      </c>
      <c r="G61" s="28">
        <v>2.134749E-2</v>
      </c>
      <c r="H61" s="18">
        <v>7.62</v>
      </c>
    </row>
    <row r="62" spans="1:8" x14ac:dyDescent="0.2">
      <c r="A62" s="24">
        <v>6</v>
      </c>
      <c r="B62" s="25" t="s">
        <v>163</v>
      </c>
      <c r="C62" s="25" t="s">
        <v>164</v>
      </c>
      <c r="D62" s="25" t="s">
        <v>146</v>
      </c>
      <c r="E62" s="26">
        <v>1000</v>
      </c>
      <c r="F62" s="27">
        <v>4652.76</v>
      </c>
      <c r="G62" s="28">
        <v>2.132887E-2</v>
      </c>
      <c r="H62" s="18">
        <v>7.6950000000000003</v>
      </c>
    </row>
    <row r="63" spans="1:8" x14ac:dyDescent="0.2">
      <c r="A63" s="24">
        <v>7</v>
      </c>
      <c r="B63" s="25" t="s">
        <v>185</v>
      </c>
      <c r="C63" s="25" t="s">
        <v>186</v>
      </c>
      <c r="D63" s="25" t="s">
        <v>152</v>
      </c>
      <c r="E63" s="26">
        <v>900</v>
      </c>
      <c r="F63" s="27">
        <v>4374.1665000000003</v>
      </c>
      <c r="G63" s="28">
        <v>2.0051759999999998E-2</v>
      </c>
      <c r="H63" s="18">
        <v>7.5000999999999998</v>
      </c>
    </row>
    <row r="64" spans="1:8" x14ac:dyDescent="0.2">
      <c r="A64" s="24">
        <v>8</v>
      </c>
      <c r="B64" s="25" t="s">
        <v>187</v>
      </c>
      <c r="C64" s="25" t="s">
        <v>188</v>
      </c>
      <c r="D64" s="25" t="s">
        <v>146</v>
      </c>
      <c r="E64" s="26">
        <v>900</v>
      </c>
      <c r="F64" s="27">
        <v>4361.1705000000002</v>
      </c>
      <c r="G64" s="28">
        <v>1.999219E-2</v>
      </c>
      <c r="H64" s="18">
        <v>7.5449999999999999</v>
      </c>
    </row>
    <row r="65" spans="1:8" x14ac:dyDescent="0.2">
      <c r="A65" s="24">
        <v>9</v>
      </c>
      <c r="B65" s="25" t="s">
        <v>175</v>
      </c>
      <c r="C65" s="25" t="s">
        <v>176</v>
      </c>
      <c r="D65" s="25" t="s">
        <v>149</v>
      </c>
      <c r="E65" s="26">
        <v>840</v>
      </c>
      <c r="F65" s="27">
        <v>4016.6280000000002</v>
      </c>
      <c r="G65" s="28">
        <v>1.841276E-2</v>
      </c>
      <c r="H65" s="18">
        <v>7.54</v>
      </c>
    </row>
    <row r="66" spans="1:8" ht="25.5" x14ac:dyDescent="0.2">
      <c r="A66" s="24">
        <v>10</v>
      </c>
      <c r="B66" s="25" t="s">
        <v>265</v>
      </c>
      <c r="C66" s="25" t="s">
        <v>266</v>
      </c>
      <c r="D66" s="25" t="s">
        <v>146</v>
      </c>
      <c r="E66" s="26">
        <v>800</v>
      </c>
      <c r="F66" s="27">
        <v>3958.328</v>
      </c>
      <c r="G66" s="28">
        <v>1.8145499999999998E-2</v>
      </c>
      <c r="H66" s="18">
        <v>7.2500999999999998</v>
      </c>
    </row>
    <row r="67" spans="1:8" x14ac:dyDescent="0.2">
      <c r="A67" s="24">
        <v>11</v>
      </c>
      <c r="B67" s="25" t="s">
        <v>263</v>
      </c>
      <c r="C67" s="25" t="s">
        <v>264</v>
      </c>
      <c r="D67" s="25" t="s">
        <v>149</v>
      </c>
      <c r="E67" s="26">
        <v>700</v>
      </c>
      <c r="F67" s="27">
        <v>3437.2764999999999</v>
      </c>
      <c r="G67" s="28">
        <v>1.5756929999999999E-2</v>
      </c>
      <c r="H67" s="18">
        <v>7.24</v>
      </c>
    </row>
    <row r="68" spans="1:8" x14ac:dyDescent="0.2">
      <c r="A68" s="24">
        <v>12</v>
      </c>
      <c r="B68" s="25" t="s">
        <v>177</v>
      </c>
      <c r="C68" s="25" t="s">
        <v>178</v>
      </c>
      <c r="D68" s="25" t="s">
        <v>146</v>
      </c>
      <c r="E68" s="26">
        <v>660</v>
      </c>
      <c r="F68" s="27">
        <v>3256.3640999999998</v>
      </c>
      <c r="G68" s="28">
        <v>1.4927609999999999E-2</v>
      </c>
      <c r="H68" s="18">
        <v>7.3002000000000002</v>
      </c>
    </row>
    <row r="69" spans="1:8" x14ac:dyDescent="0.2">
      <c r="A69" s="24">
        <v>13</v>
      </c>
      <c r="B69" s="25" t="s">
        <v>179</v>
      </c>
      <c r="C69" s="25" t="s">
        <v>180</v>
      </c>
      <c r="D69" s="25" t="s">
        <v>146</v>
      </c>
      <c r="E69" s="26">
        <v>660</v>
      </c>
      <c r="F69" s="27">
        <v>3254.3775000000001</v>
      </c>
      <c r="G69" s="28">
        <v>1.4918499999999999E-2</v>
      </c>
      <c r="H69" s="18">
        <v>7.3101000000000003</v>
      </c>
    </row>
    <row r="70" spans="1:8" x14ac:dyDescent="0.2">
      <c r="A70" s="24">
        <v>14</v>
      </c>
      <c r="B70" s="25" t="s">
        <v>181</v>
      </c>
      <c r="C70" s="25" t="s">
        <v>182</v>
      </c>
      <c r="D70" s="25" t="s">
        <v>149</v>
      </c>
      <c r="E70" s="26">
        <v>600</v>
      </c>
      <c r="F70" s="27">
        <v>2972.82</v>
      </c>
      <c r="G70" s="28">
        <v>1.3627800000000001E-2</v>
      </c>
      <c r="H70" s="18">
        <v>7.2550999999999997</v>
      </c>
    </row>
    <row r="71" spans="1:8" x14ac:dyDescent="0.2">
      <c r="A71" s="24">
        <v>15</v>
      </c>
      <c r="B71" s="25" t="s">
        <v>267</v>
      </c>
      <c r="C71" s="25" t="s">
        <v>268</v>
      </c>
      <c r="D71" s="25" t="s">
        <v>146</v>
      </c>
      <c r="E71" s="26">
        <v>600</v>
      </c>
      <c r="F71" s="27">
        <v>2795.8530000000001</v>
      </c>
      <c r="G71" s="28">
        <v>1.2816559999999999E-2</v>
      </c>
      <c r="H71" s="18">
        <v>7.55</v>
      </c>
    </row>
    <row r="72" spans="1:8" x14ac:dyDescent="0.2">
      <c r="A72" s="24">
        <v>16</v>
      </c>
      <c r="B72" s="25" t="s">
        <v>462</v>
      </c>
      <c r="C72" s="25" t="s">
        <v>463</v>
      </c>
      <c r="D72" s="25" t="s">
        <v>146</v>
      </c>
      <c r="E72" s="26">
        <v>500</v>
      </c>
      <c r="F72" s="27">
        <v>2475.1</v>
      </c>
      <c r="G72" s="28">
        <v>1.1346190000000001E-2</v>
      </c>
      <c r="H72" s="18">
        <v>7.2</v>
      </c>
    </row>
    <row r="73" spans="1:8" ht="25.5" x14ac:dyDescent="0.2">
      <c r="A73" s="24">
        <v>17</v>
      </c>
      <c r="B73" s="25" t="s">
        <v>464</v>
      </c>
      <c r="C73" s="25" t="s">
        <v>465</v>
      </c>
      <c r="D73" s="25" t="s">
        <v>146</v>
      </c>
      <c r="E73" s="26">
        <v>500</v>
      </c>
      <c r="F73" s="27">
        <v>2473.9575</v>
      </c>
      <c r="G73" s="28">
        <v>1.1340950000000001E-2</v>
      </c>
      <c r="H73" s="18">
        <v>7.2499000000000002</v>
      </c>
    </row>
    <row r="74" spans="1:8" x14ac:dyDescent="0.2">
      <c r="A74" s="24">
        <v>18</v>
      </c>
      <c r="B74" s="25" t="s">
        <v>466</v>
      </c>
      <c r="C74" s="25" t="s">
        <v>467</v>
      </c>
      <c r="D74" s="25" t="s">
        <v>146</v>
      </c>
      <c r="E74" s="26">
        <v>500</v>
      </c>
      <c r="F74" s="27">
        <v>2473.92</v>
      </c>
      <c r="G74" s="28">
        <v>1.134078E-2</v>
      </c>
      <c r="H74" s="18">
        <v>7.26</v>
      </c>
    </row>
    <row r="75" spans="1:8" x14ac:dyDescent="0.2">
      <c r="A75" s="24">
        <v>19</v>
      </c>
      <c r="B75" s="25" t="s">
        <v>338</v>
      </c>
      <c r="C75" s="25" t="s">
        <v>339</v>
      </c>
      <c r="D75" s="25" t="s">
        <v>146</v>
      </c>
      <c r="E75" s="26">
        <v>500</v>
      </c>
      <c r="F75" s="27">
        <v>2467.605</v>
      </c>
      <c r="G75" s="28">
        <v>1.131183E-2</v>
      </c>
      <c r="H75" s="18">
        <v>7.26</v>
      </c>
    </row>
    <row r="76" spans="1:8" x14ac:dyDescent="0.2">
      <c r="A76" s="24">
        <v>20</v>
      </c>
      <c r="B76" s="25" t="s">
        <v>340</v>
      </c>
      <c r="C76" s="25" t="s">
        <v>341</v>
      </c>
      <c r="D76" s="25" t="s">
        <v>152</v>
      </c>
      <c r="E76" s="26">
        <v>500</v>
      </c>
      <c r="F76" s="27">
        <v>2467.5774999999999</v>
      </c>
      <c r="G76" s="28">
        <v>1.1311710000000001E-2</v>
      </c>
      <c r="H76" s="18">
        <v>7.2666000000000004</v>
      </c>
    </row>
    <row r="77" spans="1:8" x14ac:dyDescent="0.2">
      <c r="A77" s="24">
        <v>21</v>
      </c>
      <c r="B77" s="25" t="s">
        <v>147</v>
      </c>
      <c r="C77" s="25" t="s">
        <v>148</v>
      </c>
      <c r="D77" s="25" t="s">
        <v>149</v>
      </c>
      <c r="E77" s="26">
        <v>500</v>
      </c>
      <c r="F77" s="27">
        <v>2455.915</v>
      </c>
      <c r="G77" s="28">
        <v>1.1258239999999999E-2</v>
      </c>
      <c r="H77" s="18">
        <v>7.2000999999999999</v>
      </c>
    </row>
    <row r="78" spans="1:8" x14ac:dyDescent="0.2">
      <c r="A78" s="24">
        <v>22</v>
      </c>
      <c r="B78" s="25" t="s">
        <v>169</v>
      </c>
      <c r="C78" s="25" t="s">
        <v>170</v>
      </c>
      <c r="D78" s="25" t="s">
        <v>146</v>
      </c>
      <c r="E78" s="26">
        <v>500</v>
      </c>
      <c r="F78" s="27">
        <v>2421.39</v>
      </c>
      <c r="G78" s="28">
        <v>1.1099980000000001E-2</v>
      </c>
      <c r="H78" s="18">
        <v>7.5</v>
      </c>
    </row>
    <row r="79" spans="1:8" x14ac:dyDescent="0.2">
      <c r="A79" s="24">
        <v>23</v>
      </c>
      <c r="B79" s="25" t="s">
        <v>468</v>
      </c>
      <c r="C79" s="25" t="s">
        <v>469</v>
      </c>
      <c r="D79" s="25" t="s">
        <v>146</v>
      </c>
      <c r="E79" s="26">
        <v>500</v>
      </c>
      <c r="F79" s="27">
        <v>2418.145</v>
      </c>
      <c r="G79" s="28">
        <v>1.1085100000000001E-2</v>
      </c>
      <c r="H79" s="18">
        <v>7.58</v>
      </c>
    </row>
    <row r="80" spans="1:8" x14ac:dyDescent="0.2">
      <c r="A80" s="24">
        <v>24</v>
      </c>
      <c r="B80" s="25" t="s">
        <v>470</v>
      </c>
      <c r="C80" s="25" t="s">
        <v>471</v>
      </c>
      <c r="D80" s="25" t="s">
        <v>146</v>
      </c>
      <c r="E80" s="26">
        <v>500</v>
      </c>
      <c r="F80" s="27">
        <v>2377.1950000000002</v>
      </c>
      <c r="G80" s="28">
        <v>1.089738E-2</v>
      </c>
      <c r="H80" s="18">
        <v>7.665</v>
      </c>
    </row>
    <row r="81" spans="1:8" x14ac:dyDescent="0.2">
      <c r="A81" s="24">
        <v>25</v>
      </c>
      <c r="B81" s="25" t="s">
        <v>472</v>
      </c>
      <c r="C81" s="25" t="s">
        <v>473</v>
      </c>
      <c r="D81" s="25" t="s">
        <v>146</v>
      </c>
      <c r="E81" s="26">
        <v>500</v>
      </c>
      <c r="F81" s="27">
        <v>2376.6950000000002</v>
      </c>
      <c r="G81" s="28">
        <v>1.089509E-2</v>
      </c>
      <c r="H81" s="18">
        <v>7.6050000000000004</v>
      </c>
    </row>
    <row r="82" spans="1:8" x14ac:dyDescent="0.2">
      <c r="A82" s="24">
        <v>26</v>
      </c>
      <c r="B82" s="25" t="s">
        <v>173</v>
      </c>
      <c r="C82" s="25" t="s">
        <v>174</v>
      </c>
      <c r="D82" s="25" t="s">
        <v>146</v>
      </c>
      <c r="E82" s="26">
        <v>500</v>
      </c>
      <c r="F82" s="27">
        <v>2332.7874999999999</v>
      </c>
      <c r="G82" s="28">
        <v>1.069381E-2</v>
      </c>
      <c r="H82" s="18">
        <v>7.6950000000000003</v>
      </c>
    </row>
    <row r="83" spans="1:8" x14ac:dyDescent="0.2">
      <c r="A83" s="24">
        <v>27</v>
      </c>
      <c r="B83" s="25" t="s">
        <v>155</v>
      </c>
      <c r="C83" s="25" t="s">
        <v>156</v>
      </c>
      <c r="D83" s="25" t="s">
        <v>146</v>
      </c>
      <c r="E83" s="26">
        <v>500</v>
      </c>
      <c r="F83" s="27">
        <v>2331.1574999999998</v>
      </c>
      <c r="G83" s="28">
        <v>1.0686340000000001E-2</v>
      </c>
      <c r="H83" s="18">
        <v>7.6849999999999996</v>
      </c>
    </row>
    <row r="84" spans="1:8" x14ac:dyDescent="0.2">
      <c r="A84" s="24">
        <v>28</v>
      </c>
      <c r="B84" s="25" t="s">
        <v>157</v>
      </c>
      <c r="C84" s="25" t="s">
        <v>158</v>
      </c>
      <c r="D84" s="25" t="s">
        <v>146</v>
      </c>
      <c r="E84" s="26">
        <v>500</v>
      </c>
      <c r="F84" s="27">
        <v>2330.7150000000001</v>
      </c>
      <c r="G84" s="28">
        <v>1.0684310000000001E-2</v>
      </c>
      <c r="H84" s="18">
        <v>7.64</v>
      </c>
    </row>
    <row r="85" spans="1:8" ht="25.5" x14ac:dyDescent="0.2">
      <c r="A85" s="24">
        <v>29</v>
      </c>
      <c r="B85" s="25" t="s">
        <v>197</v>
      </c>
      <c r="C85" s="25" t="s">
        <v>198</v>
      </c>
      <c r="D85" s="25" t="s">
        <v>146</v>
      </c>
      <c r="E85" s="26">
        <v>500</v>
      </c>
      <c r="F85" s="27">
        <v>2328.1675</v>
      </c>
      <c r="G85" s="28">
        <v>1.0672630000000001E-2</v>
      </c>
      <c r="H85" s="18">
        <v>7.61</v>
      </c>
    </row>
    <row r="86" spans="1:8" x14ac:dyDescent="0.2">
      <c r="A86" s="24">
        <v>30</v>
      </c>
      <c r="B86" s="25" t="s">
        <v>183</v>
      </c>
      <c r="C86" s="25" t="s">
        <v>184</v>
      </c>
      <c r="D86" s="25" t="s">
        <v>146</v>
      </c>
      <c r="E86" s="26">
        <v>400</v>
      </c>
      <c r="F86" s="27">
        <v>1980.1780000000001</v>
      </c>
      <c r="G86" s="28">
        <v>9.0773999999999994E-3</v>
      </c>
      <c r="H86" s="18">
        <v>7.3075000000000001</v>
      </c>
    </row>
    <row r="87" spans="1:8" x14ac:dyDescent="0.2">
      <c r="A87" s="24">
        <v>31</v>
      </c>
      <c r="B87" s="25" t="s">
        <v>171</v>
      </c>
      <c r="C87" s="25" t="s">
        <v>172</v>
      </c>
      <c r="D87" s="25" t="s">
        <v>146</v>
      </c>
      <c r="E87" s="26">
        <v>300</v>
      </c>
      <c r="F87" s="27">
        <v>1476.3465000000001</v>
      </c>
      <c r="G87" s="28">
        <v>6.7677700000000002E-3</v>
      </c>
      <c r="H87" s="18">
        <v>7.22</v>
      </c>
    </row>
    <row r="88" spans="1:8" x14ac:dyDescent="0.2">
      <c r="A88" s="16"/>
      <c r="B88" s="16"/>
      <c r="C88" s="17" t="s">
        <v>11</v>
      </c>
      <c r="D88" s="16"/>
      <c r="E88" s="16" t="s">
        <v>12</v>
      </c>
      <c r="F88" s="23">
        <v>100545.93860000001</v>
      </c>
      <c r="G88" s="20">
        <v>0.46091601000000004</v>
      </c>
      <c r="H88" s="18" t="s">
        <v>12</v>
      </c>
    </row>
    <row r="89" spans="1:8" x14ac:dyDescent="0.2">
      <c r="A89" s="16"/>
      <c r="B89" s="16"/>
      <c r="C89" s="21"/>
      <c r="D89" s="16"/>
      <c r="E89" s="16"/>
      <c r="F89" s="22"/>
      <c r="G89" s="22"/>
      <c r="H89" s="18" t="s">
        <v>12</v>
      </c>
    </row>
    <row r="90" spans="1:8" x14ac:dyDescent="0.2">
      <c r="A90" s="16"/>
      <c r="B90" s="16"/>
      <c r="C90" s="17" t="s">
        <v>92</v>
      </c>
      <c r="D90" s="16"/>
      <c r="E90" s="16"/>
      <c r="F90" s="22"/>
      <c r="G90" s="22"/>
      <c r="H90" s="18" t="s">
        <v>12</v>
      </c>
    </row>
    <row r="91" spans="1:8" x14ac:dyDescent="0.2">
      <c r="A91" s="24">
        <v>1</v>
      </c>
      <c r="B91" s="25" t="s">
        <v>474</v>
      </c>
      <c r="C91" s="25" t="s">
        <v>475</v>
      </c>
      <c r="D91" s="25" t="s">
        <v>146</v>
      </c>
      <c r="E91" s="26">
        <v>1000</v>
      </c>
      <c r="F91" s="27">
        <v>4927.0200000000004</v>
      </c>
      <c r="G91" s="28">
        <v>2.2586120000000001E-2</v>
      </c>
      <c r="H91" s="18">
        <v>7.6148999999999996</v>
      </c>
    </row>
    <row r="92" spans="1:8" x14ac:dyDescent="0.2">
      <c r="A92" s="24">
        <v>2</v>
      </c>
      <c r="B92" s="25" t="s">
        <v>476</v>
      </c>
      <c r="C92" s="25" t="s">
        <v>477</v>
      </c>
      <c r="D92" s="25" t="s">
        <v>146</v>
      </c>
      <c r="E92" s="26">
        <v>1000</v>
      </c>
      <c r="F92" s="27">
        <v>4913.835</v>
      </c>
      <c r="G92" s="28">
        <v>2.2525679999999999E-2</v>
      </c>
      <c r="H92" s="18">
        <v>7.53</v>
      </c>
    </row>
    <row r="93" spans="1:8" x14ac:dyDescent="0.2">
      <c r="A93" s="24">
        <v>3</v>
      </c>
      <c r="B93" s="25" t="s">
        <v>478</v>
      </c>
      <c r="C93" s="25" t="s">
        <v>479</v>
      </c>
      <c r="D93" s="25" t="s">
        <v>146</v>
      </c>
      <c r="E93" s="26">
        <v>1000</v>
      </c>
      <c r="F93" s="27">
        <v>4832.9549999999999</v>
      </c>
      <c r="G93" s="28">
        <v>2.215491E-2</v>
      </c>
      <c r="H93" s="18">
        <v>7.4649999999999999</v>
      </c>
    </row>
    <row r="94" spans="1:8" x14ac:dyDescent="0.2">
      <c r="A94" s="24">
        <v>4</v>
      </c>
      <c r="B94" s="25" t="s">
        <v>201</v>
      </c>
      <c r="C94" s="25" t="s">
        <v>202</v>
      </c>
      <c r="D94" s="25" t="s">
        <v>146</v>
      </c>
      <c r="E94" s="26">
        <v>700</v>
      </c>
      <c r="F94" s="27">
        <v>3300.0414999999998</v>
      </c>
      <c r="G94" s="28">
        <v>1.512783E-2</v>
      </c>
      <c r="H94" s="18">
        <v>7.8150000000000004</v>
      </c>
    </row>
    <row r="95" spans="1:8" ht="25.5" x14ac:dyDescent="0.2">
      <c r="A95" s="24">
        <v>5</v>
      </c>
      <c r="B95" s="25" t="s">
        <v>480</v>
      </c>
      <c r="C95" s="25" t="s">
        <v>481</v>
      </c>
      <c r="D95" s="25" t="s">
        <v>146</v>
      </c>
      <c r="E95" s="26">
        <v>500</v>
      </c>
      <c r="F95" s="27">
        <v>2495.83</v>
      </c>
      <c r="G95" s="28">
        <v>1.144122E-2</v>
      </c>
      <c r="H95" s="18">
        <v>7.6250999999999998</v>
      </c>
    </row>
    <row r="96" spans="1:8" x14ac:dyDescent="0.2">
      <c r="A96" s="24">
        <v>6</v>
      </c>
      <c r="B96" s="25" t="s">
        <v>482</v>
      </c>
      <c r="C96" s="25" t="s">
        <v>483</v>
      </c>
      <c r="D96" s="25" t="s">
        <v>146</v>
      </c>
      <c r="E96" s="26">
        <v>500</v>
      </c>
      <c r="F96" s="27">
        <v>2462.04</v>
      </c>
      <c r="G96" s="28">
        <v>1.1286320000000001E-2</v>
      </c>
      <c r="H96" s="18">
        <v>7.2149999999999999</v>
      </c>
    </row>
    <row r="97" spans="1:8" ht="25.5" x14ac:dyDescent="0.2">
      <c r="A97" s="24">
        <v>7</v>
      </c>
      <c r="B97" s="25" t="s">
        <v>484</v>
      </c>
      <c r="C97" s="25" t="s">
        <v>485</v>
      </c>
      <c r="D97" s="25" t="s">
        <v>146</v>
      </c>
      <c r="E97" s="26">
        <v>500</v>
      </c>
      <c r="F97" s="27">
        <v>2450.8649999999998</v>
      </c>
      <c r="G97" s="28">
        <v>1.123509E-2</v>
      </c>
      <c r="H97" s="18">
        <v>7.7024999999999997</v>
      </c>
    </row>
    <row r="98" spans="1:8" x14ac:dyDescent="0.2">
      <c r="A98" s="24">
        <v>8</v>
      </c>
      <c r="B98" s="25" t="s">
        <v>199</v>
      </c>
      <c r="C98" s="25" t="s">
        <v>200</v>
      </c>
      <c r="D98" s="25" t="s">
        <v>146</v>
      </c>
      <c r="E98" s="26">
        <v>500</v>
      </c>
      <c r="F98" s="27">
        <v>2401.2775000000001</v>
      </c>
      <c r="G98" s="28">
        <v>1.100778E-2</v>
      </c>
      <c r="H98" s="18">
        <v>8.1999999999999993</v>
      </c>
    </row>
    <row r="99" spans="1:8" x14ac:dyDescent="0.2">
      <c r="A99" s="24">
        <v>9</v>
      </c>
      <c r="B99" s="25" t="s">
        <v>358</v>
      </c>
      <c r="C99" s="25" t="s">
        <v>359</v>
      </c>
      <c r="D99" s="25" t="s">
        <v>146</v>
      </c>
      <c r="E99" s="26">
        <v>400</v>
      </c>
      <c r="F99" s="27">
        <v>1999.616</v>
      </c>
      <c r="G99" s="28">
        <v>9.1665099999999992E-3</v>
      </c>
      <c r="H99" s="18">
        <v>7.0149999999999997</v>
      </c>
    </row>
    <row r="100" spans="1:8" x14ac:dyDescent="0.2">
      <c r="A100" s="24">
        <v>10</v>
      </c>
      <c r="B100" s="25" t="s">
        <v>203</v>
      </c>
      <c r="C100" s="25" t="s">
        <v>204</v>
      </c>
      <c r="D100" s="25" t="s">
        <v>146</v>
      </c>
      <c r="E100" s="26">
        <v>300</v>
      </c>
      <c r="F100" s="27">
        <v>1479.63</v>
      </c>
      <c r="G100" s="28">
        <v>6.7828200000000002E-3</v>
      </c>
      <c r="H100" s="18">
        <v>7.5</v>
      </c>
    </row>
    <row r="101" spans="1:8" ht="25.5" x14ac:dyDescent="0.2">
      <c r="A101" s="24">
        <v>11</v>
      </c>
      <c r="B101" s="25" t="s">
        <v>207</v>
      </c>
      <c r="C101" s="25" t="s">
        <v>208</v>
      </c>
      <c r="D101" s="25" t="s">
        <v>146</v>
      </c>
      <c r="E101" s="26">
        <v>300</v>
      </c>
      <c r="F101" s="27">
        <v>1451.028</v>
      </c>
      <c r="G101" s="28">
        <v>6.6517099999999999E-3</v>
      </c>
      <c r="H101" s="18">
        <v>7.5575000000000001</v>
      </c>
    </row>
    <row r="102" spans="1:8" x14ac:dyDescent="0.2">
      <c r="A102" s="24">
        <v>12</v>
      </c>
      <c r="B102" s="25" t="s">
        <v>486</v>
      </c>
      <c r="C102" s="25" t="s">
        <v>487</v>
      </c>
      <c r="D102" s="25" t="s">
        <v>146</v>
      </c>
      <c r="E102" s="26">
        <v>200</v>
      </c>
      <c r="F102" s="27">
        <v>983.03300000000002</v>
      </c>
      <c r="G102" s="28">
        <v>4.5063600000000001E-3</v>
      </c>
      <c r="H102" s="18">
        <v>7.5</v>
      </c>
    </row>
    <row r="103" spans="1:8" x14ac:dyDescent="0.2">
      <c r="A103" s="16"/>
      <c r="B103" s="16"/>
      <c r="C103" s="17" t="s">
        <v>11</v>
      </c>
      <c r="D103" s="16"/>
      <c r="E103" s="16" t="s">
        <v>12</v>
      </c>
      <c r="F103" s="23">
        <v>33697.170999999995</v>
      </c>
      <c r="G103" s="20">
        <v>0.15447234999999998</v>
      </c>
      <c r="H103" s="18" t="s">
        <v>12</v>
      </c>
    </row>
    <row r="104" spans="1:8" x14ac:dyDescent="0.2">
      <c r="A104" s="16"/>
      <c r="B104" s="16"/>
      <c r="C104" s="21"/>
      <c r="D104" s="16"/>
      <c r="E104" s="16"/>
      <c r="F104" s="22"/>
      <c r="G104" s="22"/>
      <c r="H104" s="18" t="s">
        <v>12</v>
      </c>
    </row>
    <row r="105" spans="1:8" x14ac:dyDescent="0.2">
      <c r="A105" s="16"/>
      <c r="B105" s="16"/>
      <c r="C105" s="17" t="s">
        <v>93</v>
      </c>
      <c r="D105" s="16"/>
      <c r="E105" s="16"/>
      <c r="F105" s="22"/>
      <c r="G105" s="22"/>
      <c r="H105" s="18" t="s">
        <v>12</v>
      </c>
    </row>
    <row r="106" spans="1:8" x14ac:dyDescent="0.2">
      <c r="A106" s="24">
        <v>1</v>
      </c>
      <c r="B106" s="25" t="s">
        <v>215</v>
      </c>
      <c r="C106" s="25" t="s">
        <v>216</v>
      </c>
      <c r="D106" s="25" t="s">
        <v>75</v>
      </c>
      <c r="E106" s="26">
        <v>6500000</v>
      </c>
      <c r="F106" s="27">
        <v>6401.6940000000004</v>
      </c>
      <c r="G106" s="28">
        <v>2.9346219999999999E-2</v>
      </c>
      <c r="H106" s="18">
        <v>6.4424999999999999</v>
      </c>
    </row>
    <row r="107" spans="1:8" x14ac:dyDescent="0.2">
      <c r="A107" s="24">
        <v>2</v>
      </c>
      <c r="B107" s="25" t="s">
        <v>211</v>
      </c>
      <c r="C107" s="25" t="s">
        <v>212</v>
      </c>
      <c r="D107" s="25" t="s">
        <v>75</v>
      </c>
      <c r="E107" s="26">
        <v>4000000</v>
      </c>
      <c r="F107" s="27">
        <v>3889.6320000000001</v>
      </c>
      <c r="G107" s="28">
        <v>1.783059E-2</v>
      </c>
      <c r="H107" s="18">
        <v>6.5549999999999997</v>
      </c>
    </row>
    <row r="108" spans="1:8" x14ac:dyDescent="0.2">
      <c r="A108" s="24">
        <v>3</v>
      </c>
      <c r="B108" s="25" t="s">
        <v>488</v>
      </c>
      <c r="C108" s="25" t="s">
        <v>489</v>
      </c>
      <c r="D108" s="25" t="s">
        <v>75</v>
      </c>
      <c r="E108" s="26">
        <v>2500000</v>
      </c>
      <c r="F108" s="27">
        <v>2465.2575000000002</v>
      </c>
      <c r="G108" s="28">
        <v>1.130107E-2</v>
      </c>
      <c r="H108" s="18">
        <v>6.43</v>
      </c>
    </row>
    <row r="109" spans="1:8" x14ac:dyDescent="0.2">
      <c r="A109" s="24">
        <v>4</v>
      </c>
      <c r="B109" s="25" t="s">
        <v>209</v>
      </c>
      <c r="C109" s="25" t="s">
        <v>210</v>
      </c>
      <c r="D109" s="25" t="s">
        <v>75</v>
      </c>
      <c r="E109" s="26">
        <v>2500000</v>
      </c>
      <c r="F109" s="27">
        <v>2440.395</v>
      </c>
      <c r="G109" s="28">
        <v>1.11871E-2</v>
      </c>
      <c r="H109" s="18">
        <v>6.5549999999999997</v>
      </c>
    </row>
    <row r="110" spans="1:8" x14ac:dyDescent="0.2">
      <c r="A110" s="24">
        <v>5</v>
      </c>
      <c r="B110" s="25" t="s">
        <v>213</v>
      </c>
      <c r="C110" s="25" t="s">
        <v>214</v>
      </c>
      <c r="D110" s="25" t="s">
        <v>75</v>
      </c>
      <c r="E110" s="26">
        <v>2500000</v>
      </c>
      <c r="F110" s="27">
        <v>2428.4749999999999</v>
      </c>
      <c r="G110" s="28">
        <v>1.113245E-2</v>
      </c>
      <c r="H110" s="18">
        <v>6.5549999999999997</v>
      </c>
    </row>
    <row r="111" spans="1:8" x14ac:dyDescent="0.2">
      <c r="A111" s="16"/>
      <c r="B111" s="16"/>
      <c r="C111" s="17" t="s">
        <v>11</v>
      </c>
      <c r="D111" s="16"/>
      <c r="E111" s="16" t="s">
        <v>12</v>
      </c>
      <c r="F111" s="23">
        <v>17625.4535</v>
      </c>
      <c r="G111" s="20">
        <v>8.0797430000000003E-2</v>
      </c>
      <c r="H111" s="18" t="s">
        <v>12</v>
      </c>
    </row>
    <row r="112" spans="1:8" x14ac:dyDescent="0.2">
      <c r="A112" s="16"/>
      <c r="B112" s="16"/>
      <c r="C112" s="21"/>
      <c r="D112" s="16"/>
      <c r="E112" s="16"/>
      <c r="F112" s="22"/>
      <c r="G112" s="22"/>
      <c r="H112" s="18" t="s">
        <v>12</v>
      </c>
    </row>
    <row r="113" spans="1:17" x14ac:dyDescent="0.2">
      <c r="A113" s="16"/>
      <c r="B113" s="16"/>
      <c r="C113" s="17" t="s">
        <v>94</v>
      </c>
      <c r="D113" s="16"/>
      <c r="E113" s="16"/>
      <c r="F113" s="22"/>
      <c r="G113" s="22"/>
      <c r="H113" s="18" t="s">
        <v>12</v>
      </c>
    </row>
    <row r="114" spans="1:17" x14ac:dyDescent="0.2">
      <c r="A114" s="24">
        <v>1</v>
      </c>
      <c r="B114" s="25"/>
      <c r="C114" s="25" t="s">
        <v>95</v>
      </c>
      <c r="D114" s="25"/>
      <c r="E114" s="29"/>
      <c r="F114" s="27">
        <v>23747.682177915001</v>
      </c>
      <c r="G114" s="28">
        <v>0.10886255</v>
      </c>
      <c r="H114" s="18">
        <v>6.59</v>
      </c>
    </row>
    <row r="115" spans="1:17" x14ac:dyDescent="0.2">
      <c r="A115" s="16"/>
      <c r="B115" s="16"/>
      <c r="C115" s="17" t="s">
        <v>11</v>
      </c>
      <c r="D115" s="16"/>
      <c r="E115" s="16" t="s">
        <v>12</v>
      </c>
      <c r="F115" s="23">
        <v>23747.682177915001</v>
      </c>
      <c r="G115" s="20">
        <v>0.10886255</v>
      </c>
      <c r="H115" s="18" t="s">
        <v>12</v>
      </c>
    </row>
    <row r="116" spans="1:17" x14ac:dyDescent="0.2">
      <c r="A116" s="16"/>
      <c r="B116" s="16"/>
      <c r="C116" s="21"/>
      <c r="D116" s="16"/>
      <c r="E116" s="16"/>
      <c r="F116" s="22"/>
      <c r="G116" s="22"/>
      <c r="H116" s="18" t="s">
        <v>12</v>
      </c>
    </row>
    <row r="117" spans="1:17" x14ac:dyDescent="0.2">
      <c r="A117" s="16"/>
      <c r="B117" s="16"/>
      <c r="C117" s="17" t="s">
        <v>96</v>
      </c>
      <c r="D117" s="16"/>
      <c r="E117" s="16"/>
      <c r="F117" s="23">
        <v>175616.245277915</v>
      </c>
      <c r="G117" s="20">
        <v>0.80504834000000003</v>
      </c>
      <c r="H117" s="18" t="s">
        <v>12</v>
      </c>
    </row>
    <row r="118" spans="1:17" x14ac:dyDescent="0.2">
      <c r="A118" s="16"/>
      <c r="B118" s="16"/>
      <c r="C118" s="22"/>
      <c r="D118" s="16"/>
      <c r="E118" s="16"/>
      <c r="F118" s="16"/>
      <c r="G118" s="16"/>
      <c r="H118" s="18" t="s">
        <v>12</v>
      </c>
    </row>
    <row r="119" spans="1:17" x14ac:dyDescent="0.2">
      <c r="A119" s="16"/>
      <c r="B119" s="16"/>
      <c r="C119" s="17" t="s">
        <v>97</v>
      </c>
      <c r="D119" s="16"/>
      <c r="E119" s="16"/>
      <c r="F119" s="16"/>
      <c r="G119" s="16"/>
      <c r="H119" s="18" t="s">
        <v>12</v>
      </c>
    </row>
    <row r="120" spans="1:17" x14ac:dyDescent="0.2">
      <c r="A120" s="16"/>
      <c r="B120" s="16"/>
      <c r="C120" s="17" t="s">
        <v>98</v>
      </c>
      <c r="D120" s="16"/>
      <c r="E120" s="16"/>
      <c r="F120" s="16"/>
      <c r="G120" s="16"/>
      <c r="H120" s="18" t="s">
        <v>12</v>
      </c>
    </row>
    <row r="121" spans="1:17" x14ac:dyDescent="0.2">
      <c r="A121" s="16"/>
      <c r="B121" s="16"/>
      <c r="C121" s="17" t="s">
        <v>11</v>
      </c>
      <c r="D121" s="16"/>
      <c r="E121" s="16" t="s">
        <v>12</v>
      </c>
      <c r="F121" s="19" t="s">
        <v>13</v>
      </c>
      <c r="G121" s="20">
        <v>0</v>
      </c>
      <c r="H121" s="18" t="s">
        <v>12</v>
      </c>
    </row>
    <row r="122" spans="1:17" x14ac:dyDescent="0.2">
      <c r="A122" s="30"/>
      <c r="B122" s="30"/>
      <c r="C122" s="31"/>
      <c r="D122" s="30"/>
      <c r="E122" s="30"/>
      <c r="F122" s="32"/>
      <c r="G122" s="32"/>
      <c r="H122" s="18" t="s">
        <v>12</v>
      </c>
    </row>
    <row r="123" spans="1:17" x14ac:dyDescent="0.2">
      <c r="A123" s="30"/>
      <c r="B123" s="30"/>
      <c r="C123" s="33" t="s">
        <v>579</v>
      </c>
      <c r="D123" s="30"/>
      <c r="E123" s="30"/>
      <c r="F123" s="32"/>
      <c r="G123" s="32"/>
      <c r="H123" s="34"/>
      <c r="K123" s="35"/>
      <c r="L123" s="35"/>
      <c r="M123" s="35"/>
      <c r="N123" s="35"/>
      <c r="O123" s="36"/>
      <c r="P123" s="36"/>
      <c r="Q123" s="36"/>
    </row>
    <row r="124" spans="1:17" x14ac:dyDescent="0.2">
      <c r="A124" s="37">
        <v>1</v>
      </c>
      <c r="B124" s="38" t="s">
        <v>99</v>
      </c>
      <c r="C124" s="38" t="s">
        <v>100</v>
      </c>
      <c r="D124" s="38"/>
      <c r="E124" s="39">
        <v>4528.5039999999999</v>
      </c>
      <c r="F124" s="34">
        <v>474.75447496700002</v>
      </c>
      <c r="G124" s="40">
        <v>2.1763400000000001E-3</v>
      </c>
      <c r="H124" s="18"/>
    </row>
    <row r="125" spans="1:17" x14ac:dyDescent="0.2">
      <c r="A125" s="30"/>
      <c r="B125" s="30"/>
      <c r="C125" s="33" t="s">
        <v>11</v>
      </c>
      <c r="D125" s="30"/>
      <c r="E125" s="30" t="s">
        <v>12</v>
      </c>
      <c r="F125" s="41">
        <f>SUM(F124)</f>
        <v>474.75447496700002</v>
      </c>
      <c r="G125" s="42">
        <f>SUM(G124)</f>
        <v>2.1763400000000001E-3</v>
      </c>
      <c r="H125" s="18" t="s">
        <v>12</v>
      </c>
    </row>
    <row r="126" spans="1:17" x14ac:dyDescent="0.2">
      <c r="A126" s="16"/>
      <c r="B126" s="16"/>
      <c r="C126" s="21"/>
      <c r="D126" s="16"/>
      <c r="E126" s="16"/>
      <c r="F126" s="22"/>
      <c r="G126" s="22"/>
      <c r="H126" s="18" t="s">
        <v>12</v>
      </c>
    </row>
    <row r="127" spans="1:17" x14ac:dyDescent="0.2">
      <c r="A127" s="16"/>
      <c r="B127" s="16"/>
      <c r="C127" s="17" t="s">
        <v>101</v>
      </c>
      <c r="D127" s="16"/>
      <c r="E127" s="16"/>
      <c r="F127" s="16"/>
      <c r="G127" s="16"/>
      <c r="H127" s="18" t="s">
        <v>12</v>
      </c>
    </row>
    <row r="128" spans="1:17" x14ac:dyDescent="0.2">
      <c r="A128" s="16"/>
      <c r="B128" s="16"/>
      <c r="C128" s="17" t="s">
        <v>102</v>
      </c>
      <c r="D128" s="16"/>
      <c r="E128" s="16"/>
      <c r="F128" s="16"/>
      <c r="G128" s="16"/>
      <c r="H128" s="18" t="s">
        <v>12</v>
      </c>
    </row>
    <row r="129" spans="1:10" x14ac:dyDescent="0.2">
      <c r="A129" s="16"/>
      <c r="B129" s="16"/>
      <c r="C129" s="17" t="s">
        <v>11</v>
      </c>
      <c r="D129" s="16"/>
      <c r="E129" s="16" t="s">
        <v>12</v>
      </c>
      <c r="F129" s="19" t="s">
        <v>13</v>
      </c>
      <c r="G129" s="20">
        <v>0</v>
      </c>
      <c r="H129" s="18" t="s">
        <v>12</v>
      </c>
    </row>
    <row r="130" spans="1:10" x14ac:dyDescent="0.2">
      <c r="A130" s="16"/>
      <c r="B130" s="16"/>
      <c r="C130" s="21"/>
      <c r="D130" s="16"/>
      <c r="E130" s="16"/>
      <c r="F130" s="22"/>
      <c r="G130" s="22"/>
      <c r="H130" s="18" t="s">
        <v>12</v>
      </c>
    </row>
    <row r="131" spans="1:10" x14ac:dyDescent="0.2">
      <c r="A131" s="16"/>
      <c r="B131" s="16"/>
      <c r="C131" s="17" t="s">
        <v>103</v>
      </c>
      <c r="D131" s="16"/>
      <c r="E131" s="16"/>
      <c r="F131" s="22"/>
      <c r="G131" s="22"/>
      <c r="H131" s="18" t="s">
        <v>12</v>
      </c>
    </row>
    <row r="132" spans="1:10" x14ac:dyDescent="0.2">
      <c r="A132" s="16"/>
      <c r="B132" s="16"/>
      <c r="C132" s="17" t="s">
        <v>11</v>
      </c>
      <c r="D132" s="16"/>
      <c r="E132" s="16" t="s">
        <v>12</v>
      </c>
      <c r="F132" s="19" t="s">
        <v>13</v>
      </c>
      <c r="G132" s="20">
        <v>0</v>
      </c>
      <c r="H132" s="18" t="s">
        <v>12</v>
      </c>
    </row>
    <row r="133" spans="1:10" x14ac:dyDescent="0.2">
      <c r="A133" s="153"/>
      <c r="B133" s="153"/>
      <c r="C133" s="154"/>
      <c r="D133" s="153"/>
      <c r="E133" s="153"/>
      <c r="F133" s="155"/>
      <c r="G133" s="156"/>
      <c r="H133" s="157"/>
    </row>
    <row r="134" spans="1:10" x14ac:dyDescent="0.2">
      <c r="A134" s="148"/>
      <c r="B134" s="148"/>
      <c r="C134" s="158" t="s">
        <v>709</v>
      </c>
      <c r="D134" s="150"/>
      <c r="E134" s="159"/>
      <c r="F134" s="159"/>
      <c r="G134" s="150"/>
      <c r="H134" s="159"/>
    </row>
    <row r="135" spans="1:10" ht="21.75" x14ac:dyDescent="0.2">
      <c r="A135" s="148"/>
      <c r="B135" s="148"/>
      <c r="C135" s="160" t="s">
        <v>711</v>
      </c>
      <c r="D135" s="150"/>
      <c r="E135" s="161">
        <v>2500000</v>
      </c>
      <c r="F135" s="162">
        <f>110500/10^5</f>
        <v>1.105</v>
      </c>
      <c r="G135" s="163" t="s">
        <v>710</v>
      </c>
      <c r="H135" s="159"/>
    </row>
    <row r="136" spans="1:10" x14ac:dyDescent="0.2">
      <c r="A136" s="16"/>
      <c r="B136" s="16"/>
      <c r="C136" s="21"/>
      <c r="D136" s="16"/>
      <c r="E136" s="16"/>
      <c r="F136" s="22"/>
      <c r="G136" s="22"/>
      <c r="H136" s="18" t="s">
        <v>12</v>
      </c>
    </row>
    <row r="137" spans="1:10" x14ac:dyDescent="0.2">
      <c r="A137" s="144"/>
      <c r="B137" s="145"/>
      <c r="C137" s="145" t="s">
        <v>104</v>
      </c>
      <c r="D137" s="145"/>
      <c r="E137" s="144"/>
      <c r="F137" s="146">
        <v>1438.3355820979734</v>
      </c>
      <c r="G137" s="147">
        <v>6.5935223780372969E-3</v>
      </c>
      <c r="H137" s="139" t="s">
        <v>12</v>
      </c>
    </row>
    <row r="138" spans="1:10" x14ac:dyDescent="0.2">
      <c r="A138" s="148"/>
      <c r="B138" s="148"/>
      <c r="C138" s="149" t="s">
        <v>105</v>
      </c>
      <c r="D138" s="150"/>
      <c r="E138" s="150"/>
      <c r="F138" s="151">
        <v>218143.73253497999</v>
      </c>
      <c r="G138" s="152">
        <v>0.99999497237803736</v>
      </c>
      <c r="H138" s="18" t="s">
        <v>12</v>
      </c>
    </row>
    <row r="139" spans="1:10" x14ac:dyDescent="0.2">
      <c r="A139" s="48"/>
      <c r="B139" s="48"/>
      <c r="C139" s="140"/>
      <c r="D139" s="49"/>
      <c r="E139" s="49"/>
      <c r="F139" s="141"/>
      <c r="G139" s="142"/>
      <c r="H139" s="143"/>
    </row>
    <row r="140" spans="1:10" x14ac:dyDescent="0.2">
      <c r="A140" s="46"/>
      <c r="B140" s="172" t="s">
        <v>580</v>
      </c>
      <c r="C140" s="172"/>
      <c r="D140" s="172"/>
      <c r="E140" s="172"/>
      <c r="F140" s="172"/>
      <c r="G140" s="172"/>
      <c r="H140" s="172"/>
    </row>
    <row r="141" spans="1:10" x14ac:dyDescent="0.2">
      <c r="A141" s="46"/>
      <c r="B141" s="172" t="s">
        <v>581</v>
      </c>
      <c r="C141" s="172"/>
      <c r="D141" s="172"/>
      <c r="E141" s="172"/>
      <c r="F141" s="172"/>
      <c r="G141" s="172"/>
      <c r="H141" s="172"/>
    </row>
    <row r="142" spans="1:10" x14ac:dyDescent="0.2">
      <c r="A142" s="46"/>
      <c r="B142" s="172" t="s">
        <v>582</v>
      </c>
      <c r="C142" s="172"/>
      <c r="D142" s="172"/>
      <c r="E142" s="172"/>
      <c r="F142" s="172"/>
      <c r="G142" s="172"/>
      <c r="H142" s="172"/>
    </row>
    <row r="143" spans="1:10" s="99" customFormat="1" ht="67.5" customHeight="1" x14ac:dyDescent="0.2">
      <c r="A143" s="98"/>
      <c r="B143" s="197" t="s">
        <v>665</v>
      </c>
      <c r="C143" s="197"/>
      <c r="D143" s="197"/>
      <c r="E143" s="197"/>
      <c r="F143" s="197"/>
      <c r="G143" s="197"/>
      <c r="H143" s="197"/>
      <c r="I143"/>
      <c r="J143"/>
    </row>
    <row r="144" spans="1:10" x14ac:dyDescent="0.2">
      <c r="A144" s="48"/>
      <c r="B144" s="48"/>
      <c r="C144" s="48"/>
      <c r="D144" s="49"/>
      <c r="E144" s="49"/>
      <c r="F144" s="49"/>
      <c r="G144" s="49"/>
    </row>
    <row r="145" spans="1:8" x14ac:dyDescent="0.2">
      <c r="A145" s="48"/>
      <c r="B145" s="176" t="s">
        <v>106</v>
      </c>
      <c r="C145" s="177"/>
      <c r="D145" s="178"/>
      <c r="E145" s="50"/>
      <c r="F145" s="49"/>
      <c r="G145" s="49"/>
    </row>
    <row r="146" spans="1:8" x14ac:dyDescent="0.2">
      <c r="A146" s="48"/>
      <c r="B146" s="179" t="s">
        <v>107</v>
      </c>
      <c r="C146" s="180"/>
      <c r="D146" s="17" t="s">
        <v>615</v>
      </c>
      <c r="E146" s="50"/>
      <c r="F146" s="49"/>
      <c r="G146" s="49"/>
    </row>
    <row r="147" spans="1:8" x14ac:dyDescent="0.2">
      <c r="A147" s="48"/>
      <c r="B147" s="179" t="s">
        <v>109</v>
      </c>
      <c r="C147" s="180"/>
      <c r="D147" s="17" t="s">
        <v>108</v>
      </c>
      <c r="E147" s="50"/>
      <c r="F147" s="49"/>
      <c r="G147" s="49"/>
    </row>
    <row r="148" spans="1:8" x14ac:dyDescent="0.2">
      <c r="A148" s="48"/>
      <c r="B148" s="179" t="s">
        <v>110</v>
      </c>
      <c r="C148" s="180"/>
      <c r="D148" s="22" t="s">
        <v>12</v>
      </c>
      <c r="E148" s="50"/>
      <c r="F148" s="49"/>
      <c r="G148" s="49"/>
    </row>
    <row r="149" spans="1:8" x14ac:dyDescent="0.2">
      <c r="A149" s="51"/>
      <c r="B149" s="52" t="s">
        <v>12</v>
      </c>
      <c r="C149" s="52" t="s">
        <v>583</v>
      </c>
      <c r="D149" s="52" t="s">
        <v>111</v>
      </c>
      <c r="E149" s="51"/>
      <c r="F149" s="51"/>
      <c r="G149" s="51"/>
      <c r="H149" s="53"/>
    </row>
    <row r="150" spans="1:8" x14ac:dyDescent="0.2">
      <c r="A150" s="51"/>
      <c r="B150" s="54" t="s">
        <v>112</v>
      </c>
      <c r="C150" s="55">
        <v>45626</v>
      </c>
      <c r="D150" s="55">
        <v>45641</v>
      </c>
      <c r="E150" s="51"/>
      <c r="F150" s="51"/>
      <c r="G150" s="51"/>
    </row>
    <row r="151" spans="1:8" x14ac:dyDescent="0.2">
      <c r="A151" s="56"/>
      <c r="B151" s="25" t="s">
        <v>113</v>
      </c>
      <c r="C151" s="57">
        <v>2801.0311999999999</v>
      </c>
      <c r="D151" s="57">
        <v>2809.0767000000001</v>
      </c>
      <c r="E151" s="56"/>
      <c r="F151" s="58"/>
      <c r="G151" s="59"/>
    </row>
    <row r="152" spans="1:8" ht="25.5" x14ac:dyDescent="0.2">
      <c r="A152" s="56"/>
      <c r="B152" s="25" t="s">
        <v>605</v>
      </c>
      <c r="C152" s="57">
        <v>1063.6302000000001</v>
      </c>
      <c r="D152" s="57">
        <v>1066.6844000000001</v>
      </c>
      <c r="E152" s="56"/>
      <c r="F152" s="58"/>
      <c r="G152" s="59"/>
    </row>
    <row r="153" spans="1:8" ht="25.5" x14ac:dyDescent="0.2">
      <c r="A153" s="56"/>
      <c r="B153" s="25" t="s">
        <v>606</v>
      </c>
      <c r="C153" s="57">
        <v>1188.0969</v>
      </c>
      <c r="D153" s="57">
        <v>1183.9485999999999</v>
      </c>
      <c r="E153" s="56"/>
      <c r="F153" s="58"/>
      <c r="G153" s="59"/>
    </row>
    <row r="154" spans="1:8" x14ac:dyDescent="0.2">
      <c r="A154" s="56"/>
      <c r="B154" s="25" t="s">
        <v>114</v>
      </c>
      <c r="C154" s="57">
        <v>2586.8809000000001</v>
      </c>
      <c r="D154" s="57">
        <v>2592.9895000000001</v>
      </c>
      <c r="E154" s="56"/>
      <c r="F154" s="58"/>
      <c r="G154" s="59"/>
    </row>
    <row r="155" spans="1:8" ht="25.5" x14ac:dyDescent="0.2">
      <c r="A155" s="56"/>
      <c r="B155" s="25" t="s">
        <v>609</v>
      </c>
      <c r="C155" s="57">
        <v>1062.6575</v>
      </c>
      <c r="D155" s="57">
        <v>1065.1668</v>
      </c>
      <c r="E155" s="56"/>
      <c r="F155" s="58"/>
      <c r="G155" s="59"/>
    </row>
    <row r="156" spans="1:8" ht="25.5" x14ac:dyDescent="0.2">
      <c r="A156" s="56"/>
      <c r="B156" s="25" t="s">
        <v>610</v>
      </c>
      <c r="C156" s="57">
        <v>1144.6014</v>
      </c>
      <c r="D156" s="57">
        <v>1139.7962</v>
      </c>
      <c r="E156" s="56"/>
      <c r="F156" s="58"/>
      <c r="G156" s="59"/>
    </row>
    <row r="157" spans="1:8" x14ac:dyDescent="0.2">
      <c r="A157" s="56"/>
      <c r="B157" s="56"/>
      <c r="C157" s="56"/>
      <c r="D157" s="56"/>
      <c r="E157" s="56"/>
      <c r="F157" s="56"/>
      <c r="G157" s="56"/>
    </row>
    <row r="158" spans="1:8" x14ac:dyDescent="0.2">
      <c r="A158" s="56"/>
      <c r="B158" s="179" t="s">
        <v>598</v>
      </c>
      <c r="C158" s="180"/>
      <c r="D158" s="17" t="s">
        <v>12</v>
      </c>
      <c r="E158" s="56"/>
      <c r="F158" s="56"/>
      <c r="G158" s="56"/>
    </row>
    <row r="159" spans="1:8" x14ac:dyDescent="0.2">
      <c r="A159" s="56"/>
      <c r="B159" s="60" t="s">
        <v>112</v>
      </c>
      <c r="C159" s="61" t="s">
        <v>115</v>
      </c>
      <c r="D159" s="61" t="s">
        <v>116</v>
      </c>
      <c r="E159" s="56"/>
      <c r="F159" s="56"/>
      <c r="G159" s="56"/>
    </row>
    <row r="160" spans="1:8" ht="25.5" x14ac:dyDescent="0.2">
      <c r="A160" s="56"/>
      <c r="B160" s="25" t="s">
        <v>606</v>
      </c>
      <c r="C160" s="62">
        <v>7.5</v>
      </c>
      <c r="D160" s="29" t="s">
        <v>117</v>
      </c>
      <c r="E160" s="56"/>
      <c r="F160" s="58"/>
      <c r="G160" s="59"/>
    </row>
    <row r="161" spans="1:15" ht="25.5" x14ac:dyDescent="0.2">
      <c r="A161" s="56"/>
      <c r="B161" s="25" t="s">
        <v>610</v>
      </c>
      <c r="C161" s="62">
        <v>7.5</v>
      </c>
      <c r="D161" s="29" t="s">
        <v>117</v>
      </c>
      <c r="E161" s="56"/>
      <c r="F161" s="58"/>
      <c r="G161" s="59"/>
    </row>
    <row r="162" spans="1:15" x14ac:dyDescent="0.2">
      <c r="A162" s="56"/>
      <c r="B162" s="63"/>
      <c r="C162" s="63"/>
      <c r="D162" s="64"/>
      <c r="E162" s="56"/>
      <c r="F162" s="58"/>
      <c r="G162" s="59"/>
    </row>
    <row r="163" spans="1:15" x14ac:dyDescent="0.2">
      <c r="A163" s="51"/>
      <c r="B163" s="173" t="s">
        <v>118</v>
      </c>
      <c r="C163" s="174"/>
      <c r="D163" s="33" t="s">
        <v>666</v>
      </c>
      <c r="E163" s="65"/>
      <c r="F163" s="51"/>
      <c r="G163" s="51"/>
    </row>
    <row r="164" spans="1:15" x14ac:dyDescent="0.2">
      <c r="A164" s="51"/>
      <c r="B164" s="173" t="s">
        <v>119</v>
      </c>
      <c r="C164" s="174"/>
      <c r="D164" s="33" t="s">
        <v>108</v>
      </c>
      <c r="E164" s="65"/>
      <c r="F164" s="51"/>
      <c r="G164" s="51"/>
    </row>
    <row r="165" spans="1:15" ht="27.75" customHeight="1" x14ac:dyDescent="0.2">
      <c r="A165" s="51"/>
      <c r="B165" s="173" t="s">
        <v>584</v>
      </c>
      <c r="C165" s="174"/>
      <c r="D165" s="33" t="s">
        <v>108</v>
      </c>
      <c r="E165" s="65"/>
      <c r="F165" s="51"/>
      <c r="G165" s="51"/>
      <c r="J165" s="15"/>
    </row>
    <row r="166" spans="1:15" ht="12.75" customHeight="1" x14ac:dyDescent="0.2">
      <c r="A166" s="66"/>
      <c r="B166" s="66"/>
      <c r="C166" s="66"/>
      <c r="D166" s="66"/>
      <c r="E166" s="66"/>
      <c r="F166" s="66"/>
      <c r="G166" s="66"/>
      <c r="J166" s="15"/>
    </row>
    <row r="167" spans="1:15" ht="13.5" x14ac:dyDescent="0.25">
      <c r="A167" s="66"/>
      <c r="B167" s="106" t="s">
        <v>698</v>
      </c>
      <c r="C167" s="66"/>
      <c r="D167" s="66"/>
      <c r="E167" s="66"/>
      <c r="F167" s="66"/>
      <c r="G167" s="66"/>
      <c r="J167" s="15"/>
    </row>
    <row r="168" spans="1:15" s="15" customFormat="1" ht="38.25" x14ac:dyDescent="0.2">
      <c r="A168" s="164"/>
      <c r="B168" s="165" t="s">
        <v>699</v>
      </c>
      <c r="C168" s="165" t="s">
        <v>700</v>
      </c>
      <c r="D168" s="166" t="s">
        <v>701</v>
      </c>
      <c r="E168" s="166" t="s">
        <v>702</v>
      </c>
      <c r="F168" s="165" t="s">
        <v>703</v>
      </c>
      <c r="G168" s="165" t="s">
        <v>704</v>
      </c>
      <c r="H168" s="165" t="s">
        <v>8</v>
      </c>
    </row>
    <row r="169" spans="1:15" x14ac:dyDescent="0.2">
      <c r="A169" s="76"/>
      <c r="B169" s="108" t="s">
        <v>705</v>
      </c>
      <c r="C169" s="108" t="s">
        <v>708</v>
      </c>
      <c r="D169" s="109" t="s">
        <v>706</v>
      </c>
      <c r="E169" s="110" t="s">
        <v>707</v>
      </c>
      <c r="F169" s="111">
        <v>2500</v>
      </c>
      <c r="G169" s="112">
        <v>46002</v>
      </c>
      <c r="H169" s="28">
        <v>1.1460333840208394E-2</v>
      </c>
      <c r="J169" s="15"/>
    </row>
    <row r="170" spans="1:15" s="76" customFormat="1" x14ac:dyDescent="0.2">
      <c r="A170" s="66"/>
      <c r="B170" s="66"/>
      <c r="C170" s="66"/>
      <c r="D170" s="66"/>
      <c r="E170" s="66"/>
      <c r="F170" s="66"/>
      <c r="G170" s="66"/>
      <c r="H170"/>
      <c r="I170" s="107"/>
      <c r="J170" s="107"/>
      <c r="K170" s="107"/>
      <c r="L170" s="107"/>
      <c r="M170" s="107"/>
      <c r="N170" s="107"/>
      <c r="O170" s="107"/>
    </row>
    <row r="171" spans="1:15" s="76" customFormat="1" x14ac:dyDescent="0.2">
      <c r="A171" s="66"/>
      <c r="B171" s="66"/>
      <c r="C171" s="66"/>
      <c r="D171" s="66"/>
      <c r="E171" s="66"/>
      <c r="F171" s="66"/>
      <c r="G171" s="66"/>
      <c r="H171"/>
      <c r="I171" s="107"/>
      <c r="J171" s="107"/>
      <c r="K171" s="107"/>
      <c r="L171" s="107"/>
      <c r="M171" s="107"/>
      <c r="N171" s="107"/>
      <c r="O171" s="107"/>
    </row>
    <row r="172" spans="1:15" x14ac:dyDescent="0.2">
      <c r="A172" s="67"/>
      <c r="B172" s="79" t="s">
        <v>695</v>
      </c>
      <c r="C172" s="79"/>
      <c r="D172" s="79"/>
      <c r="E172" s="79"/>
      <c r="F172" s="79"/>
      <c r="G172" s="79"/>
      <c r="H172" s="67"/>
      <c r="J172" s="15"/>
    </row>
    <row r="173" spans="1:15" ht="6" customHeight="1" x14ac:dyDescent="0.2">
      <c r="A173" s="67"/>
      <c r="B173" s="80"/>
      <c r="C173" s="80"/>
      <c r="D173" s="80"/>
      <c r="E173" s="80"/>
      <c r="F173" s="80"/>
      <c r="G173" s="80"/>
      <c r="H173" s="67"/>
      <c r="J173" s="15"/>
    </row>
    <row r="174" spans="1:15" s="67" customFormat="1" ht="51" x14ac:dyDescent="0.2">
      <c r="B174" s="113" t="s">
        <v>617</v>
      </c>
      <c r="C174" s="113" t="s">
        <v>618</v>
      </c>
      <c r="D174" s="82" t="s">
        <v>619</v>
      </c>
      <c r="E174" s="113" t="s">
        <v>620</v>
      </c>
      <c r="F174" s="82" t="s">
        <v>667</v>
      </c>
      <c r="G174" s="80"/>
      <c r="I174"/>
      <c r="J174" s="15"/>
      <c r="K174" s="35"/>
      <c r="L174" s="35"/>
      <c r="M174" s="35"/>
      <c r="N174" s="35"/>
      <c r="O174" s="73"/>
    </row>
    <row r="175" spans="1:15" s="67" customFormat="1" x14ac:dyDescent="0.2">
      <c r="B175" s="84" t="s">
        <v>622</v>
      </c>
      <c r="C175" s="84" t="s">
        <v>623</v>
      </c>
      <c r="D175" s="8">
        <v>0</v>
      </c>
      <c r="E175" s="9">
        <v>0</v>
      </c>
      <c r="F175" s="85">
        <v>500</v>
      </c>
      <c r="G175" s="80"/>
      <c r="I175"/>
      <c r="J175" s="15"/>
      <c r="K175" s="35"/>
      <c r="L175" s="35"/>
      <c r="M175" s="35"/>
      <c r="N175" s="35"/>
      <c r="O175" s="73"/>
    </row>
    <row r="176" spans="1:15" s="67" customFormat="1" x14ac:dyDescent="0.2">
      <c r="I176"/>
      <c r="J176" s="15"/>
      <c r="K176" s="35"/>
      <c r="L176" s="35"/>
      <c r="M176" s="35"/>
      <c r="N176" s="35"/>
      <c r="O176" s="73"/>
    </row>
    <row r="177" spans="1:17" s="67" customFormat="1" x14ac:dyDescent="0.2">
      <c r="B177" s="181" t="s">
        <v>585</v>
      </c>
      <c r="C177" s="182"/>
      <c r="D177" s="183"/>
      <c r="I177"/>
      <c r="J177" s="15"/>
      <c r="K177" s="35"/>
      <c r="L177" s="35"/>
      <c r="M177" s="35"/>
      <c r="N177" s="35"/>
      <c r="O177" s="73"/>
    </row>
    <row r="178" spans="1:17" s="67" customFormat="1" ht="25.5" x14ac:dyDescent="0.2">
      <c r="B178" s="175" t="s">
        <v>586</v>
      </c>
      <c r="C178" s="175"/>
      <c r="D178" s="68" t="s">
        <v>445</v>
      </c>
      <c r="I178"/>
      <c r="J178" s="15"/>
      <c r="K178" s="35"/>
      <c r="L178" s="35"/>
      <c r="M178" s="35"/>
      <c r="N178" s="35"/>
      <c r="O178" s="73"/>
    </row>
    <row r="179" spans="1:17" s="67" customFormat="1" x14ac:dyDescent="0.2">
      <c r="B179" s="167" t="s">
        <v>587</v>
      </c>
      <c r="C179" s="167"/>
      <c r="D179" s="69"/>
      <c r="I179"/>
      <c r="J179" s="15"/>
      <c r="K179" s="35"/>
      <c r="L179" s="35"/>
      <c r="M179" s="35"/>
      <c r="N179" s="35"/>
      <c r="O179" s="73"/>
    </row>
    <row r="180" spans="1:17" s="67" customFormat="1" x14ac:dyDescent="0.2">
      <c r="B180" s="167"/>
      <c r="C180" s="167"/>
      <c r="D180" s="70"/>
      <c r="I180"/>
      <c r="J180" s="15"/>
      <c r="K180" s="35"/>
      <c r="L180" s="35"/>
      <c r="M180" s="35"/>
      <c r="N180" s="35"/>
      <c r="O180" s="73"/>
    </row>
    <row r="181" spans="1:17" s="67" customFormat="1" x14ac:dyDescent="0.2">
      <c r="B181" s="167" t="s">
        <v>588</v>
      </c>
      <c r="C181" s="167"/>
      <c r="D181" s="71">
        <v>7.3760939485490429</v>
      </c>
      <c r="I181"/>
      <c r="J181" s="15"/>
      <c r="K181" s="35"/>
      <c r="L181" s="35"/>
      <c r="M181" s="35"/>
      <c r="N181" s="35"/>
      <c r="O181" s="73"/>
    </row>
    <row r="182" spans="1:17" s="67" customFormat="1" x14ac:dyDescent="0.2">
      <c r="B182" s="167"/>
      <c r="C182" s="167"/>
      <c r="D182" s="70"/>
      <c r="I182"/>
      <c r="J182" s="15"/>
      <c r="K182" s="35"/>
      <c r="L182" s="35"/>
      <c r="M182" s="35"/>
      <c r="N182" s="35"/>
      <c r="O182" s="73"/>
    </row>
    <row r="183" spans="1:17" s="67" customFormat="1" x14ac:dyDescent="0.2">
      <c r="B183" s="167" t="s">
        <v>589</v>
      </c>
      <c r="C183" s="167"/>
      <c r="D183" s="71">
        <v>0.44586074660283292</v>
      </c>
      <c r="I183"/>
      <c r="J183" s="15"/>
      <c r="K183" s="35"/>
      <c r="L183" s="35"/>
      <c r="M183" s="35"/>
      <c r="N183" s="35"/>
      <c r="O183" s="73"/>
    </row>
    <row r="184" spans="1:17" s="67" customFormat="1" x14ac:dyDescent="0.2">
      <c r="B184" s="167" t="s">
        <v>590</v>
      </c>
      <c r="C184" s="167"/>
      <c r="D184" s="71">
        <v>0.44586074660283292</v>
      </c>
      <c r="I184"/>
      <c r="J184" s="15"/>
      <c r="K184" s="35"/>
      <c r="L184" s="35"/>
      <c r="M184" s="35"/>
      <c r="N184" s="35"/>
      <c r="O184" s="73"/>
    </row>
    <row r="185" spans="1:17" s="67" customFormat="1" x14ac:dyDescent="0.2">
      <c r="B185" s="167"/>
      <c r="C185" s="167"/>
      <c r="D185" s="70"/>
      <c r="I185"/>
      <c r="J185" s="15"/>
      <c r="K185" s="35"/>
      <c r="L185" s="35"/>
      <c r="M185" s="35"/>
      <c r="N185" s="35"/>
      <c r="O185" s="73"/>
    </row>
    <row r="186" spans="1:17" s="67" customFormat="1" x14ac:dyDescent="0.2">
      <c r="B186" s="167" t="s">
        <v>591</v>
      </c>
      <c r="C186" s="167"/>
      <c r="D186" s="72" t="s">
        <v>694</v>
      </c>
      <c r="I186"/>
      <c r="J186" s="15"/>
      <c r="K186" s="35"/>
      <c r="L186" s="35"/>
      <c r="M186" s="35"/>
      <c r="N186" s="35"/>
      <c r="O186" s="73"/>
    </row>
    <row r="187" spans="1:17" s="67" customFormat="1" x14ac:dyDescent="0.2">
      <c r="B187" s="168" t="s">
        <v>592</v>
      </c>
      <c r="C187" s="170"/>
      <c r="D187" s="169"/>
      <c r="I187"/>
      <c r="J187" s="15"/>
      <c r="K187" s="35"/>
      <c r="L187" s="35"/>
      <c r="M187" s="35"/>
      <c r="N187" s="35"/>
      <c r="O187" s="73"/>
    </row>
    <row r="188" spans="1:17" s="67" customFormat="1" x14ac:dyDescent="0.2">
      <c r="B188" s="47"/>
      <c r="C188" s="47"/>
      <c r="D188" s="47"/>
      <c r="I188"/>
      <c r="J188" s="15"/>
      <c r="K188" s="35"/>
      <c r="L188" s="35"/>
      <c r="M188" s="35"/>
      <c r="N188" s="35"/>
      <c r="O188" s="73"/>
    </row>
    <row r="189" spans="1:17" s="67" customFormat="1" ht="25.5" x14ac:dyDescent="0.2">
      <c r="A189"/>
      <c r="B189" s="74" t="s">
        <v>593</v>
      </c>
      <c r="C189"/>
      <c r="D189"/>
      <c r="E189"/>
      <c r="F189"/>
      <c r="G189"/>
      <c r="H189"/>
      <c r="I189"/>
      <c r="J189" s="15"/>
      <c r="K189" s="35"/>
      <c r="L189" s="35"/>
      <c r="M189" s="35"/>
      <c r="N189" s="35"/>
      <c r="O189" s="73"/>
      <c r="P189"/>
      <c r="Q189"/>
    </row>
    <row r="190" spans="1:17" x14ac:dyDescent="0.2">
      <c r="J190" s="15"/>
    </row>
    <row r="193" spans="2:10" ht="153.75" customHeight="1" x14ac:dyDescent="0.2"/>
    <row r="194" spans="2:10" x14ac:dyDescent="0.2">
      <c r="B194" s="75" t="s">
        <v>594</v>
      </c>
      <c r="C194" s="76"/>
      <c r="D194" s="75" t="s">
        <v>595</v>
      </c>
    </row>
    <row r="195" spans="2:10" x14ac:dyDescent="0.2">
      <c r="B195" s="75" t="s">
        <v>668</v>
      </c>
      <c r="D195" s="75" t="s">
        <v>669</v>
      </c>
    </row>
    <row r="198" spans="2:10" ht="165" customHeight="1" x14ac:dyDescent="0.2"/>
    <row r="200" spans="2:10" x14ac:dyDescent="0.2">
      <c r="J200" s="15"/>
    </row>
  </sheetData>
  <mergeCells count="26">
    <mergeCell ref="B142:H142"/>
    <mergeCell ref="B165:C165"/>
    <mergeCell ref="B145:D145"/>
    <mergeCell ref="B146:C146"/>
    <mergeCell ref="B147:C147"/>
    <mergeCell ref="B148:C148"/>
    <mergeCell ref="B158:C158"/>
    <mergeCell ref="B164:C164"/>
    <mergeCell ref="B163:C163"/>
    <mergeCell ref="B143:H143"/>
    <mergeCell ref="A1:H1"/>
    <mergeCell ref="A2:H2"/>
    <mergeCell ref="A3:H3"/>
    <mergeCell ref="B140:H140"/>
    <mergeCell ref="B141:H141"/>
    <mergeCell ref="B177:D177"/>
    <mergeCell ref="B178:C178"/>
    <mergeCell ref="B179:C179"/>
    <mergeCell ref="B180:C180"/>
    <mergeCell ref="B181:C181"/>
    <mergeCell ref="B187:D187"/>
    <mergeCell ref="B182:C182"/>
    <mergeCell ref="B183:C183"/>
    <mergeCell ref="B184:C184"/>
    <mergeCell ref="B185:C185"/>
    <mergeCell ref="B186:C186"/>
  </mergeCells>
  <hyperlinks>
    <hyperlink ref="I1" location="Index!B2" display="Index" xr:uid="{AA299D16-52F1-4D7E-9B4D-1BA0B731AB0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632C-2F39-452A-8017-B69EEFE7F10E}">
  <sheetPr>
    <outlinePr summaryBelow="0" summaryRight="0"/>
  </sheetPr>
  <dimension ref="A1:Q141"/>
  <sheetViews>
    <sheetView showGridLines="0" workbookViewId="0">
      <selection sqref="A1:H1"/>
    </sheetView>
  </sheetViews>
  <sheetFormatPr defaultRowHeight="12.75" x14ac:dyDescent="0.2"/>
  <cols>
    <col min="1" max="1" width="5.85546875" bestFit="1" customWidth="1"/>
    <col min="2" max="2" width="22.42578125" customWidth="1"/>
    <col min="3" max="3" width="43" customWidth="1"/>
    <col min="4" max="4" width="12.140625" customWidth="1"/>
    <col min="5" max="5" width="8.7109375" bestFit="1" customWidth="1"/>
    <col min="6" max="6" width="10.140625" bestFit="1" customWidth="1"/>
    <col min="7" max="7" width="14" bestFit="1" customWidth="1"/>
    <col min="8" max="8" width="8.85546875" customWidth="1"/>
    <col min="9" max="9" width="5.7109375" bestFit="1" customWidth="1"/>
  </cols>
  <sheetData>
    <row r="1" spans="1:9" ht="15" x14ac:dyDescent="0.2">
      <c r="A1" s="171" t="s">
        <v>0</v>
      </c>
      <c r="B1" s="171"/>
      <c r="C1" s="171"/>
      <c r="D1" s="171"/>
      <c r="E1" s="171"/>
      <c r="F1" s="171"/>
      <c r="G1" s="171"/>
      <c r="H1" s="171"/>
      <c r="I1" s="7" t="s">
        <v>576</v>
      </c>
    </row>
    <row r="2" spans="1:9" ht="15" x14ac:dyDescent="0.2">
      <c r="A2" s="171" t="s">
        <v>490</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575</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24">
        <v>1</v>
      </c>
      <c r="B28" s="25" t="s">
        <v>233</v>
      </c>
      <c r="C28" s="25" t="s">
        <v>234</v>
      </c>
      <c r="D28" s="25" t="s">
        <v>230</v>
      </c>
      <c r="E28" s="26">
        <v>200</v>
      </c>
      <c r="F28" s="27">
        <v>201.10159999999999</v>
      </c>
      <c r="G28" s="28">
        <v>4.51714E-2</v>
      </c>
      <c r="H28" s="18">
        <v>8.2608999999999995</v>
      </c>
    </row>
    <row r="29" spans="1:8" x14ac:dyDescent="0.2">
      <c r="A29" s="24">
        <v>2</v>
      </c>
      <c r="B29" s="25" t="s">
        <v>225</v>
      </c>
      <c r="C29" s="25" t="s">
        <v>226</v>
      </c>
      <c r="D29" s="25" t="s">
        <v>227</v>
      </c>
      <c r="E29" s="26">
        <v>100</v>
      </c>
      <c r="F29" s="27">
        <v>100.71169999999999</v>
      </c>
      <c r="G29" s="28">
        <v>2.2621840000000001E-2</v>
      </c>
      <c r="H29" s="18">
        <v>7.91</v>
      </c>
    </row>
    <row r="30" spans="1:8" x14ac:dyDescent="0.2">
      <c r="A30" s="24">
        <v>3</v>
      </c>
      <c r="B30" s="25" t="s">
        <v>246</v>
      </c>
      <c r="C30" s="25" t="s">
        <v>247</v>
      </c>
      <c r="D30" s="25" t="s">
        <v>230</v>
      </c>
      <c r="E30" s="26">
        <v>100</v>
      </c>
      <c r="F30" s="27">
        <v>100.31529999999999</v>
      </c>
      <c r="G30" s="28">
        <v>2.2532799999999999E-2</v>
      </c>
      <c r="H30" s="18">
        <v>8.11</v>
      </c>
    </row>
    <row r="31" spans="1:8" x14ac:dyDescent="0.2">
      <c r="A31" s="24">
        <v>4</v>
      </c>
      <c r="B31" s="25" t="s">
        <v>231</v>
      </c>
      <c r="C31" s="25" t="s">
        <v>232</v>
      </c>
      <c r="D31" s="25" t="s">
        <v>23</v>
      </c>
      <c r="E31" s="26">
        <v>10</v>
      </c>
      <c r="F31" s="27">
        <v>98.534800000000004</v>
      </c>
      <c r="G31" s="28">
        <v>2.2132869999999999E-2</v>
      </c>
      <c r="H31" s="18">
        <v>7.76</v>
      </c>
    </row>
    <row r="32" spans="1:8" x14ac:dyDescent="0.2">
      <c r="A32" s="16"/>
      <c r="B32" s="16"/>
      <c r="C32" s="17" t="s">
        <v>11</v>
      </c>
      <c r="D32" s="16"/>
      <c r="E32" s="16" t="s">
        <v>12</v>
      </c>
      <c r="F32" s="23">
        <v>500.66340000000002</v>
      </c>
      <c r="G32" s="20">
        <v>0.11245891</v>
      </c>
      <c r="H32" s="18" t="s">
        <v>12</v>
      </c>
    </row>
    <row r="33" spans="1:8" x14ac:dyDescent="0.2">
      <c r="A33" s="16"/>
      <c r="B33" s="16"/>
      <c r="C33" s="21"/>
      <c r="D33" s="16"/>
      <c r="E33" s="16"/>
      <c r="F33" s="22"/>
      <c r="G33" s="22"/>
      <c r="H33" s="18" t="s">
        <v>12</v>
      </c>
    </row>
    <row r="34" spans="1:8" x14ac:dyDescent="0.2">
      <c r="A34" s="16"/>
      <c r="B34" s="16"/>
      <c r="C34" s="17" t="s">
        <v>71</v>
      </c>
      <c r="D34" s="16"/>
      <c r="E34" s="16"/>
      <c r="F34" s="16"/>
      <c r="G34" s="16"/>
      <c r="H34" s="18" t="s">
        <v>12</v>
      </c>
    </row>
    <row r="35" spans="1:8" x14ac:dyDescent="0.2">
      <c r="A35" s="16"/>
      <c r="B35" s="16"/>
      <c r="C35" s="17" t="s">
        <v>11</v>
      </c>
      <c r="D35" s="16"/>
      <c r="E35" s="16" t="s">
        <v>12</v>
      </c>
      <c r="F35" s="19" t="s">
        <v>13</v>
      </c>
      <c r="G35" s="20">
        <v>0</v>
      </c>
      <c r="H35" s="18" t="s">
        <v>12</v>
      </c>
    </row>
    <row r="36" spans="1:8" x14ac:dyDescent="0.2">
      <c r="A36" s="16"/>
      <c r="B36" s="16"/>
      <c r="C36" s="21"/>
      <c r="D36" s="16"/>
      <c r="E36" s="16"/>
      <c r="F36" s="22"/>
      <c r="G36" s="22"/>
      <c r="H36" s="18" t="s">
        <v>12</v>
      </c>
    </row>
    <row r="37" spans="1:8" x14ac:dyDescent="0.2">
      <c r="A37" s="16"/>
      <c r="B37" s="16"/>
      <c r="C37" s="17" t="s">
        <v>72</v>
      </c>
      <c r="D37" s="16"/>
      <c r="E37" s="16"/>
      <c r="F37" s="16"/>
      <c r="G37" s="16"/>
      <c r="H37" s="18" t="s">
        <v>12</v>
      </c>
    </row>
    <row r="38" spans="1:8" x14ac:dyDescent="0.2">
      <c r="A38" s="24">
        <v>1</v>
      </c>
      <c r="B38" s="25" t="s">
        <v>73</v>
      </c>
      <c r="C38" s="25" t="s">
        <v>74</v>
      </c>
      <c r="D38" s="25" t="s">
        <v>75</v>
      </c>
      <c r="E38" s="26">
        <v>1500000</v>
      </c>
      <c r="F38" s="27">
        <v>1533.3554999999999</v>
      </c>
      <c r="G38" s="28">
        <v>0.34442197000000002</v>
      </c>
      <c r="H38" s="18">
        <v>6.8868</v>
      </c>
    </row>
    <row r="39" spans="1:8" x14ac:dyDescent="0.2">
      <c r="A39" s="24">
        <v>2</v>
      </c>
      <c r="B39" s="25" t="s">
        <v>491</v>
      </c>
      <c r="C39" s="25" t="s">
        <v>492</v>
      </c>
      <c r="D39" s="25" t="s">
        <v>75</v>
      </c>
      <c r="E39" s="26">
        <v>1000000</v>
      </c>
      <c r="F39" s="27">
        <v>983.5</v>
      </c>
      <c r="G39" s="28">
        <v>0.22091354999999999</v>
      </c>
      <c r="H39" s="18">
        <v>6.78</v>
      </c>
    </row>
    <row r="40" spans="1:8" x14ac:dyDescent="0.2">
      <c r="A40" s="24">
        <v>3</v>
      </c>
      <c r="B40" s="25" t="s">
        <v>84</v>
      </c>
      <c r="C40" s="25" t="s">
        <v>85</v>
      </c>
      <c r="D40" s="25" t="s">
        <v>75</v>
      </c>
      <c r="E40" s="26">
        <v>500000</v>
      </c>
      <c r="F40" s="27">
        <v>511.63799999999998</v>
      </c>
      <c r="G40" s="28">
        <v>0.11492400999999999</v>
      </c>
      <c r="H40" s="18">
        <v>6.7824999999999998</v>
      </c>
    </row>
    <row r="41" spans="1:8" ht="25.5" x14ac:dyDescent="0.2">
      <c r="A41" s="24">
        <v>4</v>
      </c>
      <c r="B41" s="25" t="s">
        <v>442</v>
      </c>
      <c r="C41" s="25" t="s">
        <v>443</v>
      </c>
      <c r="D41" s="25" t="s">
        <v>75</v>
      </c>
      <c r="E41" s="26">
        <v>230000</v>
      </c>
      <c r="F41" s="27">
        <v>235.61384000000001</v>
      </c>
      <c r="G41" s="28">
        <v>5.2923530000000003E-2</v>
      </c>
      <c r="H41" s="18">
        <v>7.1989999999999998</v>
      </c>
    </row>
    <row r="42" spans="1:8" x14ac:dyDescent="0.2">
      <c r="A42" s="24">
        <v>5</v>
      </c>
      <c r="B42" s="25" t="s">
        <v>257</v>
      </c>
      <c r="C42" s="25" t="s">
        <v>258</v>
      </c>
      <c r="D42" s="25" t="s">
        <v>75</v>
      </c>
      <c r="E42" s="26">
        <v>100000</v>
      </c>
      <c r="F42" s="27">
        <v>101.4391</v>
      </c>
      <c r="G42" s="28">
        <v>2.278523E-2</v>
      </c>
      <c r="H42" s="18">
        <v>6.7718999999999996</v>
      </c>
    </row>
    <row r="43" spans="1:8" x14ac:dyDescent="0.2">
      <c r="A43" s="16"/>
      <c r="B43" s="16"/>
      <c r="C43" s="17" t="s">
        <v>11</v>
      </c>
      <c r="D43" s="16"/>
      <c r="E43" s="16" t="s">
        <v>12</v>
      </c>
      <c r="F43" s="23">
        <v>3365.5464400000001</v>
      </c>
      <c r="G43" s="20">
        <v>0.75596828999999999</v>
      </c>
      <c r="H43" s="18" t="s">
        <v>12</v>
      </c>
    </row>
    <row r="44" spans="1:8" x14ac:dyDescent="0.2">
      <c r="A44" s="16"/>
      <c r="B44" s="16"/>
      <c r="C44" s="21"/>
      <c r="D44" s="16"/>
      <c r="E44" s="16"/>
      <c r="F44" s="22"/>
      <c r="G44" s="22"/>
      <c r="H44" s="18" t="s">
        <v>12</v>
      </c>
    </row>
    <row r="45" spans="1:8" x14ac:dyDescent="0.2">
      <c r="A45" s="16"/>
      <c r="B45" s="16"/>
      <c r="C45" s="17" t="s">
        <v>88</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89</v>
      </c>
      <c r="D48" s="16"/>
      <c r="E48" s="16"/>
      <c r="F48" s="23">
        <v>3866.20984</v>
      </c>
      <c r="G48" s="20">
        <v>0.86842719999999995</v>
      </c>
      <c r="H48" s="18" t="s">
        <v>12</v>
      </c>
    </row>
    <row r="49" spans="1:8" x14ac:dyDescent="0.2">
      <c r="A49" s="16"/>
      <c r="B49" s="16"/>
      <c r="C49" s="21"/>
      <c r="D49" s="16"/>
      <c r="E49" s="16"/>
      <c r="F49" s="22"/>
      <c r="G49" s="22"/>
      <c r="H49" s="18" t="s">
        <v>12</v>
      </c>
    </row>
    <row r="50" spans="1:8" x14ac:dyDescent="0.2">
      <c r="A50" s="16"/>
      <c r="B50" s="16"/>
      <c r="C50" s="17" t="s">
        <v>90</v>
      </c>
      <c r="D50" s="16"/>
      <c r="E50" s="16"/>
      <c r="F50" s="22"/>
      <c r="G50" s="22"/>
      <c r="H50" s="18" t="s">
        <v>12</v>
      </c>
    </row>
    <row r="51" spans="1:8" x14ac:dyDescent="0.2">
      <c r="A51" s="16"/>
      <c r="B51" s="16"/>
      <c r="C51" s="17" t="s">
        <v>91</v>
      </c>
      <c r="D51" s="16"/>
      <c r="E51" s="16"/>
      <c r="F51" s="22"/>
      <c r="G51" s="22"/>
      <c r="H51" s="18" t="s">
        <v>12</v>
      </c>
    </row>
    <row r="52" spans="1:8" x14ac:dyDescent="0.2">
      <c r="A52" s="16"/>
      <c r="B52" s="16"/>
      <c r="C52" s="17" t="s">
        <v>11</v>
      </c>
      <c r="D52" s="16"/>
      <c r="E52" s="16" t="s">
        <v>12</v>
      </c>
      <c r="F52" s="19" t="s">
        <v>13</v>
      </c>
      <c r="G52" s="20">
        <v>0</v>
      </c>
      <c r="H52" s="18" t="s">
        <v>12</v>
      </c>
    </row>
    <row r="53" spans="1:8" x14ac:dyDescent="0.2">
      <c r="A53" s="16"/>
      <c r="B53" s="16"/>
      <c r="C53" s="21"/>
      <c r="D53" s="16"/>
      <c r="E53" s="16"/>
      <c r="F53" s="22"/>
      <c r="G53" s="22"/>
      <c r="H53" s="18" t="s">
        <v>12</v>
      </c>
    </row>
    <row r="54" spans="1:8" x14ac:dyDescent="0.2">
      <c r="A54" s="16"/>
      <c r="B54" s="16"/>
      <c r="C54" s="17" t="s">
        <v>92</v>
      </c>
      <c r="D54" s="16"/>
      <c r="E54" s="16"/>
      <c r="F54" s="22"/>
      <c r="G54" s="22"/>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93</v>
      </c>
      <c r="D57" s="16"/>
      <c r="E57" s="16"/>
      <c r="F57" s="22"/>
      <c r="G57" s="22"/>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94</v>
      </c>
      <c r="D60" s="16"/>
      <c r="E60" s="16"/>
      <c r="F60" s="22"/>
      <c r="G60" s="22"/>
      <c r="H60" s="18" t="s">
        <v>12</v>
      </c>
    </row>
    <row r="61" spans="1:8" x14ac:dyDescent="0.2">
      <c r="A61" s="24">
        <v>1</v>
      </c>
      <c r="B61" s="25"/>
      <c r="C61" s="25" t="s">
        <v>95</v>
      </c>
      <c r="D61" s="25"/>
      <c r="E61" s="29"/>
      <c r="F61" s="27">
        <v>528.84573000099999</v>
      </c>
      <c r="G61" s="28">
        <v>0.11878921000000001</v>
      </c>
      <c r="H61" s="18">
        <v>6.59</v>
      </c>
    </row>
    <row r="62" spans="1:8" x14ac:dyDescent="0.2">
      <c r="A62" s="16"/>
      <c r="B62" s="16"/>
      <c r="C62" s="17" t="s">
        <v>11</v>
      </c>
      <c r="D62" s="16"/>
      <c r="E62" s="16" t="s">
        <v>12</v>
      </c>
      <c r="F62" s="23">
        <v>528.84573000099999</v>
      </c>
      <c r="G62" s="20">
        <v>0.11878921000000001</v>
      </c>
      <c r="H62" s="18" t="s">
        <v>12</v>
      </c>
    </row>
    <row r="63" spans="1:8" x14ac:dyDescent="0.2">
      <c r="A63" s="16"/>
      <c r="B63" s="16"/>
      <c r="C63" s="21"/>
      <c r="D63" s="16"/>
      <c r="E63" s="16"/>
      <c r="F63" s="22"/>
      <c r="G63" s="22"/>
      <c r="H63" s="18" t="s">
        <v>12</v>
      </c>
    </row>
    <row r="64" spans="1:8" x14ac:dyDescent="0.2">
      <c r="A64" s="16"/>
      <c r="B64" s="16"/>
      <c r="C64" s="17" t="s">
        <v>96</v>
      </c>
      <c r="D64" s="16"/>
      <c r="E64" s="16"/>
      <c r="F64" s="23">
        <v>528.84573000099999</v>
      </c>
      <c r="G64" s="20">
        <v>0.11878921000000001</v>
      </c>
      <c r="H64" s="18" t="s">
        <v>12</v>
      </c>
    </row>
    <row r="65" spans="1:17" x14ac:dyDescent="0.2">
      <c r="A65" s="16"/>
      <c r="B65" s="16"/>
      <c r="C65" s="22"/>
      <c r="D65" s="16"/>
      <c r="E65" s="16"/>
      <c r="F65" s="16"/>
      <c r="G65" s="16"/>
      <c r="H65" s="18" t="s">
        <v>12</v>
      </c>
    </row>
    <row r="66" spans="1:17" x14ac:dyDescent="0.2">
      <c r="A66" s="16"/>
      <c r="B66" s="16"/>
      <c r="C66" s="17" t="s">
        <v>97</v>
      </c>
      <c r="D66" s="16"/>
      <c r="E66" s="16"/>
      <c r="F66" s="16"/>
      <c r="G66" s="16"/>
      <c r="H66" s="18" t="s">
        <v>12</v>
      </c>
    </row>
    <row r="67" spans="1:17" x14ac:dyDescent="0.2">
      <c r="A67" s="16"/>
      <c r="B67" s="16"/>
      <c r="C67" s="17" t="s">
        <v>98</v>
      </c>
      <c r="D67" s="16"/>
      <c r="E67" s="16"/>
      <c r="F67" s="16"/>
      <c r="G67" s="16"/>
      <c r="H67" s="18" t="s">
        <v>12</v>
      </c>
    </row>
    <row r="68" spans="1:17" x14ac:dyDescent="0.2">
      <c r="A68" s="16"/>
      <c r="B68" s="16"/>
      <c r="C68" s="17" t="s">
        <v>11</v>
      </c>
      <c r="D68" s="16"/>
      <c r="E68" s="16" t="s">
        <v>12</v>
      </c>
      <c r="F68" s="19" t="s">
        <v>13</v>
      </c>
      <c r="G68" s="20">
        <v>0</v>
      </c>
      <c r="H68" s="18" t="s">
        <v>12</v>
      </c>
    </row>
    <row r="69" spans="1:17" x14ac:dyDescent="0.2">
      <c r="A69" s="30"/>
      <c r="B69" s="30"/>
      <c r="C69" s="31"/>
      <c r="D69" s="30"/>
      <c r="E69" s="30"/>
      <c r="F69" s="32"/>
      <c r="G69" s="32"/>
      <c r="H69" s="18" t="s">
        <v>12</v>
      </c>
    </row>
    <row r="70" spans="1:17" x14ac:dyDescent="0.2">
      <c r="A70" s="30"/>
      <c r="B70" s="30"/>
      <c r="C70" s="33" t="s">
        <v>579</v>
      </c>
      <c r="D70" s="30"/>
      <c r="E70" s="30"/>
      <c r="F70" s="32"/>
      <c r="G70" s="32"/>
      <c r="H70" s="34"/>
      <c r="K70" s="35"/>
      <c r="L70" s="35"/>
      <c r="M70" s="35"/>
      <c r="N70" s="35"/>
      <c r="O70" s="36"/>
      <c r="P70" s="36"/>
      <c r="Q70" s="36"/>
    </row>
    <row r="71" spans="1:17" x14ac:dyDescent="0.2">
      <c r="A71" s="37">
        <v>1</v>
      </c>
      <c r="B71" s="38" t="s">
        <v>99</v>
      </c>
      <c r="C71" s="38" t="s">
        <v>100</v>
      </c>
      <c r="D71" s="38"/>
      <c r="E71" s="39">
        <v>112.994</v>
      </c>
      <c r="F71" s="34">
        <v>11.84594452</v>
      </c>
      <c r="G71" s="40">
        <v>2.6608299999999999E-3</v>
      </c>
      <c r="H71" s="18"/>
    </row>
    <row r="72" spans="1:17" x14ac:dyDescent="0.2">
      <c r="A72" s="30"/>
      <c r="B72" s="30"/>
      <c r="C72" s="33" t="s">
        <v>11</v>
      </c>
      <c r="D72" s="30"/>
      <c r="E72" s="30" t="s">
        <v>12</v>
      </c>
      <c r="F72" s="41">
        <f>SUM(F71)</f>
        <v>11.84594452</v>
      </c>
      <c r="G72" s="42">
        <f>SUM(G71)</f>
        <v>2.6608299999999999E-3</v>
      </c>
      <c r="H72" s="18" t="s">
        <v>12</v>
      </c>
    </row>
    <row r="73" spans="1:17" x14ac:dyDescent="0.2">
      <c r="A73" s="16"/>
      <c r="B73" s="16"/>
      <c r="C73" s="21"/>
      <c r="D73" s="16"/>
      <c r="E73" s="16"/>
      <c r="F73" s="22"/>
      <c r="G73" s="22"/>
      <c r="H73" s="18" t="s">
        <v>12</v>
      </c>
    </row>
    <row r="74" spans="1:17" x14ac:dyDescent="0.2">
      <c r="A74" s="16"/>
      <c r="B74" s="16"/>
      <c r="C74" s="17" t="s">
        <v>101</v>
      </c>
      <c r="D74" s="16"/>
      <c r="E74" s="16"/>
      <c r="F74" s="16"/>
      <c r="G74" s="16"/>
      <c r="H74" s="18" t="s">
        <v>12</v>
      </c>
    </row>
    <row r="75" spans="1:17" x14ac:dyDescent="0.2">
      <c r="A75" s="16"/>
      <c r="B75" s="16"/>
      <c r="C75" s="17" t="s">
        <v>102</v>
      </c>
      <c r="D75" s="16"/>
      <c r="E75" s="16"/>
      <c r="F75" s="16"/>
      <c r="G75" s="16"/>
      <c r="H75" s="18" t="s">
        <v>12</v>
      </c>
    </row>
    <row r="76" spans="1:17" x14ac:dyDescent="0.2">
      <c r="A76" s="16"/>
      <c r="B76" s="16"/>
      <c r="C76" s="17" t="s">
        <v>11</v>
      </c>
      <c r="D76" s="16"/>
      <c r="E76" s="16" t="s">
        <v>12</v>
      </c>
      <c r="F76" s="19" t="s">
        <v>13</v>
      </c>
      <c r="G76" s="20">
        <v>0</v>
      </c>
      <c r="H76" s="18" t="s">
        <v>12</v>
      </c>
    </row>
    <row r="77" spans="1:17" x14ac:dyDescent="0.2">
      <c r="A77" s="16"/>
      <c r="B77" s="16"/>
      <c r="C77" s="21"/>
      <c r="D77" s="16"/>
      <c r="E77" s="16"/>
      <c r="F77" s="22"/>
      <c r="G77" s="22"/>
      <c r="H77" s="18" t="s">
        <v>12</v>
      </c>
    </row>
    <row r="78" spans="1:17" x14ac:dyDescent="0.2">
      <c r="A78" s="16"/>
      <c r="B78" s="16"/>
      <c r="C78" s="17" t="s">
        <v>103</v>
      </c>
      <c r="D78" s="16"/>
      <c r="E78" s="16"/>
      <c r="F78" s="22"/>
      <c r="G78" s="22"/>
      <c r="H78" s="18" t="s">
        <v>12</v>
      </c>
    </row>
    <row r="79" spans="1:17" x14ac:dyDescent="0.2">
      <c r="A79" s="16"/>
      <c r="B79" s="16"/>
      <c r="C79" s="17" t="s">
        <v>11</v>
      </c>
      <c r="D79" s="16"/>
      <c r="E79" s="16" t="s">
        <v>12</v>
      </c>
      <c r="F79" s="19" t="s">
        <v>13</v>
      </c>
      <c r="G79" s="20">
        <v>0</v>
      </c>
      <c r="H79" s="18" t="s">
        <v>12</v>
      </c>
    </row>
    <row r="80" spans="1:17" x14ac:dyDescent="0.2">
      <c r="A80" s="16"/>
      <c r="B80" s="25"/>
      <c r="C80" s="25"/>
      <c r="D80" s="17"/>
      <c r="E80" s="16"/>
      <c r="F80" s="25"/>
      <c r="G80" s="29"/>
      <c r="H80" s="18" t="s">
        <v>12</v>
      </c>
    </row>
    <row r="81" spans="1:8" x14ac:dyDescent="0.2">
      <c r="A81" s="29"/>
      <c r="B81" s="25"/>
      <c r="C81" s="25" t="s">
        <v>104</v>
      </c>
      <c r="D81" s="25"/>
      <c r="E81" s="29"/>
      <c r="F81" s="27">
        <v>45.06675944899979</v>
      </c>
      <c r="G81" s="28">
        <v>1.012276E-2</v>
      </c>
      <c r="H81" s="18" t="s">
        <v>12</v>
      </c>
    </row>
    <row r="82" spans="1:8" x14ac:dyDescent="0.2">
      <c r="A82" s="21"/>
      <c r="B82" s="21"/>
      <c r="C82" s="17" t="s">
        <v>105</v>
      </c>
      <c r="D82" s="22"/>
      <c r="E82" s="22"/>
      <c r="F82" s="23">
        <v>4451.9682739700002</v>
      </c>
      <c r="G82" s="43">
        <v>1</v>
      </c>
      <c r="H82" s="18" t="s">
        <v>12</v>
      </c>
    </row>
    <row r="83" spans="1:8" x14ac:dyDescent="0.2">
      <c r="A83" s="44"/>
      <c r="B83" s="44"/>
      <c r="C83" s="44"/>
      <c r="D83" s="45"/>
      <c r="E83" s="45"/>
      <c r="F83" s="45"/>
      <c r="G83" s="45"/>
    </row>
    <row r="84" spans="1:8" x14ac:dyDescent="0.2">
      <c r="A84" s="46"/>
      <c r="B84" s="172" t="s">
        <v>580</v>
      </c>
      <c r="C84" s="172"/>
      <c r="D84" s="172"/>
      <c r="E84" s="172"/>
      <c r="F84" s="172"/>
      <c r="G84" s="172"/>
      <c r="H84" s="172"/>
    </row>
    <row r="85" spans="1:8" x14ac:dyDescent="0.2">
      <c r="A85" s="46"/>
      <c r="B85" s="172" t="s">
        <v>581</v>
      </c>
      <c r="C85" s="172"/>
      <c r="D85" s="172"/>
      <c r="E85" s="172"/>
      <c r="F85" s="172"/>
      <c r="G85" s="172"/>
      <c r="H85" s="172"/>
    </row>
    <row r="86" spans="1:8" x14ac:dyDescent="0.2">
      <c r="A86" s="46"/>
      <c r="B86" s="172" t="s">
        <v>582</v>
      </c>
      <c r="C86" s="172"/>
      <c r="D86" s="172"/>
      <c r="E86" s="172"/>
      <c r="F86" s="172"/>
      <c r="G86" s="172"/>
      <c r="H86" s="172"/>
    </row>
    <row r="87" spans="1:8" x14ac:dyDescent="0.2">
      <c r="A87" s="48"/>
      <c r="B87" s="48"/>
      <c r="C87" s="48"/>
      <c r="D87" s="49"/>
      <c r="E87" s="49"/>
      <c r="F87" s="49"/>
      <c r="G87" s="49"/>
    </row>
    <row r="88" spans="1:8" x14ac:dyDescent="0.2">
      <c r="A88" s="48"/>
      <c r="B88" s="176" t="s">
        <v>106</v>
      </c>
      <c r="C88" s="177"/>
      <c r="D88" s="178"/>
      <c r="E88" s="50"/>
      <c r="F88" s="49"/>
      <c r="G88" s="49"/>
    </row>
    <row r="89" spans="1:8" ht="25.5" x14ac:dyDescent="0.2">
      <c r="A89" s="48"/>
      <c r="B89" s="179" t="s">
        <v>107</v>
      </c>
      <c r="C89" s="180"/>
      <c r="D89" s="33" t="s">
        <v>615</v>
      </c>
      <c r="E89" s="50"/>
      <c r="F89" s="49"/>
      <c r="G89" s="49"/>
    </row>
    <row r="90" spans="1:8" x14ac:dyDescent="0.2">
      <c r="A90" s="48"/>
      <c r="B90" s="179" t="s">
        <v>109</v>
      </c>
      <c r="C90" s="180"/>
      <c r="D90" s="17" t="s">
        <v>108</v>
      </c>
      <c r="E90" s="50"/>
      <c r="F90" s="49"/>
      <c r="G90" s="49"/>
    </row>
    <row r="91" spans="1:8" x14ac:dyDescent="0.2">
      <c r="A91" s="48"/>
      <c r="B91" s="179" t="s">
        <v>110</v>
      </c>
      <c r="C91" s="180"/>
      <c r="D91" s="22" t="s">
        <v>12</v>
      </c>
      <c r="E91" s="50"/>
      <c r="F91" s="49"/>
      <c r="G91" s="49"/>
    </row>
    <row r="92" spans="1:8" x14ac:dyDescent="0.2">
      <c r="A92" s="51"/>
      <c r="B92" s="52" t="s">
        <v>12</v>
      </c>
      <c r="C92" s="52" t="s">
        <v>583</v>
      </c>
      <c r="D92" s="52" t="s">
        <v>111</v>
      </c>
      <c r="E92" s="51"/>
      <c r="F92" s="51"/>
      <c r="G92" s="51"/>
      <c r="H92" s="53"/>
    </row>
    <row r="93" spans="1:8" x14ac:dyDescent="0.2">
      <c r="A93" s="51"/>
      <c r="B93" s="54" t="s">
        <v>112</v>
      </c>
      <c r="C93" s="55">
        <v>45626</v>
      </c>
      <c r="D93" s="55">
        <v>45641</v>
      </c>
      <c r="E93" s="51"/>
      <c r="F93" s="51"/>
      <c r="G93" s="51"/>
    </row>
    <row r="94" spans="1:8" x14ac:dyDescent="0.2">
      <c r="A94" s="56"/>
      <c r="B94" s="25" t="s">
        <v>113</v>
      </c>
      <c r="C94" s="57">
        <v>73.607500000000002</v>
      </c>
      <c r="D94" s="57">
        <v>73.835099999999997</v>
      </c>
      <c r="E94" s="56"/>
      <c r="F94" s="58"/>
      <c r="G94" s="59"/>
    </row>
    <row r="95" spans="1:8" ht="25.5" x14ac:dyDescent="0.2">
      <c r="A95" s="56"/>
      <c r="B95" s="25" t="s">
        <v>606</v>
      </c>
      <c r="C95" s="57">
        <v>26.421800000000001</v>
      </c>
      <c r="D95" s="57">
        <v>26.4285</v>
      </c>
      <c r="E95" s="56"/>
      <c r="F95" s="58"/>
      <c r="G95" s="59"/>
    </row>
    <row r="96" spans="1:8" x14ac:dyDescent="0.2">
      <c r="A96" s="56"/>
      <c r="B96" s="25" t="s">
        <v>608</v>
      </c>
      <c r="C96" s="57">
        <v>14.872400000000001</v>
      </c>
      <c r="D96" s="57">
        <v>14.9184</v>
      </c>
      <c r="E96" s="56"/>
      <c r="F96" s="58"/>
      <c r="G96" s="59"/>
    </row>
    <row r="97" spans="1:14" x14ac:dyDescent="0.2">
      <c r="A97" s="56"/>
      <c r="B97" s="25" t="s">
        <v>493</v>
      </c>
      <c r="C97" s="57">
        <v>74.857799999999997</v>
      </c>
      <c r="D97" s="57">
        <v>75.0625</v>
      </c>
      <c r="E97" s="56"/>
      <c r="F97" s="58"/>
      <c r="G97" s="59"/>
    </row>
    <row r="98" spans="1:14" x14ac:dyDescent="0.2">
      <c r="A98" s="56"/>
      <c r="B98" s="25" t="s">
        <v>114</v>
      </c>
      <c r="C98" s="57">
        <v>66.245599999999996</v>
      </c>
      <c r="D98" s="57">
        <v>66.427499999999995</v>
      </c>
      <c r="E98" s="56"/>
      <c r="F98" s="58"/>
      <c r="G98" s="59"/>
    </row>
    <row r="99" spans="1:14" x14ac:dyDescent="0.2">
      <c r="A99" s="56"/>
      <c r="B99" s="25" t="s">
        <v>142</v>
      </c>
      <c r="C99" s="57">
        <v>22.6265</v>
      </c>
      <c r="D99" s="57">
        <v>22.688700000000001</v>
      </c>
      <c r="E99" s="56"/>
      <c r="F99" s="58"/>
      <c r="G99" s="59"/>
    </row>
    <row r="100" spans="1:14" ht="25.5" x14ac:dyDescent="0.2">
      <c r="A100" s="56"/>
      <c r="B100" s="38" t="s">
        <v>610</v>
      </c>
      <c r="C100" s="57">
        <v>13.129</v>
      </c>
      <c r="D100" s="57">
        <v>13.0899</v>
      </c>
      <c r="E100" s="56"/>
      <c r="F100" s="58"/>
      <c r="G100" s="59"/>
    </row>
    <row r="101" spans="1:14" ht="25.5" x14ac:dyDescent="0.2">
      <c r="A101" s="56"/>
      <c r="B101" s="25" t="s">
        <v>611</v>
      </c>
      <c r="C101" s="57">
        <v>13.4186</v>
      </c>
      <c r="D101" s="57">
        <v>13.455399999999999</v>
      </c>
      <c r="E101" s="56"/>
      <c r="F101" s="58"/>
      <c r="G101" s="59"/>
    </row>
    <row r="102" spans="1:14" ht="25.5" x14ac:dyDescent="0.2">
      <c r="A102" s="56"/>
      <c r="B102" s="25" t="s">
        <v>612</v>
      </c>
      <c r="C102" s="57">
        <v>13.1623</v>
      </c>
      <c r="D102" s="57">
        <v>13.198399999999999</v>
      </c>
      <c r="E102" s="56"/>
      <c r="F102" s="58"/>
      <c r="G102" s="59"/>
    </row>
    <row r="103" spans="1:14" x14ac:dyDescent="0.2">
      <c r="A103" s="56"/>
      <c r="B103" s="56"/>
      <c r="C103" s="56"/>
      <c r="D103" s="56"/>
      <c r="E103" s="56"/>
      <c r="F103" s="56"/>
      <c r="G103" s="56"/>
    </row>
    <row r="104" spans="1:14" x14ac:dyDescent="0.2">
      <c r="A104" s="56"/>
      <c r="B104" s="179" t="s">
        <v>598</v>
      </c>
      <c r="C104" s="180"/>
      <c r="D104" s="17" t="s">
        <v>12</v>
      </c>
      <c r="E104" s="56"/>
      <c r="F104" s="56"/>
      <c r="G104" s="56"/>
    </row>
    <row r="105" spans="1:14" x14ac:dyDescent="0.2">
      <c r="A105" s="56"/>
      <c r="B105" s="60" t="s">
        <v>112</v>
      </c>
      <c r="C105" s="61" t="s">
        <v>115</v>
      </c>
      <c r="D105" s="61" t="s">
        <v>116</v>
      </c>
      <c r="E105" s="56"/>
      <c r="F105" s="56"/>
      <c r="G105" s="56"/>
    </row>
    <row r="106" spans="1:14" ht="25.5" x14ac:dyDescent="0.2">
      <c r="A106" s="56"/>
      <c r="B106" s="25" t="s">
        <v>606</v>
      </c>
      <c r="C106" s="62">
        <v>7.4999999999999997E-2</v>
      </c>
      <c r="D106" s="29" t="s">
        <v>117</v>
      </c>
      <c r="E106" s="56"/>
      <c r="F106" s="58"/>
      <c r="G106" s="59"/>
    </row>
    <row r="107" spans="1:14" ht="25.5" x14ac:dyDescent="0.2">
      <c r="A107" s="56"/>
      <c r="B107" s="38" t="s">
        <v>610</v>
      </c>
      <c r="C107" s="62">
        <v>7.4999999999999997E-2</v>
      </c>
      <c r="D107" s="62">
        <v>7.4999999999999997E-2</v>
      </c>
      <c r="E107" s="56"/>
      <c r="F107" s="58"/>
      <c r="G107" s="59"/>
    </row>
    <row r="108" spans="1:14" x14ac:dyDescent="0.2">
      <c r="A108" s="56"/>
      <c r="B108" s="63"/>
      <c r="C108" s="63"/>
      <c r="D108" s="64"/>
      <c r="E108" s="56"/>
      <c r="F108" s="58"/>
      <c r="G108" s="59"/>
    </row>
    <row r="109" spans="1:14" s="67" customFormat="1" ht="15" x14ac:dyDescent="0.25">
      <c r="A109" s="77"/>
      <c r="B109" s="173" t="s">
        <v>599</v>
      </c>
      <c r="C109" s="174"/>
      <c r="D109" s="33" t="s">
        <v>108</v>
      </c>
      <c r="E109" s="77"/>
      <c r="F109" s="47"/>
      <c r="G109" s="77"/>
      <c r="I109" s="114"/>
      <c r="J109" s="115"/>
      <c r="K109" s="115"/>
      <c r="L109" s="115"/>
      <c r="M109" s="115"/>
      <c r="N109"/>
    </row>
    <row r="110" spans="1:14" ht="15" x14ac:dyDescent="0.25">
      <c r="A110" s="51"/>
      <c r="B110" s="173" t="s">
        <v>600</v>
      </c>
      <c r="C110" s="174"/>
      <c r="D110" s="33" t="s">
        <v>108</v>
      </c>
      <c r="E110" s="65"/>
      <c r="F110" s="51"/>
      <c r="G110" s="51"/>
      <c r="I110" s="116"/>
    </row>
    <row r="111" spans="1:14" ht="15" x14ac:dyDescent="0.25">
      <c r="A111" s="51"/>
      <c r="B111" s="173" t="s">
        <v>601</v>
      </c>
      <c r="C111" s="174"/>
      <c r="D111" s="33" t="s">
        <v>108</v>
      </c>
      <c r="E111" s="65"/>
      <c r="F111" s="51"/>
      <c r="G111" s="51"/>
      <c r="I111" s="117"/>
    </row>
    <row r="112" spans="1:14" x14ac:dyDescent="0.2">
      <c r="A112" s="51"/>
      <c r="B112" s="173" t="s">
        <v>602</v>
      </c>
      <c r="C112" s="174"/>
      <c r="D112" s="33" t="s">
        <v>108</v>
      </c>
      <c r="E112" s="65"/>
      <c r="F112" s="51"/>
      <c r="G112" s="51"/>
    </row>
    <row r="113" spans="1:14" x14ac:dyDescent="0.2">
      <c r="A113" s="66"/>
      <c r="B113" s="66"/>
      <c r="C113" s="66"/>
      <c r="D113" s="66"/>
      <c r="E113" s="66"/>
      <c r="F113" s="66"/>
      <c r="G113" s="66"/>
    </row>
    <row r="114" spans="1:14" s="67" customFormat="1" ht="15" x14ac:dyDescent="0.25">
      <c r="B114" s="216" t="s">
        <v>695</v>
      </c>
      <c r="C114" s="217"/>
      <c r="D114" s="217"/>
      <c r="E114" s="217"/>
      <c r="F114" s="217"/>
      <c r="G114" s="218"/>
      <c r="I114"/>
      <c r="J114" s="115"/>
      <c r="K114" s="115"/>
      <c r="L114" s="115"/>
      <c r="M114" s="115"/>
      <c r="N114"/>
    </row>
    <row r="115" spans="1:14" s="67" customFormat="1" ht="45" customHeight="1" x14ac:dyDescent="0.25">
      <c r="B115" s="118" t="s">
        <v>624</v>
      </c>
      <c r="C115" s="118" t="s">
        <v>625</v>
      </c>
      <c r="D115" s="219" t="s">
        <v>619</v>
      </c>
      <c r="E115" s="220"/>
      <c r="F115" s="215" t="s">
        <v>620</v>
      </c>
      <c r="G115" s="215"/>
      <c r="H115" s="119"/>
      <c r="I115"/>
      <c r="J115" s="115"/>
      <c r="K115" s="115"/>
      <c r="L115" s="115"/>
      <c r="M115" s="115"/>
      <c r="N115"/>
    </row>
    <row r="116" spans="1:14" s="67" customFormat="1" ht="25.5" x14ac:dyDescent="0.25">
      <c r="B116" s="120" t="s">
        <v>670</v>
      </c>
      <c r="C116" s="121" t="s">
        <v>671</v>
      </c>
      <c r="D116" s="210">
        <v>0</v>
      </c>
      <c r="E116" s="211"/>
      <c r="F116" s="210">
        <v>0</v>
      </c>
      <c r="G116" s="211"/>
      <c r="H116" s="122"/>
      <c r="I116"/>
      <c r="J116" s="115"/>
      <c r="K116" s="115"/>
      <c r="L116" s="115"/>
      <c r="M116" s="115"/>
      <c r="N116"/>
    </row>
    <row r="117" spans="1:14" s="67" customFormat="1" ht="15" x14ac:dyDescent="0.25">
      <c r="B117" s="212" t="s">
        <v>672</v>
      </c>
      <c r="C117" s="213"/>
      <c r="D117" s="213"/>
      <c r="E117" s="213"/>
      <c r="F117" s="213"/>
      <c r="G117" s="214"/>
      <c r="H117" s="122"/>
      <c r="I117"/>
      <c r="J117" s="117"/>
      <c r="K117" s="117"/>
      <c r="L117" s="117"/>
      <c r="M117" s="115"/>
      <c r="N117"/>
    </row>
    <row r="118" spans="1:14" s="67" customFormat="1" ht="15" x14ac:dyDescent="0.25">
      <c r="B118" s="215" t="s">
        <v>624</v>
      </c>
      <c r="C118" s="215" t="s">
        <v>625</v>
      </c>
      <c r="D118" s="212" t="s">
        <v>633</v>
      </c>
      <c r="E118" s="213"/>
      <c r="F118" s="214"/>
      <c r="G118" s="120"/>
      <c r="H118" s="122"/>
      <c r="I118"/>
      <c r="J118" s="117"/>
      <c r="K118" s="117"/>
      <c r="L118" s="117"/>
      <c r="M118" s="115"/>
      <c r="N118"/>
    </row>
    <row r="119" spans="1:14" s="67" customFormat="1" ht="76.5" x14ac:dyDescent="0.25">
      <c r="B119" s="215"/>
      <c r="C119" s="215"/>
      <c r="D119" s="123" t="s">
        <v>637</v>
      </c>
      <c r="E119" s="123" t="s">
        <v>673</v>
      </c>
      <c r="F119" s="123" t="s">
        <v>640</v>
      </c>
      <c r="G119" s="123" t="s">
        <v>697</v>
      </c>
      <c r="H119" s="124"/>
      <c r="I119"/>
      <c r="J119" s="117"/>
      <c r="K119" s="117"/>
      <c r="L119" s="117"/>
      <c r="M119" s="115"/>
      <c r="N119"/>
    </row>
    <row r="120" spans="1:14" s="67" customFormat="1" ht="25.5" x14ac:dyDescent="0.2">
      <c r="B120" s="125" t="s">
        <v>670</v>
      </c>
      <c r="C120" s="121" t="s">
        <v>671</v>
      </c>
      <c r="D120" s="126">
        <v>200</v>
      </c>
      <c r="E120" s="126">
        <v>6.8852450999999997</v>
      </c>
      <c r="F120" s="126">
        <v>206.88524509999999</v>
      </c>
      <c r="G120" s="127">
        <f>F120/F82</f>
        <v>4.6470512000192685E-2</v>
      </c>
      <c r="H120" s="128"/>
      <c r="I120"/>
      <c r="J120"/>
      <c r="K120"/>
      <c r="L120"/>
      <c r="M120"/>
      <c r="N120"/>
    </row>
    <row r="121" spans="1:14" s="67" customFormat="1" x14ac:dyDescent="0.2">
      <c r="B121" s="207" t="s">
        <v>674</v>
      </c>
      <c r="C121" s="208"/>
      <c r="D121" s="208"/>
      <c r="E121" s="208"/>
      <c r="F121" s="208"/>
      <c r="G121" s="209"/>
      <c r="H121" s="129"/>
      <c r="I121"/>
      <c r="J121"/>
      <c r="K121"/>
      <c r="L121"/>
      <c r="M121"/>
      <c r="N121"/>
    </row>
    <row r="122" spans="1:14" s="67" customFormat="1" x14ac:dyDescent="0.2">
      <c r="H122" s="129"/>
      <c r="I122"/>
      <c r="J122"/>
      <c r="K122"/>
      <c r="L122"/>
      <c r="M122"/>
      <c r="N122"/>
    </row>
    <row r="123" spans="1:14" s="67" customFormat="1" x14ac:dyDescent="0.2">
      <c r="B123" s="181" t="s">
        <v>585</v>
      </c>
      <c r="C123" s="182"/>
      <c r="D123" s="183"/>
      <c r="I123"/>
      <c r="J123"/>
      <c r="K123"/>
      <c r="L123"/>
      <c r="M123"/>
      <c r="N123"/>
    </row>
    <row r="124" spans="1:14" s="67" customFormat="1" ht="38.25" x14ac:dyDescent="0.2">
      <c r="B124" s="175" t="s">
        <v>586</v>
      </c>
      <c r="C124" s="175"/>
      <c r="D124" s="68" t="s">
        <v>490</v>
      </c>
      <c r="I124"/>
      <c r="J124"/>
      <c r="K124"/>
      <c r="L124"/>
      <c r="M124"/>
      <c r="N124"/>
    </row>
    <row r="125" spans="1:14" s="67" customFormat="1" x14ac:dyDescent="0.2">
      <c r="B125" s="167" t="s">
        <v>587</v>
      </c>
      <c r="C125" s="167"/>
      <c r="D125" s="69"/>
      <c r="I125"/>
      <c r="J125"/>
      <c r="K125"/>
      <c r="L125"/>
      <c r="M125"/>
      <c r="N125"/>
    </row>
    <row r="126" spans="1:14" s="67" customFormat="1" x14ac:dyDescent="0.2">
      <c r="B126" s="167"/>
      <c r="C126" s="167"/>
      <c r="D126" s="70"/>
      <c r="I126"/>
      <c r="J126"/>
      <c r="K126"/>
      <c r="L126"/>
      <c r="M126"/>
      <c r="N126"/>
    </row>
    <row r="127" spans="1:14" s="67" customFormat="1" x14ac:dyDescent="0.2">
      <c r="B127" s="167" t="s">
        <v>588</v>
      </c>
      <c r="C127" s="167"/>
      <c r="D127" s="71">
        <v>6.9675220791621495</v>
      </c>
      <c r="I127"/>
      <c r="J127"/>
      <c r="K127"/>
      <c r="L127"/>
      <c r="M127"/>
      <c r="N127"/>
    </row>
    <row r="128" spans="1:14" s="67" customFormat="1" x14ac:dyDescent="0.2">
      <c r="B128" s="167"/>
      <c r="C128" s="167"/>
      <c r="D128" s="70"/>
      <c r="I128"/>
      <c r="J128"/>
      <c r="K128"/>
      <c r="L128"/>
      <c r="M128"/>
      <c r="N128"/>
    </row>
    <row r="129" spans="2:16" s="67" customFormat="1" x14ac:dyDescent="0.2">
      <c r="B129" s="167" t="s">
        <v>589</v>
      </c>
      <c r="C129" s="167"/>
      <c r="D129" s="71">
        <v>3.8060131173614034</v>
      </c>
      <c r="I129"/>
      <c r="J129"/>
      <c r="K129"/>
      <c r="L129"/>
      <c r="M129"/>
      <c r="N129"/>
    </row>
    <row r="130" spans="2:16" s="67" customFormat="1" x14ac:dyDescent="0.2">
      <c r="B130" s="167" t="s">
        <v>590</v>
      </c>
      <c r="C130" s="167"/>
      <c r="D130" s="71">
        <v>4.8757526059699412</v>
      </c>
      <c r="I130"/>
      <c r="J130"/>
      <c r="K130"/>
      <c r="L130"/>
      <c r="M130"/>
      <c r="N130"/>
    </row>
    <row r="131" spans="2:16" s="67" customFormat="1" x14ac:dyDescent="0.2">
      <c r="B131" s="167"/>
      <c r="C131" s="167"/>
      <c r="D131" s="70"/>
      <c r="I131"/>
      <c r="J131"/>
      <c r="K131"/>
      <c r="L131"/>
      <c r="M131"/>
      <c r="N131"/>
    </row>
    <row r="132" spans="2:16" s="67" customFormat="1" x14ac:dyDescent="0.2">
      <c r="B132" s="167" t="s">
        <v>591</v>
      </c>
      <c r="C132" s="167"/>
      <c r="D132" s="72" t="s">
        <v>694</v>
      </c>
      <c r="I132"/>
      <c r="J132" s="35"/>
      <c r="K132" s="35"/>
      <c r="L132" s="35"/>
      <c r="M132" s="35"/>
      <c r="N132" s="73"/>
    </row>
    <row r="133" spans="2:16" s="67" customFormat="1" x14ac:dyDescent="0.2">
      <c r="B133" s="168" t="s">
        <v>592</v>
      </c>
      <c r="C133" s="170"/>
      <c r="D133" s="169"/>
      <c r="I133"/>
      <c r="J133"/>
      <c r="K133"/>
      <c r="L133"/>
      <c r="M133"/>
      <c r="N133"/>
      <c r="O133"/>
      <c r="P133"/>
    </row>
    <row r="135" spans="2:16" x14ac:dyDescent="0.2">
      <c r="B135" s="74" t="s">
        <v>593</v>
      </c>
    </row>
    <row r="136" spans="2:16" ht="153.75" customHeight="1" x14ac:dyDescent="0.2"/>
    <row r="139" spans="2:16" x14ac:dyDescent="0.2">
      <c r="B139" s="75" t="s">
        <v>594</v>
      </c>
      <c r="C139" s="76"/>
      <c r="D139" s="75" t="s">
        <v>595</v>
      </c>
    </row>
    <row r="140" spans="2:16" x14ac:dyDescent="0.2">
      <c r="B140" s="75" t="s">
        <v>675</v>
      </c>
      <c r="D140" s="75" t="s">
        <v>676</v>
      </c>
    </row>
    <row r="141" spans="2:16" ht="165" customHeight="1" x14ac:dyDescent="0.2"/>
  </sheetData>
  <mergeCells count="36">
    <mergeCell ref="B111:C111"/>
    <mergeCell ref="B112:C112"/>
    <mergeCell ref="B114:G114"/>
    <mergeCell ref="D115:E115"/>
    <mergeCell ref="F115:G115"/>
    <mergeCell ref="B110:C110"/>
    <mergeCell ref="A1:H1"/>
    <mergeCell ref="A2:H2"/>
    <mergeCell ref="A3:H3"/>
    <mergeCell ref="B84:H84"/>
    <mergeCell ref="B85:H85"/>
    <mergeCell ref="B86:H86"/>
    <mergeCell ref="B109:C109"/>
    <mergeCell ref="B88:D88"/>
    <mergeCell ref="B89:C89"/>
    <mergeCell ref="B90:C90"/>
    <mergeCell ref="B91:C91"/>
    <mergeCell ref="B104:C104"/>
    <mergeCell ref="D116:E116"/>
    <mergeCell ref="F116:G116"/>
    <mergeCell ref="B117:G117"/>
    <mergeCell ref="B118:B119"/>
    <mergeCell ref="C118:C119"/>
    <mergeCell ref="D118:F118"/>
    <mergeCell ref="B121:G121"/>
    <mergeCell ref="B123:D123"/>
    <mergeCell ref="B124:C124"/>
    <mergeCell ref="B125:C125"/>
    <mergeCell ref="B126:C126"/>
    <mergeCell ref="B132:C132"/>
    <mergeCell ref="B133:D133"/>
    <mergeCell ref="B127:C127"/>
    <mergeCell ref="B128:C128"/>
    <mergeCell ref="B129:C129"/>
    <mergeCell ref="B130:C130"/>
    <mergeCell ref="B131:C131"/>
  </mergeCells>
  <hyperlinks>
    <hyperlink ref="I1" location="Index!B2" display="Index" xr:uid="{B7004FBA-DDFF-40F8-A245-036281D0A3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E053-1F34-4740-9B04-80BE044F5740}">
  <sheetPr>
    <outlinePr summaryBelow="0" summaryRight="0"/>
  </sheetPr>
  <dimension ref="A1:R178"/>
  <sheetViews>
    <sheetView showGridLines="0" workbookViewId="0">
      <selection sqref="A1:H1"/>
    </sheetView>
  </sheetViews>
  <sheetFormatPr defaultRowHeight="12.75" x14ac:dyDescent="0.2"/>
  <cols>
    <col min="1" max="1" width="5.85546875" bestFit="1" customWidth="1"/>
    <col min="2" max="2" width="24.85546875" customWidth="1"/>
    <col min="3" max="3" width="38.7109375" customWidth="1"/>
    <col min="4" max="4" width="16.5703125" bestFit="1" customWidth="1"/>
    <col min="5" max="5" width="9.42578125" customWidth="1"/>
    <col min="6" max="6" width="11" customWidth="1"/>
    <col min="7" max="7" width="14" bestFit="1" customWidth="1"/>
    <col min="8" max="8" width="8.28515625" customWidth="1"/>
    <col min="9" max="9" width="12.28515625" customWidth="1"/>
    <col min="10" max="10" width="11.85546875" customWidth="1"/>
  </cols>
  <sheetData>
    <row r="1" spans="1:10" ht="15" x14ac:dyDescent="0.2">
      <c r="A1" s="171" t="s">
        <v>0</v>
      </c>
      <c r="B1" s="171"/>
      <c r="C1" s="171"/>
      <c r="D1" s="171"/>
      <c r="E1" s="171"/>
      <c r="F1" s="171"/>
      <c r="G1" s="171"/>
      <c r="H1" s="171"/>
      <c r="I1" s="7" t="s">
        <v>576</v>
      </c>
    </row>
    <row r="2" spans="1:10" ht="15" x14ac:dyDescent="0.2">
      <c r="A2" s="171" t="s">
        <v>494</v>
      </c>
      <c r="B2" s="171"/>
      <c r="C2" s="171"/>
      <c r="D2" s="171"/>
      <c r="E2" s="171"/>
      <c r="F2" s="171"/>
      <c r="G2" s="171"/>
      <c r="H2" s="171"/>
    </row>
    <row r="3" spans="1:10" ht="15" x14ac:dyDescent="0.2">
      <c r="A3" s="171" t="s">
        <v>577</v>
      </c>
      <c r="B3" s="171"/>
      <c r="C3" s="171"/>
      <c r="D3" s="171"/>
      <c r="E3" s="171"/>
      <c r="F3" s="171"/>
      <c r="G3" s="171"/>
      <c r="H3" s="171"/>
    </row>
    <row r="4" spans="1:10" s="15" customFormat="1" ht="30" x14ac:dyDescent="0.2">
      <c r="A4" s="13" t="s">
        <v>2</v>
      </c>
      <c r="B4" s="13" t="s">
        <v>3</v>
      </c>
      <c r="C4" s="13" t="s">
        <v>4</v>
      </c>
      <c r="D4" s="13" t="s">
        <v>5</v>
      </c>
      <c r="E4" s="13" t="s">
        <v>6</v>
      </c>
      <c r="F4" s="13" t="s">
        <v>7</v>
      </c>
      <c r="G4" s="13" t="s">
        <v>8</v>
      </c>
      <c r="H4" s="14" t="s">
        <v>575</v>
      </c>
    </row>
    <row r="5" spans="1:10" x14ac:dyDescent="0.2">
      <c r="A5" s="16"/>
      <c r="B5" s="16"/>
      <c r="C5" s="17" t="s">
        <v>9</v>
      </c>
      <c r="D5" s="16"/>
      <c r="E5" s="16"/>
      <c r="F5" s="16"/>
      <c r="G5" s="16"/>
      <c r="H5" s="18" t="s">
        <v>12</v>
      </c>
    </row>
    <row r="6" spans="1:10" x14ac:dyDescent="0.2">
      <c r="A6" s="16"/>
      <c r="B6" s="16"/>
      <c r="C6" s="17" t="s">
        <v>10</v>
      </c>
      <c r="D6" s="16"/>
      <c r="E6" s="16"/>
      <c r="F6" s="16"/>
      <c r="G6" s="16"/>
      <c r="H6" s="18" t="s">
        <v>12</v>
      </c>
    </row>
    <row r="7" spans="1:10" x14ac:dyDescent="0.2">
      <c r="A7" s="24">
        <v>1</v>
      </c>
      <c r="B7" s="25" t="s">
        <v>495</v>
      </c>
      <c r="C7" s="25" t="s">
        <v>496</v>
      </c>
      <c r="D7" s="25" t="s">
        <v>497</v>
      </c>
      <c r="E7" s="26">
        <v>4250</v>
      </c>
      <c r="F7" s="27">
        <v>79.549374999999998</v>
      </c>
      <c r="G7" s="28">
        <v>2.8773E-2</v>
      </c>
      <c r="H7" s="18" t="s">
        <v>12</v>
      </c>
    </row>
    <row r="8" spans="1:10" x14ac:dyDescent="0.2">
      <c r="A8" s="24">
        <v>2</v>
      </c>
      <c r="B8" s="25" t="s">
        <v>498</v>
      </c>
      <c r="C8" s="25" t="s">
        <v>499</v>
      </c>
      <c r="D8" s="25" t="s">
        <v>497</v>
      </c>
      <c r="E8" s="26">
        <v>4200</v>
      </c>
      <c r="F8" s="27">
        <v>56.485799999999998</v>
      </c>
      <c r="G8" s="28">
        <v>2.043091E-2</v>
      </c>
      <c r="H8" s="18" t="s">
        <v>12</v>
      </c>
    </row>
    <row r="9" spans="1:10" x14ac:dyDescent="0.2">
      <c r="A9" s="24">
        <v>3</v>
      </c>
      <c r="B9" s="25" t="s">
        <v>500</v>
      </c>
      <c r="C9" s="25" t="s">
        <v>501</v>
      </c>
      <c r="D9" s="25" t="s">
        <v>502</v>
      </c>
      <c r="E9" s="26">
        <v>2500</v>
      </c>
      <c r="F9" s="27">
        <v>42.043750000000003</v>
      </c>
      <c r="G9" s="28">
        <v>1.520722E-2</v>
      </c>
      <c r="H9" s="18" t="s">
        <v>12</v>
      </c>
    </row>
    <row r="10" spans="1:10" x14ac:dyDescent="0.2">
      <c r="A10" s="24">
        <v>4</v>
      </c>
      <c r="B10" s="25" t="s">
        <v>503</v>
      </c>
      <c r="C10" s="25" t="s">
        <v>504</v>
      </c>
      <c r="D10" s="25" t="s">
        <v>505</v>
      </c>
      <c r="E10" s="26">
        <v>3000</v>
      </c>
      <c r="F10" s="27">
        <v>38.185499999999998</v>
      </c>
      <c r="G10" s="28">
        <v>1.381169E-2</v>
      </c>
      <c r="H10" s="18" t="s">
        <v>12</v>
      </c>
    </row>
    <row r="11" spans="1:10" x14ac:dyDescent="0.2">
      <c r="A11" s="24">
        <v>5</v>
      </c>
      <c r="B11" s="25" t="s">
        <v>506</v>
      </c>
      <c r="C11" s="25" t="s">
        <v>507</v>
      </c>
      <c r="D11" s="25" t="s">
        <v>508</v>
      </c>
      <c r="E11" s="26">
        <v>1848</v>
      </c>
      <c r="F11" s="27">
        <v>36.383423999999998</v>
      </c>
      <c r="G11" s="28">
        <v>1.3159880000000001E-2</v>
      </c>
      <c r="H11" s="18" t="s">
        <v>12</v>
      </c>
    </row>
    <row r="12" spans="1:10" x14ac:dyDescent="0.2">
      <c r="A12" s="24">
        <v>6</v>
      </c>
      <c r="B12" s="25" t="s">
        <v>509</v>
      </c>
      <c r="C12" s="25" t="s">
        <v>510</v>
      </c>
      <c r="D12" s="25" t="s">
        <v>508</v>
      </c>
      <c r="E12" s="26">
        <v>1750</v>
      </c>
      <c r="F12" s="27">
        <v>34.994750000000003</v>
      </c>
      <c r="G12" s="28">
        <v>1.26576E-2</v>
      </c>
      <c r="H12" s="18" t="s">
        <v>12</v>
      </c>
    </row>
    <row r="13" spans="1:10" ht="25.5" x14ac:dyDescent="0.2">
      <c r="A13" s="37">
        <v>7</v>
      </c>
      <c r="B13" s="38" t="s">
        <v>677</v>
      </c>
      <c r="C13" s="38" t="s">
        <v>678</v>
      </c>
      <c r="D13" s="38" t="s">
        <v>679</v>
      </c>
      <c r="E13" s="130">
        <v>30000</v>
      </c>
      <c r="F13" s="34">
        <f>2611200/10^5</f>
        <v>26.111999999999998</v>
      </c>
      <c r="G13" s="40">
        <f>F13/F102</f>
        <v>9.4447074687697974E-3</v>
      </c>
      <c r="H13" s="18" t="s">
        <v>12</v>
      </c>
      <c r="J13" s="131"/>
    </row>
    <row r="14" spans="1:10" x14ac:dyDescent="0.2">
      <c r="A14" s="24">
        <v>8</v>
      </c>
      <c r="B14" s="25" t="s">
        <v>511</v>
      </c>
      <c r="C14" s="25" t="s">
        <v>512</v>
      </c>
      <c r="D14" s="25" t="s">
        <v>513</v>
      </c>
      <c r="E14" s="26">
        <v>600</v>
      </c>
      <c r="F14" s="27">
        <v>23.321999999999999</v>
      </c>
      <c r="G14" s="28">
        <v>8.4355699999999999E-3</v>
      </c>
      <c r="H14" s="18" t="s">
        <v>12</v>
      </c>
    </row>
    <row r="15" spans="1:10" x14ac:dyDescent="0.2">
      <c r="A15" s="24">
        <v>9</v>
      </c>
      <c r="B15" s="25" t="s">
        <v>514</v>
      </c>
      <c r="C15" s="25" t="s">
        <v>515</v>
      </c>
      <c r="D15" s="25" t="s">
        <v>497</v>
      </c>
      <c r="E15" s="26">
        <v>2000</v>
      </c>
      <c r="F15" s="27">
        <v>22.963000000000001</v>
      </c>
      <c r="G15" s="28">
        <v>8.3057200000000008E-3</v>
      </c>
      <c r="H15" s="18" t="s">
        <v>12</v>
      </c>
    </row>
    <row r="16" spans="1:10" x14ac:dyDescent="0.2">
      <c r="A16" s="24">
        <v>10</v>
      </c>
      <c r="B16" s="25" t="s">
        <v>516</v>
      </c>
      <c r="C16" s="25" t="s">
        <v>517</v>
      </c>
      <c r="D16" s="25" t="s">
        <v>497</v>
      </c>
      <c r="E16" s="26">
        <v>2600</v>
      </c>
      <c r="F16" s="27">
        <v>22.400300000000001</v>
      </c>
      <c r="G16" s="28">
        <v>8.1021900000000004E-3</v>
      </c>
      <c r="H16" s="18" t="s">
        <v>12</v>
      </c>
    </row>
    <row r="17" spans="1:8" x14ac:dyDescent="0.2">
      <c r="A17" s="24">
        <v>11</v>
      </c>
      <c r="B17" s="25" t="s">
        <v>518</v>
      </c>
      <c r="C17" s="25" t="s">
        <v>519</v>
      </c>
      <c r="D17" s="25" t="s">
        <v>520</v>
      </c>
      <c r="E17" s="26">
        <v>4000</v>
      </c>
      <c r="F17" s="27">
        <v>18.8</v>
      </c>
      <c r="G17" s="28">
        <v>6.7999599999999999E-3</v>
      </c>
      <c r="H17" s="18" t="s">
        <v>12</v>
      </c>
    </row>
    <row r="18" spans="1:8" ht="25.5" x14ac:dyDescent="0.2">
      <c r="A18" s="24">
        <v>12</v>
      </c>
      <c r="B18" s="25" t="s">
        <v>521</v>
      </c>
      <c r="C18" s="25" t="s">
        <v>522</v>
      </c>
      <c r="D18" s="25" t="s">
        <v>523</v>
      </c>
      <c r="E18" s="26">
        <v>1000</v>
      </c>
      <c r="F18" s="27">
        <v>18.134499999999999</v>
      </c>
      <c r="G18" s="28">
        <v>6.55925E-3</v>
      </c>
      <c r="H18" s="18" t="s">
        <v>12</v>
      </c>
    </row>
    <row r="19" spans="1:8" x14ac:dyDescent="0.2">
      <c r="A19" s="24">
        <v>13</v>
      </c>
      <c r="B19" s="25" t="s">
        <v>524</v>
      </c>
      <c r="C19" s="25" t="s">
        <v>525</v>
      </c>
      <c r="D19" s="25" t="s">
        <v>526</v>
      </c>
      <c r="E19" s="26">
        <v>2500</v>
      </c>
      <c r="F19" s="27">
        <v>16.141249999999999</v>
      </c>
      <c r="G19" s="28">
        <v>5.8382900000000003E-3</v>
      </c>
      <c r="H19" s="18" t="s">
        <v>12</v>
      </c>
    </row>
    <row r="20" spans="1:8" ht="25.5" x14ac:dyDescent="0.2">
      <c r="A20" s="24">
        <v>14</v>
      </c>
      <c r="B20" s="25" t="s">
        <v>527</v>
      </c>
      <c r="C20" s="25" t="s">
        <v>528</v>
      </c>
      <c r="D20" s="25" t="s">
        <v>529</v>
      </c>
      <c r="E20" s="26">
        <v>125</v>
      </c>
      <c r="F20" s="27">
        <v>15.104875</v>
      </c>
      <c r="G20" s="28">
        <v>5.46343E-3</v>
      </c>
      <c r="H20" s="18" t="s">
        <v>12</v>
      </c>
    </row>
    <row r="21" spans="1:8" x14ac:dyDescent="0.2">
      <c r="A21" s="24">
        <v>15</v>
      </c>
      <c r="B21" s="25" t="s">
        <v>530</v>
      </c>
      <c r="C21" s="25" t="s">
        <v>531</v>
      </c>
      <c r="D21" s="25" t="s">
        <v>505</v>
      </c>
      <c r="E21" s="26">
        <v>5000</v>
      </c>
      <c r="F21" s="27">
        <v>15.085000000000001</v>
      </c>
      <c r="G21" s="28">
        <v>5.4562400000000002E-3</v>
      </c>
      <c r="H21" s="18" t="s">
        <v>12</v>
      </c>
    </row>
    <row r="22" spans="1:8" x14ac:dyDescent="0.2">
      <c r="A22" s="24">
        <v>16</v>
      </c>
      <c r="B22" s="25" t="s">
        <v>532</v>
      </c>
      <c r="C22" s="25" t="s">
        <v>533</v>
      </c>
      <c r="D22" s="25" t="s">
        <v>534</v>
      </c>
      <c r="E22" s="26">
        <v>160</v>
      </c>
      <c r="F22" s="27">
        <v>14.434240000000001</v>
      </c>
      <c r="G22" s="28">
        <v>5.2208599999999999E-3</v>
      </c>
      <c r="H22" s="18" t="s">
        <v>12</v>
      </c>
    </row>
    <row r="23" spans="1:8" x14ac:dyDescent="0.2">
      <c r="A23" s="24">
        <v>17</v>
      </c>
      <c r="B23" s="25" t="s">
        <v>535</v>
      </c>
      <c r="C23" s="25" t="s">
        <v>536</v>
      </c>
      <c r="D23" s="25" t="s">
        <v>537</v>
      </c>
      <c r="E23" s="26">
        <v>2000</v>
      </c>
      <c r="F23" s="27">
        <v>13.715</v>
      </c>
      <c r="G23" s="28">
        <v>4.9607100000000001E-3</v>
      </c>
      <c r="H23" s="18" t="s">
        <v>12</v>
      </c>
    </row>
    <row r="24" spans="1:8" x14ac:dyDescent="0.2">
      <c r="A24" s="24">
        <v>18</v>
      </c>
      <c r="B24" s="25" t="s">
        <v>538</v>
      </c>
      <c r="C24" s="25" t="s">
        <v>539</v>
      </c>
      <c r="D24" s="25" t="s">
        <v>540</v>
      </c>
      <c r="E24" s="26">
        <v>2000</v>
      </c>
      <c r="F24" s="27">
        <v>13.625999999999999</v>
      </c>
      <c r="G24" s="28">
        <v>4.9285199999999996E-3</v>
      </c>
      <c r="H24" s="18" t="s">
        <v>12</v>
      </c>
    </row>
    <row r="25" spans="1:8" x14ac:dyDescent="0.2">
      <c r="A25" s="24">
        <v>19</v>
      </c>
      <c r="B25" s="25" t="s">
        <v>541</v>
      </c>
      <c r="C25" s="25" t="s">
        <v>542</v>
      </c>
      <c r="D25" s="25" t="s">
        <v>526</v>
      </c>
      <c r="E25" s="26">
        <v>900</v>
      </c>
      <c r="F25" s="27">
        <v>13.608449999999999</v>
      </c>
      <c r="G25" s="28">
        <v>4.92218E-3</v>
      </c>
      <c r="H25" s="18" t="s">
        <v>12</v>
      </c>
    </row>
    <row r="26" spans="1:8" ht="25.5" x14ac:dyDescent="0.2">
      <c r="A26" s="24">
        <v>20</v>
      </c>
      <c r="B26" s="25" t="s">
        <v>543</v>
      </c>
      <c r="C26" s="25" t="s">
        <v>544</v>
      </c>
      <c r="D26" s="25" t="s">
        <v>523</v>
      </c>
      <c r="E26" s="26">
        <v>250</v>
      </c>
      <c r="F26" s="27">
        <v>13.431374999999999</v>
      </c>
      <c r="G26" s="28">
        <v>4.8581299999999996E-3</v>
      </c>
      <c r="H26" s="18" t="s">
        <v>12</v>
      </c>
    </row>
    <row r="27" spans="1:8" ht="25.5" x14ac:dyDescent="0.2">
      <c r="A27" s="24">
        <v>21</v>
      </c>
      <c r="B27" s="25" t="s">
        <v>545</v>
      </c>
      <c r="C27" s="25" t="s">
        <v>546</v>
      </c>
      <c r="D27" s="25" t="s">
        <v>547</v>
      </c>
      <c r="E27" s="26">
        <v>2000</v>
      </c>
      <c r="F27" s="27">
        <v>12.795999999999999</v>
      </c>
      <c r="G27" s="28">
        <v>4.6283100000000001E-3</v>
      </c>
      <c r="H27" s="18" t="s">
        <v>12</v>
      </c>
    </row>
    <row r="28" spans="1:8" ht="25.5" x14ac:dyDescent="0.2">
      <c r="A28" s="24">
        <v>22</v>
      </c>
      <c r="B28" s="25" t="s">
        <v>548</v>
      </c>
      <c r="C28" s="25" t="s">
        <v>549</v>
      </c>
      <c r="D28" s="25" t="s">
        <v>550</v>
      </c>
      <c r="E28" s="26">
        <v>320</v>
      </c>
      <c r="F28" s="27">
        <v>12.7904</v>
      </c>
      <c r="G28" s="28">
        <v>4.6262899999999999E-3</v>
      </c>
      <c r="H28" s="18" t="s">
        <v>12</v>
      </c>
    </row>
    <row r="29" spans="1:8" ht="25.5" x14ac:dyDescent="0.2">
      <c r="A29" s="24">
        <v>23</v>
      </c>
      <c r="B29" s="25" t="s">
        <v>551</v>
      </c>
      <c r="C29" s="25" t="s">
        <v>552</v>
      </c>
      <c r="D29" s="25" t="s">
        <v>529</v>
      </c>
      <c r="E29" s="26">
        <v>450</v>
      </c>
      <c r="F29" s="27">
        <v>12.117150000000001</v>
      </c>
      <c r="G29" s="28">
        <v>4.3827700000000002E-3</v>
      </c>
      <c r="H29" s="18" t="s">
        <v>12</v>
      </c>
    </row>
    <row r="30" spans="1:8" x14ac:dyDescent="0.2">
      <c r="A30" s="24">
        <v>24</v>
      </c>
      <c r="B30" s="25" t="s">
        <v>553</v>
      </c>
      <c r="C30" s="25" t="s">
        <v>554</v>
      </c>
      <c r="D30" s="25" t="s">
        <v>534</v>
      </c>
      <c r="E30" s="26">
        <v>100</v>
      </c>
      <c r="F30" s="27">
        <v>11.272550000000001</v>
      </c>
      <c r="G30" s="28">
        <v>4.07728E-3</v>
      </c>
      <c r="H30" s="18" t="s">
        <v>12</v>
      </c>
    </row>
    <row r="31" spans="1:8" x14ac:dyDescent="0.2">
      <c r="A31" s="24">
        <v>25</v>
      </c>
      <c r="B31" s="25" t="s">
        <v>555</v>
      </c>
      <c r="C31" s="25" t="s">
        <v>556</v>
      </c>
      <c r="D31" s="25" t="s">
        <v>557</v>
      </c>
      <c r="E31" s="26">
        <v>2000</v>
      </c>
      <c r="F31" s="27">
        <v>10.956</v>
      </c>
      <c r="G31" s="28">
        <v>3.9627799999999999E-3</v>
      </c>
      <c r="H31" s="18" t="s">
        <v>12</v>
      </c>
    </row>
    <row r="32" spans="1:8" x14ac:dyDescent="0.2">
      <c r="A32" s="24">
        <v>26</v>
      </c>
      <c r="B32" s="25" t="s">
        <v>558</v>
      </c>
      <c r="C32" s="25" t="s">
        <v>559</v>
      </c>
      <c r="D32" s="25" t="s">
        <v>497</v>
      </c>
      <c r="E32" s="26">
        <v>4000</v>
      </c>
      <c r="F32" s="27">
        <v>10.319599999999999</v>
      </c>
      <c r="G32" s="28">
        <v>3.7326E-3</v>
      </c>
      <c r="H32" s="18" t="s">
        <v>12</v>
      </c>
    </row>
    <row r="33" spans="1:8" x14ac:dyDescent="0.2">
      <c r="A33" s="37">
        <v>27</v>
      </c>
      <c r="B33" s="38" t="s">
        <v>560</v>
      </c>
      <c r="C33" s="38" t="s">
        <v>680</v>
      </c>
      <c r="D33" s="25" t="s">
        <v>502</v>
      </c>
      <c r="E33" s="26">
        <v>218</v>
      </c>
      <c r="F33" s="27">
        <v>2.7538849999999999</v>
      </c>
      <c r="G33" s="28">
        <v>9.960800000000001E-4</v>
      </c>
      <c r="H33" s="18" t="s">
        <v>12</v>
      </c>
    </row>
    <row r="34" spans="1:8" x14ac:dyDescent="0.2">
      <c r="A34" s="16"/>
      <c r="B34" s="16"/>
      <c r="C34" s="17" t="s">
        <v>11</v>
      </c>
      <c r="D34" s="16"/>
      <c r="E34" s="16" t="s">
        <v>12</v>
      </c>
      <c r="F34" s="23">
        <f>SUM(F7:F33)</f>
        <v>607.52617400000008</v>
      </c>
      <c r="G34" s="20">
        <f>SUM(G7:G33)</f>
        <v>0.21974216746876979</v>
      </c>
      <c r="H34" s="18" t="s">
        <v>12</v>
      </c>
    </row>
    <row r="35" spans="1:8" x14ac:dyDescent="0.2">
      <c r="A35" s="16"/>
      <c r="B35" s="16"/>
      <c r="C35" s="21"/>
      <c r="D35" s="16"/>
      <c r="E35" s="16"/>
      <c r="F35" s="22"/>
      <c r="G35" s="22"/>
      <c r="H35" s="18" t="s">
        <v>12</v>
      </c>
    </row>
    <row r="36" spans="1:8" x14ac:dyDescent="0.2">
      <c r="A36" s="16"/>
      <c r="B36" s="16"/>
      <c r="C36" s="17" t="s">
        <v>14</v>
      </c>
      <c r="D36" s="16"/>
      <c r="E36" s="16"/>
      <c r="F36" s="16"/>
      <c r="G36" s="16"/>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15</v>
      </c>
      <c r="D39" s="16"/>
      <c r="E39" s="16"/>
      <c r="F39" s="16"/>
      <c r="G39" s="16"/>
      <c r="H39" s="18" t="s">
        <v>12</v>
      </c>
    </row>
    <row r="40" spans="1:8" x14ac:dyDescent="0.2">
      <c r="A40" s="16"/>
      <c r="B40" s="16"/>
      <c r="C40" s="17" t="s">
        <v>11</v>
      </c>
      <c r="D40" s="16"/>
      <c r="E40" s="16" t="s">
        <v>12</v>
      </c>
      <c r="F40" s="19" t="s">
        <v>13</v>
      </c>
      <c r="G40" s="20">
        <v>0</v>
      </c>
      <c r="H40" s="18" t="s">
        <v>12</v>
      </c>
    </row>
    <row r="41" spans="1:8" x14ac:dyDescent="0.2">
      <c r="A41" s="16"/>
      <c r="B41" s="16"/>
      <c r="C41" s="21"/>
      <c r="D41" s="16"/>
      <c r="E41" s="16"/>
      <c r="F41" s="22"/>
      <c r="G41" s="22"/>
      <c r="H41" s="18" t="s">
        <v>12</v>
      </c>
    </row>
    <row r="42" spans="1:8" x14ac:dyDescent="0.2">
      <c r="A42" s="16"/>
      <c r="B42" s="16"/>
      <c r="C42" s="17" t="s">
        <v>16</v>
      </c>
      <c r="D42" s="16"/>
      <c r="E42" s="16"/>
      <c r="F42" s="16"/>
      <c r="G42" s="16"/>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17</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18</v>
      </c>
      <c r="D48" s="16"/>
      <c r="E48" s="16"/>
      <c r="F48" s="22"/>
      <c r="G48" s="22"/>
      <c r="H48" s="18" t="s">
        <v>12</v>
      </c>
    </row>
    <row r="49" spans="1:8" x14ac:dyDescent="0.2">
      <c r="A49" s="16"/>
      <c r="B49" s="16"/>
      <c r="C49" s="17" t="s">
        <v>11</v>
      </c>
      <c r="D49" s="16"/>
      <c r="E49" s="16" t="s">
        <v>12</v>
      </c>
      <c r="F49" s="19" t="s">
        <v>13</v>
      </c>
      <c r="G49" s="20">
        <v>0</v>
      </c>
      <c r="H49" s="18" t="s">
        <v>12</v>
      </c>
    </row>
    <row r="50" spans="1:8" x14ac:dyDescent="0.2">
      <c r="A50" s="16"/>
      <c r="B50" s="16"/>
      <c r="C50" s="21"/>
      <c r="D50" s="16"/>
      <c r="E50" s="16"/>
      <c r="F50" s="22"/>
      <c r="G50" s="22"/>
      <c r="H50" s="18" t="s">
        <v>12</v>
      </c>
    </row>
    <row r="51" spans="1:8" x14ac:dyDescent="0.2">
      <c r="A51" s="16"/>
      <c r="B51" s="16"/>
      <c r="C51" s="17" t="s">
        <v>19</v>
      </c>
      <c r="D51" s="16"/>
      <c r="E51" s="16"/>
      <c r="F51" s="23">
        <f>F34</f>
        <v>607.52617400000008</v>
      </c>
      <c r="G51" s="20">
        <f>G34</f>
        <v>0.21974216746876979</v>
      </c>
      <c r="H51" s="18" t="s">
        <v>12</v>
      </c>
    </row>
    <row r="52" spans="1:8" x14ac:dyDescent="0.2">
      <c r="A52" s="16"/>
      <c r="B52" s="16"/>
      <c r="C52" s="21"/>
      <c r="D52" s="16"/>
      <c r="E52" s="16"/>
      <c r="F52" s="22"/>
      <c r="G52" s="22"/>
      <c r="H52" s="18" t="s">
        <v>12</v>
      </c>
    </row>
    <row r="53" spans="1:8" x14ac:dyDescent="0.2">
      <c r="A53" s="16"/>
      <c r="B53" s="16"/>
      <c r="C53" s="17" t="s">
        <v>20</v>
      </c>
      <c r="D53" s="16"/>
      <c r="E53" s="16"/>
      <c r="F53" s="22"/>
      <c r="G53" s="22"/>
      <c r="H53" s="18" t="s">
        <v>12</v>
      </c>
    </row>
    <row r="54" spans="1:8" x14ac:dyDescent="0.2">
      <c r="A54" s="16"/>
      <c r="B54" s="16"/>
      <c r="C54" s="17" t="s">
        <v>10</v>
      </c>
      <c r="D54" s="16"/>
      <c r="E54" s="16"/>
      <c r="F54" s="22"/>
      <c r="G54" s="22"/>
      <c r="H54" s="18" t="s">
        <v>12</v>
      </c>
    </row>
    <row r="55" spans="1:8" x14ac:dyDescent="0.2">
      <c r="A55" s="16"/>
      <c r="B55" s="16"/>
      <c r="C55" s="17" t="s">
        <v>11</v>
      </c>
      <c r="D55" s="16"/>
      <c r="E55" s="16" t="s">
        <v>12</v>
      </c>
      <c r="F55" s="19" t="s">
        <v>13</v>
      </c>
      <c r="G55" s="20">
        <v>0</v>
      </c>
      <c r="H55" s="18" t="s">
        <v>12</v>
      </c>
    </row>
    <row r="56" spans="1:8" x14ac:dyDescent="0.2">
      <c r="A56" s="16"/>
      <c r="B56" s="16"/>
      <c r="C56" s="21"/>
      <c r="D56" s="16"/>
      <c r="E56" s="16"/>
      <c r="F56" s="22"/>
      <c r="G56" s="22"/>
      <c r="H56" s="18" t="s">
        <v>12</v>
      </c>
    </row>
    <row r="57" spans="1:8" x14ac:dyDescent="0.2">
      <c r="A57" s="16"/>
      <c r="B57" s="16"/>
      <c r="C57" s="17" t="s">
        <v>71</v>
      </c>
      <c r="D57" s="16"/>
      <c r="E57" s="16"/>
      <c r="F57" s="16"/>
      <c r="G57" s="16"/>
      <c r="H57" s="18" t="s">
        <v>12</v>
      </c>
    </row>
    <row r="58" spans="1:8" x14ac:dyDescent="0.2">
      <c r="A58" s="16"/>
      <c r="B58" s="16"/>
      <c r="C58" s="17" t="s">
        <v>11</v>
      </c>
      <c r="D58" s="16"/>
      <c r="E58" s="16" t="s">
        <v>12</v>
      </c>
      <c r="F58" s="19" t="s">
        <v>13</v>
      </c>
      <c r="G58" s="20">
        <v>0</v>
      </c>
      <c r="H58" s="18" t="s">
        <v>12</v>
      </c>
    </row>
    <row r="59" spans="1:8" x14ac:dyDescent="0.2">
      <c r="A59" s="16"/>
      <c r="B59" s="16"/>
      <c r="C59" s="21"/>
      <c r="D59" s="16"/>
      <c r="E59" s="16"/>
      <c r="F59" s="22"/>
      <c r="G59" s="22"/>
      <c r="H59" s="18" t="s">
        <v>12</v>
      </c>
    </row>
    <row r="60" spans="1:8" x14ac:dyDescent="0.2">
      <c r="A60" s="16"/>
      <c r="B60" s="16"/>
      <c r="C60" s="17" t="s">
        <v>72</v>
      </c>
      <c r="D60" s="16"/>
      <c r="E60" s="16"/>
      <c r="F60" s="16"/>
      <c r="G60" s="16"/>
      <c r="H60" s="18" t="s">
        <v>12</v>
      </c>
    </row>
    <row r="61" spans="1:8" ht="25.5" x14ac:dyDescent="0.2">
      <c r="A61" s="24">
        <v>1</v>
      </c>
      <c r="B61" s="25" t="s">
        <v>73</v>
      </c>
      <c r="C61" s="25" t="s">
        <v>74</v>
      </c>
      <c r="D61" s="25" t="s">
        <v>75</v>
      </c>
      <c r="E61" s="26">
        <v>600000</v>
      </c>
      <c r="F61" s="27">
        <v>613.34220000000005</v>
      </c>
      <c r="G61" s="28">
        <v>0.22184581</v>
      </c>
      <c r="H61" s="18">
        <v>6.8868</v>
      </c>
    </row>
    <row r="62" spans="1:8" x14ac:dyDescent="0.2">
      <c r="A62" s="24">
        <v>2</v>
      </c>
      <c r="B62" s="25" t="s">
        <v>78</v>
      </c>
      <c r="C62" s="25" t="s">
        <v>79</v>
      </c>
      <c r="D62" s="25" t="s">
        <v>75</v>
      </c>
      <c r="E62" s="26">
        <v>500000</v>
      </c>
      <c r="F62" s="27">
        <v>520.99749999999995</v>
      </c>
      <c r="G62" s="28">
        <v>0.18844474</v>
      </c>
      <c r="H62" s="18">
        <v>7.0803000000000003</v>
      </c>
    </row>
    <row r="63" spans="1:8" x14ac:dyDescent="0.2">
      <c r="A63" s="16"/>
      <c r="B63" s="16"/>
      <c r="C63" s="17" t="s">
        <v>11</v>
      </c>
      <c r="D63" s="16"/>
      <c r="E63" s="16" t="s">
        <v>12</v>
      </c>
      <c r="F63" s="23">
        <v>1134.3397</v>
      </c>
      <c r="G63" s="20">
        <v>0.41029054999999998</v>
      </c>
      <c r="H63" s="18" t="s">
        <v>12</v>
      </c>
    </row>
    <row r="64" spans="1:8" x14ac:dyDescent="0.2">
      <c r="A64" s="16"/>
      <c r="B64" s="16"/>
      <c r="C64" s="21"/>
      <c r="D64" s="16"/>
      <c r="E64" s="16"/>
      <c r="F64" s="22"/>
      <c r="G64" s="22"/>
      <c r="H64" s="18" t="s">
        <v>12</v>
      </c>
    </row>
    <row r="65" spans="1:8" x14ac:dyDescent="0.2">
      <c r="A65" s="16"/>
      <c r="B65" s="16"/>
      <c r="C65" s="17" t="s">
        <v>88</v>
      </c>
      <c r="D65" s="16"/>
      <c r="E65" s="16"/>
      <c r="F65" s="22"/>
      <c r="G65" s="22"/>
      <c r="H65" s="18" t="s">
        <v>12</v>
      </c>
    </row>
    <row r="66" spans="1:8" x14ac:dyDescent="0.2">
      <c r="A66" s="16"/>
      <c r="B66" s="16"/>
      <c r="C66" s="17" t="s">
        <v>11</v>
      </c>
      <c r="D66" s="16"/>
      <c r="E66" s="16" t="s">
        <v>12</v>
      </c>
      <c r="F66" s="19" t="s">
        <v>13</v>
      </c>
      <c r="G66" s="20">
        <v>0</v>
      </c>
      <c r="H66" s="18" t="s">
        <v>12</v>
      </c>
    </row>
    <row r="67" spans="1:8" x14ac:dyDescent="0.2">
      <c r="A67" s="16"/>
      <c r="B67" s="16"/>
      <c r="C67" s="21"/>
      <c r="D67" s="16"/>
      <c r="E67" s="16"/>
      <c r="F67" s="22"/>
      <c r="G67" s="22"/>
      <c r="H67" s="18" t="s">
        <v>12</v>
      </c>
    </row>
    <row r="68" spans="1:8" x14ac:dyDescent="0.2">
      <c r="A68" s="16"/>
      <c r="B68" s="16"/>
      <c r="C68" s="17" t="s">
        <v>89</v>
      </c>
      <c r="D68" s="16"/>
      <c r="E68" s="16"/>
      <c r="F68" s="23">
        <v>1134.3397</v>
      </c>
      <c r="G68" s="20">
        <v>0.41029054999999998</v>
      </c>
      <c r="H68" s="18" t="s">
        <v>12</v>
      </c>
    </row>
    <row r="69" spans="1:8" x14ac:dyDescent="0.2">
      <c r="A69" s="16"/>
      <c r="B69" s="16"/>
      <c r="C69" s="21"/>
      <c r="D69" s="16"/>
      <c r="E69" s="16"/>
      <c r="F69" s="22"/>
      <c r="G69" s="22"/>
      <c r="H69" s="18" t="s">
        <v>12</v>
      </c>
    </row>
    <row r="70" spans="1:8" x14ac:dyDescent="0.2">
      <c r="A70" s="16"/>
      <c r="B70" s="16"/>
      <c r="C70" s="17" t="s">
        <v>90</v>
      </c>
      <c r="D70" s="16"/>
      <c r="E70" s="16"/>
      <c r="F70" s="22"/>
      <c r="G70" s="22"/>
      <c r="H70" s="18" t="s">
        <v>12</v>
      </c>
    </row>
    <row r="71" spans="1:8" x14ac:dyDescent="0.2">
      <c r="A71" s="16"/>
      <c r="B71" s="16"/>
      <c r="C71" s="17" t="s">
        <v>91</v>
      </c>
      <c r="D71" s="16"/>
      <c r="E71" s="16"/>
      <c r="F71" s="22"/>
      <c r="G71" s="22"/>
      <c r="H71" s="18" t="s">
        <v>12</v>
      </c>
    </row>
    <row r="72" spans="1:8" x14ac:dyDescent="0.2">
      <c r="A72" s="16"/>
      <c r="B72" s="16"/>
      <c r="C72" s="17" t="s">
        <v>11</v>
      </c>
      <c r="D72" s="16"/>
      <c r="E72" s="16" t="s">
        <v>12</v>
      </c>
      <c r="F72" s="19" t="s">
        <v>13</v>
      </c>
      <c r="G72" s="20">
        <v>0</v>
      </c>
      <c r="H72" s="18" t="s">
        <v>12</v>
      </c>
    </row>
    <row r="73" spans="1:8" x14ac:dyDescent="0.2">
      <c r="A73" s="16"/>
      <c r="B73" s="16"/>
      <c r="C73" s="21"/>
      <c r="D73" s="16"/>
      <c r="E73" s="16"/>
      <c r="F73" s="22"/>
      <c r="G73" s="22"/>
      <c r="H73" s="18" t="s">
        <v>12</v>
      </c>
    </row>
    <row r="74" spans="1:8" x14ac:dyDescent="0.2">
      <c r="A74" s="16"/>
      <c r="B74" s="16"/>
      <c r="C74" s="17" t="s">
        <v>92</v>
      </c>
      <c r="D74" s="16"/>
      <c r="E74" s="16"/>
      <c r="F74" s="22"/>
      <c r="G74" s="22"/>
      <c r="H74" s="18" t="s">
        <v>12</v>
      </c>
    </row>
    <row r="75" spans="1:8" x14ac:dyDescent="0.2">
      <c r="A75" s="16"/>
      <c r="B75" s="16"/>
      <c r="C75" s="17" t="s">
        <v>11</v>
      </c>
      <c r="D75" s="16"/>
      <c r="E75" s="16" t="s">
        <v>12</v>
      </c>
      <c r="F75" s="19" t="s">
        <v>13</v>
      </c>
      <c r="G75" s="20">
        <v>0</v>
      </c>
      <c r="H75" s="18" t="s">
        <v>12</v>
      </c>
    </row>
    <row r="76" spans="1:8" x14ac:dyDescent="0.2">
      <c r="A76" s="16"/>
      <c r="B76" s="16"/>
      <c r="C76" s="21"/>
      <c r="D76" s="16"/>
      <c r="E76" s="16"/>
      <c r="F76" s="22"/>
      <c r="G76" s="22"/>
      <c r="H76" s="18" t="s">
        <v>12</v>
      </c>
    </row>
    <row r="77" spans="1:8" x14ac:dyDescent="0.2">
      <c r="A77" s="16"/>
      <c r="B77" s="16"/>
      <c r="C77" s="17" t="s">
        <v>93</v>
      </c>
      <c r="D77" s="16"/>
      <c r="E77" s="16"/>
      <c r="F77" s="22"/>
      <c r="G77" s="22"/>
      <c r="H77" s="18" t="s">
        <v>12</v>
      </c>
    </row>
    <row r="78" spans="1:8" x14ac:dyDescent="0.2">
      <c r="A78" s="16"/>
      <c r="B78" s="16"/>
      <c r="C78" s="17" t="s">
        <v>11</v>
      </c>
      <c r="D78" s="16"/>
      <c r="E78" s="16" t="s">
        <v>12</v>
      </c>
      <c r="F78" s="19" t="s">
        <v>13</v>
      </c>
      <c r="G78" s="20">
        <v>0</v>
      </c>
      <c r="H78" s="18" t="s">
        <v>12</v>
      </c>
    </row>
    <row r="79" spans="1:8" x14ac:dyDescent="0.2">
      <c r="A79" s="16"/>
      <c r="B79" s="16"/>
      <c r="C79" s="21"/>
      <c r="D79" s="16"/>
      <c r="E79" s="16"/>
      <c r="F79" s="22"/>
      <c r="G79" s="22"/>
      <c r="H79" s="18" t="s">
        <v>12</v>
      </c>
    </row>
    <row r="80" spans="1:8" x14ac:dyDescent="0.2">
      <c r="A80" s="16"/>
      <c r="B80" s="16"/>
      <c r="C80" s="17" t="s">
        <v>94</v>
      </c>
      <c r="D80" s="16"/>
      <c r="E80" s="16"/>
      <c r="F80" s="22"/>
      <c r="G80" s="22"/>
      <c r="H80" s="18" t="s">
        <v>12</v>
      </c>
    </row>
    <row r="81" spans="1:17" x14ac:dyDescent="0.2">
      <c r="A81" s="24">
        <v>1</v>
      </c>
      <c r="B81" s="25"/>
      <c r="C81" s="25" t="s">
        <v>95</v>
      </c>
      <c r="D81" s="25"/>
      <c r="E81" s="29"/>
      <c r="F81" s="27">
        <v>973.24806100199999</v>
      </c>
      <c r="G81" s="28">
        <v>0.35202370999999999</v>
      </c>
      <c r="H81" s="18">
        <v>6.59</v>
      </c>
    </row>
    <row r="82" spans="1:17" x14ac:dyDescent="0.2">
      <c r="A82" s="16"/>
      <c r="B82" s="16"/>
      <c r="C82" s="17" t="s">
        <v>11</v>
      </c>
      <c r="D82" s="16"/>
      <c r="E82" s="16" t="s">
        <v>12</v>
      </c>
      <c r="F82" s="23">
        <v>973.24806100199999</v>
      </c>
      <c r="G82" s="20">
        <v>0.35202370999999999</v>
      </c>
      <c r="H82" s="18" t="s">
        <v>12</v>
      </c>
    </row>
    <row r="83" spans="1:17" x14ac:dyDescent="0.2">
      <c r="A83" s="16"/>
      <c r="B83" s="16"/>
      <c r="C83" s="21"/>
      <c r="D83" s="16"/>
      <c r="E83" s="16"/>
      <c r="F83" s="22"/>
      <c r="G83" s="22"/>
      <c r="H83" s="18" t="s">
        <v>12</v>
      </c>
    </row>
    <row r="84" spans="1:17" x14ac:dyDescent="0.2">
      <c r="A84" s="16"/>
      <c r="B84" s="16"/>
      <c r="C84" s="17" t="s">
        <v>96</v>
      </c>
      <c r="D84" s="16"/>
      <c r="E84" s="16"/>
      <c r="F84" s="23">
        <v>973.24806100199999</v>
      </c>
      <c r="G84" s="20">
        <v>0.35202370999999999</v>
      </c>
      <c r="H84" s="18" t="s">
        <v>12</v>
      </c>
    </row>
    <row r="85" spans="1:17" x14ac:dyDescent="0.2">
      <c r="A85" s="16"/>
      <c r="B85" s="16"/>
      <c r="C85" s="22"/>
      <c r="D85" s="16"/>
      <c r="E85" s="16"/>
      <c r="F85" s="16"/>
      <c r="G85" s="16"/>
      <c r="H85" s="18" t="s">
        <v>12</v>
      </c>
    </row>
    <row r="86" spans="1:17" x14ac:dyDescent="0.2">
      <c r="A86" s="16"/>
      <c r="B86" s="16"/>
      <c r="C86" s="17" t="s">
        <v>97</v>
      </c>
      <c r="D86" s="16"/>
      <c r="E86" s="16"/>
      <c r="F86" s="16"/>
      <c r="G86" s="16"/>
      <c r="H86" s="18" t="s">
        <v>12</v>
      </c>
    </row>
    <row r="87" spans="1:17" x14ac:dyDescent="0.2">
      <c r="A87" s="16"/>
      <c r="B87" s="16"/>
      <c r="C87" s="17" t="s">
        <v>98</v>
      </c>
      <c r="D87" s="16"/>
      <c r="E87" s="16"/>
      <c r="F87" s="16"/>
      <c r="G87" s="16"/>
      <c r="H87" s="18" t="s">
        <v>12</v>
      </c>
    </row>
    <row r="88" spans="1:17" x14ac:dyDescent="0.2">
      <c r="A88" s="16"/>
      <c r="B88" s="16"/>
      <c r="C88" s="17" t="s">
        <v>11</v>
      </c>
      <c r="D88" s="16"/>
      <c r="E88" s="16" t="s">
        <v>12</v>
      </c>
      <c r="F88" s="19" t="s">
        <v>13</v>
      </c>
      <c r="G88" s="20">
        <v>0</v>
      </c>
      <c r="H88" s="18" t="s">
        <v>12</v>
      </c>
    </row>
    <row r="89" spans="1:17" x14ac:dyDescent="0.2">
      <c r="A89" s="30"/>
      <c r="B89" s="30"/>
      <c r="C89" s="31"/>
      <c r="D89" s="30"/>
      <c r="E89" s="30"/>
      <c r="F89" s="32"/>
      <c r="G89" s="32"/>
      <c r="H89" s="18" t="s">
        <v>12</v>
      </c>
    </row>
    <row r="90" spans="1:17" x14ac:dyDescent="0.2">
      <c r="A90" s="30"/>
      <c r="B90" s="30"/>
      <c r="C90" s="33" t="s">
        <v>579</v>
      </c>
      <c r="D90" s="30"/>
      <c r="E90" s="30"/>
      <c r="F90" s="32"/>
      <c r="G90" s="32"/>
      <c r="H90" s="34"/>
      <c r="K90" s="35"/>
      <c r="L90" s="35"/>
      <c r="M90" s="35"/>
      <c r="N90" s="35"/>
      <c r="O90" s="36"/>
      <c r="P90" s="36"/>
      <c r="Q90" s="36"/>
    </row>
    <row r="91" spans="1:17" ht="25.5" x14ac:dyDescent="0.2">
      <c r="A91" s="37">
        <v>1</v>
      </c>
      <c r="B91" s="38" t="s">
        <v>99</v>
      </c>
      <c r="C91" s="38" t="s">
        <v>100</v>
      </c>
      <c r="D91" s="38"/>
      <c r="E91" s="39">
        <v>76.796000000000006</v>
      </c>
      <c r="F91" s="34">
        <v>8.0510571829999993</v>
      </c>
      <c r="G91" s="40">
        <v>2.9120700000000001E-3</v>
      </c>
      <c r="H91" s="18"/>
    </row>
    <row r="92" spans="1:17" x14ac:dyDescent="0.2">
      <c r="A92" s="30"/>
      <c r="B92" s="30"/>
      <c r="C92" s="33" t="s">
        <v>11</v>
      </c>
      <c r="D92" s="30"/>
      <c r="E92" s="30" t="s">
        <v>12</v>
      </c>
      <c r="F92" s="41">
        <f>SUM(F91)</f>
        <v>8.0510571829999993</v>
      </c>
      <c r="G92" s="42">
        <f>SUM(G91)</f>
        <v>2.9120700000000001E-3</v>
      </c>
      <c r="H92" s="18" t="s">
        <v>12</v>
      </c>
    </row>
    <row r="93" spans="1:17" x14ac:dyDescent="0.2">
      <c r="A93" s="16"/>
      <c r="B93" s="16"/>
      <c r="C93" s="21"/>
      <c r="D93" s="16"/>
      <c r="E93" s="16"/>
      <c r="F93" s="22"/>
      <c r="G93" s="22"/>
      <c r="H93" s="18" t="s">
        <v>12</v>
      </c>
    </row>
    <row r="94" spans="1:17" x14ac:dyDescent="0.2">
      <c r="A94" s="16"/>
      <c r="B94" s="16"/>
      <c r="C94" s="17" t="s">
        <v>101</v>
      </c>
      <c r="D94" s="16"/>
      <c r="E94" s="16"/>
      <c r="F94" s="16"/>
      <c r="G94" s="16"/>
      <c r="H94" s="18" t="s">
        <v>12</v>
      </c>
    </row>
    <row r="95" spans="1:17" x14ac:dyDescent="0.2">
      <c r="A95" s="16"/>
      <c r="B95" s="16"/>
      <c r="C95" s="17" t="s">
        <v>102</v>
      </c>
      <c r="D95" s="16"/>
      <c r="E95" s="16"/>
      <c r="F95" s="16"/>
      <c r="G95" s="16"/>
      <c r="H95" s="18" t="s">
        <v>12</v>
      </c>
    </row>
    <row r="96" spans="1:17" x14ac:dyDescent="0.2">
      <c r="A96" s="16"/>
      <c r="B96" s="16"/>
      <c r="C96" s="17" t="s">
        <v>11</v>
      </c>
      <c r="D96" s="16"/>
      <c r="E96" s="16" t="s">
        <v>12</v>
      </c>
      <c r="F96" s="19" t="s">
        <v>13</v>
      </c>
      <c r="G96" s="20">
        <v>0</v>
      </c>
      <c r="H96" s="18" t="s">
        <v>12</v>
      </c>
    </row>
    <row r="97" spans="1:8" x14ac:dyDescent="0.2">
      <c r="A97" s="16"/>
      <c r="B97" s="16"/>
      <c r="C97" s="21"/>
      <c r="D97" s="16"/>
      <c r="E97" s="16"/>
      <c r="F97" s="22"/>
      <c r="G97" s="22"/>
      <c r="H97" s="18" t="s">
        <v>12</v>
      </c>
    </row>
    <row r="98" spans="1:8" ht="25.5" x14ac:dyDescent="0.2">
      <c r="A98" s="16"/>
      <c r="B98" s="16"/>
      <c r="C98" s="17" t="s">
        <v>103</v>
      </c>
      <c r="D98" s="16"/>
      <c r="E98" s="16"/>
      <c r="F98" s="22"/>
      <c r="G98" s="22"/>
      <c r="H98" s="18" t="s">
        <v>12</v>
      </c>
    </row>
    <row r="99" spans="1:8" x14ac:dyDescent="0.2">
      <c r="A99" s="16"/>
      <c r="B99" s="16"/>
      <c r="C99" s="17" t="s">
        <v>11</v>
      </c>
      <c r="D99" s="16"/>
      <c r="E99" s="16" t="s">
        <v>12</v>
      </c>
      <c r="F99" s="19" t="s">
        <v>13</v>
      </c>
      <c r="G99" s="20">
        <v>0</v>
      </c>
      <c r="H99" s="18" t="s">
        <v>12</v>
      </c>
    </row>
    <row r="100" spans="1:8" x14ac:dyDescent="0.2">
      <c r="A100" s="16"/>
      <c r="B100" s="16"/>
      <c r="C100" s="21"/>
      <c r="D100" s="16"/>
      <c r="E100" s="16"/>
      <c r="F100" s="22"/>
      <c r="G100" s="22"/>
      <c r="H100" s="18" t="s">
        <v>12</v>
      </c>
    </row>
    <row r="101" spans="1:8" x14ac:dyDescent="0.2">
      <c r="A101" s="29"/>
      <c r="B101" s="25"/>
      <c r="C101" s="25" t="s">
        <v>104</v>
      </c>
      <c r="D101" s="25"/>
      <c r="E101" s="29"/>
      <c r="F101" s="27">
        <v>41.558011290000003</v>
      </c>
      <c r="G101" s="28">
        <v>1.503153E-2</v>
      </c>
      <c r="H101" s="18" t="s">
        <v>12</v>
      </c>
    </row>
    <row r="102" spans="1:8" x14ac:dyDescent="0.2">
      <c r="A102" s="21"/>
      <c r="B102" s="21"/>
      <c r="C102" s="17" t="s">
        <v>105</v>
      </c>
      <c r="D102" s="22"/>
      <c r="E102" s="22"/>
      <c r="F102" s="23">
        <v>2764.723003475</v>
      </c>
      <c r="G102" s="43">
        <v>1.0000000274687697</v>
      </c>
      <c r="H102" s="18" t="s">
        <v>12</v>
      </c>
    </row>
    <row r="103" spans="1:8" x14ac:dyDescent="0.2">
      <c r="A103" s="44"/>
      <c r="B103" s="44"/>
      <c r="C103" s="44"/>
      <c r="D103" s="45"/>
      <c r="E103" s="45"/>
      <c r="F103" s="45"/>
      <c r="G103" s="45"/>
    </row>
    <row r="104" spans="1:8" x14ac:dyDescent="0.2">
      <c r="A104" s="46"/>
      <c r="B104" s="172" t="s">
        <v>580</v>
      </c>
      <c r="C104" s="172"/>
      <c r="D104" s="172"/>
      <c r="E104" s="172"/>
      <c r="F104" s="172"/>
      <c r="G104" s="172"/>
      <c r="H104" s="172"/>
    </row>
    <row r="105" spans="1:8" x14ac:dyDescent="0.2">
      <c r="A105" s="46"/>
      <c r="B105" s="172" t="s">
        <v>581</v>
      </c>
      <c r="C105" s="172"/>
      <c r="D105" s="172"/>
      <c r="E105" s="172"/>
      <c r="F105" s="172"/>
      <c r="G105" s="172"/>
      <c r="H105" s="172"/>
    </row>
    <row r="106" spans="1:8" x14ac:dyDescent="0.2">
      <c r="A106" s="46"/>
      <c r="B106" s="172" t="s">
        <v>582</v>
      </c>
      <c r="C106" s="172"/>
      <c r="D106" s="172"/>
      <c r="E106" s="172"/>
      <c r="F106" s="172"/>
      <c r="G106" s="172"/>
      <c r="H106" s="172"/>
    </row>
    <row r="107" spans="1:8" x14ac:dyDescent="0.2">
      <c r="A107" s="48"/>
      <c r="B107" s="48"/>
      <c r="C107" s="48"/>
      <c r="D107" s="49"/>
      <c r="E107" s="49"/>
      <c r="F107" s="49"/>
      <c r="G107" s="49"/>
    </row>
    <row r="108" spans="1:8" x14ac:dyDescent="0.2">
      <c r="A108" s="48"/>
      <c r="B108" s="176" t="s">
        <v>106</v>
      </c>
      <c r="C108" s="177"/>
      <c r="D108" s="178"/>
      <c r="E108" s="50"/>
      <c r="F108" s="49"/>
      <c r="G108" s="49"/>
    </row>
    <row r="109" spans="1:8" ht="25.5" x14ac:dyDescent="0.2">
      <c r="A109" s="48"/>
      <c r="B109" s="179" t="s">
        <v>107</v>
      </c>
      <c r="C109" s="180"/>
      <c r="D109" s="33" t="s">
        <v>666</v>
      </c>
      <c r="E109" s="50"/>
      <c r="F109" s="49"/>
      <c r="G109" s="49"/>
    </row>
    <row r="110" spans="1:8" x14ac:dyDescent="0.2">
      <c r="A110" s="48"/>
      <c r="B110" s="179" t="s">
        <v>109</v>
      </c>
      <c r="C110" s="180"/>
      <c r="D110" s="17" t="s">
        <v>108</v>
      </c>
      <c r="E110" s="50"/>
      <c r="F110" s="49"/>
      <c r="G110" s="49"/>
    </row>
    <row r="111" spans="1:8" x14ac:dyDescent="0.2">
      <c r="A111" s="48"/>
      <c r="B111" s="179" t="s">
        <v>110</v>
      </c>
      <c r="C111" s="180"/>
      <c r="D111" s="22" t="s">
        <v>12</v>
      </c>
      <c r="E111" s="50"/>
      <c r="F111" s="49"/>
      <c r="G111" s="49"/>
    </row>
    <row r="112" spans="1:8" x14ac:dyDescent="0.2">
      <c r="A112" s="51"/>
      <c r="B112" s="52" t="s">
        <v>12</v>
      </c>
      <c r="C112" s="52" t="s">
        <v>583</v>
      </c>
      <c r="D112" s="52" t="s">
        <v>111</v>
      </c>
      <c r="E112" s="51"/>
      <c r="F112" s="51"/>
      <c r="G112" s="51"/>
      <c r="H112" s="53"/>
    </row>
    <row r="113" spans="1:10" x14ac:dyDescent="0.2">
      <c r="A113" s="51"/>
      <c r="B113" s="54" t="s">
        <v>112</v>
      </c>
      <c r="C113" s="55">
        <v>45626</v>
      </c>
      <c r="D113" s="55">
        <v>45641</v>
      </c>
      <c r="E113" s="51"/>
      <c r="F113" s="51"/>
      <c r="G113" s="51"/>
    </row>
    <row r="114" spans="1:10" x14ac:dyDescent="0.2">
      <c r="A114" s="56"/>
      <c r="B114" s="25" t="s">
        <v>113</v>
      </c>
      <c r="C114" s="57">
        <v>31.5337</v>
      </c>
      <c r="D114" s="57">
        <v>31.800999999999998</v>
      </c>
      <c r="E114" s="56"/>
      <c r="F114" s="58"/>
      <c r="G114" s="59"/>
    </row>
    <row r="115" spans="1:10" x14ac:dyDescent="0.2">
      <c r="A115" s="56"/>
      <c r="B115" s="25" t="s">
        <v>605</v>
      </c>
      <c r="C115" s="57">
        <v>13.4849</v>
      </c>
      <c r="D115" s="57">
        <v>13.5991</v>
      </c>
      <c r="E115" s="56"/>
      <c r="F115" s="58"/>
      <c r="G115" s="59"/>
    </row>
    <row r="116" spans="1:10" x14ac:dyDescent="0.2">
      <c r="A116" s="56"/>
      <c r="B116" s="25" t="s">
        <v>606</v>
      </c>
      <c r="C116" s="57">
        <v>20.757300000000001</v>
      </c>
      <c r="D116" s="57">
        <v>20.933199999999999</v>
      </c>
      <c r="E116" s="56"/>
      <c r="F116" s="58"/>
      <c r="G116" s="59"/>
    </row>
    <row r="117" spans="1:10" x14ac:dyDescent="0.2">
      <c r="A117" s="56"/>
      <c r="B117" s="25" t="s">
        <v>607</v>
      </c>
      <c r="C117" s="57">
        <v>20.665199999999999</v>
      </c>
      <c r="D117" s="57">
        <v>20.840299999999999</v>
      </c>
      <c r="E117" s="56"/>
      <c r="F117" s="58"/>
      <c r="G117" s="59"/>
    </row>
    <row r="118" spans="1:10" x14ac:dyDescent="0.2">
      <c r="A118" s="56"/>
      <c r="B118" s="25" t="s">
        <v>114</v>
      </c>
      <c r="C118" s="57">
        <v>28.758199999999999</v>
      </c>
      <c r="D118" s="57">
        <v>28.990300000000001</v>
      </c>
      <c r="E118" s="56"/>
      <c r="F118" s="58"/>
      <c r="G118" s="59"/>
    </row>
    <row r="119" spans="1:10" x14ac:dyDescent="0.2">
      <c r="A119" s="56"/>
      <c r="B119" s="25" t="s">
        <v>609</v>
      </c>
      <c r="C119" s="57">
        <v>13.3567</v>
      </c>
      <c r="D119" s="57">
        <v>13.464399999999999</v>
      </c>
      <c r="E119" s="56"/>
      <c r="F119" s="58"/>
      <c r="G119" s="59"/>
    </row>
    <row r="120" spans="1:10" ht="25.5" x14ac:dyDescent="0.2">
      <c r="A120" s="56"/>
      <c r="B120" s="25" t="s">
        <v>610</v>
      </c>
      <c r="C120" s="57">
        <v>18.819500000000001</v>
      </c>
      <c r="D120" s="57">
        <v>18.971299999999999</v>
      </c>
      <c r="E120" s="56"/>
      <c r="F120" s="58"/>
      <c r="G120" s="59"/>
    </row>
    <row r="121" spans="1:10" ht="25.5" x14ac:dyDescent="0.2">
      <c r="A121" s="56"/>
      <c r="B121" s="25" t="s">
        <v>611</v>
      </c>
      <c r="C121" s="57">
        <v>18.656500000000001</v>
      </c>
      <c r="D121" s="57">
        <v>18.806999999999999</v>
      </c>
      <c r="E121" s="56"/>
      <c r="F121" s="58"/>
      <c r="G121" s="59"/>
    </row>
    <row r="122" spans="1:10" x14ac:dyDescent="0.2">
      <c r="A122" s="56"/>
      <c r="B122" s="56"/>
      <c r="C122" s="56"/>
      <c r="D122" s="56"/>
      <c r="E122" s="56"/>
      <c r="F122" s="56"/>
      <c r="G122" s="56"/>
    </row>
    <row r="123" spans="1:10" x14ac:dyDescent="0.2">
      <c r="A123" s="51"/>
      <c r="B123" s="173" t="s">
        <v>598</v>
      </c>
      <c r="C123" s="174"/>
      <c r="D123" s="33" t="s">
        <v>108</v>
      </c>
      <c r="E123" s="51"/>
      <c r="F123" s="51"/>
      <c r="G123" s="51"/>
    </row>
    <row r="124" spans="1:10" x14ac:dyDescent="0.2">
      <c r="A124" s="51"/>
      <c r="B124" s="66"/>
      <c r="C124" s="66"/>
      <c r="D124" s="66"/>
      <c r="E124" s="51"/>
      <c r="F124" s="51"/>
      <c r="G124" s="51"/>
    </row>
    <row r="125" spans="1:10" x14ac:dyDescent="0.2">
      <c r="A125" s="51"/>
      <c r="B125" s="173" t="s">
        <v>118</v>
      </c>
      <c r="C125" s="174"/>
      <c r="D125" s="33" t="s">
        <v>108</v>
      </c>
      <c r="E125" s="65"/>
      <c r="F125" s="51"/>
      <c r="G125" s="51"/>
      <c r="J125" s="15"/>
    </row>
    <row r="126" spans="1:10" x14ac:dyDescent="0.2">
      <c r="A126" s="51"/>
      <c r="B126" s="173" t="s">
        <v>119</v>
      </c>
      <c r="C126" s="174"/>
      <c r="D126" s="33" t="s">
        <v>108</v>
      </c>
      <c r="E126" s="65"/>
      <c r="F126" s="51"/>
      <c r="G126" s="51"/>
      <c r="J126" s="15"/>
    </row>
    <row r="127" spans="1:10" x14ac:dyDescent="0.2">
      <c r="A127" s="51"/>
      <c r="B127" s="173" t="s">
        <v>584</v>
      </c>
      <c r="C127" s="174"/>
      <c r="D127" s="33" t="s">
        <v>108</v>
      </c>
      <c r="E127" s="65"/>
      <c r="F127" s="51"/>
      <c r="G127" s="51"/>
      <c r="J127" s="15"/>
    </row>
    <row r="128" spans="1:10" x14ac:dyDescent="0.2">
      <c r="A128" s="66"/>
      <c r="B128" s="66"/>
      <c r="C128" s="66"/>
      <c r="D128" s="66"/>
      <c r="E128" s="66"/>
      <c r="F128" s="66"/>
      <c r="G128" s="66"/>
      <c r="J128" s="15"/>
    </row>
    <row r="129" spans="2:18" s="67" customFormat="1" x14ac:dyDescent="0.2">
      <c r="B129" s="181" t="s">
        <v>585</v>
      </c>
      <c r="C129" s="182"/>
      <c r="D129" s="183"/>
      <c r="I129"/>
      <c r="J129" s="15"/>
      <c r="K129" s="35"/>
      <c r="L129" s="35"/>
      <c r="M129" s="35"/>
      <c r="N129" s="35"/>
      <c r="O129"/>
      <c r="R129"/>
    </row>
    <row r="130" spans="2:18" s="67" customFormat="1" ht="38.25" x14ac:dyDescent="0.2">
      <c r="B130" s="175" t="s">
        <v>586</v>
      </c>
      <c r="C130" s="175"/>
      <c r="D130" s="68" t="s">
        <v>494</v>
      </c>
      <c r="I130"/>
      <c r="J130" s="15"/>
      <c r="K130" s="35"/>
      <c r="L130" s="35"/>
      <c r="M130" s="35"/>
      <c r="N130" s="35"/>
      <c r="O130"/>
      <c r="R130"/>
    </row>
    <row r="131" spans="2:18" s="67" customFormat="1" x14ac:dyDescent="0.2">
      <c r="B131" s="167" t="s">
        <v>587</v>
      </c>
      <c r="C131" s="167"/>
      <c r="D131" s="69"/>
      <c r="I131"/>
      <c r="J131" s="15"/>
      <c r="K131" s="35"/>
      <c r="L131" s="35"/>
      <c r="M131" s="35"/>
      <c r="N131" s="35"/>
      <c r="O131"/>
      <c r="R131"/>
    </row>
    <row r="132" spans="2:18" s="67" customFormat="1" x14ac:dyDescent="0.2">
      <c r="B132" s="167"/>
      <c r="C132" s="167"/>
      <c r="D132" s="70"/>
      <c r="I132"/>
      <c r="J132" s="15"/>
      <c r="K132" s="35"/>
      <c r="L132" s="35"/>
      <c r="M132" s="35"/>
      <c r="N132" s="35"/>
      <c r="O132"/>
    </row>
    <row r="133" spans="2:18" s="67" customFormat="1" x14ac:dyDescent="0.2">
      <c r="B133" s="167" t="s">
        <v>588</v>
      </c>
      <c r="C133" s="167"/>
      <c r="D133" s="71">
        <v>6.8079521762600637</v>
      </c>
      <c r="I133"/>
      <c r="J133" s="15"/>
      <c r="K133" s="35"/>
      <c r="L133" s="35"/>
      <c r="M133" s="35"/>
      <c r="N133" s="35"/>
      <c r="O133"/>
    </row>
    <row r="134" spans="2:18" s="67" customFormat="1" x14ac:dyDescent="0.2">
      <c r="B134" s="167"/>
      <c r="C134" s="167"/>
      <c r="D134" s="70"/>
      <c r="I134"/>
      <c r="J134" s="15"/>
      <c r="K134" s="35"/>
      <c r="L134" s="35"/>
      <c r="M134" s="35"/>
      <c r="N134" s="35"/>
      <c r="O134"/>
    </row>
    <row r="135" spans="2:18" s="67" customFormat="1" x14ac:dyDescent="0.2">
      <c r="B135" s="167" t="s">
        <v>681</v>
      </c>
      <c r="C135" s="167"/>
      <c r="D135" s="71">
        <v>5.0643359276841542</v>
      </c>
      <c r="I135"/>
      <c r="J135" s="15"/>
      <c r="K135" s="35"/>
      <c r="L135" s="35"/>
      <c r="M135" s="35"/>
      <c r="N135" s="35"/>
      <c r="O135"/>
    </row>
    <row r="136" spans="2:18" s="67" customFormat="1" x14ac:dyDescent="0.2">
      <c r="B136" s="167" t="s">
        <v>682</v>
      </c>
      <c r="C136" s="167"/>
      <c r="D136" s="71">
        <v>9.8492144225469662</v>
      </c>
      <c r="I136"/>
      <c r="J136" s="15"/>
      <c r="K136" s="35"/>
      <c r="L136" s="35"/>
      <c r="M136" s="35"/>
      <c r="N136" s="35"/>
      <c r="O136"/>
    </row>
    <row r="137" spans="2:18" s="67" customFormat="1" x14ac:dyDescent="0.2">
      <c r="B137" s="167"/>
      <c r="C137" s="167"/>
      <c r="D137" s="70"/>
      <c r="I137"/>
      <c r="J137" s="15"/>
      <c r="K137" s="35"/>
      <c r="L137" s="35"/>
      <c r="M137" s="35"/>
      <c r="N137" s="35"/>
      <c r="O137"/>
    </row>
    <row r="138" spans="2:18" s="67" customFormat="1" x14ac:dyDescent="0.2">
      <c r="B138" s="167" t="s">
        <v>591</v>
      </c>
      <c r="C138" s="167"/>
      <c r="D138" s="132" t="s">
        <v>694</v>
      </c>
      <c r="I138"/>
      <c r="J138" s="15"/>
      <c r="K138" s="35"/>
      <c r="L138" s="35"/>
      <c r="M138" s="35"/>
      <c r="N138" s="35"/>
      <c r="O138"/>
    </row>
    <row r="139" spans="2:18" s="67" customFormat="1" x14ac:dyDescent="0.2">
      <c r="B139" s="168" t="s">
        <v>592</v>
      </c>
      <c r="C139" s="170"/>
      <c r="D139" s="169"/>
      <c r="I139"/>
      <c r="J139" s="15"/>
      <c r="K139" s="35"/>
      <c r="L139" s="35"/>
      <c r="M139" s="35"/>
      <c r="N139" s="35"/>
      <c r="O139"/>
    </row>
    <row r="140" spans="2:18" x14ac:dyDescent="0.2">
      <c r="J140" s="15"/>
    </row>
    <row r="141" spans="2:18" ht="13.5" x14ac:dyDescent="0.2">
      <c r="B141" s="221" t="s">
        <v>696</v>
      </c>
      <c r="C141" s="221"/>
      <c r="D141" s="221"/>
      <c r="E141" s="221"/>
      <c r="F141" s="221"/>
      <c r="G141" s="221"/>
      <c r="H141" s="221"/>
      <c r="I141" s="35"/>
      <c r="J141" s="15"/>
      <c r="K141" s="35"/>
      <c r="L141" s="35"/>
      <c r="M141" s="35"/>
      <c r="N141" s="35"/>
      <c r="O141" s="35"/>
      <c r="P141" s="35"/>
    </row>
    <row r="142" spans="2:18" s="73" customFormat="1" ht="26.25" customHeight="1" x14ac:dyDescent="0.2">
      <c r="B142" s="90" t="s">
        <v>624</v>
      </c>
      <c r="C142" s="90" t="s">
        <v>625</v>
      </c>
      <c r="D142" s="191" t="s">
        <v>689</v>
      </c>
      <c r="E142" s="191"/>
      <c r="F142" s="191"/>
      <c r="G142" s="190" t="s">
        <v>620</v>
      </c>
      <c r="H142" s="190"/>
      <c r="J142" s="15"/>
      <c r="K142" s="133"/>
      <c r="L142" s="133"/>
      <c r="M142" s="133"/>
      <c r="N142" s="133"/>
      <c r="O142" s="133"/>
      <c r="P142" s="133"/>
    </row>
    <row r="143" spans="2:18" ht="27" x14ac:dyDescent="0.25">
      <c r="B143" s="134" t="s">
        <v>656</v>
      </c>
      <c r="C143" s="89" t="s">
        <v>683</v>
      </c>
      <c r="D143" s="192">
        <v>0</v>
      </c>
      <c r="E143" s="192"/>
      <c r="F143" s="192"/>
      <c r="G143" s="192">
        <v>0</v>
      </c>
      <c r="H143" s="192"/>
      <c r="J143" s="15"/>
      <c r="K143" s="35"/>
      <c r="L143" s="35"/>
      <c r="M143" s="35"/>
      <c r="N143" s="35"/>
      <c r="O143" s="35"/>
      <c r="P143" s="35"/>
    </row>
    <row r="144" spans="2:18" ht="13.5" x14ac:dyDescent="0.25">
      <c r="B144" s="88"/>
      <c r="C144" s="88"/>
      <c r="D144" s="193"/>
      <c r="E144" s="193"/>
      <c r="F144" s="193"/>
      <c r="G144" s="193"/>
      <c r="H144" s="193"/>
      <c r="J144" s="15"/>
      <c r="K144" s="35"/>
      <c r="L144" s="35"/>
      <c r="M144" s="35"/>
      <c r="N144" s="35"/>
      <c r="O144" s="35"/>
      <c r="P144" s="35"/>
    </row>
    <row r="145" spans="2:16" ht="13.5" x14ac:dyDescent="0.25">
      <c r="B145" s="194" t="s">
        <v>632</v>
      </c>
      <c r="C145" s="194"/>
      <c r="D145" s="194"/>
      <c r="E145" s="194"/>
      <c r="F145" s="194"/>
      <c r="G145" s="194"/>
      <c r="H145" s="194"/>
      <c r="J145" s="15"/>
      <c r="K145" s="35"/>
      <c r="L145" s="35"/>
      <c r="M145" s="35"/>
      <c r="N145" s="35"/>
      <c r="O145" s="35"/>
      <c r="P145" s="35"/>
    </row>
    <row r="146" spans="2:16" ht="13.5" customHeight="1" x14ac:dyDescent="0.2">
      <c r="B146" s="190" t="s">
        <v>624</v>
      </c>
      <c r="C146" s="190" t="s">
        <v>625</v>
      </c>
      <c r="D146" s="190" t="s">
        <v>633</v>
      </c>
      <c r="E146" s="190"/>
      <c r="F146" s="190"/>
      <c r="G146" s="190"/>
      <c r="H146" s="191" t="s">
        <v>684</v>
      </c>
      <c r="I146" s="191" t="s">
        <v>685</v>
      </c>
      <c r="J146" s="191" t="s">
        <v>636</v>
      </c>
      <c r="K146" s="35"/>
      <c r="L146" s="35"/>
      <c r="M146" s="35"/>
      <c r="N146" s="35"/>
      <c r="O146" s="35"/>
      <c r="P146" s="35"/>
    </row>
    <row r="147" spans="2:16" ht="108" x14ac:dyDescent="0.2">
      <c r="B147" s="190"/>
      <c r="C147" s="190"/>
      <c r="D147" s="91" t="s">
        <v>637</v>
      </c>
      <c r="E147" s="91" t="s">
        <v>638</v>
      </c>
      <c r="F147" s="91" t="s">
        <v>639</v>
      </c>
      <c r="G147" s="91" t="s">
        <v>640</v>
      </c>
      <c r="H147" s="191"/>
      <c r="I147" s="191"/>
      <c r="J147" s="191"/>
      <c r="K147" s="35"/>
      <c r="L147" s="35"/>
      <c r="M147" s="35"/>
      <c r="N147" s="35"/>
      <c r="O147" s="35"/>
    </row>
    <row r="148" spans="2:16" ht="27" x14ac:dyDescent="0.25">
      <c r="B148" s="88" t="s">
        <v>656</v>
      </c>
      <c r="C148" s="89" t="s">
        <v>686</v>
      </c>
      <c r="D148" s="92">
        <v>500</v>
      </c>
      <c r="E148" s="92">
        <v>9.9405737999999992</v>
      </c>
      <c r="F148" s="135">
        <v>16.00737140547945</v>
      </c>
      <c r="G148" s="92">
        <v>525.94794520547941</v>
      </c>
      <c r="H148" s="10">
        <v>233.40679</v>
      </c>
      <c r="I148" s="10">
        <v>4.01</v>
      </c>
      <c r="J148" s="136">
        <f>H148+I148</f>
        <v>237.41678999999999</v>
      </c>
      <c r="K148" s="35"/>
      <c r="L148" s="35"/>
      <c r="M148" s="35"/>
      <c r="N148" s="35"/>
      <c r="O148" s="35"/>
      <c r="P148" s="35"/>
    </row>
    <row r="149" spans="2:16" x14ac:dyDescent="0.2">
      <c r="J149" s="15"/>
      <c r="P149" s="35"/>
    </row>
    <row r="150" spans="2:16" x14ac:dyDescent="0.2">
      <c r="J150" s="15"/>
      <c r="K150" s="35"/>
      <c r="L150" s="35"/>
      <c r="M150" s="35"/>
      <c r="N150" s="35"/>
      <c r="O150" s="35"/>
      <c r="P150" s="35"/>
    </row>
    <row r="151" spans="2:16" ht="13.5" x14ac:dyDescent="0.25">
      <c r="B151" s="95" t="s">
        <v>641</v>
      </c>
      <c r="J151" s="15"/>
      <c r="K151" s="35"/>
      <c r="L151" s="35"/>
      <c r="M151" s="35"/>
      <c r="N151" s="35"/>
      <c r="O151" s="35"/>
      <c r="P151" s="35"/>
    </row>
    <row r="152" spans="2:16" x14ac:dyDescent="0.2">
      <c r="B152" s="35"/>
      <c r="C152" s="35"/>
      <c r="D152" s="35"/>
      <c r="E152" s="35"/>
      <c r="F152" s="35"/>
      <c r="G152" s="35"/>
      <c r="H152" s="35"/>
      <c r="J152" s="15"/>
      <c r="K152" s="35"/>
      <c r="L152" s="35"/>
      <c r="M152" s="35"/>
      <c r="N152" s="35"/>
      <c r="O152" s="35"/>
      <c r="P152" s="35"/>
    </row>
    <row r="153" spans="2:16" x14ac:dyDescent="0.2">
      <c r="B153" s="96" t="s">
        <v>642</v>
      </c>
      <c r="C153" s="35"/>
      <c r="D153" s="35"/>
      <c r="E153" s="35"/>
      <c r="F153" s="35"/>
      <c r="G153" s="35"/>
      <c r="H153" s="35"/>
      <c r="J153" s="15"/>
      <c r="K153" s="35"/>
      <c r="L153" s="35"/>
      <c r="M153" s="35"/>
      <c r="N153" s="35"/>
      <c r="O153" s="35"/>
      <c r="P153" s="35"/>
    </row>
    <row r="154" spans="2:16" x14ac:dyDescent="0.2">
      <c r="B154" s="35"/>
      <c r="C154" s="35"/>
      <c r="D154" s="35"/>
      <c r="E154" s="35"/>
      <c r="F154" s="35"/>
      <c r="G154" s="35"/>
      <c r="H154" s="35"/>
      <c r="J154" s="15"/>
      <c r="K154" s="35"/>
      <c r="L154" s="35"/>
      <c r="M154" s="35"/>
      <c r="N154" s="35"/>
      <c r="O154" s="35"/>
      <c r="P154" s="35"/>
    </row>
    <row r="155" spans="2:16" x14ac:dyDescent="0.2">
      <c r="B155" s="96" t="s">
        <v>643</v>
      </c>
      <c r="C155" s="35"/>
      <c r="D155" s="35"/>
      <c r="E155" s="35"/>
      <c r="F155" s="35"/>
      <c r="G155" s="35"/>
      <c r="H155" s="35"/>
      <c r="J155" s="15"/>
      <c r="K155" s="35"/>
      <c r="L155" s="35"/>
      <c r="M155" s="35"/>
      <c r="N155" s="35"/>
      <c r="O155" s="35"/>
      <c r="P155" s="35"/>
    </row>
    <row r="156" spans="2:16" x14ac:dyDescent="0.2">
      <c r="J156" s="15"/>
      <c r="K156" s="35"/>
      <c r="L156" s="35"/>
      <c r="M156" s="35"/>
      <c r="N156" s="35"/>
      <c r="O156" s="35"/>
    </row>
    <row r="157" spans="2:16" x14ac:dyDescent="0.2">
      <c r="B157" s="96" t="s">
        <v>644</v>
      </c>
      <c r="J157" s="15"/>
      <c r="K157" s="35"/>
      <c r="L157" s="35"/>
      <c r="M157" s="35"/>
      <c r="N157" s="35"/>
      <c r="O157" s="35"/>
    </row>
    <row r="158" spans="2:16" x14ac:dyDescent="0.2">
      <c r="J158" s="15"/>
    </row>
    <row r="159" spans="2:16" x14ac:dyDescent="0.2">
      <c r="B159" s="74" t="s">
        <v>593</v>
      </c>
    </row>
    <row r="161" spans="2:10" ht="153.75" customHeight="1" x14ac:dyDescent="0.2"/>
    <row r="164" spans="2:10" x14ac:dyDescent="0.2">
      <c r="B164" s="75" t="s">
        <v>687</v>
      </c>
      <c r="C164" s="76"/>
      <c r="D164" s="75"/>
    </row>
    <row r="165" spans="2:10" x14ac:dyDescent="0.2">
      <c r="B165" s="75" t="s">
        <v>688</v>
      </c>
      <c r="D165" s="75"/>
    </row>
    <row r="166" spans="2:10" ht="165" customHeight="1" x14ac:dyDescent="0.2"/>
    <row r="168" spans="2:10" x14ac:dyDescent="0.2">
      <c r="J168" s="15"/>
    </row>
    <row r="169" spans="2:10" x14ac:dyDescent="0.2">
      <c r="J169" s="15"/>
    </row>
    <row r="170" spans="2:10" x14ac:dyDescent="0.2">
      <c r="J170" s="15"/>
    </row>
    <row r="171" spans="2:10" x14ac:dyDescent="0.2">
      <c r="J171" s="15"/>
    </row>
    <row r="172" spans="2:10" x14ac:dyDescent="0.2">
      <c r="J172" s="15"/>
    </row>
    <row r="173" spans="2:10" x14ac:dyDescent="0.2">
      <c r="J173" s="15"/>
    </row>
    <row r="174" spans="2:10" x14ac:dyDescent="0.2">
      <c r="J174" s="15"/>
    </row>
    <row r="175" spans="2:10" x14ac:dyDescent="0.2">
      <c r="J175" s="15"/>
    </row>
    <row r="176" spans="2:10" x14ac:dyDescent="0.2">
      <c r="J176" s="15"/>
    </row>
    <row r="177" spans="10:10" x14ac:dyDescent="0.2">
      <c r="J177" s="15"/>
    </row>
    <row r="178" spans="10:10" x14ac:dyDescent="0.2">
      <c r="J178" s="15"/>
    </row>
  </sheetData>
  <mergeCells count="39">
    <mergeCell ref="B106:H106"/>
    <mergeCell ref="B130:C130"/>
    <mergeCell ref="B131:C131"/>
    <mergeCell ref="B108:D108"/>
    <mergeCell ref="B109:C109"/>
    <mergeCell ref="B110:C110"/>
    <mergeCell ref="B111:C111"/>
    <mergeCell ref="B123:C123"/>
    <mergeCell ref="B127:C127"/>
    <mergeCell ref="B125:C125"/>
    <mergeCell ref="B126:C126"/>
    <mergeCell ref="B129:D129"/>
    <mergeCell ref="A1:H1"/>
    <mergeCell ref="A2:H2"/>
    <mergeCell ref="A3:H3"/>
    <mergeCell ref="B104:H104"/>
    <mergeCell ref="B105:H105"/>
    <mergeCell ref="B132:C132"/>
    <mergeCell ref="B133:C133"/>
    <mergeCell ref="B134:C134"/>
    <mergeCell ref="B135:C135"/>
    <mergeCell ref="B136:C136"/>
    <mergeCell ref="B137:C137"/>
    <mergeCell ref="B138:C138"/>
    <mergeCell ref="B139:D139"/>
    <mergeCell ref="B141:H141"/>
    <mergeCell ref="D142:F142"/>
    <mergeCell ref="G142:H142"/>
    <mergeCell ref="D143:F143"/>
    <mergeCell ref="G143:H143"/>
    <mergeCell ref="D144:F144"/>
    <mergeCell ref="G144:H144"/>
    <mergeCell ref="B145:H145"/>
    <mergeCell ref="J146:J147"/>
    <mergeCell ref="B146:B147"/>
    <mergeCell ref="C146:C147"/>
    <mergeCell ref="D146:G146"/>
    <mergeCell ref="H146:H147"/>
    <mergeCell ref="I146:I147"/>
  </mergeCells>
  <hyperlinks>
    <hyperlink ref="I1" location="Index!B2" display="Index" xr:uid="{3A0779D1-B419-4F98-B228-D52E85E2FAD3}"/>
    <hyperlink ref="B153" r:id="rId1" xr:uid="{1BC04FF1-663C-4044-A3FC-F4D2B129F400}"/>
    <hyperlink ref="B155" r:id="rId2" xr:uid="{26D3F01C-E9A1-4E82-B935-77F1D6326C77}"/>
    <hyperlink ref="B157" r:id="rId3" xr:uid="{0AFD5EB9-7C1C-4C4D-B0D5-922C592163B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B868B-9CDB-4E70-8272-C85CD426895B}">
  <sheetPr>
    <outlinePr summaryBelow="0" summaryRight="0"/>
  </sheetPr>
  <dimension ref="A1:U116"/>
  <sheetViews>
    <sheetView showGridLines="0" workbookViewId="0">
      <selection sqref="A1:H1"/>
    </sheetView>
  </sheetViews>
  <sheetFormatPr defaultRowHeight="12.75" x14ac:dyDescent="0.2"/>
  <cols>
    <col min="1" max="1" width="5.85546875" bestFit="1" customWidth="1"/>
    <col min="2" max="2" width="22.42578125" customWidth="1"/>
    <col min="3" max="3" width="40.28515625" customWidth="1"/>
    <col min="4" max="4" width="14.7109375" customWidth="1"/>
    <col min="5" max="5" width="8.7109375" bestFit="1" customWidth="1"/>
    <col min="6" max="6" width="10.140625" bestFit="1" customWidth="1"/>
    <col min="7" max="7" width="14" bestFit="1" customWidth="1"/>
    <col min="8" max="8" width="8.85546875" bestFit="1" customWidth="1"/>
    <col min="9" max="9" width="5.7109375" bestFit="1" customWidth="1"/>
  </cols>
  <sheetData>
    <row r="1" spans="1:9" ht="15" x14ac:dyDescent="0.2">
      <c r="A1" s="171" t="s">
        <v>0</v>
      </c>
      <c r="B1" s="171"/>
      <c r="C1" s="171"/>
      <c r="D1" s="171"/>
      <c r="E1" s="171"/>
      <c r="F1" s="171"/>
      <c r="G1" s="171"/>
      <c r="H1" s="171"/>
      <c r="I1" s="7" t="s">
        <v>576</v>
      </c>
    </row>
    <row r="2" spans="1:9" ht="15" x14ac:dyDescent="0.2">
      <c r="A2" s="171" t="s">
        <v>561</v>
      </c>
      <c r="B2" s="171"/>
      <c r="C2" s="171"/>
      <c r="D2" s="171"/>
      <c r="E2" s="171"/>
      <c r="F2" s="171"/>
      <c r="G2" s="171"/>
      <c r="H2" s="171"/>
    </row>
    <row r="3" spans="1:9" ht="15" x14ac:dyDescent="0.2">
      <c r="A3" s="171" t="s">
        <v>577</v>
      </c>
      <c r="B3" s="171"/>
      <c r="C3" s="171"/>
      <c r="D3" s="171"/>
      <c r="E3" s="171"/>
      <c r="F3" s="171"/>
      <c r="G3" s="171"/>
      <c r="H3" s="171"/>
    </row>
    <row r="4" spans="1:9" s="15" customFormat="1" ht="30" x14ac:dyDescent="0.2">
      <c r="A4" s="13" t="s">
        <v>2</v>
      </c>
      <c r="B4" s="13" t="s">
        <v>3</v>
      </c>
      <c r="C4" s="13" t="s">
        <v>4</v>
      </c>
      <c r="D4" s="13" t="s">
        <v>5</v>
      </c>
      <c r="E4" s="13" t="s">
        <v>6</v>
      </c>
      <c r="F4" s="13" t="s">
        <v>7</v>
      </c>
      <c r="G4" s="13" t="s">
        <v>8</v>
      </c>
      <c r="H4" s="14" t="s">
        <v>578</v>
      </c>
    </row>
    <row r="5" spans="1:9" x14ac:dyDescent="0.2">
      <c r="A5" s="16"/>
      <c r="B5" s="16"/>
      <c r="C5" s="17" t="s">
        <v>9</v>
      </c>
      <c r="D5" s="16"/>
      <c r="E5" s="16"/>
      <c r="F5" s="16"/>
      <c r="G5" s="16"/>
      <c r="H5" s="18" t="s">
        <v>12</v>
      </c>
    </row>
    <row r="6" spans="1:9" x14ac:dyDescent="0.2">
      <c r="A6" s="16"/>
      <c r="B6" s="16"/>
      <c r="C6" s="17" t="s">
        <v>10</v>
      </c>
      <c r="D6" s="16"/>
      <c r="E6" s="16"/>
      <c r="F6" s="16"/>
      <c r="G6" s="16"/>
      <c r="H6" s="18" t="s">
        <v>12</v>
      </c>
    </row>
    <row r="7" spans="1:9" x14ac:dyDescent="0.2">
      <c r="A7" s="16"/>
      <c r="B7" s="16"/>
      <c r="C7" s="17" t="s">
        <v>11</v>
      </c>
      <c r="D7" s="16"/>
      <c r="E7" s="16" t="s">
        <v>12</v>
      </c>
      <c r="F7" s="19" t="s">
        <v>13</v>
      </c>
      <c r="G7" s="20">
        <v>0</v>
      </c>
      <c r="H7" s="18" t="s">
        <v>12</v>
      </c>
    </row>
    <row r="8" spans="1:9" x14ac:dyDescent="0.2">
      <c r="A8" s="16"/>
      <c r="B8" s="16"/>
      <c r="C8" s="21"/>
      <c r="D8" s="16"/>
      <c r="E8" s="16"/>
      <c r="F8" s="22"/>
      <c r="G8" s="22"/>
      <c r="H8" s="18" t="s">
        <v>12</v>
      </c>
    </row>
    <row r="9" spans="1:9" x14ac:dyDescent="0.2">
      <c r="A9" s="16"/>
      <c r="B9" s="16"/>
      <c r="C9" s="17" t="s">
        <v>14</v>
      </c>
      <c r="D9" s="16"/>
      <c r="E9" s="16"/>
      <c r="F9" s="16"/>
      <c r="G9" s="16"/>
      <c r="H9" s="18" t="s">
        <v>12</v>
      </c>
    </row>
    <row r="10" spans="1:9" x14ac:dyDescent="0.2">
      <c r="A10" s="16"/>
      <c r="B10" s="16"/>
      <c r="C10" s="17" t="s">
        <v>11</v>
      </c>
      <c r="D10" s="16"/>
      <c r="E10" s="16" t="s">
        <v>12</v>
      </c>
      <c r="F10" s="19" t="s">
        <v>13</v>
      </c>
      <c r="G10" s="20">
        <v>0</v>
      </c>
      <c r="H10" s="18" t="s">
        <v>12</v>
      </c>
    </row>
    <row r="11" spans="1:9" x14ac:dyDescent="0.2">
      <c r="A11" s="16"/>
      <c r="B11" s="16"/>
      <c r="C11" s="21"/>
      <c r="D11" s="16"/>
      <c r="E11" s="16"/>
      <c r="F11" s="22"/>
      <c r="G11" s="22"/>
      <c r="H11" s="18" t="s">
        <v>12</v>
      </c>
    </row>
    <row r="12" spans="1:9" x14ac:dyDescent="0.2">
      <c r="A12" s="16"/>
      <c r="B12" s="16"/>
      <c r="C12" s="17" t="s">
        <v>15</v>
      </c>
      <c r="D12" s="16"/>
      <c r="E12" s="16"/>
      <c r="F12" s="16"/>
      <c r="G12" s="16"/>
      <c r="H12" s="18" t="s">
        <v>12</v>
      </c>
    </row>
    <row r="13" spans="1:9" x14ac:dyDescent="0.2">
      <c r="A13" s="16"/>
      <c r="B13" s="16"/>
      <c r="C13" s="17" t="s">
        <v>11</v>
      </c>
      <c r="D13" s="16"/>
      <c r="E13" s="16" t="s">
        <v>12</v>
      </c>
      <c r="F13" s="19" t="s">
        <v>13</v>
      </c>
      <c r="G13" s="20">
        <v>0</v>
      </c>
      <c r="H13" s="18" t="s">
        <v>12</v>
      </c>
    </row>
    <row r="14" spans="1:9" x14ac:dyDescent="0.2">
      <c r="A14" s="16"/>
      <c r="B14" s="16"/>
      <c r="C14" s="21"/>
      <c r="D14" s="16"/>
      <c r="E14" s="16"/>
      <c r="F14" s="22"/>
      <c r="G14" s="22"/>
      <c r="H14" s="18" t="s">
        <v>12</v>
      </c>
    </row>
    <row r="15" spans="1:9" x14ac:dyDescent="0.2">
      <c r="A15" s="16"/>
      <c r="B15" s="16"/>
      <c r="C15" s="17" t="s">
        <v>16</v>
      </c>
      <c r="D15" s="16"/>
      <c r="E15" s="16"/>
      <c r="F15" s="16"/>
      <c r="G15" s="16"/>
      <c r="H15" s="18" t="s">
        <v>12</v>
      </c>
    </row>
    <row r="16" spans="1:9" x14ac:dyDescent="0.2">
      <c r="A16" s="16"/>
      <c r="B16" s="16"/>
      <c r="C16" s="17" t="s">
        <v>11</v>
      </c>
      <c r="D16" s="16"/>
      <c r="E16" s="16" t="s">
        <v>12</v>
      </c>
      <c r="F16" s="19" t="s">
        <v>13</v>
      </c>
      <c r="G16" s="20">
        <v>0</v>
      </c>
      <c r="H16" s="18" t="s">
        <v>12</v>
      </c>
    </row>
    <row r="17" spans="1:8" x14ac:dyDescent="0.2">
      <c r="A17" s="16"/>
      <c r="B17" s="16"/>
      <c r="C17" s="21"/>
      <c r="D17" s="16"/>
      <c r="E17" s="16"/>
      <c r="F17" s="22"/>
      <c r="G17" s="22"/>
      <c r="H17" s="18" t="s">
        <v>12</v>
      </c>
    </row>
    <row r="18" spans="1:8" x14ac:dyDescent="0.2">
      <c r="A18" s="16"/>
      <c r="B18" s="16"/>
      <c r="C18" s="17" t="s">
        <v>17</v>
      </c>
      <c r="D18" s="16"/>
      <c r="E18" s="16"/>
      <c r="F18" s="22"/>
      <c r="G18" s="22"/>
      <c r="H18" s="18" t="s">
        <v>12</v>
      </c>
    </row>
    <row r="19" spans="1:8" x14ac:dyDescent="0.2">
      <c r="A19" s="16"/>
      <c r="B19" s="16"/>
      <c r="C19" s="17" t="s">
        <v>11</v>
      </c>
      <c r="D19" s="16"/>
      <c r="E19" s="16" t="s">
        <v>12</v>
      </c>
      <c r="F19" s="19" t="s">
        <v>13</v>
      </c>
      <c r="G19" s="20">
        <v>0</v>
      </c>
      <c r="H19" s="18" t="s">
        <v>12</v>
      </c>
    </row>
    <row r="20" spans="1:8" x14ac:dyDescent="0.2">
      <c r="A20" s="16"/>
      <c r="B20" s="16"/>
      <c r="C20" s="21"/>
      <c r="D20" s="16"/>
      <c r="E20" s="16"/>
      <c r="F20" s="22"/>
      <c r="G20" s="22"/>
      <c r="H20" s="18" t="s">
        <v>12</v>
      </c>
    </row>
    <row r="21" spans="1:8" x14ac:dyDescent="0.2">
      <c r="A21" s="16"/>
      <c r="B21" s="16"/>
      <c r="C21" s="17" t="s">
        <v>18</v>
      </c>
      <c r="D21" s="16"/>
      <c r="E21" s="16"/>
      <c r="F21" s="22"/>
      <c r="G21" s="22"/>
      <c r="H21" s="18" t="s">
        <v>12</v>
      </c>
    </row>
    <row r="22" spans="1:8" x14ac:dyDescent="0.2">
      <c r="A22" s="16"/>
      <c r="B22" s="16"/>
      <c r="C22" s="17" t="s">
        <v>11</v>
      </c>
      <c r="D22" s="16"/>
      <c r="E22" s="16" t="s">
        <v>12</v>
      </c>
      <c r="F22" s="19" t="s">
        <v>13</v>
      </c>
      <c r="G22" s="20">
        <v>0</v>
      </c>
      <c r="H22" s="18" t="s">
        <v>12</v>
      </c>
    </row>
    <row r="23" spans="1:8" x14ac:dyDescent="0.2">
      <c r="A23" s="16"/>
      <c r="B23" s="16"/>
      <c r="C23" s="21"/>
      <c r="D23" s="16"/>
      <c r="E23" s="16"/>
      <c r="F23" s="22"/>
      <c r="G23" s="22"/>
      <c r="H23" s="18" t="s">
        <v>12</v>
      </c>
    </row>
    <row r="24" spans="1:8" x14ac:dyDescent="0.2">
      <c r="A24" s="16"/>
      <c r="B24" s="16"/>
      <c r="C24" s="17" t="s">
        <v>19</v>
      </c>
      <c r="D24" s="16"/>
      <c r="E24" s="16"/>
      <c r="F24" s="23">
        <v>0</v>
      </c>
      <c r="G24" s="20">
        <v>0</v>
      </c>
      <c r="H24" s="18" t="s">
        <v>12</v>
      </c>
    </row>
    <row r="25" spans="1:8" x14ac:dyDescent="0.2">
      <c r="A25" s="16"/>
      <c r="B25" s="16"/>
      <c r="C25" s="21"/>
      <c r="D25" s="16"/>
      <c r="E25" s="16"/>
      <c r="F25" s="22"/>
      <c r="G25" s="22"/>
      <c r="H25" s="18" t="s">
        <v>12</v>
      </c>
    </row>
    <row r="26" spans="1:8" x14ac:dyDescent="0.2">
      <c r="A26" s="16"/>
      <c r="B26" s="16"/>
      <c r="C26" s="17" t="s">
        <v>20</v>
      </c>
      <c r="D26" s="16"/>
      <c r="E26" s="16"/>
      <c r="F26" s="22"/>
      <c r="G26" s="22"/>
      <c r="H26" s="18" t="s">
        <v>12</v>
      </c>
    </row>
    <row r="27" spans="1:8" x14ac:dyDescent="0.2">
      <c r="A27" s="16"/>
      <c r="B27" s="16"/>
      <c r="C27" s="17" t="s">
        <v>10</v>
      </c>
      <c r="D27" s="16"/>
      <c r="E27" s="16"/>
      <c r="F27" s="22"/>
      <c r="G27" s="22"/>
      <c r="H27" s="18" t="s">
        <v>12</v>
      </c>
    </row>
    <row r="28" spans="1:8" x14ac:dyDescent="0.2">
      <c r="A28" s="16"/>
      <c r="B28" s="16"/>
      <c r="C28" s="17" t="s">
        <v>11</v>
      </c>
      <c r="D28" s="16"/>
      <c r="E28" s="16" t="s">
        <v>12</v>
      </c>
      <c r="F28" s="19" t="s">
        <v>13</v>
      </c>
      <c r="G28" s="20">
        <v>0</v>
      </c>
      <c r="H28" s="18" t="s">
        <v>12</v>
      </c>
    </row>
    <row r="29" spans="1:8" x14ac:dyDescent="0.2">
      <c r="A29" s="16"/>
      <c r="B29" s="16"/>
      <c r="C29" s="21"/>
      <c r="D29" s="16"/>
      <c r="E29" s="16"/>
      <c r="F29" s="22"/>
      <c r="G29" s="22"/>
      <c r="H29" s="18" t="s">
        <v>12</v>
      </c>
    </row>
    <row r="30" spans="1:8" x14ac:dyDescent="0.2">
      <c r="A30" s="16"/>
      <c r="B30" s="16"/>
      <c r="C30" s="17" t="s">
        <v>71</v>
      </c>
      <c r="D30" s="16"/>
      <c r="E30" s="16"/>
      <c r="F30" s="16"/>
      <c r="G30" s="16"/>
      <c r="H30" s="18" t="s">
        <v>12</v>
      </c>
    </row>
    <row r="31" spans="1:8" x14ac:dyDescent="0.2">
      <c r="A31" s="16"/>
      <c r="B31" s="16"/>
      <c r="C31" s="17" t="s">
        <v>11</v>
      </c>
      <c r="D31" s="16"/>
      <c r="E31" s="16" t="s">
        <v>12</v>
      </c>
      <c r="F31" s="19" t="s">
        <v>13</v>
      </c>
      <c r="G31" s="20">
        <v>0</v>
      </c>
      <c r="H31" s="18" t="s">
        <v>12</v>
      </c>
    </row>
    <row r="32" spans="1:8" x14ac:dyDescent="0.2">
      <c r="A32" s="16"/>
      <c r="B32" s="16"/>
      <c r="C32" s="21"/>
      <c r="D32" s="16"/>
      <c r="E32" s="16"/>
      <c r="F32" s="22"/>
      <c r="G32" s="22"/>
      <c r="H32" s="18" t="s">
        <v>12</v>
      </c>
    </row>
    <row r="33" spans="1:8" x14ac:dyDescent="0.2">
      <c r="A33" s="16"/>
      <c r="B33" s="16"/>
      <c r="C33" s="17" t="s">
        <v>72</v>
      </c>
      <c r="D33" s="16"/>
      <c r="E33" s="16"/>
      <c r="F33" s="16"/>
      <c r="G33" s="16"/>
      <c r="H33" s="18" t="s">
        <v>12</v>
      </c>
    </row>
    <row r="34" spans="1:8" x14ac:dyDescent="0.2">
      <c r="A34" s="16"/>
      <c r="B34" s="16"/>
      <c r="C34" s="17" t="s">
        <v>11</v>
      </c>
      <c r="D34" s="16"/>
      <c r="E34" s="16" t="s">
        <v>12</v>
      </c>
      <c r="F34" s="19" t="s">
        <v>13</v>
      </c>
      <c r="G34" s="20">
        <v>0</v>
      </c>
      <c r="H34" s="18" t="s">
        <v>12</v>
      </c>
    </row>
    <row r="35" spans="1:8" x14ac:dyDescent="0.2">
      <c r="A35" s="16"/>
      <c r="B35" s="16"/>
      <c r="C35" s="21"/>
      <c r="D35" s="16"/>
      <c r="E35" s="16"/>
      <c r="F35" s="22"/>
      <c r="G35" s="22"/>
      <c r="H35" s="18" t="s">
        <v>12</v>
      </c>
    </row>
    <row r="36" spans="1:8" x14ac:dyDescent="0.2">
      <c r="A36" s="16"/>
      <c r="B36" s="16"/>
      <c r="C36" s="17" t="s">
        <v>88</v>
      </c>
      <c r="D36" s="16"/>
      <c r="E36" s="16"/>
      <c r="F36" s="22"/>
      <c r="G36" s="22"/>
      <c r="H36" s="18" t="s">
        <v>12</v>
      </c>
    </row>
    <row r="37" spans="1:8" x14ac:dyDescent="0.2">
      <c r="A37" s="16"/>
      <c r="B37" s="16"/>
      <c r="C37" s="17" t="s">
        <v>11</v>
      </c>
      <c r="D37" s="16"/>
      <c r="E37" s="16" t="s">
        <v>12</v>
      </c>
      <c r="F37" s="19" t="s">
        <v>13</v>
      </c>
      <c r="G37" s="20">
        <v>0</v>
      </c>
      <c r="H37" s="18" t="s">
        <v>12</v>
      </c>
    </row>
    <row r="38" spans="1:8" x14ac:dyDescent="0.2">
      <c r="A38" s="16"/>
      <c r="B38" s="16"/>
      <c r="C38" s="21"/>
      <c r="D38" s="16"/>
      <c r="E38" s="16"/>
      <c r="F38" s="22"/>
      <c r="G38" s="22"/>
      <c r="H38" s="18" t="s">
        <v>12</v>
      </c>
    </row>
    <row r="39" spans="1:8" x14ac:dyDescent="0.2">
      <c r="A39" s="16"/>
      <c r="B39" s="16"/>
      <c r="C39" s="17" t="s">
        <v>89</v>
      </c>
      <c r="D39" s="16"/>
      <c r="E39" s="16"/>
      <c r="F39" s="23">
        <v>0</v>
      </c>
      <c r="G39" s="20">
        <v>0</v>
      </c>
      <c r="H39" s="18" t="s">
        <v>12</v>
      </c>
    </row>
    <row r="40" spans="1:8" x14ac:dyDescent="0.2">
      <c r="A40" s="16"/>
      <c r="B40" s="16"/>
      <c r="C40" s="21"/>
      <c r="D40" s="16"/>
      <c r="E40" s="16"/>
      <c r="F40" s="22"/>
      <c r="G40" s="22"/>
      <c r="H40" s="18" t="s">
        <v>12</v>
      </c>
    </row>
    <row r="41" spans="1:8" x14ac:dyDescent="0.2">
      <c r="A41" s="16"/>
      <c r="B41" s="16"/>
      <c r="C41" s="17" t="s">
        <v>90</v>
      </c>
      <c r="D41" s="16"/>
      <c r="E41" s="16"/>
      <c r="F41" s="22"/>
      <c r="G41" s="22"/>
      <c r="H41" s="18" t="s">
        <v>12</v>
      </c>
    </row>
    <row r="42" spans="1:8" x14ac:dyDescent="0.2">
      <c r="A42" s="16"/>
      <c r="B42" s="16"/>
      <c r="C42" s="17" t="s">
        <v>91</v>
      </c>
      <c r="D42" s="16"/>
      <c r="E42" s="16"/>
      <c r="F42" s="22"/>
      <c r="G42" s="22"/>
      <c r="H42" s="18" t="s">
        <v>12</v>
      </c>
    </row>
    <row r="43" spans="1:8" x14ac:dyDescent="0.2">
      <c r="A43" s="16"/>
      <c r="B43" s="16"/>
      <c r="C43" s="17" t="s">
        <v>11</v>
      </c>
      <c r="D43" s="16"/>
      <c r="E43" s="16" t="s">
        <v>12</v>
      </c>
      <c r="F43" s="19" t="s">
        <v>13</v>
      </c>
      <c r="G43" s="20">
        <v>0</v>
      </c>
      <c r="H43" s="18" t="s">
        <v>12</v>
      </c>
    </row>
    <row r="44" spans="1:8" x14ac:dyDescent="0.2">
      <c r="A44" s="16"/>
      <c r="B44" s="16"/>
      <c r="C44" s="21"/>
      <c r="D44" s="16"/>
      <c r="E44" s="16"/>
      <c r="F44" s="22"/>
      <c r="G44" s="22"/>
      <c r="H44" s="18" t="s">
        <v>12</v>
      </c>
    </row>
    <row r="45" spans="1:8" x14ac:dyDescent="0.2">
      <c r="A45" s="16"/>
      <c r="B45" s="16"/>
      <c r="C45" s="17" t="s">
        <v>92</v>
      </c>
      <c r="D45" s="16"/>
      <c r="E45" s="16"/>
      <c r="F45" s="22"/>
      <c r="G45" s="22"/>
      <c r="H45" s="18" t="s">
        <v>12</v>
      </c>
    </row>
    <row r="46" spans="1:8" x14ac:dyDescent="0.2">
      <c r="A46" s="16"/>
      <c r="B46" s="16"/>
      <c r="C46" s="17" t="s">
        <v>11</v>
      </c>
      <c r="D46" s="16"/>
      <c r="E46" s="16" t="s">
        <v>12</v>
      </c>
      <c r="F46" s="19" t="s">
        <v>13</v>
      </c>
      <c r="G46" s="20">
        <v>0</v>
      </c>
      <c r="H46" s="18" t="s">
        <v>12</v>
      </c>
    </row>
    <row r="47" spans="1:8" x14ac:dyDescent="0.2">
      <c r="A47" s="16"/>
      <c r="B47" s="16"/>
      <c r="C47" s="21"/>
      <c r="D47" s="16"/>
      <c r="E47" s="16"/>
      <c r="F47" s="22"/>
      <c r="G47" s="22"/>
      <c r="H47" s="18" t="s">
        <v>12</v>
      </c>
    </row>
    <row r="48" spans="1:8" x14ac:dyDescent="0.2">
      <c r="A48" s="16"/>
      <c r="B48" s="16"/>
      <c r="C48" s="17" t="s">
        <v>93</v>
      </c>
      <c r="D48" s="16"/>
      <c r="E48" s="16"/>
      <c r="F48" s="22"/>
      <c r="G48" s="22"/>
      <c r="H48" s="18" t="s">
        <v>12</v>
      </c>
    </row>
    <row r="49" spans="1:8" x14ac:dyDescent="0.2">
      <c r="A49" s="24">
        <v>1</v>
      </c>
      <c r="B49" s="25" t="s">
        <v>418</v>
      </c>
      <c r="C49" s="25" t="s">
        <v>419</v>
      </c>
      <c r="D49" s="25" t="s">
        <v>75</v>
      </c>
      <c r="E49" s="26">
        <v>1500000</v>
      </c>
      <c r="F49" s="27">
        <v>1493.607</v>
      </c>
      <c r="G49" s="28">
        <v>2.708787E-2</v>
      </c>
      <c r="H49" s="18">
        <v>6.51</v>
      </c>
    </row>
    <row r="50" spans="1:8" x14ac:dyDescent="0.2">
      <c r="A50" s="24">
        <v>2</v>
      </c>
      <c r="B50" s="25" t="s">
        <v>416</v>
      </c>
      <c r="C50" s="25" t="s">
        <v>417</v>
      </c>
      <c r="D50" s="25" t="s">
        <v>75</v>
      </c>
      <c r="E50" s="26">
        <v>1000000</v>
      </c>
      <c r="F50" s="27">
        <v>998.16700000000003</v>
      </c>
      <c r="G50" s="28">
        <v>1.8102630000000001E-2</v>
      </c>
      <c r="H50" s="18">
        <v>6.7042000000000002</v>
      </c>
    </row>
    <row r="51" spans="1:8" x14ac:dyDescent="0.2">
      <c r="A51" s="16"/>
      <c r="B51" s="16"/>
      <c r="C51" s="17" t="s">
        <v>11</v>
      </c>
      <c r="D51" s="16"/>
      <c r="E51" s="16" t="s">
        <v>12</v>
      </c>
      <c r="F51" s="23">
        <v>2491.7739999999999</v>
      </c>
      <c r="G51" s="20">
        <v>4.5190500000000002E-2</v>
      </c>
      <c r="H51" s="18" t="s">
        <v>12</v>
      </c>
    </row>
    <row r="52" spans="1:8" x14ac:dyDescent="0.2">
      <c r="A52" s="16"/>
      <c r="B52" s="16"/>
      <c r="C52" s="21"/>
      <c r="D52" s="16"/>
      <c r="E52" s="16"/>
      <c r="F52" s="22"/>
      <c r="G52" s="22"/>
      <c r="H52" s="18" t="s">
        <v>12</v>
      </c>
    </row>
    <row r="53" spans="1:8" x14ac:dyDescent="0.2">
      <c r="A53" s="16"/>
      <c r="B53" s="16"/>
      <c r="C53" s="17" t="s">
        <v>94</v>
      </c>
      <c r="D53" s="16"/>
      <c r="E53" s="16"/>
      <c r="F53" s="22"/>
      <c r="G53" s="22"/>
      <c r="H53" s="18" t="s">
        <v>12</v>
      </c>
    </row>
    <row r="54" spans="1:8" x14ac:dyDescent="0.2">
      <c r="A54" s="24">
        <v>1</v>
      </c>
      <c r="B54" s="25"/>
      <c r="C54" s="25" t="s">
        <v>95</v>
      </c>
      <c r="D54" s="25"/>
      <c r="E54" s="29"/>
      <c r="F54" s="27">
        <v>42273.60964481</v>
      </c>
      <c r="G54" s="28">
        <v>0.76666882000000003</v>
      </c>
      <c r="H54" s="18">
        <v>6.59</v>
      </c>
    </row>
    <row r="55" spans="1:8" x14ac:dyDescent="0.2">
      <c r="A55" s="24">
        <v>2</v>
      </c>
      <c r="B55" s="25"/>
      <c r="C55" s="25" t="s">
        <v>428</v>
      </c>
      <c r="D55" s="25"/>
      <c r="E55" s="29"/>
      <c r="F55" s="27">
        <v>10163.727777800001</v>
      </c>
      <c r="G55" s="28">
        <v>0.18432808000000001</v>
      </c>
      <c r="H55" s="18">
        <v>6.65</v>
      </c>
    </row>
    <row r="56" spans="1:8" x14ac:dyDescent="0.2">
      <c r="A56" s="16"/>
      <c r="B56" s="16"/>
      <c r="C56" s="17" t="s">
        <v>11</v>
      </c>
      <c r="D56" s="16"/>
      <c r="E56" s="16" t="s">
        <v>12</v>
      </c>
      <c r="F56" s="23">
        <v>52437.337422609999</v>
      </c>
      <c r="G56" s="20">
        <v>0.95099690000000003</v>
      </c>
      <c r="H56" s="18" t="s">
        <v>12</v>
      </c>
    </row>
    <row r="57" spans="1:8" x14ac:dyDescent="0.2">
      <c r="A57" s="16"/>
      <c r="B57" s="16"/>
      <c r="C57" s="21"/>
      <c r="D57" s="16"/>
      <c r="E57" s="16"/>
      <c r="F57" s="22"/>
      <c r="G57" s="22"/>
      <c r="H57" s="18" t="s">
        <v>12</v>
      </c>
    </row>
    <row r="58" spans="1:8" x14ac:dyDescent="0.2">
      <c r="A58" s="16"/>
      <c r="B58" s="16"/>
      <c r="C58" s="17" t="s">
        <v>96</v>
      </c>
      <c r="D58" s="16"/>
      <c r="E58" s="16"/>
      <c r="F58" s="23">
        <v>54929.111422610004</v>
      </c>
      <c r="G58" s="20">
        <v>0.99618739999999995</v>
      </c>
      <c r="H58" s="18" t="s">
        <v>12</v>
      </c>
    </row>
    <row r="59" spans="1:8" x14ac:dyDescent="0.2">
      <c r="A59" s="16"/>
      <c r="B59" s="16"/>
      <c r="C59" s="22"/>
      <c r="D59" s="16"/>
      <c r="E59" s="16"/>
      <c r="F59" s="16"/>
      <c r="G59" s="16"/>
      <c r="H59" s="18" t="s">
        <v>12</v>
      </c>
    </row>
    <row r="60" spans="1:8" x14ac:dyDescent="0.2">
      <c r="A60" s="16"/>
      <c r="B60" s="16"/>
      <c r="C60" s="17" t="s">
        <v>97</v>
      </c>
      <c r="D60" s="16"/>
      <c r="E60" s="16"/>
      <c r="F60" s="16"/>
      <c r="G60" s="16"/>
      <c r="H60" s="18" t="s">
        <v>12</v>
      </c>
    </row>
    <row r="61" spans="1:8" x14ac:dyDescent="0.2">
      <c r="A61" s="16"/>
      <c r="B61" s="16"/>
      <c r="C61" s="17" t="s">
        <v>98</v>
      </c>
      <c r="D61" s="16"/>
      <c r="E61" s="16"/>
      <c r="F61" s="16"/>
      <c r="G61" s="16"/>
      <c r="H61" s="18" t="s">
        <v>12</v>
      </c>
    </row>
    <row r="62" spans="1:8" x14ac:dyDescent="0.2">
      <c r="A62" s="16"/>
      <c r="B62" s="16"/>
      <c r="C62" s="17" t="s">
        <v>11</v>
      </c>
      <c r="D62" s="16"/>
      <c r="E62" s="16" t="s">
        <v>12</v>
      </c>
      <c r="F62" s="19" t="s">
        <v>13</v>
      </c>
      <c r="G62" s="20">
        <v>0</v>
      </c>
      <c r="H62" s="18" t="s">
        <v>12</v>
      </c>
    </row>
    <row r="63" spans="1:8" x14ac:dyDescent="0.2">
      <c r="A63" s="16"/>
      <c r="B63" s="16"/>
      <c r="C63" s="21"/>
      <c r="D63" s="16"/>
      <c r="E63" s="16"/>
      <c r="F63" s="22"/>
      <c r="G63" s="22"/>
      <c r="H63" s="18" t="s">
        <v>12</v>
      </c>
    </row>
    <row r="64" spans="1:8" x14ac:dyDescent="0.2">
      <c r="A64" s="16"/>
      <c r="B64" s="16"/>
      <c r="C64" s="17" t="s">
        <v>101</v>
      </c>
      <c r="D64" s="16"/>
      <c r="E64" s="16"/>
      <c r="F64" s="16"/>
      <c r="G64" s="16"/>
      <c r="H64" s="18" t="s">
        <v>12</v>
      </c>
    </row>
    <row r="65" spans="1:8" x14ac:dyDescent="0.2">
      <c r="A65" s="16"/>
      <c r="B65" s="16"/>
      <c r="C65" s="17" t="s">
        <v>102</v>
      </c>
      <c r="D65" s="16"/>
      <c r="E65" s="16"/>
      <c r="F65" s="16"/>
      <c r="G65" s="16"/>
      <c r="H65" s="18" t="s">
        <v>12</v>
      </c>
    </row>
    <row r="66" spans="1:8" x14ac:dyDescent="0.2">
      <c r="A66" s="16"/>
      <c r="B66" s="16"/>
      <c r="C66" s="17" t="s">
        <v>11</v>
      </c>
      <c r="D66" s="16"/>
      <c r="E66" s="16" t="s">
        <v>12</v>
      </c>
      <c r="F66" s="19" t="s">
        <v>13</v>
      </c>
      <c r="G66" s="20">
        <v>0</v>
      </c>
      <c r="H66" s="18" t="s">
        <v>12</v>
      </c>
    </row>
    <row r="67" spans="1:8" x14ac:dyDescent="0.2">
      <c r="A67" s="16"/>
      <c r="B67" s="16"/>
      <c r="C67" s="21"/>
      <c r="D67" s="16"/>
      <c r="E67" s="16"/>
      <c r="F67" s="22"/>
      <c r="G67" s="22"/>
      <c r="H67" s="18" t="s">
        <v>12</v>
      </c>
    </row>
    <row r="68" spans="1:8" x14ac:dyDescent="0.2">
      <c r="A68" s="16"/>
      <c r="B68" s="16"/>
      <c r="C68" s="17" t="s">
        <v>103</v>
      </c>
      <c r="D68" s="16"/>
      <c r="E68" s="16"/>
      <c r="F68" s="22"/>
      <c r="G68" s="22"/>
      <c r="H68" s="18" t="s">
        <v>12</v>
      </c>
    </row>
    <row r="69" spans="1:8" x14ac:dyDescent="0.2">
      <c r="A69" s="16"/>
      <c r="B69" s="16"/>
      <c r="C69" s="17" t="s">
        <v>11</v>
      </c>
      <c r="D69" s="16"/>
      <c r="E69" s="16" t="s">
        <v>12</v>
      </c>
      <c r="F69" s="19" t="s">
        <v>13</v>
      </c>
      <c r="G69" s="20">
        <v>0</v>
      </c>
      <c r="H69" s="18" t="s">
        <v>12</v>
      </c>
    </row>
    <row r="70" spans="1:8" x14ac:dyDescent="0.2">
      <c r="A70" s="16"/>
      <c r="B70" s="16"/>
      <c r="C70" s="21"/>
      <c r="D70" s="16"/>
      <c r="E70" s="16"/>
      <c r="F70" s="22"/>
      <c r="G70" s="22"/>
      <c r="H70" s="18" t="s">
        <v>12</v>
      </c>
    </row>
    <row r="71" spans="1:8" x14ac:dyDescent="0.2">
      <c r="A71" s="29"/>
      <c r="B71" s="25"/>
      <c r="C71" s="25" t="s">
        <v>104</v>
      </c>
      <c r="D71" s="25"/>
      <c r="E71" s="29"/>
      <c r="F71" s="27">
        <v>210.22454574999418</v>
      </c>
      <c r="G71" s="28">
        <v>3.8126100000000001E-3</v>
      </c>
      <c r="H71" s="18" t="s">
        <v>12</v>
      </c>
    </row>
    <row r="72" spans="1:8" x14ac:dyDescent="0.2">
      <c r="A72" s="21"/>
      <c r="B72" s="21"/>
      <c r="C72" s="17" t="s">
        <v>105</v>
      </c>
      <c r="D72" s="22"/>
      <c r="E72" s="22"/>
      <c r="F72" s="23">
        <v>55139.335968359992</v>
      </c>
      <c r="G72" s="43">
        <v>1.0000000099999999</v>
      </c>
      <c r="H72" s="18" t="s">
        <v>12</v>
      </c>
    </row>
    <row r="73" spans="1:8" x14ac:dyDescent="0.2">
      <c r="A73" s="44"/>
      <c r="B73" s="44"/>
      <c r="C73" s="44"/>
      <c r="D73" s="45"/>
      <c r="E73" s="45"/>
      <c r="F73" s="45"/>
      <c r="G73" s="45"/>
    </row>
    <row r="74" spans="1:8" x14ac:dyDescent="0.2">
      <c r="A74" s="46"/>
      <c r="B74" s="172" t="s">
        <v>580</v>
      </c>
      <c r="C74" s="172"/>
      <c r="D74" s="172"/>
      <c r="E74" s="172"/>
      <c r="F74" s="172"/>
      <c r="G74" s="172"/>
      <c r="H74" s="172"/>
    </row>
    <row r="75" spans="1:8" x14ac:dyDescent="0.2">
      <c r="A75" s="46"/>
      <c r="B75" s="172" t="s">
        <v>581</v>
      </c>
      <c r="C75" s="172"/>
      <c r="D75" s="172"/>
      <c r="E75" s="172"/>
      <c r="F75" s="172"/>
      <c r="G75" s="172"/>
      <c r="H75" s="172"/>
    </row>
    <row r="76" spans="1:8" x14ac:dyDescent="0.2">
      <c r="A76" s="46"/>
      <c r="B76" s="172" t="s">
        <v>582</v>
      </c>
      <c r="C76" s="172"/>
      <c r="D76" s="172"/>
      <c r="E76" s="172"/>
      <c r="F76" s="172"/>
      <c r="G76" s="172"/>
      <c r="H76" s="172"/>
    </row>
    <row r="77" spans="1:8" x14ac:dyDescent="0.2">
      <c r="A77" s="48"/>
      <c r="B77" s="48"/>
      <c r="C77" s="48"/>
      <c r="D77" s="49"/>
      <c r="E77" s="49"/>
      <c r="F77" s="49"/>
      <c r="G77" s="49"/>
    </row>
    <row r="78" spans="1:8" x14ac:dyDescent="0.2">
      <c r="A78" s="48"/>
      <c r="B78" s="176" t="s">
        <v>106</v>
      </c>
      <c r="C78" s="177"/>
      <c r="D78" s="178"/>
      <c r="E78" s="50"/>
      <c r="F78" s="49"/>
      <c r="G78" s="49"/>
    </row>
    <row r="79" spans="1:8" x14ac:dyDescent="0.2">
      <c r="A79" s="48"/>
      <c r="B79" s="179" t="s">
        <v>107</v>
      </c>
      <c r="C79" s="180"/>
      <c r="D79" s="17" t="s">
        <v>108</v>
      </c>
      <c r="E79" s="50"/>
      <c r="F79" s="49"/>
      <c r="G79" s="49"/>
    </row>
    <row r="80" spans="1:8" x14ac:dyDescent="0.2">
      <c r="A80" s="48"/>
      <c r="B80" s="179" t="s">
        <v>109</v>
      </c>
      <c r="C80" s="180"/>
      <c r="D80" s="17" t="s">
        <v>108</v>
      </c>
      <c r="E80" s="50"/>
      <c r="F80" s="49"/>
      <c r="G80" s="49"/>
    </row>
    <row r="81" spans="1:21" x14ac:dyDescent="0.2">
      <c r="A81" s="48"/>
      <c r="B81" s="179" t="s">
        <v>110</v>
      </c>
      <c r="C81" s="180"/>
      <c r="D81" s="22" t="s">
        <v>12</v>
      </c>
      <c r="E81" s="50"/>
      <c r="F81" s="49"/>
      <c r="G81" s="49"/>
    </row>
    <row r="82" spans="1:21" x14ac:dyDescent="0.2">
      <c r="A82" s="51"/>
      <c r="B82" s="52" t="s">
        <v>12</v>
      </c>
      <c r="C82" s="52" t="s">
        <v>583</v>
      </c>
      <c r="D82" s="52" t="s">
        <v>111</v>
      </c>
      <c r="E82" s="51"/>
      <c r="F82" s="51"/>
      <c r="G82" s="51"/>
      <c r="H82" s="53"/>
    </row>
    <row r="83" spans="1:21" x14ac:dyDescent="0.2">
      <c r="A83" s="51"/>
      <c r="B83" s="54" t="s">
        <v>112</v>
      </c>
      <c r="C83" s="55">
        <v>45626</v>
      </c>
      <c r="D83" s="55">
        <v>45641</v>
      </c>
      <c r="E83" s="51"/>
      <c r="F83" s="51"/>
      <c r="G83" s="51"/>
    </row>
    <row r="84" spans="1:21" x14ac:dyDescent="0.2">
      <c r="A84" s="56"/>
      <c r="B84" s="25" t="s">
        <v>113</v>
      </c>
      <c r="C84" s="57">
        <v>1328.0815</v>
      </c>
      <c r="D84" s="57">
        <v>1331.6208999999999</v>
      </c>
      <c r="E84" s="56"/>
      <c r="F84" s="58"/>
      <c r="G84" s="59"/>
    </row>
    <row r="85" spans="1:21" ht="25.5" x14ac:dyDescent="0.2">
      <c r="A85" s="56"/>
      <c r="B85" s="25" t="s">
        <v>605</v>
      </c>
      <c r="C85" s="57">
        <v>1045.2802999999999</v>
      </c>
      <c r="D85" s="57">
        <v>1048.0663</v>
      </c>
      <c r="E85" s="56"/>
      <c r="F85" s="58"/>
      <c r="G85" s="59"/>
    </row>
    <row r="86" spans="1:21" x14ac:dyDescent="0.2">
      <c r="A86" s="56"/>
      <c r="B86" s="25" t="s">
        <v>114</v>
      </c>
      <c r="C86" s="57">
        <v>1320.5371</v>
      </c>
      <c r="D86" s="57">
        <v>1323.9962</v>
      </c>
      <c r="E86" s="56"/>
      <c r="F86" s="58"/>
      <c r="G86" s="59"/>
    </row>
    <row r="87" spans="1:21" ht="25.5" x14ac:dyDescent="0.2">
      <c r="A87" s="56"/>
      <c r="B87" s="25" t="s">
        <v>609</v>
      </c>
      <c r="C87" s="57">
        <v>1041.5382999999999</v>
      </c>
      <c r="D87" s="57">
        <v>1044.2678000000001</v>
      </c>
      <c r="E87" s="56"/>
      <c r="F87" s="58"/>
      <c r="G87" s="59"/>
    </row>
    <row r="88" spans="1:21" x14ac:dyDescent="0.2">
      <c r="A88" s="56"/>
      <c r="B88" s="56"/>
      <c r="C88" s="56"/>
      <c r="D88" s="56"/>
      <c r="E88" s="56"/>
      <c r="F88" s="56"/>
      <c r="G88" s="56"/>
    </row>
    <row r="89" spans="1:21" x14ac:dyDescent="0.2">
      <c r="A89" s="51"/>
      <c r="B89" s="173" t="s">
        <v>598</v>
      </c>
      <c r="C89" s="174"/>
      <c r="D89" s="33" t="s">
        <v>108</v>
      </c>
      <c r="E89" s="51"/>
      <c r="F89" s="51"/>
      <c r="G89" s="51"/>
    </row>
    <row r="90" spans="1:21" x14ac:dyDescent="0.2">
      <c r="A90" s="51"/>
      <c r="B90" s="66"/>
      <c r="C90" s="66"/>
      <c r="D90" s="66"/>
      <c r="E90" s="51"/>
      <c r="F90" s="51"/>
      <c r="G90" s="51"/>
    </row>
    <row r="91" spans="1:21" x14ac:dyDescent="0.2">
      <c r="A91" s="51"/>
      <c r="B91" s="173" t="s">
        <v>118</v>
      </c>
      <c r="C91" s="174"/>
      <c r="D91" s="33" t="s">
        <v>108</v>
      </c>
      <c r="E91" s="65"/>
      <c r="F91" s="51"/>
      <c r="G91" s="51"/>
    </row>
    <row r="92" spans="1:21" x14ac:dyDescent="0.2">
      <c r="A92" s="51"/>
      <c r="B92" s="173" t="s">
        <v>119</v>
      </c>
      <c r="C92" s="174"/>
      <c r="D92" s="33" t="s">
        <v>108</v>
      </c>
      <c r="E92" s="65"/>
      <c r="F92" s="51"/>
      <c r="G92" s="51"/>
    </row>
    <row r="93" spans="1:21" x14ac:dyDescent="0.2">
      <c r="A93" s="51"/>
      <c r="B93" s="173" t="s">
        <v>584</v>
      </c>
      <c r="C93" s="174"/>
      <c r="D93" s="33" t="s">
        <v>108</v>
      </c>
      <c r="E93" s="65"/>
      <c r="F93" s="51"/>
      <c r="G93" s="51"/>
      <c r="I93" s="35"/>
    </row>
    <row r="94" spans="1:21" x14ac:dyDescent="0.2">
      <c r="A94" s="66"/>
      <c r="B94" s="66"/>
      <c r="C94" s="66"/>
      <c r="D94" s="66"/>
      <c r="E94" s="66"/>
      <c r="F94" s="66"/>
      <c r="G94" s="66"/>
      <c r="I94" s="35"/>
    </row>
    <row r="95" spans="1:21" s="67" customFormat="1" x14ac:dyDescent="0.2">
      <c r="B95" s="181" t="s">
        <v>585</v>
      </c>
      <c r="C95" s="182"/>
      <c r="D95" s="183"/>
      <c r="I95" s="35"/>
      <c r="J95"/>
      <c r="K95" s="35"/>
      <c r="L95" s="35"/>
      <c r="M95" s="35"/>
      <c r="N95" s="73"/>
      <c r="Q95"/>
      <c r="R95"/>
      <c r="S95"/>
      <c r="T95"/>
      <c r="U95"/>
    </row>
    <row r="96" spans="1:21" s="67" customFormat="1" ht="25.5" x14ac:dyDescent="0.2">
      <c r="B96" s="175" t="s">
        <v>586</v>
      </c>
      <c r="C96" s="175"/>
      <c r="D96" s="68" t="s">
        <v>561</v>
      </c>
      <c r="I96" s="35"/>
      <c r="J96"/>
      <c r="K96" s="35"/>
      <c r="L96" s="35"/>
      <c r="M96" s="35"/>
      <c r="N96" s="73"/>
      <c r="Q96"/>
      <c r="R96"/>
      <c r="S96"/>
      <c r="T96"/>
      <c r="U96"/>
    </row>
    <row r="97" spans="2:14" s="67" customFormat="1" x14ac:dyDescent="0.2">
      <c r="B97" s="167" t="s">
        <v>587</v>
      </c>
      <c r="C97" s="167"/>
      <c r="D97" s="69"/>
      <c r="I97" s="35"/>
      <c r="J97"/>
      <c r="K97" s="35"/>
      <c r="L97" s="35"/>
      <c r="M97" s="35"/>
      <c r="N97" s="73"/>
    </row>
    <row r="98" spans="2:14" s="67" customFormat="1" x14ac:dyDescent="0.2">
      <c r="B98" s="167"/>
      <c r="C98" s="167"/>
      <c r="D98" s="70"/>
      <c r="I98"/>
      <c r="J98"/>
      <c r="K98" s="35"/>
      <c r="L98" s="35"/>
      <c r="M98" s="35"/>
      <c r="N98" s="73"/>
    </row>
    <row r="99" spans="2:14" s="67" customFormat="1" x14ac:dyDescent="0.2">
      <c r="B99" s="167" t="s">
        <v>588</v>
      </c>
      <c r="C99" s="167"/>
      <c r="D99" s="71">
        <v>6.6089928605222612</v>
      </c>
      <c r="I99"/>
      <c r="J99"/>
      <c r="K99" s="35"/>
      <c r="L99" s="35"/>
      <c r="M99" s="35"/>
      <c r="N99" s="73"/>
    </row>
    <row r="100" spans="2:14" s="67" customFormat="1" x14ac:dyDescent="0.2">
      <c r="B100" s="167"/>
      <c r="C100" s="167"/>
      <c r="D100" s="70"/>
      <c r="I100"/>
      <c r="J100"/>
      <c r="K100" s="35"/>
      <c r="L100" s="35"/>
      <c r="M100" s="35"/>
      <c r="N100" s="73"/>
    </row>
    <row r="101" spans="2:14" s="67" customFormat="1" x14ac:dyDescent="0.2">
      <c r="B101" s="167" t="s">
        <v>690</v>
      </c>
      <c r="C101" s="167"/>
      <c r="D101" s="137">
        <v>1</v>
      </c>
      <c r="I101"/>
      <c r="J101"/>
      <c r="K101" s="35"/>
      <c r="L101" s="35"/>
      <c r="M101" s="35"/>
      <c r="N101" s="73"/>
    </row>
    <row r="102" spans="2:14" s="67" customFormat="1" x14ac:dyDescent="0.2">
      <c r="B102" s="167" t="s">
        <v>691</v>
      </c>
      <c r="C102" s="167"/>
      <c r="D102" s="137">
        <v>1</v>
      </c>
      <c r="I102"/>
      <c r="J102"/>
      <c r="K102" s="35"/>
      <c r="L102" s="35"/>
      <c r="M102" s="35"/>
      <c r="N102" s="73"/>
    </row>
    <row r="103" spans="2:14" s="67" customFormat="1" x14ac:dyDescent="0.2">
      <c r="B103" s="167"/>
      <c r="C103" s="167"/>
      <c r="D103" s="70"/>
      <c r="I103"/>
      <c r="J103"/>
      <c r="K103" s="35"/>
      <c r="L103" s="35"/>
      <c r="M103" s="35"/>
      <c r="N103" s="73"/>
    </row>
    <row r="104" spans="2:14" s="67" customFormat="1" x14ac:dyDescent="0.2">
      <c r="B104" s="167" t="s">
        <v>591</v>
      </c>
      <c r="C104" s="167"/>
      <c r="D104" s="72" t="s">
        <v>694</v>
      </c>
      <c r="I104"/>
      <c r="J104"/>
      <c r="K104" s="35"/>
      <c r="L104" s="35"/>
      <c r="M104" s="35"/>
      <c r="N104" s="73"/>
    </row>
    <row r="105" spans="2:14" s="67" customFormat="1" x14ac:dyDescent="0.2">
      <c r="B105" s="168" t="s">
        <v>592</v>
      </c>
      <c r="C105" s="170"/>
      <c r="D105" s="169"/>
      <c r="I105"/>
      <c r="J105"/>
      <c r="K105" s="35"/>
      <c r="L105" s="35"/>
      <c r="M105" s="35"/>
      <c r="N105" s="73"/>
    </row>
    <row r="106" spans="2:14" x14ac:dyDescent="0.2">
      <c r="H106" s="138"/>
    </row>
    <row r="107" spans="2:14" x14ac:dyDescent="0.2">
      <c r="B107" s="74" t="s">
        <v>593</v>
      </c>
    </row>
    <row r="109" spans="2:14" ht="153.75" customHeight="1" x14ac:dyDescent="0.2"/>
    <row r="112" spans="2:14" x14ac:dyDescent="0.2">
      <c r="B112" s="75" t="s">
        <v>594</v>
      </c>
      <c r="C112" s="76"/>
      <c r="D112" s="75" t="s">
        <v>595</v>
      </c>
    </row>
    <row r="113" spans="2:10" x14ac:dyDescent="0.2">
      <c r="B113" s="75" t="s">
        <v>692</v>
      </c>
      <c r="D113" s="75" t="s">
        <v>693</v>
      </c>
    </row>
    <row r="114" spans="2:10" ht="165" customHeight="1" x14ac:dyDescent="0.2"/>
    <row r="116" spans="2:10" x14ac:dyDescent="0.2">
      <c r="J116" s="15"/>
    </row>
  </sheetData>
  <mergeCells count="25">
    <mergeCell ref="B95:D95"/>
    <mergeCell ref="B76:H76"/>
    <mergeCell ref="B92:C92"/>
    <mergeCell ref="B93:C93"/>
    <mergeCell ref="B78:D78"/>
    <mergeCell ref="B79:C79"/>
    <mergeCell ref="B80:C80"/>
    <mergeCell ref="B81:C81"/>
    <mergeCell ref="B89:C89"/>
    <mergeCell ref="B91:C91"/>
    <mergeCell ref="A1:H1"/>
    <mergeCell ref="A2:H2"/>
    <mergeCell ref="A3:H3"/>
    <mergeCell ref="B74:H74"/>
    <mergeCell ref="B75:H75"/>
    <mergeCell ref="B96:C96"/>
    <mergeCell ref="B97:C97"/>
    <mergeCell ref="B98:C98"/>
    <mergeCell ref="B99:C99"/>
    <mergeCell ref="B100:C100"/>
    <mergeCell ref="B101:C101"/>
    <mergeCell ref="B102:C102"/>
    <mergeCell ref="B103:C103"/>
    <mergeCell ref="B104:C104"/>
    <mergeCell ref="B105:D105"/>
  </mergeCells>
  <hyperlinks>
    <hyperlink ref="I1" location="Index!B2" display="Index" xr:uid="{E41CA72F-D06C-4415-B0C2-5255BE1B563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Boopathi V - Sundaram Mutual</cp:lastModifiedBy>
  <dcterms:created xsi:type="dcterms:W3CDTF">2024-12-16T13:17:55Z</dcterms:created>
  <dcterms:modified xsi:type="dcterms:W3CDTF">2025-01-06T12:22:29Z</dcterms:modified>
</cp:coreProperties>
</file>