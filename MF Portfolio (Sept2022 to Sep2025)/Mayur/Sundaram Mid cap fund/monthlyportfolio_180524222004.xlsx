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271D1DDF-19B6-412E-973B-4C4BDD9BCA3D}" xr6:coauthVersionLast="47" xr6:coauthVersionMax="47" xr10:uidLastSave="{00000000-0000-0000-0000-000000000000}"/>
  <bookViews>
    <workbookView xWindow="-120" yWindow="-120" windowWidth="29040" windowHeight="15840" tabRatio="752"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1" i="9" l="1"/>
  <c r="G92" i="9" l="1"/>
  <c r="G89" i="9" l="1"/>
  <c r="F89" i="9"/>
  <c r="G76" i="8"/>
  <c r="F76" i="8"/>
  <c r="G138" i="7"/>
  <c r="F138" i="7"/>
  <c r="G90" i="6"/>
  <c r="F90" i="6"/>
  <c r="G132" i="5"/>
  <c r="F132" i="5"/>
  <c r="G110" i="4"/>
  <c r="F110" i="4"/>
  <c r="G83" i="3"/>
  <c r="F83" i="3"/>
  <c r="G90" i="2"/>
  <c r="F90" i="2"/>
  <c r="G92" i="1"/>
  <c r="F92" i="1"/>
</calcChain>
</file>

<file path=xl/sharedStrings.xml><?xml version="1.0" encoding="utf-8"?>
<sst xmlns="http://schemas.openxmlformats.org/spreadsheetml/2006/main" count="2392" uniqueCount="589">
  <si>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</si>
  <si>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</si>
  <si>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</si>
  <si>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</si>
  <si>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</si>
  <si>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</si>
  <si>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</si>
  <si>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</si>
  <si>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</si>
  <si>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</si>
  <si>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</si>
  <si>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</si>
  <si>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</si>
  <si>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</si>
  <si>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</si>
  <si>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</si>
  <si>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</si>
  <si>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</si>
  <si>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</si>
  <si>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</si>
  <si>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</si>
  <si>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</si>
  <si>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</si>
  <si>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</si>
  <si>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</si>
  <si>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</si>
  <si>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INE557F08FS6</t>
  </si>
  <si>
    <t>National Housing Bank  - 7.4% - 16/07/2026**</t>
  </si>
  <si>
    <t>INE115A07QJ2</t>
  </si>
  <si>
    <t>LIC Housing Finance Ltd - 7.7% - 16/05/2028**</t>
  </si>
  <si>
    <t>INE261F08EH1</t>
  </si>
  <si>
    <t>National Bank for Agriculture &amp; Rural Development - 7.62% - 10/05/2029</t>
  </si>
  <si>
    <t>INE020B08EL2</t>
  </si>
  <si>
    <t>REC LTD - 7.44% - 30/04/2026**</t>
  </si>
  <si>
    <t>INE040A08930</t>
  </si>
  <si>
    <t>HDFC Bank Ltd (Prev HDFC Ltd) - 7.65% - 25/05/2033**</t>
  </si>
  <si>
    <t>INE261F08EA6</t>
  </si>
  <si>
    <t>National Bank for Agriculture &amp; Rural Development - 7.5% - 31/08/2026**</t>
  </si>
  <si>
    <t>INE557F08FR8</t>
  </si>
  <si>
    <t>National Housing Bank  - 7.22% - 23/07/2026**</t>
  </si>
  <si>
    <t>INE020B08EK4</t>
  </si>
  <si>
    <t>REC LTD - 7.46% - 30/06/2028**</t>
  </si>
  <si>
    <t>INE134E08LP1</t>
  </si>
  <si>
    <t>Power Finance Corporation Ltd - 7.13% - 15/07/2026**</t>
  </si>
  <si>
    <t>INE242A08544</t>
  </si>
  <si>
    <t>Indian Oil Corporation Ltd - 7.44% - 25/11/2027**</t>
  </si>
  <si>
    <t>ICRA AAA</t>
  </si>
  <si>
    <t>INE296A07SV1</t>
  </si>
  <si>
    <t>Bajaj Finance Ltd - 7.82% - 31/01/2034</t>
  </si>
  <si>
    <t>INE020B08EP3</t>
  </si>
  <si>
    <t>REC LTD - 7.77% - 30/09/2026</t>
  </si>
  <si>
    <t>INE040A08666</t>
  </si>
  <si>
    <t>HDFC Bank Ltd (Prev HDFC Ltd) - 7.8% - 03/05/2033**</t>
  </si>
  <si>
    <t>INE134E08MN4</t>
  </si>
  <si>
    <t>Power Finance Corporation Ltd - 7.44% - 10/05/2028</t>
  </si>
  <si>
    <t>INE261F08DX0</t>
  </si>
  <si>
    <t>National Bank for Agriculture &amp; Rural Development - 7.58% - 31/07/2026</t>
  </si>
  <si>
    <t>INE115A07MW4</t>
  </si>
  <si>
    <t>LIC Housing Finance Ltd - 7.95% - 29/01/2028</t>
  </si>
  <si>
    <t>INE041007100</t>
  </si>
  <si>
    <t>Embassy Office Parks REIT - 7.77% - 05/06/2025**</t>
  </si>
  <si>
    <t>(b) Privately Placed / Unlisted</t>
  </si>
  <si>
    <t>(c) Govt Security</t>
  </si>
  <si>
    <t>IN0020230085</t>
  </si>
  <si>
    <t>7.18%  Government Securities - 14/08/2033</t>
  </si>
  <si>
    <t>Sovereign</t>
  </si>
  <si>
    <t>IN0020230135</t>
  </si>
  <si>
    <t>7.32% Government Securities-13/11/2030</t>
  </si>
  <si>
    <t>IN0020230010</t>
  </si>
  <si>
    <t>7.06% Central Government Securities 10/04/2028</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</si>
  <si>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</si>
  <si>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</si>
  <si>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</si>
  <si>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</si>
  <si>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</si>
  <si>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</si>
  <si>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</si>
  <si>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</si>
  <si>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</si>
  <si>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</si>
  <si>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</si>
  <si>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</si>
  <si>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</si>
  <si>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</si>
  <si>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</si>
  <si>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</si>
  <si>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</si>
  <si>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</si>
  <si>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</si>
  <si>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</si>
  <si>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</si>
  <si>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</si>
  <si>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</si>
  <si>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</si>
  <si>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</si>
  <si>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30/04/2024</t>
  </si>
  <si>
    <t>15/05/2024</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</si>
  <si>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</si>
  <si>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</si>
  <si>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</si>
  <si>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</si>
  <si>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</si>
  <si>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</si>
  <si>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</si>
  <si>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</si>
  <si>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</si>
  <si>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</si>
  <si>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</si>
  <si>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</si>
  <si>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</si>
  <si>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</si>
  <si>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</si>
  <si>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</si>
  <si>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</si>
  <si>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</si>
  <si>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</si>
  <si>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</si>
  <si>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</si>
  <si>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INE040A08922</t>
  </si>
  <si>
    <t>HDFC Bank Ltd (Prev HDFC Ltd) - 7.8% - 02/06/2025</t>
  </si>
  <si>
    <t>INE556F08KE8</t>
  </si>
  <si>
    <t>Small Industries Development Bank of India - 7.47% - 25/11/2025</t>
  </si>
  <si>
    <t>INE134E08LF2</t>
  </si>
  <si>
    <t>Power Finance Corporation Ltd - 6.35% - 30/06/2025**</t>
  </si>
  <si>
    <t>IN0020230101</t>
  </si>
  <si>
    <t>7.37% Government Securities-23/10/2028</t>
  </si>
  <si>
    <t>INE238AD6587</t>
  </si>
  <si>
    <t>Axis Bank Ltd - 28/11/2024**</t>
  </si>
  <si>
    <t>CRISIL A1+</t>
  </si>
  <si>
    <t>Direct Plan - Bonus</t>
  </si>
  <si>
    <t>Retail Plan - Growth</t>
  </si>
  <si>
    <t>Regular Plan - Bonus</t>
  </si>
  <si>
    <t>Individual &amp; HUF</t>
  </si>
  <si>
    <t>Others</t>
  </si>
  <si>
    <t>-</t>
  </si>
  <si>
    <t>Sundaram Money Market Fund</t>
  </si>
  <si>
    <t>INE261F16793</t>
  </si>
  <si>
    <t>National Bank for Agriculture &amp; Rural Development - 12/02/2025**</t>
  </si>
  <si>
    <t>INE040A16EN1</t>
  </si>
  <si>
    <t>HDFC Bank Ltd - 20/02/2025**</t>
  </si>
  <si>
    <t>INE160A16OM8</t>
  </si>
  <si>
    <t>Punjab National Bank - 25/02/2025</t>
  </si>
  <si>
    <t>INE01GA16228</t>
  </si>
  <si>
    <t>DBS BANK LTD - 07/03/2025**</t>
  </si>
  <si>
    <t>INE092T16WB9</t>
  </si>
  <si>
    <t>IDFC First Bank Ltd - 21/02/2025**</t>
  </si>
  <si>
    <t>INE095A16V79</t>
  </si>
  <si>
    <t>IndusInd Bank Ltd - 24/02/2025**</t>
  </si>
  <si>
    <t>INE090AD6113</t>
  </si>
  <si>
    <t>ICICI Bank Ltd - 31/01/2025**</t>
  </si>
  <si>
    <t>ICRA A1+</t>
  </si>
  <si>
    <t>INE171A16LP4</t>
  </si>
  <si>
    <t>The Federal Bank Ltd - 04/02/2025**</t>
  </si>
  <si>
    <t>INE692A16GZ8</t>
  </si>
  <si>
    <t>INE790I14ER0</t>
  </si>
  <si>
    <t>HSBC InvestDirect Financial Services India Limited - 14/08/2024**</t>
  </si>
  <si>
    <t>INE763G14TE7</t>
  </si>
  <si>
    <t>ICICI Securities Ltd - 21/02/2025**</t>
  </si>
  <si>
    <t>INE115A14EX5</t>
  </si>
  <si>
    <t>LIC Housing Finance Ltd - 21/03/2025**</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</si>
  <si>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</si>
  <si>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</si>
  <si>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</si>
  <si>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</si>
  <si>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</si>
  <si>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</si>
  <si>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</si>
  <si>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</si>
  <si>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</si>
  <si>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</si>
  <si>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</si>
  <si>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INE115A07ML7</t>
  </si>
  <si>
    <t>LIC Housing Finance Ltd - 7.4% - 06/09/2024**</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</si>
  <si>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</si>
  <si>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</si>
  <si>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</si>
  <si>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</si>
  <si>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</si>
  <si>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</si>
  <si>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</si>
  <si>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</si>
  <si>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</si>
  <si>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</si>
  <si>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</si>
  <si>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INE721A07RU2</t>
  </si>
  <si>
    <t>Shriram Finance Ltd - 9.25% - 19/12/2025**</t>
  </si>
  <si>
    <t>INE071G07587</t>
  </si>
  <si>
    <t>ICICI Home Finance Company Ltd - 8% - 28/06/2024**</t>
  </si>
  <si>
    <t>IN0020220037</t>
  </si>
  <si>
    <t>7.38% Central Government Securities 20/06/2027</t>
  </si>
  <si>
    <t>INE160A16OO4</t>
  </si>
  <si>
    <t>Punjab National Bank - 13/06/2024**</t>
  </si>
  <si>
    <t>INE040A16EP6</t>
  </si>
  <si>
    <t>HDFC Bank Ltd - 28/02/2025**</t>
  </si>
  <si>
    <t>INE237A166W0</t>
  </si>
  <si>
    <t>Kotak Mahindra Bank Ltd - 07/03/2025**</t>
  </si>
  <si>
    <t>INE062A16499</t>
  </si>
  <si>
    <t>State Bank of India - 17/05/2024</t>
  </si>
  <si>
    <t>IND A1+</t>
  </si>
  <si>
    <t>INE090AD6063</t>
  </si>
  <si>
    <t>ICICI Bank Ltd - 27/09/2024**</t>
  </si>
  <si>
    <t>INE556F16AM5</t>
  </si>
  <si>
    <t>Small Industries Development Bank of India - 11/12/2024**</t>
  </si>
  <si>
    <t>INE238AD6629</t>
  </si>
  <si>
    <t>Axis Bank Ltd - 10/01/2025**</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</si>
  <si>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</si>
  <si>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</si>
  <si>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</si>
  <si>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</si>
  <si>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</si>
  <si>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</si>
  <si>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</si>
  <si>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</si>
  <si>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</si>
  <si>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</si>
  <si>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</si>
  <si>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</si>
  <si>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INE870H14SP6</t>
  </si>
  <si>
    <t>Network18 Media &amp; Investments Ltd - 31/07/2024**</t>
  </si>
  <si>
    <t>INE790I14EO7</t>
  </si>
  <si>
    <t>HSBC InvestDirect Financial Services India Limited - 11/09/2024**</t>
  </si>
  <si>
    <t>IN002024Y076</t>
  </si>
  <si>
    <t>182 Days - T Bill - 14/11/2024</t>
  </si>
  <si>
    <t>IN002023Z489</t>
  </si>
  <si>
    <t>364 Days- T Bill-13/02/2025</t>
  </si>
  <si>
    <t>IN002023Y508</t>
  </si>
  <si>
    <t>182 Days -T Bill- 29/08/2024</t>
  </si>
  <si>
    <t>Sundaram Liquid Fund</t>
  </si>
  <si>
    <t>INE562A16MN7</t>
  </si>
  <si>
    <t>Indian Bank - 22/05/2024**</t>
  </si>
  <si>
    <t>INE476A16YA2</t>
  </si>
  <si>
    <t>Canara Bank - 14/06/2024**</t>
  </si>
  <si>
    <t>INE457A16KO2</t>
  </si>
  <si>
    <t>Bank of Maharashtra - 21/06/2024**</t>
  </si>
  <si>
    <t>INE028A16FD4</t>
  </si>
  <si>
    <t>Bank of Baroda - 05/06/2024</t>
  </si>
  <si>
    <t>INE692A16HC5</t>
  </si>
  <si>
    <t>INE476A16XX6</t>
  </si>
  <si>
    <t>Canara Bank - 12/06/2024**</t>
  </si>
  <si>
    <t>INE028A16EN6</t>
  </si>
  <si>
    <t>Bank of Baroda - 13/06/2024**</t>
  </si>
  <si>
    <t>INE238AD6785</t>
  </si>
  <si>
    <t>Axis Bank Ltd - 09/08/2024**</t>
  </si>
  <si>
    <t>INE556F16AJ1</t>
  </si>
  <si>
    <t>Small Industries Development Bank of India - 29/05/2024**</t>
  </si>
  <si>
    <t>INE238AD6454</t>
  </si>
  <si>
    <t>Axis Bank Ltd - 19/06/2024</t>
  </si>
  <si>
    <t>INE238AD6751</t>
  </si>
  <si>
    <t>Axis Bank Ltd - 22/07/2024</t>
  </si>
  <si>
    <t>INE040A16EV4</t>
  </si>
  <si>
    <t>HDFC Bank Ltd - 14/08/2024**</t>
  </si>
  <si>
    <t>INE476A16XU2</t>
  </si>
  <si>
    <t>Canara Bank - 05/06/2024**</t>
  </si>
  <si>
    <t>INE556F16AK9</t>
  </si>
  <si>
    <t>Small Industries Development Bank of India - 06/06/2024**</t>
  </si>
  <si>
    <t>INE237A162U3</t>
  </si>
  <si>
    <t>Kotak Mahindra Bank Ltd - 31/05/2024**</t>
  </si>
  <si>
    <t>INE556F14KA4</t>
  </si>
  <si>
    <t>Small Industries Development Bank of India - 24/05/2024</t>
  </si>
  <si>
    <t>INE261F14LA9</t>
  </si>
  <si>
    <t>National Bank for Agriculture &amp; Rural Development - 24/05/2024</t>
  </si>
  <si>
    <t>INE572E14IY8</t>
  </si>
  <si>
    <t>PNB Housing Finance Ltd - 24/05/2024**</t>
  </si>
  <si>
    <t>INE115A14EU1</t>
  </si>
  <si>
    <t>LIC Housing Finance Ltd - 28/05/2024**</t>
  </si>
  <si>
    <t>INE261F14LB7</t>
  </si>
  <si>
    <t>National Bank for Agriculture &amp; Rural Development - 30/05/2024</t>
  </si>
  <si>
    <t>INE261F14LD3</t>
  </si>
  <si>
    <t>National Bank for Agriculture &amp; Rural Development - 05/06/2024**</t>
  </si>
  <si>
    <t>INE556F14KB2</t>
  </si>
  <si>
    <t>Small Industries Development Bank of India - 05/06/2024**</t>
  </si>
  <si>
    <t>INE607M14BA0</t>
  </si>
  <si>
    <t>Tata Power Renewable Energy Ltd - 05/06/2024**</t>
  </si>
  <si>
    <t>INE018A14KP4</t>
  </si>
  <si>
    <t>Larsen &amp; Toubro Ltd - 10/06/2024**</t>
  </si>
  <si>
    <t>INE09OL14EV9</t>
  </si>
  <si>
    <t>Birla Group Holdings Pvt Ltd - 12/06/2024**</t>
  </si>
  <si>
    <t>INE763G14TC1</t>
  </si>
  <si>
    <t>ICICI Securities Ltd - 22/05/2024</t>
  </si>
  <si>
    <t>INE233A14I63</t>
  </si>
  <si>
    <t>Godrej Industries Ltd - 28/05/2024**</t>
  </si>
  <si>
    <t>INE870H14SG5</t>
  </si>
  <si>
    <t>Network18 Media &amp; Investments Ltd - 30/05/2024**</t>
  </si>
  <si>
    <t>INE824H14ON7</t>
  </si>
  <si>
    <t>Julius Baer Capital (India) Private Ltd - 31/05/2024**</t>
  </si>
  <si>
    <t>INE572E14JA6</t>
  </si>
  <si>
    <t>PNB Housing Finance Ltd - 06/06/2024**</t>
  </si>
  <si>
    <t>INE012I14QF8</t>
  </si>
  <si>
    <t>JM Financial Services Ltd - 04/06/2024**</t>
  </si>
  <si>
    <t>INE700G14JJ9</t>
  </si>
  <si>
    <t>HDFC Securities Ltd - 18/06/2024**</t>
  </si>
  <si>
    <t>INE121A14WK2</t>
  </si>
  <si>
    <t>Cholamandalam Investment and Finance Co Ltd - 09/07/2024**</t>
  </si>
  <si>
    <t>INE261F14LM4</t>
  </si>
  <si>
    <t>National Bank for Agriculture &amp; Rural Development - 31/07/2024**</t>
  </si>
  <si>
    <t>ICICI Home Finance Company Ltd - 16/08/2024</t>
  </si>
  <si>
    <t>INE912E14MC4</t>
  </si>
  <si>
    <t>SBI GLOBAL FACTORS LTD - 29/05/2024**</t>
  </si>
  <si>
    <t>INE514E14RL8</t>
  </si>
  <si>
    <t>Export Import Bank of India - 31/05/2024**</t>
  </si>
  <si>
    <t>INE338I14GV5</t>
  </si>
  <si>
    <t>Motilal Oswal Financial Services Ltd - 29/05/2024**</t>
  </si>
  <si>
    <t>INE824H14OL1</t>
  </si>
  <si>
    <t>Julius Baer Capital (India) Private Ltd - 30/05/2024**</t>
  </si>
  <si>
    <t>INE891D14YI4</t>
  </si>
  <si>
    <t>Redington Ltd - 04/06/2024**</t>
  </si>
  <si>
    <t>INE144H14GQ9</t>
  </si>
  <si>
    <t>Deutsche Investments India Private Ltd - 03/06/2024**</t>
  </si>
  <si>
    <t>INE261F14LI2</t>
  </si>
  <si>
    <t>National Bank for Agriculture &amp; Rural Development - 13/06/2024</t>
  </si>
  <si>
    <t>INE763G14TQ1</t>
  </si>
  <si>
    <t>ICICI Securities Ltd - 12/06/2024**</t>
  </si>
  <si>
    <t>INE233A14J62</t>
  </si>
  <si>
    <t>Godrej Industries Ltd - 14/06/2024**</t>
  </si>
  <si>
    <t>INE027214597</t>
  </si>
  <si>
    <t>BOBCARD Ltd - 14/06/2024**</t>
  </si>
  <si>
    <t>INE338I14HE9</t>
  </si>
  <si>
    <t>Motilal Oswal Financial Services Ltd - 28/06/2024**</t>
  </si>
  <si>
    <t>INE572E14JC2</t>
  </si>
  <si>
    <t>PNB Housing Finance Ltd - 26/07/2024**</t>
  </si>
  <si>
    <t>INE212K14601</t>
  </si>
  <si>
    <t>SBI Cap securities Ltd - 24/07/2024**</t>
  </si>
  <si>
    <t>INE865C14LF3</t>
  </si>
  <si>
    <t>Aditya Birla Money Ltd - 30/07/2024**</t>
  </si>
  <si>
    <t>INE338I14HJ8</t>
  </si>
  <si>
    <t>Motilal Oswal Financial Services Ltd - 01/08/2024**</t>
  </si>
  <si>
    <t>INE01C314825</t>
  </si>
  <si>
    <t>Bajaj Financial Securities Ltd - 12/08/2024**</t>
  </si>
  <si>
    <t>INE824H14OZ1</t>
  </si>
  <si>
    <t>Julius Baer Capital (India) Private Ltd - 09/08/2024**</t>
  </si>
  <si>
    <t>IN002024X011</t>
  </si>
  <si>
    <t>91 Days- T Bill-04/07/2024</t>
  </si>
  <si>
    <t>IN002023X492</t>
  </si>
  <si>
    <t>91 Days -T Bill- 23/05/2024</t>
  </si>
  <si>
    <t>IN002024X086</t>
  </si>
  <si>
    <t>91 Days - T Bill - 15/08/2024</t>
  </si>
  <si>
    <t>IN002023Y458</t>
  </si>
  <si>
    <t>182 Days- T Bill-01/08/2024</t>
  </si>
  <si>
    <t>IN002023X559</t>
  </si>
  <si>
    <t>91 Days- T Bill-27/06/2024</t>
  </si>
  <si>
    <t>IN002024X037</t>
  </si>
  <si>
    <t>91 Days- T Bill-19/07/2024</t>
  </si>
  <si>
    <t>IN002024X060</t>
  </si>
  <si>
    <t>91 Days- T Bill-02/08/2024</t>
  </si>
  <si>
    <t>IN002023Y441</t>
  </si>
  <si>
    <t>182 Days -T Bill- 25/07/2024</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</si>
  <si>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</si>
  <si>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</si>
  <si>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</si>
  <si>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</si>
  <si>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</si>
  <si>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</si>
  <si>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</si>
  <si>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</si>
  <si>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</si>
  <si>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</si>
  <si>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</si>
  <si>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</si>
  <si>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IN2220150022</t>
  </si>
  <si>
    <t>8.14% Maharashtra State Development Loan 27/05/2025</t>
  </si>
  <si>
    <t>Sundaram Ultra Short Duration Fund</t>
  </si>
  <si>
    <t>INE121A07RB5</t>
  </si>
  <si>
    <t>Cholamandalam Investment and Finance Co Ltd - 8.25% - 04/03/2025**</t>
  </si>
  <si>
    <t>ICRA AA+</t>
  </si>
  <si>
    <t>INE115A07PS5</t>
  </si>
  <si>
    <t>LIC Housing Finance Ltd - 5.75% - 14/06/2024**</t>
  </si>
  <si>
    <t>INE756I07EI4</t>
  </si>
  <si>
    <t>HDB Financial Services Ltd - 7.5% - 23/09/2025**</t>
  </si>
  <si>
    <t>INE562A16MM9</t>
  </si>
  <si>
    <t>Indian Bank - 21/05/2024</t>
  </si>
  <si>
    <t>INE692A16GW5</t>
  </si>
  <si>
    <t>INE476A16YD6</t>
  </si>
  <si>
    <t>Canara Bank - 27/06/2024</t>
  </si>
  <si>
    <t>INE040A16DX2</t>
  </si>
  <si>
    <t>HDFC Bank Ltd - 13/09/2024</t>
  </si>
  <si>
    <t>INE090AD6105</t>
  </si>
  <si>
    <t>ICICI Bank Ltd - 06/12/2024**</t>
  </si>
  <si>
    <t>INE160A16OH8</t>
  </si>
  <si>
    <t>Punjab National Bank - 31/01/2025**</t>
  </si>
  <si>
    <t>INE090AD6089</t>
  </si>
  <si>
    <t>ICICI Bank Ltd - 12/06/2024</t>
  </si>
  <si>
    <t>INE040A16DZ7</t>
  </si>
  <si>
    <t>HDFC Bank Ltd - 14/06/2024**</t>
  </si>
  <si>
    <t>INE238AD6447</t>
  </si>
  <si>
    <t>Axis Bank Ltd - 20/06/2024</t>
  </si>
  <si>
    <t>INE556F16AL7</t>
  </si>
  <si>
    <t>Small Industries Development Bank of India - 21/06/2024**</t>
  </si>
  <si>
    <t>INE238AD6561</t>
  </si>
  <si>
    <t>Axis Bank Ltd - 21/06/2024**</t>
  </si>
  <si>
    <t>INE171A16LK5</t>
  </si>
  <si>
    <t>The Federal Bank Ltd - 29/11/2024**</t>
  </si>
  <si>
    <t>INE040A16EH3</t>
  </si>
  <si>
    <t>HDFC Bank Ltd - 06/12/2024**</t>
  </si>
  <si>
    <t>INE556F16AN3</t>
  </si>
  <si>
    <t>Small Industries Development Bank of India - 18/12/2024**</t>
  </si>
  <si>
    <t>INE261F16777</t>
  </si>
  <si>
    <t>National Bank for Agriculture &amp; Rural Development - 23/01/2025**</t>
  </si>
  <si>
    <t>INE237A160W3</t>
  </si>
  <si>
    <t>Kotak Mahindra Bank Ltd - 05/02/2025**</t>
  </si>
  <si>
    <t>INE160A16OL0</t>
  </si>
  <si>
    <t>Punjab National Bank - 07/02/2025</t>
  </si>
  <si>
    <t>INE556F16AQ6</t>
  </si>
  <si>
    <t>Small Industries Development Bank of India - 07/02/2025**</t>
  </si>
  <si>
    <t>INE557F14FK1</t>
  </si>
  <si>
    <t>National Housing Bank  - 28/08/2024</t>
  </si>
  <si>
    <t>INE144H14GH8</t>
  </si>
  <si>
    <t>Deutsche Investments India Private Ltd - 10/06/2024**</t>
  </si>
  <si>
    <t>INE790I14EA6</t>
  </si>
  <si>
    <t>HSBC InvestDirect Financial Services India Limited - 14/06/2024**</t>
  </si>
  <si>
    <t>INE115A14EV9</t>
  </si>
  <si>
    <t>LIC Housing Finance Ltd - 04/03/2025</t>
  </si>
  <si>
    <t>INE417C14710</t>
  </si>
  <si>
    <t>Pilani Investment and Industries Corporation Ltd. - 21/03/2025**</t>
  </si>
  <si>
    <t>IN002024X078</t>
  </si>
  <si>
    <t>91 Days - T Bill - 08/08/2024</t>
  </si>
  <si>
    <t>IN002023Z299</t>
  </si>
  <si>
    <t>364 Days- T Bill -03/10/2024</t>
  </si>
  <si>
    <t>Sundaram Medium Duration Fund</t>
  </si>
  <si>
    <t>IN0020210186</t>
  </si>
  <si>
    <t>5.74% Central Government Securities 15/11/2026</t>
  </si>
  <si>
    <t>IN0020200278</t>
  </si>
  <si>
    <t>5.15% Central Government Securities 09/11/2025</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</si>
  <si>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</si>
  <si>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</si>
  <si>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</si>
  <si>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</si>
  <si>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</si>
  <si>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</si>
  <si>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</si>
  <si>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</si>
  <si>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</si>
  <si>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</si>
  <si>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</si>
  <si>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</si>
  <si>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</si>
  <si>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</si>
  <si>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</si>
  <si>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INE044A01036</t>
  </si>
  <si>
    <t>Sun Pharmaceutical Industries Ltd</t>
  </si>
  <si>
    <t>Pharmaceuticals &amp; Biotechnology</t>
  </si>
  <si>
    <t>INE200M01021</t>
  </si>
  <si>
    <t>Varun Beverages Ltd</t>
  </si>
  <si>
    <t>Beverages</t>
  </si>
  <si>
    <t>INE397D01024</t>
  </si>
  <si>
    <t>Bharti Airtel Ltd</t>
  </si>
  <si>
    <t>Telecom - Services</t>
  </si>
  <si>
    <t>INE009A01021</t>
  </si>
  <si>
    <t>Infosys Ltd</t>
  </si>
  <si>
    <t>It - Software</t>
  </si>
  <si>
    <t>INE860A01027</t>
  </si>
  <si>
    <t>HCL Technologies Ltd</t>
  </si>
  <si>
    <t>INE062A01020</t>
  </si>
  <si>
    <t>State Bank of India</t>
  </si>
  <si>
    <t>INE059A01026</t>
  </si>
  <si>
    <t>Cipla Ltd</t>
  </si>
  <si>
    <t>INE481G01011</t>
  </si>
  <si>
    <t>Ultratech Cement Ltd</t>
  </si>
  <si>
    <t>Cement &amp; Cement Products</t>
  </si>
  <si>
    <t>INE047A01021</t>
  </si>
  <si>
    <t>Grasim Industries Ltd</t>
  </si>
  <si>
    <t>INE854D01024</t>
  </si>
  <si>
    <t>United Spirits Ltd</t>
  </si>
  <si>
    <t>IN9397D01014</t>
  </si>
  <si>
    <t>IN0020230051</t>
  </si>
  <si>
    <t>7.30% Government Securities - 19/06/2053</t>
  </si>
  <si>
    <t>Sundaram Overnight Fund</t>
  </si>
  <si>
    <t>IN002023X526</t>
  </si>
  <si>
    <t>91 Days - T Bill - 06/06/2024</t>
  </si>
  <si>
    <t>IN002023X476</t>
  </si>
  <si>
    <t>91 Days- T Bill-16/05/2024</t>
  </si>
  <si>
    <t>IN002023X518</t>
  </si>
  <si>
    <t>91 Days- T Bill-30/05/2024</t>
  </si>
  <si>
    <t>Reverse Repo</t>
  </si>
  <si>
    <t>Unclaimed Plan - Redemption Less than three years</t>
  </si>
  <si>
    <t>Unclaimed Plan - Redemption greater than three years</t>
  </si>
  <si>
    <t>YTM (%)*</t>
  </si>
  <si>
    <t>YTM (%)</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</si>
  <si>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</si>
  <si>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</si>
  <si>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</si>
  <si>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</si>
  <si>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 Corporate Debt Market Development Fund</t>
  </si>
  <si>
    <t>6.30</t>
  </si>
  <si>
    <t>Bharti Airtel Ltd - Partly Paid Right Shares</t>
  </si>
  <si>
    <t>INE0GGX23010</t>
  </si>
  <si>
    <t>Power Grid Infrastructure Investment Trust(InvIT)</t>
  </si>
  <si>
    <t>Power</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</si>
  <si>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</si>
  <si>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</si>
  <si>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</si>
  <si>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</si>
  <si>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</si>
  <si>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</si>
  <si>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</si>
  <si>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</si>
  <si>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</si>
  <si>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</si>
  <si>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</si>
  <si>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</si>
  <si>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</si>
  <si>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</si>
  <si>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</si>
  <si>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</si>
  <si>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</si>
  <si>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</si>
  <si>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</si>
  <si>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</si>
  <si>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</si>
  <si>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</si>
  <si>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</si>
  <si>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</si>
  <si>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</si>
  <si>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</si>
  <si>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</si>
  <si>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</si>
  <si>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</si>
  <si>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</si>
  <si>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</si>
  <si>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</si>
  <si>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</si>
  <si>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</si>
  <si>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</si>
  <si>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</si>
  <si>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15-May-2024</t>
  </si>
  <si>
    <t>i) Exposure to securities classified as below investment grade or default as on 15-May-2024:-</t>
  </si>
  <si>
    <t>h) Exposure to securities classified as below investment grade or default as on 15-May-2024:-</t>
  </si>
  <si>
    <t>% to AUM as on  15-May-2024</t>
  </si>
  <si>
    <t>At the beginning</t>
  </si>
  <si>
    <t>UNION Bank of India - 27/02/2025**</t>
  </si>
  <si>
    <t>UNION Bank of India - 11/06/2024**</t>
  </si>
  <si>
    <t>UNION Bank of India - 22/05/2024</t>
  </si>
  <si>
    <t>Regular Plan - Quarterly IDCW</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</si>
  <si>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</si>
  <si>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</si>
  <si>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</si>
  <si>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</si>
  <si>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</si>
  <si>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</si>
  <si>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</si>
  <si>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</si>
  <si>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</si>
  <si>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</si>
  <si>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</si>
  <si>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</si>
  <si>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</si>
  <si>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Regular Plan - Fortnightly IDCW</t>
  </si>
  <si>
    <t>Direct Plan - Fortnightly IDCW</t>
  </si>
  <si>
    <t>Unclaimed Plan - IDCW greater than three years</t>
  </si>
  <si>
    <t>Unclaimed Plan - IDCW less than three years</t>
  </si>
  <si>
    <t>7.72% Central Government Securities_Floating Rate Bond - 04/10/2028 ~</t>
  </si>
  <si>
    <t>S. No.</t>
  </si>
  <si>
    <t>ACRONYM</t>
  </si>
  <si>
    <t>SCHEME NAME</t>
  </si>
  <si>
    <t>SFRLTP</t>
  </si>
  <si>
    <t>SFRSTP</t>
  </si>
  <si>
    <t>SMMF</t>
  </si>
  <si>
    <t>SPLDF</t>
  </si>
  <si>
    <t>SPMON</t>
  </si>
  <si>
    <t>SPSDF</t>
  </si>
  <si>
    <t>SPUSDF</t>
  </si>
  <si>
    <t>SUNBDS</t>
  </si>
  <si>
    <t>SUNMIA</t>
  </si>
  <si>
    <t>SUNONF</t>
  </si>
  <si>
    <t>Index</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</si>
  <si>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</si>
  <si>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</si>
  <si>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</si>
  <si>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</si>
  <si>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</si>
  <si>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</si>
  <si>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</si>
  <si>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</si>
  <si>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</si>
  <si>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</si>
  <si>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</si>
  <si>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</si>
  <si>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</si>
  <si>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</si>
  <si>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</si>
  <si>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</si>
  <si>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</si>
  <si>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</si>
  <si>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</si>
  <si>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</si>
  <si>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Fortnightly Portfolio Statement as on 15 May 2024</t>
  </si>
  <si>
    <t>INE071G14FO3</t>
  </si>
  <si>
    <t>++ Aggregate Investments by Other schemes of Sundaram Mutual Fund - Rs.61,519.88 Lakhs</t>
  </si>
  <si>
    <t>Refer below point i)</t>
  </si>
  <si>
    <t>Refer below point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</si>
</sst>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1014009]#,##0.000000;\-#,##0.000000"/>
  </numFmts>
  <fonts count="33"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name val="Arial"/>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indexed="8"/>
      <name val="Calibri"/>
      <family val="2"/>
    </font>
    <font>
      <sz val="10"/>
      <name val="Arial"/>
      <family val="2"/>
    </font>
    <font>
      <b/>
      <i/>
      <sz val="10"/>
      <color indexed="8"/>
      <name val="Calibri"/>
      <family val="2"/>
    </font>
    <font>
      <sz val="10"/>
      <color indexed="8"/>
      <name val="Calibri"/>
      <family val="2"/>
    </font>
    <font>
      <sz val="10"/>
      <name val="Calibri"/>
      <family val="2"/>
    </font>
    <font>
      <sz val="11"/>
      <color theme="1"/>
      <name val="Calibri"/>
      <family val="2"/>
    </font>
    <font>
      <b/>
      <sz val="10"/>
      <color indexed="8"/>
      <name val="Calibri"/>
      <family val="2"/>
    </font>
    <font>
      <b/>
      <sz val="11"/>
      <color theme="0"/>
      <name val="Aptos Narrow"/>
      <family val="2"/>
      <scheme val="minor"/>
    </font>
    <font>
      <sz val="11"/>
      <color theme="0"/>
      <name val="Aptos Narrow"/>
      <family val="2"/>
      <scheme val="minor"/>
    </font>
    <font>
      <b/>
      <sz val="10"/>
      <name val="Calibri"/>
      <family val="2"/>
    </font>
    <font>
      <b/>
      <sz val="10"/>
      <color theme="1"/>
      <name val="Calibri"/>
      <family val="2"/>
    </font>
    <font>
      <sz val="10"/>
      <color theme="1"/>
      <name val="Calibri"/>
      <family val="2"/>
    </font>
    <font>
      <sz val="11"/>
      <name val="Aptos Narrow"/>
      <family val="2"/>
      <scheme val="minor"/>
    </font>
    <font>
      <b/>
      <sz val="11"/>
      <name val="Aptos Narrow"/>
      <family val="2"/>
      <scheme val="minor"/>
    </font>
    <font>
      <sz val="11"/>
      <color indexed="8"/>
      <name val="Calibri"/>
      <family val="2"/>
    </font>
    <font>
      <b/>
      <sz val="11"/>
      <color theme="1"/>
      <name val="Aptos Narrow"/>
      <family val="2"/>
      <scheme val="minor"/>
    </font>
    <font>
      <b/>
      <sz val="11"/>
      <color theme="1"/>
      <name val="Calibri"/>
      <family val="2"/>
    </font>
    <font>
      <b/>
      <sz val="11"/>
      <name val="Calibri"/>
      <family val="2"/>
    </font>
    <font>
      <u/>
      <sz val="10"/>
      <color theme="10"/>
      <name val="Arial"/>
      <family val="2"/>
    </font>
    <font>
      <u/>
      <sz val="11"/>
      <color theme="10"/>
      <name val="Calibri"/>
      <family val="2"/>
    </font>
    <font>
      <sz val="11"/>
      <name val="Calibri"/>
      <family val="2"/>
    </font>
    <font>
      <u/>
      <sz val="11"/>
      <color rgb="FF002060"/>
      <name val="Aptos Narrow"/>
      <family val="2"/>
      <scheme val="minor"/>
    </font>
    <font>
      <b/>
      <sz val="10"/>
      <name val="Arial"/>
      <family val="2"/>
    </font>
  </fonts>
  <fills count="5">
    <fill>
      <patternFill patternType="none"/>
    </fill>
    <fill>
      <patternFill patternType="gray125"/>
    </fill>
    <fill>
      <patternFill patternType="solid">
        <fgColor indexed="9"/>
      </patternFill>
    </fill>
    <fill>
      <patternFill patternType="solid">
        <fgColor theme="2"/>
        <bgColor indexed="64"/>
      </patternFill>
    </fill>
    <fill>
      <patternFill patternType="solid">
        <fgColor theme="8" tint="0.79998168889431442"/>
        <bgColor indexed="64"/>
      </patternFill>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alignment wrapText="1"/>
    </xf>
    <xf numFmtId="43" fontId="4" fillId="0" borderId="0" applyFont="0" applyFill="0" applyBorder="0" applyAlignment="0" applyProtection="0">
      <alignment wrapText="1"/>
    </xf>
    <xf numFmtId="0" fontId="11" fillId="0" borderId="0">
      <alignment wrapText="1"/>
    </xf>
    <xf numFmtId="0" fontId="3" fillId="0" borderId="0"/>
    <xf numFmtId="164" fontId="11" fillId="0" borderId="0" applyFont="0" applyFill="0" applyBorder="0" applyAlignment="0" applyProtection="0"/>
    <xf numFmtId="9" fontId="11" fillId="0" borderId="0" applyFont="0" applyFill="0" applyBorder="0" applyAlignment="0" applyProtection="0"/>
    <xf numFmtId="0" fontId="2" fillId="0" borderId="0"/>
    <xf numFmtId="9" fontId="24" fillId="0" borderId="0" applyFont="0" applyFill="0" applyBorder="0" applyAlignment="0" applyProtection="0"/>
    <xf numFmtId="0" fontId="1" fillId="0" borderId="0"/>
    <xf numFmtId="0" fontId="1" fillId="0" borderId="0"/>
    <xf numFmtId="0" fontId="28" fillId="0" borderId="0" applyNumberFormat="0" applyFill="0" applyBorder="0" applyAlignment="0" applyProtection="0">
      <alignment wrapText="1"/>
    </xf>
  </cellStyleXfs>
  <cellXfs count="165">
    <xf numFmtId="0" fontId="0" fillId="0" borderId="0" xfId="0">
      <alignment wrapText="1"/>
    </xf>
    <xf numFmtId="0" fontId="6" fillId="2" borderId="4" xfId="0" applyFont="1" applyFill="1" applyBorder="1" applyAlignment="1">
      <alignment horizontal="right" vertical="top"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5" fontId="7"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66" fontId="7"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168" fontId="6" fillId="2" borderId="4" xfId="0" applyNumberFormat="1"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5"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9" fontId="6" fillId="2" borderId="4" xfId="0" applyNumberFormat="1" applyFont="1" applyFill="1" applyBorder="1" applyAlignment="1">
      <alignment horizontal="right" vertical="center" wrapText="1" readingOrder="1"/>
    </xf>
    <xf numFmtId="170" fontId="7" fillId="2" borderId="4" xfId="0" applyNumberFormat="1" applyFont="1" applyFill="1" applyBorder="1" applyAlignment="1">
      <alignment horizontal="right" vertical="center" wrapText="1" readingOrder="1"/>
    </xf>
    <xf numFmtId="0" fontId="8" fillId="2" borderId="5" xfId="0" applyFont="1" applyFill="1" applyBorder="1" applyAlignment="1">
      <alignment horizontal="left" vertical="center" wrapText="1" readingOrder="1"/>
    </xf>
    <xf numFmtId="0" fontId="8" fillId="2" borderId="5" xfId="0" applyFont="1" applyFill="1" applyBorder="1" applyAlignment="1">
      <alignment horizontal="right" vertical="center" wrapText="1" readingOrder="1"/>
    </xf>
    <xf numFmtId="0" fontId="8" fillId="2" borderId="0" xfId="0" applyFont="1" applyFill="1" applyAlignment="1">
      <alignment horizontal="left" vertical="center" wrapText="1" readingOrder="1"/>
    </xf>
    <xf numFmtId="0" fontId="6" fillId="2" borderId="0" xfId="0" applyFont="1" applyFill="1" applyAlignment="1">
      <alignment horizontal="left" vertical="center" wrapText="1" readingOrder="1"/>
    </xf>
    <xf numFmtId="0" fontId="8" fillId="2" borderId="0" xfId="0" applyFont="1" applyFill="1" applyAlignment="1">
      <alignment horizontal="right" vertical="center" wrapText="1" readingOrder="1"/>
    </xf>
    <xf numFmtId="0" fontId="8" fillId="2" borderId="6" xfId="0" applyFont="1" applyFill="1" applyBorder="1" applyAlignment="1">
      <alignment horizontal="right" vertical="center" wrapText="1" readingOrder="1"/>
    </xf>
    <xf numFmtId="0" fontId="6" fillId="2" borderId="0" xfId="0" applyFont="1" applyFill="1" applyAlignment="1">
      <alignment horizontal="right" vertical="top" wrapText="1" readingOrder="1"/>
    </xf>
    <xf numFmtId="0" fontId="7" fillId="2" borderId="4" xfId="0" applyFont="1" applyFill="1" applyBorder="1" applyAlignment="1">
      <alignment horizontal="right" vertical="top" wrapText="1" readingOrder="1"/>
    </xf>
    <xf numFmtId="0" fontId="7" fillId="2" borderId="4" xfId="0" applyFont="1" applyFill="1" applyBorder="1" applyAlignment="1">
      <alignment horizontal="left" vertical="top" wrapText="1" readingOrder="1"/>
    </xf>
    <xf numFmtId="171" fontId="6" fillId="2" borderId="4" xfId="0" applyNumberFormat="1" applyFont="1" applyFill="1" applyBorder="1" applyAlignment="1">
      <alignment horizontal="right" vertical="center" wrapText="1" readingOrder="1"/>
    </xf>
    <xf numFmtId="0" fontId="6" fillId="2" borderId="0" xfId="0" applyFont="1" applyFill="1" applyAlignment="1">
      <alignment horizontal="right" vertical="center" wrapText="1" readingOrder="1"/>
    </xf>
    <xf numFmtId="0" fontId="0" fillId="2" borderId="0" xfId="0" applyFill="1" applyAlignment="1">
      <alignment horizontal="center" vertical="top" readingOrder="1"/>
    </xf>
    <xf numFmtId="0" fontId="9" fillId="2" borderId="4" xfId="0" applyFont="1" applyFill="1" applyBorder="1" applyAlignment="1">
      <alignment horizontal="left" vertical="center" wrapText="1" readingOrder="1"/>
    </xf>
    <xf numFmtId="0" fontId="9" fillId="2" borderId="4" xfId="0" applyFont="1" applyFill="1" applyBorder="1" applyAlignment="1">
      <alignment horizontal="right" vertical="center" wrapText="1" readingOrder="1"/>
    </xf>
    <xf numFmtId="173" fontId="6"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7" fillId="2" borderId="5" xfId="0" applyFont="1" applyFill="1" applyBorder="1" applyAlignment="1">
      <alignment horizontal="left" vertical="center" wrapText="1" readingOrder="1"/>
    </xf>
    <xf numFmtId="0" fontId="10" fillId="2" borderId="7" xfId="0" applyFont="1" applyFill="1" applyBorder="1" applyAlignment="1">
      <alignment horizontal="center" vertical="top" wrapText="1" readingOrder="1"/>
    </xf>
    <xf numFmtId="0" fontId="0" fillId="0" borderId="0" xfId="0" applyAlignment="1">
      <alignment horizontal="center" wrapText="1"/>
    </xf>
    <xf numFmtId="43" fontId="6" fillId="2" borderId="4" xfId="1" applyFont="1" applyFill="1" applyBorder="1" applyAlignment="1">
      <alignment horizontal="right" vertical="top" wrapText="1" readingOrder="1"/>
    </xf>
    <xf numFmtId="43" fontId="10" fillId="2" borderId="7" xfId="1" applyFont="1" applyFill="1" applyBorder="1" applyAlignment="1">
      <alignment horizontal="center" vertical="top" wrapText="1" readingOrder="1"/>
    </xf>
    <xf numFmtId="43" fontId="7" fillId="2" borderId="4" xfId="1" applyFont="1" applyFill="1" applyBorder="1" applyAlignment="1">
      <alignment horizontal="right" vertical="center" wrapText="1" readingOrder="1"/>
    </xf>
    <xf numFmtId="43" fontId="8" fillId="2" borderId="5" xfId="1" applyFont="1" applyFill="1" applyBorder="1" applyAlignment="1">
      <alignment horizontal="right" vertical="center" wrapText="1" readingOrder="1"/>
    </xf>
    <xf numFmtId="43" fontId="8" fillId="2" borderId="0" xfId="1" applyFont="1" applyFill="1" applyBorder="1" applyAlignment="1">
      <alignment horizontal="right" vertical="center" wrapText="1" readingOrder="1"/>
    </xf>
    <xf numFmtId="43" fontId="6" fillId="2" borderId="0" xfId="1" applyFont="1" applyFill="1" applyBorder="1" applyAlignment="1">
      <alignment horizontal="right" vertical="top" wrapText="1" readingOrder="1"/>
    </xf>
    <xf numFmtId="43" fontId="6" fillId="2" borderId="0" xfId="1" applyFont="1" applyFill="1" applyBorder="1" applyAlignment="1">
      <alignment horizontal="right" vertical="center" wrapText="1" readingOrder="1"/>
    </xf>
    <xf numFmtId="43" fontId="0" fillId="2" borderId="0" xfId="1" applyFont="1" applyFill="1" applyBorder="1" applyAlignment="1">
      <alignment horizontal="center" vertical="top" readingOrder="1"/>
    </xf>
    <xf numFmtId="43" fontId="0" fillId="0" borderId="0" xfId="1" applyFont="1">
      <alignment wrapText="1"/>
    </xf>
    <xf numFmtId="0" fontId="12" fillId="2" borderId="0" xfId="0" applyFont="1" applyFill="1" applyAlignment="1">
      <alignment horizontal="left" vertical="center" wrapText="1" readingOrder="1"/>
    </xf>
    <xf numFmtId="0" fontId="13" fillId="2" borderId="0" xfId="0" applyFont="1" applyFill="1" applyAlignment="1">
      <alignment horizontal="left" vertical="center" wrapText="1" readingOrder="1"/>
    </xf>
    <xf numFmtId="0" fontId="0" fillId="3" borderId="0" xfId="0" applyFill="1" applyAlignment="1">
      <alignment horizontal="center" vertical="center" wrapText="1"/>
    </xf>
    <xf numFmtId="0" fontId="11" fillId="0" borderId="0" xfId="2">
      <alignment wrapText="1"/>
    </xf>
    <xf numFmtId="0" fontId="12" fillId="2" borderId="0" xfId="3" applyFont="1" applyFill="1" applyAlignment="1">
      <alignment horizontal="left" vertical="center" wrapText="1" readingOrder="1"/>
    </xf>
    <xf numFmtId="0" fontId="15" fillId="0" borderId="0" xfId="3" applyFont="1" applyAlignment="1">
      <alignment vertical="center" wrapText="1"/>
    </xf>
    <xf numFmtId="0" fontId="13" fillId="0" borderId="4" xfId="0" applyFont="1" applyBorder="1" applyAlignment="1">
      <alignment horizontal="right" vertical="top" wrapText="1" readingOrder="1"/>
    </xf>
    <xf numFmtId="0" fontId="16" fillId="0" borderId="4" xfId="0" applyFont="1" applyBorder="1" applyAlignment="1">
      <alignment horizontal="left" vertical="center" wrapText="1" readingOrder="1"/>
    </xf>
    <xf numFmtId="0" fontId="12" fillId="0" borderId="4" xfId="0" applyFont="1" applyBorder="1" applyAlignment="1">
      <alignment horizontal="right" vertical="center" wrapText="1" readingOrder="1"/>
    </xf>
    <xf numFmtId="166" fontId="13" fillId="2" borderId="4" xfId="0" applyNumberFormat="1" applyFont="1" applyFill="1" applyBorder="1" applyAlignment="1">
      <alignment horizontal="right" vertical="center" wrapText="1" readingOrder="1"/>
    </xf>
    <xf numFmtId="0" fontId="14" fillId="0" borderId="0" xfId="0" applyFont="1">
      <alignment wrapText="1"/>
    </xf>
    <xf numFmtId="167" fontId="13" fillId="2" borderId="4" xfId="0" applyNumberFormat="1" applyFont="1" applyFill="1" applyBorder="1" applyAlignment="1">
      <alignment horizontal="right" vertical="center" wrapText="1" readingOrder="1"/>
    </xf>
    <xf numFmtId="0" fontId="13" fillId="2" borderId="4" xfId="0" applyFont="1" applyFill="1" applyBorder="1" applyAlignment="1">
      <alignment horizontal="left" vertical="center" wrapText="1" readingOrder="1"/>
    </xf>
    <xf numFmtId="165" fontId="13" fillId="2" borderId="4" xfId="0" applyNumberFormat="1" applyFont="1" applyFill="1" applyBorder="1" applyAlignment="1">
      <alignment horizontal="right" vertical="center" wrapText="1" readingOrder="1"/>
    </xf>
    <xf numFmtId="0" fontId="13" fillId="2" borderId="4" xfId="0" applyFont="1" applyFill="1" applyBorder="1" applyAlignment="1">
      <alignment horizontal="right" vertical="top" wrapText="1" readingOrder="1"/>
    </xf>
    <xf numFmtId="0" fontId="16" fillId="2" borderId="4" xfId="0" applyFont="1" applyFill="1" applyBorder="1" applyAlignment="1">
      <alignment horizontal="left" vertical="center" wrapText="1" readingOrder="1"/>
    </xf>
    <xf numFmtId="166" fontId="16" fillId="2" borderId="4" xfId="0" applyNumberFormat="1" applyFont="1" applyFill="1" applyBorder="1" applyAlignment="1">
      <alignment horizontal="right" vertical="center" wrapText="1" readingOrder="1"/>
    </xf>
    <xf numFmtId="165" fontId="16" fillId="2" borderId="4" xfId="0" applyNumberFormat="1" applyFont="1" applyFill="1" applyBorder="1" applyAlignment="1">
      <alignment horizontal="right" vertical="center" wrapText="1" readingOrder="1"/>
    </xf>
    <xf numFmtId="43" fontId="10" fillId="2" borderId="7" xfId="1" applyFont="1" applyFill="1" applyBorder="1" applyAlignment="1">
      <alignment horizontal="center" vertical="center" wrapText="1" readingOrder="1"/>
    </xf>
    <xf numFmtId="43" fontId="6" fillId="2" borderId="4" xfId="1" applyFont="1" applyFill="1" applyBorder="1" applyAlignment="1">
      <alignment horizontal="right" vertical="center" wrapText="1" readingOrder="1"/>
    </xf>
    <xf numFmtId="43" fontId="0" fillId="0" borderId="0" xfId="1" applyFont="1" applyAlignment="1">
      <alignment vertical="center" wrapText="1"/>
    </xf>
    <xf numFmtId="168" fontId="13" fillId="2" borderId="4" xfId="0" applyNumberFormat="1" applyFont="1" applyFill="1" applyBorder="1" applyAlignment="1">
      <alignment horizontal="right" vertical="center" wrapText="1" readingOrder="1"/>
    </xf>
    <xf numFmtId="0" fontId="11" fillId="0" borderId="0" xfId="0" applyFont="1">
      <alignment wrapText="1"/>
    </xf>
    <xf numFmtId="0" fontId="13" fillId="0" borderId="0" xfId="0" applyFont="1" applyAlignment="1">
      <alignment horizontal="right" vertical="top" wrapText="1" readingOrder="1"/>
    </xf>
    <xf numFmtId="0" fontId="13" fillId="0" borderId="6" xfId="0" applyFont="1" applyBorder="1" applyAlignment="1">
      <alignment horizontal="right" vertical="top" wrapText="1" readingOrder="1"/>
    </xf>
    <xf numFmtId="0" fontId="13" fillId="0" borderId="0" xfId="0" applyFont="1" applyAlignment="1">
      <alignment horizontal="right" vertical="center" wrapText="1" readingOrder="1"/>
    </xf>
    <xf numFmtId="0" fontId="13" fillId="0" borderId="6" xfId="0" applyFont="1" applyBorder="1" applyAlignment="1">
      <alignment horizontal="right" vertical="center" wrapText="1" readingOrder="1"/>
    </xf>
    <xf numFmtId="0" fontId="14" fillId="0" borderId="0" xfId="0" applyFont="1" applyAlignment="1">
      <alignment vertical="center" wrapText="1"/>
    </xf>
    <xf numFmtId="0" fontId="19" fillId="0" borderId="7" xfId="0" applyFont="1" applyBorder="1" applyAlignment="1">
      <alignment horizontal="center" vertical="center" wrapText="1"/>
    </xf>
    <xf numFmtId="0" fontId="14" fillId="0" borderId="7" xfId="0" applyFont="1" applyBorder="1" applyAlignment="1">
      <alignment vertical="center" wrapText="1"/>
    </xf>
    <xf numFmtId="0" fontId="14" fillId="0" borderId="7" xfId="0" applyFont="1" applyBorder="1" applyAlignment="1">
      <alignment horizontal="justify" vertical="center" wrapText="1"/>
    </xf>
    <xf numFmtId="172" fontId="16" fillId="0" borderId="4" xfId="0" applyNumberFormat="1" applyFont="1" applyBorder="1" applyAlignment="1">
      <alignment horizontal="left" vertical="center" wrapText="1" readingOrder="1"/>
    </xf>
    <xf numFmtId="14" fontId="14" fillId="0" borderId="7" xfId="0" quotePrefix="1" applyNumberFormat="1" applyFont="1" applyBorder="1" applyAlignment="1">
      <alignment horizontal="justify" vertical="center" wrapText="1"/>
    </xf>
    <xf numFmtId="0" fontId="13" fillId="2" borderId="0" xfId="0" applyFont="1" applyFill="1" applyAlignment="1">
      <alignment horizontal="right" vertical="center" wrapText="1" readingOrder="1"/>
    </xf>
    <xf numFmtId="0" fontId="13" fillId="2" borderId="6" xfId="0" applyFont="1" applyFill="1" applyBorder="1" applyAlignment="1">
      <alignment horizontal="right" vertical="center" wrapText="1" readingOrder="1"/>
    </xf>
    <xf numFmtId="0" fontId="0" fillId="0" borderId="0" xfId="0" applyAlignment="1">
      <alignment vertical="center" wrapText="1"/>
    </xf>
    <xf numFmtId="0" fontId="14" fillId="2" borderId="0" xfId="0" applyFont="1" applyFill="1" applyAlignment="1">
      <alignment horizontal="center" vertical="center" readingOrder="1"/>
    </xf>
    <xf numFmtId="172" fontId="16" fillId="2" borderId="4" xfId="0" applyNumberFormat="1" applyFont="1" applyFill="1" applyBorder="1" applyAlignment="1">
      <alignment horizontal="left" vertical="center" wrapText="1" readingOrder="1"/>
    </xf>
    <xf numFmtId="0" fontId="19" fillId="0" borderId="0" xfId="0" applyFont="1" applyAlignment="1">
      <alignment vertical="center" readingOrder="1"/>
    </xf>
    <xf numFmtId="0" fontId="19" fillId="0" borderId="0" xfId="0" applyFont="1" applyAlignment="1">
      <alignment horizontal="left" vertical="center" readingOrder="1"/>
    </xf>
    <xf numFmtId="0" fontId="20" fillId="0" borderId="0" xfId="0" applyFont="1" applyAlignment="1">
      <alignment vertical="center" wrapText="1"/>
    </xf>
    <xf numFmtId="0" fontId="20" fillId="0" borderId="7" xfId="0" applyFont="1" applyBorder="1" applyAlignment="1">
      <alignment horizontal="center" vertical="center" wrapText="1"/>
    </xf>
    <xf numFmtId="0" fontId="14" fillId="0" borderId="0" xfId="0" applyFont="1" applyAlignment="1">
      <alignment vertical="center"/>
    </xf>
    <xf numFmtId="0" fontId="14" fillId="0" borderId="7" xfId="0" applyFont="1" applyBorder="1" applyAlignment="1">
      <alignment vertical="center"/>
    </xf>
    <xf numFmtId="164" fontId="14" fillId="0" borderId="7" xfId="4" applyFont="1" applyFill="1" applyBorder="1" applyAlignment="1">
      <alignment vertical="center"/>
    </xf>
    <xf numFmtId="164" fontId="21" fillId="0" borderId="7" xfId="4" applyFont="1" applyFill="1" applyBorder="1" applyAlignment="1">
      <alignment vertical="center"/>
    </xf>
    <xf numFmtId="4" fontId="14" fillId="0" borderId="7" xfId="0" applyNumberFormat="1" applyFont="1" applyBorder="1" applyAlignment="1">
      <alignment vertical="center"/>
    </xf>
    <xf numFmtId="0" fontId="14" fillId="0" borderId="0" xfId="0" applyFont="1" applyAlignment="1">
      <alignment horizontal="center" vertical="center" readingOrder="1"/>
    </xf>
    <xf numFmtId="2" fontId="14" fillId="0" borderId="7" xfId="0" applyNumberFormat="1" applyFont="1" applyBorder="1" applyAlignment="1">
      <alignment vertical="center"/>
    </xf>
    <xf numFmtId="10" fontId="21" fillId="0" borderId="7" xfId="5" applyNumberFormat="1" applyFont="1" applyFill="1" applyBorder="1" applyAlignment="1">
      <alignment vertical="center"/>
    </xf>
    <xf numFmtId="0" fontId="20" fillId="0" borderId="7" xfId="0" applyFont="1" applyBorder="1" applyAlignment="1">
      <alignment vertical="center" wrapText="1"/>
    </xf>
    <xf numFmtId="0" fontId="13" fillId="0" borderId="0" xfId="0" applyFont="1" applyAlignment="1">
      <alignment horizontal="left" vertical="center" wrapText="1" readingOrder="1"/>
    </xf>
    <xf numFmtId="0" fontId="2" fillId="0" borderId="0" xfId="6" applyAlignment="1">
      <alignment wrapText="1"/>
    </xf>
    <xf numFmtId="0" fontId="20" fillId="0" borderId="7" xfId="6" applyFont="1" applyBorder="1" applyAlignment="1">
      <alignment horizontal="center" vertical="center"/>
    </xf>
    <xf numFmtId="0" fontId="20" fillId="0" borderId="0" xfId="6" applyFont="1" applyAlignment="1">
      <alignment horizontal="center" vertical="center"/>
    </xf>
    <xf numFmtId="0" fontId="21" fillId="0" borderId="7" xfId="6" applyFont="1" applyBorder="1" applyAlignment="1">
      <alignment vertical="center"/>
    </xf>
    <xf numFmtId="0" fontId="21" fillId="0" borderId="7" xfId="6" applyFont="1" applyBorder="1" applyAlignment="1">
      <alignment vertical="center" wrapText="1"/>
    </xf>
    <xf numFmtId="0" fontId="21" fillId="0" borderId="0" xfId="6" applyFont="1" applyAlignment="1">
      <alignment horizontal="center" vertical="center"/>
    </xf>
    <xf numFmtId="0" fontId="17" fillId="0" borderId="0" xfId="6" applyFont="1" applyAlignment="1">
      <alignment horizontal="center" vertical="center"/>
    </xf>
    <xf numFmtId="0" fontId="22" fillId="0" borderId="0" xfId="6" applyFont="1" applyAlignment="1">
      <alignment wrapText="1"/>
    </xf>
    <xf numFmtId="4" fontId="18" fillId="0" borderId="0" xfId="6" applyNumberFormat="1" applyFont="1"/>
    <xf numFmtId="0" fontId="20" fillId="0" borderId="7" xfId="6" applyFont="1" applyBorder="1" applyAlignment="1">
      <alignment horizontal="center" vertical="center" wrapText="1"/>
    </xf>
    <xf numFmtId="0" fontId="23" fillId="0" borderId="0" xfId="6" applyFont="1" applyAlignment="1">
      <alignment horizontal="center" vertical="center"/>
    </xf>
    <xf numFmtId="0" fontId="21" fillId="0" borderId="7" xfId="6" applyFont="1" applyBorder="1" applyAlignment="1">
      <alignment horizontal="left" vertical="center"/>
    </xf>
    <xf numFmtId="4" fontId="21" fillId="0" borderId="7" xfId="6" applyNumberFormat="1" applyFont="1" applyBorder="1" applyAlignment="1">
      <alignment horizontal="right" vertical="center"/>
    </xf>
    <xf numFmtId="10" fontId="21" fillId="0" borderId="7" xfId="7" applyNumberFormat="1" applyFont="1" applyFill="1" applyBorder="1" applyAlignment="1">
      <alignment vertical="center"/>
    </xf>
    <xf numFmtId="0" fontId="26" fillId="0" borderId="7" xfId="8" applyFont="1" applyBorder="1" applyAlignment="1">
      <alignment horizontal="center"/>
    </xf>
    <xf numFmtId="0" fontId="27" fillId="0" borderId="7" xfId="8" applyFont="1" applyBorder="1" applyAlignment="1">
      <alignment horizontal="center" vertical="center"/>
    </xf>
    <xf numFmtId="0" fontId="15" fillId="0" borderId="0" xfId="9" applyFont="1"/>
    <xf numFmtId="0" fontId="15" fillId="0" borderId="7" xfId="8" applyFont="1" applyBorder="1" applyAlignment="1">
      <alignment horizontal="center"/>
    </xf>
    <xf numFmtId="0" fontId="29" fillId="0" borderId="7" xfId="10" applyFont="1" applyBorder="1" applyAlignment="1">
      <alignment vertical="center"/>
    </xf>
    <xf numFmtId="0" fontId="30" fillId="0" borderId="7" xfId="8" applyFont="1" applyBorder="1" applyAlignment="1">
      <alignment vertical="top"/>
    </xf>
    <xf numFmtId="0" fontId="31" fillId="4" borderId="0" xfId="10" applyFont="1" applyFill="1" applyBorder="1" applyAlignment="1">
      <alignment horizontal="center" vertical="center" wrapText="1"/>
    </xf>
    <xf numFmtId="0" fontId="23" fillId="3" borderId="0" xfId="2" applyFont="1" applyFill="1" applyAlignment="1">
      <alignment horizontal="center" vertical="center" wrapText="1"/>
    </xf>
    <xf numFmtId="0" fontId="0" fillId="0" borderId="0" xfId="0" applyAlignment="1">
      <alignment horizontal="center" vertical="center" wrapText="1"/>
    </xf>
    <xf numFmtId="0" fontId="25" fillId="3" borderId="0" xfId="0" applyFont="1" applyFill="1" applyAlignment="1">
      <alignment horizontal="center" vertical="center"/>
    </xf>
    <xf numFmtId="0" fontId="32" fillId="3" borderId="0" xfId="0" applyFont="1" applyFill="1" applyAlignment="1">
      <alignment horizontal="center" vertical="center" wrapText="1"/>
    </xf>
    <xf numFmtId="43" fontId="22" fillId="0" borderId="0" xfId="1" applyFont="1" applyAlignment="1">
      <alignment vertical="center"/>
    </xf>
    <xf numFmtId="43" fontId="21" fillId="0" borderId="0" xfId="1" applyFont="1" applyAlignment="1">
      <alignment horizontal="center" vertical="center"/>
    </xf>
    <xf numFmtId="0" fontId="1" fillId="0" borderId="0" xfId="8" applyAlignment="1">
      <alignment wrapText="1"/>
    </xf>
    <xf numFmtId="0" fontId="7" fillId="0" borderId="4" xfId="0" applyFont="1" applyBorder="1" applyAlignment="1">
      <alignment horizontal="left" vertical="center" wrapText="1" readingOrder="1"/>
    </xf>
    <xf numFmtId="0" fontId="5" fillId="2" borderId="7" xfId="0" applyFont="1" applyFill="1" applyBorder="1" applyAlignment="1">
      <alignment horizontal="center" vertical="center" wrapText="1" readingOrder="1"/>
    </xf>
    <xf numFmtId="0" fontId="7" fillId="2" borderId="1" xfId="0" applyFont="1" applyFill="1" applyBorder="1" applyAlignment="1">
      <alignment horizontal="left" vertical="center" wrapText="1" readingOrder="1"/>
    </xf>
    <xf numFmtId="0" fontId="7" fillId="2" borderId="2"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13" fillId="2" borderId="0" xfId="0" applyFont="1" applyFill="1" applyAlignment="1">
      <alignment horizontal="left" vertical="center" wrapText="1" readingOrder="1"/>
    </xf>
    <xf numFmtId="0" fontId="13" fillId="0" borderId="1" xfId="0" applyFont="1" applyBorder="1" applyAlignment="1">
      <alignment horizontal="left" vertical="center" wrapText="1" readingOrder="1"/>
    </xf>
    <xf numFmtId="0" fontId="13" fillId="0" borderId="3" xfId="0" applyFont="1" applyBorder="1" applyAlignment="1">
      <alignment horizontal="left" vertical="center" wrapText="1" readingOrder="1"/>
    </xf>
    <xf numFmtId="0" fontId="16" fillId="0" borderId="7" xfId="0" applyFont="1" applyBorder="1" applyAlignment="1">
      <alignment horizontal="center" vertical="center" wrapText="1" readingOrder="1"/>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3" fillId="0" borderId="7" xfId="0" applyFont="1" applyBorder="1" applyAlignment="1">
      <alignment horizontal="left" vertical="center" wrapText="1" readingOrder="1"/>
    </xf>
    <xf numFmtId="0" fontId="13" fillId="0" borderId="8" xfId="0" applyFont="1" applyBorder="1" applyAlignment="1">
      <alignment horizontal="left" vertical="center" wrapText="1" readingOrder="1"/>
    </xf>
    <xf numFmtId="0" fontId="13" fillId="0" borderId="10" xfId="0" applyFont="1" applyBorder="1" applyAlignment="1">
      <alignment horizontal="left" vertical="center" wrapText="1" readingOrder="1"/>
    </xf>
    <xf numFmtId="0" fontId="13" fillId="0" borderId="9" xfId="0" applyFont="1" applyBorder="1" applyAlignment="1">
      <alignment horizontal="left" vertical="center" wrapText="1" readingOrder="1"/>
    </xf>
    <xf numFmtId="0" fontId="13" fillId="2" borderId="7" xfId="0" applyFont="1" applyFill="1" applyBorder="1" applyAlignment="1">
      <alignment horizontal="left" vertical="center" wrapText="1" readingOrder="1"/>
    </xf>
    <xf numFmtId="0" fontId="16" fillId="2" borderId="7" xfId="0" applyFont="1" applyFill="1" applyBorder="1" applyAlignment="1">
      <alignment horizontal="center"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13" fillId="2" borderId="8" xfId="0" applyFont="1" applyFill="1" applyBorder="1" applyAlignment="1">
      <alignment horizontal="left" vertical="center" wrapText="1" readingOrder="1"/>
    </xf>
    <xf numFmtId="0" fontId="13" fillId="2" borderId="9" xfId="0" applyFont="1" applyFill="1" applyBorder="1" applyAlignment="1">
      <alignment horizontal="left" vertical="center" wrapText="1" readingOrder="1"/>
    </xf>
    <xf numFmtId="0" fontId="13" fillId="2" borderId="10" xfId="0" applyFont="1" applyFill="1" applyBorder="1" applyAlignment="1">
      <alignment horizontal="left" vertical="center" wrapText="1" readingOrder="1"/>
    </xf>
    <xf numFmtId="0" fontId="6" fillId="2" borderId="0" xfId="0" quotePrefix="1" applyFont="1" applyFill="1" applyAlignment="1">
      <alignment horizontal="left" vertical="center" wrapText="1" readingOrder="1"/>
    </xf>
    <xf numFmtId="0" fontId="13" fillId="2" borderId="0" xfId="0" applyFont="1" applyFill="1" applyAlignment="1">
      <alignment horizontal="justify" vertical="top" wrapText="1" readingOrder="1"/>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20" fillId="0" borderId="10" xfId="6" applyFont="1" applyBorder="1" applyAlignment="1">
      <alignment horizontal="center" vertical="center"/>
    </xf>
    <xf numFmtId="0" fontId="20" fillId="0" borderId="7" xfId="6" applyFont="1" applyBorder="1" applyAlignment="1">
      <alignment horizontal="center" vertical="center"/>
    </xf>
    <xf numFmtId="0" fontId="19" fillId="0" borderId="8" xfId="0" applyFont="1" applyBorder="1" applyAlignment="1">
      <alignment horizontal="left" vertical="center" readingOrder="1"/>
    </xf>
    <xf numFmtId="0" fontId="19" fillId="0" borderId="9" xfId="0" applyFont="1" applyBorder="1" applyAlignment="1">
      <alignment horizontal="left" vertical="center" readingOrder="1"/>
    </xf>
    <xf numFmtId="0" fontId="19" fillId="0" borderId="10" xfId="0" applyFont="1" applyBorder="1" applyAlignment="1">
      <alignment horizontal="left" vertical="center" readingOrder="1"/>
    </xf>
    <xf numFmtId="0" fontId="20" fillId="0" borderId="8" xfId="6" applyFont="1" applyBorder="1" applyAlignment="1">
      <alignment horizontal="center" vertical="center" wrapText="1"/>
    </xf>
    <xf numFmtId="0" fontId="20" fillId="0" borderId="10" xfId="6" applyFont="1" applyBorder="1" applyAlignment="1">
      <alignment horizontal="center" vertical="center" wrapText="1"/>
    </xf>
    <xf numFmtId="0" fontId="21" fillId="0" borderId="8" xfId="4" applyNumberFormat="1" applyFont="1" applyFill="1" applyBorder="1" applyAlignment="1">
      <alignment horizontal="center" vertical="center"/>
    </xf>
    <xf numFmtId="0" fontId="21" fillId="0" borderId="10" xfId="4" applyNumberFormat="1" applyFont="1" applyFill="1" applyBorder="1" applyAlignment="1">
      <alignment horizontal="center" vertical="center"/>
    </xf>
    <xf numFmtId="0" fontId="21" fillId="0" borderId="8" xfId="6" applyFont="1" applyBorder="1" applyAlignment="1">
      <alignment horizontal="left" vertical="center" wrapText="1"/>
    </xf>
    <xf numFmtId="0" fontId="21" fillId="0" borderId="9" xfId="6" applyFont="1" applyBorder="1" applyAlignment="1">
      <alignment horizontal="left" vertical="center" wrapText="1"/>
    </xf>
    <xf numFmtId="0" fontId="21" fillId="0" borderId="10" xfId="6" applyFont="1" applyBorder="1" applyAlignment="1">
      <alignment horizontal="left" vertical="center" wrapText="1"/>
    </xf>
  </cellXfs>
  <cellStyles count="11">
    <cellStyle name="Comma" xfId="1" builtinId="3"/>
    <cellStyle name="Comma 2" xfId="4" xr:uid="{EDF49FBE-24A2-4679-B536-47FECD05530D}"/>
    <cellStyle name="Hyperlink 2" xfId="10" xr:uid="{3ECD9B87-2A96-444A-9ED0-7860C01D0AC7}"/>
    <cellStyle name="Normal" xfId="0" builtinId="0"/>
    <cellStyle name="Normal 2" xfId="3" xr:uid="{2701EB15-8EE8-43D1-AB1D-44C848C17477}"/>
    <cellStyle name="Normal 2 2" xfId="8" xr:uid="{3FFD79C5-DF42-4934-A1B2-383352488261}"/>
    <cellStyle name="Normal 2 2 3" xfId="6" xr:uid="{AE46523C-936D-41A2-AD2D-987BBFFFFFA9}"/>
    <cellStyle name="Normal 2 3" xfId="9" xr:uid="{E80B42EC-9FCA-465D-A788-4FFB6391982B}"/>
    <cellStyle name="Normal 3" xfId="2" xr:uid="{00000000-0005-0000-0000-000002000000}"/>
    <cellStyle name="Percent 2" xfId="7" xr:uid="{7A18C2EF-9ECF-4927-A0F4-7AF207CB1625}"/>
    <cellStyle name="Percent 3" xfId="5" xr:uid="{F5EAAD56-DEEC-4A80-9559-BCBB7E6EF3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0</xdr:rowOff>
    </xdr:to>
    <xdr:pic>
      <xdr:nvPicPr>
        <xdr:cNvPr id="5" name="Picture 4">
          <a:extLst>
            <a:ext uri="{FF2B5EF4-FFF2-40B4-BE49-F238E27FC236}">
              <a16:creationId xmlns:a16="http://schemas.microsoft.com/office/drawing/2014/main" id="{44559C1E-F9DC-49EF-9F14-6CA6252187F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429625" y="3028949"/>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12</xdr:row>
      <xdr:rowOff>76200</xdr:rowOff>
    </xdr:to>
    <xdr:pic>
      <xdr:nvPicPr>
        <xdr:cNvPr id="6" name="Picture 5">
          <a:extLst>
            <a:ext uri="{FF2B5EF4-FFF2-40B4-BE49-F238E27FC236}">
              <a16:creationId xmlns:a16="http://schemas.microsoft.com/office/drawing/2014/main" id="{DC64B6F7-A911-4115-A2F8-E14818FB85A2}"/>
            </a:ext>
          </a:extLst>
        </xdr:cNvPr>
        <xdr:cNvPicPr preferRelativeResize="0">
          <a:picLocks noChangeAspect="1"/>
        </xdr:cNvPicPr>
      </xdr:nvPicPr>
      <xdr:blipFill>
        <a:blip xmlns:r="http://schemas.openxmlformats.org/officeDocument/2006/relationships" r:embed="rId2"/>
        <a:stretch>
          <a:fillRect/>
        </a:stretch>
      </xdr:blipFill>
      <xdr:spPr>
        <a:xfrm>
          <a:off x="841375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34</xdr:row>
      <xdr:rowOff>161925</xdr:rowOff>
    </xdr:to>
    <xdr:pic>
      <xdr:nvPicPr>
        <xdr:cNvPr id="7" name="Picture 6">
          <a:extLst>
            <a:ext uri="{FF2B5EF4-FFF2-40B4-BE49-F238E27FC236}">
              <a16:creationId xmlns:a16="http://schemas.microsoft.com/office/drawing/2014/main" id="{6972688E-B731-47D2-8C15-3FA6774C373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458200" y="52863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57150</xdr:rowOff>
    </xdr:from>
    <xdr:to>
      <xdr:col>9</xdr:col>
      <xdr:colOff>3314700</xdr:colOff>
      <xdr:row>33</xdr:row>
      <xdr:rowOff>352425</xdr:rowOff>
    </xdr:to>
    <xdr:pic>
      <xdr:nvPicPr>
        <xdr:cNvPr id="2" name="Picture 1">
          <a:extLst>
            <a:ext uri="{FF2B5EF4-FFF2-40B4-BE49-F238E27FC236}">
              <a16:creationId xmlns:a16="http://schemas.microsoft.com/office/drawing/2014/main" id="{B03E3BB9-5179-4C66-A920-215AAA7474A3}"/>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0" y="6286500"/>
          <a:ext cx="323850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161926</xdr:rowOff>
    </xdr:from>
    <xdr:to>
      <xdr:col>9</xdr:col>
      <xdr:colOff>3333750</xdr:colOff>
      <xdr:row>26</xdr:row>
      <xdr:rowOff>0</xdr:rowOff>
    </xdr:to>
    <xdr:pic>
      <xdr:nvPicPr>
        <xdr:cNvPr id="3" name="Picture 2">
          <a:extLst>
            <a:ext uri="{FF2B5EF4-FFF2-40B4-BE49-F238E27FC236}">
              <a16:creationId xmlns:a16="http://schemas.microsoft.com/office/drawing/2014/main" id="{0A1D5FC9-E9B1-4F7B-9458-2A3649A39C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69591" y="341947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11</xdr:row>
      <xdr:rowOff>133350</xdr:rowOff>
    </xdr:to>
    <xdr:pic>
      <xdr:nvPicPr>
        <xdr:cNvPr id="4" name="Picture 3">
          <a:extLst>
            <a:ext uri="{FF2B5EF4-FFF2-40B4-BE49-F238E27FC236}">
              <a16:creationId xmlns:a16="http://schemas.microsoft.com/office/drawing/2014/main" id="{0EB94D6F-459D-4C56-8B89-AEC767CCA5D6}"/>
            </a:ext>
          </a:extLst>
        </xdr:cNvPr>
        <xdr:cNvPicPr>
          <a:picLocks noChangeAspect="1"/>
        </xdr:cNvPicPr>
      </xdr:nvPicPr>
      <xdr:blipFill>
        <a:blip xmlns:r="http://schemas.openxmlformats.org/officeDocument/2006/relationships" r:embed="rId3"/>
        <a:stretch>
          <a:fillRect/>
        </a:stretch>
      </xdr:blipFill>
      <xdr:spPr>
        <a:xfrm>
          <a:off x="8324850" y="53340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38</xdr:row>
      <xdr:rowOff>104776</xdr:rowOff>
    </xdr:to>
    <xdr:pic>
      <xdr:nvPicPr>
        <xdr:cNvPr id="2" name="Picture 1">
          <a:extLst>
            <a:ext uri="{FF2B5EF4-FFF2-40B4-BE49-F238E27FC236}">
              <a16:creationId xmlns:a16="http://schemas.microsoft.com/office/drawing/2014/main" id="{6DD8014C-B0A2-4240-ACD1-2FB7FDE675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34375" y="58959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11</xdr:row>
      <xdr:rowOff>171449</xdr:rowOff>
    </xdr:to>
    <xdr:pic>
      <xdr:nvPicPr>
        <xdr:cNvPr id="3" name="Picture 2">
          <a:extLst>
            <a:ext uri="{FF2B5EF4-FFF2-40B4-BE49-F238E27FC236}">
              <a16:creationId xmlns:a16="http://schemas.microsoft.com/office/drawing/2014/main" id="{2DCA07C7-C367-4D67-8102-E9915FA94C28}"/>
            </a:ext>
          </a:extLst>
        </xdr:cNvPr>
        <xdr:cNvPicPr preferRelativeResize="0">
          <a:picLocks noChangeAspect="1"/>
        </xdr:cNvPicPr>
      </xdr:nvPicPr>
      <xdr:blipFill>
        <a:blip xmlns:r="http://schemas.openxmlformats.org/officeDocument/2006/relationships" r:embed="rId2"/>
        <a:stretch>
          <a:fillRect/>
        </a:stretch>
      </xdr:blipFill>
      <xdr:spPr>
        <a:xfrm>
          <a:off x="8324849" y="54292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25</xdr:row>
      <xdr:rowOff>63499</xdr:rowOff>
    </xdr:to>
    <xdr:pic>
      <xdr:nvPicPr>
        <xdr:cNvPr id="4" name="Picture 2">
          <a:extLst>
            <a:ext uri="{FF2B5EF4-FFF2-40B4-BE49-F238E27FC236}">
              <a16:creationId xmlns:a16="http://schemas.microsoft.com/office/drawing/2014/main" id="{633F1CF2-8330-4C57-A513-0FA719C9F5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28025" y="3311525"/>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32</xdr:row>
      <xdr:rowOff>228600</xdr:rowOff>
    </xdr:to>
    <xdr:pic>
      <xdr:nvPicPr>
        <xdr:cNvPr id="2" name="Picture 1">
          <a:extLst>
            <a:ext uri="{FF2B5EF4-FFF2-40B4-BE49-F238E27FC236}">
              <a16:creationId xmlns:a16="http://schemas.microsoft.com/office/drawing/2014/main" id="{D316BCDE-F466-4F51-96BB-F83B4ED340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91625" y="5591176"/>
          <a:ext cx="323850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xdr:row>
      <xdr:rowOff>85726</xdr:rowOff>
    </xdr:from>
    <xdr:to>
      <xdr:col>9</xdr:col>
      <xdr:colOff>3314701</xdr:colOff>
      <xdr:row>11</xdr:row>
      <xdr:rowOff>66676</xdr:rowOff>
    </xdr:to>
    <xdr:pic>
      <xdr:nvPicPr>
        <xdr:cNvPr id="3" name="Picture 2">
          <a:extLst>
            <a:ext uri="{FF2B5EF4-FFF2-40B4-BE49-F238E27FC236}">
              <a16:creationId xmlns:a16="http://schemas.microsoft.com/office/drawing/2014/main" id="{3AA26ACD-54D0-4C8D-80A6-58C308EE4C23}"/>
            </a:ext>
          </a:extLst>
        </xdr:cNvPr>
        <xdr:cNvPicPr preferRelativeResize="0">
          <a:picLocks noChangeAspect="1"/>
        </xdr:cNvPicPr>
      </xdr:nvPicPr>
      <xdr:blipFill>
        <a:blip xmlns:r="http://schemas.openxmlformats.org/officeDocument/2006/relationships" r:embed="rId2"/>
        <a:stretch>
          <a:fillRect/>
        </a:stretch>
      </xdr:blipFill>
      <xdr:spPr>
        <a:xfrm>
          <a:off x="9182101" y="523876"/>
          <a:ext cx="3238500" cy="1962150"/>
        </a:xfrm>
        <a:prstGeom prst="rect">
          <a:avLst/>
        </a:prstGeom>
      </xdr:spPr>
    </xdr:pic>
    <xdr:clientData/>
  </xdr:twoCellAnchor>
  <xdr:twoCellAnchor editAs="oneCell">
    <xdr:from>
      <xdr:col>9</xdr:col>
      <xdr:colOff>76201</xdr:colOff>
      <xdr:row>14</xdr:row>
      <xdr:rowOff>66675</xdr:rowOff>
    </xdr:from>
    <xdr:to>
      <xdr:col>9</xdr:col>
      <xdr:colOff>3324225</xdr:colOff>
      <xdr:row>24</xdr:row>
      <xdr:rowOff>56638</xdr:rowOff>
    </xdr:to>
    <xdr:pic>
      <xdr:nvPicPr>
        <xdr:cNvPr id="4" name="Picture 2">
          <a:extLst>
            <a:ext uri="{FF2B5EF4-FFF2-40B4-BE49-F238E27FC236}">
              <a16:creationId xmlns:a16="http://schemas.microsoft.com/office/drawing/2014/main" id="{E7E65228-A619-4FD9-89B5-31AF4B785ED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82101" y="315277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39</xdr:row>
      <xdr:rowOff>9525</xdr:rowOff>
    </xdr:to>
    <xdr:pic>
      <xdr:nvPicPr>
        <xdr:cNvPr id="2" name="Picture 1">
          <a:extLst>
            <a:ext uri="{FF2B5EF4-FFF2-40B4-BE49-F238E27FC236}">
              <a16:creationId xmlns:a16="http://schemas.microsoft.com/office/drawing/2014/main" id="{3E4AC0A6-745A-4433-9EAC-7A3205CA3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5734050"/>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25</xdr:row>
      <xdr:rowOff>85214</xdr:rowOff>
    </xdr:to>
    <xdr:pic>
      <xdr:nvPicPr>
        <xdr:cNvPr id="3" name="Picture 2">
          <a:extLst>
            <a:ext uri="{FF2B5EF4-FFF2-40B4-BE49-F238E27FC236}">
              <a16:creationId xmlns:a16="http://schemas.microsoft.com/office/drawing/2014/main" id="{478874E0-2FC2-42B3-B1E7-C7BF61735C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0" y="32004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57150</xdr:rowOff>
    </xdr:from>
    <xdr:to>
      <xdr:col>9</xdr:col>
      <xdr:colOff>3305175</xdr:colOff>
      <xdr:row>11</xdr:row>
      <xdr:rowOff>171449</xdr:rowOff>
    </xdr:to>
    <xdr:pic>
      <xdr:nvPicPr>
        <xdr:cNvPr id="4" name="Picture 3">
          <a:extLst>
            <a:ext uri="{FF2B5EF4-FFF2-40B4-BE49-F238E27FC236}">
              <a16:creationId xmlns:a16="http://schemas.microsoft.com/office/drawing/2014/main" id="{D816AD60-1943-4C39-AEC3-DB03138209BC}"/>
            </a:ext>
          </a:extLst>
        </xdr:cNvPr>
        <xdr:cNvPicPr>
          <a:picLocks noChangeAspect="1"/>
        </xdr:cNvPicPr>
      </xdr:nvPicPr>
      <xdr:blipFill>
        <a:blip xmlns:r="http://schemas.openxmlformats.org/officeDocument/2006/relationships" r:embed="rId3"/>
        <a:stretch>
          <a:fillRect/>
        </a:stretch>
      </xdr:blipFill>
      <xdr:spPr>
        <a:xfrm>
          <a:off x="9086850" y="495300"/>
          <a:ext cx="3248025" cy="20954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24</xdr:row>
      <xdr:rowOff>142875</xdr:rowOff>
    </xdr:to>
    <xdr:pic>
      <xdr:nvPicPr>
        <xdr:cNvPr id="2" name="Picture 2">
          <a:extLst>
            <a:ext uri="{FF2B5EF4-FFF2-40B4-BE49-F238E27FC236}">
              <a16:creationId xmlns:a16="http://schemas.microsoft.com/office/drawing/2014/main" id="{D6D1E556-C509-4430-9C17-FB454289EF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800" y="319087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66676</xdr:colOff>
      <xdr:row>27</xdr:row>
      <xdr:rowOff>95249</xdr:rowOff>
    </xdr:from>
    <xdr:to>
      <xdr:col>9</xdr:col>
      <xdr:colOff>3343276</xdr:colOff>
      <xdr:row>33</xdr:row>
      <xdr:rowOff>25398</xdr:rowOff>
    </xdr:to>
    <xdr:pic>
      <xdr:nvPicPr>
        <xdr:cNvPr id="3" name="Picture 2">
          <a:extLst>
            <a:ext uri="{FF2B5EF4-FFF2-40B4-BE49-F238E27FC236}">
              <a16:creationId xmlns:a16="http://schemas.microsoft.com/office/drawing/2014/main" id="{3804E468-9556-4318-9731-D3FDDF2F69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15326" y="5600699"/>
          <a:ext cx="3276600"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38101</xdr:colOff>
      <xdr:row>2</xdr:row>
      <xdr:rowOff>152400</xdr:rowOff>
    </xdr:from>
    <xdr:to>
      <xdr:col>9</xdr:col>
      <xdr:colOff>3314701</xdr:colOff>
      <xdr:row>13</xdr:row>
      <xdr:rowOff>3175</xdr:rowOff>
    </xdr:to>
    <xdr:pic>
      <xdr:nvPicPr>
        <xdr:cNvPr id="4" name="Picture 3">
          <a:extLst>
            <a:ext uri="{FF2B5EF4-FFF2-40B4-BE49-F238E27FC236}">
              <a16:creationId xmlns:a16="http://schemas.microsoft.com/office/drawing/2014/main" id="{C33584DB-85E5-4ED8-8A72-B25BA272DDD1}"/>
            </a:ext>
          </a:extLst>
        </xdr:cNvPr>
        <xdr:cNvPicPr preferRelativeResize="0">
          <a:picLocks noChangeAspect="1"/>
        </xdr:cNvPicPr>
      </xdr:nvPicPr>
      <xdr:blipFill>
        <a:blip xmlns:r="http://schemas.openxmlformats.org/officeDocument/2006/relationships" r:embed="rId3"/>
        <a:stretch>
          <a:fillRect/>
        </a:stretch>
      </xdr:blipFill>
      <xdr:spPr>
        <a:xfrm>
          <a:off x="8286751" y="590550"/>
          <a:ext cx="32766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32</xdr:row>
      <xdr:rowOff>292099</xdr:rowOff>
    </xdr:to>
    <xdr:pic>
      <xdr:nvPicPr>
        <xdr:cNvPr id="2" name="Picture 1">
          <a:extLst>
            <a:ext uri="{FF2B5EF4-FFF2-40B4-BE49-F238E27FC236}">
              <a16:creationId xmlns:a16="http://schemas.microsoft.com/office/drawing/2014/main" id="{698EB89A-C018-4962-9BDF-5413BD2BE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2077" y="5657850"/>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25</xdr:row>
      <xdr:rowOff>66677</xdr:rowOff>
    </xdr:to>
    <xdr:pic>
      <xdr:nvPicPr>
        <xdr:cNvPr id="3" name="Picture 2">
          <a:extLst>
            <a:ext uri="{FF2B5EF4-FFF2-40B4-BE49-F238E27FC236}">
              <a16:creationId xmlns:a16="http://schemas.microsoft.com/office/drawing/2014/main" id="{C70B8EE5-34B5-4E56-B174-6F1817A86B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5" y="3267076"/>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95251</xdr:rowOff>
    </xdr:from>
    <xdr:to>
      <xdr:col>9</xdr:col>
      <xdr:colOff>3343275</xdr:colOff>
      <xdr:row>12</xdr:row>
      <xdr:rowOff>133351</xdr:rowOff>
    </xdr:to>
    <xdr:pic>
      <xdr:nvPicPr>
        <xdr:cNvPr id="4" name="Picture 3">
          <a:extLst>
            <a:ext uri="{FF2B5EF4-FFF2-40B4-BE49-F238E27FC236}">
              <a16:creationId xmlns:a16="http://schemas.microsoft.com/office/drawing/2014/main" id="{DAADF4D5-7724-4AD9-86DF-340287F2BFCE}"/>
            </a:ext>
          </a:extLst>
        </xdr:cNvPr>
        <xdr:cNvPicPr preferRelativeResize="0">
          <a:picLocks noChangeAspect="1"/>
        </xdr:cNvPicPr>
      </xdr:nvPicPr>
      <xdr:blipFill>
        <a:blip xmlns:r="http://schemas.openxmlformats.org/officeDocument/2006/relationships" r:embed="rId3"/>
        <a:stretch>
          <a:fillRect/>
        </a:stretch>
      </xdr:blipFill>
      <xdr:spPr>
        <a:xfrm>
          <a:off x="8963025" y="533401"/>
          <a:ext cx="3305175" cy="2047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0C7499C4-8BAD-4D61-ACC5-73DAA9D6A7B3}"/>
            </a:ext>
          </a:extLst>
        </xdr:cNvPr>
        <xdr:cNvPicPr>
          <a:picLocks noChangeAspect="1"/>
        </xdr:cNvPicPr>
      </xdr:nvPicPr>
      <xdr:blipFill>
        <a:blip xmlns:r="http://schemas.openxmlformats.org/officeDocument/2006/relationships" r:embed="rId1"/>
        <a:stretch>
          <a:fillRect/>
        </a:stretch>
      </xdr:blipFill>
      <xdr:spPr>
        <a:xfrm>
          <a:off x="9058276" y="49530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8989BC30-C596-4D78-BB68-6C23C1E2A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77325" y="5619751"/>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C9BA9F80-4439-4572-BC3D-9BEF496784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86852" y="312420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66675</xdr:colOff>
      <xdr:row>13</xdr:row>
      <xdr:rowOff>47625</xdr:rowOff>
    </xdr:from>
    <xdr:to>
      <xdr:col>9</xdr:col>
      <xdr:colOff>3333751</xdr:colOff>
      <xdr:row>19</xdr:row>
      <xdr:rowOff>331814</xdr:rowOff>
    </xdr:to>
    <xdr:pic>
      <xdr:nvPicPr>
        <xdr:cNvPr id="2" name="Picture 1">
          <a:extLst>
            <a:ext uri="{FF2B5EF4-FFF2-40B4-BE49-F238E27FC236}">
              <a16:creationId xmlns:a16="http://schemas.microsoft.com/office/drawing/2014/main" id="{E61B3592-DEB3-45DD-9201-51C2F3085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3305175"/>
          <a:ext cx="326707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66675</xdr:rowOff>
    </xdr:from>
    <xdr:to>
      <xdr:col>9</xdr:col>
      <xdr:colOff>3324226</xdr:colOff>
      <xdr:row>11</xdr:row>
      <xdr:rowOff>123826</xdr:rowOff>
    </xdr:to>
    <xdr:pic>
      <xdr:nvPicPr>
        <xdr:cNvPr id="3" name="Picture 2">
          <a:extLst>
            <a:ext uri="{FF2B5EF4-FFF2-40B4-BE49-F238E27FC236}">
              <a16:creationId xmlns:a16="http://schemas.microsoft.com/office/drawing/2014/main" id="{A15233FA-09A9-4D0E-B371-03C85824A8F0}"/>
            </a:ext>
          </a:extLst>
        </xdr:cNvPr>
        <xdr:cNvPicPr>
          <a:picLocks/>
        </xdr:cNvPicPr>
      </xdr:nvPicPr>
      <xdr:blipFill>
        <a:blip xmlns:r="http://schemas.openxmlformats.org/officeDocument/2006/relationships" r:embed="rId2"/>
        <a:stretch>
          <a:fillRect/>
        </a:stretch>
      </xdr:blipFill>
      <xdr:spPr>
        <a:xfrm>
          <a:off x="8553450" y="50482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14</xdr:row>
      <xdr:rowOff>66675</xdr:rowOff>
    </xdr:from>
    <xdr:to>
      <xdr:col>9</xdr:col>
      <xdr:colOff>3324225</xdr:colOff>
      <xdr:row>24</xdr:row>
      <xdr:rowOff>66675</xdr:rowOff>
    </xdr:to>
    <xdr:pic>
      <xdr:nvPicPr>
        <xdr:cNvPr id="2" name="Picture 1">
          <a:extLst>
            <a:ext uri="{FF2B5EF4-FFF2-40B4-BE49-F238E27FC236}">
              <a16:creationId xmlns:a16="http://schemas.microsoft.com/office/drawing/2014/main" id="{E6065D27-50B0-4E65-B018-A9A48555A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0576" y="30003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27</xdr:row>
      <xdr:rowOff>9527</xdr:rowOff>
    </xdr:from>
    <xdr:ext cx="3286125" cy="1657348"/>
    <xdr:pic>
      <xdr:nvPicPr>
        <xdr:cNvPr id="3" name="Picture 2">
          <a:extLst>
            <a:ext uri="{FF2B5EF4-FFF2-40B4-BE49-F238E27FC236}">
              <a16:creationId xmlns:a16="http://schemas.microsoft.com/office/drawing/2014/main" id="{0EC618B0-9A15-433E-A0A6-15EA94A06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2474" y="5362577"/>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19050</xdr:rowOff>
    </xdr:to>
    <xdr:pic>
      <xdr:nvPicPr>
        <xdr:cNvPr id="4" name="Picture 3">
          <a:extLst>
            <a:ext uri="{FF2B5EF4-FFF2-40B4-BE49-F238E27FC236}">
              <a16:creationId xmlns:a16="http://schemas.microsoft.com/office/drawing/2014/main" id="{82182AD6-D54B-470C-B186-126F7874647A}"/>
            </a:ext>
          </a:extLst>
        </xdr:cNvPr>
        <xdr:cNvPicPr>
          <a:picLocks noChangeAspect="1"/>
        </xdr:cNvPicPr>
      </xdr:nvPicPr>
      <xdr:blipFill>
        <a:blip xmlns:r="http://schemas.openxmlformats.org/officeDocument/2006/relationships" r:embed="rId2"/>
        <a:stretch>
          <a:fillRect/>
        </a:stretch>
      </xdr:blipFill>
      <xdr:spPr>
        <a:xfrm>
          <a:off x="8372475" y="48577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D01C-D15A-467A-91EB-78DF721EBC7C}">
  <dimension ref="A1:C11"/>
  <sheetViews>
    <sheetView tabSelected="1" workbookViewId="0">
      <selection activeCell="C7" sqref="C7"/>
    </sheetView>
  </sheetViews>
  <sheetFormatPr defaultColWidth="8.85546875" defaultRowHeight="15" x14ac:dyDescent="0.25"/>
  <cols>
    <col min="1" max="1" width="6.140625" style="112" bestFit="1" customWidth="1"/>
    <col min="2" max="2" width="10.85546875" style="112" bestFit="1" customWidth="1"/>
    <col min="3" max="3" width="35" style="112" bestFit="1" customWidth="1"/>
    <col min="4" max="16384" width="8.85546875" style="112"/>
  </cols>
  <sheetData>
    <row r="1" spans="1:3" x14ac:dyDescent="0.25">
      <c r="A1" s="110" t="s">
        <v>550</v>
      </c>
      <c r="B1" s="111" t="s">
        <v>551</v>
      </c>
      <c r="C1" s="111" t="s">
        <v>552</v>
      </c>
    </row>
    <row r="2" spans="1:3" x14ac:dyDescent="0.25">
      <c r="A2" s="113">
        <v>1</v>
      </c>
      <c r="B2" s="114" t="s">
        <v>553</v>
      </c>
      <c r="C2" s="115" t="s">
        <v>1</v>
      </c>
    </row>
    <row r="3" spans="1:3" x14ac:dyDescent="0.25">
      <c r="A3" s="113">
        <v>2</v>
      </c>
      <c r="B3" s="114" t="s">
        <v>554</v>
      </c>
      <c r="C3" s="115" t="s">
        <v>101</v>
      </c>
    </row>
    <row r="4" spans="1:3" x14ac:dyDescent="0.25">
      <c r="A4" s="113">
        <v>3</v>
      </c>
      <c r="B4" s="114" t="s">
        <v>555</v>
      </c>
      <c r="C4" s="115" t="s">
        <v>135</v>
      </c>
    </row>
    <row r="5" spans="1:3" x14ac:dyDescent="0.25">
      <c r="A5" s="113">
        <v>4</v>
      </c>
      <c r="B5" s="114" t="s">
        <v>556</v>
      </c>
      <c r="C5" s="115" t="s">
        <v>162</v>
      </c>
    </row>
    <row r="6" spans="1:3" x14ac:dyDescent="0.25">
      <c r="A6" s="113">
        <v>5</v>
      </c>
      <c r="B6" s="114" t="s">
        <v>557</v>
      </c>
      <c r="C6" s="115" t="s">
        <v>227</v>
      </c>
    </row>
    <row r="7" spans="1:3" x14ac:dyDescent="0.25">
      <c r="A7" s="113">
        <v>6</v>
      </c>
      <c r="B7" s="114" t="s">
        <v>558</v>
      </c>
      <c r="C7" s="115" t="s">
        <v>346</v>
      </c>
    </row>
    <row r="8" spans="1:3" x14ac:dyDescent="0.25">
      <c r="A8" s="113">
        <v>7</v>
      </c>
      <c r="B8" s="114" t="s">
        <v>559</v>
      </c>
      <c r="C8" s="115" t="s">
        <v>360</v>
      </c>
    </row>
    <row r="9" spans="1:3" x14ac:dyDescent="0.25">
      <c r="A9" s="113">
        <v>8</v>
      </c>
      <c r="B9" s="114" t="s">
        <v>560</v>
      </c>
      <c r="C9" s="115" t="s">
        <v>417</v>
      </c>
    </row>
    <row r="10" spans="1:3" x14ac:dyDescent="0.25">
      <c r="A10" s="113">
        <v>9</v>
      </c>
      <c r="B10" s="114" t="s">
        <v>561</v>
      </c>
      <c r="C10" s="115" t="s">
        <v>423</v>
      </c>
    </row>
    <row r="11" spans="1:3" x14ac:dyDescent="0.25">
      <c r="A11" s="113">
        <v>10</v>
      </c>
      <c r="B11" s="114" t="s">
        <v>562</v>
      </c>
      <c r="C11" s="115" t="s">
        <v>465</v>
      </c>
    </row>
  </sheetData>
  <hyperlinks>
    <hyperlink ref="B3" location="SFRSTP!A1" display="SFRSTP" xr:uid="{1ACCC7F4-DBEA-48A4-BCAE-A4A2D80A728E}"/>
    <hyperlink ref="B4" location="SMMF!A1" display="SMMF" xr:uid="{D6263A87-80CB-421D-A30C-9410492A80D4}"/>
    <hyperlink ref="B5" location="SPLDF!A1" display="SPLDF" xr:uid="{CC270276-C318-4E5F-B0AB-37B696F37B80}"/>
    <hyperlink ref="B6" location="SPMON!A1" display="SPMON" xr:uid="{3AD59D48-D666-4740-86BD-8A422C52CA2C}"/>
    <hyperlink ref="B7" location="SPSDF!A1" display="SPSDF" xr:uid="{8C8D3FE0-E9FC-4032-92BB-ECAD9A2C078A}"/>
    <hyperlink ref="B8" location="SPUSDF!A1" display="SPUSDF" xr:uid="{4F891998-752B-4C2C-B391-36DBFC1D577A}"/>
    <hyperlink ref="B9" location="SUNBDS!A1" display="SUNBDS" xr:uid="{A669C879-F641-423A-879F-3D47B7E9F15B}"/>
    <hyperlink ref="B10" location="SUNMIA!A1" display="SUNMIA" xr:uid="{B3BED926-85B1-49F4-8235-26E8881E54B3}"/>
    <hyperlink ref="B11" location="SUNONF!A1" display="SUNONF" xr:uid="{E569ED2C-366B-4D2F-87CB-778C65249E12}"/>
    <hyperlink ref="B2" location="SFRLTP!A1" display="SFRLTP" xr:uid="{4048B01E-48C0-4565-8BBF-0C7FE67405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34"/>
  <sheetViews>
    <sheetView showGridLines="0" workbookViewId="0">
      <selection activeCell="G122" sqref="G122"/>
    </sheetView>
  </sheetViews>
  <sheetFormatPr defaultRowHeight="12.75" x14ac:dyDescent="0.2"/>
  <cols>
    <col min="1" max="1" width="5.85546875" bestFit="1" customWidth="1"/>
    <col min="2" max="2" width="20" bestFit="1" customWidth="1"/>
    <col min="3" max="3" width="39.140625" bestFit="1" customWidth="1"/>
    <col min="4" max="4" width="13" customWidth="1"/>
    <col min="5" max="5" width="9.42578125" bestFit="1" customWidth="1"/>
    <col min="6" max="6" width="10.140625" bestFit="1" customWidth="1"/>
    <col min="7" max="7" width="14" bestFit="1" customWidth="1"/>
    <col min="8" max="8" width="9.42578125" style="43"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1</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6" t="s">
        <v>475</v>
      </c>
      <c r="I4" s="118"/>
      <c r="J4" s="46"/>
    </row>
    <row r="5" spans="1:10" ht="14.1" customHeight="1" x14ac:dyDescent="0.2">
      <c r="A5" s="1"/>
      <c r="B5" s="1"/>
      <c r="C5" s="2" t="s">
        <v>9</v>
      </c>
      <c r="D5" s="1"/>
      <c r="E5" s="1"/>
      <c r="F5" s="1"/>
      <c r="G5" s="1"/>
      <c r="H5" s="35"/>
    </row>
    <row r="6" spans="1:10" x14ac:dyDescent="0.2">
      <c r="A6" s="1"/>
      <c r="B6" s="1"/>
      <c r="C6" s="2" t="s">
        <v>10</v>
      </c>
      <c r="D6" s="1"/>
      <c r="E6" s="1"/>
      <c r="F6" s="1"/>
      <c r="G6" s="1"/>
      <c r="H6" s="35"/>
    </row>
    <row r="7" spans="1:10" ht="14.1" customHeight="1" x14ac:dyDescent="0.2">
      <c r="A7" s="1"/>
      <c r="B7" s="1"/>
      <c r="C7" s="2" t="s">
        <v>11</v>
      </c>
      <c r="D7" s="1"/>
      <c r="E7" s="1" t="s">
        <v>12</v>
      </c>
      <c r="F7" s="3" t="s">
        <v>13</v>
      </c>
      <c r="G7" s="4">
        <v>0</v>
      </c>
      <c r="H7" s="35"/>
    </row>
    <row r="8" spans="1:10" ht="14.1" customHeight="1" x14ac:dyDescent="0.2">
      <c r="A8" s="1"/>
      <c r="B8" s="1"/>
      <c r="C8" s="5"/>
      <c r="D8" s="1"/>
      <c r="E8" s="1"/>
      <c r="F8" s="6"/>
      <c r="G8" s="6"/>
      <c r="H8" s="35"/>
    </row>
    <row r="9" spans="1:10" ht="14.1" customHeight="1" x14ac:dyDescent="0.2">
      <c r="A9" s="1"/>
      <c r="B9" s="1"/>
      <c r="C9" s="2" t="s">
        <v>14</v>
      </c>
      <c r="D9" s="1"/>
      <c r="E9" s="1"/>
      <c r="F9" s="1"/>
      <c r="G9" s="1"/>
      <c r="H9" s="35"/>
    </row>
    <row r="10" spans="1:10" ht="14.1" customHeight="1" x14ac:dyDescent="0.2">
      <c r="A10" s="1"/>
      <c r="B10" s="1"/>
      <c r="C10" s="2" t="s">
        <v>11</v>
      </c>
      <c r="D10" s="1"/>
      <c r="E10" s="1" t="s">
        <v>12</v>
      </c>
      <c r="F10" s="3" t="s">
        <v>13</v>
      </c>
      <c r="G10" s="4">
        <v>0</v>
      </c>
      <c r="H10" s="35"/>
    </row>
    <row r="11" spans="1:10" ht="14.1" customHeight="1" x14ac:dyDescent="0.2">
      <c r="A11" s="1"/>
      <c r="B11" s="1"/>
      <c r="C11" s="5"/>
      <c r="D11" s="1"/>
      <c r="E11" s="1"/>
      <c r="F11" s="6"/>
      <c r="G11" s="6"/>
      <c r="H11" s="35"/>
    </row>
    <row r="12" spans="1:10" ht="14.1" customHeight="1" x14ac:dyDescent="0.2">
      <c r="A12" s="1"/>
      <c r="B12" s="1"/>
      <c r="C12" s="2" t="s">
        <v>15</v>
      </c>
      <c r="D12" s="1"/>
      <c r="E12" s="1"/>
      <c r="F12" s="1"/>
      <c r="G12" s="1"/>
      <c r="H12" s="35"/>
      <c r="J12" s="119"/>
    </row>
    <row r="13" spans="1:10" ht="14.1" customHeight="1" x14ac:dyDescent="0.2">
      <c r="A13" s="1"/>
      <c r="B13" s="1"/>
      <c r="C13" s="2" t="s">
        <v>11</v>
      </c>
      <c r="D13" s="1"/>
      <c r="E13" s="1" t="s">
        <v>12</v>
      </c>
      <c r="F13" s="3" t="s">
        <v>13</v>
      </c>
      <c r="G13" s="4">
        <v>0</v>
      </c>
      <c r="H13" s="35"/>
      <c r="J13" s="120"/>
    </row>
    <row r="14" spans="1:10" ht="14.1" customHeight="1" x14ac:dyDescent="0.2">
      <c r="A14" s="1"/>
      <c r="B14" s="1"/>
      <c r="C14" s="5"/>
      <c r="D14" s="1"/>
      <c r="E14" s="1"/>
      <c r="F14" s="6"/>
      <c r="G14" s="6"/>
      <c r="H14" s="35"/>
    </row>
    <row r="15" spans="1:10" ht="14.1" customHeight="1" x14ac:dyDescent="0.2">
      <c r="A15" s="1"/>
      <c r="B15" s="1"/>
      <c r="C15" s="2" t="s">
        <v>16</v>
      </c>
      <c r="D15" s="1"/>
      <c r="E15" s="1"/>
      <c r="F15" s="1"/>
      <c r="G15" s="1"/>
      <c r="H15" s="35"/>
      <c r="J15" s="120" t="s">
        <v>565</v>
      </c>
    </row>
    <row r="16" spans="1:10" ht="14.1" customHeight="1" x14ac:dyDescent="0.2">
      <c r="A16" s="1"/>
      <c r="B16" s="1"/>
      <c r="C16" s="2" t="s">
        <v>11</v>
      </c>
      <c r="D16" s="1"/>
      <c r="E16" s="1" t="s">
        <v>12</v>
      </c>
      <c r="F16" s="3" t="s">
        <v>13</v>
      </c>
      <c r="G16" s="4">
        <v>0</v>
      </c>
      <c r="H16" s="35"/>
    </row>
    <row r="17" spans="1:10" ht="14.1" customHeight="1" x14ac:dyDescent="0.2">
      <c r="A17" s="1"/>
      <c r="B17" s="1"/>
      <c r="C17" s="5"/>
      <c r="D17" s="1"/>
      <c r="E17" s="1"/>
      <c r="F17" s="6"/>
      <c r="G17" s="6"/>
      <c r="H17" s="35"/>
    </row>
    <row r="18" spans="1:10" ht="14.1" customHeight="1" x14ac:dyDescent="0.2">
      <c r="A18" s="1"/>
      <c r="B18" s="1"/>
      <c r="C18" s="2" t="s">
        <v>17</v>
      </c>
      <c r="D18" s="1"/>
      <c r="E18" s="1"/>
      <c r="F18" s="6"/>
      <c r="G18" s="6"/>
      <c r="H18" s="35"/>
    </row>
    <row r="19" spans="1:10" ht="14.1" customHeight="1" x14ac:dyDescent="0.2">
      <c r="A19" s="1"/>
      <c r="B19" s="1"/>
      <c r="C19" s="2" t="s">
        <v>11</v>
      </c>
      <c r="D19" s="1"/>
      <c r="E19" s="1" t="s">
        <v>12</v>
      </c>
      <c r="F19" s="3" t="s">
        <v>13</v>
      </c>
      <c r="G19" s="4">
        <v>0</v>
      </c>
      <c r="H19" s="35"/>
    </row>
    <row r="20" spans="1:10" ht="14.1" customHeight="1" x14ac:dyDescent="0.2">
      <c r="A20" s="1"/>
      <c r="B20" s="1"/>
      <c r="C20" s="5"/>
      <c r="D20" s="1"/>
      <c r="E20" s="1"/>
      <c r="F20" s="6"/>
      <c r="G20" s="6"/>
      <c r="H20" s="35"/>
    </row>
    <row r="21" spans="1:10" ht="14.1" customHeight="1" x14ac:dyDescent="0.2">
      <c r="A21" s="1"/>
      <c r="B21" s="1"/>
      <c r="C21" s="2" t="s">
        <v>18</v>
      </c>
      <c r="D21" s="1"/>
      <c r="E21" s="1"/>
      <c r="F21" s="6"/>
      <c r="G21" s="6"/>
      <c r="H21" s="35"/>
    </row>
    <row r="22" spans="1:10" ht="14.1" customHeight="1" x14ac:dyDescent="0.2">
      <c r="A22" s="1"/>
      <c r="B22" s="1"/>
      <c r="C22" s="2" t="s">
        <v>11</v>
      </c>
      <c r="D22" s="1"/>
      <c r="E22" s="1" t="s">
        <v>12</v>
      </c>
      <c r="F22" s="3" t="s">
        <v>13</v>
      </c>
      <c r="G22" s="4">
        <v>0</v>
      </c>
      <c r="H22" s="35"/>
      <c r="J22" s="119"/>
    </row>
    <row r="23" spans="1:10" ht="14.1" customHeight="1" x14ac:dyDescent="0.2">
      <c r="A23" s="1"/>
      <c r="B23" s="1"/>
      <c r="C23" s="5"/>
      <c r="D23" s="1"/>
      <c r="E23" s="1"/>
      <c r="F23" s="6"/>
      <c r="G23" s="6"/>
      <c r="H23" s="35"/>
      <c r="J23" s="120"/>
    </row>
    <row r="24" spans="1:10" ht="18" customHeight="1" x14ac:dyDescent="0.2">
      <c r="A24" s="1"/>
      <c r="B24" s="1"/>
      <c r="C24" s="2" t="s">
        <v>19</v>
      </c>
      <c r="D24" s="1"/>
      <c r="E24" s="1"/>
      <c r="F24" s="7">
        <v>0</v>
      </c>
      <c r="G24" s="4">
        <v>0</v>
      </c>
      <c r="H24" s="35"/>
    </row>
    <row r="25" spans="1:10" ht="14.1" customHeight="1" x14ac:dyDescent="0.2">
      <c r="A25" s="1"/>
      <c r="B25" s="1"/>
      <c r="C25" s="5"/>
      <c r="D25" s="1"/>
      <c r="E25" s="1"/>
      <c r="F25" s="6"/>
      <c r="G25" s="6"/>
      <c r="H25" s="35"/>
    </row>
    <row r="26" spans="1:10" ht="14.1" customHeight="1" x14ac:dyDescent="0.2">
      <c r="A26" s="1"/>
      <c r="B26" s="1"/>
      <c r="C26" s="2" t="s">
        <v>20</v>
      </c>
      <c r="D26" s="1"/>
      <c r="E26" s="1"/>
      <c r="F26" s="6"/>
      <c r="G26" s="6"/>
      <c r="H26" s="35"/>
    </row>
    <row r="27" spans="1:10" ht="24" customHeight="1" x14ac:dyDescent="0.2">
      <c r="A27" s="1"/>
      <c r="B27" s="1"/>
      <c r="C27" s="2" t="s">
        <v>10</v>
      </c>
      <c r="D27" s="1"/>
      <c r="E27" s="1"/>
      <c r="F27" s="6"/>
      <c r="G27" s="6"/>
      <c r="H27" s="35"/>
    </row>
    <row r="28" spans="1:10" ht="29.1" customHeight="1" x14ac:dyDescent="0.2">
      <c r="A28" s="8">
        <v>1</v>
      </c>
      <c r="B28" s="9" t="s">
        <v>21</v>
      </c>
      <c r="C28" s="9" t="s">
        <v>22</v>
      </c>
      <c r="D28" s="9" t="s">
        <v>23</v>
      </c>
      <c r="E28" s="10">
        <v>7000</v>
      </c>
      <c r="F28" s="11">
        <v>6950.902</v>
      </c>
      <c r="G28" s="12">
        <v>9.8052109999999998E-2</v>
      </c>
      <c r="H28" s="35">
        <v>7.5749000000000004</v>
      </c>
      <c r="J28" s="120" t="s">
        <v>566</v>
      </c>
    </row>
    <row r="29" spans="1:10" ht="29.1" customHeight="1" x14ac:dyDescent="0.2">
      <c r="A29" s="8">
        <v>2</v>
      </c>
      <c r="B29" s="9" t="s">
        <v>24</v>
      </c>
      <c r="C29" s="9" t="s">
        <v>25</v>
      </c>
      <c r="D29" s="9" t="s">
        <v>23</v>
      </c>
      <c r="E29" s="10">
        <v>6000</v>
      </c>
      <c r="F29" s="11">
        <v>5956.3620000000001</v>
      </c>
      <c r="G29" s="12">
        <v>8.4022749999999993E-2</v>
      </c>
      <c r="H29" s="35">
        <v>7.76</v>
      </c>
    </row>
    <row r="30" spans="1:10" x14ac:dyDescent="0.2">
      <c r="A30" s="8">
        <v>3</v>
      </c>
      <c r="B30" s="9" t="s">
        <v>26</v>
      </c>
      <c r="C30" s="9" t="s">
        <v>27</v>
      </c>
      <c r="D30" s="9" t="s">
        <v>23</v>
      </c>
      <c r="E30" s="10">
        <v>4000</v>
      </c>
      <c r="F30" s="11">
        <v>3984.7080000000001</v>
      </c>
      <c r="G30" s="12">
        <v>5.6209830000000002E-2</v>
      </c>
      <c r="H30" s="35">
        <v>7.59</v>
      </c>
    </row>
    <row r="31" spans="1:10" x14ac:dyDescent="0.2">
      <c r="A31" s="8">
        <v>4</v>
      </c>
      <c r="B31" s="9" t="s">
        <v>28</v>
      </c>
      <c r="C31" s="9" t="s">
        <v>29</v>
      </c>
      <c r="D31" s="9" t="s">
        <v>23</v>
      </c>
      <c r="E31" s="10">
        <v>300</v>
      </c>
      <c r="F31" s="11">
        <v>2983.5569999999998</v>
      </c>
      <c r="G31" s="12">
        <v>4.208721E-2</v>
      </c>
      <c r="H31" s="35">
        <v>7.8650000000000002</v>
      </c>
    </row>
    <row r="32" spans="1:10" ht="29.1" customHeight="1" x14ac:dyDescent="0.2">
      <c r="A32" s="8">
        <v>5</v>
      </c>
      <c r="B32" s="9" t="s">
        <v>30</v>
      </c>
      <c r="C32" s="9" t="s">
        <v>31</v>
      </c>
      <c r="D32" s="9" t="s">
        <v>23</v>
      </c>
      <c r="E32" s="10">
        <v>2500</v>
      </c>
      <c r="F32" s="11">
        <v>2495.0875000000001</v>
      </c>
      <c r="G32" s="12">
        <v>3.5196669999999999E-2</v>
      </c>
      <c r="H32" s="35">
        <v>7.6677999999999997</v>
      </c>
    </row>
    <row r="33" spans="1:8" ht="17.100000000000001" customHeight="1" x14ac:dyDescent="0.2">
      <c r="A33" s="8">
        <v>6</v>
      </c>
      <c r="B33" s="9" t="s">
        <v>32</v>
      </c>
      <c r="C33" s="9" t="s">
        <v>33</v>
      </c>
      <c r="D33" s="9" t="s">
        <v>23</v>
      </c>
      <c r="E33" s="10">
        <v>2500</v>
      </c>
      <c r="F33" s="11">
        <v>2490.3375000000001</v>
      </c>
      <c r="G33" s="12">
        <v>3.512966E-2</v>
      </c>
      <c r="H33" s="35">
        <v>7.66</v>
      </c>
    </row>
    <row r="34" spans="1:8" ht="29.1" customHeight="1" x14ac:dyDescent="0.2">
      <c r="A34" s="8">
        <v>7</v>
      </c>
      <c r="B34" s="9" t="s">
        <v>34</v>
      </c>
      <c r="C34" s="9" t="s">
        <v>35</v>
      </c>
      <c r="D34" s="9" t="s">
        <v>23</v>
      </c>
      <c r="E34" s="10">
        <v>2500</v>
      </c>
      <c r="F34" s="11">
        <v>2486.5149999999999</v>
      </c>
      <c r="G34" s="12">
        <v>3.5075740000000001E-2</v>
      </c>
      <c r="H34" s="35">
        <v>7.9450000000000003</v>
      </c>
    </row>
    <row r="35" spans="1:8" ht="29.1" customHeight="1" x14ac:dyDescent="0.2">
      <c r="A35" s="8">
        <v>8</v>
      </c>
      <c r="B35" s="9" t="s">
        <v>36</v>
      </c>
      <c r="C35" s="9" t="s">
        <v>37</v>
      </c>
      <c r="D35" s="9" t="s">
        <v>23</v>
      </c>
      <c r="E35" s="10">
        <v>2500</v>
      </c>
      <c r="F35" s="11">
        <v>2485.8625000000002</v>
      </c>
      <c r="G35" s="12">
        <v>3.506654E-2</v>
      </c>
      <c r="H35" s="35">
        <v>7.75</v>
      </c>
    </row>
    <row r="36" spans="1:8" x14ac:dyDescent="0.2">
      <c r="A36" s="8">
        <v>9</v>
      </c>
      <c r="B36" s="9" t="s">
        <v>38</v>
      </c>
      <c r="C36" s="9" t="s">
        <v>39</v>
      </c>
      <c r="D36" s="9" t="s">
        <v>23</v>
      </c>
      <c r="E36" s="10">
        <v>2500</v>
      </c>
      <c r="F36" s="11">
        <v>2482.5549999999998</v>
      </c>
      <c r="G36" s="12">
        <v>3.5019880000000003E-2</v>
      </c>
      <c r="H36" s="35">
        <v>7.59</v>
      </c>
    </row>
    <row r="37" spans="1:8" ht="17.100000000000001" customHeight="1" x14ac:dyDescent="0.2">
      <c r="A37" s="8">
        <v>10</v>
      </c>
      <c r="B37" s="9" t="s">
        <v>40</v>
      </c>
      <c r="C37" s="9" t="s">
        <v>41</v>
      </c>
      <c r="D37" s="9" t="s">
        <v>23</v>
      </c>
      <c r="E37" s="10">
        <v>2500</v>
      </c>
      <c r="F37" s="11">
        <v>2479.9250000000002</v>
      </c>
      <c r="G37" s="12">
        <v>3.4982779999999998E-2</v>
      </c>
      <c r="H37" s="35">
        <v>7.6849999999999996</v>
      </c>
    </row>
    <row r="38" spans="1:8" ht="29.1" customHeight="1" x14ac:dyDescent="0.2">
      <c r="A38" s="8">
        <v>11</v>
      </c>
      <c r="B38" s="9" t="s">
        <v>42</v>
      </c>
      <c r="C38" s="9" t="s">
        <v>43</v>
      </c>
      <c r="D38" s="9" t="s">
        <v>23</v>
      </c>
      <c r="E38" s="10">
        <v>250</v>
      </c>
      <c r="F38" s="11">
        <v>2474.0675000000001</v>
      </c>
      <c r="G38" s="12">
        <v>3.4900149999999998E-2</v>
      </c>
      <c r="H38" s="35">
        <v>7.6524999999999999</v>
      </c>
    </row>
    <row r="39" spans="1:8" ht="29.1" customHeight="1" x14ac:dyDescent="0.2">
      <c r="A39" s="8">
        <v>12</v>
      </c>
      <c r="B39" s="9" t="s">
        <v>44</v>
      </c>
      <c r="C39" s="9" t="s">
        <v>45</v>
      </c>
      <c r="D39" s="9" t="s">
        <v>46</v>
      </c>
      <c r="E39" s="10">
        <v>200</v>
      </c>
      <c r="F39" s="11">
        <v>1995.058</v>
      </c>
      <c r="G39" s="12">
        <v>2.8143060000000001E-2</v>
      </c>
      <c r="H39" s="35">
        <v>7.5</v>
      </c>
    </row>
    <row r="40" spans="1:8" ht="17.100000000000001" customHeight="1" x14ac:dyDescent="0.2">
      <c r="A40" s="8">
        <v>13</v>
      </c>
      <c r="B40" s="9" t="s">
        <v>47</v>
      </c>
      <c r="C40" s="9" t="s">
        <v>48</v>
      </c>
      <c r="D40" s="9" t="s">
        <v>23</v>
      </c>
      <c r="E40" s="10">
        <v>2000</v>
      </c>
      <c r="F40" s="11">
        <v>1985.0360000000001</v>
      </c>
      <c r="G40" s="12">
        <v>2.8001689999999999E-2</v>
      </c>
      <c r="H40" s="35">
        <v>7.9249999999999998</v>
      </c>
    </row>
    <row r="41" spans="1:8" ht="17.100000000000001" customHeight="1" x14ac:dyDescent="0.2">
      <c r="A41" s="8">
        <v>14</v>
      </c>
      <c r="B41" s="9" t="s">
        <v>49</v>
      </c>
      <c r="C41" s="9" t="s">
        <v>50</v>
      </c>
      <c r="D41" s="9" t="s">
        <v>23</v>
      </c>
      <c r="E41" s="10">
        <v>1500</v>
      </c>
      <c r="F41" s="11">
        <v>1503.1155000000001</v>
      </c>
      <c r="G41" s="12">
        <v>2.1203530000000002E-2</v>
      </c>
      <c r="H41" s="35">
        <v>7.65</v>
      </c>
    </row>
    <row r="42" spans="1:8" ht="29.1" customHeight="1" x14ac:dyDescent="0.2">
      <c r="A42" s="8">
        <v>15</v>
      </c>
      <c r="B42" s="9" t="s">
        <v>51</v>
      </c>
      <c r="C42" s="9" t="s">
        <v>52</v>
      </c>
      <c r="D42" s="9" t="s">
        <v>23</v>
      </c>
      <c r="E42" s="10">
        <v>1500</v>
      </c>
      <c r="F42" s="11">
        <v>1498.203</v>
      </c>
      <c r="G42" s="12">
        <v>2.113423E-2</v>
      </c>
      <c r="H42" s="35">
        <v>7.8174999999999999</v>
      </c>
    </row>
    <row r="43" spans="1:8" ht="29.1" customHeight="1" x14ac:dyDescent="0.2">
      <c r="A43" s="8">
        <v>16</v>
      </c>
      <c r="B43" s="9" t="s">
        <v>53</v>
      </c>
      <c r="C43" s="9" t="s">
        <v>54</v>
      </c>
      <c r="D43" s="9" t="s">
        <v>23</v>
      </c>
      <c r="E43" s="10">
        <v>1500</v>
      </c>
      <c r="F43" s="11">
        <v>1494.9494999999999</v>
      </c>
      <c r="G43" s="12">
        <v>2.1088340000000001E-2</v>
      </c>
      <c r="H43" s="35">
        <v>7.8</v>
      </c>
    </row>
    <row r="44" spans="1:8" ht="29.1" customHeight="1" x14ac:dyDescent="0.2">
      <c r="A44" s="8">
        <v>17</v>
      </c>
      <c r="B44" s="9" t="s">
        <v>55</v>
      </c>
      <c r="C44" s="9" t="s">
        <v>56</v>
      </c>
      <c r="D44" s="9" t="s">
        <v>23</v>
      </c>
      <c r="E44" s="10">
        <v>1500</v>
      </c>
      <c r="F44" s="11">
        <v>1494.2985000000001</v>
      </c>
      <c r="G44" s="12">
        <v>2.1079150000000001E-2</v>
      </c>
      <c r="H44" s="35">
        <v>7.75</v>
      </c>
    </row>
    <row r="45" spans="1:8" x14ac:dyDescent="0.2">
      <c r="A45" s="8">
        <v>18</v>
      </c>
      <c r="B45" s="9" t="s">
        <v>57</v>
      </c>
      <c r="C45" s="9" t="s">
        <v>58</v>
      </c>
      <c r="D45" s="9" t="s">
        <v>23</v>
      </c>
      <c r="E45" s="10">
        <v>100</v>
      </c>
      <c r="F45" s="11">
        <v>1002.446</v>
      </c>
      <c r="G45" s="12">
        <v>1.414089E-2</v>
      </c>
      <c r="H45" s="35">
        <v>7.8513999999999999</v>
      </c>
    </row>
    <row r="46" spans="1:8" ht="29.1" customHeight="1" x14ac:dyDescent="0.2">
      <c r="A46" s="8">
        <v>19</v>
      </c>
      <c r="B46" s="9" t="s">
        <v>59</v>
      </c>
      <c r="C46" s="9" t="s">
        <v>60</v>
      </c>
      <c r="D46" s="9" t="s">
        <v>23</v>
      </c>
      <c r="E46" s="10">
        <v>1000</v>
      </c>
      <c r="F46" s="11">
        <v>998.00099999999998</v>
      </c>
      <c r="G46" s="12">
        <v>1.4078190000000001E-2</v>
      </c>
      <c r="H46" s="35">
        <v>8.2100000000000009</v>
      </c>
    </row>
    <row r="47" spans="1:8" ht="14.1" customHeight="1" x14ac:dyDescent="0.2">
      <c r="A47" s="1"/>
      <c r="B47" s="1"/>
      <c r="C47" s="2" t="s">
        <v>11</v>
      </c>
      <c r="D47" s="1"/>
      <c r="E47" s="1" t="s">
        <v>12</v>
      </c>
      <c r="F47" s="7">
        <v>49240.986499999999</v>
      </c>
      <c r="G47" s="4">
        <v>0.69461240000000002</v>
      </c>
      <c r="H47" s="35"/>
    </row>
    <row r="48" spans="1:8" ht="14.1" customHeight="1" x14ac:dyDescent="0.2">
      <c r="A48" s="1"/>
      <c r="B48" s="1"/>
      <c r="C48" s="5"/>
      <c r="D48" s="1"/>
      <c r="E48" s="1"/>
      <c r="F48" s="6"/>
      <c r="G48" s="6"/>
      <c r="H48" s="35"/>
    </row>
    <row r="49" spans="1:8" ht="14.1" customHeight="1" x14ac:dyDescent="0.2">
      <c r="A49" s="1"/>
      <c r="B49" s="1"/>
      <c r="C49" s="2" t="s">
        <v>61</v>
      </c>
      <c r="D49" s="1"/>
      <c r="E49" s="1"/>
      <c r="F49" s="1"/>
      <c r="G49" s="1"/>
      <c r="H49" s="35"/>
    </row>
    <row r="50" spans="1:8" ht="14.1" customHeight="1" x14ac:dyDescent="0.2">
      <c r="A50" s="1"/>
      <c r="B50" s="1"/>
      <c r="C50" s="2" t="s">
        <v>11</v>
      </c>
      <c r="D50" s="1"/>
      <c r="E50" s="1" t="s">
        <v>12</v>
      </c>
      <c r="F50" s="3" t="s">
        <v>13</v>
      </c>
      <c r="G50" s="4">
        <v>0</v>
      </c>
      <c r="H50" s="35"/>
    </row>
    <row r="51" spans="1:8" ht="14.1" customHeight="1" x14ac:dyDescent="0.2">
      <c r="A51" s="1"/>
      <c r="B51" s="1"/>
      <c r="C51" s="5"/>
      <c r="D51" s="1"/>
      <c r="E51" s="1"/>
      <c r="F51" s="6"/>
      <c r="G51" s="6"/>
      <c r="H51" s="35"/>
    </row>
    <row r="52" spans="1:8" ht="14.1" customHeight="1" x14ac:dyDescent="0.2">
      <c r="A52" s="1"/>
      <c r="B52" s="1"/>
      <c r="C52" s="2" t="s">
        <v>62</v>
      </c>
      <c r="D52" s="1"/>
      <c r="E52" s="1"/>
      <c r="F52" s="1"/>
      <c r="G52" s="1"/>
      <c r="H52" s="35"/>
    </row>
    <row r="53" spans="1:8" x14ac:dyDescent="0.2">
      <c r="A53" s="8">
        <v>1</v>
      </c>
      <c r="B53" s="9" t="s">
        <v>63</v>
      </c>
      <c r="C53" s="9" t="s">
        <v>64</v>
      </c>
      <c r="D53" s="9" t="s">
        <v>65</v>
      </c>
      <c r="E53" s="10">
        <v>10500000</v>
      </c>
      <c r="F53" s="11">
        <v>10564.753500000001</v>
      </c>
      <c r="G53" s="12">
        <v>0.14903050000000001</v>
      </c>
      <c r="H53" s="35">
        <v>7.2111000000000001</v>
      </c>
    </row>
    <row r="54" spans="1:8" ht="17.100000000000001" customHeight="1" x14ac:dyDescent="0.2">
      <c r="A54" s="8">
        <v>2</v>
      </c>
      <c r="B54" s="9" t="s">
        <v>66</v>
      </c>
      <c r="C54" s="9" t="s">
        <v>67</v>
      </c>
      <c r="D54" s="9" t="s">
        <v>65</v>
      </c>
      <c r="E54" s="10">
        <v>3000000</v>
      </c>
      <c r="F54" s="11">
        <v>3034.239</v>
      </c>
      <c r="G54" s="12">
        <v>4.2802149999999997E-2</v>
      </c>
      <c r="H54" s="35">
        <v>7.2233000000000001</v>
      </c>
    </row>
    <row r="55" spans="1:8" ht="29.1" customHeight="1" x14ac:dyDescent="0.2">
      <c r="A55" s="8">
        <v>3</v>
      </c>
      <c r="B55" s="9" t="s">
        <v>68</v>
      </c>
      <c r="C55" s="9" t="s">
        <v>69</v>
      </c>
      <c r="D55" s="9" t="s">
        <v>65</v>
      </c>
      <c r="E55" s="10">
        <v>2500000</v>
      </c>
      <c r="F55" s="11">
        <v>2497.65</v>
      </c>
      <c r="G55" s="12">
        <v>3.5232819999999998E-2</v>
      </c>
      <c r="H55" s="35">
        <v>7.2106000000000003</v>
      </c>
    </row>
    <row r="56" spans="1:8" ht="14.1" customHeight="1" x14ac:dyDescent="0.2">
      <c r="A56" s="1"/>
      <c r="B56" s="1"/>
      <c r="C56" s="2" t="s">
        <v>11</v>
      </c>
      <c r="D56" s="1"/>
      <c r="E56" s="1" t="s">
        <v>12</v>
      </c>
      <c r="F56" s="7">
        <v>16096.6425</v>
      </c>
      <c r="G56" s="4">
        <v>0.22706546999999999</v>
      </c>
      <c r="H56" s="35"/>
    </row>
    <row r="57" spans="1:8" ht="14.1" customHeight="1" x14ac:dyDescent="0.2">
      <c r="A57" s="1"/>
      <c r="B57" s="1"/>
      <c r="C57" s="5"/>
      <c r="D57" s="1"/>
      <c r="E57" s="1"/>
      <c r="F57" s="6"/>
      <c r="G57" s="6"/>
      <c r="H57" s="35"/>
    </row>
    <row r="58" spans="1:8" ht="14.1" customHeight="1" x14ac:dyDescent="0.2">
      <c r="A58" s="1"/>
      <c r="B58" s="1"/>
      <c r="C58" s="2" t="s">
        <v>70</v>
      </c>
      <c r="D58" s="1"/>
      <c r="E58" s="1"/>
      <c r="F58" s="6"/>
      <c r="G58" s="6"/>
      <c r="H58" s="35"/>
    </row>
    <row r="59" spans="1:8" ht="14.1" customHeight="1" x14ac:dyDescent="0.2">
      <c r="A59" s="1"/>
      <c r="B59" s="1"/>
      <c r="C59" s="2" t="s">
        <v>11</v>
      </c>
      <c r="D59" s="1"/>
      <c r="E59" s="1" t="s">
        <v>12</v>
      </c>
      <c r="F59" s="3" t="s">
        <v>13</v>
      </c>
      <c r="G59" s="4">
        <v>0</v>
      </c>
      <c r="H59" s="35"/>
    </row>
    <row r="60" spans="1:8" ht="14.1" customHeight="1" x14ac:dyDescent="0.2">
      <c r="A60" s="1"/>
      <c r="B60" s="1"/>
      <c r="C60" s="5"/>
      <c r="D60" s="1"/>
      <c r="E60" s="1"/>
      <c r="F60" s="6"/>
      <c r="G60" s="6"/>
      <c r="H60" s="35"/>
    </row>
    <row r="61" spans="1:8" ht="14.1" customHeight="1" x14ac:dyDescent="0.2">
      <c r="A61" s="1"/>
      <c r="B61" s="1"/>
      <c r="C61" s="2" t="s">
        <v>71</v>
      </c>
      <c r="D61" s="1"/>
      <c r="E61" s="1"/>
      <c r="F61" s="7">
        <v>65337.629000000001</v>
      </c>
      <c r="G61" s="4">
        <v>0.92167787000000001</v>
      </c>
      <c r="H61" s="35"/>
    </row>
    <row r="62" spans="1:8" ht="14.1" customHeight="1" x14ac:dyDescent="0.2">
      <c r="A62" s="1"/>
      <c r="B62" s="1"/>
      <c r="C62" s="5"/>
      <c r="D62" s="1"/>
      <c r="E62" s="1"/>
      <c r="F62" s="6"/>
      <c r="G62" s="6"/>
      <c r="H62" s="35"/>
    </row>
    <row r="63" spans="1:8" ht="14.1" customHeight="1" x14ac:dyDescent="0.2">
      <c r="A63" s="1"/>
      <c r="B63" s="1"/>
      <c r="C63" s="2" t="s">
        <v>72</v>
      </c>
      <c r="D63" s="1"/>
      <c r="E63" s="1"/>
      <c r="F63" s="6"/>
      <c r="G63" s="6"/>
      <c r="H63" s="35"/>
    </row>
    <row r="64" spans="1:8" ht="14.1" customHeight="1" x14ac:dyDescent="0.2">
      <c r="A64" s="1"/>
      <c r="B64" s="1"/>
      <c r="C64" s="2" t="s">
        <v>73</v>
      </c>
      <c r="D64" s="1"/>
      <c r="E64" s="1"/>
      <c r="F64" s="6"/>
      <c r="G64" s="6"/>
      <c r="H64" s="35"/>
    </row>
    <row r="65" spans="1:8" ht="14.1" customHeight="1" x14ac:dyDescent="0.2">
      <c r="A65" s="1"/>
      <c r="B65" s="1"/>
      <c r="C65" s="2" t="s">
        <v>11</v>
      </c>
      <c r="D65" s="1"/>
      <c r="E65" s="1" t="s">
        <v>12</v>
      </c>
      <c r="F65" s="3" t="s">
        <v>13</v>
      </c>
      <c r="G65" s="4">
        <v>0</v>
      </c>
      <c r="H65" s="35"/>
    </row>
    <row r="66" spans="1:8" ht="14.1" customHeight="1" x14ac:dyDescent="0.2">
      <c r="A66" s="1"/>
      <c r="B66" s="1"/>
      <c r="C66" s="5"/>
      <c r="D66" s="1"/>
      <c r="E66" s="1"/>
      <c r="F66" s="6"/>
      <c r="G66" s="6"/>
      <c r="H66" s="35"/>
    </row>
    <row r="67" spans="1:8" ht="14.1" customHeight="1" x14ac:dyDescent="0.2">
      <c r="A67" s="1"/>
      <c r="B67" s="1"/>
      <c r="C67" s="2" t="s">
        <v>74</v>
      </c>
      <c r="D67" s="1"/>
      <c r="E67" s="1"/>
      <c r="F67" s="6"/>
      <c r="G67" s="6"/>
      <c r="H67" s="35"/>
    </row>
    <row r="68" spans="1:8" ht="14.1" customHeight="1" x14ac:dyDescent="0.2">
      <c r="A68" s="1"/>
      <c r="B68" s="1"/>
      <c r="C68" s="2" t="s">
        <v>11</v>
      </c>
      <c r="D68" s="1"/>
      <c r="E68" s="1" t="s">
        <v>12</v>
      </c>
      <c r="F68" s="3" t="s">
        <v>13</v>
      </c>
      <c r="G68" s="4">
        <v>0</v>
      </c>
      <c r="H68" s="35"/>
    </row>
    <row r="69" spans="1:8" ht="14.1" customHeight="1" x14ac:dyDescent="0.2">
      <c r="A69" s="1"/>
      <c r="B69" s="1"/>
      <c r="C69" s="5"/>
      <c r="D69" s="1"/>
      <c r="E69" s="1"/>
      <c r="F69" s="6"/>
      <c r="G69" s="6"/>
      <c r="H69" s="35"/>
    </row>
    <row r="70" spans="1:8" ht="14.1" customHeight="1" x14ac:dyDescent="0.2">
      <c r="A70" s="1"/>
      <c r="B70" s="1"/>
      <c r="C70" s="2" t="s">
        <v>75</v>
      </c>
      <c r="D70" s="1"/>
      <c r="E70" s="1"/>
      <c r="F70" s="6"/>
      <c r="G70" s="6"/>
      <c r="H70" s="35"/>
    </row>
    <row r="71" spans="1:8" ht="14.1" customHeight="1" x14ac:dyDescent="0.2">
      <c r="A71" s="1"/>
      <c r="B71" s="1"/>
      <c r="C71" s="2" t="s">
        <v>11</v>
      </c>
      <c r="D71" s="1"/>
      <c r="E71" s="1" t="s">
        <v>12</v>
      </c>
      <c r="F71" s="3" t="s">
        <v>13</v>
      </c>
      <c r="G71" s="4">
        <v>0</v>
      </c>
      <c r="H71" s="35"/>
    </row>
    <row r="72" spans="1:8" ht="14.1" customHeight="1" x14ac:dyDescent="0.2">
      <c r="A72" s="1"/>
      <c r="B72" s="1"/>
      <c r="C72" s="5"/>
      <c r="D72" s="1"/>
      <c r="E72" s="1"/>
      <c r="F72" s="6"/>
      <c r="G72" s="6"/>
      <c r="H72" s="35"/>
    </row>
    <row r="73" spans="1:8" ht="14.1" customHeight="1" x14ac:dyDescent="0.2">
      <c r="A73" s="1"/>
      <c r="B73" s="1"/>
      <c r="C73" s="2" t="s">
        <v>76</v>
      </c>
      <c r="D73" s="1"/>
      <c r="E73" s="1"/>
      <c r="F73" s="6"/>
      <c r="G73" s="6"/>
      <c r="H73" s="35"/>
    </row>
    <row r="74" spans="1:8" ht="17.100000000000001" customHeight="1" x14ac:dyDescent="0.2">
      <c r="A74" s="8">
        <v>1</v>
      </c>
      <c r="B74" s="9"/>
      <c r="C74" s="9" t="s">
        <v>77</v>
      </c>
      <c r="D74" s="9"/>
      <c r="E74" s="13"/>
      <c r="F74" s="11">
        <v>434.61952599900002</v>
      </c>
      <c r="G74" s="12">
        <v>6.1309099999999998E-3</v>
      </c>
      <c r="H74" s="35" t="s">
        <v>482</v>
      </c>
    </row>
    <row r="75" spans="1:8" ht="14.1" customHeight="1" x14ac:dyDescent="0.2">
      <c r="A75" s="1"/>
      <c r="B75" s="1"/>
      <c r="C75" s="2" t="s">
        <v>11</v>
      </c>
      <c r="D75" s="1"/>
      <c r="E75" s="1" t="s">
        <v>12</v>
      </c>
      <c r="F75" s="7">
        <v>434.61952599900002</v>
      </c>
      <c r="G75" s="4">
        <v>6.1309099999999998E-3</v>
      </c>
      <c r="H75" s="35"/>
    </row>
    <row r="76" spans="1:8" ht="14.1" customHeight="1" x14ac:dyDescent="0.2">
      <c r="A76" s="1"/>
      <c r="B76" s="1"/>
      <c r="C76" s="5"/>
      <c r="D76" s="1"/>
      <c r="E76" s="1"/>
      <c r="F76" s="6"/>
      <c r="G76" s="6"/>
      <c r="H76" s="35"/>
    </row>
    <row r="77" spans="1:8" ht="14.1" customHeight="1" x14ac:dyDescent="0.2">
      <c r="A77" s="1"/>
      <c r="B77" s="1"/>
      <c r="C77" s="2" t="s">
        <v>78</v>
      </c>
      <c r="D77" s="1"/>
      <c r="E77" s="1"/>
      <c r="F77" s="7">
        <v>434.61952599900002</v>
      </c>
      <c r="G77" s="4">
        <v>6.1309099999999998E-3</v>
      </c>
      <c r="H77" s="35"/>
    </row>
    <row r="78" spans="1:8" ht="14.1" customHeight="1" x14ac:dyDescent="0.2">
      <c r="A78" s="1"/>
      <c r="B78" s="1"/>
      <c r="C78" s="6"/>
      <c r="D78" s="1"/>
      <c r="E78" s="1"/>
      <c r="F78" s="1"/>
      <c r="G78" s="1"/>
      <c r="H78" s="35"/>
    </row>
    <row r="79" spans="1:8" ht="14.1" customHeight="1" x14ac:dyDescent="0.2">
      <c r="A79" s="1"/>
      <c r="B79" s="1"/>
      <c r="C79" s="2" t="s">
        <v>79</v>
      </c>
      <c r="D79" s="1"/>
      <c r="E79" s="1"/>
      <c r="F79" s="1"/>
      <c r="G79" s="1"/>
      <c r="H79" s="35"/>
    </row>
    <row r="80" spans="1:8" ht="14.1" customHeight="1" x14ac:dyDescent="0.2">
      <c r="A80" s="1"/>
      <c r="B80" s="1"/>
      <c r="C80" s="2" t="s">
        <v>80</v>
      </c>
      <c r="D80" s="1"/>
      <c r="E80" s="1"/>
      <c r="F80" s="1"/>
      <c r="G80" s="1"/>
      <c r="H80" s="35"/>
    </row>
    <row r="81" spans="1:18" ht="14.1" customHeight="1" x14ac:dyDescent="0.2">
      <c r="A81" s="1"/>
      <c r="B81" s="1"/>
      <c r="C81" s="2" t="s">
        <v>11</v>
      </c>
      <c r="D81" s="1"/>
      <c r="E81" s="1" t="s">
        <v>12</v>
      </c>
      <c r="F81" s="3" t="s">
        <v>13</v>
      </c>
      <c r="G81" s="4">
        <v>0</v>
      </c>
      <c r="H81" s="35"/>
    </row>
    <row r="82" spans="1:18" ht="14.1" customHeight="1" x14ac:dyDescent="0.2">
      <c r="A82" s="1"/>
      <c r="B82" s="1"/>
      <c r="C82" s="5"/>
      <c r="D82" s="1"/>
      <c r="E82" s="1"/>
      <c r="F82" s="6"/>
      <c r="G82" s="6"/>
      <c r="H82" s="35"/>
    </row>
    <row r="83" spans="1:18" ht="14.1" customHeight="1" x14ac:dyDescent="0.2">
      <c r="A83" s="1"/>
      <c r="B83" s="1"/>
      <c r="C83" s="2" t="s">
        <v>83</v>
      </c>
      <c r="D83" s="1"/>
      <c r="E83" s="1"/>
      <c r="F83" s="1"/>
      <c r="G83" s="1"/>
      <c r="H83" s="35"/>
    </row>
    <row r="84" spans="1:18" ht="14.1" customHeight="1" x14ac:dyDescent="0.2">
      <c r="A84" s="1"/>
      <c r="B84" s="1"/>
      <c r="C84" s="2" t="s">
        <v>84</v>
      </c>
      <c r="D84" s="1"/>
      <c r="E84" s="1"/>
      <c r="F84" s="1"/>
      <c r="G84" s="1"/>
      <c r="H84" s="35"/>
    </row>
    <row r="85" spans="1:18" ht="14.1" customHeight="1" x14ac:dyDescent="0.2">
      <c r="A85" s="1"/>
      <c r="B85" s="1"/>
      <c r="C85" s="2" t="s">
        <v>11</v>
      </c>
      <c r="D85" s="1"/>
      <c r="E85" s="1" t="s">
        <v>12</v>
      </c>
      <c r="F85" s="3" t="s">
        <v>13</v>
      </c>
      <c r="G85" s="4">
        <v>0</v>
      </c>
      <c r="H85" s="35"/>
    </row>
    <row r="86" spans="1:18" ht="14.1" customHeight="1" x14ac:dyDescent="0.2">
      <c r="A86" s="1"/>
      <c r="B86" s="1"/>
      <c r="C86" s="5"/>
      <c r="D86" s="1"/>
      <c r="E86" s="1"/>
      <c r="F86" s="6"/>
      <c r="G86" s="6"/>
      <c r="H86" s="35"/>
    </row>
    <row r="87" spans="1:18" x14ac:dyDescent="0.2">
      <c r="A87" s="1"/>
      <c r="B87" s="1"/>
      <c r="C87" s="2" t="s">
        <v>85</v>
      </c>
      <c r="D87" s="1"/>
      <c r="E87" s="1"/>
      <c r="F87" s="6"/>
      <c r="G87" s="6"/>
      <c r="H87" s="35"/>
    </row>
    <row r="88" spans="1:18" ht="14.1" customHeight="1" x14ac:dyDescent="0.2">
      <c r="A88" s="1"/>
      <c r="B88" s="1"/>
      <c r="C88" s="2" t="s">
        <v>11</v>
      </c>
      <c r="D88" s="1"/>
      <c r="E88" s="1" t="s">
        <v>12</v>
      </c>
      <c r="F88" s="3" t="s">
        <v>13</v>
      </c>
      <c r="G88" s="4">
        <v>0</v>
      </c>
      <c r="H88" s="35"/>
    </row>
    <row r="89" spans="1:18" ht="14.1" customHeight="1" x14ac:dyDescent="0.2">
      <c r="A89" s="1"/>
      <c r="B89" s="1"/>
      <c r="C89" s="2"/>
      <c r="D89" s="1"/>
      <c r="E89" s="1"/>
      <c r="F89" s="3"/>
      <c r="G89" s="4"/>
      <c r="H89" s="35"/>
    </row>
    <row r="90" spans="1:18" x14ac:dyDescent="0.2">
      <c r="A90" s="50"/>
      <c r="B90" s="50"/>
      <c r="C90" s="51" t="s">
        <v>481</v>
      </c>
      <c r="D90" s="50"/>
      <c r="E90" s="50"/>
      <c r="F90" s="52"/>
      <c r="G90" s="52"/>
      <c r="H90" s="53"/>
      <c r="K90" s="47"/>
      <c r="L90" s="47"/>
      <c r="M90" s="47"/>
      <c r="N90" s="47"/>
      <c r="O90" s="47"/>
      <c r="P90" s="54"/>
      <c r="Q90" s="54"/>
      <c r="R90" s="54"/>
    </row>
    <row r="91" spans="1:18" ht="29.1" customHeight="1" x14ac:dyDescent="0.2">
      <c r="A91" s="8">
        <v>1</v>
      </c>
      <c r="B91" s="9" t="s">
        <v>81</v>
      </c>
      <c r="C91" s="9" t="s">
        <v>82</v>
      </c>
      <c r="D91" s="9"/>
      <c r="E91" s="14">
        <v>2586.3710000000001</v>
      </c>
      <c r="F91" s="11">
        <v>264.64589159799999</v>
      </c>
      <c r="G91" s="12">
        <v>3.7331999999999999E-3</v>
      </c>
      <c r="H91" s="35"/>
    </row>
    <row r="92" spans="1:18" x14ac:dyDescent="0.2">
      <c r="A92" s="58"/>
      <c r="B92" s="58"/>
      <c r="C92" s="59" t="s">
        <v>11</v>
      </c>
      <c r="D92" s="58"/>
      <c r="E92" s="58" t="s">
        <v>12</v>
      </c>
      <c r="F92" s="60">
        <f>SUM(F91)</f>
        <v>264.64589159799999</v>
      </c>
      <c r="G92" s="61">
        <f>SUM(G91)</f>
        <v>3.7331999999999999E-3</v>
      </c>
      <c r="H92" s="53"/>
      <c r="K92" s="47"/>
      <c r="L92" s="47"/>
      <c r="M92" s="47"/>
      <c r="N92" s="47"/>
      <c r="O92" s="47"/>
      <c r="P92" s="54"/>
      <c r="Q92" s="54"/>
      <c r="R92" s="54"/>
    </row>
    <row r="93" spans="1:18" ht="14.1" customHeight="1" x14ac:dyDescent="0.2">
      <c r="A93" s="1"/>
      <c r="B93" s="9"/>
      <c r="C93" s="9"/>
      <c r="D93" s="2"/>
      <c r="E93" s="1"/>
      <c r="F93" s="9"/>
      <c r="G93" s="13"/>
      <c r="H93" s="35"/>
    </row>
    <row r="94" spans="1:18" ht="18" customHeight="1" x14ac:dyDescent="0.2">
      <c r="A94" s="13"/>
      <c r="B94" s="9"/>
      <c r="C94" s="9" t="s">
        <v>86</v>
      </c>
      <c r="D94" s="9"/>
      <c r="E94" s="13"/>
      <c r="F94" s="11">
        <v>4852.98137331</v>
      </c>
      <c r="G94" s="12">
        <v>6.8458030000000003E-2</v>
      </c>
      <c r="H94" s="35"/>
    </row>
    <row r="95" spans="1:18" ht="14.1" customHeight="1" x14ac:dyDescent="0.2">
      <c r="A95" s="5"/>
      <c r="B95" s="5"/>
      <c r="C95" s="2" t="s">
        <v>87</v>
      </c>
      <c r="D95" s="6"/>
      <c r="E95" s="6"/>
      <c r="F95" s="7">
        <v>70889.875790906997</v>
      </c>
      <c r="G95" s="15">
        <v>1.0000000099999999</v>
      </c>
      <c r="H95" s="37"/>
    </row>
    <row r="96" spans="1:18" ht="14.1" customHeight="1" x14ac:dyDescent="0.2">
      <c r="A96" s="16"/>
      <c r="B96" s="16"/>
      <c r="C96" s="16"/>
      <c r="D96" s="17"/>
      <c r="E96" s="17"/>
      <c r="F96" s="17"/>
      <c r="G96" s="17"/>
      <c r="H96" s="38"/>
    </row>
    <row r="97" spans="1:8" ht="12.75" customHeight="1" x14ac:dyDescent="0.2">
      <c r="A97" s="44"/>
      <c r="B97" s="131" t="s">
        <v>477</v>
      </c>
      <c r="C97" s="131"/>
      <c r="D97" s="131"/>
      <c r="E97" s="131"/>
      <c r="F97" s="131"/>
      <c r="G97" s="131"/>
      <c r="H97" s="131"/>
    </row>
    <row r="98" spans="1:8" ht="12.75" customHeight="1" x14ac:dyDescent="0.2">
      <c r="A98" s="44"/>
      <c r="B98" s="131" t="s">
        <v>478</v>
      </c>
      <c r="C98" s="131"/>
      <c r="D98" s="131"/>
      <c r="E98" s="131"/>
      <c r="F98" s="131"/>
      <c r="G98" s="131"/>
      <c r="H98" s="131"/>
    </row>
    <row r="99" spans="1:8" ht="12.75" customHeight="1" x14ac:dyDescent="0.2">
      <c r="A99" s="44"/>
      <c r="B99" s="131" t="s">
        <v>479</v>
      </c>
      <c r="C99" s="131"/>
      <c r="D99" s="131"/>
      <c r="E99" s="131"/>
      <c r="F99" s="131"/>
      <c r="G99" s="131"/>
      <c r="H99" s="131"/>
    </row>
    <row r="100" spans="1:8" ht="14.1" customHeight="1" x14ac:dyDescent="0.2">
      <c r="A100" s="18"/>
      <c r="B100" s="18"/>
      <c r="C100" s="18"/>
      <c r="D100" s="20"/>
      <c r="E100" s="20"/>
      <c r="F100" s="20"/>
      <c r="G100" s="20"/>
      <c r="H100" s="39"/>
    </row>
    <row r="101" spans="1:8" ht="14.1" customHeight="1" x14ac:dyDescent="0.2">
      <c r="A101" s="18"/>
      <c r="B101" s="126" t="s">
        <v>88</v>
      </c>
      <c r="C101" s="127"/>
      <c r="D101" s="128"/>
      <c r="E101" s="21"/>
      <c r="F101" s="20"/>
      <c r="G101" s="20"/>
      <c r="H101" s="39"/>
    </row>
    <row r="102" spans="1:8" ht="29.1" customHeight="1" x14ac:dyDescent="0.2">
      <c r="A102" s="18"/>
      <c r="B102" s="129" t="s">
        <v>89</v>
      </c>
      <c r="C102" s="130"/>
      <c r="D102" s="2" t="s">
        <v>90</v>
      </c>
      <c r="E102" s="21"/>
      <c r="F102" s="20"/>
      <c r="G102" s="20"/>
      <c r="H102" s="39"/>
    </row>
    <row r="103" spans="1:8" ht="17.100000000000001" customHeight="1" x14ac:dyDescent="0.2">
      <c r="A103" s="18"/>
      <c r="B103" s="129" t="s">
        <v>91</v>
      </c>
      <c r="C103" s="130"/>
      <c r="D103" s="2" t="s">
        <v>90</v>
      </c>
      <c r="E103" s="21"/>
      <c r="F103" s="20"/>
      <c r="G103" s="20"/>
      <c r="H103" s="39"/>
    </row>
    <row r="104" spans="1:8" ht="17.100000000000001" customHeight="1" x14ac:dyDescent="0.2">
      <c r="A104" s="18"/>
      <c r="B104" s="129" t="s">
        <v>92</v>
      </c>
      <c r="C104" s="130"/>
      <c r="D104" s="6" t="s">
        <v>12</v>
      </c>
      <c r="E104" s="21"/>
      <c r="F104" s="20"/>
      <c r="G104" s="20"/>
      <c r="H104" s="39"/>
    </row>
    <row r="105" spans="1:8" x14ac:dyDescent="0.2">
      <c r="A105" s="22"/>
      <c r="B105" s="23" t="s">
        <v>12</v>
      </c>
      <c r="C105" s="23" t="s">
        <v>527</v>
      </c>
      <c r="D105" s="23" t="s">
        <v>93</v>
      </c>
      <c r="E105" s="22"/>
      <c r="F105" s="22"/>
      <c r="G105" s="22"/>
      <c r="H105" s="40"/>
    </row>
    <row r="106" spans="1:8" ht="18" customHeight="1" x14ac:dyDescent="0.2">
      <c r="A106" s="22"/>
      <c r="B106" s="24" t="s">
        <v>94</v>
      </c>
      <c r="C106" s="23" t="s">
        <v>95</v>
      </c>
      <c r="D106" s="23" t="s">
        <v>96</v>
      </c>
      <c r="E106" s="22"/>
      <c r="F106" s="22"/>
      <c r="G106" s="22"/>
      <c r="H106" s="40"/>
    </row>
    <row r="107" spans="1:8" ht="17.100000000000001" customHeight="1" x14ac:dyDescent="0.2">
      <c r="A107" s="22"/>
      <c r="B107" s="9" t="s">
        <v>97</v>
      </c>
      <c r="C107" s="25">
        <v>37.488100000000003</v>
      </c>
      <c r="D107" s="25">
        <v>37.679000000000002</v>
      </c>
      <c r="E107" s="22"/>
      <c r="F107" s="19"/>
      <c r="G107" s="26"/>
      <c r="H107" s="41"/>
    </row>
    <row r="108" spans="1:8" ht="29.1" customHeight="1" x14ac:dyDescent="0.2">
      <c r="A108" s="22"/>
      <c r="B108" s="9" t="s">
        <v>532</v>
      </c>
      <c r="C108" s="25">
        <v>16.741499999999998</v>
      </c>
      <c r="D108" s="25">
        <v>16.826799999999999</v>
      </c>
      <c r="E108" s="22"/>
      <c r="F108" s="19"/>
      <c r="G108" s="26"/>
      <c r="H108" s="41"/>
    </row>
    <row r="109" spans="1:8" ht="29.1" customHeight="1" x14ac:dyDescent="0.2">
      <c r="A109" s="22"/>
      <c r="B109" s="9" t="s">
        <v>533</v>
      </c>
      <c r="C109" s="25">
        <v>18.5471</v>
      </c>
      <c r="D109" s="25">
        <v>18.6416</v>
      </c>
      <c r="E109" s="22"/>
      <c r="F109" s="19"/>
      <c r="G109" s="26"/>
      <c r="H109" s="41"/>
    </row>
    <row r="110" spans="1:8" ht="29.1" customHeight="1" x14ac:dyDescent="0.2">
      <c r="A110" s="22"/>
      <c r="B110" s="9" t="s">
        <v>534</v>
      </c>
      <c r="C110" s="25">
        <v>16.717400000000001</v>
      </c>
      <c r="D110" s="25">
        <v>16.802399999999999</v>
      </c>
      <c r="E110" s="22"/>
      <c r="F110" s="19"/>
      <c r="G110" s="26"/>
      <c r="H110" s="41"/>
    </row>
    <row r="111" spans="1:8" ht="29.1" customHeight="1" x14ac:dyDescent="0.2">
      <c r="A111" s="22"/>
      <c r="B111" s="9" t="s">
        <v>535</v>
      </c>
      <c r="C111" s="25">
        <v>16.966799999999999</v>
      </c>
      <c r="D111" s="25">
        <v>17.0532</v>
      </c>
      <c r="E111" s="22"/>
      <c r="F111" s="19"/>
      <c r="G111" s="26"/>
      <c r="H111" s="41"/>
    </row>
    <row r="112" spans="1:8" ht="17.100000000000001" customHeight="1" x14ac:dyDescent="0.2">
      <c r="A112" s="22"/>
      <c r="B112" s="9" t="s">
        <v>98</v>
      </c>
      <c r="C112" s="25">
        <v>36.350099999999998</v>
      </c>
      <c r="D112" s="25">
        <v>36.5319</v>
      </c>
      <c r="E112" s="22"/>
      <c r="F112" s="19"/>
      <c r="G112" s="26"/>
      <c r="H112" s="41"/>
    </row>
    <row r="113" spans="1:18" ht="29.1" customHeight="1" x14ac:dyDescent="0.2">
      <c r="A113" s="22"/>
      <c r="B113" s="9" t="s">
        <v>536</v>
      </c>
      <c r="C113" s="25">
        <v>15.850899999999999</v>
      </c>
      <c r="D113" s="25">
        <v>15.930199999999999</v>
      </c>
      <c r="E113" s="22"/>
      <c r="F113" s="19"/>
      <c r="G113" s="26"/>
      <c r="H113" s="41"/>
    </row>
    <row r="114" spans="1:18" ht="29.1" customHeight="1" x14ac:dyDescent="0.2">
      <c r="A114" s="22"/>
      <c r="B114" s="9" t="s">
        <v>531</v>
      </c>
      <c r="C114" s="25">
        <v>18.0261</v>
      </c>
      <c r="D114" s="25">
        <v>18.116199999999999</v>
      </c>
      <c r="E114" s="22"/>
      <c r="F114" s="19"/>
      <c r="G114" s="26"/>
      <c r="H114" s="41"/>
    </row>
    <row r="115" spans="1:18" ht="29.1" customHeight="1" x14ac:dyDescent="0.2">
      <c r="A115" s="22"/>
      <c r="B115" s="9" t="s">
        <v>537</v>
      </c>
      <c r="C115" s="25">
        <v>16.628900000000002</v>
      </c>
      <c r="D115" s="25">
        <v>16.712</v>
      </c>
      <c r="E115" s="22"/>
      <c r="F115" s="19"/>
      <c r="G115" s="26"/>
      <c r="H115" s="41"/>
    </row>
    <row r="116" spans="1:18" ht="29.1" customHeight="1" x14ac:dyDescent="0.2">
      <c r="A116" s="22"/>
      <c r="B116" s="9" t="s">
        <v>538</v>
      </c>
      <c r="C116" s="25">
        <v>16.494299999999999</v>
      </c>
      <c r="D116" s="25">
        <v>16.576699999999999</v>
      </c>
      <c r="E116" s="22"/>
      <c r="F116" s="19"/>
      <c r="G116" s="26"/>
      <c r="H116" s="41"/>
    </row>
    <row r="117" spans="1:18" ht="14.1" customHeight="1" x14ac:dyDescent="0.2">
      <c r="A117" s="22"/>
      <c r="B117" s="22"/>
      <c r="C117" s="22"/>
      <c r="D117" s="22"/>
      <c r="E117" s="22"/>
      <c r="F117" s="22"/>
      <c r="G117" s="22"/>
      <c r="H117" s="40"/>
    </row>
    <row r="118" spans="1:18" ht="17.100000000000001" customHeight="1" x14ac:dyDescent="0.2">
      <c r="A118" s="22"/>
      <c r="B118" s="129" t="s">
        <v>539</v>
      </c>
      <c r="C118" s="130"/>
      <c r="D118" s="2" t="s">
        <v>90</v>
      </c>
      <c r="E118" s="22"/>
      <c r="F118" s="22"/>
      <c r="G118" s="22"/>
      <c r="H118" s="40"/>
    </row>
    <row r="119" spans="1:18" ht="11.1" customHeight="1" x14ac:dyDescent="0.2">
      <c r="A119" s="27"/>
      <c r="B119" s="27"/>
      <c r="C119" s="27"/>
      <c r="D119" s="27"/>
      <c r="E119" s="27"/>
      <c r="F119" s="27"/>
      <c r="G119" s="27"/>
      <c r="H119" s="42"/>
    </row>
    <row r="120" spans="1:18" s="54" customFormat="1" x14ac:dyDescent="0.2">
      <c r="A120" s="67"/>
      <c r="B120" s="132" t="s">
        <v>99</v>
      </c>
      <c r="C120" s="133"/>
      <c r="D120" s="51" t="s">
        <v>90</v>
      </c>
      <c r="E120" s="68"/>
      <c r="F120" s="67"/>
      <c r="G120" s="67"/>
      <c r="H120" s="67"/>
      <c r="I120"/>
      <c r="J120" s="46"/>
      <c r="K120" s="47"/>
      <c r="L120" s="47"/>
      <c r="M120" s="47"/>
      <c r="N120" s="47"/>
      <c r="O120" s="47"/>
      <c r="P120"/>
      <c r="Q120"/>
      <c r="R120"/>
    </row>
    <row r="121" spans="1:18" s="54" customFormat="1" x14ac:dyDescent="0.2">
      <c r="A121" s="67"/>
      <c r="B121" s="132" t="s">
        <v>100</v>
      </c>
      <c r="C121" s="133"/>
      <c r="D121" s="51" t="s">
        <v>90</v>
      </c>
      <c r="E121" s="68"/>
      <c r="F121" s="67"/>
      <c r="G121" s="67"/>
      <c r="H121" s="67"/>
      <c r="I121"/>
      <c r="J121" s="46"/>
      <c r="K121" s="47"/>
      <c r="L121" s="47"/>
      <c r="M121" s="47"/>
      <c r="N121" s="47"/>
      <c r="O121" s="47"/>
      <c r="P121"/>
      <c r="Q121"/>
      <c r="R121"/>
    </row>
    <row r="122" spans="1:18" s="71" customFormat="1" x14ac:dyDescent="0.2">
      <c r="A122" s="69"/>
      <c r="B122" s="132" t="s">
        <v>487</v>
      </c>
      <c r="C122" s="133"/>
      <c r="D122" s="51" t="s">
        <v>90</v>
      </c>
      <c r="E122" s="70"/>
      <c r="F122" s="69"/>
      <c r="G122" s="69"/>
      <c r="H122" s="69"/>
      <c r="I122"/>
      <c r="J122" s="46"/>
      <c r="K122" s="47"/>
      <c r="L122" s="47"/>
      <c r="M122" s="47"/>
      <c r="N122" s="47"/>
      <c r="O122" s="47"/>
      <c r="P122" s="54"/>
      <c r="Q122" s="54"/>
      <c r="R122" s="54"/>
    </row>
    <row r="123" spans="1:18" s="71" customFormat="1" x14ac:dyDescent="0.2">
      <c r="I123"/>
      <c r="J123" s="46"/>
      <c r="K123" s="47"/>
      <c r="L123" s="47"/>
      <c r="M123" s="47"/>
      <c r="N123" s="47"/>
      <c r="O123" s="47"/>
      <c r="P123" s="54"/>
      <c r="Q123" s="54"/>
      <c r="R123" s="54"/>
    </row>
    <row r="124" spans="1:18" s="71" customFormat="1" x14ac:dyDescent="0.2">
      <c r="B124" s="135" t="s">
        <v>488</v>
      </c>
      <c r="C124" s="136"/>
      <c r="D124" s="137"/>
      <c r="I124"/>
      <c r="J124" s="46"/>
      <c r="K124" s="47"/>
      <c r="L124" s="47"/>
      <c r="M124" s="47"/>
      <c r="N124" s="47"/>
      <c r="O124" s="47"/>
    </row>
    <row r="125" spans="1:18" s="71" customFormat="1" ht="38.25" x14ac:dyDescent="0.2">
      <c r="B125" s="134" t="s">
        <v>489</v>
      </c>
      <c r="C125" s="134"/>
      <c r="D125" s="72" t="s">
        <v>1</v>
      </c>
      <c r="I125"/>
      <c r="J125" s="46"/>
      <c r="K125" s="47"/>
      <c r="L125" s="47"/>
      <c r="M125" s="47"/>
      <c r="N125" s="47"/>
      <c r="O125" s="47"/>
    </row>
    <row r="126" spans="1:18" s="71" customFormat="1" x14ac:dyDescent="0.2">
      <c r="B126" s="138" t="s">
        <v>490</v>
      </c>
      <c r="C126" s="138"/>
      <c r="D126" s="73"/>
      <c r="I126"/>
      <c r="J126" s="46"/>
      <c r="K126" s="47"/>
      <c r="L126" s="47"/>
      <c r="M126" s="47"/>
      <c r="N126" s="47"/>
      <c r="O126" s="47"/>
    </row>
    <row r="127" spans="1:18" s="71" customFormat="1" x14ac:dyDescent="0.2">
      <c r="B127" s="139"/>
      <c r="C127" s="140"/>
      <c r="D127" s="74"/>
      <c r="I127"/>
      <c r="J127" s="46"/>
      <c r="K127" s="47"/>
      <c r="L127" s="47"/>
      <c r="M127" s="47"/>
      <c r="N127" s="47"/>
      <c r="O127" s="47"/>
    </row>
    <row r="128" spans="1:18" s="71" customFormat="1" x14ac:dyDescent="0.2">
      <c r="B128" s="138" t="s">
        <v>491</v>
      </c>
      <c r="C128" s="138"/>
      <c r="D128" s="75">
        <v>7.5928508110309663</v>
      </c>
      <c r="I128"/>
      <c r="J128" s="46"/>
      <c r="K128" s="47"/>
      <c r="L128" s="47"/>
      <c r="M128" s="47"/>
      <c r="N128" s="47"/>
      <c r="O128" s="47"/>
    </row>
    <row r="129" spans="2:15" s="71" customFormat="1" x14ac:dyDescent="0.2">
      <c r="B129" s="139"/>
      <c r="C129" s="140"/>
      <c r="D129" s="74"/>
      <c r="I129"/>
      <c r="J129" s="46"/>
      <c r="K129" s="47"/>
      <c r="L129" s="47"/>
      <c r="M129" s="47"/>
      <c r="N129" s="47"/>
      <c r="O129" s="47"/>
    </row>
    <row r="130" spans="2:15" s="71" customFormat="1" x14ac:dyDescent="0.2">
      <c r="B130" s="138" t="s">
        <v>492</v>
      </c>
      <c r="C130" s="138"/>
      <c r="D130" s="75">
        <v>3.3560120444905355</v>
      </c>
      <c r="I130"/>
      <c r="J130" s="46"/>
      <c r="K130" s="47"/>
      <c r="L130" s="47"/>
      <c r="M130" s="47"/>
      <c r="N130" s="47"/>
      <c r="O130" s="47"/>
    </row>
    <row r="131" spans="2:15" s="71" customFormat="1" x14ac:dyDescent="0.2">
      <c r="B131" s="138" t="s">
        <v>493</v>
      </c>
      <c r="C131" s="138"/>
      <c r="D131" s="75">
        <v>4.5492687522889224</v>
      </c>
      <c r="I131"/>
      <c r="J131" s="46"/>
      <c r="K131" s="47"/>
      <c r="L131" s="47"/>
      <c r="M131" s="47"/>
      <c r="N131" s="47"/>
      <c r="O131" s="47"/>
    </row>
    <row r="132" spans="2:15" s="71" customFormat="1" x14ac:dyDescent="0.2">
      <c r="B132" s="139"/>
      <c r="C132" s="140"/>
      <c r="D132" s="74"/>
      <c r="I132"/>
      <c r="J132" s="46"/>
      <c r="K132" s="47"/>
      <c r="L132" s="47"/>
      <c r="M132" s="47"/>
      <c r="N132" s="47"/>
      <c r="O132" s="47"/>
    </row>
    <row r="133" spans="2:15" s="71" customFormat="1" x14ac:dyDescent="0.2">
      <c r="B133" s="138" t="s">
        <v>494</v>
      </c>
      <c r="C133" s="138"/>
      <c r="D133" s="76" t="s">
        <v>523</v>
      </c>
      <c r="I133"/>
      <c r="J133" s="46"/>
      <c r="K133" s="47"/>
      <c r="L133" s="47"/>
      <c r="M133" s="47"/>
      <c r="N133" s="47"/>
      <c r="O133" s="47"/>
    </row>
    <row r="134" spans="2:15" s="71" customFormat="1" x14ac:dyDescent="0.2">
      <c r="B134" s="139" t="s">
        <v>495</v>
      </c>
      <c r="C134" s="141"/>
      <c r="D134" s="140"/>
      <c r="I134"/>
      <c r="J134" s="46"/>
      <c r="K134" s="47"/>
      <c r="L134" s="47"/>
      <c r="M134" s="47"/>
      <c r="N134" s="47"/>
      <c r="O134" s="47"/>
    </row>
  </sheetData>
  <mergeCells count="25">
    <mergeCell ref="B131:C131"/>
    <mergeCell ref="B132:C132"/>
    <mergeCell ref="B133:C133"/>
    <mergeCell ref="B134:D134"/>
    <mergeCell ref="B126:C126"/>
    <mergeCell ref="B127:C127"/>
    <mergeCell ref="B128:C128"/>
    <mergeCell ref="B129:C129"/>
    <mergeCell ref="B130:C130"/>
    <mergeCell ref="B122:C122"/>
    <mergeCell ref="B125:C125"/>
    <mergeCell ref="B104:C104"/>
    <mergeCell ref="B118:C118"/>
    <mergeCell ref="B121:C121"/>
    <mergeCell ref="B120:C120"/>
    <mergeCell ref="B124:D124"/>
    <mergeCell ref="A1:H1"/>
    <mergeCell ref="A2:H2"/>
    <mergeCell ref="B101:D101"/>
    <mergeCell ref="B102:C102"/>
    <mergeCell ref="B103:C103"/>
    <mergeCell ref="B97:H97"/>
    <mergeCell ref="B98:H98"/>
    <mergeCell ref="B99:H99"/>
    <mergeCell ref="A3:H3"/>
  </mergeCells>
  <hyperlinks>
    <hyperlink ref="I1" location="Index!B2" display="Index" xr:uid="{5AF3369A-5268-464C-B948-408FABED068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39"/>
  <sheetViews>
    <sheetView showGridLines="0" workbookViewId="0">
      <selection activeCell="I1" sqref="I1:J1048576"/>
    </sheetView>
  </sheetViews>
  <sheetFormatPr defaultRowHeight="12.75" x14ac:dyDescent="0.2"/>
  <cols>
    <col min="1" max="1" width="5.85546875" bestFit="1" customWidth="1"/>
    <col min="2" max="2" width="19.7109375" bestFit="1" customWidth="1"/>
    <col min="3" max="3" width="39.140625" bestFit="1" customWidth="1"/>
    <col min="4" max="4" width="12.28515625" customWidth="1"/>
    <col min="5" max="5" width="9.42578125" bestFit="1" customWidth="1"/>
    <col min="6" max="6" width="10.140625" bestFit="1" customWidth="1"/>
    <col min="7" max="7" width="14" bestFit="1" customWidth="1"/>
    <col min="8" max="8" width="9.42578125" style="64"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101</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62" t="s">
        <v>475</v>
      </c>
      <c r="I4" s="118"/>
      <c r="J4" s="46"/>
    </row>
    <row r="5" spans="1:10" ht="14.1" customHeight="1" x14ac:dyDescent="0.2">
      <c r="A5" s="1"/>
      <c r="B5" s="1"/>
      <c r="C5" s="2" t="s">
        <v>9</v>
      </c>
      <c r="D5" s="1"/>
      <c r="E5" s="1"/>
      <c r="F5" s="1"/>
      <c r="G5" s="1"/>
      <c r="H5" s="63"/>
    </row>
    <row r="6" spans="1:10" ht="24" customHeight="1" x14ac:dyDescent="0.2">
      <c r="A6" s="1"/>
      <c r="B6" s="1"/>
      <c r="C6" s="2" t="s">
        <v>10</v>
      </c>
      <c r="D6" s="1"/>
      <c r="E6" s="1"/>
      <c r="F6" s="1"/>
      <c r="G6" s="1"/>
      <c r="H6" s="63"/>
    </row>
    <row r="7" spans="1:10" ht="14.1" customHeight="1" x14ac:dyDescent="0.2">
      <c r="A7" s="1"/>
      <c r="B7" s="1"/>
      <c r="C7" s="2" t="s">
        <v>11</v>
      </c>
      <c r="D7" s="1"/>
      <c r="E7" s="1" t="s">
        <v>12</v>
      </c>
      <c r="F7" s="3" t="s">
        <v>13</v>
      </c>
      <c r="G7" s="4">
        <v>0</v>
      </c>
      <c r="H7" s="63"/>
    </row>
    <row r="8" spans="1:10" ht="14.1" customHeight="1" x14ac:dyDescent="0.2">
      <c r="A8" s="1"/>
      <c r="B8" s="1"/>
      <c r="C8" s="5"/>
      <c r="D8" s="1"/>
      <c r="E8" s="1"/>
      <c r="F8" s="6"/>
      <c r="G8" s="6"/>
      <c r="H8" s="63"/>
    </row>
    <row r="9" spans="1:10" ht="14.1" customHeight="1" x14ac:dyDescent="0.2">
      <c r="A9" s="1"/>
      <c r="B9" s="1"/>
      <c r="C9" s="2" t="s">
        <v>14</v>
      </c>
      <c r="D9" s="1"/>
      <c r="E9" s="1"/>
      <c r="F9" s="1"/>
      <c r="G9" s="1"/>
      <c r="H9" s="63"/>
    </row>
    <row r="10" spans="1:10" ht="14.1" customHeight="1" x14ac:dyDescent="0.2">
      <c r="A10" s="1"/>
      <c r="B10" s="1"/>
      <c r="C10" s="2" t="s">
        <v>11</v>
      </c>
      <c r="D10" s="1"/>
      <c r="E10" s="1" t="s">
        <v>12</v>
      </c>
      <c r="F10" s="3" t="s">
        <v>13</v>
      </c>
      <c r="G10" s="4">
        <v>0</v>
      </c>
      <c r="H10" s="63"/>
    </row>
    <row r="11" spans="1:10" ht="14.1" customHeight="1" x14ac:dyDescent="0.2">
      <c r="A11" s="1"/>
      <c r="B11" s="1"/>
      <c r="C11" s="5"/>
      <c r="D11" s="1"/>
      <c r="E11" s="1"/>
      <c r="F11" s="6"/>
      <c r="G11" s="6"/>
      <c r="H11" s="63"/>
    </row>
    <row r="12" spans="1:10" ht="14.1" customHeight="1" x14ac:dyDescent="0.2">
      <c r="A12" s="1"/>
      <c r="B12" s="1"/>
      <c r="C12" s="2" t="s">
        <v>15</v>
      </c>
      <c r="D12" s="1"/>
      <c r="E12" s="1"/>
      <c r="F12" s="1"/>
      <c r="G12" s="1"/>
      <c r="H12" s="63"/>
      <c r="J12" s="119"/>
    </row>
    <row r="13" spans="1:10" ht="14.1" customHeight="1" x14ac:dyDescent="0.2">
      <c r="A13" s="1"/>
      <c r="B13" s="1"/>
      <c r="C13" s="2" t="s">
        <v>11</v>
      </c>
      <c r="D13" s="1"/>
      <c r="E13" s="1" t="s">
        <v>12</v>
      </c>
      <c r="F13" s="3" t="s">
        <v>13</v>
      </c>
      <c r="G13" s="4">
        <v>0</v>
      </c>
      <c r="H13" s="63"/>
      <c r="J13" s="120"/>
    </row>
    <row r="14" spans="1:10" ht="14.1" customHeight="1" x14ac:dyDescent="0.2">
      <c r="A14" s="1"/>
      <c r="B14" s="1"/>
      <c r="C14" s="5"/>
      <c r="D14" s="1"/>
      <c r="E14" s="1"/>
      <c r="F14" s="6"/>
      <c r="G14" s="6"/>
      <c r="H14" s="63"/>
    </row>
    <row r="15" spans="1:10" ht="14.1" customHeight="1" x14ac:dyDescent="0.2">
      <c r="A15" s="1"/>
      <c r="B15" s="1"/>
      <c r="C15" s="2" t="s">
        <v>16</v>
      </c>
      <c r="D15" s="1"/>
      <c r="E15" s="1"/>
      <c r="F15" s="1"/>
      <c r="G15" s="1"/>
      <c r="H15" s="63"/>
      <c r="J15" s="120" t="s">
        <v>567</v>
      </c>
    </row>
    <row r="16" spans="1:10" ht="14.1" customHeight="1" x14ac:dyDescent="0.2">
      <c r="A16" s="1"/>
      <c r="B16" s="1"/>
      <c r="C16" s="2" t="s">
        <v>11</v>
      </c>
      <c r="D16" s="1"/>
      <c r="E16" s="1" t="s">
        <v>12</v>
      </c>
      <c r="F16" s="3" t="s">
        <v>13</v>
      </c>
      <c r="G16" s="4">
        <v>0</v>
      </c>
      <c r="H16" s="63"/>
    </row>
    <row r="17" spans="1:10" ht="14.1" customHeight="1" x14ac:dyDescent="0.2">
      <c r="A17" s="1"/>
      <c r="B17" s="1"/>
      <c r="C17" s="5"/>
      <c r="D17" s="1"/>
      <c r="E17" s="1"/>
      <c r="F17" s="6"/>
      <c r="G17" s="6"/>
      <c r="H17" s="63"/>
    </row>
    <row r="18" spans="1:10" ht="14.1" customHeight="1" x14ac:dyDescent="0.2">
      <c r="A18" s="1"/>
      <c r="B18" s="1"/>
      <c r="C18" s="2" t="s">
        <v>17</v>
      </c>
      <c r="D18" s="1"/>
      <c r="E18" s="1"/>
      <c r="F18" s="6"/>
      <c r="G18" s="6"/>
      <c r="H18" s="63"/>
    </row>
    <row r="19" spans="1:10" ht="14.1" customHeight="1" x14ac:dyDescent="0.2">
      <c r="A19" s="1"/>
      <c r="B19" s="1"/>
      <c r="C19" s="2" t="s">
        <v>11</v>
      </c>
      <c r="D19" s="1"/>
      <c r="E19" s="1" t="s">
        <v>12</v>
      </c>
      <c r="F19" s="3" t="s">
        <v>13</v>
      </c>
      <c r="G19" s="4">
        <v>0</v>
      </c>
      <c r="H19" s="63"/>
    </row>
    <row r="20" spans="1:10" ht="14.1" customHeight="1" x14ac:dyDescent="0.2">
      <c r="A20" s="1"/>
      <c r="B20" s="1"/>
      <c r="C20" s="5"/>
      <c r="D20" s="1"/>
      <c r="E20" s="1"/>
      <c r="F20" s="6"/>
      <c r="G20" s="6"/>
      <c r="H20" s="63"/>
    </row>
    <row r="21" spans="1:10" ht="14.1" customHeight="1" x14ac:dyDescent="0.2">
      <c r="A21" s="1"/>
      <c r="B21" s="1"/>
      <c r="C21" s="2" t="s">
        <v>18</v>
      </c>
      <c r="D21" s="1"/>
      <c r="E21" s="1"/>
      <c r="F21" s="6"/>
      <c r="G21" s="6"/>
      <c r="H21" s="63"/>
    </row>
    <row r="22" spans="1:10" ht="14.1" customHeight="1" x14ac:dyDescent="0.2">
      <c r="A22" s="1"/>
      <c r="B22" s="1"/>
      <c r="C22" s="2" t="s">
        <v>11</v>
      </c>
      <c r="D22" s="1"/>
      <c r="E22" s="1" t="s">
        <v>12</v>
      </c>
      <c r="F22" s="3" t="s">
        <v>13</v>
      </c>
      <c r="G22" s="4">
        <v>0</v>
      </c>
      <c r="H22" s="63"/>
      <c r="J22" s="119"/>
    </row>
    <row r="23" spans="1:10" ht="14.1" customHeight="1" x14ac:dyDescent="0.2">
      <c r="A23" s="1"/>
      <c r="B23" s="1"/>
      <c r="C23" s="5"/>
      <c r="D23" s="1"/>
      <c r="E23" s="1"/>
      <c r="F23" s="6"/>
      <c r="G23" s="6"/>
      <c r="H23" s="63"/>
      <c r="J23" s="120"/>
    </row>
    <row r="24" spans="1:10" ht="18" customHeight="1" x14ac:dyDescent="0.2">
      <c r="A24" s="1"/>
      <c r="B24" s="1"/>
      <c r="C24" s="2" t="s">
        <v>19</v>
      </c>
      <c r="D24" s="1"/>
      <c r="E24" s="1"/>
      <c r="F24" s="7">
        <v>0</v>
      </c>
      <c r="G24" s="4">
        <v>0</v>
      </c>
      <c r="H24" s="63"/>
    </row>
    <row r="25" spans="1:10" ht="14.1" customHeight="1" x14ac:dyDescent="0.2">
      <c r="A25" s="1"/>
      <c r="B25" s="1"/>
      <c r="C25" s="5"/>
      <c r="D25" s="1"/>
      <c r="E25" s="1"/>
      <c r="F25" s="6"/>
      <c r="G25" s="6"/>
      <c r="H25" s="63"/>
    </row>
    <row r="26" spans="1:10" ht="14.1" customHeight="1" x14ac:dyDescent="0.2">
      <c r="A26" s="1"/>
      <c r="B26" s="1"/>
      <c r="C26" s="2" t="s">
        <v>20</v>
      </c>
      <c r="D26" s="1"/>
      <c r="E26" s="1"/>
      <c r="F26" s="6"/>
      <c r="G26" s="6"/>
      <c r="H26" s="63"/>
    </row>
    <row r="27" spans="1:10" ht="24" customHeight="1" x14ac:dyDescent="0.2">
      <c r="A27" s="1"/>
      <c r="B27" s="1"/>
      <c r="C27" s="2" t="s">
        <v>10</v>
      </c>
      <c r="D27" s="1"/>
      <c r="E27" s="1"/>
      <c r="F27" s="6"/>
      <c r="G27" s="6"/>
      <c r="H27" s="63"/>
    </row>
    <row r="28" spans="1:10" ht="29.1" customHeight="1" x14ac:dyDescent="0.2">
      <c r="A28" s="8">
        <v>1</v>
      </c>
      <c r="B28" s="9" t="s">
        <v>44</v>
      </c>
      <c r="C28" s="9" t="s">
        <v>45</v>
      </c>
      <c r="D28" s="9" t="s">
        <v>46</v>
      </c>
      <c r="E28" s="10">
        <v>300</v>
      </c>
      <c r="F28" s="11">
        <v>2992.587</v>
      </c>
      <c r="G28" s="12">
        <v>9.1366379999999997E-2</v>
      </c>
      <c r="H28" s="63">
        <v>7.5</v>
      </c>
      <c r="J28" s="120"/>
    </row>
    <row r="29" spans="1:10" ht="17.100000000000001" customHeight="1" x14ac:dyDescent="0.2">
      <c r="A29" s="8">
        <v>2</v>
      </c>
      <c r="B29" s="9" t="s">
        <v>102</v>
      </c>
      <c r="C29" s="9" t="s">
        <v>103</v>
      </c>
      <c r="D29" s="9" t="s">
        <v>46</v>
      </c>
      <c r="E29" s="10">
        <v>250</v>
      </c>
      <c r="F29" s="11">
        <v>2487.4825000000001</v>
      </c>
      <c r="G29" s="12">
        <v>7.5945079999999998E-2</v>
      </c>
      <c r="H29" s="63">
        <v>7.6950000000000003</v>
      </c>
      <c r="J29" s="120" t="s">
        <v>566</v>
      </c>
    </row>
    <row r="30" spans="1:10" ht="29.1" customHeight="1" x14ac:dyDescent="0.2">
      <c r="A30" s="8">
        <v>3</v>
      </c>
      <c r="B30" s="9" t="s">
        <v>21</v>
      </c>
      <c r="C30" s="9" t="s">
        <v>22</v>
      </c>
      <c r="D30" s="9" t="s">
        <v>23</v>
      </c>
      <c r="E30" s="10">
        <v>2500</v>
      </c>
      <c r="F30" s="11">
        <v>2482.4650000000001</v>
      </c>
      <c r="G30" s="12">
        <v>7.5791890000000001E-2</v>
      </c>
      <c r="H30" s="63">
        <v>7.5749000000000004</v>
      </c>
    </row>
    <row r="31" spans="1:10" ht="29.1" customHeight="1" x14ac:dyDescent="0.2">
      <c r="A31" s="8">
        <v>4</v>
      </c>
      <c r="B31" s="9" t="s">
        <v>104</v>
      </c>
      <c r="C31" s="9" t="s">
        <v>105</v>
      </c>
      <c r="D31" s="9" t="s">
        <v>46</v>
      </c>
      <c r="E31" s="10">
        <v>250</v>
      </c>
      <c r="F31" s="11">
        <v>2446.3375000000001</v>
      </c>
      <c r="G31" s="12">
        <v>7.4688889999999994E-2</v>
      </c>
      <c r="H31" s="63">
        <v>7.5750000000000002</v>
      </c>
    </row>
    <row r="32" spans="1:10" ht="29.1" customHeight="1" x14ac:dyDescent="0.2">
      <c r="A32" s="8">
        <v>5</v>
      </c>
      <c r="B32" s="9" t="s">
        <v>106</v>
      </c>
      <c r="C32" s="9" t="s">
        <v>107</v>
      </c>
      <c r="D32" s="9" t="s">
        <v>46</v>
      </c>
      <c r="E32" s="10">
        <v>200</v>
      </c>
      <c r="F32" s="11">
        <v>1991.884</v>
      </c>
      <c r="G32" s="12">
        <v>6.0814010000000002E-2</v>
      </c>
      <c r="H32" s="63">
        <v>7.78</v>
      </c>
    </row>
    <row r="33" spans="1:8" ht="29.1" customHeight="1" x14ac:dyDescent="0.2">
      <c r="A33" s="8">
        <v>6</v>
      </c>
      <c r="B33" s="9" t="s">
        <v>108</v>
      </c>
      <c r="C33" s="9" t="s">
        <v>109</v>
      </c>
      <c r="D33" s="9" t="s">
        <v>46</v>
      </c>
      <c r="E33" s="10">
        <v>200</v>
      </c>
      <c r="F33" s="11">
        <v>1935.8579999999999</v>
      </c>
      <c r="G33" s="12">
        <v>5.9103490000000002E-2</v>
      </c>
      <c r="H33" s="63">
        <v>7.6524999999999999</v>
      </c>
    </row>
    <row r="34" spans="1:8" ht="29.1" customHeight="1" x14ac:dyDescent="0.2">
      <c r="A34" s="8">
        <v>7</v>
      </c>
      <c r="B34" s="9" t="s">
        <v>30</v>
      </c>
      <c r="C34" s="9" t="s">
        <v>31</v>
      </c>
      <c r="D34" s="9" t="s">
        <v>23</v>
      </c>
      <c r="E34" s="10">
        <v>1500</v>
      </c>
      <c r="F34" s="11">
        <v>1497.0525</v>
      </c>
      <c r="G34" s="12">
        <v>4.5706360000000001E-2</v>
      </c>
      <c r="H34" s="63">
        <v>7.6677999999999997</v>
      </c>
    </row>
    <row r="35" spans="1:8" ht="29.1" customHeight="1" x14ac:dyDescent="0.2">
      <c r="A35" s="8">
        <v>8</v>
      </c>
      <c r="B35" s="9" t="s">
        <v>110</v>
      </c>
      <c r="C35" s="9" t="s">
        <v>111</v>
      </c>
      <c r="D35" s="9" t="s">
        <v>46</v>
      </c>
      <c r="E35" s="10">
        <v>150</v>
      </c>
      <c r="F35" s="11">
        <v>1490.925</v>
      </c>
      <c r="G35" s="12">
        <v>4.5519280000000002E-2</v>
      </c>
      <c r="H35" s="63">
        <v>7.7549999999999999</v>
      </c>
    </row>
    <row r="36" spans="1:8" ht="29.1" customHeight="1" x14ac:dyDescent="0.2">
      <c r="A36" s="8">
        <v>9</v>
      </c>
      <c r="B36" s="9" t="s">
        <v>57</v>
      </c>
      <c r="C36" s="9" t="s">
        <v>58</v>
      </c>
      <c r="D36" s="9" t="s">
        <v>23</v>
      </c>
      <c r="E36" s="10">
        <v>100</v>
      </c>
      <c r="F36" s="11">
        <v>1002.446</v>
      </c>
      <c r="G36" s="12">
        <v>3.060558E-2</v>
      </c>
      <c r="H36" s="63">
        <v>7.8513999999999999</v>
      </c>
    </row>
    <row r="37" spans="1:8" ht="29.1" customHeight="1" x14ac:dyDescent="0.2">
      <c r="A37" s="8">
        <v>10</v>
      </c>
      <c r="B37" s="9" t="s">
        <v>112</v>
      </c>
      <c r="C37" s="9" t="s">
        <v>113</v>
      </c>
      <c r="D37" s="9" t="s">
        <v>23</v>
      </c>
      <c r="E37" s="10">
        <v>1000</v>
      </c>
      <c r="F37" s="11">
        <v>986.21799999999996</v>
      </c>
      <c r="G37" s="12">
        <v>3.0110120000000001E-2</v>
      </c>
      <c r="H37" s="63">
        <v>7.5510999999999999</v>
      </c>
    </row>
    <row r="38" spans="1:8" ht="29.1" customHeight="1" x14ac:dyDescent="0.2">
      <c r="A38" s="8">
        <v>11</v>
      </c>
      <c r="B38" s="9" t="s">
        <v>114</v>
      </c>
      <c r="C38" s="9" t="s">
        <v>115</v>
      </c>
      <c r="D38" s="9" t="s">
        <v>23</v>
      </c>
      <c r="E38" s="10">
        <v>500</v>
      </c>
      <c r="F38" s="11">
        <v>501.06549999999999</v>
      </c>
      <c r="G38" s="12">
        <v>1.5297979999999999E-2</v>
      </c>
      <c r="H38" s="63">
        <v>7.5749000000000004</v>
      </c>
    </row>
    <row r="39" spans="1:8" ht="17.100000000000001" customHeight="1" x14ac:dyDescent="0.2">
      <c r="A39" s="8">
        <v>12</v>
      </c>
      <c r="B39" s="9" t="s">
        <v>49</v>
      </c>
      <c r="C39" s="9" t="s">
        <v>50</v>
      </c>
      <c r="D39" s="9" t="s">
        <v>23</v>
      </c>
      <c r="E39" s="10">
        <v>500</v>
      </c>
      <c r="F39" s="11">
        <v>501.0385</v>
      </c>
      <c r="G39" s="12">
        <v>1.5297160000000001E-2</v>
      </c>
      <c r="H39" s="63">
        <v>7.65</v>
      </c>
    </row>
    <row r="40" spans="1:8" ht="29.1" customHeight="1" x14ac:dyDescent="0.2">
      <c r="A40" s="8">
        <v>13</v>
      </c>
      <c r="B40" s="9" t="s">
        <v>116</v>
      </c>
      <c r="C40" s="9" t="s">
        <v>117</v>
      </c>
      <c r="D40" s="9" t="s">
        <v>23</v>
      </c>
      <c r="E40" s="10">
        <v>500</v>
      </c>
      <c r="F40" s="11">
        <v>499.62549999999999</v>
      </c>
      <c r="G40" s="12">
        <v>1.525402E-2</v>
      </c>
      <c r="H40" s="63">
        <v>8.0884</v>
      </c>
    </row>
    <row r="41" spans="1:8" ht="29.1" customHeight="1" x14ac:dyDescent="0.2">
      <c r="A41" s="8">
        <v>14</v>
      </c>
      <c r="B41" s="9" t="s">
        <v>118</v>
      </c>
      <c r="C41" s="9" t="s">
        <v>119</v>
      </c>
      <c r="D41" s="9" t="s">
        <v>23</v>
      </c>
      <c r="E41" s="10">
        <v>500</v>
      </c>
      <c r="F41" s="11">
        <v>498.916</v>
      </c>
      <c r="G41" s="12">
        <v>1.523236E-2</v>
      </c>
      <c r="H41" s="63">
        <v>8.0103000000000009</v>
      </c>
    </row>
    <row r="42" spans="1:8" ht="29.1" customHeight="1" x14ac:dyDescent="0.2">
      <c r="A42" s="8">
        <v>15</v>
      </c>
      <c r="B42" s="9" t="s">
        <v>120</v>
      </c>
      <c r="C42" s="9" t="s">
        <v>121</v>
      </c>
      <c r="D42" s="9" t="s">
        <v>46</v>
      </c>
      <c r="E42" s="10">
        <v>50</v>
      </c>
      <c r="F42" s="11">
        <v>497.30700000000002</v>
      </c>
      <c r="G42" s="12">
        <v>1.5183230000000001E-2</v>
      </c>
      <c r="H42" s="63">
        <v>7.8118999999999996</v>
      </c>
    </row>
    <row r="43" spans="1:8" ht="29.1" customHeight="1" x14ac:dyDescent="0.2">
      <c r="A43" s="8">
        <v>16</v>
      </c>
      <c r="B43" s="9" t="s">
        <v>122</v>
      </c>
      <c r="C43" s="9" t="s">
        <v>123</v>
      </c>
      <c r="D43" s="9" t="s">
        <v>46</v>
      </c>
      <c r="E43" s="10">
        <v>165</v>
      </c>
      <c r="F43" s="11">
        <v>488.06405999999998</v>
      </c>
      <c r="G43" s="12">
        <v>1.4901040000000001E-2</v>
      </c>
      <c r="H43" s="63">
        <v>7.6749999999999998</v>
      </c>
    </row>
    <row r="44" spans="1:8" ht="14.1" customHeight="1" x14ac:dyDescent="0.2">
      <c r="A44" s="1"/>
      <c r="B44" s="1"/>
      <c r="C44" s="2" t="s">
        <v>11</v>
      </c>
      <c r="D44" s="1"/>
      <c r="E44" s="1" t="s">
        <v>12</v>
      </c>
      <c r="F44" s="7">
        <v>22299.272059999999</v>
      </c>
      <c r="G44" s="4">
        <v>0.68081687000000002</v>
      </c>
      <c r="H44" s="63"/>
    </row>
    <row r="45" spans="1:8" ht="14.1" customHeight="1" x14ac:dyDescent="0.2">
      <c r="A45" s="1"/>
      <c r="B45" s="1"/>
      <c r="C45" s="5"/>
      <c r="D45" s="1"/>
      <c r="E45" s="1"/>
      <c r="F45" s="6"/>
      <c r="G45" s="6"/>
      <c r="H45" s="63"/>
    </row>
    <row r="46" spans="1:8" ht="14.1" customHeight="1" x14ac:dyDescent="0.2">
      <c r="A46" s="1"/>
      <c r="B46" s="1"/>
      <c r="C46" s="2" t="s">
        <v>61</v>
      </c>
      <c r="D46" s="1"/>
      <c r="E46" s="1"/>
      <c r="F46" s="1"/>
      <c r="G46" s="1"/>
      <c r="H46" s="63"/>
    </row>
    <row r="47" spans="1:8" ht="14.1" customHeight="1" x14ac:dyDescent="0.2">
      <c r="A47" s="1"/>
      <c r="B47" s="1"/>
      <c r="C47" s="2" t="s">
        <v>11</v>
      </c>
      <c r="D47" s="1"/>
      <c r="E47" s="1" t="s">
        <v>12</v>
      </c>
      <c r="F47" s="3" t="s">
        <v>13</v>
      </c>
      <c r="G47" s="4">
        <v>0</v>
      </c>
      <c r="H47" s="63"/>
    </row>
    <row r="48" spans="1:8" ht="14.1" customHeight="1" x14ac:dyDescent="0.2">
      <c r="A48" s="1"/>
      <c r="B48" s="1"/>
      <c r="C48" s="5"/>
      <c r="D48" s="1"/>
      <c r="E48" s="1"/>
      <c r="F48" s="6"/>
      <c r="G48" s="6"/>
      <c r="H48" s="63"/>
    </row>
    <row r="49" spans="1:8" ht="14.1" customHeight="1" x14ac:dyDescent="0.2">
      <c r="A49" s="1"/>
      <c r="B49" s="1"/>
      <c r="C49" s="2" t="s">
        <v>62</v>
      </c>
      <c r="D49" s="1"/>
      <c r="E49" s="1"/>
      <c r="F49" s="1"/>
      <c r="G49" s="1"/>
      <c r="H49" s="63"/>
    </row>
    <row r="50" spans="1:8" x14ac:dyDescent="0.2">
      <c r="A50" s="8">
        <v>1</v>
      </c>
      <c r="B50" s="9" t="s">
        <v>63</v>
      </c>
      <c r="C50" s="9" t="s">
        <v>64</v>
      </c>
      <c r="D50" s="9" t="s">
        <v>65</v>
      </c>
      <c r="E50" s="10">
        <v>3500000</v>
      </c>
      <c r="F50" s="11">
        <v>3521.5844999999999</v>
      </c>
      <c r="G50" s="12">
        <v>0.10751715000000001</v>
      </c>
      <c r="H50" s="63">
        <v>7.2111000000000001</v>
      </c>
    </row>
    <row r="51" spans="1:8" ht="17.100000000000001" customHeight="1" x14ac:dyDescent="0.2">
      <c r="A51" s="8">
        <v>2</v>
      </c>
      <c r="B51" s="9" t="s">
        <v>66</v>
      </c>
      <c r="C51" s="9" t="s">
        <v>67</v>
      </c>
      <c r="D51" s="9" t="s">
        <v>65</v>
      </c>
      <c r="E51" s="10">
        <v>2500000</v>
      </c>
      <c r="F51" s="11">
        <v>2528.5324999999998</v>
      </c>
      <c r="G51" s="12">
        <v>7.7198379999999997E-2</v>
      </c>
      <c r="H51" s="63">
        <v>7.2233000000000001</v>
      </c>
    </row>
    <row r="52" spans="1:8" ht="17.100000000000001" customHeight="1" x14ac:dyDescent="0.2">
      <c r="A52" s="8">
        <v>3</v>
      </c>
      <c r="B52" s="9" t="s">
        <v>124</v>
      </c>
      <c r="C52" s="9" t="s">
        <v>125</v>
      </c>
      <c r="D52" s="9" t="s">
        <v>65</v>
      </c>
      <c r="E52" s="10">
        <v>1000000</v>
      </c>
      <c r="F52" s="11">
        <v>1010.867</v>
      </c>
      <c r="G52" s="12">
        <v>3.086268E-2</v>
      </c>
      <c r="H52" s="63">
        <v>7.2037000000000004</v>
      </c>
    </row>
    <row r="53" spans="1:8" ht="14.1" customHeight="1" x14ac:dyDescent="0.2">
      <c r="A53" s="1"/>
      <c r="B53" s="1"/>
      <c r="C53" s="2" t="s">
        <v>11</v>
      </c>
      <c r="D53" s="1"/>
      <c r="E53" s="1" t="s">
        <v>12</v>
      </c>
      <c r="F53" s="7">
        <v>7060.9840000000004</v>
      </c>
      <c r="G53" s="4">
        <v>0.21557820999999999</v>
      </c>
      <c r="H53" s="63"/>
    </row>
    <row r="54" spans="1:8" ht="14.1" customHeight="1" x14ac:dyDescent="0.2">
      <c r="A54" s="1"/>
      <c r="B54" s="1"/>
      <c r="C54" s="5"/>
      <c r="D54" s="1"/>
      <c r="E54" s="1"/>
      <c r="F54" s="6"/>
      <c r="G54" s="6"/>
      <c r="H54" s="63"/>
    </row>
    <row r="55" spans="1:8" ht="14.1" customHeight="1" x14ac:dyDescent="0.2">
      <c r="A55" s="1"/>
      <c r="B55" s="1"/>
      <c r="C55" s="2" t="s">
        <v>70</v>
      </c>
      <c r="D55" s="1"/>
      <c r="E55" s="1"/>
      <c r="F55" s="6"/>
      <c r="G55" s="6"/>
      <c r="H55" s="63"/>
    </row>
    <row r="56" spans="1:8" ht="14.1" customHeight="1" x14ac:dyDescent="0.2">
      <c r="A56" s="1"/>
      <c r="B56" s="1"/>
      <c r="C56" s="2" t="s">
        <v>11</v>
      </c>
      <c r="D56" s="1"/>
      <c r="E56" s="1" t="s">
        <v>12</v>
      </c>
      <c r="F56" s="3" t="s">
        <v>13</v>
      </c>
      <c r="G56" s="4">
        <v>0</v>
      </c>
      <c r="H56" s="63"/>
    </row>
    <row r="57" spans="1:8" ht="14.1" customHeight="1" x14ac:dyDescent="0.2">
      <c r="A57" s="1"/>
      <c r="B57" s="1"/>
      <c r="C57" s="5"/>
      <c r="D57" s="1"/>
      <c r="E57" s="1"/>
      <c r="F57" s="6"/>
      <c r="G57" s="6"/>
      <c r="H57" s="63"/>
    </row>
    <row r="58" spans="1:8" ht="14.1" customHeight="1" x14ac:dyDescent="0.2">
      <c r="A58" s="1"/>
      <c r="B58" s="1"/>
      <c r="C58" s="2" t="s">
        <v>71</v>
      </c>
      <c r="D58" s="1"/>
      <c r="E58" s="1"/>
      <c r="F58" s="7">
        <v>29360.25606</v>
      </c>
      <c r="G58" s="4">
        <v>0.89639508000000001</v>
      </c>
      <c r="H58" s="63"/>
    </row>
    <row r="59" spans="1:8" ht="14.1" customHeight="1" x14ac:dyDescent="0.2">
      <c r="A59" s="1"/>
      <c r="B59" s="1"/>
      <c r="C59" s="5"/>
      <c r="D59" s="1"/>
      <c r="E59" s="1"/>
      <c r="F59" s="6"/>
      <c r="G59" s="6"/>
      <c r="H59" s="63"/>
    </row>
    <row r="60" spans="1:8" ht="14.1" customHeight="1" x14ac:dyDescent="0.2">
      <c r="A60" s="1"/>
      <c r="B60" s="1"/>
      <c r="C60" s="2" t="s">
        <v>72</v>
      </c>
      <c r="D60" s="1"/>
      <c r="E60" s="1"/>
      <c r="F60" s="6"/>
      <c r="G60" s="6"/>
      <c r="H60" s="63"/>
    </row>
    <row r="61" spans="1:8" ht="14.1" customHeight="1" x14ac:dyDescent="0.2">
      <c r="A61" s="1"/>
      <c r="B61" s="1"/>
      <c r="C61" s="2" t="s">
        <v>73</v>
      </c>
      <c r="D61" s="1"/>
      <c r="E61" s="1"/>
      <c r="F61" s="6"/>
      <c r="G61" s="6"/>
      <c r="H61" s="63"/>
    </row>
    <row r="62" spans="1:8" ht="17.100000000000001" customHeight="1" x14ac:dyDescent="0.2">
      <c r="A62" s="8">
        <v>1</v>
      </c>
      <c r="B62" s="9" t="s">
        <v>126</v>
      </c>
      <c r="C62" s="9" t="s">
        <v>127</v>
      </c>
      <c r="D62" s="9" t="s">
        <v>128</v>
      </c>
      <c r="E62" s="10">
        <v>200</v>
      </c>
      <c r="F62" s="11">
        <v>961.36</v>
      </c>
      <c r="G62" s="12">
        <v>2.9351189999999999E-2</v>
      </c>
      <c r="H62" s="63">
        <v>7.4851000000000001</v>
      </c>
    </row>
    <row r="63" spans="1:8" ht="14.1" customHeight="1" x14ac:dyDescent="0.2">
      <c r="A63" s="1"/>
      <c r="B63" s="1"/>
      <c r="C63" s="2" t="s">
        <v>11</v>
      </c>
      <c r="D63" s="1"/>
      <c r="E63" s="1" t="s">
        <v>12</v>
      </c>
      <c r="F63" s="7">
        <v>961.36</v>
      </c>
      <c r="G63" s="4">
        <v>2.9351189999999999E-2</v>
      </c>
      <c r="H63" s="63"/>
    </row>
    <row r="64" spans="1:8" ht="14.1" customHeight="1" x14ac:dyDescent="0.2">
      <c r="A64" s="1"/>
      <c r="B64" s="1"/>
      <c r="C64" s="5"/>
      <c r="D64" s="1"/>
      <c r="E64" s="1"/>
      <c r="F64" s="6"/>
      <c r="G64" s="6"/>
      <c r="H64" s="63"/>
    </row>
    <row r="65" spans="1:8" ht="14.1" customHeight="1" x14ac:dyDescent="0.2">
      <c r="A65" s="1"/>
      <c r="B65" s="1"/>
      <c r="C65" s="2" t="s">
        <v>74</v>
      </c>
      <c r="D65" s="1"/>
      <c r="E65" s="1"/>
      <c r="F65" s="6"/>
      <c r="G65" s="6"/>
      <c r="H65" s="63"/>
    </row>
    <row r="66" spans="1:8" ht="14.1" customHeight="1" x14ac:dyDescent="0.2">
      <c r="A66" s="1"/>
      <c r="B66" s="1"/>
      <c r="C66" s="2" t="s">
        <v>11</v>
      </c>
      <c r="D66" s="1"/>
      <c r="E66" s="1" t="s">
        <v>12</v>
      </c>
      <c r="F66" s="3" t="s">
        <v>13</v>
      </c>
      <c r="G66" s="4">
        <v>0</v>
      </c>
      <c r="H66" s="63"/>
    </row>
    <row r="67" spans="1:8" ht="14.1" customHeight="1" x14ac:dyDescent="0.2">
      <c r="A67" s="1"/>
      <c r="B67" s="1"/>
      <c r="C67" s="5"/>
      <c r="D67" s="1"/>
      <c r="E67" s="1"/>
      <c r="F67" s="6"/>
      <c r="G67" s="6"/>
      <c r="H67" s="63"/>
    </row>
    <row r="68" spans="1:8" ht="14.1" customHeight="1" x14ac:dyDescent="0.2">
      <c r="A68" s="1"/>
      <c r="B68" s="1"/>
      <c r="C68" s="2" t="s">
        <v>75</v>
      </c>
      <c r="D68" s="1"/>
      <c r="E68" s="1"/>
      <c r="F68" s="6"/>
      <c r="G68" s="6"/>
      <c r="H68" s="63"/>
    </row>
    <row r="69" spans="1:8" ht="14.1" customHeight="1" x14ac:dyDescent="0.2">
      <c r="A69" s="1"/>
      <c r="B69" s="1"/>
      <c r="C69" s="2" t="s">
        <v>11</v>
      </c>
      <c r="D69" s="1"/>
      <c r="E69" s="1" t="s">
        <v>12</v>
      </c>
      <c r="F69" s="3" t="s">
        <v>13</v>
      </c>
      <c r="G69" s="4">
        <v>0</v>
      </c>
      <c r="H69" s="63"/>
    </row>
    <row r="70" spans="1:8" ht="14.1" customHeight="1" x14ac:dyDescent="0.2">
      <c r="A70" s="1"/>
      <c r="B70" s="1"/>
      <c r="C70" s="5"/>
      <c r="D70" s="1"/>
      <c r="E70" s="1"/>
      <c r="F70" s="6"/>
      <c r="G70" s="6"/>
      <c r="H70" s="63"/>
    </row>
    <row r="71" spans="1:8" ht="14.1" customHeight="1" x14ac:dyDescent="0.2">
      <c r="A71" s="1"/>
      <c r="B71" s="1"/>
      <c r="C71" s="2" t="s">
        <v>76</v>
      </c>
      <c r="D71" s="1"/>
      <c r="E71" s="1"/>
      <c r="F71" s="6"/>
      <c r="G71" s="6"/>
      <c r="H71" s="63"/>
    </row>
    <row r="72" spans="1:8" ht="17.100000000000001" customHeight="1" x14ac:dyDescent="0.2">
      <c r="A72" s="8">
        <v>1</v>
      </c>
      <c r="B72" s="9"/>
      <c r="C72" s="9" t="s">
        <v>77</v>
      </c>
      <c r="D72" s="9"/>
      <c r="E72" s="13"/>
      <c r="F72" s="11">
        <v>1585.741068</v>
      </c>
      <c r="G72" s="12">
        <v>4.8414100000000002E-2</v>
      </c>
      <c r="H72" s="63" t="s">
        <v>482</v>
      </c>
    </row>
    <row r="73" spans="1:8" ht="14.1" customHeight="1" x14ac:dyDescent="0.2">
      <c r="A73" s="1"/>
      <c r="B73" s="1"/>
      <c r="C73" s="2" t="s">
        <v>11</v>
      </c>
      <c r="D73" s="1"/>
      <c r="E73" s="1" t="s">
        <v>12</v>
      </c>
      <c r="F73" s="7">
        <v>1585.741068</v>
      </c>
      <c r="G73" s="4">
        <v>4.8414100000000002E-2</v>
      </c>
      <c r="H73" s="63"/>
    </row>
    <row r="74" spans="1:8" ht="14.1" customHeight="1" x14ac:dyDescent="0.2">
      <c r="A74" s="1"/>
      <c r="B74" s="1"/>
      <c r="C74" s="5"/>
      <c r="D74" s="1"/>
      <c r="E74" s="1"/>
      <c r="F74" s="6"/>
      <c r="G74" s="6"/>
      <c r="H74" s="63"/>
    </row>
    <row r="75" spans="1:8" ht="14.1" customHeight="1" x14ac:dyDescent="0.2">
      <c r="A75" s="1"/>
      <c r="B75" s="1"/>
      <c r="C75" s="2" t="s">
        <v>78</v>
      </c>
      <c r="D75" s="1"/>
      <c r="E75" s="1"/>
      <c r="F75" s="7">
        <v>2547.1010679999999</v>
      </c>
      <c r="G75" s="4">
        <v>7.7765290000000001E-2</v>
      </c>
      <c r="H75" s="63"/>
    </row>
    <row r="76" spans="1:8" ht="14.1" customHeight="1" x14ac:dyDescent="0.2">
      <c r="A76" s="1"/>
      <c r="B76" s="1"/>
      <c r="C76" s="6"/>
      <c r="D76" s="1"/>
      <c r="E76" s="1"/>
      <c r="F76" s="1"/>
      <c r="G76" s="1"/>
      <c r="H76" s="63"/>
    </row>
    <row r="77" spans="1:8" ht="14.1" customHeight="1" x14ac:dyDescent="0.2">
      <c r="A77" s="1"/>
      <c r="B77" s="1"/>
      <c r="C77" s="2" t="s">
        <v>79</v>
      </c>
      <c r="D77" s="1"/>
      <c r="E77" s="1"/>
      <c r="F77" s="1"/>
      <c r="G77" s="1"/>
      <c r="H77" s="63"/>
    </row>
    <row r="78" spans="1:8" ht="14.1" customHeight="1" x14ac:dyDescent="0.2">
      <c r="A78" s="1"/>
      <c r="B78" s="1"/>
      <c r="C78" s="2" t="s">
        <v>80</v>
      </c>
      <c r="D78" s="1"/>
      <c r="E78" s="1"/>
      <c r="F78" s="1"/>
      <c r="G78" s="1"/>
      <c r="H78" s="63"/>
    </row>
    <row r="79" spans="1:8" ht="14.1" customHeight="1" x14ac:dyDescent="0.2">
      <c r="A79" s="1"/>
      <c r="B79" s="1"/>
      <c r="C79" s="2" t="s">
        <v>11</v>
      </c>
      <c r="D79" s="1"/>
      <c r="E79" s="1" t="s">
        <v>12</v>
      </c>
      <c r="F79" s="3" t="s">
        <v>13</v>
      </c>
      <c r="G79" s="4">
        <v>0</v>
      </c>
      <c r="H79" s="63"/>
    </row>
    <row r="80" spans="1:8" ht="14.1" customHeight="1" x14ac:dyDescent="0.2">
      <c r="A80" s="1"/>
      <c r="B80" s="1"/>
      <c r="C80" s="5"/>
      <c r="D80" s="1"/>
      <c r="E80" s="1"/>
      <c r="F80" s="6"/>
      <c r="G80" s="6"/>
      <c r="H80" s="63"/>
    </row>
    <row r="81" spans="1:18" ht="14.1" customHeight="1" x14ac:dyDescent="0.2">
      <c r="A81" s="1"/>
      <c r="B81" s="1"/>
      <c r="C81" s="2" t="s">
        <v>83</v>
      </c>
      <c r="D81" s="1"/>
      <c r="E81" s="1"/>
      <c r="F81" s="1"/>
      <c r="G81" s="1"/>
      <c r="H81" s="63"/>
    </row>
    <row r="82" spans="1:18" ht="14.1" customHeight="1" x14ac:dyDescent="0.2">
      <c r="A82" s="1"/>
      <c r="B82" s="1"/>
      <c r="C82" s="2" t="s">
        <v>84</v>
      </c>
      <c r="D82" s="1"/>
      <c r="E82" s="1"/>
      <c r="F82" s="1"/>
      <c r="G82" s="1"/>
      <c r="H82" s="63"/>
    </row>
    <row r="83" spans="1:18" ht="14.1" customHeight="1" x14ac:dyDescent="0.2">
      <c r="A83" s="1"/>
      <c r="B83" s="1"/>
      <c r="C83" s="2" t="s">
        <v>11</v>
      </c>
      <c r="D83" s="1"/>
      <c r="E83" s="1" t="s">
        <v>12</v>
      </c>
      <c r="F83" s="3" t="s">
        <v>13</v>
      </c>
      <c r="G83" s="4">
        <v>0</v>
      </c>
      <c r="H83" s="63"/>
    </row>
    <row r="84" spans="1:18" ht="14.1" customHeight="1" x14ac:dyDescent="0.2">
      <c r="A84" s="1"/>
      <c r="B84" s="1"/>
      <c r="C84" s="5"/>
      <c r="D84" s="1"/>
      <c r="E84" s="1"/>
      <c r="F84" s="6"/>
      <c r="G84" s="6"/>
      <c r="H84" s="63"/>
    </row>
    <row r="85" spans="1:18" x14ac:dyDescent="0.2">
      <c r="A85" s="1"/>
      <c r="B85" s="1"/>
      <c r="C85" s="2" t="s">
        <v>85</v>
      </c>
      <c r="D85" s="1"/>
      <c r="E85" s="1"/>
      <c r="F85" s="6"/>
      <c r="G85" s="6"/>
      <c r="H85" s="63"/>
    </row>
    <row r="86" spans="1:18" ht="14.1" customHeight="1" x14ac:dyDescent="0.2">
      <c r="A86" s="1"/>
      <c r="B86" s="1"/>
      <c r="C86" s="2" t="s">
        <v>11</v>
      </c>
      <c r="D86" s="1"/>
      <c r="E86" s="1" t="s">
        <v>12</v>
      </c>
      <c r="F86" s="3" t="s">
        <v>13</v>
      </c>
      <c r="G86" s="4">
        <v>0</v>
      </c>
      <c r="H86" s="63"/>
    </row>
    <row r="87" spans="1:18" ht="14.1" customHeight="1" x14ac:dyDescent="0.2">
      <c r="A87" s="1"/>
      <c r="B87" s="1"/>
      <c r="C87" s="2"/>
      <c r="D87" s="1"/>
      <c r="E87" s="1"/>
      <c r="F87" s="3"/>
      <c r="G87" s="4"/>
      <c r="H87" s="35"/>
    </row>
    <row r="88" spans="1:18" x14ac:dyDescent="0.2">
      <c r="A88" s="50"/>
      <c r="B88" s="50"/>
      <c r="C88" s="51" t="s">
        <v>481</v>
      </c>
      <c r="D88" s="50"/>
      <c r="E88" s="50"/>
      <c r="F88" s="52"/>
      <c r="G88" s="52"/>
      <c r="H88" s="53"/>
      <c r="K88" s="47"/>
      <c r="L88" s="47"/>
      <c r="M88" s="47"/>
      <c r="N88" s="47"/>
      <c r="O88" s="47"/>
      <c r="P88" s="54"/>
      <c r="Q88" s="54"/>
      <c r="R88" s="54"/>
    </row>
    <row r="89" spans="1:18" ht="29.1" customHeight="1" x14ac:dyDescent="0.2">
      <c r="A89" s="8">
        <v>1</v>
      </c>
      <c r="B89" s="9" t="s">
        <v>81</v>
      </c>
      <c r="C89" s="9" t="s">
        <v>82</v>
      </c>
      <c r="D89" s="9"/>
      <c r="E89" s="14">
        <v>1138.2429999999999</v>
      </c>
      <c r="F89" s="11">
        <v>116.468725326</v>
      </c>
      <c r="G89" s="12">
        <v>3.5558999999999999E-3</v>
      </c>
      <c r="H89" s="63"/>
    </row>
    <row r="90" spans="1:18" x14ac:dyDescent="0.2">
      <c r="A90" s="58"/>
      <c r="B90" s="58"/>
      <c r="C90" s="59" t="s">
        <v>11</v>
      </c>
      <c r="D90" s="58"/>
      <c r="E90" s="58" t="s">
        <v>12</v>
      </c>
      <c r="F90" s="60">
        <f>SUM(F89)</f>
        <v>116.468725326</v>
      </c>
      <c r="G90" s="61">
        <f>SUM(G89)</f>
        <v>3.5558999999999999E-3</v>
      </c>
      <c r="H90" s="53"/>
      <c r="K90" s="47"/>
      <c r="L90" s="47"/>
      <c r="M90" s="47"/>
      <c r="N90" s="47"/>
      <c r="O90" s="47"/>
      <c r="P90" s="54"/>
      <c r="Q90" s="54"/>
      <c r="R90" s="54"/>
    </row>
    <row r="91" spans="1:18" ht="14.1" customHeight="1" x14ac:dyDescent="0.2">
      <c r="A91" s="1"/>
      <c r="B91" s="9"/>
      <c r="C91" s="9"/>
      <c r="D91" s="2"/>
      <c r="E91" s="1"/>
      <c r="F91" s="9"/>
      <c r="G91" s="13"/>
      <c r="H91" s="35"/>
    </row>
    <row r="92" spans="1:18" ht="18" customHeight="1" x14ac:dyDescent="0.2">
      <c r="A92" s="13"/>
      <c r="B92" s="9"/>
      <c r="C92" s="9" t="s">
        <v>86</v>
      </c>
      <c r="D92" s="9"/>
      <c r="E92" s="13"/>
      <c r="F92" s="11">
        <v>729.87505141999998</v>
      </c>
      <c r="G92" s="12">
        <v>2.228374E-2</v>
      </c>
      <c r="H92" s="63"/>
    </row>
    <row r="93" spans="1:18" ht="14.1" customHeight="1" x14ac:dyDescent="0.2">
      <c r="A93" s="5"/>
      <c r="B93" s="5"/>
      <c r="C93" s="2" t="s">
        <v>87</v>
      </c>
      <c r="D93" s="6"/>
      <c r="E93" s="6"/>
      <c r="F93" s="7">
        <v>32753.700904746001</v>
      </c>
      <c r="G93" s="15">
        <v>1.0000000099999999</v>
      </c>
      <c r="H93" s="37"/>
    </row>
    <row r="94" spans="1:18" ht="14.1" customHeight="1" x14ac:dyDescent="0.2">
      <c r="A94" s="16"/>
      <c r="B94" s="16"/>
      <c r="C94" s="16"/>
      <c r="D94" s="17"/>
      <c r="E94" s="17"/>
      <c r="F94" s="17"/>
      <c r="G94" s="17"/>
      <c r="H94" s="38"/>
    </row>
    <row r="95" spans="1:18" ht="12.75" customHeight="1" x14ac:dyDescent="0.2">
      <c r="A95" s="44"/>
      <c r="B95" s="131" t="s">
        <v>477</v>
      </c>
      <c r="C95" s="131"/>
      <c r="D95" s="131"/>
      <c r="E95" s="131"/>
      <c r="F95" s="131"/>
      <c r="G95" s="131"/>
      <c r="H95" s="131"/>
    </row>
    <row r="96" spans="1:18" ht="12.75" customHeight="1" x14ac:dyDescent="0.2">
      <c r="A96" s="44"/>
      <c r="B96" s="131" t="s">
        <v>478</v>
      </c>
      <c r="C96" s="131"/>
      <c r="D96" s="131"/>
      <c r="E96" s="131"/>
      <c r="F96" s="131"/>
      <c r="G96" s="131"/>
      <c r="H96" s="131"/>
    </row>
    <row r="97" spans="1:8" ht="12.75" customHeight="1" x14ac:dyDescent="0.2">
      <c r="A97" s="44"/>
      <c r="B97" s="131" t="s">
        <v>479</v>
      </c>
      <c r="C97" s="131"/>
      <c r="D97" s="131"/>
      <c r="E97" s="131"/>
      <c r="F97" s="131"/>
      <c r="G97" s="131"/>
      <c r="H97" s="131"/>
    </row>
    <row r="98" spans="1:8" ht="14.1" customHeight="1" x14ac:dyDescent="0.2">
      <c r="A98" s="18"/>
      <c r="B98" s="18"/>
      <c r="C98" s="18"/>
      <c r="D98" s="20"/>
      <c r="E98" s="20"/>
      <c r="F98" s="20"/>
      <c r="G98" s="20"/>
      <c r="H98" s="39"/>
    </row>
    <row r="99" spans="1:8" ht="14.1" customHeight="1" x14ac:dyDescent="0.2">
      <c r="A99" s="18"/>
      <c r="B99" s="126" t="s">
        <v>88</v>
      </c>
      <c r="C99" s="127"/>
      <c r="D99" s="128"/>
      <c r="E99" s="21"/>
      <c r="F99" s="20"/>
      <c r="G99" s="20"/>
      <c r="H99" s="39"/>
    </row>
    <row r="100" spans="1:8" ht="29.1" customHeight="1" x14ac:dyDescent="0.2">
      <c r="A100" s="18"/>
      <c r="B100" s="129" t="s">
        <v>89</v>
      </c>
      <c r="C100" s="130"/>
      <c r="D100" s="2" t="s">
        <v>90</v>
      </c>
      <c r="E100" s="21"/>
      <c r="F100" s="20"/>
      <c r="G100" s="20"/>
      <c r="H100" s="39"/>
    </row>
    <row r="101" spans="1:8" ht="17.100000000000001" customHeight="1" x14ac:dyDescent="0.2">
      <c r="A101" s="18"/>
      <c r="B101" s="129" t="s">
        <v>91</v>
      </c>
      <c r="C101" s="130"/>
      <c r="D101" s="2" t="s">
        <v>90</v>
      </c>
      <c r="E101" s="21"/>
      <c r="F101" s="20"/>
      <c r="G101" s="20"/>
      <c r="H101" s="39"/>
    </row>
    <row r="102" spans="1:8" ht="17.100000000000001" customHeight="1" x14ac:dyDescent="0.2">
      <c r="A102" s="18"/>
      <c r="B102" s="129" t="s">
        <v>92</v>
      </c>
      <c r="C102" s="130"/>
      <c r="D102" s="6" t="s">
        <v>12</v>
      </c>
      <c r="E102" s="21"/>
      <c r="F102" s="20"/>
      <c r="G102" s="20"/>
      <c r="H102" s="39"/>
    </row>
    <row r="103" spans="1:8" x14ac:dyDescent="0.2">
      <c r="A103" s="22"/>
      <c r="B103" s="23" t="s">
        <v>12</v>
      </c>
      <c r="C103" s="23" t="s">
        <v>527</v>
      </c>
      <c r="D103" s="23" t="s">
        <v>93</v>
      </c>
      <c r="E103" s="22"/>
      <c r="F103" s="22"/>
      <c r="G103" s="22"/>
      <c r="H103" s="40"/>
    </row>
    <row r="104" spans="1:8" ht="18" customHeight="1" x14ac:dyDescent="0.2">
      <c r="A104" s="22"/>
      <c r="B104" s="24" t="s">
        <v>94</v>
      </c>
      <c r="C104" s="23" t="s">
        <v>95</v>
      </c>
      <c r="D104" s="23" t="s">
        <v>96</v>
      </c>
      <c r="E104" s="22"/>
      <c r="F104" s="22"/>
      <c r="G104" s="22"/>
      <c r="H104" s="41"/>
    </row>
    <row r="105" spans="1:8" ht="17.100000000000001" customHeight="1" x14ac:dyDescent="0.2">
      <c r="A105" s="22"/>
      <c r="B105" s="9" t="s">
        <v>97</v>
      </c>
      <c r="C105" s="25">
        <v>39.4818</v>
      </c>
      <c r="D105" s="25">
        <v>39.664400000000001</v>
      </c>
      <c r="E105" s="22"/>
      <c r="F105" s="19"/>
      <c r="G105" s="26"/>
      <c r="H105" s="41"/>
    </row>
    <row r="106" spans="1:8" ht="17.100000000000001" customHeight="1" x14ac:dyDescent="0.2">
      <c r="A106" s="22"/>
      <c r="B106" s="9" t="s">
        <v>129</v>
      </c>
      <c r="C106" s="25">
        <v>19.7515</v>
      </c>
      <c r="D106" s="25">
        <v>19.8429</v>
      </c>
      <c r="E106" s="22"/>
      <c r="F106" s="19"/>
      <c r="G106" s="26"/>
      <c r="H106" s="41"/>
    </row>
    <row r="107" spans="1:8" ht="29.1" customHeight="1" x14ac:dyDescent="0.2">
      <c r="A107" s="22"/>
      <c r="B107" s="9" t="s">
        <v>540</v>
      </c>
      <c r="C107" s="25">
        <v>10.23</v>
      </c>
      <c r="D107" s="25">
        <v>10.23</v>
      </c>
      <c r="E107" s="22"/>
      <c r="F107" s="19"/>
      <c r="G107" s="26"/>
      <c r="H107" s="41"/>
    </row>
    <row r="108" spans="1:8" ht="29.1" customHeight="1" x14ac:dyDescent="0.2">
      <c r="A108" s="22"/>
      <c r="B108" s="9" t="s">
        <v>541</v>
      </c>
      <c r="C108" s="25">
        <v>12.829800000000001</v>
      </c>
      <c r="D108" s="25">
        <v>12.889200000000001</v>
      </c>
      <c r="E108" s="22"/>
      <c r="F108" s="19"/>
      <c r="G108" s="26"/>
      <c r="H108" s="41"/>
    </row>
    <row r="109" spans="1:8" ht="29.1" customHeight="1" x14ac:dyDescent="0.2">
      <c r="A109" s="22"/>
      <c r="B109" s="9" t="s">
        <v>532</v>
      </c>
      <c r="C109" s="25">
        <v>11.5304</v>
      </c>
      <c r="D109" s="25">
        <v>11.5837</v>
      </c>
      <c r="E109" s="22"/>
      <c r="F109" s="19"/>
      <c r="G109" s="26"/>
      <c r="H109" s="41"/>
    </row>
    <row r="110" spans="1:8" ht="17.100000000000001" customHeight="1" x14ac:dyDescent="0.2">
      <c r="A110" s="22"/>
      <c r="B110" s="9" t="s">
        <v>130</v>
      </c>
      <c r="C110" s="25">
        <v>35.137999999999998</v>
      </c>
      <c r="D110" s="25">
        <v>35.2986</v>
      </c>
      <c r="E110" s="22"/>
      <c r="F110" s="19"/>
      <c r="G110" s="26"/>
      <c r="H110" s="41"/>
    </row>
    <row r="111" spans="1:8" ht="29.1" customHeight="1" x14ac:dyDescent="0.2">
      <c r="A111" s="22"/>
      <c r="B111" s="9" t="s">
        <v>542</v>
      </c>
      <c r="C111" s="25">
        <v>11.4876</v>
      </c>
      <c r="D111" s="25">
        <v>11.5398</v>
      </c>
      <c r="E111" s="22"/>
      <c r="F111" s="19"/>
      <c r="G111" s="26"/>
      <c r="H111" s="41"/>
    </row>
    <row r="112" spans="1:8" ht="17.100000000000001" customHeight="1" x14ac:dyDescent="0.2">
      <c r="A112" s="22"/>
      <c r="B112" s="9" t="s">
        <v>98</v>
      </c>
      <c r="C112" s="25">
        <v>38.992199999999997</v>
      </c>
      <c r="D112" s="25">
        <v>39.170400000000001</v>
      </c>
      <c r="E112" s="22"/>
      <c r="F112" s="19"/>
      <c r="G112" s="26"/>
      <c r="H112" s="41"/>
    </row>
    <row r="113" spans="1:17" ht="17.100000000000001" customHeight="1" x14ac:dyDescent="0.2">
      <c r="A113" s="22"/>
      <c r="B113" s="9" t="s">
        <v>131</v>
      </c>
      <c r="C113" s="25">
        <v>19.662600000000001</v>
      </c>
      <c r="D113" s="25">
        <v>19.752500000000001</v>
      </c>
      <c r="E113" s="22"/>
      <c r="F113" s="19"/>
      <c r="G113" s="26"/>
      <c r="H113" s="41"/>
    </row>
    <row r="114" spans="1:17" ht="29.1" customHeight="1" x14ac:dyDescent="0.2">
      <c r="A114" s="22"/>
      <c r="B114" s="9" t="s">
        <v>543</v>
      </c>
      <c r="C114" s="25">
        <v>10.355</v>
      </c>
      <c r="D114" s="25">
        <v>10.355</v>
      </c>
      <c r="E114" s="22"/>
      <c r="F114" s="19"/>
      <c r="G114" s="26"/>
      <c r="H114" s="41"/>
    </row>
    <row r="115" spans="1:17" ht="29.1" customHeight="1" x14ac:dyDescent="0.2">
      <c r="A115" s="22"/>
      <c r="B115" s="9" t="s">
        <v>544</v>
      </c>
      <c r="C115" s="25">
        <v>12.1065</v>
      </c>
      <c r="D115" s="25">
        <v>12.1137</v>
      </c>
      <c r="E115" s="22"/>
      <c r="F115" s="19"/>
      <c r="G115" s="26"/>
      <c r="H115" s="41"/>
    </row>
    <row r="116" spans="1:17" ht="29.1" customHeight="1" x14ac:dyDescent="0.2">
      <c r="A116" s="22"/>
      <c r="B116" s="9" t="s">
        <v>536</v>
      </c>
      <c r="C116" s="25">
        <v>11.582800000000001</v>
      </c>
      <c r="D116" s="25">
        <v>11.6358</v>
      </c>
      <c r="E116" s="22"/>
      <c r="F116" s="19"/>
      <c r="G116" s="26"/>
      <c r="H116" s="41"/>
    </row>
    <row r="117" spans="1:17" ht="14.1" customHeight="1" x14ac:dyDescent="0.2">
      <c r="A117" s="22"/>
      <c r="B117" s="22"/>
      <c r="C117" s="22"/>
      <c r="D117" s="22"/>
      <c r="E117" s="22"/>
      <c r="F117" s="22"/>
      <c r="G117" s="22"/>
      <c r="H117" s="41"/>
    </row>
    <row r="118" spans="1:17" ht="17.100000000000001" customHeight="1" x14ac:dyDescent="0.2">
      <c r="A118" s="22"/>
      <c r="B118" s="129" t="s">
        <v>539</v>
      </c>
      <c r="C118" s="130"/>
      <c r="D118" s="2" t="s">
        <v>12</v>
      </c>
      <c r="E118" s="22"/>
      <c r="F118" s="22"/>
      <c r="G118" s="22"/>
      <c r="H118" s="41"/>
    </row>
    <row r="119" spans="1:17" ht="18" customHeight="1" x14ac:dyDescent="0.2">
      <c r="A119" s="22"/>
      <c r="B119" s="28" t="s">
        <v>94</v>
      </c>
      <c r="C119" s="29" t="s">
        <v>132</v>
      </c>
      <c r="D119" s="29" t="s">
        <v>133</v>
      </c>
      <c r="E119" s="22"/>
      <c r="F119" s="22"/>
      <c r="G119" s="22"/>
      <c r="H119" s="41"/>
    </row>
    <row r="120" spans="1:17" ht="29.1" customHeight="1" x14ac:dyDescent="0.2">
      <c r="A120" s="22"/>
      <c r="B120" s="9" t="s">
        <v>540</v>
      </c>
      <c r="C120" s="30">
        <v>4.7236E-2</v>
      </c>
      <c r="D120" s="13" t="s">
        <v>134</v>
      </c>
      <c r="E120" s="22"/>
      <c r="F120" s="19"/>
      <c r="G120" s="26"/>
      <c r="H120" s="41"/>
    </row>
    <row r="121" spans="1:17" ht="29.1" customHeight="1" x14ac:dyDescent="0.2">
      <c r="A121" s="22"/>
      <c r="B121" s="9" t="s">
        <v>543</v>
      </c>
      <c r="C121" s="30">
        <v>4.7243E-2</v>
      </c>
      <c r="D121" s="13" t="s">
        <v>134</v>
      </c>
      <c r="E121" s="22"/>
      <c r="F121" s="19"/>
      <c r="G121" s="26"/>
      <c r="H121" s="41"/>
    </row>
    <row r="122" spans="1:17" ht="29.1" customHeight="1" x14ac:dyDescent="0.2">
      <c r="A122" s="22"/>
      <c r="B122" s="9" t="s">
        <v>544</v>
      </c>
      <c r="C122" s="30">
        <v>4.8000000000000001E-2</v>
      </c>
      <c r="D122" s="13" t="s">
        <v>134</v>
      </c>
      <c r="E122" s="22"/>
      <c r="F122" s="19"/>
      <c r="G122" s="26"/>
      <c r="H122" s="41"/>
    </row>
    <row r="123" spans="1:17" ht="14.1" customHeight="1" x14ac:dyDescent="0.2">
      <c r="A123" s="22"/>
      <c r="B123" s="31"/>
      <c r="C123" s="31"/>
      <c r="D123" s="32"/>
      <c r="E123" s="22"/>
      <c r="F123" s="19"/>
      <c r="G123" s="26"/>
      <c r="H123" s="41"/>
    </row>
    <row r="124" spans="1:17" s="71" customFormat="1" ht="17.100000000000001" customHeight="1" x14ac:dyDescent="0.2">
      <c r="A124" s="77"/>
      <c r="B124" s="144" t="s">
        <v>496</v>
      </c>
      <c r="C124" s="145"/>
      <c r="D124" s="59" t="s">
        <v>90</v>
      </c>
      <c r="E124" s="77"/>
      <c r="F124" s="45"/>
      <c r="G124" s="77"/>
      <c r="I124"/>
      <c r="J124" s="46"/>
      <c r="K124" s="47"/>
      <c r="L124" s="47"/>
      <c r="M124" s="47"/>
      <c r="N124" s="47"/>
      <c r="O124"/>
      <c r="P124"/>
      <c r="Q124"/>
    </row>
    <row r="125" spans="1:17" s="71" customFormat="1" ht="29.1" customHeight="1" x14ac:dyDescent="0.2">
      <c r="A125" s="77"/>
      <c r="B125" s="144" t="s">
        <v>497</v>
      </c>
      <c r="C125" s="145"/>
      <c r="D125" s="59" t="s">
        <v>90</v>
      </c>
      <c r="E125" s="78"/>
      <c r="F125" s="77"/>
      <c r="G125" s="77"/>
      <c r="I125"/>
      <c r="J125" s="46"/>
      <c r="K125" s="47"/>
      <c r="L125" s="47"/>
      <c r="M125" s="47"/>
      <c r="N125" s="47"/>
      <c r="O125"/>
      <c r="P125"/>
      <c r="Q125"/>
    </row>
    <row r="126" spans="1:17" s="71" customFormat="1" ht="29.1" customHeight="1" x14ac:dyDescent="0.2">
      <c r="A126" s="77"/>
      <c r="B126" s="144" t="s">
        <v>498</v>
      </c>
      <c r="C126" s="145"/>
      <c r="D126" s="59" t="s">
        <v>90</v>
      </c>
      <c r="E126" s="78"/>
      <c r="F126" s="77"/>
      <c r="G126" s="77"/>
      <c r="I126"/>
      <c r="J126" s="46"/>
      <c r="K126"/>
      <c r="L126"/>
      <c r="M126"/>
      <c r="N126"/>
      <c r="O126"/>
      <c r="P126"/>
      <c r="Q126"/>
    </row>
    <row r="127" spans="1:17" s="71" customFormat="1" ht="17.100000000000001" customHeight="1" x14ac:dyDescent="0.2">
      <c r="A127" s="77"/>
      <c r="B127" s="144" t="s">
        <v>499</v>
      </c>
      <c r="C127" s="145"/>
      <c r="D127" s="59" t="s">
        <v>90</v>
      </c>
      <c r="E127" s="78"/>
      <c r="F127" s="77"/>
      <c r="G127" s="77"/>
      <c r="I127"/>
      <c r="J127" s="46"/>
      <c r="K127" s="47"/>
      <c r="L127" s="47"/>
      <c r="M127" s="47"/>
      <c r="N127" s="47"/>
      <c r="O127" s="79"/>
    </row>
    <row r="128" spans="1:17" s="71" customFormat="1" x14ac:dyDescent="0.2">
      <c r="A128" s="80"/>
      <c r="B128" s="80"/>
      <c r="C128" s="80"/>
      <c r="D128" s="80"/>
      <c r="E128" s="80"/>
      <c r="F128" s="80"/>
      <c r="G128" s="80"/>
      <c r="I128"/>
      <c r="J128" s="46"/>
      <c r="K128" s="47"/>
      <c r="L128" s="47"/>
      <c r="M128" s="47"/>
      <c r="N128" s="47"/>
      <c r="O128" s="79"/>
    </row>
    <row r="129" spans="2:18" s="71" customFormat="1" x14ac:dyDescent="0.2">
      <c r="B129" s="135" t="s">
        <v>488</v>
      </c>
      <c r="C129" s="136"/>
      <c r="D129" s="137"/>
      <c r="I129"/>
      <c r="J129" s="46"/>
      <c r="K129" s="47"/>
      <c r="L129" s="47"/>
      <c r="M129" s="47"/>
      <c r="N129" s="47"/>
      <c r="O129" s="79"/>
    </row>
    <row r="130" spans="2:18" s="71" customFormat="1" ht="38.25" x14ac:dyDescent="0.2">
      <c r="B130" s="143" t="s">
        <v>489</v>
      </c>
      <c r="C130" s="143"/>
      <c r="D130" s="72" t="s">
        <v>101</v>
      </c>
      <c r="I130"/>
      <c r="J130" s="46"/>
      <c r="K130" s="47"/>
      <c r="L130" s="47"/>
      <c r="M130" s="47"/>
      <c r="N130" s="47"/>
      <c r="O130" s="79"/>
    </row>
    <row r="131" spans="2:18" s="71" customFormat="1" x14ac:dyDescent="0.2">
      <c r="B131" s="142" t="s">
        <v>490</v>
      </c>
      <c r="C131" s="142"/>
      <c r="D131" s="73"/>
      <c r="I131"/>
      <c r="J131" s="46"/>
      <c r="K131" s="47"/>
      <c r="L131" s="47"/>
      <c r="M131" s="47"/>
      <c r="N131" s="47"/>
      <c r="O131" s="79"/>
    </row>
    <row r="132" spans="2:18" s="71" customFormat="1" x14ac:dyDescent="0.2">
      <c r="B132" s="142"/>
      <c r="C132" s="142"/>
      <c r="D132" s="74"/>
      <c r="I132"/>
      <c r="J132" s="46"/>
      <c r="K132" s="47"/>
      <c r="L132" s="47"/>
      <c r="M132" s="47"/>
      <c r="N132" s="47"/>
      <c r="O132" s="79"/>
    </row>
    <row r="133" spans="2:18" s="71" customFormat="1" x14ac:dyDescent="0.2">
      <c r="B133" s="142" t="s">
        <v>491</v>
      </c>
      <c r="C133" s="142"/>
      <c r="D133" s="81">
        <v>7.4930428619003946</v>
      </c>
      <c r="I133"/>
      <c r="J133" s="46"/>
      <c r="K133" s="47"/>
      <c r="L133" s="47"/>
      <c r="M133" s="47"/>
      <c r="N133" s="47"/>
      <c r="O133" s="79"/>
    </row>
    <row r="134" spans="2:18" s="71" customFormat="1" x14ac:dyDescent="0.2">
      <c r="B134" s="142"/>
      <c r="C134" s="142"/>
      <c r="D134" s="74"/>
      <c r="I134"/>
      <c r="J134" s="46"/>
      <c r="K134" s="47"/>
      <c r="L134" s="47"/>
      <c r="M134" s="47"/>
      <c r="N134" s="47"/>
      <c r="O134" s="79"/>
    </row>
    <row r="135" spans="2:18" s="71" customFormat="1" x14ac:dyDescent="0.2">
      <c r="B135" s="142" t="s">
        <v>492</v>
      </c>
      <c r="C135" s="142"/>
      <c r="D135" s="81">
        <v>3.1231158243751191</v>
      </c>
      <c r="I135"/>
      <c r="J135" s="46"/>
      <c r="K135" s="47"/>
      <c r="L135" s="47"/>
      <c r="M135" s="47"/>
      <c r="N135" s="47"/>
      <c r="O135" s="79"/>
    </row>
    <row r="136" spans="2:18" s="71" customFormat="1" x14ac:dyDescent="0.2">
      <c r="B136" s="142" t="s">
        <v>493</v>
      </c>
      <c r="C136" s="142"/>
      <c r="D136" s="81">
        <v>3.7467039189374058</v>
      </c>
      <c r="I136"/>
      <c r="J136" s="46"/>
      <c r="K136" s="47"/>
      <c r="L136" s="47"/>
      <c r="M136" s="47"/>
      <c r="N136" s="47"/>
      <c r="O136" s="79"/>
    </row>
    <row r="137" spans="2:18" s="71" customFormat="1" x14ac:dyDescent="0.2">
      <c r="B137" s="142"/>
      <c r="C137" s="142"/>
      <c r="D137" s="74"/>
      <c r="I137"/>
      <c r="J137" s="46"/>
      <c r="K137" s="47"/>
      <c r="L137" s="47"/>
      <c r="M137" s="47"/>
      <c r="N137" s="47"/>
      <c r="O137" s="79"/>
      <c r="R137"/>
    </row>
    <row r="138" spans="2:18" s="71" customFormat="1" x14ac:dyDescent="0.2">
      <c r="B138" s="142" t="s">
        <v>494</v>
      </c>
      <c r="C138" s="142"/>
      <c r="D138" s="76" t="s">
        <v>523</v>
      </c>
      <c r="I138"/>
      <c r="J138" s="46"/>
      <c r="K138" s="47"/>
      <c r="L138" s="47"/>
      <c r="M138" s="47"/>
      <c r="N138" s="47"/>
      <c r="O138" s="79"/>
      <c r="R138"/>
    </row>
    <row r="139" spans="2:18" s="71" customFormat="1" x14ac:dyDescent="0.2">
      <c r="B139" s="146" t="s">
        <v>495</v>
      </c>
      <c r="C139" s="147"/>
      <c r="D139" s="148"/>
      <c r="I139"/>
      <c r="J139" s="46"/>
      <c r="K139" s="47"/>
      <c r="L139" s="47"/>
      <c r="M139" s="47"/>
      <c r="N139" s="47"/>
      <c r="O139" s="79"/>
      <c r="R139"/>
    </row>
  </sheetData>
  <mergeCells count="26">
    <mergeCell ref="B126:C126"/>
    <mergeCell ref="B127:C127"/>
    <mergeCell ref="B124:C124"/>
    <mergeCell ref="B138:C138"/>
    <mergeCell ref="B139:D139"/>
    <mergeCell ref="B133:C133"/>
    <mergeCell ref="B134:C134"/>
    <mergeCell ref="B135:C135"/>
    <mergeCell ref="B136:C136"/>
    <mergeCell ref="B137:C137"/>
    <mergeCell ref="B129:D129"/>
    <mergeCell ref="B131:C131"/>
    <mergeCell ref="B132:C132"/>
    <mergeCell ref="B130:C130"/>
    <mergeCell ref="A1:H1"/>
    <mergeCell ref="A2:H2"/>
    <mergeCell ref="B99:D99"/>
    <mergeCell ref="B100:C100"/>
    <mergeCell ref="B101:C101"/>
    <mergeCell ref="B95:H95"/>
    <mergeCell ref="B96:H96"/>
    <mergeCell ref="B97:H97"/>
    <mergeCell ref="A3:H3"/>
    <mergeCell ref="B102:C102"/>
    <mergeCell ref="B118:C118"/>
    <mergeCell ref="B125:C125"/>
  </mergeCells>
  <hyperlinks>
    <hyperlink ref="I1" location="Index!B3" display="Index" xr:uid="{EC29CC40-A39C-4281-B72D-B5A75D6325F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30"/>
  <sheetViews>
    <sheetView showGridLines="0" workbookViewId="0">
      <selection activeCell="I1" sqref="I1:J1048576"/>
    </sheetView>
  </sheetViews>
  <sheetFormatPr defaultRowHeight="12.75" x14ac:dyDescent="0.2"/>
  <cols>
    <col min="1" max="1" width="5.85546875" bestFit="1" customWidth="1"/>
    <col min="2" max="2" width="19.7109375" bestFit="1" customWidth="1"/>
    <col min="3" max="3" width="39.140625" bestFit="1" customWidth="1"/>
    <col min="4" max="4" width="13.140625" customWidth="1"/>
    <col min="5" max="5" width="8.7109375" bestFit="1" customWidth="1"/>
    <col min="6" max="6" width="10.140625" bestFit="1" customWidth="1"/>
    <col min="7" max="7" width="14" bestFit="1" customWidth="1"/>
    <col min="8" max="8" width="8.42578125" style="43"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135</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6" t="s">
        <v>476</v>
      </c>
      <c r="I4" s="118"/>
      <c r="J4" s="46"/>
    </row>
    <row r="5" spans="1:10" ht="14.1" customHeight="1" x14ac:dyDescent="0.2">
      <c r="A5" s="1"/>
      <c r="B5" s="1"/>
      <c r="C5" s="2" t="s">
        <v>9</v>
      </c>
      <c r="D5" s="1"/>
      <c r="E5" s="1"/>
      <c r="F5" s="1"/>
      <c r="G5" s="1"/>
      <c r="H5" s="35"/>
    </row>
    <row r="6" spans="1:10" ht="24" customHeight="1" x14ac:dyDescent="0.2">
      <c r="A6" s="1"/>
      <c r="B6" s="1"/>
      <c r="C6" s="2" t="s">
        <v>10</v>
      </c>
      <c r="D6" s="1"/>
      <c r="E6" s="1"/>
      <c r="F6" s="1"/>
      <c r="G6" s="1"/>
      <c r="H6" s="35"/>
    </row>
    <row r="7" spans="1:10" ht="14.1" customHeight="1" x14ac:dyDescent="0.2">
      <c r="A7" s="1"/>
      <c r="B7" s="1"/>
      <c r="C7" s="2" t="s">
        <v>11</v>
      </c>
      <c r="D7" s="1"/>
      <c r="E7" s="1" t="s">
        <v>12</v>
      </c>
      <c r="F7" s="3" t="s">
        <v>13</v>
      </c>
      <c r="G7" s="4">
        <v>0</v>
      </c>
      <c r="H7" s="35"/>
    </row>
    <row r="8" spans="1:10" ht="14.1" customHeight="1" x14ac:dyDescent="0.2">
      <c r="A8" s="1"/>
      <c r="B8" s="1"/>
      <c r="C8" s="5"/>
      <c r="D8" s="1"/>
      <c r="E8" s="1"/>
      <c r="F8" s="6"/>
      <c r="G8" s="6"/>
      <c r="H8" s="35"/>
    </row>
    <row r="9" spans="1:10" ht="14.1" customHeight="1" x14ac:dyDescent="0.2">
      <c r="A9" s="1"/>
      <c r="B9" s="1"/>
      <c r="C9" s="2" t="s">
        <v>14</v>
      </c>
      <c r="D9" s="1"/>
      <c r="E9" s="1"/>
      <c r="F9" s="1"/>
      <c r="G9" s="1"/>
      <c r="H9" s="35"/>
    </row>
    <row r="10" spans="1:10" ht="14.1" customHeight="1" x14ac:dyDescent="0.2">
      <c r="A10" s="1"/>
      <c r="B10" s="1"/>
      <c r="C10" s="2" t="s">
        <v>11</v>
      </c>
      <c r="D10" s="1"/>
      <c r="E10" s="1" t="s">
        <v>12</v>
      </c>
      <c r="F10" s="3" t="s">
        <v>13</v>
      </c>
      <c r="G10" s="4">
        <v>0</v>
      </c>
      <c r="H10" s="35"/>
    </row>
    <row r="11" spans="1:10" ht="14.1" customHeight="1" x14ac:dyDescent="0.2">
      <c r="A11" s="1"/>
      <c r="B11" s="1"/>
      <c r="C11" s="5"/>
      <c r="D11" s="1"/>
      <c r="E11" s="1"/>
      <c r="F11" s="6"/>
      <c r="G11" s="6"/>
      <c r="H11" s="35"/>
    </row>
    <row r="12" spans="1:10" ht="14.1" customHeight="1" x14ac:dyDescent="0.2">
      <c r="A12" s="1"/>
      <c r="B12" s="1"/>
      <c r="C12" s="2" t="s">
        <v>15</v>
      </c>
      <c r="D12" s="1"/>
      <c r="E12" s="1"/>
      <c r="F12" s="1"/>
      <c r="G12" s="1"/>
      <c r="H12" s="35"/>
      <c r="J12" s="119"/>
    </row>
    <row r="13" spans="1:10" ht="14.1" customHeight="1" x14ac:dyDescent="0.2">
      <c r="A13" s="1"/>
      <c r="B13" s="1"/>
      <c r="C13" s="2" t="s">
        <v>11</v>
      </c>
      <c r="D13" s="1"/>
      <c r="E13" s="1" t="s">
        <v>12</v>
      </c>
      <c r="F13" s="3" t="s">
        <v>13</v>
      </c>
      <c r="G13" s="4">
        <v>0</v>
      </c>
      <c r="H13" s="35"/>
      <c r="J13" s="120"/>
    </row>
    <row r="14" spans="1:10" ht="14.1" customHeight="1" x14ac:dyDescent="0.2">
      <c r="A14" s="1"/>
      <c r="B14" s="1"/>
      <c r="C14" s="5"/>
      <c r="D14" s="1"/>
      <c r="E14" s="1"/>
      <c r="F14" s="6"/>
      <c r="G14" s="6"/>
      <c r="H14" s="35"/>
    </row>
    <row r="15" spans="1:10" ht="14.1" customHeight="1" x14ac:dyDescent="0.2">
      <c r="A15" s="1"/>
      <c r="B15" s="1"/>
      <c r="C15" s="2" t="s">
        <v>16</v>
      </c>
      <c r="D15" s="1"/>
      <c r="E15" s="1"/>
      <c r="F15" s="1"/>
      <c r="G15" s="1"/>
      <c r="H15" s="35"/>
      <c r="J15" s="120" t="s">
        <v>568</v>
      </c>
    </row>
    <row r="16" spans="1:10" ht="14.1" customHeight="1" x14ac:dyDescent="0.2">
      <c r="A16" s="1"/>
      <c r="B16" s="1"/>
      <c r="C16" s="2" t="s">
        <v>11</v>
      </c>
      <c r="D16" s="1"/>
      <c r="E16" s="1" t="s">
        <v>12</v>
      </c>
      <c r="F16" s="3" t="s">
        <v>13</v>
      </c>
      <c r="G16" s="4">
        <v>0</v>
      </c>
      <c r="H16" s="35"/>
    </row>
    <row r="17" spans="1:10" ht="14.1" customHeight="1" x14ac:dyDescent="0.2">
      <c r="A17" s="1"/>
      <c r="B17" s="1"/>
      <c r="C17" s="5"/>
      <c r="D17" s="1"/>
      <c r="E17" s="1"/>
      <c r="F17" s="6"/>
      <c r="G17" s="6"/>
      <c r="H17" s="35"/>
    </row>
    <row r="18" spans="1:10" ht="14.1" customHeight="1" x14ac:dyDescent="0.2">
      <c r="A18" s="1"/>
      <c r="B18" s="1"/>
      <c r="C18" s="2" t="s">
        <v>17</v>
      </c>
      <c r="D18" s="1"/>
      <c r="E18" s="1"/>
      <c r="F18" s="6"/>
      <c r="G18" s="6"/>
      <c r="H18" s="35"/>
    </row>
    <row r="19" spans="1:10" ht="14.1" customHeight="1" x14ac:dyDescent="0.2">
      <c r="A19" s="1"/>
      <c r="B19" s="1"/>
      <c r="C19" s="2" t="s">
        <v>11</v>
      </c>
      <c r="D19" s="1"/>
      <c r="E19" s="1" t="s">
        <v>12</v>
      </c>
      <c r="F19" s="3" t="s">
        <v>13</v>
      </c>
      <c r="G19" s="4">
        <v>0</v>
      </c>
      <c r="H19" s="35"/>
    </row>
    <row r="20" spans="1:10" ht="14.1" customHeight="1" x14ac:dyDescent="0.2">
      <c r="A20" s="1"/>
      <c r="B20" s="1"/>
      <c r="C20" s="5"/>
      <c r="D20" s="1"/>
      <c r="E20" s="1"/>
      <c r="F20" s="6"/>
      <c r="G20" s="6"/>
      <c r="H20" s="35"/>
    </row>
    <row r="21" spans="1:10" ht="14.1" customHeight="1" x14ac:dyDescent="0.2">
      <c r="A21" s="1"/>
      <c r="B21" s="1"/>
      <c r="C21" s="2" t="s">
        <v>18</v>
      </c>
      <c r="D21" s="1"/>
      <c r="E21" s="1"/>
      <c r="F21" s="6"/>
      <c r="G21" s="6"/>
      <c r="H21" s="35"/>
    </row>
    <row r="22" spans="1:10" ht="14.1" customHeight="1" x14ac:dyDescent="0.2">
      <c r="A22" s="1"/>
      <c r="B22" s="1"/>
      <c r="C22" s="2" t="s">
        <v>11</v>
      </c>
      <c r="D22" s="1"/>
      <c r="E22" s="1" t="s">
        <v>12</v>
      </c>
      <c r="F22" s="3" t="s">
        <v>13</v>
      </c>
      <c r="G22" s="4">
        <v>0</v>
      </c>
      <c r="H22" s="35"/>
      <c r="J22" s="119"/>
    </row>
    <row r="23" spans="1:10" ht="14.1" customHeight="1" x14ac:dyDescent="0.2">
      <c r="A23" s="1"/>
      <c r="B23" s="1"/>
      <c r="C23" s="5"/>
      <c r="D23" s="1"/>
      <c r="E23" s="1"/>
      <c r="F23" s="6"/>
      <c r="G23" s="6"/>
      <c r="H23" s="35"/>
      <c r="J23" s="120"/>
    </row>
    <row r="24" spans="1:10" ht="18" customHeight="1" x14ac:dyDescent="0.2">
      <c r="A24" s="1"/>
      <c r="B24" s="1"/>
      <c r="C24" s="2" t="s">
        <v>19</v>
      </c>
      <c r="D24" s="1"/>
      <c r="E24" s="1"/>
      <c r="F24" s="7">
        <v>0</v>
      </c>
      <c r="G24" s="4">
        <v>0</v>
      </c>
      <c r="H24" s="35"/>
    </row>
    <row r="25" spans="1:10" ht="14.1" customHeight="1" x14ac:dyDescent="0.2">
      <c r="A25" s="1"/>
      <c r="B25" s="1"/>
      <c r="C25" s="5"/>
      <c r="D25" s="1"/>
      <c r="E25" s="1"/>
      <c r="F25" s="6"/>
      <c r="G25" s="6"/>
      <c r="H25" s="35"/>
    </row>
    <row r="26" spans="1:10" ht="14.1" customHeight="1" x14ac:dyDescent="0.2">
      <c r="A26" s="1"/>
      <c r="B26" s="1"/>
      <c r="C26" s="2" t="s">
        <v>20</v>
      </c>
      <c r="D26" s="1"/>
      <c r="E26" s="1"/>
      <c r="F26" s="6"/>
      <c r="G26" s="6"/>
      <c r="H26" s="35"/>
    </row>
    <row r="27" spans="1:10" ht="24" customHeight="1" x14ac:dyDescent="0.2">
      <c r="A27" s="1"/>
      <c r="B27" s="1"/>
      <c r="C27" s="2" t="s">
        <v>10</v>
      </c>
      <c r="D27" s="1"/>
      <c r="E27" s="1"/>
      <c r="F27" s="6"/>
      <c r="G27" s="6"/>
      <c r="H27" s="35"/>
    </row>
    <row r="28" spans="1:10" ht="14.1" customHeight="1" x14ac:dyDescent="0.2">
      <c r="A28" s="1"/>
      <c r="B28" s="1"/>
      <c r="C28" s="2" t="s">
        <v>11</v>
      </c>
      <c r="D28" s="1"/>
      <c r="E28" s="1" t="s">
        <v>12</v>
      </c>
      <c r="F28" s="3" t="s">
        <v>13</v>
      </c>
      <c r="G28" s="4">
        <v>0</v>
      </c>
      <c r="H28" s="35"/>
      <c r="J28" s="120" t="s">
        <v>569</v>
      </c>
    </row>
    <row r="29" spans="1:10" ht="14.1" customHeight="1" x14ac:dyDescent="0.2">
      <c r="A29" s="1"/>
      <c r="B29" s="1"/>
      <c r="C29" s="5"/>
      <c r="D29" s="1"/>
      <c r="E29" s="1"/>
      <c r="F29" s="6"/>
      <c r="G29" s="6"/>
      <c r="H29" s="35"/>
      <c r="J29" s="120"/>
    </row>
    <row r="30" spans="1:10" ht="14.1" customHeight="1" x14ac:dyDescent="0.2">
      <c r="A30" s="1"/>
      <c r="B30" s="1"/>
      <c r="C30" s="2" t="s">
        <v>61</v>
      </c>
      <c r="D30" s="1"/>
      <c r="E30" s="1"/>
      <c r="F30" s="1"/>
      <c r="G30" s="1"/>
      <c r="H30" s="35"/>
    </row>
    <row r="31" spans="1:10" ht="14.1" customHeight="1" x14ac:dyDescent="0.2">
      <c r="A31" s="1"/>
      <c r="B31" s="1"/>
      <c r="C31" s="2" t="s">
        <v>11</v>
      </c>
      <c r="D31" s="1"/>
      <c r="E31" s="1" t="s">
        <v>12</v>
      </c>
      <c r="F31" s="3" t="s">
        <v>13</v>
      </c>
      <c r="G31" s="4">
        <v>0</v>
      </c>
      <c r="H31" s="35"/>
    </row>
    <row r="32" spans="1:10" ht="14.1" customHeight="1" x14ac:dyDescent="0.2">
      <c r="A32" s="1"/>
      <c r="B32" s="1"/>
      <c r="C32" s="5"/>
      <c r="D32" s="1"/>
      <c r="E32" s="1"/>
      <c r="F32" s="6"/>
      <c r="G32" s="6"/>
      <c r="H32" s="35"/>
    </row>
    <row r="33" spans="1:8" ht="14.1" customHeight="1" x14ac:dyDescent="0.2">
      <c r="A33" s="1"/>
      <c r="B33" s="1"/>
      <c r="C33" s="2" t="s">
        <v>62</v>
      </c>
      <c r="D33" s="1"/>
      <c r="E33" s="1"/>
      <c r="F33" s="1"/>
      <c r="G33" s="1"/>
      <c r="H33" s="35"/>
    </row>
    <row r="34" spans="1:8" ht="14.1" customHeight="1" x14ac:dyDescent="0.2">
      <c r="A34" s="1"/>
      <c r="B34" s="1"/>
      <c r="C34" s="2" t="s">
        <v>11</v>
      </c>
      <c r="D34" s="1"/>
      <c r="E34" s="1" t="s">
        <v>12</v>
      </c>
      <c r="F34" s="3" t="s">
        <v>13</v>
      </c>
      <c r="G34" s="4">
        <v>0</v>
      </c>
      <c r="H34" s="35"/>
    </row>
    <row r="35" spans="1:8" ht="14.1" customHeight="1" x14ac:dyDescent="0.2">
      <c r="A35" s="1"/>
      <c r="B35" s="1"/>
      <c r="C35" s="5"/>
      <c r="D35" s="1"/>
      <c r="E35" s="1"/>
      <c r="F35" s="6"/>
      <c r="G35" s="6"/>
      <c r="H35" s="35"/>
    </row>
    <row r="36" spans="1:8" ht="14.1" customHeight="1" x14ac:dyDescent="0.2">
      <c r="A36" s="1"/>
      <c r="B36" s="1"/>
      <c r="C36" s="2" t="s">
        <v>70</v>
      </c>
      <c r="D36" s="1"/>
      <c r="E36" s="1"/>
      <c r="F36" s="6"/>
      <c r="G36" s="6"/>
      <c r="H36" s="35"/>
    </row>
    <row r="37" spans="1:8" ht="14.1" customHeight="1" x14ac:dyDescent="0.2">
      <c r="A37" s="1"/>
      <c r="B37" s="1"/>
      <c r="C37" s="2" t="s">
        <v>11</v>
      </c>
      <c r="D37" s="1"/>
      <c r="E37" s="1" t="s">
        <v>12</v>
      </c>
      <c r="F37" s="3" t="s">
        <v>13</v>
      </c>
      <c r="G37" s="4">
        <v>0</v>
      </c>
      <c r="H37" s="35"/>
    </row>
    <row r="38" spans="1:8" ht="14.1" customHeight="1" x14ac:dyDescent="0.2">
      <c r="A38" s="1"/>
      <c r="B38" s="1"/>
      <c r="C38" s="5"/>
      <c r="D38" s="1"/>
      <c r="E38" s="1"/>
      <c r="F38" s="6"/>
      <c r="G38" s="6"/>
      <c r="H38" s="35"/>
    </row>
    <row r="39" spans="1:8" ht="14.1" customHeight="1" x14ac:dyDescent="0.2">
      <c r="A39" s="1"/>
      <c r="B39" s="1"/>
      <c r="C39" s="2" t="s">
        <v>71</v>
      </c>
      <c r="D39" s="1"/>
      <c r="E39" s="1"/>
      <c r="F39" s="7">
        <v>0</v>
      </c>
      <c r="G39" s="4">
        <v>0</v>
      </c>
      <c r="H39" s="35"/>
    </row>
    <row r="40" spans="1:8" ht="14.1" customHeight="1" x14ac:dyDescent="0.2">
      <c r="A40" s="1"/>
      <c r="B40" s="1"/>
      <c r="C40" s="5"/>
      <c r="D40" s="1"/>
      <c r="E40" s="1"/>
      <c r="F40" s="6"/>
      <c r="G40" s="6"/>
      <c r="H40" s="35"/>
    </row>
    <row r="41" spans="1:8" ht="14.1" customHeight="1" x14ac:dyDescent="0.2">
      <c r="A41" s="1"/>
      <c r="B41" s="1"/>
      <c r="C41" s="2" t="s">
        <v>72</v>
      </c>
      <c r="D41" s="1"/>
      <c r="E41" s="1"/>
      <c r="F41" s="6"/>
      <c r="G41" s="6"/>
      <c r="H41" s="35"/>
    </row>
    <row r="42" spans="1:8" ht="14.1" customHeight="1" x14ac:dyDescent="0.2">
      <c r="A42" s="1"/>
      <c r="B42" s="1"/>
      <c r="C42" s="2" t="s">
        <v>73</v>
      </c>
      <c r="D42" s="1"/>
      <c r="E42" s="1"/>
      <c r="F42" s="6"/>
      <c r="G42" s="6"/>
      <c r="H42" s="35"/>
    </row>
    <row r="43" spans="1:8" ht="29.1" customHeight="1" x14ac:dyDescent="0.2">
      <c r="A43" s="8">
        <v>1</v>
      </c>
      <c r="B43" s="9" t="s">
        <v>136</v>
      </c>
      <c r="C43" s="9" t="s">
        <v>137</v>
      </c>
      <c r="D43" s="9" t="s">
        <v>128</v>
      </c>
      <c r="E43" s="10">
        <v>200</v>
      </c>
      <c r="F43" s="11">
        <v>946.80100000000004</v>
      </c>
      <c r="G43" s="12">
        <v>5.5244370000000001E-2</v>
      </c>
      <c r="H43" s="35">
        <v>7.54</v>
      </c>
    </row>
    <row r="44" spans="1:8" ht="17.100000000000001" customHeight="1" x14ac:dyDescent="0.2">
      <c r="A44" s="8">
        <v>2</v>
      </c>
      <c r="B44" s="9" t="s">
        <v>138</v>
      </c>
      <c r="C44" s="9" t="s">
        <v>139</v>
      </c>
      <c r="D44" s="9" t="s">
        <v>128</v>
      </c>
      <c r="E44" s="10">
        <v>200</v>
      </c>
      <c r="F44" s="11">
        <v>945.322</v>
      </c>
      <c r="G44" s="12">
        <v>5.5158069999999997E-2</v>
      </c>
      <c r="H44" s="35">
        <v>7.54</v>
      </c>
    </row>
    <row r="45" spans="1:8" ht="17.100000000000001" customHeight="1" x14ac:dyDescent="0.2">
      <c r="A45" s="8">
        <v>3</v>
      </c>
      <c r="B45" s="9" t="s">
        <v>140</v>
      </c>
      <c r="C45" s="9" t="s">
        <v>141</v>
      </c>
      <c r="D45" s="9" t="s">
        <v>128</v>
      </c>
      <c r="E45" s="10">
        <v>200</v>
      </c>
      <c r="F45" s="11">
        <v>944.678</v>
      </c>
      <c r="G45" s="12">
        <v>5.5120490000000001E-2</v>
      </c>
      <c r="H45" s="35">
        <v>7.5</v>
      </c>
    </row>
    <row r="46" spans="1:8" ht="17.100000000000001" customHeight="1" x14ac:dyDescent="0.2">
      <c r="A46" s="8">
        <v>4</v>
      </c>
      <c r="B46" s="9" t="s">
        <v>142</v>
      </c>
      <c r="C46" s="9" t="s">
        <v>143</v>
      </c>
      <c r="D46" s="9" t="s">
        <v>128</v>
      </c>
      <c r="E46" s="10">
        <v>200</v>
      </c>
      <c r="F46" s="11">
        <v>942.13</v>
      </c>
      <c r="G46" s="12">
        <v>5.4971819999999998E-2</v>
      </c>
      <c r="H46" s="35">
        <v>7.6</v>
      </c>
    </row>
    <row r="47" spans="1:8" ht="17.100000000000001" customHeight="1" x14ac:dyDescent="0.2">
      <c r="A47" s="8">
        <v>5</v>
      </c>
      <c r="B47" s="9" t="s">
        <v>144</v>
      </c>
      <c r="C47" s="9" t="s">
        <v>145</v>
      </c>
      <c r="D47" s="9" t="s">
        <v>128</v>
      </c>
      <c r="E47" s="10">
        <v>140</v>
      </c>
      <c r="F47" s="11">
        <v>661.18709999999999</v>
      </c>
      <c r="G47" s="12">
        <v>3.8579240000000001E-2</v>
      </c>
      <c r="H47" s="35">
        <v>7.625</v>
      </c>
    </row>
    <row r="48" spans="1:8" ht="17.100000000000001" customHeight="1" x14ac:dyDescent="0.2">
      <c r="A48" s="8">
        <v>6</v>
      </c>
      <c r="B48" s="9" t="s">
        <v>146</v>
      </c>
      <c r="C48" s="9" t="s">
        <v>147</v>
      </c>
      <c r="D48" s="9" t="s">
        <v>128</v>
      </c>
      <c r="E48" s="10">
        <v>140</v>
      </c>
      <c r="F48" s="11">
        <v>660.69849999999997</v>
      </c>
      <c r="G48" s="12">
        <v>3.8550729999999998E-2</v>
      </c>
      <c r="H48" s="35">
        <v>7.6449999999999996</v>
      </c>
    </row>
    <row r="49" spans="1:8" ht="17.100000000000001" customHeight="1" x14ac:dyDescent="0.2">
      <c r="A49" s="8">
        <v>7</v>
      </c>
      <c r="B49" s="9" t="s">
        <v>148</v>
      </c>
      <c r="C49" s="9" t="s">
        <v>149</v>
      </c>
      <c r="D49" s="9" t="s">
        <v>150</v>
      </c>
      <c r="E49" s="10">
        <v>100</v>
      </c>
      <c r="F49" s="11">
        <v>474.803</v>
      </c>
      <c r="G49" s="12">
        <v>2.7704019999999999E-2</v>
      </c>
      <c r="H49" s="35">
        <v>7.45</v>
      </c>
    </row>
    <row r="50" spans="1:8" ht="17.100000000000001" customHeight="1" x14ac:dyDescent="0.2">
      <c r="A50" s="8">
        <v>8</v>
      </c>
      <c r="B50" s="9" t="s">
        <v>151</v>
      </c>
      <c r="C50" s="9" t="s">
        <v>152</v>
      </c>
      <c r="D50" s="9" t="s">
        <v>128</v>
      </c>
      <c r="E50" s="10">
        <v>100</v>
      </c>
      <c r="F50" s="11">
        <v>473.91449999999998</v>
      </c>
      <c r="G50" s="12">
        <v>2.765217E-2</v>
      </c>
      <c r="H50" s="35">
        <v>7.61</v>
      </c>
    </row>
    <row r="51" spans="1:8" ht="17.100000000000001" customHeight="1" x14ac:dyDescent="0.2">
      <c r="A51" s="8">
        <v>9</v>
      </c>
      <c r="B51" s="9" t="s">
        <v>153</v>
      </c>
      <c r="C51" s="9" t="s">
        <v>528</v>
      </c>
      <c r="D51" s="9" t="s">
        <v>150</v>
      </c>
      <c r="E51" s="10">
        <v>100</v>
      </c>
      <c r="F51" s="11">
        <v>472.02</v>
      </c>
      <c r="G51" s="12">
        <v>2.7541630000000001E-2</v>
      </c>
      <c r="H51" s="35">
        <v>7.5388000000000002</v>
      </c>
    </row>
    <row r="52" spans="1:8" ht="14.1" customHeight="1" x14ac:dyDescent="0.2">
      <c r="A52" s="1"/>
      <c r="B52" s="1"/>
      <c r="C52" s="2" t="s">
        <v>11</v>
      </c>
      <c r="D52" s="1"/>
      <c r="E52" s="1" t="s">
        <v>12</v>
      </c>
      <c r="F52" s="7">
        <v>6521.5541000000003</v>
      </c>
      <c r="G52" s="4">
        <v>0.38052254000000002</v>
      </c>
      <c r="H52" s="35"/>
    </row>
    <row r="53" spans="1:8" ht="14.1" customHeight="1" x14ac:dyDescent="0.2">
      <c r="A53" s="1"/>
      <c r="B53" s="1"/>
      <c r="C53" s="5"/>
      <c r="D53" s="1"/>
      <c r="E53" s="1"/>
      <c r="F53" s="6"/>
      <c r="G53" s="6"/>
      <c r="H53" s="35"/>
    </row>
    <row r="54" spans="1:8" ht="14.1" customHeight="1" x14ac:dyDescent="0.2">
      <c r="A54" s="1"/>
      <c r="B54" s="1"/>
      <c r="C54" s="2" t="s">
        <v>74</v>
      </c>
      <c r="D54" s="1"/>
      <c r="E54" s="1"/>
      <c r="F54" s="6"/>
      <c r="G54" s="6"/>
      <c r="H54" s="35"/>
    </row>
    <row r="55" spans="1:8" ht="29.1" customHeight="1" x14ac:dyDescent="0.2">
      <c r="A55" s="8">
        <v>1</v>
      </c>
      <c r="B55" s="9" t="s">
        <v>154</v>
      </c>
      <c r="C55" s="9" t="s">
        <v>155</v>
      </c>
      <c r="D55" s="9" t="s">
        <v>128</v>
      </c>
      <c r="E55" s="10">
        <v>200</v>
      </c>
      <c r="F55" s="11">
        <v>980.18200000000002</v>
      </c>
      <c r="G55" s="12">
        <v>5.7192100000000003E-2</v>
      </c>
      <c r="H55" s="35">
        <v>8.1999999999999993</v>
      </c>
    </row>
    <row r="56" spans="1:8" ht="17.100000000000001" customHeight="1" x14ac:dyDescent="0.2">
      <c r="A56" s="8">
        <v>2</v>
      </c>
      <c r="B56" s="9" t="s">
        <v>156</v>
      </c>
      <c r="C56" s="9" t="s">
        <v>157</v>
      </c>
      <c r="D56" s="9" t="s">
        <v>128</v>
      </c>
      <c r="E56" s="10">
        <v>200</v>
      </c>
      <c r="F56" s="11">
        <v>941.08900000000006</v>
      </c>
      <c r="G56" s="12">
        <v>5.4911080000000001E-2</v>
      </c>
      <c r="H56" s="35">
        <v>8.1312999999999995</v>
      </c>
    </row>
    <row r="57" spans="1:8" ht="17.100000000000001" customHeight="1" x14ac:dyDescent="0.2">
      <c r="A57" s="8">
        <v>3</v>
      </c>
      <c r="B57" s="9" t="s">
        <v>158</v>
      </c>
      <c r="C57" s="9" t="s">
        <v>159</v>
      </c>
      <c r="D57" s="9" t="s">
        <v>128</v>
      </c>
      <c r="E57" s="10">
        <v>200</v>
      </c>
      <c r="F57" s="11">
        <v>939.55</v>
      </c>
      <c r="G57" s="12">
        <v>5.482128E-2</v>
      </c>
      <c r="H57" s="35">
        <v>7.6</v>
      </c>
    </row>
    <row r="58" spans="1:8" ht="14.1" customHeight="1" x14ac:dyDescent="0.2">
      <c r="A58" s="1"/>
      <c r="B58" s="1"/>
      <c r="C58" s="2" t="s">
        <v>11</v>
      </c>
      <c r="D58" s="1"/>
      <c r="E58" s="1" t="s">
        <v>12</v>
      </c>
      <c r="F58" s="7">
        <v>2860.8209999999999</v>
      </c>
      <c r="G58" s="4">
        <v>0.16692446</v>
      </c>
      <c r="H58" s="35"/>
    </row>
    <row r="59" spans="1:8" ht="14.1" customHeight="1" x14ac:dyDescent="0.2">
      <c r="A59" s="1"/>
      <c r="B59" s="1"/>
      <c r="C59" s="5"/>
      <c r="D59" s="1"/>
      <c r="E59" s="1"/>
      <c r="F59" s="6"/>
      <c r="G59" s="6"/>
      <c r="H59" s="35"/>
    </row>
    <row r="60" spans="1:8" ht="14.1" customHeight="1" x14ac:dyDescent="0.2">
      <c r="A60" s="1"/>
      <c r="B60" s="1"/>
      <c r="C60" s="2" t="s">
        <v>75</v>
      </c>
      <c r="D60" s="1"/>
      <c r="E60" s="1"/>
      <c r="F60" s="6"/>
      <c r="G60" s="6"/>
      <c r="H60" s="35"/>
    </row>
    <row r="61" spans="1:8" ht="17.100000000000001" customHeight="1" x14ac:dyDescent="0.2">
      <c r="A61" s="8">
        <v>1</v>
      </c>
      <c r="B61" s="9" t="s">
        <v>160</v>
      </c>
      <c r="C61" s="9" t="s">
        <v>161</v>
      </c>
      <c r="D61" s="9" t="s">
        <v>65</v>
      </c>
      <c r="E61" s="10">
        <v>5000000</v>
      </c>
      <c r="F61" s="11">
        <v>4670.63</v>
      </c>
      <c r="G61" s="12">
        <v>0.27252399999999999</v>
      </c>
      <c r="H61" s="35">
        <v>7.0712999999999999</v>
      </c>
    </row>
    <row r="62" spans="1:8" ht="14.1" customHeight="1" x14ac:dyDescent="0.2">
      <c r="A62" s="1"/>
      <c r="B62" s="1"/>
      <c r="C62" s="2" t="s">
        <v>11</v>
      </c>
      <c r="D62" s="1"/>
      <c r="E62" s="1" t="s">
        <v>12</v>
      </c>
      <c r="F62" s="7">
        <v>4670.63</v>
      </c>
      <c r="G62" s="4">
        <v>0.27252399999999999</v>
      </c>
      <c r="H62" s="35"/>
    </row>
    <row r="63" spans="1:8" ht="14.1" customHeight="1" x14ac:dyDescent="0.2">
      <c r="A63" s="1"/>
      <c r="B63" s="1"/>
      <c r="C63" s="5"/>
      <c r="D63" s="1"/>
      <c r="E63" s="1"/>
      <c r="F63" s="6"/>
      <c r="G63" s="6"/>
      <c r="H63" s="35"/>
    </row>
    <row r="64" spans="1:8" ht="14.1" customHeight="1" x14ac:dyDescent="0.2">
      <c r="A64" s="1"/>
      <c r="B64" s="1"/>
      <c r="C64" s="2" t="s">
        <v>76</v>
      </c>
      <c r="D64" s="1"/>
      <c r="E64" s="1"/>
      <c r="F64" s="6"/>
      <c r="G64" s="6"/>
      <c r="H64" s="35"/>
    </row>
    <row r="65" spans="1:8" ht="17.100000000000001" customHeight="1" x14ac:dyDescent="0.2">
      <c r="A65" s="8">
        <v>1</v>
      </c>
      <c r="B65" s="9"/>
      <c r="C65" s="9" t="s">
        <v>77</v>
      </c>
      <c r="D65" s="9"/>
      <c r="E65" s="13"/>
      <c r="F65" s="11">
        <v>7979.875960978</v>
      </c>
      <c r="G65" s="12">
        <v>0.46561335999999998</v>
      </c>
      <c r="H65" s="63" t="s">
        <v>482</v>
      </c>
    </row>
    <row r="66" spans="1:8" ht="14.1" customHeight="1" x14ac:dyDescent="0.2">
      <c r="A66" s="1"/>
      <c r="B66" s="1"/>
      <c r="C66" s="2" t="s">
        <v>11</v>
      </c>
      <c r="D66" s="1"/>
      <c r="E66" s="1" t="s">
        <v>12</v>
      </c>
      <c r="F66" s="7">
        <v>7979.875960978</v>
      </c>
      <c r="G66" s="4">
        <v>0.46561335999999998</v>
      </c>
      <c r="H66" s="35"/>
    </row>
    <row r="67" spans="1:8" ht="14.1" customHeight="1" x14ac:dyDescent="0.2">
      <c r="A67" s="1"/>
      <c r="B67" s="1"/>
      <c r="C67" s="5"/>
      <c r="D67" s="1"/>
      <c r="E67" s="1"/>
      <c r="F67" s="6"/>
      <c r="G67" s="6"/>
      <c r="H67" s="35"/>
    </row>
    <row r="68" spans="1:8" ht="14.1" customHeight="1" x14ac:dyDescent="0.2">
      <c r="A68" s="1"/>
      <c r="B68" s="1"/>
      <c r="C68" s="2" t="s">
        <v>78</v>
      </c>
      <c r="D68" s="1"/>
      <c r="E68" s="1"/>
      <c r="F68" s="7">
        <v>22032.881060978001</v>
      </c>
      <c r="G68" s="4">
        <v>1.2855843600000001</v>
      </c>
      <c r="H68" s="35"/>
    </row>
    <row r="69" spans="1:8" ht="14.1" customHeight="1" x14ac:dyDescent="0.2">
      <c r="A69" s="1"/>
      <c r="B69" s="1"/>
      <c r="C69" s="6"/>
      <c r="D69" s="1"/>
      <c r="E69" s="1"/>
      <c r="F69" s="1"/>
      <c r="G69" s="1"/>
      <c r="H69" s="35"/>
    </row>
    <row r="70" spans="1:8" ht="14.1" customHeight="1" x14ac:dyDescent="0.2">
      <c r="A70" s="1"/>
      <c r="B70" s="1"/>
      <c r="C70" s="2" t="s">
        <v>79</v>
      </c>
      <c r="D70" s="1"/>
      <c r="E70" s="1"/>
      <c r="F70" s="1"/>
      <c r="G70" s="1"/>
      <c r="H70" s="35"/>
    </row>
    <row r="71" spans="1:8" ht="14.1" customHeight="1" x14ac:dyDescent="0.2">
      <c r="A71" s="1"/>
      <c r="B71" s="1"/>
      <c r="C71" s="2" t="s">
        <v>80</v>
      </c>
      <c r="D71" s="1"/>
      <c r="E71" s="1"/>
      <c r="F71" s="1"/>
      <c r="G71" s="1"/>
      <c r="H71" s="35"/>
    </row>
    <row r="72" spans="1:8" ht="14.1" customHeight="1" x14ac:dyDescent="0.2">
      <c r="A72" s="1"/>
      <c r="B72" s="1"/>
      <c r="C72" s="2" t="s">
        <v>11</v>
      </c>
      <c r="D72" s="1"/>
      <c r="E72" s="1" t="s">
        <v>12</v>
      </c>
      <c r="F72" s="3" t="s">
        <v>13</v>
      </c>
      <c r="G72" s="4">
        <v>0</v>
      </c>
      <c r="H72" s="35"/>
    </row>
    <row r="73" spans="1:8" ht="14.1" customHeight="1" x14ac:dyDescent="0.2">
      <c r="A73" s="1"/>
      <c r="B73" s="1"/>
      <c r="C73" s="5"/>
      <c r="D73" s="1"/>
      <c r="E73" s="1"/>
      <c r="F73" s="6"/>
      <c r="G73" s="6"/>
      <c r="H73" s="35"/>
    </row>
    <row r="74" spans="1:8" ht="14.1" customHeight="1" x14ac:dyDescent="0.2">
      <c r="A74" s="1"/>
      <c r="B74" s="1"/>
      <c r="C74" s="2" t="s">
        <v>83</v>
      </c>
      <c r="D74" s="1"/>
      <c r="E74" s="1"/>
      <c r="F74" s="1"/>
      <c r="G74" s="1"/>
      <c r="H74" s="35"/>
    </row>
    <row r="75" spans="1:8" ht="14.1" customHeight="1" x14ac:dyDescent="0.2">
      <c r="A75" s="1"/>
      <c r="B75" s="1"/>
      <c r="C75" s="2" t="s">
        <v>84</v>
      </c>
      <c r="D75" s="1"/>
      <c r="E75" s="1"/>
      <c r="F75" s="1"/>
      <c r="G75" s="1"/>
      <c r="H75" s="35"/>
    </row>
    <row r="76" spans="1:8" ht="14.1" customHeight="1" x14ac:dyDescent="0.2">
      <c r="A76" s="1"/>
      <c r="B76" s="1"/>
      <c r="C76" s="2" t="s">
        <v>11</v>
      </c>
      <c r="D76" s="1"/>
      <c r="E76" s="1" t="s">
        <v>12</v>
      </c>
      <c r="F76" s="3" t="s">
        <v>13</v>
      </c>
      <c r="G76" s="4">
        <v>0</v>
      </c>
      <c r="H76" s="35"/>
    </row>
    <row r="77" spans="1:8" ht="14.1" customHeight="1" x14ac:dyDescent="0.2">
      <c r="A77" s="1"/>
      <c r="B77" s="1"/>
      <c r="C77" s="5"/>
      <c r="D77" s="1"/>
      <c r="E77" s="1"/>
      <c r="F77" s="6"/>
      <c r="G77" s="6"/>
      <c r="H77" s="35"/>
    </row>
    <row r="78" spans="1:8" ht="24" customHeight="1" x14ac:dyDescent="0.2">
      <c r="A78" s="1"/>
      <c r="B78" s="1"/>
      <c r="C78" s="2" t="s">
        <v>85</v>
      </c>
      <c r="D78" s="1"/>
      <c r="E78" s="1"/>
      <c r="F78" s="6"/>
      <c r="G78" s="6"/>
      <c r="H78" s="35"/>
    </row>
    <row r="79" spans="1:8" ht="14.1" customHeight="1" x14ac:dyDescent="0.2">
      <c r="A79" s="1"/>
      <c r="B79" s="1"/>
      <c r="C79" s="2" t="s">
        <v>11</v>
      </c>
      <c r="D79" s="1"/>
      <c r="E79" s="1" t="s">
        <v>12</v>
      </c>
      <c r="F79" s="3" t="s">
        <v>13</v>
      </c>
      <c r="G79" s="4">
        <v>0</v>
      </c>
      <c r="H79" s="35"/>
    </row>
    <row r="80" spans="1:8" ht="14.1" customHeight="1" x14ac:dyDescent="0.2">
      <c r="A80" s="1"/>
      <c r="B80" s="1"/>
      <c r="C80" s="2"/>
      <c r="D80" s="1"/>
      <c r="E80" s="1"/>
      <c r="F80" s="3"/>
      <c r="G80" s="4"/>
      <c r="H80" s="35"/>
    </row>
    <row r="81" spans="1:18" x14ac:dyDescent="0.2">
      <c r="A81" s="50"/>
      <c r="B81" s="50"/>
      <c r="C81" s="51" t="s">
        <v>481</v>
      </c>
      <c r="D81" s="50"/>
      <c r="E81" s="50"/>
      <c r="F81" s="52"/>
      <c r="G81" s="52"/>
      <c r="H81" s="53"/>
      <c r="K81" s="47"/>
      <c r="L81" s="47"/>
      <c r="M81" s="47"/>
      <c r="N81" s="47"/>
      <c r="O81" s="47"/>
      <c r="P81" s="54"/>
      <c r="Q81" s="54"/>
      <c r="R81" s="54"/>
    </row>
    <row r="82" spans="1:18" ht="29.1" customHeight="1" x14ac:dyDescent="0.2">
      <c r="A82" s="8">
        <v>1</v>
      </c>
      <c r="B82" s="9" t="s">
        <v>81</v>
      </c>
      <c r="C82" s="9" t="s">
        <v>82</v>
      </c>
      <c r="D82" s="9"/>
      <c r="E82" s="14">
        <v>337.54399999999998</v>
      </c>
      <c r="F82" s="11">
        <v>34.538599773000001</v>
      </c>
      <c r="G82" s="12">
        <v>2.01527E-3</v>
      </c>
      <c r="H82" s="35"/>
    </row>
    <row r="83" spans="1:18" x14ac:dyDescent="0.2">
      <c r="A83" s="58"/>
      <c r="B83" s="58"/>
      <c r="C83" s="59" t="s">
        <v>11</v>
      </c>
      <c r="D83" s="58"/>
      <c r="E83" s="58" t="s">
        <v>12</v>
      </c>
      <c r="F83" s="60">
        <f>SUM(F82)</f>
        <v>34.538599773000001</v>
      </c>
      <c r="G83" s="61">
        <f>SUM(G82)</f>
        <v>2.01527E-3</v>
      </c>
      <c r="H83" s="53"/>
      <c r="K83" s="47"/>
      <c r="L83" s="47"/>
      <c r="M83" s="47"/>
      <c r="N83" s="47"/>
      <c r="O83" s="47"/>
      <c r="P83" s="54"/>
      <c r="Q83" s="54"/>
      <c r="R83" s="54"/>
    </row>
    <row r="84" spans="1:18" ht="14.1" customHeight="1" x14ac:dyDescent="0.2">
      <c r="A84" s="1"/>
      <c r="B84" s="1"/>
      <c r="C84" s="2"/>
      <c r="D84" s="1"/>
      <c r="E84" s="1"/>
      <c r="F84" s="3"/>
      <c r="G84" s="4"/>
      <c r="H84" s="35"/>
    </row>
    <row r="85" spans="1:18" ht="18" customHeight="1" x14ac:dyDescent="0.2">
      <c r="A85" s="13"/>
      <c r="B85" s="9"/>
      <c r="C85" s="9" t="s">
        <v>86</v>
      </c>
      <c r="D85" s="9"/>
      <c r="E85" s="13"/>
      <c r="F85" s="11">
        <v>-4929.0024197399998</v>
      </c>
      <c r="G85" s="12">
        <v>-0.28759963</v>
      </c>
      <c r="H85" s="35"/>
    </row>
    <row r="86" spans="1:18" ht="14.1" customHeight="1" x14ac:dyDescent="0.2">
      <c r="A86" s="5"/>
      <c r="B86" s="5"/>
      <c r="C86" s="2" t="s">
        <v>87</v>
      </c>
      <c r="D86" s="6"/>
      <c r="E86" s="6"/>
      <c r="F86" s="7">
        <v>17138.417241011</v>
      </c>
      <c r="G86" s="15">
        <v>1</v>
      </c>
      <c r="H86" s="37"/>
    </row>
    <row r="87" spans="1:18" ht="14.1" customHeight="1" x14ac:dyDescent="0.2">
      <c r="A87" s="16"/>
      <c r="B87" s="16"/>
      <c r="C87" s="16"/>
      <c r="D87" s="17"/>
      <c r="E87" s="17"/>
      <c r="F87" s="17"/>
      <c r="G87" s="17"/>
      <c r="H87" s="38"/>
    </row>
    <row r="88" spans="1:18" ht="12.75" customHeight="1" x14ac:dyDescent="0.2">
      <c r="A88" s="44"/>
      <c r="B88" s="131" t="s">
        <v>477</v>
      </c>
      <c r="C88" s="131"/>
      <c r="D88" s="131"/>
      <c r="E88" s="131"/>
      <c r="F88" s="131"/>
      <c r="G88" s="131"/>
      <c r="H88" s="131"/>
    </row>
    <row r="89" spans="1:18" ht="12.75" customHeight="1" x14ac:dyDescent="0.2">
      <c r="A89" s="44"/>
      <c r="B89" s="131" t="s">
        <v>478</v>
      </c>
      <c r="C89" s="131"/>
      <c r="D89" s="131"/>
      <c r="E89" s="131"/>
      <c r="F89" s="131"/>
      <c r="G89" s="131"/>
      <c r="H89" s="131"/>
    </row>
    <row r="90" spans="1:18" ht="12.75" customHeight="1" x14ac:dyDescent="0.2">
      <c r="A90" s="44"/>
      <c r="B90" s="131" t="s">
        <v>479</v>
      </c>
      <c r="C90" s="131"/>
      <c r="D90" s="131"/>
      <c r="E90" s="131"/>
      <c r="F90" s="131"/>
      <c r="G90" s="131"/>
      <c r="H90" s="131"/>
    </row>
    <row r="91" spans="1:18" ht="14.1" customHeight="1" x14ac:dyDescent="0.2">
      <c r="A91" s="18"/>
      <c r="B91" s="18"/>
      <c r="C91" s="18"/>
      <c r="D91" s="20"/>
      <c r="E91" s="20"/>
      <c r="F91" s="20"/>
      <c r="G91" s="20"/>
      <c r="H91" s="39"/>
    </row>
    <row r="92" spans="1:18" ht="14.1" customHeight="1" x14ac:dyDescent="0.2">
      <c r="A92" s="18"/>
      <c r="B92" s="126" t="s">
        <v>88</v>
      </c>
      <c r="C92" s="127"/>
      <c r="D92" s="128"/>
      <c r="E92" s="21"/>
      <c r="F92" s="20"/>
      <c r="G92" s="20"/>
      <c r="H92" s="39"/>
    </row>
    <row r="93" spans="1:18" ht="29.1" customHeight="1" x14ac:dyDescent="0.2">
      <c r="A93" s="18"/>
      <c r="B93" s="129" t="s">
        <v>89</v>
      </c>
      <c r="C93" s="130"/>
      <c r="D93" s="2" t="s">
        <v>90</v>
      </c>
      <c r="E93" s="21"/>
      <c r="F93" s="20"/>
      <c r="G93" s="20"/>
      <c r="H93" s="39"/>
    </row>
    <row r="94" spans="1:18" ht="17.100000000000001" customHeight="1" x14ac:dyDescent="0.2">
      <c r="A94" s="18"/>
      <c r="B94" s="129" t="s">
        <v>91</v>
      </c>
      <c r="C94" s="130"/>
      <c r="D94" s="2" t="s">
        <v>90</v>
      </c>
      <c r="E94" s="21"/>
      <c r="F94" s="20"/>
      <c r="G94" s="20"/>
      <c r="H94" s="39"/>
    </row>
    <row r="95" spans="1:18" ht="17.100000000000001" customHeight="1" x14ac:dyDescent="0.2">
      <c r="A95" s="18"/>
      <c r="B95" s="129" t="s">
        <v>92</v>
      </c>
      <c r="C95" s="130"/>
      <c r="D95" s="6" t="s">
        <v>12</v>
      </c>
      <c r="E95" s="21"/>
      <c r="F95" s="20"/>
      <c r="G95" s="20"/>
      <c r="H95" s="39"/>
    </row>
    <row r="96" spans="1:18" x14ac:dyDescent="0.2">
      <c r="A96" s="22"/>
      <c r="B96" s="23" t="s">
        <v>12</v>
      </c>
      <c r="C96" s="23" t="s">
        <v>527</v>
      </c>
      <c r="D96" s="23" t="s">
        <v>93</v>
      </c>
      <c r="E96" s="22"/>
      <c r="F96" s="22"/>
      <c r="G96" s="22"/>
      <c r="H96" s="40"/>
    </row>
    <row r="97" spans="1:8" ht="18" customHeight="1" x14ac:dyDescent="0.2">
      <c r="A97" s="22"/>
      <c r="B97" s="24" t="s">
        <v>94</v>
      </c>
      <c r="C97" s="23" t="s">
        <v>95</v>
      </c>
      <c r="D97" s="23" t="s">
        <v>96</v>
      </c>
      <c r="E97" s="22"/>
      <c r="F97" s="22"/>
      <c r="G97" s="22"/>
      <c r="H97" s="40"/>
    </row>
    <row r="98" spans="1:8" ht="17.100000000000001" customHeight="1" x14ac:dyDescent="0.2">
      <c r="A98" s="22"/>
      <c r="B98" s="9" t="s">
        <v>97</v>
      </c>
      <c r="C98" s="25">
        <v>13.817299999999999</v>
      </c>
      <c r="D98" s="25">
        <v>13.8626</v>
      </c>
      <c r="E98" s="22"/>
      <c r="F98" s="19"/>
      <c r="G98" s="26"/>
      <c r="H98" s="41"/>
    </row>
    <row r="99" spans="1:8" ht="29.1" customHeight="1" x14ac:dyDescent="0.2">
      <c r="A99" s="22"/>
      <c r="B99" s="9" t="s">
        <v>540</v>
      </c>
      <c r="C99" s="25">
        <v>10.061999999999999</v>
      </c>
      <c r="D99" s="25">
        <v>10.061999999999999</v>
      </c>
      <c r="E99" s="22"/>
      <c r="F99" s="19"/>
      <c r="G99" s="26"/>
      <c r="H99" s="41"/>
    </row>
    <row r="100" spans="1:8" ht="29.1" customHeight="1" x14ac:dyDescent="0.2">
      <c r="A100" s="22"/>
      <c r="B100" s="9" t="s">
        <v>532</v>
      </c>
      <c r="C100" s="25">
        <v>11.1713</v>
      </c>
      <c r="D100" s="25">
        <v>11.208</v>
      </c>
      <c r="E100" s="22"/>
      <c r="F100" s="19"/>
      <c r="G100" s="26"/>
      <c r="H100" s="41"/>
    </row>
    <row r="101" spans="1:8" ht="29.1" customHeight="1" x14ac:dyDescent="0.2">
      <c r="A101" s="22"/>
      <c r="B101" s="9" t="s">
        <v>533</v>
      </c>
      <c r="C101" s="25">
        <v>12.1105</v>
      </c>
      <c r="D101" s="25">
        <v>12.1502</v>
      </c>
      <c r="E101" s="22"/>
      <c r="F101" s="19"/>
      <c r="G101" s="26"/>
      <c r="H101" s="41"/>
    </row>
    <row r="102" spans="1:8" ht="17.100000000000001" customHeight="1" x14ac:dyDescent="0.2">
      <c r="A102" s="22"/>
      <c r="B102" s="9" t="s">
        <v>98</v>
      </c>
      <c r="C102" s="25">
        <v>13.7476</v>
      </c>
      <c r="D102" s="25">
        <v>13.792199999999999</v>
      </c>
      <c r="E102" s="22"/>
      <c r="F102" s="19"/>
      <c r="G102" s="26"/>
      <c r="H102" s="41"/>
    </row>
    <row r="103" spans="1:8" ht="29.1" customHeight="1" x14ac:dyDescent="0.2">
      <c r="A103" s="22"/>
      <c r="B103" s="9" t="s">
        <v>543</v>
      </c>
      <c r="C103" s="25">
        <v>10.061999999999999</v>
      </c>
      <c r="D103" s="25">
        <v>10.061999999999999</v>
      </c>
      <c r="E103" s="22"/>
      <c r="F103" s="19"/>
      <c r="G103" s="26"/>
      <c r="H103" s="41"/>
    </row>
    <row r="104" spans="1:8" ht="29.1" customHeight="1" x14ac:dyDescent="0.2">
      <c r="A104" s="22"/>
      <c r="B104" s="9" t="s">
        <v>544</v>
      </c>
      <c r="C104" s="25">
        <v>10.4842</v>
      </c>
      <c r="D104" s="25">
        <v>10.490600000000001</v>
      </c>
      <c r="E104" s="22"/>
      <c r="F104" s="19"/>
      <c r="G104" s="26"/>
      <c r="H104" s="41"/>
    </row>
    <row r="105" spans="1:8" ht="29.1" customHeight="1" x14ac:dyDescent="0.2">
      <c r="A105" s="22"/>
      <c r="B105" s="9" t="s">
        <v>545</v>
      </c>
      <c r="C105" s="25">
        <v>11.1503</v>
      </c>
      <c r="D105" s="25">
        <v>11.186500000000001</v>
      </c>
      <c r="E105" s="22"/>
      <c r="F105" s="19"/>
      <c r="G105" s="26"/>
      <c r="H105" s="41"/>
    </row>
    <row r="106" spans="1:8" ht="29.1" customHeight="1" x14ac:dyDescent="0.2">
      <c r="A106" s="22"/>
      <c r="B106" s="9" t="s">
        <v>536</v>
      </c>
      <c r="C106" s="25">
        <v>11.1503</v>
      </c>
      <c r="D106" s="25">
        <v>11.186400000000001</v>
      </c>
      <c r="E106" s="22"/>
      <c r="F106" s="19"/>
      <c r="G106" s="26"/>
      <c r="H106" s="41"/>
    </row>
    <row r="107" spans="1:8" ht="29.1" customHeight="1" x14ac:dyDescent="0.2">
      <c r="A107" s="22"/>
      <c r="B107" s="9" t="s">
        <v>531</v>
      </c>
      <c r="C107" s="25">
        <v>12.047700000000001</v>
      </c>
      <c r="D107" s="25">
        <v>12.0868</v>
      </c>
      <c r="E107" s="22"/>
      <c r="F107" s="19"/>
      <c r="G107" s="26"/>
      <c r="H107" s="41"/>
    </row>
    <row r="108" spans="1:8" ht="14.1" customHeight="1" x14ac:dyDescent="0.2">
      <c r="A108" s="22"/>
      <c r="B108" s="22"/>
      <c r="C108" s="22"/>
      <c r="D108" s="22"/>
      <c r="E108" s="22"/>
      <c r="F108" s="22"/>
      <c r="G108" s="22"/>
      <c r="H108" s="40"/>
    </row>
    <row r="109" spans="1:8" ht="17.100000000000001" customHeight="1" x14ac:dyDescent="0.2">
      <c r="A109" s="22"/>
      <c r="B109" s="129" t="s">
        <v>539</v>
      </c>
      <c r="C109" s="130"/>
      <c r="D109" s="2" t="s">
        <v>12</v>
      </c>
      <c r="E109" s="22"/>
      <c r="F109" s="22"/>
      <c r="G109" s="22"/>
      <c r="H109" s="40"/>
    </row>
    <row r="110" spans="1:8" ht="18" customHeight="1" x14ac:dyDescent="0.2">
      <c r="A110" s="22"/>
      <c r="B110" s="28" t="s">
        <v>94</v>
      </c>
      <c r="C110" s="29" t="s">
        <v>132</v>
      </c>
      <c r="D110" s="29" t="s">
        <v>133</v>
      </c>
      <c r="E110" s="22"/>
      <c r="F110" s="22"/>
      <c r="G110" s="22"/>
      <c r="H110" s="40"/>
    </row>
    <row r="111" spans="1:8" ht="29.1" customHeight="1" x14ac:dyDescent="0.2">
      <c r="A111" s="22"/>
      <c r="B111" s="9" t="s">
        <v>540</v>
      </c>
      <c r="C111" s="30">
        <v>3.2828999999999997E-2</v>
      </c>
      <c r="D111" s="13" t="s">
        <v>134</v>
      </c>
      <c r="E111" s="22"/>
      <c r="F111" s="19"/>
      <c r="G111" s="26"/>
      <c r="H111" s="41"/>
    </row>
    <row r="112" spans="1:8" ht="29.1" customHeight="1" x14ac:dyDescent="0.2">
      <c r="A112" s="22"/>
      <c r="B112" s="9" t="s">
        <v>543</v>
      </c>
      <c r="C112" s="30">
        <v>3.2569000000000001E-2</v>
      </c>
      <c r="D112" s="13" t="s">
        <v>134</v>
      </c>
      <c r="E112" s="22"/>
      <c r="F112" s="19"/>
      <c r="G112" s="26"/>
      <c r="H112" s="41"/>
    </row>
    <row r="113" spans="1:15" ht="29.1" customHeight="1" x14ac:dyDescent="0.2">
      <c r="A113" s="22"/>
      <c r="B113" s="9" t="s">
        <v>544</v>
      </c>
      <c r="C113" s="30">
        <v>2.75E-2</v>
      </c>
      <c r="D113" s="13" t="s">
        <v>134</v>
      </c>
      <c r="E113" s="22"/>
      <c r="F113" s="19"/>
      <c r="G113" s="26"/>
      <c r="H113" s="41"/>
    </row>
    <row r="114" spans="1:15" ht="14.1" customHeight="1" x14ac:dyDescent="0.2">
      <c r="A114" s="22"/>
      <c r="B114" s="31"/>
      <c r="C114" s="31"/>
      <c r="D114" s="32"/>
      <c r="E114" s="22"/>
      <c r="F114" s="19"/>
      <c r="G114" s="26"/>
      <c r="H114" s="41"/>
    </row>
    <row r="115" spans="1:15" s="71" customFormat="1" ht="29.1" customHeight="1" x14ac:dyDescent="0.2">
      <c r="A115" s="69"/>
      <c r="B115" s="132" t="s">
        <v>99</v>
      </c>
      <c r="C115" s="133"/>
      <c r="D115" s="51" t="s">
        <v>90</v>
      </c>
      <c r="E115" s="70"/>
      <c r="F115" s="69"/>
      <c r="G115" s="69"/>
      <c r="I115"/>
      <c r="J115" s="46"/>
      <c r="K115" s="47"/>
      <c r="L115" s="47"/>
      <c r="M115" s="47"/>
      <c r="N115" s="47"/>
      <c r="O115"/>
    </row>
    <row r="116" spans="1:15" s="71" customFormat="1" ht="29.1" customHeight="1" x14ac:dyDescent="0.2">
      <c r="A116" s="69"/>
      <c r="B116" s="132" t="s">
        <v>100</v>
      </c>
      <c r="C116" s="133"/>
      <c r="D116" s="51" t="s">
        <v>90</v>
      </c>
      <c r="E116" s="70"/>
      <c r="F116" s="69"/>
      <c r="G116" s="69"/>
      <c r="I116"/>
      <c r="J116" s="46"/>
      <c r="K116" s="47"/>
      <c r="L116" s="47"/>
      <c r="M116" s="47"/>
      <c r="N116" s="47"/>
      <c r="O116"/>
    </row>
    <row r="117" spans="1:15" s="71" customFormat="1" ht="17.100000000000001" customHeight="1" x14ac:dyDescent="0.2">
      <c r="A117" s="69"/>
      <c r="B117" s="132" t="s">
        <v>487</v>
      </c>
      <c r="C117" s="133"/>
      <c r="D117" s="51" t="s">
        <v>90</v>
      </c>
      <c r="E117" s="70"/>
      <c r="F117" s="69"/>
      <c r="G117" s="69"/>
      <c r="I117"/>
      <c r="J117" s="46"/>
      <c r="K117" s="47"/>
      <c r="L117" s="47"/>
      <c r="M117" s="47"/>
      <c r="N117" s="47"/>
      <c r="O117" s="79"/>
    </row>
    <row r="118" spans="1:15" s="71" customFormat="1" x14ac:dyDescent="0.2">
      <c r="I118"/>
      <c r="J118" s="46"/>
      <c r="K118" s="47"/>
      <c r="L118" s="47"/>
      <c r="M118" s="47"/>
      <c r="N118" s="47"/>
      <c r="O118" s="79"/>
    </row>
    <row r="119" spans="1:15" s="71" customFormat="1" x14ac:dyDescent="0.2">
      <c r="B119" s="135" t="s">
        <v>488</v>
      </c>
      <c r="C119" s="136"/>
      <c r="D119" s="137"/>
      <c r="I119"/>
      <c r="J119" s="46"/>
      <c r="K119" s="47"/>
      <c r="L119" s="47"/>
      <c r="M119" s="47"/>
      <c r="N119" s="47"/>
      <c r="O119" s="79"/>
    </row>
    <row r="120" spans="1:15" s="71" customFormat="1" ht="38.25" x14ac:dyDescent="0.2">
      <c r="B120" s="134" t="s">
        <v>489</v>
      </c>
      <c r="C120" s="134"/>
      <c r="D120" s="72" t="s">
        <v>135</v>
      </c>
      <c r="I120"/>
      <c r="J120" s="46"/>
      <c r="K120" s="47"/>
      <c r="L120" s="47"/>
      <c r="M120" s="47"/>
      <c r="N120" s="47"/>
      <c r="O120" s="79"/>
    </row>
    <row r="121" spans="1:15" s="71" customFormat="1" x14ac:dyDescent="0.2">
      <c r="B121" s="138" t="s">
        <v>490</v>
      </c>
      <c r="C121" s="138"/>
      <c r="D121" s="73"/>
      <c r="I121"/>
      <c r="J121" s="46"/>
      <c r="K121" s="47"/>
      <c r="L121" s="47"/>
      <c r="M121" s="47"/>
      <c r="N121" s="47"/>
      <c r="O121" s="79"/>
    </row>
    <row r="122" spans="1:15" s="71" customFormat="1" x14ac:dyDescent="0.2">
      <c r="B122" s="138"/>
      <c r="C122" s="138"/>
      <c r="D122" s="74"/>
      <c r="I122"/>
      <c r="J122" s="46"/>
      <c r="K122" s="47"/>
      <c r="L122" s="47"/>
      <c r="M122" s="47"/>
      <c r="N122" s="47"/>
      <c r="O122" s="79"/>
    </row>
    <row r="123" spans="1:15" s="71" customFormat="1" x14ac:dyDescent="0.2">
      <c r="B123" s="138" t="s">
        <v>491</v>
      </c>
      <c r="C123" s="138"/>
      <c r="D123" s="75">
        <v>7.0707271066933455</v>
      </c>
      <c r="I123"/>
      <c r="J123" s="46"/>
      <c r="K123" s="47"/>
      <c r="L123" s="47"/>
      <c r="M123" s="47"/>
      <c r="N123" s="47"/>
      <c r="O123" s="79"/>
    </row>
    <row r="124" spans="1:15" s="71" customFormat="1" x14ac:dyDescent="0.2">
      <c r="B124" s="138"/>
      <c r="C124" s="138"/>
      <c r="D124" s="74"/>
      <c r="I124"/>
      <c r="J124" s="46"/>
      <c r="K124" s="47"/>
      <c r="L124" s="47"/>
      <c r="M124" s="47"/>
      <c r="N124" s="47"/>
      <c r="O124" s="79"/>
    </row>
    <row r="125" spans="1:15" s="71" customFormat="1" x14ac:dyDescent="0.2">
      <c r="B125" s="138" t="s">
        <v>492</v>
      </c>
      <c r="C125" s="138"/>
      <c r="D125" s="75">
        <v>0.39707312053827032</v>
      </c>
      <c r="I125"/>
      <c r="J125" s="46"/>
      <c r="K125" s="47"/>
      <c r="L125" s="47"/>
      <c r="M125" s="47"/>
      <c r="N125" s="47"/>
      <c r="O125" s="79"/>
    </row>
    <row r="126" spans="1:15" s="71" customFormat="1" x14ac:dyDescent="0.2">
      <c r="B126" s="138" t="s">
        <v>493</v>
      </c>
      <c r="C126" s="138"/>
      <c r="D126" s="75">
        <v>0.39707312053827032</v>
      </c>
      <c r="I126"/>
      <c r="J126" s="46"/>
      <c r="K126" s="47"/>
      <c r="L126" s="47"/>
      <c r="M126" s="47"/>
      <c r="N126" s="47"/>
      <c r="O126" s="79"/>
    </row>
    <row r="127" spans="1:15" s="71" customFormat="1" x14ac:dyDescent="0.2">
      <c r="B127" s="138"/>
      <c r="C127" s="138"/>
      <c r="D127" s="74"/>
      <c r="I127"/>
      <c r="J127" s="46"/>
      <c r="K127" s="47"/>
      <c r="L127" s="47"/>
      <c r="M127" s="47"/>
      <c r="N127" s="47"/>
      <c r="O127" s="79"/>
    </row>
    <row r="128" spans="1:15" s="71" customFormat="1" x14ac:dyDescent="0.2">
      <c r="B128" s="138" t="s">
        <v>494</v>
      </c>
      <c r="C128" s="138"/>
      <c r="D128" s="76" t="s">
        <v>523</v>
      </c>
      <c r="I128"/>
      <c r="J128" s="46"/>
      <c r="K128" s="47"/>
      <c r="L128" s="47"/>
      <c r="M128" s="47"/>
      <c r="N128" s="47"/>
      <c r="O128" s="79"/>
    </row>
    <row r="129" spans="2:17" s="71" customFormat="1" x14ac:dyDescent="0.2">
      <c r="B129" s="139" t="s">
        <v>495</v>
      </c>
      <c r="C129" s="141"/>
      <c r="D129" s="140"/>
      <c r="I129"/>
      <c r="J129" s="46"/>
      <c r="K129" s="47"/>
      <c r="L129" s="47"/>
      <c r="M129" s="47"/>
      <c r="N129" s="47"/>
      <c r="O129" s="79"/>
      <c r="P129"/>
      <c r="Q129"/>
    </row>
    <row r="130" spans="2:17" x14ac:dyDescent="0.2">
      <c r="H130"/>
      <c r="K130" s="47"/>
      <c r="L130" s="47"/>
      <c r="M130" s="47"/>
      <c r="N130" s="47"/>
      <c r="O130" s="79"/>
    </row>
  </sheetData>
  <mergeCells count="25">
    <mergeCell ref="B126:C126"/>
    <mergeCell ref="B127:C127"/>
    <mergeCell ref="B128:C128"/>
    <mergeCell ref="B129:D129"/>
    <mergeCell ref="B121:C121"/>
    <mergeCell ref="B122:C122"/>
    <mergeCell ref="B123:C123"/>
    <mergeCell ref="B124:C124"/>
    <mergeCell ref="B125:C125"/>
    <mergeCell ref="B117:C117"/>
    <mergeCell ref="B120:C120"/>
    <mergeCell ref="B95:C95"/>
    <mergeCell ref="B109:C109"/>
    <mergeCell ref="B116:C116"/>
    <mergeCell ref="B115:C115"/>
    <mergeCell ref="B119:D119"/>
    <mergeCell ref="A1:H1"/>
    <mergeCell ref="A2:H2"/>
    <mergeCell ref="B92:D92"/>
    <mergeCell ref="B93:C93"/>
    <mergeCell ref="B94:C94"/>
    <mergeCell ref="B88:H88"/>
    <mergeCell ref="B89:H89"/>
    <mergeCell ref="B90:H90"/>
    <mergeCell ref="A3:H3"/>
  </mergeCells>
  <hyperlinks>
    <hyperlink ref="I1" location="Index!B4" display="Index" xr:uid="{5916AC78-EB26-4F2D-9FD5-37E8B9CB56B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69"/>
  <sheetViews>
    <sheetView showGridLines="0" workbookViewId="0">
      <selection activeCell="D120" sqref="D120"/>
    </sheetView>
  </sheetViews>
  <sheetFormatPr defaultRowHeight="12.75" x14ac:dyDescent="0.2"/>
  <cols>
    <col min="1" max="1" width="5.85546875" bestFit="1" customWidth="1"/>
    <col min="2" max="2" width="20.42578125" bestFit="1" customWidth="1"/>
    <col min="3" max="3" width="39.140625" bestFit="1" customWidth="1"/>
    <col min="4" max="4" width="17.28515625" customWidth="1"/>
    <col min="5" max="5" width="9.42578125" bestFit="1" customWidth="1"/>
    <col min="6" max="6" width="10.140625" bestFit="1" customWidth="1"/>
    <col min="7" max="7" width="14" bestFit="1" customWidth="1"/>
    <col min="8" max="8" width="9.42578125" style="43"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162</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6" t="s">
        <v>475</v>
      </c>
      <c r="I4" s="118"/>
      <c r="J4" s="46"/>
    </row>
    <row r="5" spans="1:10" ht="14.1" customHeight="1" x14ac:dyDescent="0.2">
      <c r="A5" s="1"/>
      <c r="B5" s="1"/>
      <c r="C5" s="2" t="s">
        <v>9</v>
      </c>
      <c r="D5" s="1"/>
      <c r="E5" s="1"/>
      <c r="F5" s="1"/>
      <c r="G5" s="1"/>
      <c r="H5" s="35"/>
    </row>
    <row r="6" spans="1:10" ht="24" customHeight="1" x14ac:dyDescent="0.2">
      <c r="A6" s="1"/>
      <c r="B6" s="1"/>
      <c r="C6" s="2" t="s">
        <v>10</v>
      </c>
      <c r="D6" s="1"/>
      <c r="E6" s="1"/>
      <c r="F6" s="1"/>
      <c r="G6" s="1"/>
      <c r="H6" s="35"/>
    </row>
    <row r="7" spans="1:10" ht="14.1" customHeight="1" x14ac:dyDescent="0.2">
      <c r="A7" s="1"/>
      <c r="B7" s="1"/>
      <c r="C7" s="2" t="s">
        <v>11</v>
      </c>
      <c r="D7" s="1"/>
      <c r="E7" s="1" t="s">
        <v>12</v>
      </c>
      <c r="F7" s="3" t="s">
        <v>13</v>
      </c>
      <c r="G7" s="4">
        <v>0</v>
      </c>
      <c r="H7" s="35"/>
    </row>
    <row r="8" spans="1:10" ht="14.1" customHeight="1" x14ac:dyDescent="0.2">
      <c r="A8" s="1"/>
      <c r="B8" s="1"/>
      <c r="C8" s="5"/>
      <c r="D8" s="1"/>
      <c r="E8" s="1"/>
      <c r="F8" s="6"/>
      <c r="G8" s="6"/>
      <c r="H8" s="35"/>
    </row>
    <row r="9" spans="1:10" ht="14.1" customHeight="1" x14ac:dyDescent="0.2">
      <c r="A9" s="1"/>
      <c r="B9" s="1"/>
      <c r="C9" s="2" t="s">
        <v>14</v>
      </c>
      <c r="D9" s="1"/>
      <c r="E9" s="1"/>
      <c r="F9" s="1"/>
      <c r="G9" s="1"/>
      <c r="H9" s="35"/>
    </row>
    <row r="10" spans="1:10" ht="14.1" customHeight="1" x14ac:dyDescent="0.2">
      <c r="A10" s="1"/>
      <c r="B10" s="1"/>
      <c r="C10" s="2" t="s">
        <v>11</v>
      </c>
      <c r="D10" s="1"/>
      <c r="E10" s="1" t="s">
        <v>12</v>
      </c>
      <c r="F10" s="3" t="s">
        <v>13</v>
      </c>
      <c r="G10" s="4">
        <v>0</v>
      </c>
      <c r="H10" s="35"/>
    </row>
    <row r="11" spans="1:10" ht="14.1" customHeight="1" x14ac:dyDescent="0.2">
      <c r="A11" s="1"/>
      <c r="B11" s="1"/>
      <c r="C11" s="5"/>
      <c r="D11" s="1"/>
      <c r="E11" s="1"/>
      <c r="F11" s="6"/>
      <c r="G11" s="6"/>
      <c r="H11" s="35"/>
    </row>
    <row r="12" spans="1:10" ht="14.1" customHeight="1" x14ac:dyDescent="0.2">
      <c r="A12" s="1"/>
      <c r="B12" s="1"/>
      <c r="C12" s="2" t="s">
        <v>15</v>
      </c>
      <c r="D12" s="1"/>
      <c r="E12" s="1"/>
      <c r="F12" s="1"/>
      <c r="G12" s="1"/>
      <c r="H12" s="35"/>
      <c r="J12" s="119"/>
    </row>
    <row r="13" spans="1:10" ht="14.1" customHeight="1" x14ac:dyDescent="0.2">
      <c r="A13" s="1"/>
      <c r="B13" s="1"/>
      <c r="C13" s="2" t="s">
        <v>11</v>
      </c>
      <c r="D13" s="1"/>
      <c r="E13" s="1" t="s">
        <v>12</v>
      </c>
      <c r="F13" s="3" t="s">
        <v>13</v>
      </c>
      <c r="G13" s="4">
        <v>0</v>
      </c>
      <c r="H13" s="35"/>
      <c r="J13" s="120"/>
    </row>
    <row r="14" spans="1:10" ht="14.1" customHeight="1" x14ac:dyDescent="0.2">
      <c r="A14" s="1"/>
      <c r="B14" s="1"/>
      <c r="C14" s="5"/>
      <c r="D14" s="1"/>
      <c r="E14" s="1"/>
      <c r="F14" s="6"/>
      <c r="G14" s="6"/>
      <c r="H14" s="35"/>
      <c r="J14" s="120" t="s">
        <v>570</v>
      </c>
    </row>
    <row r="15" spans="1:10" ht="14.1" customHeight="1" x14ac:dyDescent="0.2">
      <c r="A15" s="1"/>
      <c r="B15" s="1"/>
      <c r="C15" s="2" t="s">
        <v>16</v>
      </c>
      <c r="D15" s="1"/>
      <c r="E15" s="1"/>
      <c r="F15" s="1"/>
      <c r="G15" s="1"/>
      <c r="H15" s="35"/>
      <c r="J15" s="120"/>
    </row>
    <row r="16" spans="1:10" ht="14.1" customHeight="1" x14ac:dyDescent="0.2">
      <c r="A16" s="1"/>
      <c r="B16" s="1"/>
      <c r="C16" s="2" t="s">
        <v>11</v>
      </c>
      <c r="D16" s="1"/>
      <c r="E16" s="1" t="s">
        <v>12</v>
      </c>
      <c r="F16" s="3" t="s">
        <v>13</v>
      </c>
      <c r="G16" s="4">
        <v>0</v>
      </c>
      <c r="H16" s="35"/>
    </row>
    <row r="17" spans="1:10" ht="14.1" customHeight="1" x14ac:dyDescent="0.2">
      <c r="A17" s="1"/>
      <c r="B17" s="1"/>
      <c r="C17" s="5"/>
      <c r="D17" s="1"/>
      <c r="E17" s="1"/>
      <c r="F17" s="6"/>
      <c r="G17" s="6"/>
      <c r="H17" s="35"/>
    </row>
    <row r="18" spans="1:10" ht="14.1" customHeight="1" x14ac:dyDescent="0.2">
      <c r="A18" s="1"/>
      <c r="B18" s="1"/>
      <c r="C18" s="2" t="s">
        <v>17</v>
      </c>
      <c r="D18" s="1"/>
      <c r="E18" s="1"/>
      <c r="F18" s="6"/>
      <c r="G18" s="6"/>
      <c r="H18" s="35"/>
    </row>
    <row r="19" spans="1:10" ht="14.1" customHeight="1" x14ac:dyDescent="0.2">
      <c r="A19" s="1"/>
      <c r="B19" s="1"/>
      <c r="C19" s="2" t="s">
        <v>11</v>
      </c>
      <c r="D19" s="1"/>
      <c r="E19" s="1" t="s">
        <v>12</v>
      </c>
      <c r="F19" s="3" t="s">
        <v>13</v>
      </c>
      <c r="G19" s="4">
        <v>0</v>
      </c>
      <c r="H19" s="35"/>
    </row>
    <row r="20" spans="1:10" ht="14.1" customHeight="1" x14ac:dyDescent="0.2">
      <c r="A20" s="1"/>
      <c r="B20" s="1"/>
      <c r="C20" s="5"/>
      <c r="D20" s="1"/>
      <c r="E20" s="1"/>
      <c r="F20" s="6"/>
      <c r="G20" s="6"/>
      <c r="H20" s="35"/>
    </row>
    <row r="21" spans="1:10" ht="14.1" customHeight="1" x14ac:dyDescent="0.2">
      <c r="A21" s="1"/>
      <c r="B21" s="1"/>
      <c r="C21" s="2" t="s">
        <v>18</v>
      </c>
      <c r="D21" s="1"/>
      <c r="E21" s="1"/>
      <c r="F21" s="6"/>
      <c r="G21" s="6"/>
      <c r="H21" s="35"/>
    </row>
    <row r="22" spans="1:10" ht="14.1" customHeight="1" x14ac:dyDescent="0.2">
      <c r="A22" s="1"/>
      <c r="B22" s="1"/>
      <c r="C22" s="2" t="s">
        <v>11</v>
      </c>
      <c r="D22" s="1"/>
      <c r="E22" s="1" t="s">
        <v>12</v>
      </c>
      <c r="F22" s="3" t="s">
        <v>13</v>
      </c>
      <c r="G22" s="4">
        <v>0</v>
      </c>
      <c r="H22" s="35"/>
      <c r="J22" s="119"/>
    </row>
    <row r="23" spans="1:10" ht="14.1" customHeight="1" x14ac:dyDescent="0.2">
      <c r="A23" s="1"/>
      <c r="B23" s="1"/>
      <c r="C23" s="5"/>
      <c r="D23" s="1"/>
      <c r="E23" s="1"/>
      <c r="F23" s="6"/>
      <c r="G23" s="6"/>
      <c r="H23" s="35"/>
      <c r="J23" s="120"/>
    </row>
    <row r="24" spans="1:10" ht="18" customHeight="1" x14ac:dyDescent="0.2">
      <c r="A24" s="1"/>
      <c r="B24" s="1"/>
      <c r="C24" s="2" t="s">
        <v>19</v>
      </c>
      <c r="D24" s="1"/>
      <c r="E24" s="1"/>
      <c r="F24" s="7">
        <v>0</v>
      </c>
      <c r="G24" s="4">
        <v>0</v>
      </c>
      <c r="H24" s="35"/>
    </row>
    <row r="25" spans="1:10" ht="14.1" customHeight="1" x14ac:dyDescent="0.2">
      <c r="A25" s="1"/>
      <c r="B25" s="1"/>
      <c r="C25" s="5"/>
      <c r="D25" s="1"/>
      <c r="E25" s="1"/>
      <c r="F25" s="6"/>
      <c r="G25" s="6"/>
      <c r="H25" s="35"/>
    </row>
    <row r="26" spans="1:10" ht="14.1" customHeight="1" x14ac:dyDescent="0.2">
      <c r="A26" s="1"/>
      <c r="B26" s="1"/>
      <c r="C26" s="2" t="s">
        <v>20</v>
      </c>
      <c r="D26" s="1"/>
      <c r="E26" s="1"/>
      <c r="F26" s="6"/>
      <c r="G26" s="6"/>
      <c r="H26" s="35"/>
    </row>
    <row r="27" spans="1:10" ht="24" customHeight="1" x14ac:dyDescent="0.2">
      <c r="A27" s="1"/>
      <c r="B27" s="1"/>
      <c r="C27" s="2" t="s">
        <v>10</v>
      </c>
      <c r="D27" s="1"/>
      <c r="E27" s="1"/>
      <c r="F27" s="6"/>
      <c r="G27" s="6"/>
      <c r="H27" s="35"/>
      <c r="J27" s="120" t="s">
        <v>571</v>
      </c>
    </row>
    <row r="28" spans="1:10" ht="29.1" customHeight="1" x14ac:dyDescent="0.2">
      <c r="A28" s="8">
        <v>1</v>
      </c>
      <c r="B28" s="9" t="s">
        <v>163</v>
      </c>
      <c r="C28" s="9" t="s">
        <v>164</v>
      </c>
      <c r="D28" s="9" t="s">
        <v>23</v>
      </c>
      <c r="E28" s="10">
        <v>250</v>
      </c>
      <c r="F28" s="11">
        <v>2486.5749999999998</v>
      </c>
      <c r="G28" s="12">
        <v>4.8193199999999999E-2</v>
      </c>
      <c r="H28" s="35">
        <v>7.7350000000000003</v>
      </c>
      <c r="J28" s="120"/>
    </row>
    <row r="29" spans="1:10" ht="29.1" customHeight="1" x14ac:dyDescent="0.2">
      <c r="A29" s="8">
        <v>2</v>
      </c>
      <c r="B29" s="9" t="s">
        <v>165</v>
      </c>
      <c r="C29" s="9" t="s">
        <v>166</v>
      </c>
      <c r="D29" s="9" t="s">
        <v>167</v>
      </c>
      <c r="E29" s="10">
        <v>2000</v>
      </c>
      <c r="F29" s="11">
        <v>2001.51</v>
      </c>
      <c r="G29" s="12">
        <v>3.8791979999999997E-2</v>
      </c>
      <c r="H29" s="35">
        <v>7.6349999999999998</v>
      </c>
      <c r="J29" s="120"/>
    </row>
    <row r="30" spans="1:10" ht="17.100000000000001" customHeight="1" x14ac:dyDescent="0.2">
      <c r="A30" s="8">
        <v>3</v>
      </c>
      <c r="B30" s="9" t="s">
        <v>168</v>
      </c>
      <c r="C30" s="9" t="s">
        <v>169</v>
      </c>
      <c r="D30" s="9" t="s">
        <v>170</v>
      </c>
      <c r="E30" s="10">
        <v>1700</v>
      </c>
      <c r="F30" s="11">
        <v>1701.6320000000001</v>
      </c>
      <c r="G30" s="12">
        <v>3.2979939999999999E-2</v>
      </c>
      <c r="H30" s="35">
        <v>8.7650000000000006</v>
      </c>
    </row>
    <row r="31" spans="1:10" ht="29.1" customHeight="1" x14ac:dyDescent="0.2">
      <c r="A31" s="8">
        <v>4</v>
      </c>
      <c r="B31" s="9" t="s">
        <v>171</v>
      </c>
      <c r="C31" s="9" t="s">
        <v>172</v>
      </c>
      <c r="D31" s="9" t="s">
        <v>23</v>
      </c>
      <c r="E31" s="10">
        <v>100</v>
      </c>
      <c r="F31" s="11">
        <v>998.15</v>
      </c>
      <c r="G31" s="12">
        <v>1.9345500000000002E-2</v>
      </c>
      <c r="H31" s="35">
        <v>7.625</v>
      </c>
    </row>
    <row r="32" spans="1:10" ht="29.1" customHeight="1" x14ac:dyDescent="0.2">
      <c r="A32" s="8">
        <v>5</v>
      </c>
      <c r="B32" s="9" t="s">
        <v>173</v>
      </c>
      <c r="C32" s="9" t="s">
        <v>174</v>
      </c>
      <c r="D32" s="9" t="s">
        <v>23</v>
      </c>
      <c r="E32" s="10">
        <v>100</v>
      </c>
      <c r="F32" s="11">
        <v>995.30899999999997</v>
      </c>
      <c r="G32" s="12">
        <v>1.9290439999999999E-2</v>
      </c>
      <c r="H32" s="35">
        <v>7.76</v>
      </c>
    </row>
    <row r="33" spans="1:8" ht="29.1" customHeight="1" x14ac:dyDescent="0.2">
      <c r="A33" s="8">
        <v>6</v>
      </c>
      <c r="B33" s="9" t="s">
        <v>21</v>
      </c>
      <c r="C33" s="9" t="s">
        <v>22</v>
      </c>
      <c r="D33" s="9" t="s">
        <v>23</v>
      </c>
      <c r="E33" s="10">
        <v>1000</v>
      </c>
      <c r="F33" s="11">
        <v>992.98599999999999</v>
      </c>
      <c r="G33" s="12">
        <v>1.9245419999999999E-2</v>
      </c>
      <c r="H33" s="35">
        <v>7.5749000000000004</v>
      </c>
    </row>
    <row r="34" spans="1:8" ht="29.1" customHeight="1" x14ac:dyDescent="0.2">
      <c r="A34" s="8">
        <v>7</v>
      </c>
      <c r="B34" s="9" t="s">
        <v>175</v>
      </c>
      <c r="C34" s="9" t="s">
        <v>176</v>
      </c>
      <c r="D34" s="9" t="s">
        <v>23</v>
      </c>
      <c r="E34" s="10">
        <v>100</v>
      </c>
      <c r="F34" s="11">
        <v>985.25599999999997</v>
      </c>
      <c r="G34" s="12">
        <v>1.9095600000000001E-2</v>
      </c>
      <c r="H34" s="35">
        <v>7.82</v>
      </c>
    </row>
    <row r="35" spans="1:8" ht="29.1" customHeight="1" x14ac:dyDescent="0.2">
      <c r="A35" s="8">
        <v>8</v>
      </c>
      <c r="B35" s="9" t="s">
        <v>177</v>
      </c>
      <c r="C35" s="9" t="s">
        <v>178</v>
      </c>
      <c r="D35" s="9" t="s">
        <v>23</v>
      </c>
      <c r="E35" s="10">
        <v>100</v>
      </c>
      <c r="F35" s="11">
        <v>982.94899999999996</v>
      </c>
      <c r="G35" s="12">
        <v>1.9050890000000001E-2</v>
      </c>
      <c r="H35" s="35">
        <v>7.915</v>
      </c>
    </row>
    <row r="36" spans="1:8" ht="29.1" customHeight="1" x14ac:dyDescent="0.2">
      <c r="A36" s="8">
        <v>9</v>
      </c>
      <c r="B36" s="9" t="s">
        <v>179</v>
      </c>
      <c r="C36" s="9" t="s">
        <v>180</v>
      </c>
      <c r="D36" s="9" t="s">
        <v>181</v>
      </c>
      <c r="E36" s="10">
        <v>1000</v>
      </c>
      <c r="F36" s="11">
        <v>980.81899999999996</v>
      </c>
      <c r="G36" s="12">
        <v>1.9009600000000001E-2</v>
      </c>
      <c r="H36" s="35">
        <v>10.259399999999999</v>
      </c>
    </row>
    <row r="37" spans="1:8" ht="29.1" customHeight="1" x14ac:dyDescent="0.2">
      <c r="A37" s="8">
        <v>10</v>
      </c>
      <c r="B37" s="9" t="s">
        <v>182</v>
      </c>
      <c r="C37" s="9" t="s">
        <v>183</v>
      </c>
      <c r="D37" s="9" t="s">
        <v>181</v>
      </c>
      <c r="E37" s="10">
        <v>900</v>
      </c>
      <c r="F37" s="11">
        <v>899.91989999999998</v>
      </c>
      <c r="G37" s="12">
        <v>1.7441669999999999E-2</v>
      </c>
      <c r="H37" s="35">
        <v>8.375</v>
      </c>
    </row>
    <row r="38" spans="1:8" ht="29.1" customHeight="1" x14ac:dyDescent="0.2">
      <c r="A38" s="8">
        <v>11</v>
      </c>
      <c r="B38" s="9" t="s">
        <v>184</v>
      </c>
      <c r="C38" s="9" t="s">
        <v>185</v>
      </c>
      <c r="D38" s="9" t="s">
        <v>170</v>
      </c>
      <c r="E38" s="10">
        <v>500</v>
      </c>
      <c r="F38" s="11">
        <v>502.23950000000002</v>
      </c>
      <c r="G38" s="12">
        <v>9.7340800000000009E-3</v>
      </c>
      <c r="H38" s="35">
        <v>8.8699999999999992</v>
      </c>
    </row>
    <row r="39" spans="1:8" ht="17.100000000000001" customHeight="1" x14ac:dyDescent="0.2">
      <c r="A39" s="8">
        <v>12</v>
      </c>
      <c r="B39" s="9" t="s">
        <v>49</v>
      </c>
      <c r="C39" s="9" t="s">
        <v>50</v>
      </c>
      <c r="D39" s="9" t="s">
        <v>23</v>
      </c>
      <c r="E39" s="10">
        <v>500</v>
      </c>
      <c r="F39" s="11">
        <v>501.0385</v>
      </c>
      <c r="G39" s="12">
        <v>9.7108100000000003E-3</v>
      </c>
      <c r="H39" s="35">
        <v>7.65</v>
      </c>
    </row>
    <row r="40" spans="1:8" ht="29.1" customHeight="1" x14ac:dyDescent="0.2">
      <c r="A40" s="8">
        <v>13</v>
      </c>
      <c r="B40" s="9" t="s">
        <v>186</v>
      </c>
      <c r="C40" s="9" t="s">
        <v>187</v>
      </c>
      <c r="D40" s="9" t="s">
        <v>23</v>
      </c>
      <c r="E40" s="10">
        <v>500</v>
      </c>
      <c r="F40" s="11">
        <v>500.036</v>
      </c>
      <c r="G40" s="12">
        <v>9.6913799999999994E-3</v>
      </c>
      <c r="H40" s="35">
        <v>7.415</v>
      </c>
    </row>
    <row r="41" spans="1:8" ht="29.1" customHeight="1" x14ac:dyDescent="0.2">
      <c r="A41" s="8">
        <v>14</v>
      </c>
      <c r="B41" s="9" t="s">
        <v>59</v>
      </c>
      <c r="C41" s="9" t="s">
        <v>60</v>
      </c>
      <c r="D41" s="9" t="s">
        <v>23</v>
      </c>
      <c r="E41" s="10">
        <v>500</v>
      </c>
      <c r="F41" s="11">
        <v>499.00049999999999</v>
      </c>
      <c r="G41" s="12">
        <v>9.6713100000000007E-3</v>
      </c>
      <c r="H41" s="35">
        <v>8.2100000000000009</v>
      </c>
    </row>
    <row r="42" spans="1:8" ht="14.1" customHeight="1" x14ac:dyDescent="0.2">
      <c r="A42" s="1"/>
      <c r="B42" s="1"/>
      <c r="C42" s="2" t="s">
        <v>11</v>
      </c>
      <c r="D42" s="1"/>
      <c r="E42" s="1" t="s">
        <v>12</v>
      </c>
      <c r="F42" s="7">
        <v>15027.420400000001</v>
      </c>
      <c r="G42" s="4">
        <v>0.29125181999999999</v>
      </c>
      <c r="H42" s="35"/>
    </row>
    <row r="43" spans="1:8" ht="14.1" customHeight="1" x14ac:dyDescent="0.2">
      <c r="A43" s="1"/>
      <c r="B43" s="1"/>
      <c r="C43" s="5"/>
      <c r="D43" s="1"/>
      <c r="E43" s="1"/>
      <c r="F43" s="6"/>
      <c r="G43" s="6"/>
      <c r="H43" s="35"/>
    </row>
    <row r="44" spans="1:8" ht="14.1" customHeight="1" x14ac:dyDescent="0.2">
      <c r="A44" s="1"/>
      <c r="B44" s="1"/>
      <c r="C44" s="2" t="s">
        <v>61</v>
      </c>
      <c r="D44" s="1"/>
      <c r="E44" s="1"/>
      <c r="F44" s="1"/>
      <c r="G44" s="1"/>
      <c r="H44" s="35"/>
    </row>
    <row r="45" spans="1:8" ht="14.1" customHeight="1" x14ac:dyDescent="0.2">
      <c r="A45" s="1"/>
      <c r="B45" s="1"/>
      <c r="C45" s="2" t="s">
        <v>11</v>
      </c>
      <c r="D45" s="1"/>
      <c r="E45" s="1" t="s">
        <v>12</v>
      </c>
      <c r="F45" s="3" t="s">
        <v>13</v>
      </c>
      <c r="G45" s="4">
        <v>0</v>
      </c>
      <c r="H45" s="35"/>
    </row>
    <row r="46" spans="1:8" ht="14.1" customHeight="1" x14ac:dyDescent="0.2">
      <c r="A46" s="1"/>
      <c r="B46" s="1"/>
      <c r="C46" s="5"/>
      <c r="D46" s="1"/>
      <c r="E46" s="1"/>
      <c r="F46" s="6"/>
      <c r="G46" s="6"/>
      <c r="H46" s="35"/>
    </row>
    <row r="47" spans="1:8" ht="14.1" customHeight="1" x14ac:dyDescent="0.2">
      <c r="A47" s="1"/>
      <c r="B47" s="1"/>
      <c r="C47" s="2" t="s">
        <v>62</v>
      </c>
      <c r="D47" s="1"/>
      <c r="E47" s="1"/>
      <c r="F47" s="1"/>
      <c r="G47" s="1"/>
      <c r="H47" s="35"/>
    </row>
    <row r="48" spans="1:8" ht="29.1" customHeight="1" x14ac:dyDescent="0.2">
      <c r="A48" s="8">
        <v>1</v>
      </c>
      <c r="B48" s="9" t="s">
        <v>188</v>
      </c>
      <c r="C48" s="9" t="s">
        <v>189</v>
      </c>
      <c r="D48" s="9" t="s">
        <v>65</v>
      </c>
      <c r="E48" s="10">
        <v>1500000</v>
      </c>
      <c r="F48" s="11">
        <v>1511.8215</v>
      </c>
      <c r="G48" s="12">
        <v>2.9301150000000001E-2</v>
      </c>
      <c r="H48" s="35">
        <v>7.2138999999999998</v>
      </c>
    </row>
    <row r="49" spans="1:8" ht="17.100000000000001" customHeight="1" x14ac:dyDescent="0.2">
      <c r="A49" s="8">
        <v>2</v>
      </c>
      <c r="B49" s="9" t="s">
        <v>124</v>
      </c>
      <c r="C49" s="9" t="s">
        <v>125</v>
      </c>
      <c r="D49" s="9" t="s">
        <v>65</v>
      </c>
      <c r="E49" s="10">
        <v>500000</v>
      </c>
      <c r="F49" s="11">
        <v>505.43349999999998</v>
      </c>
      <c r="G49" s="12">
        <v>9.7959899999999992E-3</v>
      </c>
      <c r="H49" s="35">
        <v>7.2037000000000004</v>
      </c>
    </row>
    <row r="50" spans="1:8" ht="14.1" customHeight="1" x14ac:dyDescent="0.2">
      <c r="A50" s="1"/>
      <c r="B50" s="1"/>
      <c r="C50" s="2" t="s">
        <v>11</v>
      </c>
      <c r="D50" s="1"/>
      <c r="E50" s="1" t="s">
        <v>12</v>
      </c>
      <c r="F50" s="7">
        <v>2017.2550000000001</v>
      </c>
      <c r="G50" s="4">
        <v>3.9097140000000002E-2</v>
      </c>
      <c r="H50" s="35"/>
    </row>
    <row r="51" spans="1:8" ht="14.1" customHeight="1" x14ac:dyDescent="0.2">
      <c r="A51" s="1"/>
      <c r="B51" s="1"/>
      <c r="C51" s="5"/>
      <c r="D51" s="1"/>
      <c r="E51" s="1"/>
      <c r="F51" s="6"/>
      <c r="G51" s="6"/>
      <c r="H51" s="35"/>
    </row>
    <row r="52" spans="1:8" ht="14.1" customHeight="1" x14ac:dyDescent="0.2">
      <c r="A52" s="1"/>
      <c r="B52" s="1"/>
      <c r="C52" s="2" t="s">
        <v>70</v>
      </c>
      <c r="D52" s="1"/>
      <c r="E52" s="1"/>
      <c r="F52" s="6"/>
      <c r="G52" s="6"/>
      <c r="H52" s="35"/>
    </row>
    <row r="53" spans="1:8" ht="14.1" customHeight="1" x14ac:dyDescent="0.2">
      <c r="A53" s="1"/>
      <c r="B53" s="1"/>
      <c r="C53" s="2" t="s">
        <v>11</v>
      </c>
      <c r="D53" s="1"/>
      <c r="E53" s="1" t="s">
        <v>12</v>
      </c>
      <c r="F53" s="3" t="s">
        <v>13</v>
      </c>
      <c r="G53" s="4">
        <v>0</v>
      </c>
      <c r="H53" s="35"/>
    </row>
    <row r="54" spans="1:8" ht="14.1" customHeight="1" x14ac:dyDescent="0.2">
      <c r="A54" s="1"/>
      <c r="B54" s="1"/>
      <c r="C54" s="5"/>
      <c r="D54" s="1"/>
      <c r="E54" s="1"/>
      <c r="F54" s="6"/>
      <c r="G54" s="6"/>
      <c r="H54" s="35"/>
    </row>
    <row r="55" spans="1:8" ht="14.1" customHeight="1" x14ac:dyDescent="0.2">
      <c r="A55" s="1"/>
      <c r="B55" s="1"/>
      <c r="C55" s="2" t="s">
        <v>71</v>
      </c>
      <c r="D55" s="1"/>
      <c r="E55" s="1"/>
      <c r="F55" s="7">
        <v>17044.6754</v>
      </c>
      <c r="G55" s="4">
        <v>0.33034896000000002</v>
      </c>
      <c r="H55" s="35"/>
    </row>
    <row r="56" spans="1:8" ht="14.1" customHeight="1" x14ac:dyDescent="0.2">
      <c r="A56" s="1"/>
      <c r="B56" s="1"/>
      <c r="C56" s="5"/>
      <c r="D56" s="1"/>
      <c r="E56" s="1"/>
      <c r="F56" s="6"/>
      <c r="G56" s="6"/>
      <c r="H56" s="35"/>
    </row>
    <row r="57" spans="1:8" ht="14.1" customHeight="1" x14ac:dyDescent="0.2">
      <c r="A57" s="1"/>
      <c r="B57" s="1"/>
      <c r="C57" s="2" t="s">
        <v>72</v>
      </c>
      <c r="D57" s="1"/>
      <c r="E57" s="1"/>
      <c r="F57" s="6"/>
      <c r="G57" s="6"/>
      <c r="H57" s="35"/>
    </row>
    <row r="58" spans="1:8" ht="14.1" customHeight="1" x14ac:dyDescent="0.2">
      <c r="A58" s="1"/>
      <c r="B58" s="1"/>
      <c r="C58" s="2" t="s">
        <v>73</v>
      </c>
      <c r="D58" s="1"/>
      <c r="E58" s="1"/>
      <c r="F58" s="6"/>
      <c r="G58" s="6"/>
      <c r="H58" s="35"/>
    </row>
    <row r="59" spans="1:8" ht="17.100000000000001" customHeight="1" x14ac:dyDescent="0.2">
      <c r="A59" s="8">
        <v>1</v>
      </c>
      <c r="B59" s="9" t="s">
        <v>190</v>
      </c>
      <c r="C59" s="9" t="s">
        <v>191</v>
      </c>
      <c r="D59" s="9" t="s">
        <v>128</v>
      </c>
      <c r="E59" s="10">
        <v>500</v>
      </c>
      <c r="F59" s="11">
        <v>2486.3525</v>
      </c>
      <c r="G59" s="12">
        <v>4.8188889999999998E-2</v>
      </c>
      <c r="H59" s="35">
        <v>7.1553000000000004</v>
      </c>
    </row>
    <row r="60" spans="1:8" ht="17.100000000000001" customHeight="1" x14ac:dyDescent="0.2">
      <c r="A60" s="8">
        <v>2</v>
      </c>
      <c r="B60" s="9" t="s">
        <v>192</v>
      </c>
      <c r="C60" s="9" t="s">
        <v>193</v>
      </c>
      <c r="D60" s="9" t="s">
        <v>128</v>
      </c>
      <c r="E60" s="10">
        <v>500</v>
      </c>
      <c r="F60" s="11">
        <v>2359.6174999999998</v>
      </c>
      <c r="G60" s="12">
        <v>4.5732589999999997E-2</v>
      </c>
      <c r="H60" s="35">
        <v>7.54</v>
      </c>
    </row>
    <row r="61" spans="1:8" ht="17.100000000000001" customHeight="1" x14ac:dyDescent="0.2">
      <c r="A61" s="8">
        <v>3</v>
      </c>
      <c r="B61" s="9" t="s">
        <v>194</v>
      </c>
      <c r="C61" s="9" t="s">
        <v>195</v>
      </c>
      <c r="D61" s="9" t="s">
        <v>128</v>
      </c>
      <c r="E61" s="10">
        <v>500</v>
      </c>
      <c r="F61" s="11">
        <v>2357.3000000000002</v>
      </c>
      <c r="G61" s="12">
        <v>4.5687680000000001E-2</v>
      </c>
      <c r="H61" s="35">
        <v>7.49</v>
      </c>
    </row>
    <row r="62" spans="1:8" ht="17.100000000000001" customHeight="1" x14ac:dyDescent="0.2">
      <c r="A62" s="8">
        <v>4</v>
      </c>
      <c r="B62" s="9" t="s">
        <v>196</v>
      </c>
      <c r="C62" s="9" t="s">
        <v>197</v>
      </c>
      <c r="D62" s="9" t="s">
        <v>198</v>
      </c>
      <c r="E62" s="10">
        <v>300</v>
      </c>
      <c r="F62" s="11">
        <v>1499.7104999999999</v>
      </c>
      <c r="G62" s="12">
        <v>2.9066430000000001E-2</v>
      </c>
      <c r="H62" s="35">
        <v>7.0472000000000001</v>
      </c>
    </row>
    <row r="63" spans="1:8" ht="17.100000000000001" customHeight="1" x14ac:dyDescent="0.2">
      <c r="A63" s="8">
        <v>5</v>
      </c>
      <c r="B63" s="9" t="s">
        <v>199</v>
      </c>
      <c r="C63" s="9" t="s">
        <v>200</v>
      </c>
      <c r="D63" s="9" t="s">
        <v>150</v>
      </c>
      <c r="E63" s="10">
        <v>300</v>
      </c>
      <c r="F63" s="11">
        <v>1460.5619999999999</v>
      </c>
      <c r="G63" s="12">
        <v>2.8307680000000002E-2</v>
      </c>
      <c r="H63" s="35">
        <v>7.3551000000000002</v>
      </c>
    </row>
    <row r="64" spans="1:8" ht="17.100000000000001" customHeight="1" x14ac:dyDescent="0.2">
      <c r="A64" s="8">
        <v>6</v>
      </c>
      <c r="B64" s="9" t="s">
        <v>126</v>
      </c>
      <c r="C64" s="9" t="s">
        <v>127</v>
      </c>
      <c r="D64" s="9" t="s">
        <v>128</v>
      </c>
      <c r="E64" s="10">
        <v>300</v>
      </c>
      <c r="F64" s="11">
        <v>1442.04</v>
      </c>
      <c r="G64" s="12">
        <v>2.7948690000000002E-2</v>
      </c>
      <c r="H64" s="35">
        <v>7.4851000000000001</v>
      </c>
    </row>
    <row r="65" spans="1:8" ht="29.1" customHeight="1" x14ac:dyDescent="0.2">
      <c r="A65" s="8">
        <v>7</v>
      </c>
      <c r="B65" s="9" t="s">
        <v>201</v>
      </c>
      <c r="C65" s="9" t="s">
        <v>202</v>
      </c>
      <c r="D65" s="9" t="s">
        <v>128</v>
      </c>
      <c r="E65" s="10">
        <v>300</v>
      </c>
      <c r="F65" s="11">
        <v>1438.1565000000001</v>
      </c>
      <c r="G65" s="12">
        <v>2.7873430000000001E-2</v>
      </c>
      <c r="H65" s="35">
        <v>7.5101000000000004</v>
      </c>
    </row>
    <row r="66" spans="1:8" ht="17.100000000000001" customHeight="1" x14ac:dyDescent="0.2">
      <c r="A66" s="8">
        <v>8</v>
      </c>
      <c r="B66" s="9" t="s">
        <v>203</v>
      </c>
      <c r="C66" s="9" t="s">
        <v>204</v>
      </c>
      <c r="D66" s="9" t="s">
        <v>128</v>
      </c>
      <c r="E66" s="10">
        <v>300</v>
      </c>
      <c r="F66" s="11">
        <v>1429.5165</v>
      </c>
      <c r="G66" s="12">
        <v>2.770597E-2</v>
      </c>
      <c r="H66" s="35">
        <v>7.53</v>
      </c>
    </row>
    <row r="67" spans="1:8" ht="29.1" customHeight="1" x14ac:dyDescent="0.2">
      <c r="A67" s="8">
        <v>9</v>
      </c>
      <c r="B67" s="9" t="s">
        <v>205</v>
      </c>
      <c r="C67" s="9" t="s">
        <v>206</v>
      </c>
      <c r="D67" s="9" t="s">
        <v>128</v>
      </c>
      <c r="E67" s="10">
        <v>200</v>
      </c>
      <c r="F67" s="11">
        <v>995.14099999999996</v>
      </c>
      <c r="G67" s="12">
        <v>1.9287180000000001E-2</v>
      </c>
      <c r="H67" s="35">
        <v>7.1300999999999997</v>
      </c>
    </row>
    <row r="68" spans="1:8" ht="17.100000000000001" customHeight="1" x14ac:dyDescent="0.2">
      <c r="A68" s="8">
        <v>10</v>
      </c>
      <c r="B68" s="9" t="s">
        <v>148</v>
      </c>
      <c r="C68" s="9" t="s">
        <v>149</v>
      </c>
      <c r="D68" s="9" t="s">
        <v>150</v>
      </c>
      <c r="E68" s="10">
        <v>200</v>
      </c>
      <c r="F68" s="11">
        <v>949.60599999999999</v>
      </c>
      <c r="G68" s="12">
        <v>1.8404650000000002E-2</v>
      </c>
      <c r="H68" s="35">
        <v>7.45</v>
      </c>
    </row>
    <row r="69" spans="1:8" ht="17.100000000000001" customHeight="1" x14ac:dyDescent="0.2">
      <c r="A69" s="8">
        <v>11</v>
      </c>
      <c r="B69" s="9" t="s">
        <v>151</v>
      </c>
      <c r="C69" s="9" t="s">
        <v>152</v>
      </c>
      <c r="D69" s="9" t="s">
        <v>128</v>
      </c>
      <c r="E69" s="10">
        <v>200</v>
      </c>
      <c r="F69" s="11">
        <v>947.82899999999995</v>
      </c>
      <c r="G69" s="12">
        <v>1.8370210000000001E-2</v>
      </c>
      <c r="H69" s="35">
        <v>7.61</v>
      </c>
    </row>
    <row r="70" spans="1:8" ht="29.1" customHeight="1" x14ac:dyDescent="0.2">
      <c r="A70" s="8">
        <v>12</v>
      </c>
      <c r="B70" s="9" t="s">
        <v>207</v>
      </c>
      <c r="C70" s="9" t="s">
        <v>208</v>
      </c>
      <c r="D70" s="9" t="s">
        <v>128</v>
      </c>
      <c r="E70" s="10">
        <v>200</v>
      </c>
      <c r="F70" s="11">
        <v>947.72799999999995</v>
      </c>
      <c r="G70" s="12">
        <v>1.8368260000000001E-2</v>
      </c>
      <c r="H70" s="35">
        <v>7.54</v>
      </c>
    </row>
    <row r="71" spans="1:8" ht="17.100000000000001" customHeight="1" x14ac:dyDescent="0.2">
      <c r="A71" s="8">
        <v>13</v>
      </c>
      <c r="B71" s="9" t="s">
        <v>138</v>
      </c>
      <c r="C71" s="9" t="s">
        <v>139</v>
      </c>
      <c r="D71" s="9" t="s">
        <v>128</v>
      </c>
      <c r="E71" s="10">
        <v>200</v>
      </c>
      <c r="F71" s="11">
        <v>945.322</v>
      </c>
      <c r="G71" s="12">
        <v>1.832162E-2</v>
      </c>
      <c r="H71" s="35">
        <v>7.54</v>
      </c>
    </row>
    <row r="72" spans="1:8" ht="17.100000000000001" customHeight="1" x14ac:dyDescent="0.2">
      <c r="A72" s="8">
        <v>14</v>
      </c>
      <c r="B72" s="9" t="s">
        <v>144</v>
      </c>
      <c r="C72" s="9" t="s">
        <v>145</v>
      </c>
      <c r="D72" s="9" t="s">
        <v>128</v>
      </c>
      <c r="E72" s="10">
        <v>200</v>
      </c>
      <c r="F72" s="11">
        <v>944.553</v>
      </c>
      <c r="G72" s="12">
        <v>1.8306719999999999E-2</v>
      </c>
      <c r="H72" s="35">
        <v>7.625</v>
      </c>
    </row>
    <row r="73" spans="1:8" ht="29.1" customHeight="1" x14ac:dyDescent="0.2">
      <c r="A73" s="8">
        <v>15</v>
      </c>
      <c r="B73" s="9" t="s">
        <v>209</v>
      </c>
      <c r="C73" s="9" t="s">
        <v>210</v>
      </c>
      <c r="D73" s="9" t="s">
        <v>128</v>
      </c>
      <c r="E73" s="10">
        <v>200</v>
      </c>
      <c r="F73" s="11">
        <v>944.21500000000003</v>
      </c>
      <c r="G73" s="12">
        <v>1.8300170000000001E-2</v>
      </c>
      <c r="H73" s="35">
        <v>7.54</v>
      </c>
    </row>
    <row r="74" spans="1:8" ht="17.100000000000001" customHeight="1" x14ac:dyDescent="0.2">
      <c r="A74" s="8">
        <v>16</v>
      </c>
      <c r="B74" s="9" t="s">
        <v>146</v>
      </c>
      <c r="C74" s="9" t="s">
        <v>147</v>
      </c>
      <c r="D74" s="9" t="s">
        <v>128</v>
      </c>
      <c r="E74" s="10">
        <v>200</v>
      </c>
      <c r="F74" s="11">
        <v>943.85500000000002</v>
      </c>
      <c r="G74" s="12">
        <v>1.8293190000000001E-2</v>
      </c>
      <c r="H74" s="35">
        <v>7.6449999999999996</v>
      </c>
    </row>
    <row r="75" spans="1:8" ht="14.1" customHeight="1" x14ac:dyDescent="0.2">
      <c r="A75" s="1"/>
      <c r="B75" s="1"/>
      <c r="C75" s="2" t="s">
        <v>11</v>
      </c>
      <c r="D75" s="1"/>
      <c r="E75" s="1" t="s">
        <v>12</v>
      </c>
      <c r="F75" s="7">
        <v>22091.504499999999</v>
      </c>
      <c r="G75" s="4">
        <v>0.42816335999999999</v>
      </c>
      <c r="H75" s="35"/>
    </row>
    <row r="76" spans="1:8" ht="14.1" customHeight="1" x14ac:dyDescent="0.2">
      <c r="A76" s="1"/>
      <c r="B76" s="1"/>
      <c r="C76" s="5"/>
      <c r="D76" s="1"/>
      <c r="E76" s="1"/>
      <c r="F76" s="6"/>
      <c r="G76" s="6"/>
      <c r="H76" s="35"/>
    </row>
    <row r="77" spans="1:8" ht="14.1" customHeight="1" x14ac:dyDescent="0.2">
      <c r="A77" s="1"/>
      <c r="B77" s="1"/>
      <c r="C77" s="2" t="s">
        <v>74</v>
      </c>
      <c r="D77" s="1"/>
      <c r="E77" s="1"/>
      <c r="F77" s="6"/>
      <c r="G77" s="6"/>
      <c r="H77" s="35"/>
    </row>
    <row r="78" spans="1:8" ht="17.100000000000001" customHeight="1" x14ac:dyDescent="0.2">
      <c r="A78" s="8">
        <v>1</v>
      </c>
      <c r="B78" s="9" t="s">
        <v>211</v>
      </c>
      <c r="C78" s="9" t="s">
        <v>212</v>
      </c>
      <c r="D78" s="9" t="s">
        <v>128</v>
      </c>
      <c r="E78" s="10">
        <v>200</v>
      </c>
      <c r="F78" s="11">
        <v>995.89800000000002</v>
      </c>
      <c r="G78" s="12">
        <v>1.9301860000000001E-2</v>
      </c>
      <c r="H78" s="35">
        <v>7.9124999999999996</v>
      </c>
    </row>
    <row r="79" spans="1:8" ht="29.1" customHeight="1" x14ac:dyDescent="0.2">
      <c r="A79" s="8">
        <v>2</v>
      </c>
      <c r="B79" s="9" t="s">
        <v>213</v>
      </c>
      <c r="C79" s="9" t="s">
        <v>214</v>
      </c>
      <c r="D79" s="9" t="s">
        <v>128</v>
      </c>
      <c r="E79" s="10">
        <v>200</v>
      </c>
      <c r="F79" s="11">
        <v>978.64800000000002</v>
      </c>
      <c r="G79" s="12">
        <v>1.896753E-2</v>
      </c>
      <c r="H79" s="35">
        <v>8.2100000000000009</v>
      </c>
    </row>
    <row r="80" spans="1:8" ht="29.1" customHeight="1" x14ac:dyDescent="0.2">
      <c r="A80" s="8">
        <v>3</v>
      </c>
      <c r="B80" s="9" t="s">
        <v>215</v>
      </c>
      <c r="C80" s="9" t="s">
        <v>216</v>
      </c>
      <c r="D80" s="9" t="s">
        <v>128</v>
      </c>
      <c r="E80" s="10">
        <v>200</v>
      </c>
      <c r="F80" s="11">
        <v>940.55200000000002</v>
      </c>
      <c r="G80" s="12">
        <v>1.8229180000000001E-2</v>
      </c>
      <c r="H80" s="35">
        <v>8.2100000000000009</v>
      </c>
    </row>
    <row r="81" spans="1:8" ht="29.1" customHeight="1" x14ac:dyDescent="0.2">
      <c r="A81" s="8">
        <v>4</v>
      </c>
      <c r="B81" s="9" t="s">
        <v>217</v>
      </c>
      <c r="C81" s="9" t="s">
        <v>218</v>
      </c>
      <c r="D81" s="9" t="s">
        <v>150</v>
      </c>
      <c r="E81" s="10">
        <v>100</v>
      </c>
      <c r="F81" s="11">
        <v>492.46350000000001</v>
      </c>
      <c r="G81" s="12">
        <v>9.5446100000000002E-3</v>
      </c>
      <c r="H81" s="35">
        <v>7.35</v>
      </c>
    </row>
    <row r="82" spans="1:8" ht="29.1" customHeight="1" x14ac:dyDescent="0.2">
      <c r="A82" s="8">
        <v>5</v>
      </c>
      <c r="B82" s="9" t="s">
        <v>219</v>
      </c>
      <c r="C82" s="9" t="s">
        <v>220</v>
      </c>
      <c r="D82" s="9" t="s">
        <v>128</v>
      </c>
      <c r="E82" s="10">
        <v>100</v>
      </c>
      <c r="F82" s="11">
        <v>487.0625</v>
      </c>
      <c r="G82" s="12">
        <v>9.4399299999999992E-3</v>
      </c>
      <c r="H82" s="35">
        <v>8.2163000000000004</v>
      </c>
    </row>
    <row r="83" spans="1:8" ht="14.1" customHeight="1" x14ac:dyDescent="0.2">
      <c r="A83" s="1"/>
      <c r="B83" s="1"/>
      <c r="C83" s="2" t="s">
        <v>11</v>
      </c>
      <c r="D83" s="1"/>
      <c r="E83" s="1" t="s">
        <v>12</v>
      </c>
      <c r="F83" s="7">
        <v>3894.6239999999998</v>
      </c>
      <c r="G83" s="4">
        <v>7.5483110000000006E-2</v>
      </c>
      <c r="H83" s="35"/>
    </row>
    <row r="84" spans="1:8" ht="14.1" customHeight="1" x14ac:dyDescent="0.2">
      <c r="A84" s="1"/>
      <c r="B84" s="1"/>
      <c r="C84" s="5"/>
      <c r="D84" s="1"/>
      <c r="E84" s="1"/>
      <c r="F84" s="6"/>
      <c r="G84" s="6"/>
      <c r="H84" s="35"/>
    </row>
    <row r="85" spans="1:8" ht="14.1" customHeight="1" x14ac:dyDescent="0.2">
      <c r="A85" s="1"/>
      <c r="B85" s="1"/>
      <c r="C85" s="2" t="s">
        <v>75</v>
      </c>
      <c r="D85" s="1"/>
      <c r="E85" s="1"/>
      <c r="F85" s="6"/>
      <c r="G85" s="6"/>
      <c r="H85" s="35"/>
    </row>
    <row r="86" spans="1:8" ht="17.100000000000001" customHeight="1" x14ac:dyDescent="0.2">
      <c r="A86" s="8">
        <v>1</v>
      </c>
      <c r="B86" s="9" t="s">
        <v>221</v>
      </c>
      <c r="C86" s="9" t="s">
        <v>222</v>
      </c>
      <c r="D86" s="9" t="s">
        <v>65</v>
      </c>
      <c r="E86" s="10">
        <v>2500000</v>
      </c>
      <c r="F86" s="11">
        <v>2414.8674999999998</v>
      </c>
      <c r="G86" s="12">
        <v>4.6803409999999997E-2</v>
      </c>
      <c r="H86" s="35">
        <v>7.07</v>
      </c>
    </row>
    <row r="87" spans="1:8" ht="17.100000000000001" customHeight="1" x14ac:dyDescent="0.2">
      <c r="A87" s="8">
        <v>2</v>
      </c>
      <c r="B87" s="9" t="s">
        <v>223</v>
      </c>
      <c r="C87" s="9" t="s">
        <v>224</v>
      </c>
      <c r="D87" s="9" t="s">
        <v>65</v>
      </c>
      <c r="E87" s="10">
        <v>2500000</v>
      </c>
      <c r="F87" s="11">
        <v>2375.4825000000001</v>
      </c>
      <c r="G87" s="12">
        <v>4.6040079999999997E-2</v>
      </c>
      <c r="H87" s="35">
        <v>7.0082000000000004</v>
      </c>
    </row>
    <row r="88" spans="1:8" ht="17.100000000000001" customHeight="1" x14ac:dyDescent="0.2">
      <c r="A88" s="8">
        <v>3</v>
      </c>
      <c r="B88" s="9" t="s">
        <v>225</v>
      </c>
      <c r="C88" s="9" t="s">
        <v>226</v>
      </c>
      <c r="D88" s="9" t="s">
        <v>65</v>
      </c>
      <c r="E88" s="10">
        <v>1000000</v>
      </c>
      <c r="F88" s="11">
        <v>980.23599999999999</v>
      </c>
      <c r="G88" s="12">
        <v>1.8998310000000001E-2</v>
      </c>
      <c r="H88" s="35">
        <v>7.0090000000000003</v>
      </c>
    </row>
    <row r="89" spans="1:8" ht="14.1" customHeight="1" x14ac:dyDescent="0.2">
      <c r="A89" s="1"/>
      <c r="B89" s="1"/>
      <c r="C89" s="2" t="s">
        <v>11</v>
      </c>
      <c r="D89" s="1"/>
      <c r="E89" s="1" t="s">
        <v>12</v>
      </c>
      <c r="F89" s="7">
        <v>5770.5860000000002</v>
      </c>
      <c r="G89" s="4">
        <v>0.11184180000000001</v>
      </c>
      <c r="H89" s="35"/>
    </row>
    <row r="90" spans="1:8" ht="14.1" customHeight="1" x14ac:dyDescent="0.2">
      <c r="A90" s="1"/>
      <c r="B90" s="1"/>
      <c r="C90" s="5"/>
      <c r="D90" s="1"/>
      <c r="E90" s="1"/>
      <c r="F90" s="6"/>
      <c r="G90" s="6"/>
      <c r="H90" s="35"/>
    </row>
    <row r="91" spans="1:8" ht="14.1" customHeight="1" x14ac:dyDescent="0.2">
      <c r="A91" s="1"/>
      <c r="B91" s="1"/>
      <c r="C91" s="2" t="s">
        <v>76</v>
      </c>
      <c r="D91" s="1"/>
      <c r="E91" s="1"/>
      <c r="F91" s="6"/>
      <c r="G91" s="6"/>
      <c r="H91" s="35"/>
    </row>
    <row r="92" spans="1:8" ht="17.100000000000001" customHeight="1" x14ac:dyDescent="0.2">
      <c r="A92" s="8">
        <v>1</v>
      </c>
      <c r="B92" s="9"/>
      <c r="C92" s="9" t="s">
        <v>77</v>
      </c>
      <c r="D92" s="9"/>
      <c r="E92" s="13"/>
      <c r="F92" s="11">
        <v>4587.1229170180004</v>
      </c>
      <c r="G92" s="12">
        <v>8.8904670000000005E-2</v>
      </c>
      <c r="H92" s="63" t="s">
        <v>482</v>
      </c>
    </row>
    <row r="93" spans="1:8" ht="14.1" customHeight="1" x14ac:dyDescent="0.2">
      <c r="A93" s="1"/>
      <c r="B93" s="1"/>
      <c r="C93" s="2" t="s">
        <v>11</v>
      </c>
      <c r="D93" s="1"/>
      <c r="E93" s="1" t="s">
        <v>12</v>
      </c>
      <c r="F93" s="7">
        <v>4587.1229170180004</v>
      </c>
      <c r="G93" s="4">
        <v>8.8904670000000005E-2</v>
      </c>
      <c r="H93" s="35"/>
    </row>
    <row r="94" spans="1:8" ht="14.1" customHeight="1" x14ac:dyDescent="0.2">
      <c r="A94" s="1"/>
      <c r="B94" s="1"/>
      <c r="C94" s="5"/>
      <c r="D94" s="1"/>
      <c r="E94" s="1"/>
      <c r="F94" s="6"/>
      <c r="G94" s="6"/>
      <c r="H94" s="35"/>
    </row>
    <row r="95" spans="1:8" ht="14.1" customHeight="1" x14ac:dyDescent="0.2">
      <c r="A95" s="1"/>
      <c r="B95" s="1"/>
      <c r="C95" s="2" t="s">
        <v>78</v>
      </c>
      <c r="D95" s="1"/>
      <c r="E95" s="1"/>
      <c r="F95" s="7">
        <v>36343.837417018003</v>
      </c>
      <c r="G95" s="4">
        <v>0.70439293999999997</v>
      </c>
      <c r="H95" s="35"/>
    </row>
    <row r="96" spans="1:8" ht="14.1" customHeight="1" x14ac:dyDescent="0.2">
      <c r="A96" s="1"/>
      <c r="B96" s="1"/>
      <c r="C96" s="6"/>
      <c r="D96" s="1"/>
      <c r="E96" s="1"/>
      <c r="F96" s="1"/>
      <c r="G96" s="1"/>
      <c r="H96" s="35"/>
    </row>
    <row r="97" spans="1:18" ht="14.1" customHeight="1" x14ac:dyDescent="0.2">
      <c r="A97" s="1"/>
      <c r="B97" s="1"/>
      <c r="C97" s="2" t="s">
        <v>79</v>
      </c>
      <c r="D97" s="1"/>
      <c r="E97" s="1"/>
      <c r="F97" s="1"/>
      <c r="G97" s="1"/>
      <c r="H97" s="35"/>
    </row>
    <row r="98" spans="1:18" ht="14.1" customHeight="1" x14ac:dyDescent="0.2">
      <c r="A98" s="1"/>
      <c r="B98" s="1"/>
      <c r="C98" s="2" t="s">
        <v>80</v>
      </c>
      <c r="D98" s="1"/>
      <c r="E98" s="1"/>
      <c r="F98" s="1"/>
      <c r="G98" s="1"/>
      <c r="H98" s="35"/>
    </row>
    <row r="99" spans="1:18" ht="14.1" customHeight="1" x14ac:dyDescent="0.2">
      <c r="A99" s="1"/>
      <c r="B99" s="1"/>
      <c r="C99" s="2" t="s">
        <v>11</v>
      </c>
      <c r="D99" s="1"/>
      <c r="E99" s="1" t="s">
        <v>12</v>
      </c>
      <c r="F99" s="3" t="s">
        <v>13</v>
      </c>
      <c r="G99" s="4">
        <v>0</v>
      </c>
      <c r="H99" s="35"/>
    </row>
    <row r="100" spans="1:18" ht="14.1" customHeight="1" x14ac:dyDescent="0.2">
      <c r="A100" s="1"/>
      <c r="B100" s="1"/>
      <c r="C100" s="5"/>
      <c r="D100" s="1"/>
      <c r="E100" s="1"/>
      <c r="F100" s="6"/>
      <c r="G100" s="6"/>
      <c r="H100" s="35"/>
    </row>
    <row r="101" spans="1:18" ht="14.1" customHeight="1" x14ac:dyDescent="0.2">
      <c r="A101" s="1"/>
      <c r="B101" s="1"/>
      <c r="C101" s="2" t="s">
        <v>83</v>
      </c>
      <c r="D101" s="1"/>
      <c r="E101" s="1"/>
      <c r="F101" s="1"/>
      <c r="G101" s="1"/>
      <c r="H101" s="35"/>
    </row>
    <row r="102" spans="1:18" ht="14.1" customHeight="1" x14ac:dyDescent="0.2">
      <c r="A102" s="1"/>
      <c r="B102" s="1"/>
      <c r="C102" s="2" t="s">
        <v>84</v>
      </c>
      <c r="D102" s="1"/>
      <c r="E102" s="1"/>
      <c r="F102" s="1"/>
      <c r="G102" s="1"/>
      <c r="H102" s="35"/>
    </row>
    <row r="103" spans="1:18" ht="14.1" customHeight="1" x14ac:dyDescent="0.2">
      <c r="A103" s="1"/>
      <c r="B103" s="1"/>
      <c r="C103" s="2" t="s">
        <v>11</v>
      </c>
      <c r="D103" s="1"/>
      <c r="E103" s="1" t="s">
        <v>12</v>
      </c>
      <c r="F103" s="3" t="s">
        <v>13</v>
      </c>
      <c r="G103" s="4">
        <v>0</v>
      </c>
      <c r="H103" s="35"/>
    </row>
    <row r="104" spans="1:18" ht="14.1" customHeight="1" x14ac:dyDescent="0.2">
      <c r="A104" s="1"/>
      <c r="B104" s="1"/>
      <c r="C104" s="5"/>
      <c r="D104" s="1"/>
      <c r="E104" s="1"/>
      <c r="F104" s="6"/>
      <c r="G104" s="6"/>
      <c r="H104" s="35"/>
    </row>
    <row r="105" spans="1:18" ht="24" customHeight="1" x14ac:dyDescent="0.2">
      <c r="A105" s="1"/>
      <c r="B105" s="1"/>
      <c r="C105" s="2" t="s">
        <v>85</v>
      </c>
      <c r="D105" s="1"/>
      <c r="E105" s="1"/>
      <c r="F105" s="6"/>
      <c r="G105" s="6"/>
      <c r="H105" s="35"/>
    </row>
    <row r="106" spans="1:18" ht="14.1" customHeight="1" x14ac:dyDescent="0.2">
      <c r="A106" s="1"/>
      <c r="B106" s="1"/>
      <c r="C106" s="2" t="s">
        <v>11</v>
      </c>
      <c r="D106" s="1"/>
      <c r="E106" s="1" t="s">
        <v>12</v>
      </c>
      <c r="F106" s="3" t="s">
        <v>13</v>
      </c>
      <c r="G106" s="4">
        <v>0</v>
      </c>
      <c r="H106" s="35"/>
    </row>
    <row r="107" spans="1:18" ht="14.1" customHeight="1" x14ac:dyDescent="0.2">
      <c r="A107" s="1"/>
      <c r="B107" s="1"/>
      <c r="C107" s="2"/>
      <c r="D107" s="1"/>
      <c r="E107" s="1"/>
      <c r="F107" s="3"/>
      <c r="G107" s="4"/>
      <c r="H107" s="35"/>
    </row>
    <row r="108" spans="1:18" x14ac:dyDescent="0.2">
      <c r="A108" s="50"/>
      <c r="B108" s="50"/>
      <c r="C108" s="51" t="s">
        <v>481</v>
      </c>
      <c r="D108" s="50"/>
      <c r="E108" s="50"/>
      <c r="F108" s="52"/>
      <c r="G108" s="52"/>
      <c r="H108" s="53"/>
      <c r="K108" s="47"/>
      <c r="L108" s="47"/>
      <c r="M108" s="47"/>
      <c r="N108" s="47"/>
      <c r="O108" s="47"/>
      <c r="P108" s="54"/>
      <c r="Q108" s="54"/>
      <c r="R108" s="54"/>
    </row>
    <row r="109" spans="1:18" ht="29.1" customHeight="1" x14ac:dyDescent="0.2">
      <c r="A109" s="8">
        <v>1</v>
      </c>
      <c r="B109" s="9" t="s">
        <v>81</v>
      </c>
      <c r="C109" s="9" t="s">
        <v>82</v>
      </c>
      <c r="D109" s="9"/>
      <c r="E109" s="14">
        <v>1043.4449999999999</v>
      </c>
      <c r="F109" s="11">
        <v>106.768685683</v>
      </c>
      <c r="G109" s="12">
        <v>2.0693199999999999E-3</v>
      </c>
      <c r="H109" s="35"/>
    </row>
    <row r="110" spans="1:18" x14ac:dyDescent="0.2">
      <c r="A110" s="58"/>
      <c r="B110" s="58"/>
      <c r="C110" s="59" t="s">
        <v>11</v>
      </c>
      <c r="D110" s="58"/>
      <c r="E110" s="58" t="s">
        <v>12</v>
      </c>
      <c r="F110" s="60">
        <f>SUM(F109)</f>
        <v>106.768685683</v>
      </c>
      <c r="G110" s="61">
        <f>SUM(G109)</f>
        <v>2.0693199999999999E-3</v>
      </c>
      <c r="H110" s="53"/>
      <c r="K110" s="47"/>
      <c r="L110" s="47"/>
      <c r="M110" s="47"/>
      <c r="N110" s="47"/>
      <c r="O110" s="47"/>
      <c r="P110" s="54"/>
      <c r="Q110" s="54"/>
      <c r="R110" s="54"/>
    </row>
    <row r="111" spans="1:18" ht="14.1" customHeight="1" x14ac:dyDescent="0.2">
      <c r="A111" s="1"/>
      <c r="B111" s="9"/>
      <c r="C111" s="9"/>
      <c r="D111" s="2"/>
      <c r="E111" s="1"/>
      <c r="F111" s="9"/>
      <c r="G111" s="13"/>
      <c r="H111" s="35"/>
    </row>
    <row r="112" spans="1:18" ht="17.100000000000001" customHeight="1" x14ac:dyDescent="0.2">
      <c r="A112" s="13"/>
      <c r="B112" s="9"/>
      <c r="C112" s="9" t="s">
        <v>86</v>
      </c>
      <c r="D112" s="9"/>
      <c r="E112" s="13"/>
      <c r="F112" s="11">
        <v>-1899.30908877</v>
      </c>
      <c r="G112" s="12">
        <v>-3.6811190000000001E-2</v>
      </c>
      <c r="H112" s="35"/>
    </row>
    <row r="113" spans="1:8" ht="14.1" customHeight="1" x14ac:dyDescent="0.2">
      <c r="A113" s="5"/>
      <c r="B113" s="5"/>
      <c r="C113" s="2" t="s">
        <v>87</v>
      </c>
      <c r="D113" s="6"/>
      <c r="E113" s="6"/>
      <c r="F113" s="7">
        <v>51595.972413930998</v>
      </c>
      <c r="G113" s="15">
        <v>1.00000003</v>
      </c>
      <c r="H113" s="37"/>
    </row>
    <row r="114" spans="1:8" ht="14.1" customHeight="1" x14ac:dyDescent="0.2">
      <c r="A114" s="16"/>
      <c r="B114" s="16"/>
      <c r="C114" s="16"/>
      <c r="D114" s="17"/>
      <c r="E114" s="17"/>
      <c r="F114" s="17"/>
      <c r="G114" s="17"/>
      <c r="H114" s="38"/>
    </row>
    <row r="115" spans="1:8" ht="12.75" customHeight="1" x14ac:dyDescent="0.2">
      <c r="A115" s="44"/>
      <c r="B115" s="131" t="s">
        <v>477</v>
      </c>
      <c r="C115" s="131"/>
      <c r="D115" s="131"/>
      <c r="E115" s="131"/>
      <c r="F115" s="131"/>
      <c r="G115" s="131"/>
      <c r="H115" s="131"/>
    </row>
    <row r="116" spans="1:8" ht="12.75" customHeight="1" x14ac:dyDescent="0.2">
      <c r="A116" s="44"/>
      <c r="B116" s="131" t="s">
        <v>478</v>
      </c>
      <c r="C116" s="131"/>
      <c r="D116" s="131"/>
      <c r="E116" s="131"/>
      <c r="F116" s="131"/>
      <c r="G116" s="131"/>
      <c r="H116" s="131"/>
    </row>
    <row r="117" spans="1:8" ht="12.75" customHeight="1" x14ac:dyDescent="0.2">
      <c r="A117" s="44"/>
      <c r="B117" s="131" t="s">
        <v>479</v>
      </c>
      <c r="C117" s="131"/>
      <c r="D117" s="131"/>
      <c r="E117" s="131"/>
      <c r="F117" s="131"/>
      <c r="G117" s="131"/>
      <c r="H117" s="131"/>
    </row>
    <row r="118" spans="1:8" ht="14.1" customHeight="1" x14ac:dyDescent="0.2">
      <c r="A118" s="18"/>
      <c r="B118" s="18"/>
      <c r="C118" s="18"/>
      <c r="D118" s="20"/>
      <c r="E118" s="20"/>
      <c r="F118" s="20"/>
      <c r="G118" s="20"/>
      <c r="H118" s="39"/>
    </row>
    <row r="119" spans="1:8" ht="14.1" customHeight="1" x14ac:dyDescent="0.2">
      <c r="A119" s="18"/>
      <c r="B119" s="126" t="s">
        <v>88</v>
      </c>
      <c r="C119" s="127"/>
      <c r="D119" s="128"/>
      <c r="E119" s="21"/>
      <c r="F119" s="20"/>
      <c r="G119" s="20"/>
      <c r="H119" s="39"/>
    </row>
    <row r="120" spans="1:8" ht="29.1" customHeight="1" x14ac:dyDescent="0.2">
      <c r="A120" s="18"/>
      <c r="B120" s="129" t="s">
        <v>89</v>
      </c>
      <c r="C120" s="130"/>
      <c r="D120" s="124" t="s">
        <v>587</v>
      </c>
      <c r="E120" s="21"/>
      <c r="F120" s="20"/>
      <c r="G120" s="20"/>
      <c r="H120" s="39"/>
    </row>
    <row r="121" spans="1:8" ht="17.100000000000001" customHeight="1" x14ac:dyDescent="0.2">
      <c r="A121" s="18"/>
      <c r="B121" s="129" t="s">
        <v>91</v>
      </c>
      <c r="C121" s="130"/>
      <c r="D121" s="2" t="s">
        <v>90</v>
      </c>
      <c r="E121" s="21"/>
      <c r="F121" s="20"/>
      <c r="G121" s="20"/>
      <c r="H121" s="39"/>
    </row>
    <row r="122" spans="1:8" ht="17.100000000000001" customHeight="1" x14ac:dyDescent="0.2">
      <c r="A122" s="18"/>
      <c r="B122" s="129" t="s">
        <v>92</v>
      </c>
      <c r="C122" s="130"/>
      <c r="D122" s="6" t="s">
        <v>12</v>
      </c>
      <c r="E122" s="21"/>
      <c r="F122" s="20"/>
      <c r="G122" s="20"/>
      <c r="H122" s="39"/>
    </row>
    <row r="123" spans="1:8" x14ac:dyDescent="0.2">
      <c r="A123" s="22"/>
      <c r="B123" s="23" t="s">
        <v>12</v>
      </c>
      <c r="C123" s="23" t="s">
        <v>527</v>
      </c>
      <c r="D123" s="23" t="s">
        <v>93</v>
      </c>
      <c r="E123" s="22"/>
      <c r="F123" s="22"/>
      <c r="G123" s="22"/>
      <c r="H123" s="40"/>
    </row>
    <row r="124" spans="1:8" ht="18" customHeight="1" x14ac:dyDescent="0.2">
      <c r="A124" s="22"/>
      <c r="B124" s="24" t="s">
        <v>94</v>
      </c>
      <c r="C124" s="23" t="s">
        <v>95</v>
      </c>
      <c r="D124" s="23" t="s">
        <v>96</v>
      </c>
      <c r="E124" s="22"/>
      <c r="F124" s="22"/>
      <c r="G124" s="22"/>
      <c r="H124" s="40"/>
    </row>
    <row r="125" spans="1:8" ht="17.100000000000001" customHeight="1" x14ac:dyDescent="0.2">
      <c r="A125" s="22"/>
      <c r="B125" s="9" t="s">
        <v>97</v>
      </c>
      <c r="C125" s="25">
        <v>3379.4848999999999</v>
      </c>
      <c r="D125" s="25">
        <v>3389.9690999999998</v>
      </c>
      <c r="E125" s="22"/>
      <c r="F125" s="19"/>
      <c r="G125" s="26"/>
      <c r="H125" s="41"/>
    </row>
    <row r="126" spans="1:8" ht="29.1" customHeight="1" x14ac:dyDescent="0.2">
      <c r="A126" s="22"/>
      <c r="B126" s="9" t="s">
        <v>540</v>
      </c>
      <c r="C126" s="25">
        <v>1009.6449</v>
      </c>
      <c r="D126" s="25">
        <v>1009.6449</v>
      </c>
      <c r="E126" s="22"/>
      <c r="F126" s="19"/>
      <c r="G126" s="26"/>
      <c r="H126" s="41"/>
    </row>
    <row r="127" spans="1:8" ht="29.1" customHeight="1" x14ac:dyDescent="0.2">
      <c r="A127" s="22"/>
      <c r="B127" s="9" t="s">
        <v>541</v>
      </c>
      <c r="C127" s="25">
        <v>1005.7207</v>
      </c>
      <c r="D127" s="25">
        <v>1006.1286</v>
      </c>
      <c r="E127" s="22"/>
      <c r="F127" s="19"/>
      <c r="G127" s="26"/>
      <c r="H127" s="41"/>
    </row>
    <row r="128" spans="1:8" ht="29.1" customHeight="1" x14ac:dyDescent="0.2">
      <c r="A128" s="22"/>
      <c r="B128" s="9" t="s">
        <v>546</v>
      </c>
      <c r="C128" s="25">
        <v>1095.7148999999999</v>
      </c>
      <c r="D128" s="25">
        <v>1096.1599000000001</v>
      </c>
      <c r="E128" s="22"/>
      <c r="F128" s="19"/>
      <c r="G128" s="26"/>
      <c r="H128" s="41"/>
    </row>
    <row r="129" spans="1:8" ht="29.1" customHeight="1" x14ac:dyDescent="0.2">
      <c r="A129" s="22"/>
      <c r="B129" s="9" t="s">
        <v>532</v>
      </c>
      <c r="C129" s="25">
        <v>1097.3357000000001</v>
      </c>
      <c r="D129" s="25">
        <v>1100.7401</v>
      </c>
      <c r="E129" s="22"/>
      <c r="F129" s="19"/>
      <c r="G129" s="26"/>
      <c r="H129" s="41"/>
    </row>
    <row r="130" spans="1:8" ht="29.1" customHeight="1" x14ac:dyDescent="0.2">
      <c r="A130" s="22"/>
      <c r="B130" s="9" t="s">
        <v>533</v>
      </c>
      <c r="C130" s="25">
        <v>1190.7538</v>
      </c>
      <c r="D130" s="25">
        <v>1194.4478999999999</v>
      </c>
      <c r="E130" s="22"/>
      <c r="F130" s="19"/>
      <c r="G130" s="26"/>
      <c r="H130" s="41"/>
    </row>
    <row r="131" spans="1:8" ht="17.100000000000001" customHeight="1" x14ac:dyDescent="0.2">
      <c r="A131" s="22"/>
      <c r="B131" s="9" t="s">
        <v>98</v>
      </c>
      <c r="C131" s="25">
        <v>3179.7114000000001</v>
      </c>
      <c r="D131" s="25">
        <v>3188.6323000000002</v>
      </c>
      <c r="E131" s="22"/>
      <c r="F131" s="19"/>
      <c r="G131" s="26"/>
      <c r="H131" s="41"/>
    </row>
    <row r="132" spans="1:8" ht="17.100000000000001" customHeight="1" x14ac:dyDescent="0.2">
      <c r="A132" s="22"/>
      <c r="B132" s="9" t="s">
        <v>131</v>
      </c>
      <c r="C132" s="25">
        <v>1231.4154000000001</v>
      </c>
      <c r="D132" s="25">
        <v>1234.8702000000001</v>
      </c>
      <c r="E132" s="22"/>
      <c r="F132" s="19"/>
      <c r="G132" s="26"/>
      <c r="H132" s="41"/>
    </row>
    <row r="133" spans="1:8" ht="29.1" customHeight="1" x14ac:dyDescent="0.2">
      <c r="A133" s="22"/>
      <c r="B133" s="9" t="s">
        <v>543</v>
      </c>
      <c r="C133" s="25">
        <v>1015.7943</v>
      </c>
      <c r="D133" s="25">
        <v>1015.7943</v>
      </c>
      <c r="E133" s="22"/>
      <c r="F133" s="19"/>
      <c r="G133" s="26"/>
      <c r="H133" s="41"/>
    </row>
    <row r="134" spans="1:8" ht="29.1" customHeight="1" x14ac:dyDescent="0.2">
      <c r="A134" s="22"/>
      <c r="B134" s="9" t="s">
        <v>544</v>
      </c>
      <c r="C134" s="25">
        <v>1009.4674</v>
      </c>
      <c r="D134" s="25">
        <v>1009.8256</v>
      </c>
      <c r="E134" s="22"/>
      <c r="F134" s="19"/>
      <c r="G134" s="26"/>
      <c r="H134" s="41"/>
    </row>
    <row r="135" spans="1:8" ht="29.1" customHeight="1" x14ac:dyDescent="0.2">
      <c r="A135" s="22"/>
      <c r="B135" s="9" t="s">
        <v>545</v>
      </c>
      <c r="C135" s="25">
        <v>1085.9267</v>
      </c>
      <c r="D135" s="25">
        <v>1086.3452</v>
      </c>
      <c r="E135" s="22"/>
      <c r="F135" s="19"/>
      <c r="G135" s="26"/>
      <c r="H135" s="41"/>
    </row>
    <row r="136" spans="1:8" ht="29.1" customHeight="1" x14ac:dyDescent="0.2">
      <c r="A136" s="22"/>
      <c r="B136" s="9" t="s">
        <v>536</v>
      </c>
      <c r="C136" s="25">
        <v>1087.3157000000001</v>
      </c>
      <c r="D136" s="25">
        <v>1090.3661</v>
      </c>
      <c r="E136" s="22"/>
      <c r="F136" s="19"/>
      <c r="G136" s="26"/>
      <c r="H136" s="41"/>
    </row>
    <row r="137" spans="1:8" ht="29.1" customHeight="1" x14ac:dyDescent="0.2">
      <c r="A137" s="22"/>
      <c r="B137" s="9" t="s">
        <v>531</v>
      </c>
      <c r="C137" s="25">
        <v>1159.0724</v>
      </c>
      <c r="D137" s="25">
        <v>1162.3242</v>
      </c>
      <c r="E137" s="22"/>
      <c r="F137" s="19"/>
      <c r="G137" s="26"/>
      <c r="H137" s="41"/>
    </row>
    <row r="138" spans="1:8" ht="14.1" customHeight="1" x14ac:dyDescent="0.2">
      <c r="A138" s="22"/>
      <c r="B138" s="22"/>
      <c r="C138" s="22"/>
      <c r="D138" s="22"/>
      <c r="E138" s="22"/>
      <c r="F138" s="22"/>
      <c r="G138" s="22"/>
      <c r="H138" s="40"/>
    </row>
    <row r="139" spans="1:8" ht="17.100000000000001" customHeight="1" x14ac:dyDescent="0.2">
      <c r="A139" s="22"/>
      <c r="B139" s="129" t="s">
        <v>539</v>
      </c>
      <c r="C139" s="130"/>
      <c r="D139" s="2" t="s">
        <v>12</v>
      </c>
      <c r="E139" s="22"/>
      <c r="F139" s="22"/>
      <c r="G139" s="22"/>
      <c r="H139" s="40"/>
    </row>
    <row r="140" spans="1:8" ht="18" customHeight="1" x14ac:dyDescent="0.2">
      <c r="A140" s="22"/>
      <c r="B140" s="28" t="s">
        <v>94</v>
      </c>
      <c r="C140" s="29" t="s">
        <v>132</v>
      </c>
      <c r="D140" s="29" t="s">
        <v>133</v>
      </c>
      <c r="E140" s="22"/>
      <c r="F140" s="22"/>
      <c r="G140" s="22"/>
      <c r="H140" s="40"/>
    </row>
    <row r="141" spans="1:8" ht="29.1" customHeight="1" x14ac:dyDescent="0.2">
      <c r="A141" s="22"/>
      <c r="B141" s="9" t="s">
        <v>540</v>
      </c>
      <c r="C141" s="30">
        <v>3.1305360000000002</v>
      </c>
      <c r="D141" s="30">
        <v>3.1305360000000002</v>
      </c>
      <c r="E141" s="22"/>
      <c r="F141" s="19"/>
      <c r="G141" s="26"/>
      <c r="H141" s="41"/>
    </row>
    <row r="142" spans="1:8" ht="29.1" customHeight="1" x14ac:dyDescent="0.2">
      <c r="A142" s="22"/>
      <c r="B142" s="9" t="s">
        <v>541</v>
      </c>
      <c r="C142" s="30">
        <v>2.7078000000000002</v>
      </c>
      <c r="D142" s="13" t="s">
        <v>134</v>
      </c>
      <c r="E142" s="22"/>
      <c r="F142" s="19"/>
      <c r="G142" s="26"/>
      <c r="H142" s="41"/>
    </row>
    <row r="143" spans="1:8" ht="29.1" customHeight="1" x14ac:dyDescent="0.2">
      <c r="A143" s="22"/>
      <c r="B143" s="9" t="s">
        <v>546</v>
      </c>
      <c r="C143" s="30">
        <v>2.9516</v>
      </c>
      <c r="D143" s="13" t="s">
        <v>134</v>
      </c>
      <c r="E143" s="22"/>
      <c r="F143" s="19"/>
      <c r="G143" s="26"/>
      <c r="H143" s="41"/>
    </row>
    <row r="144" spans="1:8" ht="29.1" customHeight="1" x14ac:dyDescent="0.2">
      <c r="A144" s="22"/>
      <c r="B144" s="9" t="s">
        <v>543</v>
      </c>
      <c r="C144" s="30">
        <v>2.8476729999999999</v>
      </c>
      <c r="D144" s="30">
        <v>2.8476729999999999</v>
      </c>
      <c r="E144" s="22"/>
      <c r="F144" s="19"/>
      <c r="G144" s="26"/>
      <c r="H144" s="41"/>
    </row>
    <row r="145" spans="1:15" ht="29.1" customHeight="1" x14ac:dyDescent="0.2">
      <c r="A145" s="22"/>
      <c r="B145" s="9" t="s">
        <v>544</v>
      </c>
      <c r="C145" s="30">
        <v>2.4700000000000002</v>
      </c>
      <c r="D145" s="30">
        <v>2.4700000000000002</v>
      </c>
      <c r="E145" s="22"/>
      <c r="F145" s="19"/>
      <c r="G145" s="26"/>
      <c r="H145" s="41"/>
    </row>
    <row r="146" spans="1:15" ht="29.1" customHeight="1" x14ac:dyDescent="0.2">
      <c r="A146" s="22"/>
      <c r="B146" s="9" t="s">
        <v>545</v>
      </c>
      <c r="C146" s="30">
        <v>2.6259999999999999</v>
      </c>
      <c r="D146" s="13" t="s">
        <v>134</v>
      </c>
      <c r="E146" s="22"/>
      <c r="F146" s="19"/>
      <c r="G146" s="26"/>
      <c r="H146" s="41"/>
    </row>
    <row r="147" spans="1:15" ht="14.1" customHeight="1" x14ac:dyDescent="0.2">
      <c r="A147" s="22"/>
      <c r="B147" s="31"/>
      <c r="C147" s="31"/>
      <c r="D147" s="32"/>
      <c r="E147" s="22"/>
      <c r="F147" s="19"/>
      <c r="G147" s="26"/>
      <c r="H147" s="41"/>
    </row>
    <row r="148" spans="1:15" s="71" customFormat="1" ht="17.100000000000001" customHeight="1" x14ac:dyDescent="0.2">
      <c r="A148" s="69"/>
      <c r="B148" s="132" t="s">
        <v>496</v>
      </c>
      <c r="C148" s="133"/>
      <c r="D148" s="51" t="s">
        <v>90</v>
      </c>
      <c r="G148" s="69"/>
      <c r="I148"/>
      <c r="J148" s="46"/>
      <c r="K148" s="47"/>
      <c r="L148" s="47"/>
      <c r="M148" s="47"/>
      <c r="N148" s="47"/>
      <c r="O148" s="79"/>
    </row>
    <row r="149" spans="1:15" s="71" customFormat="1" ht="29.1" customHeight="1" x14ac:dyDescent="0.2">
      <c r="A149" s="69"/>
      <c r="B149" s="132" t="s">
        <v>497</v>
      </c>
      <c r="C149" s="133"/>
      <c r="D149" s="51" t="s">
        <v>90</v>
      </c>
      <c r="E149" s="70"/>
      <c r="F149" s="69"/>
      <c r="G149" s="69"/>
      <c r="I149"/>
      <c r="J149" s="46"/>
      <c r="K149" s="47"/>
      <c r="L149" s="47"/>
      <c r="M149" s="47"/>
      <c r="N149" s="47"/>
      <c r="O149" s="79"/>
    </row>
    <row r="150" spans="1:15" s="71" customFormat="1" ht="29.1" customHeight="1" x14ac:dyDescent="0.2">
      <c r="A150" s="69"/>
      <c r="B150" s="132" t="s">
        <v>498</v>
      </c>
      <c r="C150" s="133"/>
      <c r="D150" s="51" t="s">
        <v>90</v>
      </c>
      <c r="E150" s="70"/>
      <c r="F150" s="69"/>
      <c r="G150" s="69"/>
      <c r="I150"/>
      <c r="J150" s="46"/>
      <c r="K150" s="47"/>
      <c r="L150" s="47"/>
      <c r="M150" s="47"/>
      <c r="N150" s="47"/>
      <c r="O150" s="79"/>
    </row>
    <row r="151" spans="1:15" s="71" customFormat="1" ht="17.100000000000001" customHeight="1" x14ac:dyDescent="0.2">
      <c r="A151" s="69"/>
      <c r="B151" s="132" t="s">
        <v>499</v>
      </c>
      <c r="C151" s="133"/>
      <c r="D151" s="51" t="s">
        <v>90</v>
      </c>
      <c r="E151" s="70"/>
      <c r="F151" s="69"/>
      <c r="G151" s="69"/>
      <c r="I151"/>
      <c r="J151" s="46"/>
      <c r="K151" s="47"/>
      <c r="L151" s="47"/>
      <c r="M151" s="47"/>
      <c r="N151" s="47"/>
      <c r="O151" s="79"/>
    </row>
    <row r="152" spans="1:15" s="71" customFormat="1" x14ac:dyDescent="0.2">
      <c r="I152"/>
      <c r="J152" s="46"/>
      <c r="K152" s="47"/>
      <c r="L152" s="47"/>
      <c r="M152" s="47"/>
      <c r="N152" s="47"/>
      <c r="O152" s="79"/>
    </row>
    <row r="153" spans="1:15" s="71" customFormat="1" x14ac:dyDescent="0.2">
      <c r="B153" s="82" t="s">
        <v>524</v>
      </c>
      <c r="C153" s="82"/>
      <c r="D153" s="82"/>
      <c r="E153" s="82"/>
      <c r="F153" s="82"/>
      <c r="G153" s="82"/>
      <c r="H153" s="82"/>
      <c r="I153" s="47"/>
      <c r="J153" s="46"/>
      <c r="K153" s="47"/>
      <c r="L153" s="47"/>
      <c r="M153" s="47"/>
      <c r="N153" s="47"/>
      <c r="O153" s="79"/>
    </row>
    <row r="154" spans="1:15" s="71" customFormat="1" ht="7.5" customHeight="1" x14ac:dyDescent="0.2">
      <c r="B154" s="83"/>
      <c r="C154" s="83"/>
      <c r="D154" s="83"/>
      <c r="E154" s="83"/>
      <c r="F154" s="83"/>
      <c r="G154" s="83"/>
      <c r="H154" s="83"/>
      <c r="I154"/>
      <c r="J154" s="46"/>
      <c r="K154" s="47"/>
      <c r="L154" s="47"/>
      <c r="M154" s="47"/>
      <c r="N154" s="47"/>
      <c r="O154" s="79"/>
    </row>
    <row r="155" spans="1:15" s="71" customFormat="1" ht="63.75" x14ac:dyDescent="0.2">
      <c r="A155" s="84"/>
      <c r="B155" s="85" t="s">
        <v>500</v>
      </c>
      <c r="C155" s="85" t="s">
        <v>501</v>
      </c>
      <c r="D155" s="85" t="s">
        <v>502</v>
      </c>
      <c r="E155" s="85" t="s">
        <v>503</v>
      </c>
      <c r="F155" s="85" t="s">
        <v>504</v>
      </c>
      <c r="G155" s="83"/>
      <c r="H155" s="83"/>
      <c r="I155"/>
      <c r="J155" s="46"/>
      <c r="K155" s="47"/>
      <c r="L155" s="47"/>
      <c r="M155" s="47"/>
      <c r="N155" s="47"/>
      <c r="O155" s="79"/>
    </row>
    <row r="156" spans="1:15" s="71" customFormat="1" x14ac:dyDescent="0.2">
      <c r="A156" s="86"/>
      <c r="B156" s="87" t="s">
        <v>505</v>
      </c>
      <c r="C156" s="87" t="s">
        <v>506</v>
      </c>
      <c r="D156" s="88">
        <v>0</v>
      </c>
      <c r="E156" s="89">
        <v>0</v>
      </c>
      <c r="F156" s="90">
        <v>300</v>
      </c>
      <c r="G156" s="83"/>
      <c r="H156" s="83"/>
      <c r="I156"/>
      <c r="J156" s="46"/>
      <c r="K156" s="47"/>
      <c r="L156" s="47"/>
      <c r="M156" s="47"/>
      <c r="N156" s="47"/>
      <c r="O156" s="79"/>
    </row>
    <row r="157" spans="1:15" s="71" customFormat="1" x14ac:dyDescent="0.2">
      <c r="A157" s="91"/>
      <c r="B157" s="91"/>
      <c r="C157" s="91"/>
      <c r="D157" s="91"/>
      <c r="E157" s="91"/>
      <c r="F157" s="91"/>
      <c r="G157" s="91"/>
      <c r="I157"/>
      <c r="J157" s="46"/>
      <c r="K157" s="47"/>
      <c r="L157" s="47"/>
      <c r="M157" s="47"/>
      <c r="N157" s="47"/>
      <c r="O157" s="79"/>
    </row>
    <row r="158" spans="1:15" s="71" customFormat="1" x14ac:dyDescent="0.2">
      <c r="B158" s="135" t="s">
        <v>488</v>
      </c>
      <c r="C158" s="136"/>
      <c r="D158" s="137"/>
      <c r="I158"/>
      <c r="J158" s="46"/>
      <c r="K158" s="47"/>
      <c r="L158" s="47"/>
      <c r="M158" s="47"/>
      <c r="N158" s="47"/>
      <c r="O158" s="79"/>
    </row>
    <row r="159" spans="1:15" s="71" customFormat="1" ht="25.5" x14ac:dyDescent="0.25">
      <c r="B159" s="134" t="s">
        <v>489</v>
      </c>
      <c r="C159" s="134"/>
      <c r="D159" s="72" t="s">
        <v>162</v>
      </c>
      <c r="I159" s="123"/>
      <c r="J159" s="46"/>
      <c r="K159" s="47"/>
      <c r="L159" s="47"/>
      <c r="M159" s="47"/>
      <c r="N159" s="47"/>
      <c r="O159" s="79"/>
    </row>
    <row r="160" spans="1:15" s="71" customFormat="1" x14ac:dyDescent="0.2">
      <c r="B160" s="138" t="s">
        <v>490</v>
      </c>
      <c r="C160" s="138"/>
      <c r="D160" s="73"/>
      <c r="I160"/>
      <c r="J160" s="46"/>
      <c r="K160" s="47"/>
      <c r="L160" s="47"/>
      <c r="M160" s="47"/>
      <c r="N160" s="47"/>
      <c r="O160" s="79"/>
    </row>
    <row r="161" spans="2:20" s="71" customFormat="1" x14ac:dyDescent="0.2">
      <c r="B161" s="138"/>
      <c r="C161" s="138"/>
      <c r="D161" s="74"/>
      <c r="I161"/>
      <c r="J161" s="46"/>
      <c r="K161" s="47"/>
      <c r="L161" s="47"/>
      <c r="M161" s="47"/>
      <c r="N161" s="47"/>
      <c r="O161" s="79"/>
    </row>
    <row r="162" spans="2:20" s="71" customFormat="1" x14ac:dyDescent="0.2">
      <c r="B162" s="138" t="s">
        <v>491</v>
      </c>
      <c r="C162" s="138"/>
      <c r="D162" s="75">
        <v>7.5383863993939215</v>
      </c>
      <c r="I162" s="47"/>
      <c r="J162" s="46"/>
      <c r="K162" s="47"/>
      <c r="L162" s="47"/>
      <c r="M162" s="47"/>
      <c r="N162" s="47"/>
      <c r="O162" s="79"/>
    </row>
    <row r="163" spans="2:20" s="71" customFormat="1" x14ac:dyDescent="0.2">
      <c r="B163" s="138"/>
      <c r="C163" s="138"/>
      <c r="D163" s="74"/>
      <c r="I163" s="47"/>
      <c r="J163" s="46"/>
      <c r="K163" s="47"/>
      <c r="L163" s="47"/>
      <c r="M163" s="47"/>
      <c r="N163" s="47"/>
      <c r="O163" s="79"/>
      <c r="P163"/>
      <c r="Q163"/>
    </row>
    <row r="164" spans="2:20" s="71" customFormat="1" x14ac:dyDescent="0.2">
      <c r="B164" s="138" t="s">
        <v>492</v>
      </c>
      <c r="C164" s="138"/>
      <c r="D164" s="75">
        <v>0.79007820403219597</v>
      </c>
      <c r="I164" s="47"/>
      <c r="J164" s="46"/>
      <c r="K164" s="47"/>
      <c r="L164" s="47"/>
      <c r="M164" s="47"/>
      <c r="N164" s="47"/>
      <c r="O164" s="79"/>
      <c r="P164"/>
      <c r="Q164"/>
    </row>
    <row r="165" spans="2:20" s="71" customFormat="1" x14ac:dyDescent="0.2">
      <c r="B165" s="138" t="s">
        <v>493</v>
      </c>
      <c r="C165" s="138"/>
      <c r="D165" s="75">
        <v>0.91824471869972524</v>
      </c>
      <c r="I165" s="47"/>
      <c r="J165" s="46"/>
      <c r="K165" s="47"/>
      <c r="L165" s="47"/>
      <c r="M165" s="47"/>
      <c r="N165" s="47"/>
      <c r="O165"/>
      <c r="P165"/>
      <c r="Q165"/>
    </row>
    <row r="166" spans="2:20" s="71" customFormat="1" x14ac:dyDescent="0.2">
      <c r="B166" s="138"/>
      <c r="C166" s="138"/>
      <c r="D166" s="74"/>
      <c r="I166" s="47"/>
      <c r="J166" s="46"/>
      <c r="K166" s="47"/>
      <c r="L166" s="47"/>
      <c r="M166" s="47"/>
      <c r="N166" s="47"/>
      <c r="O166"/>
      <c r="P166"/>
      <c r="Q166"/>
    </row>
    <row r="167" spans="2:20" s="71" customFormat="1" x14ac:dyDescent="0.2">
      <c r="B167" s="138" t="s">
        <v>494</v>
      </c>
      <c r="C167" s="138"/>
      <c r="D167" s="76" t="s">
        <v>523</v>
      </c>
      <c r="I167"/>
      <c r="J167" s="46"/>
      <c r="K167" s="47"/>
      <c r="L167" s="47"/>
      <c r="M167" s="47"/>
      <c r="N167" s="47"/>
      <c r="O167"/>
      <c r="P167"/>
      <c r="Q167"/>
    </row>
    <row r="168" spans="2:20" s="71" customFormat="1" x14ac:dyDescent="0.2">
      <c r="B168" s="139" t="s">
        <v>495</v>
      </c>
      <c r="C168" s="141"/>
      <c r="D168" s="140"/>
      <c r="I168"/>
      <c r="J168" s="46"/>
      <c r="K168" s="47"/>
      <c r="L168" s="47"/>
      <c r="M168" s="47"/>
      <c r="N168" s="47"/>
      <c r="O168"/>
      <c r="P168"/>
      <c r="Q168"/>
      <c r="R168"/>
      <c r="S168"/>
      <c r="T168"/>
    </row>
    <row r="169" spans="2:20" x14ac:dyDescent="0.2">
      <c r="H169"/>
      <c r="K169" s="47"/>
      <c r="L169" s="47"/>
      <c r="M169" s="47"/>
      <c r="N169" s="47"/>
    </row>
  </sheetData>
  <mergeCells count="26">
    <mergeCell ref="B168:D168"/>
    <mergeCell ref="B163:C163"/>
    <mergeCell ref="B164:C164"/>
    <mergeCell ref="B165:C165"/>
    <mergeCell ref="B166:C166"/>
    <mergeCell ref="B167:C167"/>
    <mergeCell ref="B158:D158"/>
    <mergeCell ref="B159:C159"/>
    <mergeCell ref="B160:C160"/>
    <mergeCell ref="B161:C161"/>
    <mergeCell ref="B162:C162"/>
    <mergeCell ref="B150:C150"/>
    <mergeCell ref="B151:C151"/>
    <mergeCell ref="B122:C122"/>
    <mergeCell ref="B139:C139"/>
    <mergeCell ref="B149:C149"/>
    <mergeCell ref="B148:C148"/>
    <mergeCell ref="A1:H1"/>
    <mergeCell ref="A2:H2"/>
    <mergeCell ref="B119:D119"/>
    <mergeCell ref="B120:C120"/>
    <mergeCell ref="B121:C121"/>
    <mergeCell ref="B115:H115"/>
    <mergeCell ref="B116:H116"/>
    <mergeCell ref="B117:H117"/>
    <mergeCell ref="A3:H3"/>
  </mergeCells>
  <hyperlinks>
    <hyperlink ref="I1" location="Index!B5" display="Index" xr:uid="{7323FB23-3773-485D-BD7C-CC761E68BD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93"/>
  <sheetViews>
    <sheetView showGridLines="0" workbookViewId="0">
      <selection activeCell="F80" sqref="F80"/>
    </sheetView>
  </sheetViews>
  <sheetFormatPr defaultRowHeight="12.75" x14ac:dyDescent="0.2"/>
  <cols>
    <col min="1" max="1" width="5.85546875" bestFit="1" customWidth="1"/>
    <col min="2" max="2" width="20.42578125" bestFit="1" customWidth="1"/>
    <col min="3" max="3" width="39.140625" bestFit="1" customWidth="1"/>
    <col min="4" max="4" width="18.28515625" customWidth="1"/>
    <col min="5" max="5" width="9.42578125" bestFit="1" customWidth="1"/>
    <col min="6" max="6" width="10.140625" bestFit="1" customWidth="1"/>
    <col min="7" max="7" width="14" bestFit="1" customWidth="1"/>
    <col min="8" max="8" width="8.42578125" style="43"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227</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6" t="s">
        <v>476</v>
      </c>
      <c r="I4" s="118"/>
      <c r="J4" s="46"/>
    </row>
    <row r="5" spans="1:10" ht="14.1" customHeight="1" x14ac:dyDescent="0.2">
      <c r="A5" s="1"/>
      <c r="B5" s="1"/>
      <c r="C5" s="2" t="s">
        <v>9</v>
      </c>
      <c r="D5" s="1"/>
      <c r="E5" s="1"/>
      <c r="F5" s="1"/>
      <c r="G5" s="1"/>
      <c r="H5" s="35"/>
    </row>
    <row r="6" spans="1:10" ht="24" customHeight="1" x14ac:dyDescent="0.2">
      <c r="A6" s="1"/>
      <c r="B6" s="1"/>
      <c r="C6" s="2" t="s">
        <v>10</v>
      </c>
      <c r="D6" s="1"/>
      <c r="E6" s="1"/>
      <c r="F6" s="1"/>
      <c r="G6" s="1"/>
      <c r="H6" s="35"/>
    </row>
    <row r="7" spans="1:10" ht="14.1" customHeight="1" x14ac:dyDescent="0.2">
      <c r="A7" s="1"/>
      <c r="B7" s="1"/>
      <c r="C7" s="2" t="s">
        <v>11</v>
      </c>
      <c r="D7" s="1"/>
      <c r="E7" s="1" t="s">
        <v>12</v>
      </c>
      <c r="F7" s="3" t="s">
        <v>13</v>
      </c>
      <c r="G7" s="4">
        <v>0</v>
      </c>
      <c r="H7" s="35"/>
    </row>
    <row r="8" spans="1:10" ht="14.1" customHeight="1" x14ac:dyDescent="0.2">
      <c r="A8" s="1"/>
      <c r="B8" s="1"/>
      <c r="C8" s="5"/>
      <c r="D8" s="1"/>
      <c r="E8" s="1"/>
      <c r="F8" s="6"/>
      <c r="G8" s="6"/>
      <c r="H8" s="35"/>
    </row>
    <row r="9" spans="1:10" ht="14.1" customHeight="1" x14ac:dyDescent="0.2">
      <c r="A9" s="1"/>
      <c r="B9" s="1"/>
      <c r="C9" s="2" t="s">
        <v>14</v>
      </c>
      <c r="D9" s="1"/>
      <c r="E9" s="1"/>
      <c r="F9" s="1"/>
      <c r="G9" s="1"/>
      <c r="H9" s="35"/>
    </row>
    <row r="10" spans="1:10" ht="14.1" customHeight="1" x14ac:dyDescent="0.2">
      <c r="A10" s="1"/>
      <c r="B10" s="1"/>
      <c r="C10" s="2" t="s">
        <v>11</v>
      </c>
      <c r="D10" s="1"/>
      <c r="E10" s="1" t="s">
        <v>12</v>
      </c>
      <c r="F10" s="3" t="s">
        <v>13</v>
      </c>
      <c r="G10" s="4">
        <v>0</v>
      </c>
      <c r="H10" s="35"/>
    </row>
    <row r="11" spans="1:10" ht="14.1" customHeight="1" x14ac:dyDescent="0.2">
      <c r="A11" s="1"/>
      <c r="B11" s="1"/>
      <c r="C11" s="5"/>
      <c r="D11" s="1"/>
      <c r="E11" s="1"/>
      <c r="F11" s="6"/>
      <c r="G11" s="6"/>
      <c r="H11" s="35"/>
    </row>
    <row r="12" spans="1:10" ht="14.1" customHeight="1" x14ac:dyDescent="0.2">
      <c r="A12" s="1"/>
      <c r="B12" s="1"/>
      <c r="C12" s="2" t="s">
        <v>15</v>
      </c>
      <c r="D12" s="1"/>
      <c r="E12" s="1"/>
      <c r="F12" s="1"/>
      <c r="G12" s="1"/>
      <c r="H12" s="35"/>
      <c r="J12" s="119"/>
    </row>
    <row r="13" spans="1:10" ht="14.1" customHeight="1" x14ac:dyDescent="0.2">
      <c r="A13" s="1"/>
      <c r="B13" s="1"/>
      <c r="C13" s="2" t="s">
        <v>11</v>
      </c>
      <c r="D13" s="1"/>
      <c r="E13" s="1" t="s">
        <v>12</v>
      </c>
      <c r="F13" s="3" t="s">
        <v>13</v>
      </c>
      <c r="G13" s="4">
        <v>0</v>
      </c>
      <c r="H13" s="35"/>
      <c r="J13" s="120"/>
    </row>
    <row r="14" spans="1:10" ht="14.1" customHeight="1" x14ac:dyDescent="0.2">
      <c r="A14" s="1"/>
      <c r="B14" s="1"/>
      <c r="C14" s="5"/>
      <c r="D14" s="1"/>
      <c r="E14" s="1"/>
      <c r="F14" s="6"/>
      <c r="G14" s="6"/>
      <c r="H14" s="35"/>
      <c r="J14" s="120"/>
    </row>
    <row r="15" spans="1:10" ht="14.1" customHeight="1" x14ac:dyDescent="0.2">
      <c r="A15" s="1"/>
      <c r="B15" s="1"/>
      <c r="C15" s="2" t="s">
        <v>16</v>
      </c>
      <c r="D15" s="1"/>
      <c r="E15" s="1"/>
      <c r="F15" s="1"/>
      <c r="G15" s="1"/>
      <c r="H15" s="35"/>
      <c r="J15" s="120" t="s">
        <v>572</v>
      </c>
    </row>
    <row r="16" spans="1:10" ht="14.1" customHeight="1" x14ac:dyDescent="0.2">
      <c r="A16" s="1"/>
      <c r="B16" s="1"/>
      <c r="C16" s="2" t="s">
        <v>11</v>
      </c>
      <c r="D16" s="1"/>
      <c r="E16" s="1" t="s">
        <v>12</v>
      </c>
      <c r="F16" s="3" t="s">
        <v>13</v>
      </c>
      <c r="G16" s="4">
        <v>0</v>
      </c>
      <c r="H16" s="35"/>
    </row>
    <row r="17" spans="1:10" ht="14.1" customHeight="1" x14ac:dyDescent="0.2">
      <c r="A17" s="1"/>
      <c r="B17" s="1"/>
      <c r="C17" s="5"/>
      <c r="D17" s="1"/>
      <c r="E17" s="1"/>
      <c r="F17" s="6"/>
      <c r="G17" s="6"/>
      <c r="H17" s="35"/>
    </row>
    <row r="18" spans="1:10" ht="14.1" customHeight="1" x14ac:dyDescent="0.2">
      <c r="A18" s="1"/>
      <c r="B18" s="1"/>
      <c r="C18" s="2" t="s">
        <v>17</v>
      </c>
      <c r="D18" s="1"/>
      <c r="E18" s="1"/>
      <c r="F18" s="6"/>
      <c r="G18" s="6"/>
      <c r="H18" s="35"/>
    </row>
    <row r="19" spans="1:10" ht="14.1" customHeight="1" x14ac:dyDescent="0.2">
      <c r="A19" s="1"/>
      <c r="B19" s="1"/>
      <c r="C19" s="2" t="s">
        <v>11</v>
      </c>
      <c r="D19" s="1"/>
      <c r="E19" s="1" t="s">
        <v>12</v>
      </c>
      <c r="F19" s="3" t="s">
        <v>13</v>
      </c>
      <c r="G19" s="4">
        <v>0</v>
      </c>
      <c r="H19" s="35"/>
    </row>
    <row r="20" spans="1:10" ht="14.1" customHeight="1" x14ac:dyDescent="0.2">
      <c r="A20" s="1"/>
      <c r="B20" s="1"/>
      <c r="C20" s="5"/>
      <c r="D20" s="1"/>
      <c r="E20" s="1"/>
      <c r="F20" s="6"/>
      <c r="G20" s="6"/>
      <c r="H20" s="35"/>
    </row>
    <row r="21" spans="1:10" ht="14.1" customHeight="1" x14ac:dyDescent="0.2">
      <c r="A21" s="1"/>
      <c r="B21" s="1"/>
      <c r="C21" s="2" t="s">
        <v>18</v>
      </c>
      <c r="D21" s="1"/>
      <c r="E21" s="1"/>
      <c r="F21" s="6"/>
      <c r="G21" s="6"/>
      <c r="H21" s="35"/>
    </row>
    <row r="22" spans="1:10" ht="14.1" customHeight="1" x14ac:dyDescent="0.2">
      <c r="A22" s="1"/>
      <c r="B22" s="1"/>
      <c r="C22" s="2" t="s">
        <v>11</v>
      </c>
      <c r="D22" s="1"/>
      <c r="E22" s="1" t="s">
        <v>12</v>
      </c>
      <c r="F22" s="3" t="s">
        <v>13</v>
      </c>
      <c r="G22" s="4">
        <v>0</v>
      </c>
      <c r="H22" s="35"/>
      <c r="J22" s="119"/>
    </row>
    <row r="23" spans="1:10" ht="14.1" customHeight="1" x14ac:dyDescent="0.2">
      <c r="A23" s="1"/>
      <c r="B23" s="1"/>
      <c r="C23" s="5"/>
      <c r="D23" s="1"/>
      <c r="E23" s="1"/>
      <c r="F23" s="6"/>
      <c r="G23" s="6"/>
      <c r="H23" s="35"/>
      <c r="J23" s="120"/>
    </row>
    <row r="24" spans="1:10" ht="18" customHeight="1" x14ac:dyDescent="0.2">
      <c r="A24" s="1"/>
      <c r="B24" s="1"/>
      <c r="C24" s="2" t="s">
        <v>19</v>
      </c>
      <c r="D24" s="1"/>
      <c r="E24" s="1"/>
      <c r="F24" s="7">
        <v>0</v>
      </c>
      <c r="G24" s="4">
        <v>0</v>
      </c>
      <c r="H24" s="35"/>
    </row>
    <row r="25" spans="1:10" ht="14.1" customHeight="1" x14ac:dyDescent="0.2">
      <c r="A25" s="1"/>
      <c r="B25" s="1"/>
      <c r="C25" s="5"/>
      <c r="D25" s="1"/>
      <c r="E25" s="1"/>
      <c r="F25" s="6"/>
      <c r="G25" s="6"/>
      <c r="H25" s="35"/>
    </row>
    <row r="26" spans="1:10" ht="14.1" customHeight="1" x14ac:dyDescent="0.2">
      <c r="A26" s="1"/>
      <c r="B26" s="1"/>
      <c r="C26" s="2" t="s">
        <v>20</v>
      </c>
      <c r="D26" s="1"/>
      <c r="E26" s="1"/>
      <c r="F26" s="6"/>
      <c r="G26" s="6"/>
      <c r="H26" s="35"/>
    </row>
    <row r="27" spans="1:10" ht="24" customHeight="1" x14ac:dyDescent="0.2">
      <c r="A27" s="1"/>
      <c r="B27" s="1"/>
      <c r="C27" s="2" t="s">
        <v>10</v>
      </c>
      <c r="D27" s="1"/>
      <c r="E27" s="1"/>
      <c r="F27" s="6"/>
      <c r="G27" s="6"/>
      <c r="H27" s="35"/>
      <c r="J27" s="120"/>
    </row>
    <row r="28" spans="1:10" ht="14.1" customHeight="1" x14ac:dyDescent="0.2">
      <c r="A28" s="1"/>
      <c r="B28" s="1"/>
      <c r="C28" s="2" t="s">
        <v>11</v>
      </c>
      <c r="D28" s="1"/>
      <c r="E28" s="1" t="s">
        <v>12</v>
      </c>
      <c r="F28" s="3" t="s">
        <v>13</v>
      </c>
      <c r="G28" s="4">
        <v>0</v>
      </c>
      <c r="H28" s="35"/>
      <c r="J28" s="120" t="s">
        <v>573</v>
      </c>
    </row>
    <row r="29" spans="1:10" ht="14.1" customHeight="1" x14ac:dyDescent="0.2">
      <c r="A29" s="1"/>
      <c r="B29" s="1"/>
      <c r="C29" s="5"/>
      <c r="D29" s="1"/>
      <c r="E29" s="1"/>
      <c r="F29" s="6"/>
      <c r="G29" s="6"/>
      <c r="H29" s="35"/>
    </row>
    <row r="30" spans="1:10" ht="14.1" customHeight="1" x14ac:dyDescent="0.2">
      <c r="A30" s="1"/>
      <c r="B30" s="1"/>
      <c r="C30" s="2" t="s">
        <v>61</v>
      </c>
      <c r="D30" s="1"/>
      <c r="E30" s="1"/>
      <c r="F30" s="1"/>
      <c r="G30" s="1"/>
      <c r="H30" s="35"/>
    </row>
    <row r="31" spans="1:10" ht="14.1" customHeight="1" x14ac:dyDescent="0.2">
      <c r="A31" s="1"/>
      <c r="B31" s="1"/>
      <c r="C31" s="2" t="s">
        <v>11</v>
      </c>
      <c r="D31" s="1"/>
      <c r="E31" s="1" t="s">
        <v>12</v>
      </c>
      <c r="F31" s="3" t="s">
        <v>13</v>
      </c>
      <c r="G31" s="4">
        <v>0</v>
      </c>
      <c r="H31" s="35"/>
    </row>
    <row r="32" spans="1:10" ht="14.1" customHeight="1" x14ac:dyDescent="0.2">
      <c r="A32" s="1"/>
      <c r="B32" s="1"/>
      <c r="C32" s="5"/>
      <c r="D32" s="1"/>
      <c r="E32" s="1"/>
      <c r="F32" s="6"/>
      <c r="G32" s="6"/>
      <c r="H32" s="35"/>
    </row>
    <row r="33" spans="1:8" ht="14.1" customHeight="1" x14ac:dyDescent="0.2">
      <c r="A33" s="1"/>
      <c r="B33" s="1"/>
      <c r="C33" s="2" t="s">
        <v>62</v>
      </c>
      <c r="D33" s="1"/>
      <c r="E33" s="1"/>
      <c r="F33" s="1"/>
      <c r="G33" s="1"/>
      <c r="H33" s="35"/>
    </row>
    <row r="34" spans="1:8" ht="14.1" customHeight="1" x14ac:dyDescent="0.2">
      <c r="A34" s="1"/>
      <c r="B34" s="1"/>
      <c r="C34" s="2" t="s">
        <v>11</v>
      </c>
      <c r="D34" s="1"/>
      <c r="E34" s="1" t="s">
        <v>12</v>
      </c>
      <c r="F34" s="3" t="s">
        <v>13</v>
      </c>
      <c r="G34" s="4">
        <v>0</v>
      </c>
      <c r="H34" s="35"/>
    </row>
    <row r="35" spans="1:8" ht="14.1" customHeight="1" x14ac:dyDescent="0.2">
      <c r="A35" s="1"/>
      <c r="B35" s="1"/>
      <c r="C35" s="5"/>
      <c r="D35" s="1"/>
      <c r="E35" s="1"/>
      <c r="F35" s="6"/>
      <c r="G35" s="6"/>
      <c r="H35" s="35"/>
    </row>
    <row r="36" spans="1:8" ht="14.1" customHeight="1" x14ac:dyDescent="0.2">
      <c r="A36" s="1"/>
      <c r="B36" s="1"/>
      <c r="C36" s="2" t="s">
        <v>70</v>
      </c>
      <c r="D36" s="1"/>
      <c r="E36" s="1"/>
      <c r="F36" s="6"/>
      <c r="G36" s="6"/>
      <c r="H36" s="35"/>
    </row>
    <row r="37" spans="1:8" ht="14.1" customHeight="1" x14ac:dyDescent="0.2">
      <c r="A37" s="1"/>
      <c r="B37" s="1"/>
      <c r="C37" s="2" t="s">
        <v>11</v>
      </c>
      <c r="D37" s="1"/>
      <c r="E37" s="1" t="s">
        <v>12</v>
      </c>
      <c r="F37" s="3" t="s">
        <v>13</v>
      </c>
      <c r="G37" s="4">
        <v>0</v>
      </c>
      <c r="H37" s="35"/>
    </row>
    <row r="38" spans="1:8" ht="14.1" customHeight="1" x14ac:dyDescent="0.2">
      <c r="A38" s="1"/>
      <c r="B38" s="1"/>
      <c r="C38" s="5"/>
      <c r="D38" s="1"/>
      <c r="E38" s="1"/>
      <c r="F38" s="6"/>
      <c r="G38" s="6"/>
      <c r="H38" s="35"/>
    </row>
    <row r="39" spans="1:8" ht="14.1" customHeight="1" x14ac:dyDescent="0.2">
      <c r="A39" s="1"/>
      <c r="B39" s="1"/>
      <c r="C39" s="2" t="s">
        <v>71</v>
      </c>
      <c r="D39" s="1"/>
      <c r="E39" s="1"/>
      <c r="F39" s="7">
        <v>0</v>
      </c>
      <c r="G39" s="4">
        <v>0</v>
      </c>
      <c r="H39" s="35"/>
    </row>
    <row r="40" spans="1:8" ht="14.1" customHeight="1" x14ac:dyDescent="0.2">
      <c r="A40" s="1"/>
      <c r="B40" s="1"/>
      <c r="C40" s="5"/>
      <c r="D40" s="1"/>
      <c r="E40" s="1"/>
      <c r="F40" s="6"/>
      <c r="G40" s="6"/>
      <c r="H40" s="35"/>
    </row>
    <row r="41" spans="1:8" ht="14.1" customHeight="1" x14ac:dyDescent="0.2">
      <c r="A41" s="1"/>
      <c r="B41" s="1"/>
      <c r="C41" s="2" t="s">
        <v>72</v>
      </c>
      <c r="D41" s="1"/>
      <c r="E41" s="1"/>
      <c r="F41" s="6"/>
      <c r="G41" s="6"/>
      <c r="H41" s="35"/>
    </row>
    <row r="42" spans="1:8" ht="14.1" customHeight="1" x14ac:dyDescent="0.2">
      <c r="A42" s="1"/>
      <c r="B42" s="1"/>
      <c r="C42" s="2" t="s">
        <v>73</v>
      </c>
      <c r="D42" s="1"/>
      <c r="E42" s="1"/>
      <c r="F42" s="6"/>
      <c r="G42" s="6"/>
      <c r="H42" s="35"/>
    </row>
    <row r="43" spans="1:8" ht="17.100000000000001" customHeight="1" x14ac:dyDescent="0.2">
      <c r="A43" s="8">
        <v>1</v>
      </c>
      <c r="B43" s="9" t="s">
        <v>228</v>
      </c>
      <c r="C43" s="9" t="s">
        <v>229</v>
      </c>
      <c r="D43" s="9" t="s">
        <v>128</v>
      </c>
      <c r="E43" s="10">
        <v>5000</v>
      </c>
      <c r="F43" s="11">
        <v>24970.85</v>
      </c>
      <c r="G43" s="12">
        <v>4.6600469999999998E-2</v>
      </c>
      <c r="H43" s="35">
        <v>7.1006999999999998</v>
      </c>
    </row>
    <row r="44" spans="1:8" ht="17.100000000000001" customHeight="1" x14ac:dyDescent="0.2">
      <c r="A44" s="8">
        <v>2</v>
      </c>
      <c r="B44" s="9" t="s">
        <v>230</v>
      </c>
      <c r="C44" s="9" t="s">
        <v>231</v>
      </c>
      <c r="D44" s="9" t="s">
        <v>128</v>
      </c>
      <c r="E44" s="10">
        <v>3000</v>
      </c>
      <c r="F44" s="11">
        <v>14915.28</v>
      </c>
      <c r="G44" s="12">
        <v>2.783482E-2</v>
      </c>
      <c r="H44" s="35">
        <v>7.1498999999999997</v>
      </c>
    </row>
    <row r="45" spans="1:8" ht="17.100000000000001" customHeight="1" x14ac:dyDescent="0.2">
      <c r="A45" s="8">
        <v>3</v>
      </c>
      <c r="B45" s="9" t="s">
        <v>232</v>
      </c>
      <c r="C45" s="9" t="s">
        <v>233</v>
      </c>
      <c r="D45" s="9" t="s">
        <v>128</v>
      </c>
      <c r="E45" s="10">
        <v>3000</v>
      </c>
      <c r="F45" s="11">
        <v>14894.31</v>
      </c>
      <c r="G45" s="12">
        <v>2.779568E-2</v>
      </c>
      <c r="H45" s="35">
        <v>7.1950000000000003</v>
      </c>
    </row>
    <row r="46" spans="1:8" ht="17.100000000000001" customHeight="1" x14ac:dyDescent="0.2">
      <c r="A46" s="8">
        <v>4</v>
      </c>
      <c r="B46" s="9" t="s">
        <v>234</v>
      </c>
      <c r="C46" s="9" t="s">
        <v>235</v>
      </c>
      <c r="D46" s="9" t="s">
        <v>198</v>
      </c>
      <c r="E46" s="10">
        <v>2000</v>
      </c>
      <c r="F46" s="11">
        <v>9961.09</v>
      </c>
      <c r="G46" s="12">
        <v>1.8589330000000001E-2</v>
      </c>
      <c r="H46" s="35">
        <v>7.1292</v>
      </c>
    </row>
    <row r="47" spans="1:8" ht="17.100000000000001" customHeight="1" x14ac:dyDescent="0.2">
      <c r="A47" s="8">
        <v>5</v>
      </c>
      <c r="B47" s="9" t="s">
        <v>236</v>
      </c>
      <c r="C47" s="9" t="s">
        <v>529</v>
      </c>
      <c r="D47" s="9" t="s">
        <v>150</v>
      </c>
      <c r="E47" s="10">
        <v>2000</v>
      </c>
      <c r="F47" s="11">
        <v>9949.26</v>
      </c>
      <c r="G47" s="12">
        <v>1.8567259999999999E-2</v>
      </c>
      <c r="H47" s="35">
        <v>7.1601999999999997</v>
      </c>
    </row>
    <row r="48" spans="1:8" ht="17.100000000000001" customHeight="1" x14ac:dyDescent="0.2">
      <c r="A48" s="8">
        <v>6</v>
      </c>
      <c r="B48" s="9" t="s">
        <v>237</v>
      </c>
      <c r="C48" s="9" t="s">
        <v>238</v>
      </c>
      <c r="D48" s="9" t="s">
        <v>128</v>
      </c>
      <c r="E48" s="10">
        <v>2000</v>
      </c>
      <c r="F48" s="11">
        <v>9947.39</v>
      </c>
      <c r="G48" s="12">
        <v>1.856377E-2</v>
      </c>
      <c r="H48" s="35">
        <v>7.1498999999999997</v>
      </c>
    </row>
    <row r="49" spans="1:8" ht="17.100000000000001" customHeight="1" x14ac:dyDescent="0.2">
      <c r="A49" s="8">
        <v>7</v>
      </c>
      <c r="B49" s="9" t="s">
        <v>239</v>
      </c>
      <c r="C49" s="9" t="s">
        <v>240</v>
      </c>
      <c r="D49" s="9" t="s">
        <v>198</v>
      </c>
      <c r="E49" s="10">
        <v>2000</v>
      </c>
      <c r="F49" s="11">
        <v>9945.61</v>
      </c>
      <c r="G49" s="12">
        <v>1.8560449999999999E-2</v>
      </c>
      <c r="H49" s="35">
        <v>7.1295999999999999</v>
      </c>
    </row>
    <row r="50" spans="1:8" ht="17.100000000000001" customHeight="1" x14ac:dyDescent="0.2">
      <c r="A50" s="8">
        <v>8</v>
      </c>
      <c r="B50" s="9" t="s">
        <v>241</v>
      </c>
      <c r="C50" s="9" t="s">
        <v>242</v>
      </c>
      <c r="D50" s="9" t="s">
        <v>128</v>
      </c>
      <c r="E50" s="10">
        <v>2000</v>
      </c>
      <c r="F50" s="11">
        <v>9832.84</v>
      </c>
      <c r="G50" s="12">
        <v>1.8350000000000002E-2</v>
      </c>
      <c r="H50" s="35">
        <v>7.3000999999999996</v>
      </c>
    </row>
    <row r="51" spans="1:8" ht="29.1" customHeight="1" x14ac:dyDescent="0.2">
      <c r="A51" s="8">
        <v>9</v>
      </c>
      <c r="B51" s="9" t="s">
        <v>243</v>
      </c>
      <c r="C51" s="9" t="s">
        <v>244</v>
      </c>
      <c r="D51" s="9" t="s">
        <v>128</v>
      </c>
      <c r="E51" s="10">
        <v>1500</v>
      </c>
      <c r="F51" s="11">
        <v>7481.0325000000003</v>
      </c>
      <c r="G51" s="12">
        <v>1.3961060000000001E-2</v>
      </c>
      <c r="H51" s="35">
        <v>7.1174999999999997</v>
      </c>
    </row>
    <row r="52" spans="1:8" ht="17.100000000000001" customHeight="1" x14ac:dyDescent="0.2">
      <c r="A52" s="8">
        <v>10</v>
      </c>
      <c r="B52" s="9" t="s">
        <v>245</v>
      </c>
      <c r="C52" s="9" t="s">
        <v>246</v>
      </c>
      <c r="D52" s="9" t="s">
        <v>128</v>
      </c>
      <c r="E52" s="10">
        <v>1500</v>
      </c>
      <c r="F52" s="11">
        <v>7450.3125</v>
      </c>
      <c r="G52" s="12">
        <v>1.390373E-2</v>
      </c>
      <c r="H52" s="35">
        <v>7.1600999999999999</v>
      </c>
    </row>
    <row r="53" spans="1:8" ht="17.100000000000001" customHeight="1" x14ac:dyDescent="0.2">
      <c r="A53" s="8">
        <v>11</v>
      </c>
      <c r="B53" s="9" t="s">
        <v>247</v>
      </c>
      <c r="C53" s="9" t="s">
        <v>248</v>
      </c>
      <c r="D53" s="9" t="s">
        <v>128</v>
      </c>
      <c r="E53" s="10">
        <v>1500</v>
      </c>
      <c r="F53" s="11">
        <v>7400.8275000000003</v>
      </c>
      <c r="G53" s="12">
        <v>1.381139E-2</v>
      </c>
      <c r="H53" s="35">
        <v>7.3003</v>
      </c>
    </row>
    <row r="54" spans="1:8" ht="17.100000000000001" customHeight="1" x14ac:dyDescent="0.2">
      <c r="A54" s="8">
        <v>12</v>
      </c>
      <c r="B54" s="9" t="s">
        <v>249</v>
      </c>
      <c r="C54" s="9" t="s">
        <v>250</v>
      </c>
      <c r="D54" s="9" t="s">
        <v>128</v>
      </c>
      <c r="E54" s="10">
        <v>1500</v>
      </c>
      <c r="F54" s="11">
        <v>7368.2775000000001</v>
      </c>
      <c r="G54" s="12">
        <v>1.375064E-2</v>
      </c>
      <c r="H54" s="35">
        <v>7.25</v>
      </c>
    </row>
    <row r="55" spans="1:8" ht="17.100000000000001" customHeight="1" x14ac:dyDescent="0.2">
      <c r="A55" s="8">
        <v>13</v>
      </c>
      <c r="B55" s="9" t="s">
        <v>251</v>
      </c>
      <c r="C55" s="9" t="s">
        <v>252</v>
      </c>
      <c r="D55" s="9" t="s">
        <v>128</v>
      </c>
      <c r="E55" s="10">
        <v>1000</v>
      </c>
      <c r="F55" s="11">
        <v>4980.49</v>
      </c>
      <c r="G55" s="12">
        <v>9.2945600000000003E-3</v>
      </c>
      <c r="H55" s="35">
        <v>7.1498999999999997</v>
      </c>
    </row>
    <row r="56" spans="1:8" ht="29.1" customHeight="1" x14ac:dyDescent="0.2">
      <c r="A56" s="8">
        <v>14</v>
      </c>
      <c r="B56" s="9" t="s">
        <v>253</v>
      </c>
      <c r="C56" s="9" t="s">
        <v>254</v>
      </c>
      <c r="D56" s="9" t="s">
        <v>128</v>
      </c>
      <c r="E56" s="10">
        <v>1000</v>
      </c>
      <c r="F56" s="11">
        <v>4979.4449999999997</v>
      </c>
      <c r="G56" s="12">
        <v>9.2926099999999998E-3</v>
      </c>
      <c r="H56" s="35">
        <v>7.1749999999999998</v>
      </c>
    </row>
    <row r="57" spans="1:8" ht="17.100000000000001" customHeight="1" x14ac:dyDescent="0.2">
      <c r="A57" s="8">
        <v>15</v>
      </c>
      <c r="B57" s="9" t="s">
        <v>255</v>
      </c>
      <c r="C57" s="9" t="s">
        <v>256</v>
      </c>
      <c r="D57" s="9" t="s">
        <v>128</v>
      </c>
      <c r="E57" s="10">
        <v>500</v>
      </c>
      <c r="F57" s="11">
        <v>2492.7525000000001</v>
      </c>
      <c r="G57" s="12">
        <v>4.6519600000000001E-3</v>
      </c>
      <c r="H57" s="35">
        <v>7.0750000000000002</v>
      </c>
    </row>
    <row r="58" spans="1:8" ht="14.1" customHeight="1" x14ac:dyDescent="0.2">
      <c r="A58" s="1"/>
      <c r="B58" s="1"/>
      <c r="C58" s="2" t="s">
        <v>11</v>
      </c>
      <c r="D58" s="1"/>
      <c r="E58" s="1" t="s">
        <v>12</v>
      </c>
      <c r="F58" s="7">
        <v>146569.76749999999</v>
      </c>
      <c r="G58" s="4">
        <v>0.27352773000000002</v>
      </c>
      <c r="H58" s="35"/>
    </row>
    <row r="59" spans="1:8" ht="14.1" customHeight="1" x14ac:dyDescent="0.2">
      <c r="A59" s="1"/>
      <c r="B59" s="1"/>
      <c r="C59" s="5"/>
      <c r="D59" s="1"/>
      <c r="E59" s="1"/>
      <c r="F59" s="6"/>
      <c r="G59" s="6"/>
      <c r="H59" s="35"/>
    </row>
    <row r="60" spans="1:8" ht="14.1" customHeight="1" x14ac:dyDescent="0.2">
      <c r="A60" s="1"/>
      <c r="B60" s="1"/>
      <c r="C60" s="2" t="s">
        <v>74</v>
      </c>
      <c r="D60" s="1"/>
      <c r="E60" s="1"/>
      <c r="F60" s="6"/>
      <c r="G60" s="6"/>
      <c r="H60" s="35"/>
    </row>
    <row r="61" spans="1:8" ht="29.1" customHeight="1" x14ac:dyDescent="0.2">
      <c r="A61" s="8">
        <v>1</v>
      </c>
      <c r="B61" s="9" t="s">
        <v>257</v>
      </c>
      <c r="C61" s="9" t="s">
        <v>258</v>
      </c>
      <c r="D61" s="9" t="s">
        <v>128</v>
      </c>
      <c r="E61" s="10">
        <v>2000</v>
      </c>
      <c r="F61" s="11">
        <v>9984.35</v>
      </c>
      <c r="G61" s="12">
        <v>1.8632739999999998E-2</v>
      </c>
      <c r="H61" s="35">
        <v>7.15</v>
      </c>
    </row>
    <row r="62" spans="1:8" ht="29.1" customHeight="1" x14ac:dyDescent="0.2">
      <c r="A62" s="8">
        <v>2</v>
      </c>
      <c r="B62" s="9" t="s">
        <v>259</v>
      </c>
      <c r="C62" s="9" t="s">
        <v>260</v>
      </c>
      <c r="D62" s="9" t="s">
        <v>128</v>
      </c>
      <c r="E62" s="10">
        <v>2000</v>
      </c>
      <c r="F62" s="11">
        <v>9984.2900000000009</v>
      </c>
      <c r="G62" s="12">
        <v>1.8632630000000001E-2</v>
      </c>
      <c r="H62" s="35">
        <v>7.1788999999999996</v>
      </c>
    </row>
    <row r="63" spans="1:8" ht="17.100000000000001" customHeight="1" x14ac:dyDescent="0.2">
      <c r="A63" s="8">
        <v>3</v>
      </c>
      <c r="B63" s="9" t="s">
        <v>261</v>
      </c>
      <c r="C63" s="9" t="s">
        <v>262</v>
      </c>
      <c r="D63" s="9" t="s">
        <v>128</v>
      </c>
      <c r="E63" s="10">
        <v>2000</v>
      </c>
      <c r="F63" s="11">
        <v>9983.84</v>
      </c>
      <c r="G63" s="12">
        <v>1.8631789999999999E-2</v>
      </c>
      <c r="H63" s="35">
        <v>7.3849999999999998</v>
      </c>
    </row>
    <row r="64" spans="1:8" ht="17.100000000000001" customHeight="1" x14ac:dyDescent="0.2">
      <c r="A64" s="8">
        <v>4</v>
      </c>
      <c r="B64" s="9" t="s">
        <v>263</v>
      </c>
      <c r="C64" s="9" t="s">
        <v>264</v>
      </c>
      <c r="D64" s="9" t="s">
        <v>128</v>
      </c>
      <c r="E64" s="10">
        <v>2000</v>
      </c>
      <c r="F64" s="11">
        <v>9976.2900000000009</v>
      </c>
      <c r="G64" s="12">
        <v>1.8617700000000001E-2</v>
      </c>
      <c r="H64" s="35">
        <v>7.23</v>
      </c>
    </row>
    <row r="65" spans="1:8" ht="29.1" customHeight="1" x14ac:dyDescent="0.2">
      <c r="A65" s="8">
        <v>5</v>
      </c>
      <c r="B65" s="9" t="s">
        <v>265</v>
      </c>
      <c r="C65" s="9" t="s">
        <v>266</v>
      </c>
      <c r="D65" s="9" t="s">
        <v>128</v>
      </c>
      <c r="E65" s="10">
        <v>2000</v>
      </c>
      <c r="F65" s="11">
        <v>9972.5400000000009</v>
      </c>
      <c r="G65" s="12">
        <v>1.8610700000000001E-2</v>
      </c>
      <c r="H65" s="35">
        <v>7.18</v>
      </c>
    </row>
    <row r="66" spans="1:8" ht="29.1" customHeight="1" x14ac:dyDescent="0.2">
      <c r="A66" s="8">
        <v>6</v>
      </c>
      <c r="B66" s="9" t="s">
        <v>267</v>
      </c>
      <c r="C66" s="9" t="s">
        <v>268</v>
      </c>
      <c r="D66" s="9" t="s">
        <v>128</v>
      </c>
      <c r="E66" s="10">
        <v>2000</v>
      </c>
      <c r="F66" s="11">
        <v>9960.81</v>
      </c>
      <c r="G66" s="12">
        <v>1.8588810000000001E-2</v>
      </c>
      <c r="H66" s="35">
        <v>7.1803999999999997</v>
      </c>
    </row>
    <row r="67" spans="1:8" ht="29.1" customHeight="1" x14ac:dyDescent="0.2">
      <c r="A67" s="8">
        <v>7</v>
      </c>
      <c r="B67" s="9" t="s">
        <v>269</v>
      </c>
      <c r="C67" s="9" t="s">
        <v>270</v>
      </c>
      <c r="D67" s="9" t="s">
        <v>128</v>
      </c>
      <c r="E67" s="10">
        <v>2000</v>
      </c>
      <c r="F67" s="11">
        <v>9960.74</v>
      </c>
      <c r="G67" s="12">
        <v>1.858868E-2</v>
      </c>
      <c r="H67" s="35">
        <v>7.1947999999999999</v>
      </c>
    </row>
    <row r="68" spans="1:8" ht="25.5" x14ac:dyDescent="0.2">
      <c r="A68" s="8">
        <v>8</v>
      </c>
      <c r="B68" s="9" t="s">
        <v>271</v>
      </c>
      <c r="C68" s="9" t="s">
        <v>272</v>
      </c>
      <c r="D68" s="9" t="s">
        <v>128</v>
      </c>
      <c r="E68" s="10">
        <v>2000</v>
      </c>
      <c r="F68" s="11">
        <v>9960.16</v>
      </c>
      <c r="G68" s="12">
        <v>1.8587599999999999E-2</v>
      </c>
      <c r="H68" s="35">
        <v>7.3</v>
      </c>
    </row>
    <row r="69" spans="1:8" ht="17.100000000000001" customHeight="1" x14ac:dyDescent="0.2">
      <c r="A69" s="8">
        <v>9</v>
      </c>
      <c r="B69" s="9" t="s">
        <v>273</v>
      </c>
      <c r="C69" s="9" t="s">
        <v>274</v>
      </c>
      <c r="D69" s="9" t="s">
        <v>128</v>
      </c>
      <c r="E69" s="10">
        <v>2000</v>
      </c>
      <c r="F69" s="11">
        <v>9950.76</v>
      </c>
      <c r="G69" s="12">
        <v>1.8570059999999999E-2</v>
      </c>
      <c r="H69" s="35">
        <v>7.2249999999999996</v>
      </c>
    </row>
    <row r="70" spans="1:8" ht="29.1" customHeight="1" x14ac:dyDescent="0.2">
      <c r="A70" s="8">
        <v>10</v>
      </c>
      <c r="B70" s="9" t="s">
        <v>275</v>
      </c>
      <c r="C70" s="9" t="s">
        <v>276</v>
      </c>
      <c r="D70" s="9" t="s">
        <v>128</v>
      </c>
      <c r="E70" s="10">
        <v>2000</v>
      </c>
      <c r="F70" s="11">
        <v>9940.2900000000009</v>
      </c>
      <c r="G70" s="12">
        <v>1.8550520000000001E-2</v>
      </c>
      <c r="H70" s="35">
        <v>8.1199999999999992</v>
      </c>
    </row>
    <row r="71" spans="1:8" ht="17.100000000000001" customHeight="1" x14ac:dyDescent="0.2">
      <c r="A71" s="8">
        <v>11</v>
      </c>
      <c r="B71" s="9" t="s">
        <v>277</v>
      </c>
      <c r="C71" s="9" t="s">
        <v>278</v>
      </c>
      <c r="D71" s="9" t="s">
        <v>128</v>
      </c>
      <c r="E71" s="10">
        <v>1500</v>
      </c>
      <c r="F71" s="11">
        <v>7490.2725</v>
      </c>
      <c r="G71" s="12">
        <v>1.3978310000000001E-2</v>
      </c>
      <c r="H71" s="35">
        <v>7.9012000000000002</v>
      </c>
    </row>
    <row r="72" spans="1:8" ht="17.100000000000001" customHeight="1" x14ac:dyDescent="0.2">
      <c r="A72" s="8">
        <v>12</v>
      </c>
      <c r="B72" s="9" t="s">
        <v>279</v>
      </c>
      <c r="C72" s="9" t="s">
        <v>280</v>
      </c>
      <c r="D72" s="9" t="s">
        <v>128</v>
      </c>
      <c r="E72" s="10">
        <v>1500</v>
      </c>
      <c r="F72" s="11">
        <v>7481.9250000000002</v>
      </c>
      <c r="G72" s="12">
        <v>1.396273E-2</v>
      </c>
      <c r="H72" s="35">
        <v>7.3475000000000001</v>
      </c>
    </row>
    <row r="73" spans="1:8" ht="29.1" customHeight="1" x14ac:dyDescent="0.2">
      <c r="A73" s="8">
        <v>13</v>
      </c>
      <c r="B73" s="9" t="s">
        <v>281</v>
      </c>
      <c r="C73" s="9" t="s">
        <v>282</v>
      </c>
      <c r="D73" s="9" t="s">
        <v>150</v>
      </c>
      <c r="E73" s="10">
        <v>1500</v>
      </c>
      <c r="F73" s="11">
        <v>7479.0749999999998</v>
      </c>
      <c r="G73" s="12">
        <v>1.395741E-2</v>
      </c>
      <c r="H73" s="35">
        <v>7.2949999999999999</v>
      </c>
    </row>
    <row r="74" spans="1:8" ht="29.1" customHeight="1" x14ac:dyDescent="0.2">
      <c r="A74" s="8">
        <v>14</v>
      </c>
      <c r="B74" s="9" t="s">
        <v>283</v>
      </c>
      <c r="C74" s="9" t="s">
        <v>284</v>
      </c>
      <c r="D74" s="9" t="s">
        <v>128</v>
      </c>
      <c r="E74" s="10">
        <v>1500</v>
      </c>
      <c r="F74" s="11">
        <v>7476.0524999999998</v>
      </c>
      <c r="G74" s="12">
        <v>1.395177E-2</v>
      </c>
      <c r="H74" s="35">
        <v>7.7949999999999999</v>
      </c>
    </row>
    <row r="75" spans="1:8" ht="17.100000000000001" customHeight="1" x14ac:dyDescent="0.2">
      <c r="A75" s="8">
        <v>15</v>
      </c>
      <c r="B75" s="9" t="s">
        <v>285</v>
      </c>
      <c r="C75" s="9" t="s">
        <v>286</v>
      </c>
      <c r="D75" s="9" t="s">
        <v>128</v>
      </c>
      <c r="E75" s="10">
        <v>1500</v>
      </c>
      <c r="F75" s="11">
        <v>7468.1025</v>
      </c>
      <c r="G75" s="12">
        <v>1.393693E-2</v>
      </c>
      <c r="H75" s="35">
        <v>7.4249999999999998</v>
      </c>
    </row>
    <row r="76" spans="1:8" ht="17.100000000000001" customHeight="1" x14ac:dyDescent="0.2">
      <c r="A76" s="8">
        <v>16</v>
      </c>
      <c r="B76" s="9" t="s">
        <v>287</v>
      </c>
      <c r="C76" s="9" t="s">
        <v>288</v>
      </c>
      <c r="D76" s="9" t="s">
        <v>128</v>
      </c>
      <c r="E76" s="10">
        <v>1500</v>
      </c>
      <c r="F76" s="11">
        <v>7467.39</v>
      </c>
      <c r="G76" s="12">
        <v>1.3935599999999999E-2</v>
      </c>
      <c r="H76" s="35">
        <v>8.3899000000000008</v>
      </c>
    </row>
    <row r="77" spans="1:8" ht="17.100000000000001" customHeight="1" x14ac:dyDescent="0.2">
      <c r="A77" s="8">
        <v>17</v>
      </c>
      <c r="B77" s="9" t="s">
        <v>289</v>
      </c>
      <c r="C77" s="9" t="s">
        <v>290</v>
      </c>
      <c r="D77" s="9" t="s">
        <v>128</v>
      </c>
      <c r="E77" s="10">
        <v>1500</v>
      </c>
      <c r="F77" s="11">
        <v>7447.7849999999999</v>
      </c>
      <c r="G77" s="12">
        <v>1.389902E-2</v>
      </c>
      <c r="H77" s="35">
        <v>7.7545999999999999</v>
      </c>
    </row>
    <row r="78" spans="1:8" ht="29.1" customHeight="1" x14ac:dyDescent="0.2">
      <c r="A78" s="8">
        <v>18</v>
      </c>
      <c r="B78" s="9" t="s">
        <v>291</v>
      </c>
      <c r="C78" s="9" t="s">
        <v>292</v>
      </c>
      <c r="D78" s="9" t="s">
        <v>128</v>
      </c>
      <c r="E78" s="10">
        <v>1500</v>
      </c>
      <c r="F78" s="11">
        <v>7411.68</v>
      </c>
      <c r="G78" s="12">
        <v>1.3831639999999999E-2</v>
      </c>
      <c r="H78" s="35">
        <v>8.0549999999999997</v>
      </c>
    </row>
    <row r="79" spans="1:8" ht="29.1" customHeight="1" x14ac:dyDescent="0.2">
      <c r="A79" s="8">
        <v>19</v>
      </c>
      <c r="B79" s="9" t="s">
        <v>293</v>
      </c>
      <c r="C79" s="9" t="s">
        <v>294</v>
      </c>
      <c r="D79" s="9" t="s">
        <v>128</v>
      </c>
      <c r="E79" s="10">
        <v>1500</v>
      </c>
      <c r="F79" s="11">
        <v>7387.86</v>
      </c>
      <c r="G79" s="12">
        <v>1.378719E-2</v>
      </c>
      <c r="H79" s="35">
        <v>7.29</v>
      </c>
    </row>
    <row r="80" spans="1:8" x14ac:dyDescent="0.2">
      <c r="A80" s="8">
        <v>20</v>
      </c>
      <c r="B80" s="9" t="s">
        <v>585</v>
      </c>
      <c r="C80" s="9" t="s">
        <v>295</v>
      </c>
      <c r="D80" s="9" t="s">
        <v>128</v>
      </c>
      <c r="E80" s="10">
        <v>1500</v>
      </c>
      <c r="F80" s="11">
        <v>7364.1374999999998</v>
      </c>
      <c r="G80" s="12">
        <v>1.374292E-2</v>
      </c>
      <c r="H80" s="35">
        <v>7.4</v>
      </c>
    </row>
    <row r="81" spans="1:8" ht="17.100000000000001" customHeight="1" x14ac:dyDescent="0.2">
      <c r="A81" s="8">
        <v>21</v>
      </c>
      <c r="B81" s="9" t="s">
        <v>296</v>
      </c>
      <c r="C81" s="9" t="s">
        <v>297</v>
      </c>
      <c r="D81" s="9" t="s">
        <v>128</v>
      </c>
      <c r="E81" s="10">
        <v>1000</v>
      </c>
      <c r="F81" s="11">
        <v>4986.67</v>
      </c>
      <c r="G81" s="12">
        <v>9.3060999999999994E-3</v>
      </c>
      <c r="H81" s="35">
        <v>7.5049999999999999</v>
      </c>
    </row>
    <row r="82" spans="1:8" ht="29.1" customHeight="1" x14ac:dyDescent="0.2">
      <c r="A82" s="8">
        <v>22</v>
      </c>
      <c r="B82" s="9" t="s">
        <v>298</v>
      </c>
      <c r="C82" s="9" t="s">
        <v>299</v>
      </c>
      <c r="D82" s="9" t="s">
        <v>128</v>
      </c>
      <c r="E82" s="10">
        <v>1000</v>
      </c>
      <c r="F82" s="11">
        <v>4985.3100000000004</v>
      </c>
      <c r="G82" s="12">
        <v>9.3035600000000006E-3</v>
      </c>
      <c r="H82" s="35">
        <v>7.1718000000000002</v>
      </c>
    </row>
    <row r="83" spans="1:8" ht="29.1" customHeight="1" x14ac:dyDescent="0.2">
      <c r="A83" s="8">
        <v>23</v>
      </c>
      <c r="B83" s="9" t="s">
        <v>300</v>
      </c>
      <c r="C83" s="9" t="s">
        <v>301</v>
      </c>
      <c r="D83" s="9" t="s">
        <v>128</v>
      </c>
      <c r="E83" s="10">
        <v>1000</v>
      </c>
      <c r="F83" s="11">
        <v>4985.2650000000003</v>
      </c>
      <c r="G83" s="12">
        <v>9.3034799999999994E-3</v>
      </c>
      <c r="H83" s="35">
        <v>8.3000000000000007</v>
      </c>
    </row>
    <row r="84" spans="1:8" ht="29.1" customHeight="1" x14ac:dyDescent="0.2">
      <c r="A84" s="8">
        <v>24</v>
      </c>
      <c r="B84" s="9" t="s">
        <v>302</v>
      </c>
      <c r="C84" s="9" t="s">
        <v>303</v>
      </c>
      <c r="D84" s="9" t="s">
        <v>128</v>
      </c>
      <c r="E84" s="10">
        <v>1000</v>
      </c>
      <c r="F84" s="11">
        <v>4985.1000000000004</v>
      </c>
      <c r="G84" s="12">
        <v>9.3031699999999995E-3</v>
      </c>
      <c r="H84" s="35">
        <v>7.7949999999999999</v>
      </c>
    </row>
    <row r="85" spans="1:8" ht="17.100000000000001" customHeight="1" x14ac:dyDescent="0.2">
      <c r="A85" s="8">
        <v>25</v>
      </c>
      <c r="B85" s="9" t="s">
        <v>304</v>
      </c>
      <c r="C85" s="9" t="s">
        <v>305</v>
      </c>
      <c r="D85" s="9" t="s">
        <v>128</v>
      </c>
      <c r="E85" s="10">
        <v>1000</v>
      </c>
      <c r="F85" s="11">
        <v>4980.88</v>
      </c>
      <c r="G85" s="12">
        <v>9.2952899999999995E-3</v>
      </c>
      <c r="H85" s="35">
        <v>7.375</v>
      </c>
    </row>
    <row r="86" spans="1:8" ht="29.1" customHeight="1" x14ac:dyDescent="0.2">
      <c r="A86" s="8">
        <v>26</v>
      </c>
      <c r="B86" s="9" t="s">
        <v>306</v>
      </c>
      <c r="C86" s="9" t="s">
        <v>307</v>
      </c>
      <c r="D86" s="9" t="s">
        <v>128</v>
      </c>
      <c r="E86" s="10">
        <v>1000</v>
      </c>
      <c r="F86" s="11">
        <v>4980.29</v>
      </c>
      <c r="G86" s="12">
        <v>9.2941900000000008E-3</v>
      </c>
      <c r="H86" s="35">
        <v>8.0250000000000004</v>
      </c>
    </row>
    <row r="87" spans="1:8" ht="29.1" customHeight="1" x14ac:dyDescent="0.2">
      <c r="A87" s="8">
        <v>27</v>
      </c>
      <c r="B87" s="9" t="s">
        <v>308</v>
      </c>
      <c r="C87" s="9" t="s">
        <v>309</v>
      </c>
      <c r="D87" s="9" t="s">
        <v>128</v>
      </c>
      <c r="E87" s="10">
        <v>1000</v>
      </c>
      <c r="F87" s="11">
        <v>4972.5450000000001</v>
      </c>
      <c r="G87" s="12">
        <v>9.2797399999999999E-3</v>
      </c>
      <c r="H87" s="35">
        <v>7.1977000000000002</v>
      </c>
    </row>
    <row r="88" spans="1:8" ht="17.100000000000001" customHeight="1" x14ac:dyDescent="0.2">
      <c r="A88" s="8">
        <v>28</v>
      </c>
      <c r="B88" s="9" t="s">
        <v>310</v>
      </c>
      <c r="C88" s="9" t="s">
        <v>311</v>
      </c>
      <c r="D88" s="9" t="s">
        <v>128</v>
      </c>
      <c r="E88" s="10">
        <v>1000</v>
      </c>
      <c r="F88" s="11">
        <v>4971.3149999999996</v>
      </c>
      <c r="G88" s="12">
        <v>9.2774399999999996E-3</v>
      </c>
      <c r="H88" s="35">
        <v>7.8</v>
      </c>
    </row>
    <row r="89" spans="1:8" ht="17.100000000000001" customHeight="1" x14ac:dyDescent="0.2">
      <c r="A89" s="8">
        <v>29</v>
      </c>
      <c r="B89" s="9" t="s">
        <v>312</v>
      </c>
      <c r="C89" s="9" t="s">
        <v>313</v>
      </c>
      <c r="D89" s="9" t="s">
        <v>128</v>
      </c>
      <c r="E89" s="10">
        <v>1000</v>
      </c>
      <c r="F89" s="11">
        <v>4970.9250000000002</v>
      </c>
      <c r="G89" s="12">
        <v>9.2767100000000005E-3</v>
      </c>
      <c r="H89" s="35">
        <v>7.3624999999999998</v>
      </c>
    </row>
    <row r="90" spans="1:8" ht="17.100000000000001" customHeight="1" x14ac:dyDescent="0.2">
      <c r="A90" s="8">
        <v>30</v>
      </c>
      <c r="B90" s="9" t="s">
        <v>314</v>
      </c>
      <c r="C90" s="9" t="s">
        <v>315</v>
      </c>
      <c r="D90" s="9" t="s">
        <v>128</v>
      </c>
      <c r="E90" s="10">
        <v>1000</v>
      </c>
      <c r="F90" s="11">
        <v>4968.97</v>
      </c>
      <c r="G90" s="12">
        <v>9.2730699999999996E-3</v>
      </c>
      <c r="H90" s="35">
        <v>7.86</v>
      </c>
    </row>
    <row r="91" spans="1:8" ht="29.1" customHeight="1" x14ac:dyDescent="0.2">
      <c r="A91" s="8">
        <v>31</v>
      </c>
      <c r="B91" s="9" t="s">
        <v>316</v>
      </c>
      <c r="C91" s="9" t="s">
        <v>317</v>
      </c>
      <c r="D91" s="9" t="s">
        <v>128</v>
      </c>
      <c r="E91" s="10">
        <v>1000</v>
      </c>
      <c r="F91" s="11">
        <v>4950.1400000000003</v>
      </c>
      <c r="G91" s="12">
        <v>9.2379300000000001E-3</v>
      </c>
      <c r="H91" s="35">
        <v>8.5500000000000007</v>
      </c>
    </row>
    <row r="92" spans="1:8" ht="17.100000000000001" customHeight="1" x14ac:dyDescent="0.2">
      <c r="A92" s="8">
        <v>32</v>
      </c>
      <c r="B92" s="9" t="s">
        <v>318</v>
      </c>
      <c r="C92" s="9" t="s">
        <v>319</v>
      </c>
      <c r="D92" s="9" t="s">
        <v>128</v>
      </c>
      <c r="E92" s="10">
        <v>1000</v>
      </c>
      <c r="F92" s="11">
        <v>4928.5749999999998</v>
      </c>
      <c r="G92" s="12">
        <v>9.1976799999999997E-3</v>
      </c>
      <c r="H92" s="35">
        <v>7.45</v>
      </c>
    </row>
    <row r="93" spans="1:8" ht="17.100000000000001" customHeight="1" x14ac:dyDescent="0.2">
      <c r="A93" s="8">
        <v>33</v>
      </c>
      <c r="B93" s="9" t="s">
        <v>320</v>
      </c>
      <c r="C93" s="9" t="s">
        <v>321</v>
      </c>
      <c r="D93" s="9" t="s">
        <v>128</v>
      </c>
      <c r="E93" s="10">
        <v>1000</v>
      </c>
      <c r="F93" s="11">
        <v>4924.8249999999998</v>
      </c>
      <c r="G93" s="12">
        <v>9.1906799999999997E-3</v>
      </c>
      <c r="H93" s="35">
        <v>8.0749999999999993</v>
      </c>
    </row>
    <row r="94" spans="1:8" ht="17.100000000000001" customHeight="1" x14ac:dyDescent="0.2">
      <c r="A94" s="8">
        <v>34</v>
      </c>
      <c r="B94" s="9" t="s">
        <v>322</v>
      </c>
      <c r="C94" s="9" t="s">
        <v>323</v>
      </c>
      <c r="D94" s="9" t="s">
        <v>128</v>
      </c>
      <c r="E94" s="10">
        <v>1000</v>
      </c>
      <c r="F94" s="11">
        <v>4916.3549999999996</v>
      </c>
      <c r="G94" s="12">
        <v>9.1748799999999998E-3</v>
      </c>
      <c r="H94" s="35">
        <v>8.2799999999999994</v>
      </c>
    </row>
    <row r="95" spans="1:8" ht="29.1" customHeight="1" x14ac:dyDescent="0.2">
      <c r="A95" s="8">
        <v>35</v>
      </c>
      <c r="B95" s="9" t="s">
        <v>324</v>
      </c>
      <c r="C95" s="9" t="s">
        <v>325</v>
      </c>
      <c r="D95" s="9" t="s">
        <v>128</v>
      </c>
      <c r="E95" s="10">
        <v>1000</v>
      </c>
      <c r="F95" s="11">
        <v>4911.21</v>
      </c>
      <c r="G95" s="12">
        <v>9.1652699999999997E-3</v>
      </c>
      <c r="H95" s="35">
        <v>8.57</v>
      </c>
    </row>
    <row r="96" spans="1:8" ht="29.1" customHeight="1" x14ac:dyDescent="0.2">
      <c r="A96" s="8">
        <v>36</v>
      </c>
      <c r="B96" s="9" t="s">
        <v>326</v>
      </c>
      <c r="C96" s="9" t="s">
        <v>327</v>
      </c>
      <c r="D96" s="9" t="s">
        <v>128</v>
      </c>
      <c r="E96" s="10">
        <v>1000</v>
      </c>
      <c r="F96" s="11">
        <v>4904.9799999999996</v>
      </c>
      <c r="G96" s="12">
        <v>9.1536499999999993E-3</v>
      </c>
      <c r="H96" s="35">
        <v>8.0350000000000001</v>
      </c>
    </row>
    <row r="97" spans="1:8" ht="29.1" customHeight="1" x14ac:dyDescent="0.2">
      <c r="A97" s="8">
        <v>37</v>
      </c>
      <c r="B97" s="9" t="s">
        <v>217</v>
      </c>
      <c r="C97" s="9" t="s">
        <v>218</v>
      </c>
      <c r="D97" s="9" t="s">
        <v>150</v>
      </c>
      <c r="E97" s="10">
        <v>900</v>
      </c>
      <c r="F97" s="11">
        <v>4432.1715000000004</v>
      </c>
      <c r="G97" s="12">
        <v>8.2713000000000005E-3</v>
      </c>
      <c r="H97" s="35">
        <v>7.35</v>
      </c>
    </row>
    <row r="98" spans="1:8" ht="29.1" customHeight="1" x14ac:dyDescent="0.2">
      <c r="A98" s="8">
        <v>38</v>
      </c>
      <c r="B98" s="9" t="s">
        <v>154</v>
      </c>
      <c r="C98" s="9" t="s">
        <v>155</v>
      </c>
      <c r="D98" s="9" t="s">
        <v>128</v>
      </c>
      <c r="E98" s="10">
        <v>800</v>
      </c>
      <c r="F98" s="11">
        <v>3920.7280000000001</v>
      </c>
      <c r="G98" s="12">
        <v>7.3168399999999998E-3</v>
      </c>
      <c r="H98" s="35">
        <v>8.1999999999999993</v>
      </c>
    </row>
    <row r="99" spans="1:8" ht="29.1" customHeight="1" x14ac:dyDescent="0.2">
      <c r="A99" s="8">
        <v>39</v>
      </c>
      <c r="B99" s="9" t="s">
        <v>328</v>
      </c>
      <c r="C99" s="9" t="s">
        <v>329</v>
      </c>
      <c r="D99" s="9" t="s">
        <v>128</v>
      </c>
      <c r="E99" s="10">
        <v>500</v>
      </c>
      <c r="F99" s="11">
        <v>2452.96</v>
      </c>
      <c r="G99" s="12">
        <v>4.5776999999999997E-3</v>
      </c>
      <c r="H99" s="35">
        <v>8.2349999999999994</v>
      </c>
    </row>
    <row r="100" spans="1:8" ht="14.1" customHeight="1" x14ac:dyDescent="0.2">
      <c r="A100" s="1"/>
      <c r="B100" s="1"/>
      <c r="C100" s="2" t="s">
        <v>11</v>
      </c>
      <c r="D100" s="1"/>
      <c r="E100" s="1" t="s">
        <v>12</v>
      </c>
      <c r="F100" s="7">
        <v>264277.56449999998</v>
      </c>
      <c r="G100" s="4">
        <v>0.49319342999999999</v>
      </c>
      <c r="H100" s="35"/>
    </row>
    <row r="101" spans="1:8" ht="14.1" customHeight="1" x14ac:dyDescent="0.2">
      <c r="A101" s="1"/>
      <c r="B101" s="1"/>
      <c r="C101" s="5"/>
      <c r="D101" s="1"/>
      <c r="E101" s="1"/>
      <c r="F101" s="6"/>
      <c r="G101" s="6"/>
      <c r="H101" s="35"/>
    </row>
    <row r="102" spans="1:8" ht="14.1" customHeight="1" x14ac:dyDescent="0.2">
      <c r="A102" s="1"/>
      <c r="B102" s="1"/>
      <c r="C102" s="2" t="s">
        <v>75</v>
      </c>
      <c r="D102" s="1"/>
      <c r="E102" s="1"/>
      <c r="F102" s="6"/>
      <c r="G102" s="6"/>
      <c r="H102" s="35"/>
    </row>
    <row r="103" spans="1:8" ht="17.100000000000001" customHeight="1" x14ac:dyDescent="0.2">
      <c r="A103" s="8">
        <v>1</v>
      </c>
      <c r="B103" s="9" t="s">
        <v>330</v>
      </c>
      <c r="C103" s="9" t="s">
        <v>331</v>
      </c>
      <c r="D103" s="9" t="s">
        <v>65</v>
      </c>
      <c r="E103" s="10">
        <v>25000000</v>
      </c>
      <c r="F103" s="11">
        <v>24768.6</v>
      </c>
      <c r="G103" s="12">
        <v>4.6223029999999998E-2</v>
      </c>
      <c r="H103" s="35">
        <v>6.9595000000000002</v>
      </c>
    </row>
    <row r="104" spans="1:8" ht="17.100000000000001" customHeight="1" x14ac:dyDescent="0.2">
      <c r="A104" s="8">
        <v>2</v>
      </c>
      <c r="B104" s="9" t="s">
        <v>332</v>
      </c>
      <c r="C104" s="9" t="s">
        <v>333</v>
      </c>
      <c r="D104" s="9" t="s">
        <v>65</v>
      </c>
      <c r="E104" s="10">
        <v>20000000</v>
      </c>
      <c r="F104" s="11">
        <v>19975.240000000002</v>
      </c>
      <c r="G104" s="12">
        <v>3.7277690000000002E-2</v>
      </c>
      <c r="H104" s="35">
        <v>6.4649999999999999</v>
      </c>
    </row>
    <row r="105" spans="1:8" ht="17.100000000000001" customHeight="1" x14ac:dyDescent="0.2">
      <c r="A105" s="8">
        <v>3</v>
      </c>
      <c r="B105" s="9" t="s">
        <v>334</v>
      </c>
      <c r="C105" s="9" t="s">
        <v>335</v>
      </c>
      <c r="D105" s="9" t="s">
        <v>65</v>
      </c>
      <c r="E105" s="10">
        <v>20000000</v>
      </c>
      <c r="F105" s="11">
        <v>19658.88</v>
      </c>
      <c r="G105" s="12">
        <v>3.6687299999999999E-2</v>
      </c>
      <c r="H105" s="35">
        <v>6.96</v>
      </c>
    </row>
    <row r="106" spans="1:8" ht="17.100000000000001" customHeight="1" x14ac:dyDescent="0.2">
      <c r="A106" s="8">
        <v>4</v>
      </c>
      <c r="B106" s="9" t="s">
        <v>336</v>
      </c>
      <c r="C106" s="9" t="s">
        <v>337</v>
      </c>
      <c r="D106" s="9" t="s">
        <v>65</v>
      </c>
      <c r="E106" s="10">
        <v>15000000</v>
      </c>
      <c r="F106" s="11">
        <v>14782.29</v>
      </c>
      <c r="G106" s="12">
        <v>2.7586630000000001E-2</v>
      </c>
      <c r="H106" s="35">
        <v>6.9817999999999998</v>
      </c>
    </row>
    <row r="107" spans="1:8" ht="17.100000000000001" customHeight="1" x14ac:dyDescent="0.2">
      <c r="A107" s="8">
        <v>5</v>
      </c>
      <c r="B107" s="9" t="s">
        <v>338</v>
      </c>
      <c r="C107" s="9" t="s">
        <v>339</v>
      </c>
      <c r="D107" s="9" t="s">
        <v>65</v>
      </c>
      <c r="E107" s="10">
        <v>10000000</v>
      </c>
      <c r="F107" s="11">
        <v>9921.7900000000009</v>
      </c>
      <c r="G107" s="12">
        <v>1.851599E-2</v>
      </c>
      <c r="H107" s="35">
        <v>6.85</v>
      </c>
    </row>
    <row r="108" spans="1:8" ht="17.100000000000001" customHeight="1" x14ac:dyDescent="0.2">
      <c r="A108" s="8">
        <v>6</v>
      </c>
      <c r="B108" s="9" t="s">
        <v>340</v>
      </c>
      <c r="C108" s="9" t="s">
        <v>341</v>
      </c>
      <c r="D108" s="9" t="s">
        <v>65</v>
      </c>
      <c r="E108" s="10">
        <v>10000000</v>
      </c>
      <c r="F108" s="11">
        <v>9879.09</v>
      </c>
      <c r="G108" s="12">
        <v>1.8436310000000001E-2</v>
      </c>
      <c r="H108" s="35">
        <v>6.98</v>
      </c>
    </row>
    <row r="109" spans="1:8" ht="17.100000000000001" customHeight="1" x14ac:dyDescent="0.2">
      <c r="A109" s="8">
        <v>7</v>
      </c>
      <c r="B109" s="9" t="s">
        <v>342</v>
      </c>
      <c r="C109" s="9" t="s">
        <v>343</v>
      </c>
      <c r="D109" s="9" t="s">
        <v>65</v>
      </c>
      <c r="E109" s="10">
        <v>10000000</v>
      </c>
      <c r="F109" s="11">
        <v>9853.0300000000007</v>
      </c>
      <c r="G109" s="12">
        <v>1.8387669999999998E-2</v>
      </c>
      <c r="H109" s="35">
        <v>6.98</v>
      </c>
    </row>
    <row r="110" spans="1:8" ht="17.100000000000001" customHeight="1" x14ac:dyDescent="0.2">
      <c r="A110" s="8">
        <v>8</v>
      </c>
      <c r="B110" s="9" t="s">
        <v>344</v>
      </c>
      <c r="C110" s="9" t="s">
        <v>345</v>
      </c>
      <c r="D110" s="9" t="s">
        <v>65</v>
      </c>
      <c r="E110" s="10">
        <v>5000000</v>
      </c>
      <c r="F110" s="11">
        <v>4933.9549999999999</v>
      </c>
      <c r="G110" s="12">
        <v>9.2077200000000008E-3</v>
      </c>
      <c r="H110" s="35">
        <v>6.98</v>
      </c>
    </row>
    <row r="111" spans="1:8" ht="14.1" customHeight="1" x14ac:dyDescent="0.2">
      <c r="A111" s="1"/>
      <c r="B111" s="1"/>
      <c r="C111" s="2" t="s">
        <v>11</v>
      </c>
      <c r="D111" s="1"/>
      <c r="E111" s="1" t="s">
        <v>12</v>
      </c>
      <c r="F111" s="7">
        <v>113772.875</v>
      </c>
      <c r="G111" s="4">
        <v>0.21232234</v>
      </c>
      <c r="H111" s="35"/>
    </row>
    <row r="112" spans="1:8" ht="14.1" customHeight="1" x14ac:dyDescent="0.2">
      <c r="A112" s="1"/>
      <c r="B112" s="1"/>
      <c r="C112" s="5"/>
      <c r="D112" s="1"/>
      <c r="E112" s="1"/>
      <c r="F112" s="6"/>
      <c r="G112" s="6"/>
      <c r="H112" s="35"/>
    </row>
    <row r="113" spans="1:8" ht="14.1" customHeight="1" x14ac:dyDescent="0.2">
      <c r="A113" s="1"/>
      <c r="B113" s="1"/>
      <c r="C113" s="2" t="s">
        <v>76</v>
      </c>
      <c r="D113" s="1"/>
      <c r="E113" s="1"/>
      <c r="F113" s="6"/>
      <c r="G113" s="6"/>
      <c r="H113" s="35"/>
    </row>
    <row r="114" spans="1:8" ht="17.100000000000001" customHeight="1" x14ac:dyDescent="0.2">
      <c r="A114" s="8">
        <v>1</v>
      </c>
      <c r="B114" s="9"/>
      <c r="C114" s="9" t="s">
        <v>77</v>
      </c>
      <c r="D114" s="9"/>
      <c r="E114" s="13"/>
      <c r="F114" s="11">
        <v>37441.801289142</v>
      </c>
      <c r="G114" s="12">
        <v>6.9873690000000002E-2</v>
      </c>
      <c r="H114" s="63" t="s">
        <v>482</v>
      </c>
    </row>
    <row r="115" spans="1:8" ht="14.1" customHeight="1" x14ac:dyDescent="0.2">
      <c r="A115" s="1"/>
      <c r="B115" s="1"/>
      <c r="C115" s="2" t="s">
        <v>11</v>
      </c>
      <c r="D115" s="1"/>
      <c r="E115" s="1" t="s">
        <v>12</v>
      </c>
      <c r="F115" s="7">
        <v>37441.801289142</v>
      </c>
      <c r="G115" s="4">
        <v>6.9873690000000002E-2</v>
      </c>
      <c r="H115" s="35"/>
    </row>
    <row r="116" spans="1:8" ht="14.1" customHeight="1" x14ac:dyDescent="0.2">
      <c r="A116" s="1"/>
      <c r="B116" s="1"/>
      <c r="C116" s="5"/>
      <c r="D116" s="1"/>
      <c r="E116" s="1"/>
      <c r="F116" s="6"/>
      <c r="G116" s="6"/>
      <c r="H116" s="35"/>
    </row>
    <row r="117" spans="1:8" ht="14.1" customHeight="1" x14ac:dyDescent="0.2">
      <c r="A117" s="1"/>
      <c r="B117" s="1"/>
      <c r="C117" s="2" t="s">
        <v>78</v>
      </c>
      <c r="D117" s="1"/>
      <c r="E117" s="1"/>
      <c r="F117" s="7">
        <v>562062.00828914205</v>
      </c>
      <c r="G117" s="4">
        <v>1.0489171900000001</v>
      </c>
      <c r="H117" s="35"/>
    </row>
    <row r="118" spans="1:8" ht="14.1" customHeight="1" x14ac:dyDescent="0.2">
      <c r="A118" s="1"/>
      <c r="B118" s="1"/>
      <c r="C118" s="6"/>
      <c r="D118" s="1"/>
      <c r="E118" s="1"/>
      <c r="F118" s="1"/>
      <c r="G118" s="1"/>
      <c r="H118" s="35"/>
    </row>
    <row r="119" spans="1:8" ht="14.1" customHeight="1" x14ac:dyDescent="0.2">
      <c r="A119" s="1"/>
      <c r="B119" s="1"/>
      <c r="C119" s="2" t="s">
        <v>79</v>
      </c>
      <c r="D119" s="1"/>
      <c r="E119" s="1"/>
      <c r="F119" s="1"/>
      <c r="G119" s="1"/>
      <c r="H119" s="35"/>
    </row>
    <row r="120" spans="1:8" ht="14.1" customHeight="1" x14ac:dyDescent="0.2">
      <c r="A120" s="1"/>
      <c r="B120" s="1"/>
      <c r="C120" s="2" t="s">
        <v>80</v>
      </c>
      <c r="D120" s="1"/>
      <c r="E120" s="1"/>
      <c r="F120" s="1"/>
      <c r="G120" s="1"/>
      <c r="H120" s="35"/>
    </row>
    <row r="121" spans="1:8" ht="14.1" customHeight="1" x14ac:dyDescent="0.2">
      <c r="A121" s="1"/>
      <c r="B121" s="1"/>
      <c r="C121" s="2" t="s">
        <v>11</v>
      </c>
      <c r="D121" s="1"/>
      <c r="E121" s="1" t="s">
        <v>12</v>
      </c>
      <c r="F121" s="3" t="s">
        <v>13</v>
      </c>
      <c r="G121" s="4">
        <v>0</v>
      </c>
      <c r="H121" s="35"/>
    </row>
    <row r="122" spans="1:8" ht="14.1" customHeight="1" x14ac:dyDescent="0.2">
      <c r="A122" s="1"/>
      <c r="B122" s="1"/>
      <c r="C122" s="5"/>
      <c r="D122" s="1"/>
      <c r="E122" s="1"/>
      <c r="F122" s="6"/>
      <c r="G122" s="6"/>
      <c r="H122" s="35"/>
    </row>
    <row r="123" spans="1:8" ht="14.1" customHeight="1" x14ac:dyDescent="0.2">
      <c r="A123" s="1"/>
      <c r="B123" s="1"/>
      <c r="C123" s="2" t="s">
        <v>83</v>
      </c>
      <c r="D123" s="1"/>
      <c r="E123" s="1"/>
      <c r="F123" s="1"/>
      <c r="G123" s="1"/>
      <c r="H123" s="35"/>
    </row>
    <row r="124" spans="1:8" ht="14.1" customHeight="1" x14ac:dyDescent="0.2">
      <c r="A124" s="1"/>
      <c r="B124" s="1"/>
      <c r="C124" s="2" t="s">
        <v>84</v>
      </c>
      <c r="D124" s="1"/>
      <c r="E124" s="1"/>
      <c r="F124" s="1"/>
      <c r="G124" s="1"/>
      <c r="H124" s="35"/>
    </row>
    <row r="125" spans="1:8" ht="14.1" customHeight="1" x14ac:dyDescent="0.2">
      <c r="A125" s="1"/>
      <c r="B125" s="1"/>
      <c r="C125" s="2" t="s">
        <v>11</v>
      </c>
      <c r="D125" s="1"/>
      <c r="E125" s="1" t="s">
        <v>12</v>
      </c>
      <c r="F125" s="3" t="s">
        <v>13</v>
      </c>
      <c r="G125" s="4">
        <v>0</v>
      </c>
      <c r="H125" s="35"/>
    </row>
    <row r="126" spans="1:8" ht="14.1" customHeight="1" x14ac:dyDescent="0.2">
      <c r="A126" s="1"/>
      <c r="B126" s="1"/>
      <c r="C126" s="5"/>
      <c r="D126" s="1"/>
      <c r="E126" s="1"/>
      <c r="F126" s="6"/>
      <c r="G126" s="6"/>
      <c r="H126" s="35"/>
    </row>
    <row r="127" spans="1:8" ht="24" customHeight="1" x14ac:dyDescent="0.2">
      <c r="A127" s="1"/>
      <c r="B127" s="1"/>
      <c r="C127" s="2" t="s">
        <v>85</v>
      </c>
      <c r="D127" s="1"/>
      <c r="E127" s="1"/>
      <c r="F127" s="6"/>
      <c r="G127" s="6"/>
      <c r="H127" s="35"/>
    </row>
    <row r="128" spans="1:8" ht="14.1" customHeight="1" x14ac:dyDescent="0.2">
      <c r="A128" s="1"/>
      <c r="B128" s="1"/>
      <c r="C128" s="2" t="s">
        <v>11</v>
      </c>
      <c r="D128" s="1"/>
      <c r="E128" s="1" t="s">
        <v>12</v>
      </c>
      <c r="F128" s="3" t="s">
        <v>13</v>
      </c>
      <c r="G128" s="4">
        <v>0</v>
      </c>
      <c r="H128" s="35"/>
    </row>
    <row r="129" spans="1:18" ht="14.1" customHeight="1" x14ac:dyDescent="0.2">
      <c r="A129" s="1"/>
      <c r="B129" s="1"/>
      <c r="C129" s="2"/>
      <c r="D129" s="1"/>
      <c r="E129" s="1"/>
      <c r="F129" s="3"/>
      <c r="G129" s="4"/>
      <c r="H129" s="35"/>
    </row>
    <row r="130" spans="1:18" x14ac:dyDescent="0.2">
      <c r="A130" s="50"/>
      <c r="B130" s="50"/>
      <c r="C130" s="51" t="s">
        <v>481</v>
      </c>
      <c r="D130" s="50"/>
      <c r="E130" s="50"/>
      <c r="F130" s="52"/>
      <c r="G130" s="52"/>
      <c r="H130" s="53"/>
      <c r="K130" s="47"/>
      <c r="L130" s="47"/>
      <c r="M130" s="47"/>
      <c r="N130" s="47"/>
      <c r="O130" s="47"/>
      <c r="P130" s="54"/>
      <c r="Q130" s="54"/>
      <c r="R130" s="54"/>
    </row>
    <row r="131" spans="1:18" ht="29.1" customHeight="1" x14ac:dyDescent="0.2">
      <c r="A131" s="8">
        <v>1</v>
      </c>
      <c r="B131" s="9" t="s">
        <v>81</v>
      </c>
      <c r="C131" s="9" t="s">
        <v>82</v>
      </c>
      <c r="D131" s="9"/>
      <c r="E131" s="14">
        <v>7968.2974000000004</v>
      </c>
      <c r="F131" s="11">
        <v>815.34210287099995</v>
      </c>
      <c r="G131" s="12">
        <v>1.52159E-3</v>
      </c>
      <c r="H131" s="35"/>
    </row>
    <row r="132" spans="1:18" x14ac:dyDescent="0.2">
      <c r="A132" s="58"/>
      <c r="B132" s="58"/>
      <c r="C132" s="59" t="s">
        <v>11</v>
      </c>
      <c r="D132" s="58"/>
      <c r="E132" s="58" t="s">
        <v>12</v>
      </c>
      <c r="F132" s="60">
        <f>SUM(F131)</f>
        <v>815.34210287099995</v>
      </c>
      <c r="G132" s="61">
        <f>SUM(G131)</f>
        <v>1.52159E-3</v>
      </c>
      <c r="H132" s="53"/>
      <c r="K132" s="47"/>
      <c r="L132" s="47"/>
      <c r="M132" s="47"/>
      <c r="N132" s="47"/>
      <c r="O132" s="47"/>
      <c r="P132" s="54"/>
      <c r="Q132" s="54"/>
      <c r="R132" s="54"/>
    </row>
    <row r="133" spans="1:18" ht="14.1" customHeight="1" x14ac:dyDescent="0.2">
      <c r="A133" s="1"/>
      <c r="B133" s="9"/>
      <c r="C133" s="9"/>
      <c r="D133" s="2"/>
      <c r="E133" s="1"/>
      <c r="F133" s="9"/>
      <c r="G133" s="13"/>
      <c r="H133" s="35"/>
    </row>
    <row r="134" spans="1:18" ht="18" customHeight="1" x14ac:dyDescent="0.2">
      <c r="A134" s="13"/>
      <c r="B134" s="9"/>
      <c r="C134" s="9" t="s">
        <v>86</v>
      </c>
      <c r="D134" s="9"/>
      <c r="E134" s="13"/>
      <c r="F134" s="11">
        <v>-27027.599496012957</v>
      </c>
      <c r="G134" s="12">
        <v>-5.0438759999999999E-2</v>
      </c>
      <c r="H134" s="35"/>
    </row>
    <row r="135" spans="1:18" ht="14.1" customHeight="1" x14ac:dyDescent="0.2">
      <c r="A135" s="5"/>
      <c r="B135" s="5"/>
      <c r="C135" s="2" t="s">
        <v>87</v>
      </c>
      <c r="D135" s="6"/>
      <c r="E135" s="6"/>
      <c r="F135" s="7">
        <v>535849.75089600007</v>
      </c>
      <c r="G135" s="15">
        <v>1.0000000200000001</v>
      </c>
      <c r="H135" s="37"/>
    </row>
    <row r="136" spans="1:18" ht="14.1" customHeight="1" x14ac:dyDescent="0.2">
      <c r="A136" s="16"/>
      <c r="B136" s="16"/>
      <c r="C136" s="16"/>
      <c r="D136" s="17"/>
      <c r="E136" s="17"/>
      <c r="F136" s="17"/>
      <c r="G136" s="17"/>
      <c r="H136" s="38"/>
    </row>
    <row r="137" spans="1:18" ht="12.75" customHeight="1" x14ac:dyDescent="0.2">
      <c r="A137" s="44"/>
      <c r="B137" s="131" t="s">
        <v>477</v>
      </c>
      <c r="C137" s="131"/>
      <c r="D137" s="131"/>
      <c r="E137" s="131"/>
      <c r="F137" s="131"/>
      <c r="G137" s="131"/>
      <c r="H137" s="131"/>
    </row>
    <row r="138" spans="1:18" ht="12.75" customHeight="1" x14ac:dyDescent="0.2">
      <c r="A138" s="44"/>
      <c r="B138" s="131" t="s">
        <v>478</v>
      </c>
      <c r="C138" s="131"/>
      <c r="D138" s="131"/>
      <c r="E138" s="131"/>
      <c r="F138" s="131"/>
      <c r="G138" s="131"/>
      <c r="H138" s="131"/>
    </row>
    <row r="139" spans="1:18" ht="12.75" customHeight="1" x14ac:dyDescent="0.2">
      <c r="A139" s="44"/>
      <c r="B139" s="131" t="s">
        <v>479</v>
      </c>
      <c r="C139" s="131"/>
      <c r="D139" s="131"/>
      <c r="E139" s="131"/>
      <c r="F139" s="131"/>
      <c r="G139" s="131"/>
      <c r="H139" s="131"/>
    </row>
    <row r="140" spans="1:18" ht="12.75" customHeight="1" x14ac:dyDescent="0.2">
      <c r="A140" s="44"/>
      <c r="B140" s="149" t="s">
        <v>586</v>
      </c>
      <c r="C140" s="131"/>
      <c r="D140" s="131"/>
      <c r="E140" s="131"/>
      <c r="F140" s="131"/>
      <c r="G140" s="131"/>
      <c r="H140" s="131"/>
    </row>
    <row r="141" spans="1:18" ht="14.1" customHeight="1" x14ac:dyDescent="0.2">
      <c r="A141" s="18"/>
      <c r="B141" s="18"/>
      <c r="C141" s="18"/>
      <c r="D141" s="20"/>
      <c r="E141" s="20"/>
      <c r="F141" s="20"/>
      <c r="G141" s="20"/>
      <c r="H141" s="39"/>
    </row>
    <row r="142" spans="1:18" ht="14.1" customHeight="1" x14ac:dyDescent="0.2">
      <c r="A142" s="18"/>
      <c r="B142" s="126" t="s">
        <v>88</v>
      </c>
      <c r="C142" s="127"/>
      <c r="D142" s="128"/>
      <c r="E142" s="21"/>
      <c r="F142" s="20"/>
      <c r="G142" s="20"/>
      <c r="H142" s="39"/>
    </row>
    <row r="143" spans="1:18" ht="29.1" customHeight="1" x14ac:dyDescent="0.2">
      <c r="A143" s="18"/>
      <c r="B143" s="129" t="s">
        <v>89</v>
      </c>
      <c r="C143" s="130"/>
      <c r="D143" s="124" t="s">
        <v>587</v>
      </c>
      <c r="E143" s="21"/>
      <c r="F143" s="20"/>
      <c r="G143" s="20"/>
      <c r="H143" s="39"/>
    </row>
    <row r="144" spans="1:18" ht="17.100000000000001" customHeight="1" x14ac:dyDescent="0.2">
      <c r="A144" s="18"/>
      <c r="B144" s="129" t="s">
        <v>91</v>
      </c>
      <c r="C144" s="130"/>
      <c r="D144" s="2" t="s">
        <v>90</v>
      </c>
      <c r="E144" s="21"/>
      <c r="F144" s="20"/>
      <c r="G144" s="20"/>
      <c r="H144" s="39"/>
    </row>
    <row r="145" spans="1:8" ht="17.100000000000001" customHeight="1" x14ac:dyDescent="0.2">
      <c r="A145" s="18"/>
      <c r="B145" s="129" t="s">
        <v>92</v>
      </c>
      <c r="C145" s="130"/>
      <c r="D145" s="6" t="s">
        <v>12</v>
      </c>
      <c r="E145" s="21"/>
      <c r="F145" s="20"/>
      <c r="G145" s="20"/>
      <c r="H145" s="39"/>
    </row>
    <row r="146" spans="1:8" x14ac:dyDescent="0.2">
      <c r="A146" s="22"/>
      <c r="B146" s="23" t="s">
        <v>12</v>
      </c>
      <c r="C146" s="23" t="s">
        <v>527</v>
      </c>
      <c r="D146" s="23" t="s">
        <v>93</v>
      </c>
      <c r="E146" s="22"/>
      <c r="F146" s="22"/>
      <c r="G146" s="22"/>
      <c r="H146" s="40"/>
    </row>
    <row r="147" spans="1:8" ht="18" customHeight="1" x14ac:dyDescent="0.2">
      <c r="A147" s="22"/>
      <c r="B147" s="24" t="s">
        <v>94</v>
      </c>
      <c r="C147" s="23" t="s">
        <v>95</v>
      </c>
      <c r="D147" s="23" t="s">
        <v>96</v>
      </c>
      <c r="E147" s="22"/>
      <c r="F147" s="22"/>
      <c r="G147" s="22"/>
      <c r="H147" s="40"/>
    </row>
    <row r="148" spans="1:8" ht="17.100000000000001" customHeight="1" x14ac:dyDescent="0.2">
      <c r="A148" s="22"/>
      <c r="B148" s="9" t="s">
        <v>97</v>
      </c>
      <c r="C148" s="25">
        <v>2145.8368999999998</v>
      </c>
      <c r="D148" s="25">
        <v>2151.9526999999998</v>
      </c>
      <c r="E148" s="22"/>
      <c r="F148" s="19"/>
      <c r="G148" s="26"/>
      <c r="H148" s="41"/>
    </row>
    <row r="149" spans="1:8" ht="17.100000000000001" customHeight="1" x14ac:dyDescent="0.2">
      <c r="A149" s="22"/>
      <c r="B149" s="9" t="s">
        <v>129</v>
      </c>
      <c r="C149" s="25">
        <v>1180.019</v>
      </c>
      <c r="D149" s="25">
        <v>1183.3815999999999</v>
      </c>
      <c r="E149" s="22"/>
      <c r="F149" s="19"/>
      <c r="G149" s="26"/>
      <c r="H149" s="41"/>
    </row>
    <row r="150" spans="1:8" ht="29.1" customHeight="1" x14ac:dyDescent="0.2">
      <c r="A150" s="22"/>
      <c r="B150" s="9" t="s">
        <v>540</v>
      </c>
      <c r="C150" s="25">
        <v>1000.6367</v>
      </c>
      <c r="D150" s="25">
        <v>1000.6367</v>
      </c>
      <c r="E150" s="22"/>
      <c r="F150" s="19"/>
      <c r="G150" s="26"/>
      <c r="H150" s="41"/>
    </row>
    <row r="151" spans="1:8" ht="29.1" customHeight="1" x14ac:dyDescent="0.2">
      <c r="A151" s="22"/>
      <c r="B151" s="9" t="s">
        <v>541</v>
      </c>
      <c r="C151" s="25">
        <v>1007.7741</v>
      </c>
      <c r="D151" s="25">
        <v>1008.0644</v>
      </c>
      <c r="E151" s="22"/>
      <c r="F151" s="19"/>
      <c r="G151" s="26"/>
      <c r="H151" s="41"/>
    </row>
    <row r="152" spans="1:8" ht="29.1" customHeight="1" x14ac:dyDescent="0.2">
      <c r="A152" s="22"/>
      <c r="B152" s="9" t="s">
        <v>546</v>
      </c>
      <c r="C152" s="25">
        <v>1024.9323999999999</v>
      </c>
      <c r="D152" s="25">
        <v>1025.2273</v>
      </c>
      <c r="E152" s="22"/>
      <c r="F152" s="19"/>
      <c r="G152" s="26"/>
      <c r="H152" s="41"/>
    </row>
    <row r="153" spans="1:8" ht="29.1" customHeight="1" x14ac:dyDescent="0.2">
      <c r="A153" s="22"/>
      <c r="B153" s="9" t="s">
        <v>532</v>
      </c>
      <c r="C153" s="25">
        <v>1026.6775</v>
      </c>
      <c r="D153" s="25">
        <v>1029.6035999999999</v>
      </c>
      <c r="E153" s="22"/>
      <c r="F153" s="19"/>
      <c r="G153" s="26"/>
      <c r="H153" s="41"/>
    </row>
    <row r="154" spans="1:8" ht="29.1" customHeight="1" x14ac:dyDescent="0.2">
      <c r="A154" s="22"/>
      <c r="B154" s="9" t="s">
        <v>533</v>
      </c>
      <c r="C154" s="25">
        <v>1107.1486</v>
      </c>
      <c r="D154" s="25">
        <v>1110.3036999999999</v>
      </c>
      <c r="E154" s="22"/>
      <c r="F154" s="19"/>
      <c r="G154" s="26"/>
      <c r="H154" s="41"/>
    </row>
    <row r="155" spans="1:8" ht="17.100000000000001" customHeight="1" x14ac:dyDescent="0.2">
      <c r="A155" s="22"/>
      <c r="B155" s="9" t="s">
        <v>98</v>
      </c>
      <c r="C155" s="25">
        <v>2125.7163</v>
      </c>
      <c r="D155" s="25">
        <v>2131.652</v>
      </c>
      <c r="E155" s="22"/>
      <c r="F155" s="19"/>
      <c r="G155" s="26"/>
      <c r="H155" s="41"/>
    </row>
    <row r="156" spans="1:8" ht="17.100000000000001" customHeight="1" x14ac:dyDescent="0.2">
      <c r="A156" s="22"/>
      <c r="B156" s="9" t="s">
        <v>131</v>
      </c>
      <c r="C156" s="25">
        <v>1176.6479999999999</v>
      </c>
      <c r="D156" s="25">
        <v>1179.9337</v>
      </c>
      <c r="E156" s="22"/>
      <c r="F156" s="19"/>
      <c r="G156" s="26"/>
      <c r="H156" s="41"/>
    </row>
    <row r="157" spans="1:8" ht="29.1" customHeight="1" x14ac:dyDescent="0.2">
      <c r="A157" s="22"/>
      <c r="B157" s="9" t="s">
        <v>543</v>
      </c>
      <c r="C157" s="25">
        <v>1000.8893</v>
      </c>
      <c r="D157" s="25">
        <v>1000.8893</v>
      </c>
      <c r="E157" s="22"/>
      <c r="F157" s="19"/>
      <c r="G157" s="26"/>
      <c r="H157" s="41"/>
    </row>
    <row r="158" spans="1:8" ht="29.1" customHeight="1" x14ac:dyDescent="0.2">
      <c r="A158" s="22"/>
      <c r="B158" s="9" t="s">
        <v>544</v>
      </c>
      <c r="C158" s="25">
        <v>1007.2993</v>
      </c>
      <c r="D158" s="25">
        <v>1007.5863000000001</v>
      </c>
      <c r="E158" s="22"/>
      <c r="F158" s="19"/>
      <c r="G158" s="26"/>
      <c r="H158" s="41"/>
    </row>
    <row r="159" spans="1:8" ht="29.1" customHeight="1" x14ac:dyDescent="0.2">
      <c r="A159" s="22"/>
      <c r="B159" s="9" t="s">
        <v>545</v>
      </c>
      <c r="C159" s="25">
        <v>1024.8625999999999</v>
      </c>
      <c r="D159" s="25">
        <v>1025.1541999999999</v>
      </c>
      <c r="E159" s="22"/>
      <c r="F159" s="19"/>
      <c r="G159" s="26"/>
      <c r="H159" s="41"/>
    </row>
    <row r="160" spans="1:8" ht="29.1" customHeight="1" x14ac:dyDescent="0.2">
      <c r="A160" s="22"/>
      <c r="B160" s="9" t="s">
        <v>536</v>
      </c>
      <c r="C160" s="25">
        <v>1026.5678</v>
      </c>
      <c r="D160" s="25">
        <v>1029.4345000000001</v>
      </c>
      <c r="E160" s="22"/>
      <c r="F160" s="19"/>
      <c r="G160" s="26"/>
      <c r="H160" s="41"/>
    </row>
    <row r="161" spans="1:15" ht="29.1" customHeight="1" x14ac:dyDescent="0.2">
      <c r="A161" s="22"/>
      <c r="B161" s="9" t="s">
        <v>531</v>
      </c>
      <c r="C161" s="25">
        <v>1104.2523000000001</v>
      </c>
      <c r="D161" s="25">
        <v>1107.3358000000001</v>
      </c>
      <c r="E161" s="22"/>
      <c r="F161" s="19"/>
      <c r="G161" s="26"/>
      <c r="H161" s="41"/>
    </row>
    <row r="162" spans="1:15" ht="14.1" customHeight="1" x14ac:dyDescent="0.2">
      <c r="A162" s="22"/>
      <c r="B162" s="22"/>
      <c r="C162" s="22"/>
      <c r="D162" s="22"/>
      <c r="E162" s="22"/>
      <c r="F162" s="22"/>
      <c r="G162" s="22"/>
      <c r="H162" s="40"/>
    </row>
    <row r="163" spans="1:15" ht="17.100000000000001" customHeight="1" x14ac:dyDescent="0.2">
      <c r="A163" s="22"/>
      <c r="B163" s="129" t="s">
        <v>539</v>
      </c>
      <c r="C163" s="130"/>
      <c r="D163" s="2" t="s">
        <v>12</v>
      </c>
      <c r="E163" s="22"/>
      <c r="F163" s="22"/>
      <c r="G163" s="22"/>
      <c r="H163" s="40"/>
    </row>
    <row r="164" spans="1:15" ht="18" customHeight="1" x14ac:dyDescent="0.2">
      <c r="A164" s="22"/>
      <c r="B164" s="28" t="s">
        <v>94</v>
      </c>
      <c r="C164" s="29" t="s">
        <v>132</v>
      </c>
      <c r="D164" s="29" t="s">
        <v>133</v>
      </c>
      <c r="E164" s="22"/>
      <c r="F164" s="22"/>
      <c r="G164" s="22"/>
      <c r="H164" s="40"/>
    </row>
    <row r="165" spans="1:15" ht="29.1" customHeight="1" x14ac:dyDescent="0.2">
      <c r="A165" s="22"/>
      <c r="B165" s="9" t="s">
        <v>540</v>
      </c>
      <c r="C165" s="30">
        <v>2.8490139999999999</v>
      </c>
      <c r="D165" s="30">
        <v>2.8490139999999999</v>
      </c>
      <c r="E165" s="22"/>
      <c r="F165" s="19"/>
      <c r="G165" s="26"/>
      <c r="H165" s="41"/>
    </row>
    <row r="166" spans="1:15" ht="29.1" customHeight="1" x14ac:dyDescent="0.2">
      <c r="A166" s="22"/>
      <c r="B166" s="9" t="s">
        <v>541</v>
      </c>
      <c r="C166" s="30">
        <v>2.5789</v>
      </c>
      <c r="D166" s="13" t="s">
        <v>134</v>
      </c>
      <c r="E166" s="22"/>
      <c r="F166" s="19"/>
      <c r="G166" s="26"/>
      <c r="H166" s="41"/>
    </row>
    <row r="167" spans="1:15" ht="29.1" customHeight="1" x14ac:dyDescent="0.2">
      <c r="A167" s="22"/>
      <c r="B167" s="9" t="s">
        <v>546</v>
      </c>
      <c r="C167" s="30">
        <v>2.6225999999999998</v>
      </c>
      <c r="D167" s="13" t="s">
        <v>134</v>
      </c>
      <c r="E167" s="22"/>
      <c r="F167" s="19"/>
      <c r="G167" s="26"/>
      <c r="H167" s="41"/>
    </row>
    <row r="168" spans="1:15" ht="29.1" customHeight="1" x14ac:dyDescent="0.2">
      <c r="A168" s="22"/>
      <c r="B168" s="9" t="s">
        <v>543</v>
      </c>
      <c r="C168" s="30">
        <v>2.7920219999999998</v>
      </c>
      <c r="D168" s="30">
        <v>2.7920219999999998</v>
      </c>
      <c r="E168" s="22"/>
      <c r="F168" s="19"/>
      <c r="G168" s="26"/>
      <c r="H168" s="41"/>
    </row>
    <row r="169" spans="1:15" ht="29.1" customHeight="1" x14ac:dyDescent="0.2">
      <c r="A169" s="22"/>
      <c r="B169" s="9" t="s">
        <v>544</v>
      </c>
      <c r="C169" s="30">
        <v>2.5230999999999999</v>
      </c>
      <c r="D169" s="30">
        <v>2.5230999999999999</v>
      </c>
      <c r="E169" s="22"/>
      <c r="F169" s="19"/>
      <c r="G169" s="26"/>
      <c r="H169" s="41"/>
    </row>
    <row r="170" spans="1:15" ht="29.1" customHeight="1" x14ac:dyDescent="0.2">
      <c r="A170" s="22"/>
      <c r="B170" s="9" t="s">
        <v>545</v>
      </c>
      <c r="C170" s="30">
        <v>2.5682</v>
      </c>
      <c r="D170" s="13" t="s">
        <v>134</v>
      </c>
      <c r="E170" s="22"/>
      <c r="F170" s="19"/>
      <c r="G170" s="26"/>
      <c r="H170" s="41"/>
    </row>
    <row r="171" spans="1:15" ht="14.1" customHeight="1" x14ac:dyDescent="0.2">
      <c r="A171" s="22"/>
      <c r="B171" s="31"/>
      <c r="C171" s="31"/>
      <c r="D171" s="32"/>
      <c r="E171" s="22"/>
      <c r="F171" s="19"/>
      <c r="G171" s="26"/>
      <c r="H171" s="41"/>
    </row>
    <row r="172" spans="1:15" s="71" customFormat="1" ht="17.100000000000001" customHeight="1" x14ac:dyDescent="0.2">
      <c r="A172" s="69"/>
      <c r="B172" s="132" t="s">
        <v>496</v>
      </c>
      <c r="C172" s="133"/>
      <c r="D172" s="51" t="s">
        <v>90</v>
      </c>
      <c r="E172" s="69"/>
      <c r="F172" s="69"/>
      <c r="G172" s="69"/>
      <c r="I172"/>
      <c r="J172" s="46"/>
      <c r="K172" s="47"/>
      <c r="L172" s="47"/>
      <c r="M172" s="47"/>
      <c r="N172" s="47"/>
      <c r="O172" s="79"/>
    </row>
    <row r="173" spans="1:15" s="71" customFormat="1" ht="29.1" customHeight="1" x14ac:dyDescent="0.2">
      <c r="A173" s="69"/>
      <c r="B173" s="132" t="s">
        <v>497</v>
      </c>
      <c r="C173" s="133"/>
      <c r="D173" s="51" t="s">
        <v>90</v>
      </c>
      <c r="E173" s="70"/>
      <c r="F173" s="69"/>
      <c r="G173" s="69"/>
      <c r="I173"/>
      <c r="J173" s="46"/>
      <c r="K173" s="47"/>
      <c r="L173" s="47"/>
      <c r="M173" s="47"/>
      <c r="N173" s="47"/>
      <c r="O173" s="79"/>
    </row>
    <row r="174" spans="1:15" s="71" customFormat="1" ht="29.1" customHeight="1" x14ac:dyDescent="0.2">
      <c r="A174" s="69"/>
      <c r="B174" s="132" t="s">
        <v>498</v>
      </c>
      <c r="C174" s="133"/>
      <c r="D174" s="51" t="s">
        <v>90</v>
      </c>
      <c r="E174" s="70"/>
      <c r="F174" s="69"/>
      <c r="G174" s="69"/>
      <c r="I174"/>
      <c r="J174" s="46"/>
      <c r="K174" s="47"/>
      <c r="L174" s="47"/>
      <c r="M174" s="47"/>
      <c r="N174" s="47"/>
      <c r="O174"/>
    </row>
    <row r="175" spans="1:15" s="71" customFormat="1" ht="17.100000000000001" customHeight="1" x14ac:dyDescent="0.2">
      <c r="A175" s="69"/>
      <c r="B175" s="132" t="s">
        <v>499</v>
      </c>
      <c r="C175" s="133"/>
      <c r="D175" s="51" t="s">
        <v>90</v>
      </c>
      <c r="E175" s="70"/>
      <c r="F175" s="69"/>
      <c r="G175" s="69"/>
      <c r="I175"/>
      <c r="J175" s="46"/>
      <c r="K175" s="47"/>
      <c r="L175" s="47"/>
      <c r="M175" s="47"/>
      <c r="N175" s="47"/>
      <c r="O175"/>
    </row>
    <row r="176" spans="1:15" s="71" customFormat="1" x14ac:dyDescent="0.2">
      <c r="I176"/>
      <c r="J176" s="46"/>
      <c r="K176" s="47"/>
      <c r="L176" s="47"/>
      <c r="M176" s="47"/>
      <c r="N176" s="47"/>
      <c r="O176"/>
    </row>
    <row r="177" spans="2:18" s="71" customFormat="1" x14ac:dyDescent="0.2">
      <c r="B177" s="82" t="s">
        <v>524</v>
      </c>
      <c r="C177" s="82"/>
      <c r="D177" s="82"/>
      <c r="E177" s="82"/>
      <c r="F177" s="82"/>
      <c r="G177" s="82"/>
      <c r="I177"/>
      <c r="J177" s="46"/>
      <c r="K177" s="47"/>
      <c r="L177" s="47"/>
      <c r="M177" s="47"/>
      <c r="N177" s="47"/>
      <c r="O177"/>
    </row>
    <row r="178" spans="2:18" s="71" customFormat="1" x14ac:dyDescent="0.2">
      <c r="B178" s="82"/>
      <c r="C178" s="82"/>
      <c r="D178" s="82"/>
      <c r="E178" s="82"/>
      <c r="F178" s="82"/>
      <c r="G178" s="82"/>
      <c r="I178"/>
      <c r="J178" s="46"/>
      <c r="K178" s="47"/>
      <c r="L178" s="47"/>
      <c r="M178" s="47"/>
      <c r="N178" s="47"/>
      <c r="O178"/>
    </row>
    <row r="179" spans="2:18" s="71" customFormat="1" ht="63.75" x14ac:dyDescent="0.2">
      <c r="B179" s="85" t="s">
        <v>501</v>
      </c>
      <c r="C179" s="85" t="s">
        <v>500</v>
      </c>
      <c r="D179" s="85" t="s">
        <v>507</v>
      </c>
      <c r="E179" s="85" t="s">
        <v>508</v>
      </c>
      <c r="F179" s="85" t="s">
        <v>504</v>
      </c>
      <c r="I179"/>
      <c r="J179" s="46"/>
      <c r="K179" s="47"/>
      <c r="L179" s="47"/>
      <c r="M179" s="47"/>
      <c r="N179" s="47"/>
      <c r="O179"/>
    </row>
    <row r="180" spans="2:18" s="71" customFormat="1" ht="25.5" x14ac:dyDescent="0.2">
      <c r="B180" s="73" t="s">
        <v>506</v>
      </c>
      <c r="C180" s="87" t="s">
        <v>505</v>
      </c>
      <c r="D180" s="92">
        <v>0</v>
      </c>
      <c r="E180" s="93">
        <v>0</v>
      </c>
      <c r="F180" s="90">
        <v>5650</v>
      </c>
      <c r="I180"/>
      <c r="J180" s="46"/>
      <c r="K180" s="47"/>
      <c r="L180" s="47"/>
      <c r="M180" s="47"/>
      <c r="N180" s="47"/>
      <c r="O180"/>
      <c r="R180"/>
    </row>
    <row r="181" spans="2:18" s="71" customFormat="1" x14ac:dyDescent="0.2">
      <c r="I181"/>
      <c r="J181" s="46"/>
      <c r="K181" s="47"/>
      <c r="L181" s="47"/>
      <c r="M181" s="47"/>
      <c r="N181" s="47"/>
      <c r="O181"/>
      <c r="R181"/>
    </row>
    <row r="182" spans="2:18" s="71" customFormat="1" x14ac:dyDescent="0.2">
      <c r="B182" s="135" t="s">
        <v>488</v>
      </c>
      <c r="C182" s="136"/>
      <c r="D182" s="137"/>
      <c r="I182"/>
      <c r="J182" s="46"/>
      <c r="K182" s="47"/>
      <c r="L182" s="47"/>
      <c r="M182" s="47"/>
      <c r="N182" s="47"/>
      <c r="O182"/>
      <c r="R182"/>
    </row>
    <row r="183" spans="2:18" s="71" customFormat="1" ht="25.5" x14ac:dyDescent="0.2">
      <c r="B183" s="134" t="s">
        <v>489</v>
      </c>
      <c r="C183" s="134"/>
      <c r="D183" s="72" t="s">
        <v>227</v>
      </c>
      <c r="I183"/>
      <c r="J183" s="46"/>
      <c r="K183" s="47"/>
      <c r="L183" s="47"/>
      <c r="M183" s="47"/>
      <c r="N183" s="47"/>
      <c r="O183"/>
      <c r="R183"/>
    </row>
    <row r="184" spans="2:18" s="71" customFormat="1" x14ac:dyDescent="0.2">
      <c r="B184" s="138" t="s">
        <v>490</v>
      </c>
      <c r="C184" s="138"/>
      <c r="D184" s="73"/>
      <c r="I184"/>
      <c r="J184" s="46"/>
      <c r="K184" s="47"/>
      <c r="L184" s="47"/>
      <c r="M184" s="47"/>
      <c r="N184" s="47"/>
      <c r="O184"/>
      <c r="R184"/>
    </row>
    <row r="185" spans="2:18" s="71" customFormat="1" x14ac:dyDescent="0.2">
      <c r="B185" s="138"/>
      <c r="C185" s="138"/>
      <c r="D185" s="74"/>
      <c r="I185"/>
      <c r="J185" s="46"/>
      <c r="K185" s="47"/>
      <c r="L185" s="47"/>
      <c r="M185" s="47"/>
      <c r="N185" s="47"/>
      <c r="O185"/>
      <c r="R185"/>
    </row>
    <row r="186" spans="2:18" s="71" customFormat="1" x14ac:dyDescent="0.2">
      <c r="B186" s="138" t="s">
        <v>491</v>
      </c>
      <c r="C186" s="138"/>
      <c r="D186" s="75">
        <v>7.1712625815612743</v>
      </c>
      <c r="I186"/>
      <c r="J186" s="46"/>
      <c r="K186" s="47"/>
      <c r="L186" s="47"/>
      <c r="M186" s="47"/>
      <c r="N186" s="47"/>
      <c r="O186"/>
      <c r="R186"/>
    </row>
    <row r="187" spans="2:18" s="71" customFormat="1" x14ac:dyDescent="0.2">
      <c r="B187" s="138"/>
      <c r="C187" s="138"/>
      <c r="D187" s="74"/>
      <c r="I187"/>
      <c r="J187" s="46"/>
      <c r="K187" s="47"/>
      <c r="L187" s="47"/>
      <c r="M187" s="47"/>
      <c r="N187" s="47"/>
      <c r="O187"/>
      <c r="R187"/>
    </row>
    <row r="188" spans="2:18" s="71" customFormat="1" x14ac:dyDescent="0.2">
      <c r="B188" s="138" t="s">
        <v>492</v>
      </c>
      <c r="C188" s="138"/>
      <c r="D188" s="75">
        <v>9.2200104606133482E-2</v>
      </c>
      <c r="I188"/>
      <c r="J188" s="46"/>
      <c r="K188" s="47"/>
      <c r="L188" s="47"/>
      <c r="M188" s="47"/>
      <c r="N188" s="47"/>
      <c r="O188"/>
      <c r="R188"/>
    </row>
    <row r="189" spans="2:18" s="71" customFormat="1" x14ac:dyDescent="0.2">
      <c r="B189" s="138" t="s">
        <v>493</v>
      </c>
      <c r="C189" s="138"/>
      <c r="D189" s="75">
        <v>9.2200104606133482E-2</v>
      </c>
      <c r="I189"/>
      <c r="J189" s="46"/>
      <c r="K189" s="47"/>
      <c r="L189" s="47"/>
      <c r="M189" s="47"/>
      <c r="N189" s="47"/>
      <c r="O189"/>
      <c r="R189"/>
    </row>
    <row r="190" spans="2:18" s="71" customFormat="1" x14ac:dyDescent="0.2">
      <c r="B190" s="138"/>
      <c r="C190" s="138"/>
      <c r="D190" s="74"/>
      <c r="I190"/>
      <c r="J190" s="46"/>
      <c r="K190" s="47"/>
      <c r="L190" s="47"/>
      <c r="M190" s="47"/>
      <c r="N190" s="47"/>
      <c r="O190"/>
      <c r="P190"/>
      <c r="Q190"/>
      <c r="R190"/>
    </row>
    <row r="191" spans="2:18" s="71" customFormat="1" x14ac:dyDescent="0.2">
      <c r="B191" s="138" t="s">
        <v>494</v>
      </c>
      <c r="C191" s="138"/>
      <c r="D191" s="76" t="s">
        <v>523</v>
      </c>
      <c r="I191"/>
      <c r="J191" s="46"/>
      <c r="K191" s="47"/>
      <c r="L191" s="47"/>
      <c r="M191" s="47"/>
      <c r="N191" s="47"/>
      <c r="O191"/>
      <c r="P191"/>
      <c r="Q191"/>
      <c r="R191"/>
    </row>
    <row r="192" spans="2:18" s="71" customFormat="1" x14ac:dyDescent="0.2">
      <c r="B192" s="139" t="s">
        <v>495</v>
      </c>
      <c r="C192" s="141"/>
      <c r="D192" s="140"/>
      <c r="I192"/>
      <c r="J192" s="46"/>
      <c r="K192" s="47"/>
      <c r="L192" s="47"/>
      <c r="M192" s="47"/>
      <c r="N192" s="47"/>
      <c r="O192"/>
      <c r="P192"/>
      <c r="Q192"/>
      <c r="R192"/>
    </row>
    <row r="193" spans="8:14" x14ac:dyDescent="0.2">
      <c r="H193"/>
      <c r="K193" s="47"/>
      <c r="L193" s="47"/>
      <c r="M193" s="47"/>
      <c r="N193" s="47"/>
    </row>
  </sheetData>
  <mergeCells count="27">
    <mergeCell ref="B192:D192"/>
    <mergeCell ref="B187:C187"/>
    <mergeCell ref="B188:C188"/>
    <mergeCell ref="B189:C189"/>
    <mergeCell ref="B190:C190"/>
    <mergeCell ref="B191:C191"/>
    <mergeCell ref="B182:D182"/>
    <mergeCell ref="B183:C183"/>
    <mergeCell ref="B184:C184"/>
    <mergeCell ref="B185:C185"/>
    <mergeCell ref="B186:C186"/>
    <mergeCell ref="B174:C174"/>
    <mergeCell ref="B175:C175"/>
    <mergeCell ref="B145:C145"/>
    <mergeCell ref="B163:C163"/>
    <mergeCell ref="B173:C173"/>
    <mergeCell ref="B172:C172"/>
    <mergeCell ref="A1:H1"/>
    <mergeCell ref="A2:H2"/>
    <mergeCell ref="B142:D142"/>
    <mergeCell ref="B143:C143"/>
    <mergeCell ref="B144:C144"/>
    <mergeCell ref="B137:H137"/>
    <mergeCell ref="B138:H138"/>
    <mergeCell ref="B139:H139"/>
    <mergeCell ref="B140:H140"/>
    <mergeCell ref="A3:H3"/>
  </mergeCells>
  <hyperlinks>
    <hyperlink ref="I1" location="Index!B6" display="Index" xr:uid="{2E4C71EE-9F08-43D0-A352-BBC4C7C2E1B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161"/>
  <sheetViews>
    <sheetView showGridLines="0" workbookViewId="0">
      <selection activeCell="I1" sqref="I1:J1048576"/>
    </sheetView>
  </sheetViews>
  <sheetFormatPr defaultRowHeight="12.75" x14ac:dyDescent="0.2"/>
  <cols>
    <col min="1" max="1" width="5.85546875" bestFit="1" customWidth="1"/>
    <col min="2" max="2" width="20.42578125" bestFit="1" customWidth="1"/>
    <col min="3" max="3" width="39.140625" bestFit="1" customWidth="1"/>
    <col min="4" max="4" width="13.7109375" customWidth="1"/>
    <col min="5" max="5" width="8.7109375" bestFit="1" customWidth="1"/>
    <col min="6" max="6" width="10.140625" bestFit="1" customWidth="1"/>
    <col min="7" max="7" width="14" bestFit="1" customWidth="1"/>
    <col min="8" max="8" width="9.42578125" style="43"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346</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6" t="s">
        <v>475</v>
      </c>
      <c r="I4" s="118"/>
      <c r="J4" s="46"/>
    </row>
    <row r="5" spans="1:10" ht="14.1" customHeight="1" x14ac:dyDescent="0.2">
      <c r="A5" s="1"/>
      <c r="B5" s="1"/>
      <c r="C5" s="2" t="s">
        <v>9</v>
      </c>
      <c r="D5" s="1"/>
      <c r="E5" s="1"/>
      <c r="F5" s="1"/>
      <c r="G5" s="1"/>
      <c r="H5" s="35"/>
    </row>
    <row r="6" spans="1:10" x14ac:dyDescent="0.2">
      <c r="A6" s="1"/>
      <c r="B6" s="1"/>
      <c r="C6" s="2" t="s">
        <v>10</v>
      </c>
      <c r="D6" s="1"/>
      <c r="E6" s="1"/>
      <c r="F6" s="1"/>
      <c r="G6" s="1"/>
      <c r="H6" s="35"/>
    </row>
    <row r="7" spans="1:10" ht="14.1" customHeight="1" x14ac:dyDescent="0.2">
      <c r="A7" s="1"/>
      <c r="B7" s="1"/>
      <c r="C7" s="2" t="s">
        <v>11</v>
      </c>
      <c r="D7" s="1"/>
      <c r="E7" s="1" t="s">
        <v>12</v>
      </c>
      <c r="F7" s="3" t="s">
        <v>13</v>
      </c>
      <c r="G7" s="4">
        <v>0</v>
      </c>
      <c r="H7" s="35"/>
    </row>
    <row r="8" spans="1:10" ht="14.1" customHeight="1" x14ac:dyDescent="0.2">
      <c r="A8" s="1"/>
      <c r="B8" s="1"/>
      <c r="C8" s="5"/>
      <c r="D8" s="1"/>
      <c r="E8" s="1"/>
      <c r="F8" s="6"/>
      <c r="G8" s="6"/>
      <c r="H8" s="35"/>
    </row>
    <row r="9" spans="1:10" ht="14.1" customHeight="1" x14ac:dyDescent="0.2">
      <c r="A9" s="1"/>
      <c r="B9" s="1"/>
      <c r="C9" s="2" t="s">
        <v>14</v>
      </c>
      <c r="D9" s="1"/>
      <c r="E9" s="1"/>
      <c r="F9" s="1"/>
      <c r="G9" s="1"/>
      <c r="H9" s="35"/>
    </row>
    <row r="10" spans="1:10" ht="14.1" customHeight="1" x14ac:dyDescent="0.2">
      <c r="A10" s="1"/>
      <c r="B10" s="1"/>
      <c r="C10" s="2" t="s">
        <v>11</v>
      </c>
      <c r="D10" s="1"/>
      <c r="E10" s="1" t="s">
        <v>12</v>
      </c>
      <c r="F10" s="3" t="s">
        <v>13</v>
      </c>
      <c r="G10" s="4">
        <v>0</v>
      </c>
      <c r="H10" s="35"/>
    </row>
    <row r="11" spans="1:10" ht="14.1" customHeight="1" x14ac:dyDescent="0.2">
      <c r="A11" s="1"/>
      <c r="B11" s="1"/>
      <c r="C11" s="5"/>
      <c r="D11" s="1"/>
      <c r="E11" s="1"/>
      <c r="F11" s="6"/>
      <c r="G11" s="6"/>
      <c r="H11" s="35"/>
    </row>
    <row r="12" spans="1:10" ht="14.1" customHeight="1" x14ac:dyDescent="0.2">
      <c r="A12" s="1"/>
      <c r="B12" s="1"/>
      <c r="C12" s="2" t="s">
        <v>15</v>
      </c>
      <c r="D12" s="1"/>
      <c r="E12" s="1"/>
      <c r="F12" s="1"/>
      <c r="G12" s="1"/>
      <c r="H12" s="35"/>
      <c r="J12" s="119"/>
    </row>
    <row r="13" spans="1:10" ht="14.1" customHeight="1" x14ac:dyDescent="0.2">
      <c r="A13" s="1"/>
      <c r="B13" s="1"/>
      <c r="C13" s="2" t="s">
        <v>11</v>
      </c>
      <c r="D13" s="1"/>
      <c r="E13" s="1" t="s">
        <v>12</v>
      </c>
      <c r="F13" s="3" t="s">
        <v>13</v>
      </c>
      <c r="G13" s="4">
        <v>0</v>
      </c>
      <c r="H13" s="35"/>
      <c r="J13" s="120"/>
    </row>
    <row r="14" spans="1:10" ht="14.1" customHeight="1" x14ac:dyDescent="0.2">
      <c r="A14" s="1"/>
      <c r="B14" s="1"/>
      <c r="C14" s="5"/>
      <c r="D14" s="1"/>
      <c r="E14" s="1"/>
      <c r="F14" s="6"/>
      <c r="G14" s="6"/>
      <c r="H14" s="35"/>
      <c r="J14" s="120" t="s">
        <v>574</v>
      </c>
    </row>
    <row r="15" spans="1:10" ht="14.1" customHeight="1" x14ac:dyDescent="0.2">
      <c r="A15" s="1"/>
      <c r="B15" s="1"/>
      <c r="C15" s="2" t="s">
        <v>16</v>
      </c>
      <c r="D15" s="1"/>
      <c r="E15" s="1"/>
      <c r="F15" s="1"/>
      <c r="G15" s="1"/>
      <c r="H15" s="35"/>
      <c r="J15" s="120"/>
    </row>
    <row r="16" spans="1:10" ht="14.1" customHeight="1" x14ac:dyDescent="0.2">
      <c r="A16" s="1"/>
      <c r="B16" s="1"/>
      <c r="C16" s="2" t="s">
        <v>11</v>
      </c>
      <c r="D16" s="1"/>
      <c r="E16" s="1" t="s">
        <v>12</v>
      </c>
      <c r="F16" s="3" t="s">
        <v>13</v>
      </c>
      <c r="G16" s="4">
        <v>0</v>
      </c>
      <c r="H16" s="35"/>
    </row>
    <row r="17" spans="1:10" ht="14.1" customHeight="1" x14ac:dyDescent="0.2">
      <c r="A17" s="1"/>
      <c r="B17" s="1"/>
      <c r="C17" s="5"/>
      <c r="D17" s="1"/>
      <c r="E17" s="1"/>
      <c r="F17" s="6"/>
      <c r="G17" s="6"/>
      <c r="H17" s="35"/>
    </row>
    <row r="18" spans="1:10" ht="14.1" customHeight="1" x14ac:dyDescent="0.2">
      <c r="A18" s="1"/>
      <c r="B18" s="1"/>
      <c r="C18" s="2" t="s">
        <v>17</v>
      </c>
      <c r="D18" s="1"/>
      <c r="E18" s="1"/>
      <c r="F18" s="6"/>
      <c r="G18" s="6"/>
      <c r="H18" s="35"/>
    </row>
    <row r="19" spans="1:10" ht="14.1" customHeight="1" x14ac:dyDescent="0.2">
      <c r="A19" s="1"/>
      <c r="B19" s="1"/>
      <c r="C19" s="2" t="s">
        <v>11</v>
      </c>
      <c r="D19" s="1"/>
      <c r="E19" s="1" t="s">
        <v>12</v>
      </c>
      <c r="F19" s="3" t="s">
        <v>13</v>
      </c>
      <c r="G19" s="4">
        <v>0</v>
      </c>
      <c r="H19" s="35"/>
    </row>
    <row r="20" spans="1:10" ht="14.1" customHeight="1" x14ac:dyDescent="0.2">
      <c r="A20" s="1"/>
      <c r="B20" s="1"/>
      <c r="C20" s="5"/>
      <c r="D20" s="1"/>
      <c r="E20" s="1"/>
      <c r="F20" s="6"/>
      <c r="G20" s="6"/>
      <c r="H20" s="35"/>
    </row>
    <row r="21" spans="1:10" ht="14.1" customHeight="1" x14ac:dyDescent="0.2">
      <c r="A21" s="1"/>
      <c r="B21" s="1"/>
      <c r="C21" s="2" t="s">
        <v>18</v>
      </c>
      <c r="D21" s="1"/>
      <c r="E21" s="1"/>
      <c r="F21" s="6"/>
      <c r="G21" s="6"/>
      <c r="H21" s="35"/>
    </row>
    <row r="22" spans="1:10" ht="14.1" customHeight="1" x14ac:dyDescent="0.2">
      <c r="A22" s="1"/>
      <c r="B22" s="1"/>
      <c r="C22" s="2" t="s">
        <v>11</v>
      </c>
      <c r="D22" s="1"/>
      <c r="E22" s="1" t="s">
        <v>12</v>
      </c>
      <c r="F22" s="3" t="s">
        <v>13</v>
      </c>
      <c r="G22" s="4">
        <v>0</v>
      </c>
      <c r="H22" s="35"/>
      <c r="J22" s="119"/>
    </row>
    <row r="23" spans="1:10" ht="14.1" customHeight="1" x14ac:dyDescent="0.2">
      <c r="A23" s="1"/>
      <c r="B23" s="1"/>
      <c r="C23" s="5"/>
      <c r="D23" s="1"/>
      <c r="E23" s="1"/>
      <c r="F23" s="6"/>
      <c r="G23" s="6"/>
      <c r="H23" s="35"/>
      <c r="J23" s="120"/>
    </row>
    <row r="24" spans="1:10" ht="18" customHeight="1" x14ac:dyDescent="0.2">
      <c r="A24" s="1"/>
      <c r="B24" s="1"/>
      <c r="C24" s="2" t="s">
        <v>19</v>
      </c>
      <c r="D24" s="1"/>
      <c r="E24" s="1"/>
      <c r="F24" s="7">
        <v>0</v>
      </c>
      <c r="G24" s="4">
        <v>0</v>
      </c>
      <c r="H24" s="35"/>
    </row>
    <row r="25" spans="1:10" ht="14.1" customHeight="1" x14ac:dyDescent="0.2">
      <c r="A25" s="1"/>
      <c r="B25" s="1"/>
      <c r="C25" s="5"/>
      <c r="D25" s="1"/>
      <c r="E25" s="1"/>
      <c r="F25" s="6"/>
      <c r="G25" s="6"/>
      <c r="H25" s="35"/>
    </row>
    <row r="26" spans="1:10" ht="14.1" customHeight="1" x14ac:dyDescent="0.2">
      <c r="A26" s="1"/>
      <c r="B26" s="1"/>
      <c r="C26" s="2" t="s">
        <v>20</v>
      </c>
      <c r="D26" s="1"/>
      <c r="E26" s="1"/>
      <c r="F26" s="6"/>
      <c r="G26" s="6"/>
      <c r="H26" s="35"/>
    </row>
    <row r="27" spans="1:10" ht="24" customHeight="1" x14ac:dyDescent="0.2">
      <c r="A27" s="1"/>
      <c r="B27" s="1"/>
      <c r="C27" s="2" t="s">
        <v>10</v>
      </c>
      <c r="D27" s="1"/>
      <c r="E27" s="1"/>
      <c r="F27" s="6"/>
      <c r="G27" s="6"/>
      <c r="H27" s="35"/>
      <c r="J27" s="120" t="s">
        <v>575</v>
      </c>
    </row>
    <row r="28" spans="1:10" ht="17.100000000000001" customHeight="1" x14ac:dyDescent="0.2">
      <c r="A28" s="8">
        <v>1</v>
      </c>
      <c r="B28" s="9" t="s">
        <v>347</v>
      </c>
      <c r="C28" s="9" t="s">
        <v>348</v>
      </c>
      <c r="D28" s="9" t="s">
        <v>23</v>
      </c>
      <c r="E28" s="10">
        <v>1000</v>
      </c>
      <c r="F28" s="11">
        <v>1010.741</v>
      </c>
      <c r="G28" s="12">
        <v>5.3241570000000002E-2</v>
      </c>
      <c r="H28" s="35">
        <v>7.5149999999999997</v>
      </c>
      <c r="J28" s="120"/>
    </row>
    <row r="29" spans="1:10" ht="29.1" customHeight="1" x14ac:dyDescent="0.2">
      <c r="A29" s="8">
        <v>2</v>
      </c>
      <c r="B29" s="9" t="s">
        <v>349</v>
      </c>
      <c r="C29" s="9" t="s">
        <v>350</v>
      </c>
      <c r="D29" s="9" t="s">
        <v>23</v>
      </c>
      <c r="E29" s="10">
        <v>1000</v>
      </c>
      <c r="F29" s="11">
        <v>1001.645</v>
      </c>
      <c r="G29" s="12">
        <v>5.2762429999999999E-2</v>
      </c>
      <c r="H29" s="35">
        <v>7.7129000000000003</v>
      </c>
    </row>
    <row r="30" spans="1:10" ht="29.1" customHeight="1" x14ac:dyDescent="0.2">
      <c r="A30" s="8">
        <v>3</v>
      </c>
      <c r="B30" s="9" t="s">
        <v>30</v>
      </c>
      <c r="C30" s="9" t="s">
        <v>31</v>
      </c>
      <c r="D30" s="9" t="s">
        <v>23</v>
      </c>
      <c r="E30" s="10">
        <v>1000</v>
      </c>
      <c r="F30" s="11">
        <v>998.03499999999997</v>
      </c>
      <c r="G30" s="12">
        <v>5.2572269999999997E-2</v>
      </c>
      <c r="H30" s="35">
        <v>7.6677999999999997</v>
      </c>
    </row>
    <row r="31" spans="1:10" ht="29.1" customHeight="1" x14ac:dyDescent="0.2">
      <c r="A31" s="8">
        <v>4</v>
      </c>
      <c r="B31" s="9" t="s">
        <v>120</v>
      </c>
      <c r="C31" s="9" t="s">
        <v>121</v>
      </c>
      <c r="D31" s="9" t="s">
        <v>46</v>
      </c>
      <c r="E31" s="10">
        <v>100</v>
      </c>
      <c r="F31" s="11">
        <v>994.61400000000003</v>
      </c>
      <c r="G31" s="12">
        <v>5.2392059999999997E-2</v>
      </c>
      <c r="H31" s="35">
        <v>7.8118999999999996</v>
      </c>
    </row>
    <row r="32" spans="1:10" ht="17.100000000000001" customHeight="1" x14ac:dyDescent="0.2">
      <c r="A32" s="8">
        <v>5</v>
      </c>
      <c r="B32" s="9" t="s">
        <v>168</v>
      </c>
      <c r="C32" s="9" t="s">
        <v>169</v>
      </c>
      <c r="D32" s="9" t="s">
        <v>170</v>
      </c>
      <c r="E32" s="10">
        <v>700</v>
      </c>
      <c r="F32" s="11">
        <v>700.67200000000003</v>
      </c>
      <c r="G32" s="12">
        <v>3.6908440000000001E-2</v>
      </c>
      <c r="H32" s="35">
        <v>8.7650000000000006</v>
      </c>
    </row>
    <row r="33" spans="1:8" ht="29.1" customHeight="1" x14ac:dyDescent="0.2">
      <c r="A33" s="8">
        <v>6</v>
      </c>
      <c r="B33" s="9" t="s">
        <v>57</v>
      </c>
      <c r="C33" s="9" t="s">
        <v>58</v>
      </c>
      <c r="D33" s="9" t="s">
        <v>23</v>
      </c>
      <c r="E33" s="10">
        <v>50</v>
      </c>
      <c r="F33" s="11">
        <v>501.22300000000001</v>
      </c>
      <c r="G33" s="12">
        <v>2.6402309999999998E-2</v>
      </c>
      <c r="H33" s="35">
        <v>7.8513999999999999</v>
      </c>
    </row>
    <row r="34" spans="1:8" ht="29.1" customHeight="1" x14ac:dyDescent="0.2">
      <c r="A34" s="8">
        <v>7</v>
      </c>
      <c r="B34" s="9" t="s">
        <v>165</v>
      </c>
      <c r="C34" s="9" t="s">
        <v>166</v>
      </c>
      <c r="D34" s="9" t="s">
        <v>167</v>
      </c>
      <c r="E34" s="10">
        <v>500</v>
      </c>
      <c r="F34" s="11">
        <v>500.3775</v>
      </c>
      <c r="G34" s="12">
        <v>2.6357769999999999E-2</v>
      </c>
      <c r="H34" s="35">
        <v>7.6349999999999998</v>
      </c>
    </row>
    <row r="35" spans="1:8" ht="29.1" customHeight="1" x14ac:dyDescent="0.2">
      <c r="A35" s="8">
        <v>8</v>
      </c>
      <c r="B35" s="9" t="s">
        <v>186</v>
      </c>
      <c r="C35" s="9" t="s">
        <v>187</v>
      </c>
      <c r="D35" s="9" t="s">
        <v>23</v>
      </c>
      <c r="E35" s="10">
        <v>500</v>
      </c>
      <c r="F35" s="11">
        <v>500.036</v>
      </c>
      <c r="G35" s="12">
        <v>2.633978E-2</v>
      </c>
      <c r="H35" s="35">
        <v>7.415</v>
      </c>
    </row>
    <row r="36" spans="1:8" ht="29.1" customHeight="1" x14ac:dyDescent="0.2">
      <c r="A36" s="8">
        <v>9</v>
      </c>
      <c r="B36" s="9" t="s">
        <v>59</v>
      </c>
      <c r="C36" s="9" t="s">
        <v>60</v>
      </c>
      <c r="D36" s="9" t="s">
        <v>23</v>
      </c>
      <c r="E36" s="10">
        <v>500</v>
      </c>
      <c r="F36" s="11">
        <v>499.00049999999999</v>
      </c>
      <c r="G36" s="12">
        <v>2.6285240000000001E-2</v>
      </c>
      <c r="H36" s="35">
        <v>8.2100000000000009</v>
      </c>
    </row>
    <row r="37" spans="1:8" ht="17.100000000000001" customHeight="1" x14ac:dyDescent="0.2">
      <c r="A37" s="8">
        <v>10</v>
      </c>
      <c r="B37" s="9" t="s">
        <v>351</v>
      </c>
      <c r="C37" s="9" t="s">
        <v>352</v>
      </c>
      <c r="D37" s="9" t="s">
        <v>23</v>
      </c>
      <c r="E37" s="10">
        <v>500</v>
      </c>
      <c r="F37" s="11">
        <v>498.3965</v>
      </c>
      <c r="G37" s="12">
        <v>2.625342E-2</v>
      </c>
      <c r="H37" s="35">
        <v>7.65</v>
      </c>
    </row>
    <row r="38" spans="1:8" ht="29.1" customHeight="1" x14ac:dyDescent="0.2">
      <c r="A38" s="8">
        <v>11</v>
      </c>
      <c r="B38" s="9" t="s">
        <v>42</v>
      </c>
      <c r="C38" s="9" t="s">
        <v>43</v>
      </c>
      <c r="D38" s="9" t="s">
        <v>23</v>
      </c>
      <c r="E38" s="10">
        <v>50</v>
      </c>
      <c r="F38" s="11">
        <v>494.81349999999998</v>
      </c>
      <c r="G38" s="12">
        <v>2.606468E-2</v>
      </c>
      <c r="H38" s="35">
        <v>7.6524999999999999</v>
      </c>
    </row>
    <row r="39" spans="1:8" ht="29.1" customHeight="1" x14ac:dyDescent="0.2">
      <c r="A39" s="8">
        <v>12</v>
      </c>
      <c r="B39" s="9" t="s">
        <v>353</v>
      </c>
      <c r="C39" s="9" t="s">
        <v>354</v>
      </c>
      <c r="D39" s="9" t="s">
        <v>23</v>
      </c>
      <c r="E39" s="10">
        <v>50</v>
      </c>
      <c r="F39" s="11">
        <v>481.48750000000001</v>
      </c>
      <c r="G39" s="12">
        <v>2.536273E-2</v>
      </c>
      <c r="H39" s="35">
        <v>7.97</v>
      </c>
    </row>
    <row r="40" spans="1:8" ht="14.1" customHeight="1" x14ac:dyDescent="0.2">
      <c r="A40" s="1"/>
      <c r="B40" s="1"/>
      <c r="C40" s="2" t="s">
        <v>11</v>
      </c>
      <c r="D40" s="1"/>
      <c r="E40" s="1" t="s">
        <v>12</v>
      </c>
      <c r="F40" s="7">
        <v>8181.0415000000003</v>
      </c>
      <c r="G40" s="4">
        <v>0.43094270000000001</v>
      </c>
      <c r="H40" s="35"/>
    </row>
    <row r="41" spans="1:8" ht="14.1" customHeight="1" x14ac:dyDescent="0.2">
      <c r="A41" s="1"/>
      <c r="B41" s="1"/>
      <c r="C41" s="5"/>
      <c r="D41" s="1"/>
      <c r="E41" s="1"/>
      <c r="F41" s="6"/>
      <c r="G41" s="6"/>
      <c r="H41" s="35"/>
    </row>
    <row r="42" spans="1:8" ht="14.1" customHeight="1" x14ac:dyDescent="0.2">
      <c r="A42" s="1"/>
      <c r="B42" s="1"/>
      <c r="C42" s="2" t="s">
        <v>61</v>
      </c>
      <c r="D42" s="1"/>
      <c r="E42" s="1"/>
      <c r="F42" s="1"/>
      <c r="G42" s="1"/>
      <c r="H42" s="35"/>
    </row>
    <row r="43" spans="1:8" ht="14.1" customHeight="1" x14ac:dyDescent="0.2">
      <c r="A43" s="1"/>
      <c r="B43" s="1"/>
      <c r="C43" s="2" t="s">
        <v>11</v>
      </c>
      <c r="D43" s="1"/>
      <c r="E43" s="1" t="s">
        <v>12</v>
      </c>
      <c r="F43" s="3" t="s">
        <v>13</v>
      </c>
      <c r="G43" s="4">
        <v>0</v>
      </c>
      <c r="H43" s="35"/>
    </row>
    <row r="44" spans="1:8" ht="14.1" customHeight="1" x14ac:dyDescent="0.2">
      <c r="A44" s="1"/>
      <c r="B44" s="1"/>
      <c r="C44" s="5"/>
      <c r="D44" s="1"/>
      <c r="E44" s="1"/>
      <c r="F44" s="6"/>
      <c r="G44" s="6"/>
      <c r="H44" s="35"/>
    </row>
    <row r="45" spans="1:8" ht="14.1" customHeight="1" x14ac:dyDescent="0.2">
      <c r="A45" s="1"/>
      <c r="B45" s="1"/>
      <c r="C45" s="2" t="s">
        <v>62</v>
      </c>
      <c r="D45" s="1"/>
      <c r="E45" s="1"/>
      <c r="F45" s="1"/>
      <c r="G45" s="1"/>
      <c r="H45" s="35"/>
    </row>
    <row r="46" spans="1:8" ht="29.1" customHeight="1" x14ac:dyDescent="0.2">
      <c r="A46" s="8">
        <v>1</v>
      </c>
      <c r="B46" s="9" t="s">
        <v>63</v>
      </c>
      <c r="C46" s="9" t="s">
        <v>64</v>
      </c>
      <c r="D46" s="9" t="s">
        <v>65</v>
      </c>
      <c r="E46" s="10">
        <v>3000000</v>
      </c>
      <c r="F46" s="11">
        <v>3018.5010000000002</v>
      </c>
      <c r="G46" s="12">
        <v>0.15900188000000001</v>
      </c>
      <c r="H46" s="35">
        <v>7.2111000000000001</v>
      </c>
    </row>
    <row r="47" spans="1:8" ht="29.1" customHeight="1" x14ac:dyDescent="0.2">
      <c r="A47" s="8">
        <v>2</v>
      </c>
      <c r="B47" s="9" t="s">
        <v>68</v>
      </c>
      <c r="C47" s="9" t="s">
        <v>69</v>
      </c>
      <c r="D47" s="9" t="s">
        <v>65</v>
      </c>
      <c r="E47" s="10">
        <v>1500000</v>
      </c>
      <c r="F47" s="11">
        <v>1498.59</v>
      </c>
      <c r="G47" s="12">
        <v>7.8939389999999998E-2</v>
      </c>
      <c r="H47" s="35">
        <v>7.2106000000000003</v>
      </c>
    </row>
    <row r="48" spans="1:8" ht="29.1" customHeight="1" x14ac:dyDescent="0.2">
      <c r="A48" s="8">
        <v>3</v>
      </c>
      <c r="B48" s="9" t="s">
        <v>188</v>
      </c>
      <c r="C48" s="9" t="s">
        <v>189</v>
      </c>
      <c r="D48" s="9" t="s">
        <v>65</v>
      </c>
      <c r="E48" s="10">
        <v>1000000</v>
      </c>
      <c r="F48" s="11">
        <v>1007.881</v>
      </c>
      <c r="G48" s="12">
        <v>5.3090909999999998E-2</v>
      </c>
      <c r="H48" s="35">
        <v>7.2138999999999998</v>
      </c>
    </row>
    <row r="49" spans="1:8" ht="29.1" customHeight="1" x14ac:dyDescent="0.2">
      <c r="A49" s="8">
        <v>4</v>
      </c>
      <c r="B49" s="9" t="s">
        <v>355</v>
      </c>
      <c r="C49" s="9" t="s">
        <v>356</v>
      </c>
      <c r="D49" s="9" t="s">
        <v>65</v>
      </c>
      <c r="E49" s="10">
        <v>500000</v>
      </c>
      <c r="F49" s="11">
        <v>500.00349999999997</v>
      </c>
      <c r="G49" s="12">
        <v>2.6338070000000002E-2</v>
      </c>
      <c r="H49" s="35">
        <v>7.5761000000000003</v>
      </c>
    </row>
    <row r="50" spans="1:8" ht="41.1" customHeight="1" x14ac:dyDescent="0.2">
      <c r="A50" s="8">
        <v>5</v>
      </c>
      <c r="B50" s="9" t="s">
        <v>357</v>
      </c>
      <c r="C50" s="9" t="s">
        <v>549</v>
      </c>
      <c r="D50" s="9" t="s">
        <v>65</v>
      </c>
      <c r="E50" s="10">
        <v>500000</v>
      </c>
      <c r="F50" s="11">
        <v>499.90699999999998</v>
      </c>
      <c r="G50" s="12">
        <v>2.6332990000000001E-2</v>
      </c>
      <c r="H50" s="35">
        <v>7.6524998496594376</v>
      </c>
    </row>
    <row r="51" spans="1:8" ht="29.1" customHeight="1" x14ac:dyDescent="0.2">
      <c r="A51" s="8">
        <v>6</v>
      </c>
      <c r="B51" s="9" t="s">
        <v>358</v>
      </c>
      <c r="C51" s="9" t="s">
        <v>359</v>
      </c>
      <c r="D51" s="9" t="s">
        <v>65</v>
      </c>
      <c r="E51" s="10">
        <v>400000</v>
      </c>
      <c r="F51" s="11">
        <v>403.3356</v>
      </c>
      <c r="G51" s="12">
        <v>2.1246020000000001E-2</v>
      </c>
      <c r="H51" s="35">
        <v>7.4138000000000002</v>
      </c>
    </row>
    <row r="52" spans="1:8" ht="14.1" customHeight="1" x14ac:dyDescent="0.2">
      <c r="A52" s="1"/>
      <c r="B52" s="1"/>
      <c r="C52" s="2" t="s">
        <v>11</v>
      </c>
      <c r="D52" s="1"/>
      <c r="E52" s="1" t="s">
        <v>12</v>
      </c>
      <c r="F52" s="7">
        <v>6928.2181</v>
      </c>
      <c r="G52" s="4">
        <v>0.36494926</v>
      </c>
      <c r="H52" s="35"/>
    </row>
    <row r="53" spans="1:8" ht="14.1" customHeight="1" x14ac:dyDescent="0.2">
      <c r="A53" s="1"/>
      <c r="B53" s="1"/>
      <c r="C53" s="5"/>
      <c r="D53" s="1"/>
      <c r="E53" s="1"/>
      <c r="F53" s="6"/>
      <c r="G53" s="6"/>
      <c r="H53" s="35"/>
    </row>
    <row r="54" spans="1:8" ht="14.1" customHeight="1" x14ac:dyDescent="0.2">
      <c r="A54" s="1"/>
      <c r="B54" s="1"/>
      <c r="C54" s="2" t="s">
        <v>70</v>
      </c>
      <c r="D54" s="1"/>
      <c r="E54" s="1"/>
      <c r="F54" s="6"/>
      <c r="G54" s="6"/>
      <c r="H54" s="35"/>
    </row>
    <row r="55" spans="1:8" ht="14.1" customHeight="1" x14ac:dyDescent="0.2">
      <c r="A55" s="1"/>
      <c r="B55" s="1"/>
      <c r="C55" s="2" t="s">
        <v>11</v>
      </c>
      <c r="D55" s="1"/>
      <c r="E55" s="1" t="s">
        <v>12</v>
      </c>
      <c r="F55" s="3" t="s">
        <v>13</v>
      </c>
      <c r="G55" s="4">
        <v>0</v>
      </c>
      <c r="H55" s="35"/>
    </row>
    <row r="56" spans="1:8" ht="14.1" customHeight="1" x14ac:dyDescent="0.2">
      <c r="A56" s="1"/>
      <c r="B56" s="1"/>
      <c r="C56" s="5"/>
      <c r="D56" s="1"/>
      <c r="E56" s="1"/>
      <c r="F56" s="6"/>
      <c r="G56" s="6"/>
      <c r="H56" s="35"/>
    </row>
    <row r="57" spans="1:8" ht="14.1" customHeight="1" x14ac:dyDescent="0.2">
      <c r="A57" s="1"/>
      <c r="B57" s="1"/>
      <c r="C57" s="2" t="s">
        <v>71</v>
      </c>
      <c r="D57" s="1"/>
      <c r="E57" s="1"/>
      <c r="F57" s="7">
        <v>15109.259599999999</v>
      </c>
      <c r="G57" s="4">
        <v>0.79589195999999995</v>
      </c>
      <c r="H57" s="35"/>
    </row>
    <row r="58" spans="1:8" ht="14.1" customHeight="1" x14ac:dyDescent="0.2">
      <c r="A58" s="1"/>
      <c r="B58" s="1"/>
      <c r="C58" s="5"/>
      <c r="D58" s="1"/>
      <c r="E58" s="1"/>
      <c r="F58" s="6"/>
      <c r="G58" s="6"/>
      <c r="H58" s="35"/>
    </row>
    <row r="59" spans="1:8" ht="14.1" customHeight="1" x14ac:dyDescent="0.2">
      <c r="A59" s="1"/>
      <c r="B59" s="1"/>
      <c r="C59" s="2" t="s">
        <v>72</v>
      </c>
      <c r="D59" s="1"/>
      <c r="E59" s="1"/>
      <c r="F59" s="6"/>
      <c r="G59" s="6"/>
      <c r="H59" s="35"/>
    </row>
    <row r="60" spans="1:8" ht="14.1" customHeight="1" x14ac:dyDescent="0.2">
      <c r="A60" s="1"/>
      <c r="B60" s="1"/>
      <c r="C60" s="2" t="s">
        <v>73</v>
      </c>
      <c r="D60" s="1"/>
      <c r="E60" s="1"/>
      <c r="F60" s="6"/>
      <c r="G60" s="6"/>
      <c r="H60" s="35"/>
    </row>
    <row r="61" spans="1:8" ht="17.100000000000001" customHeight="1" x14ac:dyDescent="0.2">
      <c r="A61" s="8">
        <v>1</v>
      </c>
      <c r="B61" s="9" t="s">
        <v>148</v>
      </c>
      <c r="C61" s="9" t="s">
        <v>149</v>
      </c>
      <c r="D61" s="9" t="s">
        <v>150</v>
      </c>
      <c r="E61" s="10">
        <v>100</v>
      </c>
      <c r="F61" s="11">
        <v>474.803</v>
      </c>
      <c r="G61" s="12">
        <v>2.5010620000000001E-2</v>
      </c>
      <c r="H61" s="35">
        <v>7.45</v>
      </c>
    </row>
    <row r="62" spans="1:8" ht="17.100000000000001" customHeight="1" x14ac:dyDescent="0.2">
      <c r="A62" s="8">
        <v>2</v>
      </c>
      <c r="B62" s="9" t="s">
        <v>153</v>
      </c>
      <c r="C62" s="9" t="s">
        <v>528</v>
      </c>
      <c r="D62" s="9" t="s">
        <v>150</v>
      </c>
      <c r="E62" s="10">
        <v>100</v>
      </c>
      <c r="F62" s="11">
        <v>472.02</v>
      </c>
      <c r="G62" s="12">
        <v>2.4864020000000001E-2</v>
      </c>
      <c r="H62" s="35">
        <v>7.5388000000000002</v>
      </c>
    </row>
    <row r="63" spans="1:8" ht="14.1" customHeight="1" x14ac:dyDescent="0.2">
      <c r="A63" s="1"/>
      <c r="B63" s="1"/>
      <c r="C63" s="2" t="s">
        <v>11</v>
      </c>
      <c r="D63" s="1"/>
      <c r="E63" s="1" t="s">
        <v>12</v>
      </c>
      <c r="F63" s="7">
        <v>946.82299999999998</v>
      </c>
      <c r="G63" s="4">
        <v>4.9874639999999998E-2</v>
      </c>
      <c r="H63" s="35"/>
    </row>
    <row r="64" spans="1:8" ht="14.1" customHeight="1" x14ac:dyDescent="0.2">
      <c r="A64" s="1"/>
      <c r="B64" s="1"/>
      <c r="C64" s="5"/>
      <c r="D64" s="1"/>
      <c r="E64" s="1"/>
      <c r="F64" s="6"/>
      <c r="G64" s="6"/>
      <c r="H64" s="35"/>
    </row>
    <row r="65" spans="1:8" ht="14.1" customHeight="1" x14ac:dyDescent="0.2">
      <c r="A65" s="1"/>
      <c r="B65" s="1"/>
      <c r="C65" s="2" t="s">
        <v>74</v>
      </c>
      <c r="D65" s="1"/>
      <c r="E65" s="1"/>
      <c r="F65" s="6"/>
      <c r="G65" s="6"/>
      <c r="H65" s="35"/>
    </row>
    <row r="66" spans="1:8" ht="14.1" customHeight="1" x14ac:dyDescent="0.2">
      <c r="A66" s="1"/>
      <c r="B66" s="1"/>
      <c r="C66" s="2" t="s">
        <v>11</v>
      </c>
      <c r="D66" s="1"/>
      <c r="E66" s="1" t="s">
        <v>12</v>
      </c>
      <c r="F66" s="3" t="s">
        <v>13</v>
      </c>
      <c r="G66" s="4">
        <v>0</v>
      </c>
      <c r="H66" s="35"/>
    </row>
    <row r="67" spans="1:8" ht="14.1" customHeight="1" x14ac:dyDescent="0.2">
      <c r="A67" s="1"/>
      <c r="B67" s="1"/>
      <c r="C67" s="5"/>
      <c r="D67" s="1"/>
      <c r="E67" s="1"/>
      <c r="F67" s="6"/>
      <c r="G67" s="6"/>
      <c r="H67" s="35"/>
    </row>
    <row r="68" spans="1:8" ht="14.1" customHeight="1" x14ac:dyDescent="0.2">
      <c r="A68" s="1"/>
      <c r="B68" s="1"/>
      <c r="C68" s="2" t="s">
        <v>75</v>
      </c>
      <c r="D68" s="1"/>
      <c r="E68" s="1"/>
      <c r="F68" s="6"/>
      <c r="G68" s="6"/>
      <c r="H68" s="35"/>
    </row>
    <row r="69" spans="1:8" ht="14.1" customHeight="1" x14ac:dyDescent="0.2">
      <c r="A69" s="1"/>
      <c r="B69" s="1"/>
      <c r="C69" s="2" t="s">
        <v>11</v>
      </c>
      <c r="D69" s="1"/>
      <c r="E69" s="1" t="s">
        <v>12</v>
      </c>
      <c r="F69" s="3" t="s">
        <v>13</v>
      </c>
      <c r="G69" s="4">
        <v>0</v>
      </c>
      <c r="H69" s="35"/>
    </row>
    <row r="70" spans="1:8" ht="14.1" customHeight="1" x14ac:dyDescent="0.2">
      <c r="A70" s="1"/>
      <c r="B70" s="1"/>
      <c r="C70" s="5"/>
      <c r="D70" s="1"/>
      <c r="E70" s="1"/>
      <c r="F70" s="6"/>
      <c r="G70" s="6"/>
      <c r="H70" s="35"/>
    </row>
    <row r="71" spans="1:8" ht="14.1" customHeight="1" x14ac:dyDescent="0.2">
      <c r="A71" s="1"/>
      <c r="B71" s="1"/>
      <c r="C71" s="2" t="s">
        <v>76</v>
      </c>
      <c r="D71" s="1"/>
      <c r="E71" s="1"/>
      <c r="F71" s="6"/>
      <c r="G71" s="6"/>
      <c r="H71" s="35"/>
    </row>
    <row r="72" spans="1:8" ht="17.100000000000001" customHeight="1" x14ac:dyDescent="0.2">
      <c r="A72" s="8">
        <v>1</v>
      </c>
      <c r="B72" s="9"/>
      <c r="C72" s="9" t="s">
        <v>77</v>
      </c>
      <c r="D72" s="9"/>
      <c r="E72" s="13"/>
      <c r="F72" s="11">
        <v>2535.9279079879998</v>
      </c>
      <c r="G72" s="12">
        <v>0.13358196999999999</v>
      </c>
      <c r="H72" s="63" t="s">
        <v>482</v>
      </c>
    </row>
    <row r="73" spans="1:8" ht="14.1" customHeight="1" x14ac:dyDescent="0.2">
      <c r="A73" s="1"/>
      <c r="B73" s="1"/>
      <c r="C73" s="2" t="s">
        <v>11</v>
      </c>
      <c r="D73" s="1"/>
      <c r="E73" s="1" t="s">
        <v>12</v>
      </c>
      <c r="F73" s="7">
        <v>2535.9279079879998</v>
      </c>
      <c r="G73" s="4">
        <v>0.13358196999999999</v>
      </c>
      <c r="H73" s="35"/>
    </row>
    <row r="74" spans="1:8" ht="14.1" customHeight="1" x14ac:dyDescent="0.2">
      <c r="A74" s="1"/>
      <c r="B74" s="1"/>
      <c r="C74" s="5"/>
      <c r="D74" s="1"/>
      <c r="E74" s="1"/>
      <c r="F74" s="6"/>
      <c r="G74" s="6"/>
      <c r="H74" s="35"/>
    </row>
    <row r="75" spans="1:8" ht="14.1" customHeight="1" x14ac:dyDescent="0.2">
      <c r="A75" s="1"/>
      <c r="B75" s="1"/>
      <c r="C75" s="2" t="s">
        <v>78</v>
      </c>
      <c r="D75" s="1"/>
      <c r="E75" s="1"/>
      <c r="F75" s="7">
        <v>3482.7509079880001</v>
      </c>
      <c r="G75" s="4">
        <v>0.18345660999999999</v>
      </c>
      <c r="H75" s="35"/>
    </row>
    <row r="76" spans="1:8" ht="14.1" customHeight="1" x14ac:dyDescent="0.2">
      <c r="A76" s="1"/>
      <c r="B76" s="1"/>
      <c r="C76" s="6"/>
      <c r="D76" s="1"/>
      <c r="E76" s="1"/>
      <c r="F76" s="1"/>
      <c r="G76" s="1"/>
      <c r="H76" s="35"/>
    </row>
    <row r="77" spans="1:8" ht="14.1" customHeight="1" x14ac:dyDescent="0.2">
      <c r="A77" s="1"/>
      <c r="B77" s="1"/>
      <c r="C77" s="2" t="s">
        <v>79</v>
      </c>
      <c r="D77" s="1"/>
      <c r="E77" s="1"/>
      <c r="F77" s="1"/>
      <c r="G77" s="1"/>
      <c r="H77" s="35"/>
    </row>
    <row r="78" spans="1:8" ht="14.1" customHeight="1" x14ac:dyDescent="0.2">
      <c r="A78" s="1"/>
      <c r="B78" s="1"/>
      <c r="C78" s="2" t="s">
        <v>80</v>
      </c>
      <c r="D78" s="1"/>
      <c r="E78" s="1"/>
      <c r="F78" s="1"/>
      <c r="G78" s="1"/>
      <c r="H78" s="35"/>
    </row>
    <row r="79" spans="1:8" ht="14.1" customHeight="1" x14ac:dyDescent="0.2">
      <c r="A79" s="1"/>
      <c r="B79" s="1"/>
      <c r="C79" s="2" t="s">
        <v>11</v>
      </c>
      <c r="D79" s="1"/>
      <c r="E79" s="1" t="s">
        <v>12</v>
      </c>
      <c r="F79" s="3" t="s">
        <v>13</v>
      </c>
      <c r="G79" s="4">
        <v>0</v>
      </c>
      <c r="H79" s="35"/>
    </row>
    <row r="80" spans="1:8" ht="14.1" customHeight="1" x14ac:dyDescent="0.2">
      <c r="A80" s="1"/>
      <c r="B80" s="1"/>
      <c r="C80" s="5"/>
      <c r="D80" s="1"/>
      <c r="E80" s="1"/>
      <c r="F80" s="6"/>
      <c r="G80" s="6"/>
      <c r="H80" s="35"/>
    </row>
    <row r="81" spans="1:18" ht="14.1" customHeight="1" x14ac:dyDescent="0.2">
      <c r="A81" s="1"/>
      <c r="B81" s="1"/>
      <c r="C81" s="2" t="s">
        <v>83</v>
      </c>
      <c r="D81" s="1"/>
      <c r="E81" s="1"/>
      <c r="F81" s="1"/>
      <c r="G81" s="1"/>
      <c r="H81" s="35"/>
    </row>
    <row r="82" spans="1:18" ht="14.1" customHeight="1" x14ac:dyDescent="0.2">
      <c r="A82" s="1"/>
      <c r="B82" s="1"/>
      <c r="C82" s="2" t="s">
        <v>84</v>
      </c>
      <c r="D82" s="1"/>
      <c r="E82" s="1"/>
      <c r="F82" s="1"/>
      <c r="G82" s="1"/>
      <c r="H82" s="35"/>
    </row>
    <row r="83" spans="1:18" ht="14.1" customHeight="1" x14ac:dyDescent="0.2">
      <c r="A83" s="1"/>
      <c r="B83" s="1"/>
      <c r="C83" s="2" t="s">
        <v>11</v>
      </c>
      <c r="D83" s="1"/>
      <c r="E83" s="1" t="s">
        <v>12</v>
      </c>
      <c r="F83" s="3" t="s">
        <v>13</v>
      </c>
      <c r="G83" s="4">
        <v>0</v>
      </c>
      <c r="H83" s="35"/>
    </row>
    <row r="84" spans="1:18" ht="14.1" customHeight="1" x14ac:dyDescent="0.2">
      <c r="A84" s="1"/>
      <c r="B84" s="1"/>
      <c r="C84" s="5"/>
      <c r="D84" s="1"/>
      <c r="E84" s="1"/>
      <c r="F84" s="6"/>
      <c r="G84" s="6"/>
      <c r="H84" s="35"/>
    </row>
    <row r="85" spans="1:18" ht="24" customHeight="1" x14ac:dyDescent="0.2">
      <c r="A85" s="1"/>
      <c r="B85" s="1"/>
      <c r="C85" s="2" t="s">
        <v>85</v>
      </c>
      <c r="D85" s="1"/>
      <c r="E85" s="1"/>
      <c r="F85" s="6"/>
      <c r="G85" s="6"/>
      <c r="H85" s="35"/>
    </row>
    <row r="86" spans="1:18" ht="14.1" customHeight="1" x14ac:dyDescent="0.2">
      <c r="A86" s="1"/>
      <c r="B86" s="1"/>
      <c r="C86" s="2" t="s">
        <v>11</v>
      </c>
      <c r="D86" s="1"/>
      <c r="E86" s="1" t="s">
        <v>12</v>
      </c>
      <c r="F86" s="3" t="s">
        <v>13</v>
      </c>
      <c r="G86" s="4">
        <v>0</v>
      </c>
      <c r="H86" s="35"/>
    </row>
    <row r="87" spans="1:18" ht="14.1" customHeight="1" x14ac:dyDescent="0.2">
      <c r="A87" s="1"/>
      <c r="B87" s="1"/>
      <c r="C87" s="2"/>
      <c r="D87" s="1"/>
      <c r="E87" s="1"/>
      <c r="F87" s="3"/>
      <c r="G87" s="4"/>
      <c r="H87" s="35"/>
    </row>
    <row r="88" spans="1:18" x14ac:dyDescent="0.2">
      <c r="A88" s="50"/>
      <c r="B88" s="50"/>
      <c r="C88" s="51" t="s">
        <v>481</v>
      </c>
      <c r="D88" s="50"/>
      <c r="E88" s="50"/>
      <c r="F88" s="52"/>
      <c r="G88" s="52"/>
      <c r="H88" s="53"/>
      <c r="K88" s="47"/>
      <c r="L88" s="47"/>
      <c r="M88" s="47"/>
      <c r="N88" s="47"/>
      <c r="O88" s="47"/>
      <c r="P88" s="54"/>
      <c r="Q88" s="54"/>
      <c r="R88" s="54"/>
    </row>
    <row r="89" spans="1:18" ht="29.1" customHeight="1" x14ac:dyDescent="0.2">
      <c r="A89" s="8">
        <v>1</v>
      </c>
      <c r="B89" s="9" t="s">
        <v>81</v>
      </c>
      <c r="C89" s="9" t="s">
        <v>82</v>
      </c>
      <c r="D89" s="9"/>
      <c r="E89" s="14">
        <v>511.47399999999999</v>
      </c>
      <c r="F89" s="11">
        <v>52.335682992999999</v>
      </c>
      <c r="G89" s="12">
        <v>2.7568200000000001E-3</v>
      </c>
      <c r="H89" s="35"/>
    </row>
    <row r="90" spans="1:18" x14ac:dyDescent="0.2">
      <c r="A90" s="58"/>
      <c r="B90" s="58"/>
      <c r="C90" s="59" t="s">
        <v>11</v>
      </c>
      <c r="D90" s="58"/>
      <c r="E90" s="58" t="s">
        <v>12</v>
      </c>
      <c r="F90" s="60">
        <f>SUM(F89)</f>
        <v>52.335682992999999</v>
      </c>
      <c r="G90" s="61">
        <f>SUM(G89)</f>
        <v>2.7568200000000001E-3</v>
      </c>
      <c r="H90" s="53"/>
      <c r="K90" s="47"/>
      <c r="L90" s="47"/>
      <c r="M90" s="47"/>
      <c r="N90" s="47"/>
      <c r="O90" s="47"/>
      <c r="P90" s="54"/>
      <c r="Q90" s="54"/>
      <c r="R90" s="54"/>
    </row>
    <row r="91" spans="1:18" ht="14.1" customHeight="1" x14ac:dyDescent="0.2">
      <c r="A91" s="1"/>
      <c r="B91" s="9"/>
      <c r="C91" s="9"/>
      <c r="D91" s="2"/>
      <c r="E91" s="1"/>
      <c r="F91" s="9"/>
      <c r="G91" s="13"/>
      <c r="H91" s="35"/>
    </row>
    <row r="92" spans="1:18" ht="18" customHeight="1" x14ac:dyDescent="0.2">
      <c r="A92" s="13"/>
      <c r="B92" s="9"/>
      <c r="C92" s="9" t="s">
        <v>86</v>
      </c>
      <c r="D92" s="9"/>
      <c r="E92" s="13"/>
      <c r="F92" s="11">
        <v>339.71267011999998</v>
      </c>
      <c r="G92" s="12">
        <v>1.7894630000000002E-2</v>
      </c>
      <c r="H92" s="35"/>
    </row>
    <row r="93" spans="1:18" ht="14.1" customHeight="1" x14ac:dyDescent="0.2">
      <c r="A93" s="5"/>
      <c r="B93" s="5"/>
      <c r="C93" s="2" t="s">
        <v>87</v>
      </c>
      <c r="D93" s="6"/>
      <c r="E93" s="6"/>
      <c r="F93" s="7">
        <v>18984.058861100999</v>
      </c>
      <c r="G93" s="15">
        <v>1.0000000200000001</v>
      </c>
      <c r="H93" s="37"/>
    </row>
    <row r="94" spans="1:18" ht="14.1" customHeight="1" x14ac:dyDescent="0.2">
      <c r="A94" s="16"/>
      <c r="B94" s="16"/>
      <c r="C94" s="16"/>
      <c r="D94" s="17"/>
      <c r="E94" s="17"/>
      <c r="F94" s="17"/>
      <c r="G94" s="17"/>
      <c r="H94" s="38"/>
    </row>
    <row r="95" spans="1:18" ht="12.75" customHeight="1" x14ac:dyDescent="0.2">
      <c r="A95" s="44"/>
      <c r="B95" s="131" t="s">
        <v>477</v>
      </c>
      <c r="C95" s="131"/>
      <c r="D95" s="131"/>
      <c r="E95" s="131"/>
      <c r="F95" s="131"/>
      <c r="G95" s="131"/>
      <c r="H95" s="131"/>
    </row>
    <row r="96" spans="1:18" ht="12.75" customHeight="1" x14ac:dyDescent="0.2">
      <c r="A96" s="44"/>
      <c r="B96" s="131" t="s">
        <v>478</v>
      </c>
      <c r="C96" s="131"/>
      <c r="D96" s="131"/>
      <c r="E96" s="131"/>
      <c r="F96" s="131"/>
      <c r="G96" s="131"/>
      <c r="H96" s="131"/>
    </row>
    <row r="97" spans="1:10" ht="12.75" customHeight="1" x14ac:dyDescent="0.2">
      <c r="A97" s="44"/>
      <c r="B97" s="131" t="s">
        <v>479</v>
      </c>
      <c r="C97" s="131"/>
      <c r="D97" s="131"/>
      <c r="E97" s="131"/>
      <c r="F97" s="131"/>
      <c r="G97" s="131"/>
      <c r="H97" s="131"/>
    </row>
    <row r="98" spans="1:10" s="49" customFormat="1" ht="66" customHeight="1" x14ac:dyDescent="0.2">
      <c r="A98" s="48"/>
      <c r="B98" s="150" t="s">
        <v>480</v>
      </c>
      <c r="C98" s="150"/>
      <c r="D98" s="150"/>
      <c r="E98" s="150"/>
      <c r="F98" s="150"/>
      <c r="G98" s="150"/>
      <c r="H98" s="150"/>
      <c r="I98"/>
      <c r="J98" s="46"/>
    </row>
    <row r="99" spans="1:10" ht="14.1" customHeight="1" x14ac:dyDescent="0.2">
      <c r="A99" s="18"/>
      <c r="B99" s="18"/>
      <c r="C99" s="18"/>
      <c r="D99" s="20"/>
      <c r="E99" s="20"/>
      <c r="F99" s="20"/>
      <c r="G99" s="20"/>
      <c r="H99" s="39"/>
    </row>
    <row r="100" spans="1:10" ht="14.1" customHeight="1" x14ac:dyDescent="0.2">
      <c r="A100" s="18"/>
      <c r="B100" s="126" t="s">
        <v>88</v>
      </c>
      <c r="C100" s="127"/>
      <c r="D100" s="128"/>
      <c r="E100" s="21"/>
      <c r="F100" s="20"/>
      <c r="G100" s="20"/>
      <c r="H100" s="39"/>
    </row>
    <row r="101" spans="1:10" ht="29.1" customHeight="1" x14ac:dyDescent="0.2">
      <c r="A101" s="18"/>
      <c r="B101" s="129" t="s">
        <v>89</v>
      </c>
      <c r="C101" s="130"/>
      <c r="D101" s="2" t="s">
        <v>90</v>
      </c>
      <c r="E101" s="21"/>
      <c r="F101" s="20"/>
      <c r="G101" s="20"/>
      <c r="H101" s="39"/>
    </row>
    <row r="102" spans="1:10" ht="17.100000000000001" customHeight="1" x14ac:dyDescent="0.2">
      <c r="A102" s="18"/>
      <c r="B102" s="129" t="s">
        <v>91</v>
      </c>
      <c r="C102" s="130"/>
      <c r="D102" s="2" t="s">
        <v>90</v>
      </c>
      <c r="E102" s="21"/>
      <c r="F102" s="20"/>
      <c r="G102" s="20"/>
      <c r="H102" s="39"/>
    </row>
    <row r="103" spans="1:10" ht="17.100000000000001" customHeight="1" x14ac:dyDescent="0.2">
      <c r="A103" s="18"/>
      <c r="B103" s="129" t="s">
        <v>92</v>
      </c>
      <c r="C103" s="130"/>
      <c r="D103" s="6" t="s">
        <v>12</v>
      </c>
      <c r="E103" s="21"/>
      <c r="F103" s="20"/>
      <c r="G103" s="20"/>
      <c r="H103" s="39"/>
    </row>
    <row r="104" spans="1:10" x14ac:dyDescent="0.2">
      <c r="A104" s="22"/>
      <c r="B104" s="23" t="s">
        <v>12</v>
      </c>
      <c r="C104" s="23" t="s">
        <v>527</v>
      </c>
      <c r="D104" s="23" t="s">
        <v>93</v>
      </c>
      <c r="E104" s="22"/>
      <c r="F104" s="22"/>
      <c r="G104" s="22"/>
      <c r="H104" s="40"/>
    </row>
    <row r="105" spans="1:10" ht="18" customHeight="1" x14ac:dyDescent="0.2">
      <c r="A105" s="22"/>
      <c r="B105" s="24" t="s">
        <v>94</v>
      </c>
      <c r="C105" s="23" t="s">
        <v>95</v>
      </c>
      <c r="D105" s="23" t="s">
        <v>96</v>
      </c>
      <c r="E105" s="22"/>
      <c r="F105" s="22"/>
      <c r="G105" s="22"/>
      <c r="H105" s="40"/>
    </row>
    <row r="106" spans="1:10" ht="17.100000000000001" customHeight="1" x14ac:dyDescent="0.2">
      <c r="A106" s="22"/>
      <c r="B106" s="9" t="s">
        <v>97</v>
      </c>
      <c r="C106" s="25">
        <v>43.1783</v>
      </c>
      <c r="D106" s="25">
        <v>43.384700000000002</v>
      </c>
      <c r="E106" s="22"/>
      <c r="F106" s="19"/>
      <c r="G106" s="26"/>
      <c r="H106" s="41"/>
    </row>
    <row r="107" spans="1:10" ht="29.1" customHeight="1" x14ac:dyDescent="0.2">
      <c r="A107" s="22"/>
      <c r="B107" s="9" t="s">
        <v>541</v>
      </c>
      <c r="C107" s="25">
        <v>12.8939</v>
      </c>
      <c r="D107" s="25">
        <v>12.903</v>
      </c>
      <c r="E107" s="22"/>
      <c r="F107" s="19"/>
      <c r="G107" s="26"/>
      <c r="H107" s="41"/>
    </row>
    <row r="108" spans="1:10" ht="29.1" customHeight="1" x14ac:dyDescent="0.2">
      <c r="A108" s="22"/>
      <c r="B108" s="9" t="s">
        <v>546</v>
      </c>
      <c r="C108" s="25">
        <v>12.8939</v>
      </c>
      <c r="D108" s="25">
        <v>12.903</v>
      </c>
      <c r="E108" s="22"/>
      <c r="F108" s="19"/>
      <c r="G108" s="26"/>
      <c r="H108" s="41"/>
    </row>
    <row r="109" spans="1:10" ht="29.1" customHeight="1" x14ac:dyDescent="0.2">
      <c r="A109" s="22"/>
      <c r="B109" s="9" t="s">
        <v>532</v>
      </c>
      <c r="C109" s="25">
        <v>12.914</v>
      </c>
      <c r="D109" s="25">
        <v>12.9757</v>
      </c>
      <c r="E109" s="22"/>
      <c r="F109" s="19"/>
      <c r="G109" s="26"/>
      <c r="H109" s="41"/>
    </row>
    <row r="110" spans="1:10" ht="29.1" customHeight="1" x14ac:dyDescent="0.2">
      <c r="A110" s="22"/>
      <c r="B110" s="9" t="s">
        <v>533</v>
      </c>
      <c r="C110" s="25">
        <v>14.104200000000001</v>
      </c>
      <c r="D110" s="25">
        <v>14.1716</v>
      </c>
      <c r="E110" s="22"/>
      <c r="F110" s="19"/>
      <c r="G110" s="26"/>
      <c r="H110" s="41"/>
    </row>
    <row r="111" spans="1:10" ht="29.1" customHeight="1" x14ac:dyDescent="0.2">
      <c r="A111" s="22"/>
      <c r="B111" s="9" t="s">
        <v>534</v>
      </c>
      <c r="C111" s="25">
        <v>13.939299999999999</v>
      </c>
      <c r="D111" s="25">
        <v>14.0059</v>
      </c>
      <c r="E111" s="22"/>
      <c r="F111" s="19"/>
      <c r="G111" s="26"/>
      <c r="H111" s="41"/>
    </row>
    <row r="112" spans="1:10" ht="29.1" customHeight="1" x14ac:dyDescent="0.2">
      <c r="A112" s="22"/>
      <c r="B112" s="9" t="s">
        <v>535</v>
      </c>
      <c r="C112" s="25">
        <v>14.082100000000001</v>
      </c>
      <c r="D112" s="25">
        <v>14.1496</v>
      </c>
      <c r="E112" s="22"/>
      <c r="F112" s="19"/>
      <c r="G112" s="26"/>
      <c r="H112" s="41"/>
    </row>
    <row r="113" spans="1:8" ht="17.100000000000001" customHeight="1" x14ac:dyDescent="0.2">
      <c r="A113" s="22"/>
      <c r="B113" s="9" t="s">
        <v>98</v>
      </c>
      <c r="C113" s="25">
        <v>40.176400000000001</v>
      </c>
      <c r="D113" s="25">
        <v>40.359200000000001</v>
      </c>
      <c r="E113" s="22"/>
      <c r="F113" s="19"/>
      <c r="G113" s="26"/>
      <c r="H113" s="41"/>
    </row>
    <row r="114" spans="1:8" ht="17.100000000000001" customHeight="1" x14ac:dyDescent="0.2">
      <c r="A114" s="22"/>
      <c r="B114" s="9" t="s">
        <v>131</v>
      </c>
      <c r="C114" s="25">
        <v>14.512700000000001</v>
      </c>
      <c r="D114" s="25">
        <v>14.578799999999999</v>
      </c>
      <c r="E114" s="22"/>
      <c r="F114" s="19"/>
      <c r="G114" s="26"/>
      <c r="H114" s="41"/>
    </row>
    <row r="115" spans="1:8" ht="29.1" customHeight="1" x14ac:dyDescent="0.2">
      <c r="A115" s="22"/>
      <c r="B115" s="9" t="s">
        <v>544</v>
      </c>
      <c r="C115" s="25">
        <v>12.8583</v>
      </c>
      <c r="D115" s="25">
        <v>12.8672</v>
      </c>
      <c r="E115" s="22"/>
      <c r="F115" s="19"/>
      <c r="G115" s="26"/>
      <c r="H115" s="41"/>
    </row>
    <row r="116" spans="1:8" ht="29.1" customHeight="1" x14ac:dyDescent="0.2">
      <c r="A116" s="22"/>
      <c r="B116" s="9" t="s">
        <v>545</v>
      </c>
      <c r="C116" s="25">
        <v>12.8584</v>
      </c>
      <c r="D116" s="25">
        <v>12.8673</v>
      </c>
      <c r="E116" s="22"/>
      <c r="F116" s="19"/>
      <c r="G116" s="26"/>
      <c r="H116" s="41"/>
    </row>
    <row r="117" spans="1:8" ht="29.1" customHeight="1" x14ac:dyDescent="0.2">
      <c r="A117" s="22"/>
      <c r="B117" s="9" t="s">
        <v>536</v>
      </c>
      <c r="C117" s="25">
        <v>12.8765</v>
      </c>
      <c r="D117" s="25">
        <v>12.935</v>
      </c>
      <c r="E117" s="22"/>
      <c r="F117" s="19"/>
      <c r="G117" s="26"/>
      <c r="H117" s="41"/>
    </row>
    <row r="118" spans="1:8" ht="29.1" customHeight="1" x14ac:dyDescent="0.2">
      <c r="A118" s="22"/>
      <c r="B118" s="9" t="s">
        <v>531</v>
      </c>
      <c r="C118" s="25">
        <v>13.8742</v>
      </c>
      <c r="D118" s="25">
        <v>13.9373</v>
      </c>
      <c r="E118" s="22"/>
      <c r="F118" s="19"/>
      <c r="G118" s="26"/>
      <c r="H118" s="41"/>
    </row>
    <row r="119" spans="1:8" ht="29.1" customHeight="1" x14ac:dyDescent="0.2">
      <c r="A119" s="22"/>
      <c r="B119" s="9" t="s">
        <v>537</v>
      </c>
      <c r="C119" s="25">
        <v>13.7094</v>
      </c>
      <c r="D119" s="25">
        <v>13.771800000000001</v>
      </c>
      <c r="E119" s="22"/>
      <c r="F119" s="19"/>
      <c r="G119" s="26"/>
      <c r="H119" s="41"/>
    </row>
    <row r="120" spans="1:8" ht="29.1" customHeight="1" x14ac:dyDescent="0.2">
      <c r="A120" s="22"/>
      <c r="B120" s="9" t="s">
        <v>538</v>
      </c>
      <c r="C120" s="25">
        <v>13.8527</v>
      </c>
      <c r="D120" s="25">
        <v>13.915699999999999</v>
      </c>
      <c r="E120" s="22"/>
      <c r="F120" s="19"/>
      <c r="G120" s="26"/>
      <c r="H120" s="41"/>
    </row>
    <row r="121" spans="1:8" ht="14.1" customHeight="1" x14ac:dyDescent="0.2">
      <c r="A121" s="22"/>
      <c r="B121" s="22"/>
      <c r="C121" s="22"/>
      <c r="D121" s="22"/>
      <c r="E121" s="22"/>
      <c r="F121" s="22"/>
      <c r="G121" s="22"/>
      <c r="H121" s="40"/>
    </row>
    <row r="122" spans="1:8" ht="17.100000000000001" customHeight="1" x14ac:dyDescent="0.2">
      <c r="A122" s="22"/>
      <c r="B122" s="129" t="s">
        <v>539</v>
      </c>
      <c r="C122" s="130"/>
      <c r="D122" s="2" t="s">
        <v>12</v>
      </c>
      <c r="E122" s="22"/>
      <c r="F122" s="22"/>
      <c r="G122" s="22"/>
      <c r="H122" s="40"/>
    </row>
    <row r="123" spans="1:8" ht="18" customHeight="1" x14ac:dyDescent="0.2">
      <c r="A123" s="22"/>
      <c r="B123" s="28" t="s">
        <v>94</v>
      </c>
      <c r="C123" s="29" t="s">
        <v>132</v>
      </c>
      <c r="D123" s="29" t="s">
        <v>133</v>
      </c>
      <c r="E123" s="22"/>
      <c r="F123" s="22"/>
      <c r="G123" s="22"/>
      <c r="H123" s="40"/>
    </row>
    <row r="124" spans="1:8" ht="29.1" customHeight="1" x14ac:dyDescent="0.2">
      <c r="A124" s="22"/>
      <c r="B124" s="9" t="s">
        <v>541</v>
      </c>
      <c r="C124" s="30">
        <v>5.2400000000000002E-2</v>
      </c>
      <c r="D124" s="13" t="s">
        <v>134</v>
      </c>
      <c r="E124" s="22"/>
      <c r="F124" s="19"/>
      <c r="G124" s="26"/>
      <c r="H124" s="41"/>
    </row>
    <row r="125" spans="1:8" ht="29.1" customHeight="1" x14ac:dyDescent="0.2">
      <c r="A125" s="22"/>
      <c r="B125" s="9" t="s">
        <v>546</v>
      </c>
      <c r="C125" s="30">
        <v>5.2499999999999998E-2</v>
      </c>
      <c r="D125" s="13" t="s">
        <v>134</v>
      </c>
      <c r="E125" s="22"/>
      <c r="F125" s="19"/>
      <c r="G125" s="26"/>
      <c r="H125" s="41"/>
    </row>
    <row r="126" spans="1:8" ht="29.1" customHeight="1" x14ac:dyDescent="0.2">
      <c r="A126" s="22"/>
      <c r="B126" s="9" t="s">
        <v>544</v>
      </c>
      <c r="C126" s="30">
        <v>4.9500000000000002E-2</v>
      </c>
      <c r="D126" s="13" t="s">
        <v>134</v>
      </c>
      <c r="E126" s="22"/>
      <c r="F126" s="19"/>
      <c r="G126" s="26"/>
      <c r="H126" s="41"/>
    </row>
    <row r="127" spans="1:8" ht="29.1" customHeight="1" x14ac:dyDescent="0.2">
      <c r="A127" s="22"/>
      <c r="B127" s="9" t="s">
        <v>545</v>
      </c>
      <c r="C127" s="30">
        <v>4.9399999999999999E-2</v>
      </c>
      <c r="D127" s="13" t="s">
        <v>134</v>
      </c>
      <c r="E127" s="22"/>
      <c r="F127" s="19"/>
      <c r="G127" s="26"/>
      <c r="H127" s="41"/>
    </row>
    <row r="128" spans="1:8" ht="14.1" customHeight="1" x14ac:dyDescent="0.2">
      <c r="A128" s="22"/>
      <c r="B128" s="31"/>
      <c r="C128" s="31"/>
      <c r="D128" s="32"/>
      <c r="E128" s="22"/>
      <c r="F128" s="19"/>
      <c r="G128" s="26"/>
      <c r="H128" s="41"/>
    </row>
    <row r="129" spans="1:19" s="71" customFormat="1" ht="17.100000000000001" customHeight="1" x14ac:dyDescent="0.2">
      <c r="A129" s="69"/>
      <c r="B129" s="132" t="s">
        <v>496</v>
      </c>
      <c r="C129" s="133"/>
      <c r="D129" s="51" t="s">
        <v>90</v>
      </c>
      <c r="E129" s="69"/>
      <c r="F129" s="69"/>
      <c r="G129" s="69"/>
      <c r="I129"/>
      <c r="J129" s="46"/>
      <c r="K129" s="47"/>
      <c r="L129" s="47"/>
      <c r="M129" s="47"/>
      <c r="N129" s="47"/>
      <c r="O129"/>
      <c r="R129"/>
      <c r="S129"/>
    </row>
    <row r="130" spans="1:19" s="71" customFormat="1" ht="29.1" customHeight="1" x14ac:dyDescent="0.2">
      <c r="A130" s="69"/>
      <c r="B130" s="132" t="s">
        <v>497</v>
      </c>
      <c r="C130" s="133"/>
      <c r="D130" s="51" t="s">
        <v>90</v>
      </c>
      <c r="E130" s="70"/>
      <c r="F130" s="69"/>
      <c r="G130" s="69"/>
      <c r="I130"/>
      <c r="J130" s="46"/>
      <c r="K130"/>
      <c r="L130"/>
      <c r="M130"/>
      <c r="N130"/>
      <c r="O130"/>
      <c r="R130"/>
      <c r="S130"/>
    </row>
    <row r="131" spans="1:19" s="71" customFormat="1" ht="29.1" customHeight="1" x14ac:dyDescent="0.2">
      <c r="A131" s="69"/>
      <c r="B131" s="132" t="s">
        <v>498</v>
      </c>
      <c r="C131" s="133"/>
      <c r="D131" s="51" t="s">
        <v>90</v>
      </c>
      <c r="E131" s="70"/>
      <c r="F131" s="69"/>
      <c r="G131" s="69"/>
      <c r="I131"/>
      <c r="J131" s="46"/>
      <c r="K131" s="47"/>
      <c r="L131" s="47"/>
      <c r="M131" s="47"/>
      <c r="N131" s="47"/>
      <c r="O131"/>
      <c r="R131"/>
      <c r="S131"/>
    </row>
    <row r="132" spans="1:19" s="71" customFormat="1" ht="17.100000000000001" customHeight="1" x14ac:dyDescent="0.2">
      <c r="A132" s="69"/>
      <c r="B132" s="132" t="s">
        <v>499</v>
      </c>
      <c r="C132" s="133"/>
      <c r="D132" s="51" t="s">
        <v>90</v>
      </c>
      <c r="E132" s="70"/>
      <c r="F132" s="69"/>
      <c r="G132" s="69"/>
      <c r="I132"/>
      <c r="J132" s="46"/>
      <c r="K132" s="47"/>
      <c r="L132" s="47"/>
      <c r="M132" s="47"/>
      <c r="N132" s="47"/>
      <c r="O132" s="79"/>
      <c r="R132"/>
      <c r="S132"/>
    </row>
    <row r="133" spans="1:19" s="71" customFormat="1" x14ac:dyDescent="0.2">
      <c r="I133"/>
      <c r="J133" s="46"/>
      <c r="K133" s="47"/>
      <c r="L133" s="47"/>
      <c r="M133" s="47"/>
      <c r="N133" s="47"/>
      <c r="O133" s="79"/>
      <c r="R133"/>
      <c r="S133"/>
    </row>
    <row r="134" spans="1:19" s="71" customFormat="1" x14ac:dyDescent="0.2">
      <c r="B134" s="135" t="s">
        <v>488</v>
      </c>
      <c r="C134" s="136"/>
      <c r="D134" s="137"/>
      <c r="I134"/>
      <c r="J134" s="46"/>
      <c r="K134" s="47"/>
      <c r="L134" s="47"/>
      <c r="M134" s="47"/>
      <c r="N134" s="47"/>
      <c r="O134" s="79"/>
      <c r="R134"/>
      <c r="S134"/>
    </row>
    <row r="135" spans="1:19" s="71" customFormat="1" ht="25.5" x14ac:dyDescent="0.2">
      <c r="B135" s="134" t="s">
        <v>489</v>
      </c>
      <c r="C135" s="134"/>
      <c r="D135" s="72" t="s">
        <v>346</v>
      </c>
      <c r="I135"/>
      <c r="J135" s="46"/>
      <c r="K135" s="47"/>
      <c r="L135" s="47"/>
      <c r="M135" s="47"/>
      <c r="N135" s="47"/>
      <c r="O135" s="79"/>
      <c r="R135"/>
      <c r="S135"/>
    </row>
    <row r="136" spans="1:19" s="71" customFormat="1" x14ac:dyDescent="0.2">
      <c r="B136" s="138" t="s">
        <v>490</v>
      </c>
      <c r="C136" s="138"/>
      <c r="D136" s="73"/>
      <c r="I136"/>
      <c r="J136" s="46"/>
      <c r="K136" s="47"/>
      <c r="L136" s="47"/>
      <c r="M136" s="47"/>
      <c r="N136" s="47"/>
      <c r="O136" s="79"/>
      <c r="R136"/>
      <c r="S136"/>
    </row>
    <row r="137" spans="1:19" s="71" customFormat="1" x14ac:dyDescent="0.2">
      <c r="B137" s="138"/>
      <c r="C137" s="138"/>
      <c r="D137" s="74"/>
      <c r="I137"/>
      <c r="J137" s="46"/>
      <c r="K137" s="47"/>
      <c r="L137" s="47"/>
      <c r="M137" s="47"/>
      <c r="N137" s="47"/>
      <c r="O137" s="79"/>
      <c r="R137"/>
      <c r="S137"/>
    </row>
    <row r="138" spans="1:19" s="71" customFormat="1" x14ac:dyDescent="0.2">
      <c r="B138" s="138" t="s">
        <v>491</v>
      </c>
      <c r="C138" s="138"/>
      <c r="D138" s="75">
        <v>7.3968087455729812</v>
      </c>
      <c r="I138"/>
      <c r="J138" s="46"/>
      <c r="K138" s="47"/>
      <c r="L138" s="47"/>
      <c r="M138" s="47"/>
      <c r="N138" s="47"/>
      <c r="O138" s="79"/>
    </row>
    <row r="139" spans="1:19" s="71" customFormat="1" x14ac:dyDescent="0.2">
      <c r="B139" s="138"/>
      <c r="C139" s="138"/>
      <c r="D139" s="74"/>
      <c r="I139"/>
      <c r="J139" s="46"/>
      <c r="K139" s="47"/>
      <c r="L139" s="47"/>
      <c r="M139" s="47"/>
      <c r="N139" s="47"/>
      <c r="O139" s="79"/>
    </row>
    <row r="140" spans="1:19" s="71" customFormat="1" x14ac:dyDescent="0.2">
      <c r="B140" s="138" t="s">
        <v>492</v>
      </c>
      <c r="C140" s="138"/>
      <c r="D140" s="75">
        <v>3.0084224524252252</v>
      </c>
      <c r="I140"/>
      <c r="J140" s="46"/>
      <c r="K140" s="47"/>
      <c r="L140" s="47"/>
      <c r="M140" s="47"/>
      <c r="N140" s="47"/>
      <c r="O140" s="79"/>
    </row>
    <row r="141" spans="1:19" s="71" customFormat="1" x14ac:dyDescent="0.2">
      <c r="B141" s="138" t="s">
        <v>493</v>
      </c>
      <c r="C141" s="138"/>
      <c r="D141" s="75">
        <v>3.9125153508147155</v>
      </c>
      <c r="I141"/>
      <c r="J141" s="46"/>
      <c r="K141" s="47"/>
      <c r="L141" s="47"/>
      <c r="M141" s="47"/>
      <c r="N141" s="47"/>
      <c r="O141" s="79"/>
    </row>
    <row r="142" spans="1:19" s="71" customFormat="1" x14ac:dyDescent="0.2">
      <c r="B142" s="138"/>
      <c r="C142" s="138"/>
      <c r="D142" s="74"/>
      <c r="I142"/>
      <c r="J142" s="46"/>
      <c r="K142" s="47"/>
      <c r="L142" s="47"/>
      <c r="M142" s="47"/>
      <c r="N142" s="47"/>
      <c r="O142" s="79"/>
    </row>
    <row r="143" spans="1:19" s="71" customFormat="1" x14ac:dyDescent="0.2">
      <c r="B143" s="138" t="s">
        <v>494</v>
      </c>
      <c r="C143" s="138"/>
      <c r="D143" s="76" t="s">
        <v>523</v>
      </c>
      <c r="I143"/>
      <c r="J143" s="46"/>
      <c r="K143" s="47"/>
      <c r="L143" s="47"/>
      <c r="M143" s="47"/>
      <c r="N143" s="47"/>
      <c r="O143" s="79"/>
    </row>
    <row r="144" spans="1:19" s="71" customFormat="1" x14ac:dyDescent="0.2">
      <c r="B144" s="139" t="s">
        <v>495</v>
      </c>
      <c r="C144" s="141"/>
      <c r="D144" s="140"/>
      <c r="I144"/>
      <c r="J144" s="46"/>
      <c r="K144" s="47"/>
      <c r="L144" s="47"/>
      <c r="M144" s="47"/>
      <c r="N144" s="47"/>
      <c r="O144" s="79"/>
    </row>
    <row r="150" spans="9:9" x14ac:dyDescent="0.2">
      <c r="I150" s="47"/>
    </row>
    <row r="158" spans="9:9" x14ac:dyDescent="0.2">
      <c r="I158" s="47"/>
    </row>
    <row r="159" spans="9:9" x14ac:dyDescent="0.2">
      <c r="I159" s="47"/>
    </row>
    <row r="160" spans="9:9" x14ac:dyDescent="0.2">
      <c r="I160" s="47"/>
    </row>
    <row r="161" spans="9:9" x14ac:dyDescent="0.2">
      <c r="I161" s="47"/>
    </row>
  </sheetData>
  <mergeCells count="27">
    <mergeCell ref="B131:C131"/>
    <mergeCell ref="B132:C132"/>
    <mergeCell ref="B144:D144"/>
    <mergeCell ref="B139:C139"/>
    <mergeCell ref="B140:C140"/>
    <mergeCell ref="B141:C141"/>
    <mergeCell ref="B142:C142"/>
    <mergeCell ref="B143:C143"/>
    <mergeCell ref="B135:C135"/>
    <mergeCell ref="B136:C136"/>
    <mergeCell ref="B137:C137"/>
    <mergeCell ref="B138:C138"/>
    <mergeCell ref="B134:D134"/>
    <mergeCell ref="B103:C103"/>
    <mergeCell ref="B122:C122"/>
    <mergeCell ref="B130:C130"/>
    <mergeCell ref="A1:H1"/>
    <mergeCell ref="A2:H2"/>
    <mergeCell ref="B100:D100"/>
    <mergeCell ref="B101:C101"/>
    <mergeCell ref="B102:C102"/>
    <mergeCell ref="B98:H98"/>
    <mergeCell ref="B97:H97"/>
    <mergeCell ref="B95:H95"/>
    <mergeCell ref="B96:H96"/>
    <mergeCell ref="A3:H3"/>
    <mergeCell ref="B129:C129"/>
  </mergeCells>
  <hyperlinks>
    <hyperlink ref="I1" location="Index!B7" display="Index" xr:uid="{1AF3BD66-BF1F-434E-845F-641038FB75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R193"/>
  <sheetViews>
    <sheetView showGridLines="0" workbookViewId="0">
      <selection activeCell="D148" sqref="D148"/>
    </sheetView>
  </sheetViews>
  <sheetFormatPr defaultRowHeight="12.75" x14ac:dyDescent="0.2"/>
  <cols>
    <col min="1" max="1" width="5.85546875" bestFit="1" customWidth="1"/>
    <col min="2" max="2" width="20.42578125" bestFit="1" customWidth="1"/>
    <col min="3" max="3" width="39.140625" bestFit="1" customWidth="1"/>
    <col min="4" max="4" width="17.28515625" customWidth="1"/>
    <col min="5" max="5" width="9.42578125" bestFit="1" customWidth="1"/>
    <col min="6" max="6" width="10.140625" bestFit="1" customWidth="1"/>
    <col min="7" max="7" width="14" bestFit="1" customWidth="1"/>
    <col min="8" max="8" width="8.42578125" style="43"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360</v>
      </c>
      <c r="B2" s="125"/>
      <c r="C2" s="125"/>
      <c r="D2" s="125"/>
      <c r="E2" s="125"/>
      <c r="F2" s="125"/>
      <c r="G2" s="125"/>
      <c r="H2" s="125"/>
      <c r="J2" s="117" t="s">
        <v>576</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6" t="s">
        <v>476</v>
      </c>
      <c r="I4" s="118"/>
      <c r="J4" s="46"/>
    </row>
    <row r="5" spans="1:10" ht="14.1" customHeight="1" x14ac:dyDescent="0.2">
      <c r="A5" s="1"/>
      <c r="B5" s="1"/>
      <c r="C5" s="2" t="s">
        <v>9</v>
      </c>
      <c r="D5" s="1"/>
      <c r="E5" s="1"/>
      <c r="F5" s="1"/>
      <c r="G5" s="1"/>
      <c r="H5" s="35"/>
    </row>
    <row r="6" spans="1:10" x14ac:dyDescent="0.2">
      <c r="A6" s="1"/>
      <c r="B6" s="1"/>
      <c r="C6" s="2" t="s">
        <v>10</v>
      </c>
      <c r="D6" s="1"/>
      <c r="E6" s="1"/>
      <c r="F6" s="1"/>
      <c r="G6" s="1"/>
      <c r="H6" s="35"/>
    </row>
    <row r="7" spans="1:10" ht="14.1" customHeight="1" x14ac:dyDescent="0.2">
      <c r="A7" s="1"/>
      <c r="B7" s="1"/>
      <c r="C7" s="2" t="s">
        <v>11</v>
      </c>
      <c r="D7" s="1"/>
      <c r="E7" s="1" t="s">
        <v>12</v>
      </c>
      <c r="F7" s="3" t="s">
        <v>13</v>
      </c>
      <c r="G7" s="4">
        <v>0</v>
      </c>
      <c r="H7" s="35"/>
    </row>
    <row r="8" spans="1:10" ht="14.1" customHeight="1" x14ac:dyDescent="0.2">
      <c r="A8" s="1"/>
      <c r="B8" s="1"/>
      <c r="C8" s="5"/>
      <c r="D8" s="1"/>
      <c r="E8" s="1"/>
      <c r="F8" s="6"/>
      <c r="G8" s="6"/>
      <c r="H8" s="35"/>
    </row>
    <row r="9" spans="1:10" ht="14.1" customHeight="1" x14ac:dyDescent="0.2">
      <c r="A9" s="1"/>
      <c r="B9" s="1"/>
      <c r="C9" s="2" t="s">
        <v>14</v>
      </c>
      <c r="D9" s="1"/>
      <c r="E9" s="1"/>
      <c r="F9" s="1"/>
      <c r="G9" s="1"/>
      <c r="H9" s="35"/>
    </row>
    <row r="10" spans="1:10" ht="14.1" customHeight="1" x14ac:dyDescent="0.2">
      <c r="A10" s="1"/>
      <c r="B10" s="1"/>
      <c r="C10" s="2" t="s">
        <v>11</v>
      </c>
      <c r="D10" s="1"/>
      <c r="E10" s="1" t="s">
        <v>12</v>
      </c>
      <c r="F10" s="3" t="s">
        <v>13</v>
      </c>
      <c r="G10" s="4">
        <v>0</v>
      </c>
      <c r="H10" s="35"/>
    </row>
    <row r="11" spans="1:10" ht="14.1" customHeight="1" x14ac:dyDescent="0.2">
      <c r="A11" s="1"/>
      <c r="B11" s="1"/>
      <c r="C11" s="5"/>
      <c r="D11" s="1"/>
      <c r="E11" s="1"/>
      <c r="F11" s="6"/>
      <c r="G11" s="6"/>
      <c r="H11" s="35"/>
    </row>
    <row r="12" spans="1:10" ht="14.1" customHeight="1" x14ac:dyDescent="0.2">
      <c r="A12" s="1"/>
      <c r="B12" s="1"/>
      <c r="C12" s="2" t="s">
        <v>15</v>
      </c>
      <c r="D12" s="1"/>
      <c r="E12" s="1"/>
      <c r="F12" s="1"/>
      <c r="G12" s="1"/>
      <c r="H12" s="35"/>
      <c r="J12" s="119"/>
    </row>
    <row r="13" spans="1:10" ht="14.1" customHeight="1" x14ac:dyDescent="0.2">
      <c r="A13" s="1"/>
      <c r="B13" s="1"/>
      <c r="C13" s="2" t="s">
        <v>11</v>
      </c>
      <c r="D13" s="1"/>
      <c r="E13" s="1" t="s">
        <v>12</v>
      </c>
      <c r="F13" s="3" t="s">
        <v>13</v>
      </c>
      <c r="G13" s="4">
        <v>0</v>
      </c>
      <c r="H13" s="35"/>
      <c r="J13" s="120"/>
    </row>
    <row r="14" spans="1:10" ht="14.1" customHeight="1" x14ac:dyDescent="0.2">
      <c r="A14" s="1"/>
      <c r="B14" s="1"/>
      <c r="C14" s="5"/>
      <c r="D14" s="1"/>
      <c r="E14" s="1"/>
      <c r="F14" s="6"/>
      <c r="G14" s="6"/>
      <c r="H14" s="35"/>
      <c r="J14" s="120"/>
    </row>
    <row r="15" spans="1:10" ht="14.1" customHeight="1" x14ac:dyDescent="0.2">
      <c r="A15" s="1"/>
      <c r="B15" s="1"/>
      <c r="C15" s="2" t="s">
        <v>16</v>
      </c>
      <c r="D15" s="1"/>
      <c r="E15" s="1"/>
      <c r="F15" s="1"/>
      <c r="G15" s="1"/>
      <c r="H15" s="35"/>
      <c r="J15" s="120" t="s">
        <v>577</v>
      </c>
    </row>
    <row r="16" spans="1:10" ht="14.1" customHeight="1" x14ac:dyDescent="0.2">
      <c r="A16" s="1"/>
      <c r="B16" s="1"/>
      <c r="C16" s="2" t="s">
        <v>11</v>
      </c>
      <c r="D16" s="1"/>
      <c r="E16" s="1" t="s">
        <v>12</v>
      </c>
      <c r="F16" s="3" t="s">
        <v>13</v>
      </c>
      <c r="G16" s="4">
        <v>0</v>
      </c>
      <c r="H16" s="35"/>
    </row>
    <row r="17" spans="1:10" ht="14.1" customHeight="1" x14ac:dyDescent="0.2">
      <c r="A17" s="1"/>
      <c r="B17" s="1"/>
      <c r="C17" s="5"/>
      <c r="D17" s="1"/>
      <c r="E17" s="1"/>
      <c r="F17" s="6"/>
      <c r="G17" s="6"/>
      <c r="H17" s="35"/>
    </row>
    <row r="18" spans="1:10" ht="14.1" customHeight="1" x14ac:dyDescent="0.2">
      <c r="A18" s="1"/>
      <c r="B18" s="1"/>
      <c r="C18" s="2" t="s">
        <v>17</v>
      </c>
      <c r="D18" s="1"/>
      <c r="E18" s="1"/>
      <c r="F18" s="6"/>
      <c r="G18" s="6"/>
      <c r="H18" s="35"/>
    </row>
    <row r="19" spans="1:10" ht="14.1" customHeight="1" x14ac:dyDescent="0.2">
      <c r="A19" s="1"/>
      <c r="B19" s="1"/>
      <c r="C19" s="2" t="s">
        <v>11</v>
      </c>
      <c r="D19" s="1"/>
      <c r="E19" s="1" t="s">
        <v>12</v>
      </c>
      <c r="F19" s="3" t="s">
        <v>13</v>
      </c>
      <c r="G19" s="4">
        <v>0</v>
      </c>
      <c r="H19" s="35"/>
    </row>
    <row r="20" spans="1:10" ht="14.1" customHeight="1" x14ac:dyDescent="0.2">
      <c r="A20" s="1"/>
      <c r="B20" s="1"/>
      <c r="C20" s="5"/>
      <c r="D20" s="1"/>
      <c r="E20" s="1"/>
      <c r="F20" s="6"/>
      <c r="G20" s="6"/>
      <c r="H20" s="35"/>
    </row>
    <row r="21" spans="1:10" ht="14.1" customHeight="1" x14ac:dyDescent="0.2">
      <c r="A21" s="1"/>
      <c r="B21" s="1"/>
      <c r="C21" s="2" t="s">
        <v>18</v>
      </c>
      <c r="D21" s="1"/>
      <c r="E21" s="1"/>
      <c r="F21" s="6"/>
      <c r="G21" s="6"/>
      <c r="H21" s="35"/>
    </row>
    <row r="22" spans="1:10" ht="14.1" customHeight="1" x14ac:dyDescent="0.2">
      <c r="A22" s="1"/>
      <c r="B22" s="1"/>
      <c r="C22" s="2" t="s">
        <v>11</v>
      </c>
      <c r="D22" s="1"/>
      <c r="E22" s="1" t="s">
        <v>12</v>
      </c>
      <c r="F22" s="3" t="s">
        <v>13</v>
      </c>
      <c r="G22" s="4">
        <v>0</v>
      </c>
      <c r="H22" s="35"/>
      <c r="J22" s="119"/>
    </row>
    <row r="23" spans="1:10" ht="14.1" customHeight="1" x14ac:dyDescent="0.2">
      <c r="A23" s="1"/>
      <c r="B23" s="1"/>
      <c r="C23" s="5"/>
      <c r="D23" s="1"/>
      <c r="E23" s="1"/>
      <c r="F23" s="6"/>
      <c r="G23" s="6"/>
      <c r="H23" s="35"/>
      <c r="J23" s="120"/>
    </row>
    <row r="24" spans="1:10" ht="18" customHeight="1" x14ac:dyDescent="0.2">
      <c r="A24" s="1"/>
      <c r="B24" s="1"/>
      <c r="C24" s="2" t="s">
        <v>19</v>
      </c>
      <c r="D24" s="1"/>
      <c r="E24" s="1"/>
      <c r="F24" s="7">
        <v>0</v>
      </c>
      <c r="G24" s="4">
        <v>0</v>
      </c>
      <c r="H24" s="35"/>
    </row>
    <row r="25" spans="1:10" ht="14.1" customHeight="1" x14ac:dyDescent="0.2">
      <c r="A25" s="1"/>
      <c r="B25" s="1"/>
      <c r="C25" s="5"/>
      <c r="D25" s="1"/>
      <c r="E25" s="1"/>
      <c r="F25" s="6"/>
      <c r="G25" s="6"/>
      <c r="H25" s="35"/>
    </row>
    <row r="26" spans="1:10" ht="14.1" customHeight="1" x14ac:dyDescent="0.2">
      <c r="A26" s="1"/>
      <c r="B26" s="1"/>
      <c r="C26" s="2" t="s">
        <v>20</v>
      </c>
      <c r="D26" s="1"/>
      <c r="E26" s="1"/>
      <c r="F26" s="6"/>
      <c r="G26" s="6"/>
      <c r="H26" s="35"/>
    </row>
    <row r="27" spans="1:10" ht="24" customHeight="1" x14ac:dyDescent="0.2">
      <c r="A27" s="1"/>
      <c r="B27" s="1"/>
      <c r="C27" s="2" t="s">
        <v>10</v>
      </c>
      <c r="D27" s="1"/>
      <c r="E27" s="1"/>
      <c r="F27" s="6"/>
      <c r="G27" s="6"/>
      <c r="H27" s="35"/>
      <c r="J27" s="120" t="s">
        <v>578</v>
      </c>
    </row>
    <row r="28" spans="1:10" ht="17.100000000000001" customHeight="1" x14ac:dyDescent="0.2">
      <c r="A28" s="8">
        <v>1</v>
      </c>
      <c r="B28" s="9" t="s">
        <v>168</v>
      </c>
      <c r="C28" s="9" t="s">
        <v>169</v>
      </c>
      <c r="D28" s="9" t="s">
        <v>170</v>
      </c>
      <c r="E28" s="10">
        <v>5000</v>
      </c>
      <c r="F28" s="11">
        <v>5004.8</v>
      </c>
      <c r="G28" s="12">
        <v>2.1927140000000001E-2</v>
      </c>
      <c r="H28" s="35">
        <v>8.7650000000000006</v>
      </c>
    </row>
    <row r="29" spans="1:10" ht="29.1" customHeight="1" x14ac:dyDescent="0.2">
      <c r="A29" s="8">
        <v>2</v>
      </c>
      <c r="B29" s="9" t="s">
        <v>175</v>
      </c>
      <c r="C29" s="9" t="s">
        <v>176</v>
      </c>
      <c r="D29" s="9" t="s">
        <v>23</v>
      </c>
      <c r="E29" s="10">
        <v>300</v>
      </c>
      <c r="F29" s="11">
        <v>2955.768</v>
      </c>
      <c r="G29" s="12">
        <v>1.294988E-2</v>
      </c>
      <c r="H29" s="35">
        <v>7.82</v>
      </c>
    </row>
    <row r="30" spans="1:10" ht="29.1" customHeight="1" x14ac:dyDescent="0.2">
      <c r="A30" s="8">
        <v>3</v>
      </c>
      <c r="B30" s="9" t="s">
        <v>361</v>
      </c>
      <c r="C30" s="9" t="s">
        <v>362</v>
      </c>
      <c r="D30" s="9" t="s">
        <v>363</v>
      </c>
      <c r="E30" s="10">
        <v>250000</v>
      </c>
      <c r="F30" s="11">
        <v>2496.9274999999998</v>
      </c>
      <c r="G30" s="12">
        <v>1.0939590000000001E-2</v>
      </c>
      <c r="H30" s="35">
        <v>8.3912999999999993</v>
      </c>
    </row>
    <row r="31" spans="1:10" ht="29.1" customHeight="1" x14ac:dyDescent="0.2">
      <c r="A31" s="8">
        <v>4</v>
      </c>
      <c r="B31" s="9" t="s">
        <v>364</v>
      </c>
      <c r="C31" s="9" t="s">
        <v>365</v>
      </c>
      <c r="D31" s="9" t="s">
        <v>167</v>
      </c>
      <c r="E31" s="10">
        <v>250</v>
      </c>
      <c r="F31" s="11">
        <v>2495.8874999999998</v>
      </c>
      <c r="G31" s="12">
        <v>1.093504E-2</v>
      </c>
      <c r="H31" s="35">
        <v>7.4450000000000003</v>
      </c>
    </row>
    <row r="32" spans="1:10" ht="29.1" customHeight="1" x14ac:dyDescent="0.2">
      <c r="A32" s="8">
        <v>5</v>
      </c>
      <c r="B32" s="9" t="s">
        <v>366</v>
      </c>
      <c r="C32" s="9" t="s">
        <v>367</v>
      </c>
      <c r="D32" s="9" t="s">
        <v>23</v>
      </c>
      <c r="E32" s="10">
        <v>250</v>
      </c>
      <c r="F32" s="11">
        <v>2472.9875000000002</v>
      </c>
      <c r="G32" s="12">
        <v>1.0834709999999999E-2</v>
      </c>
      <c r="H32" s="35">
        <v>8.32</v>
      </c>
    </row>
    <row r="33" spans="1:8" ht="29.1" customHeight="1" x14ac:dyDescent="0.2">
      <c r="A33" s="8">
        <v>6</v>
      </c>
      <c r="B33" s="9" t="s">
        <v>171</v>
      </c>
      <c r="C33" s="9" t="s">
        <v>172</v>
      </c>
      <c r="D33" s="9" t="s">
        <v>23</v>
      </c>
      <c r="E33" s="10">
        <v>150</v>
      </c>
      <c r="F33" s="11">
        <v>1497.2249999999999</v>
      </c>
      <c r="G33" s="12">
        <v>6.55968E-3</v>
      </c>
      <c r="H33" s="35">
        <v>7.625</v>
      </c>
    </row>
    <row r="34" spans="1:8" ht="29.1" customHeight="1" x14ac:dyDescent="0.2">
      <c r="A34" s="8">
        <v>7</v>
      </c>
      <c r="B34" s="9" t="s">
        <v>59</v>
      </c>
      <c r="C34" s="9" t="s">
        <v>60</v>
      </c>
      <c r="D34" s="9" t="s">
        <v>23</v>
      </c>
      <c r="E34" s="10">
        <v>1500</v>
      </c>
      <c r="F34" s="11">
        <v>1497.0015000000001</v>
      </c>
      <c r="G34" s="12">
        <v>6.5586999999999998E-3</v>
      </c>
      <c r="H34" s="35">
        <v>8.2100000000000009</v>
      </c>
    </row>
    <row r="35" spans="1:8" ht="29.1" customHeight="1" x14ac:dyDescent="0.2">
      <c r="A35" s="8">
        <v>8</v>
      </c>
      <c r="B35" s="9" t="s">
        <v>118</v>
      </c>
      <c r="C35" s="9" t="s">
        <v>119</v>
      </c>
      <c r="D35" s="9" t="s">
        <v>23</v>
      </c>
      <c r="E35" s="10">
        <v>1500</v>
      </c>
      <c r="F35" s="11">
        <v>1496.748</v>
      </c>
      <c r="G35" s="12">
        <v>6.5575900000000003E-3</v>
      </c>
      <c r="H35" s="35">
        <v>8.0103000000000009</v>
      </c>
    </row>
    <row r="36" spans="1:8" ht="29.1" customHeight="1" x14ac:dyDescent="0.2">
      <c r="A36" s="8">
        <v>9</v>
      </c>
      <c r="B36" s="9" t="s">
        <v>184</v>
      </c>
      <c r="C36" s="9" t="s">
        <v>185</v>
      </c>
      <c r="D36" s="9" t="s">
        <v>170</v>
      </c>
      <c r="E36" s="10">
        <v>1000</v>
      </c>
      <c r="F36" s="11">
        <v>1004.479</v>
      </c>
      <c r="G36" s="12">
        <v>4.4008500000000004E-3</v>
      </c>
      <c r="H36" s="35">
        <v>8.8699999999999992</v>
      </c>
    </row>
    <row r="37" spans="1:8" ht="14.1" customHeight="1" x14ac:dyDescent="0.2">
      <c r="A37" s="1"/>
      <c r="B37" s="1"/>
      <c r="C37" s="2" t="s">
        <v>11</v>
      </c>
      <c r="D37" s="1"/>
      <c r="E37" s="1" t="s">
        <v>12</v>
      </c>
      <c r="F37" s="7">
        <v>20921.824000000001</v>
      </c>
      <c r="G37" s="4">
        <v>9.1663179999999997E-2</v>
      </c>
      <c r="H37" s="35"/>
    </row>
    <row r="38" spans="1:8" ht="14.1" customHeight="1" x14ac:dyDescent="0.2">
      <c r="A38" s="1"/>
      <c r="B38" s="1"/>
      <c r="C38" s="5"/>
      <c r="D38" s="1"/>
      <c r="E38" s="1"/>
      <c r="F38" s="6"/>
      <c r="G38" s="6"/>
      <c r="H38" s="35"/>
    </row>
    <row r="39" spans="1:8" ht="14.1" customHeight="1" x14ac:dyDescent="0.2">
      <c r="A39" s="1"/>
      <c r="B39" s="1"/>
      <c r="C39" s="2" t="s">
        <v>61</v>
      </c>
      <c r="D39" s="1"/>
      <c r="E39" s="1"/>
      <c r="F39" s="1"/>
      <c r="G39" s="1"/>
      <c r="H39" s="35"/>
    </row>
    <row r="40" spans="1:8" ht="14.1" customHeight="1" x14ac:dyDescent="0.2">
      <c r="A40" s="1"/>
      <c r="B40" s="1"/>
      <c r="C40" s="2" t="s">
        <v>11</v>
      </c>
      <c r="D40" s="1"/>
      <c r="E40" s="1" t="s">
        <v>12</v>
      </c>
      <c r="F40" s="3" t="s">
        <v>13</v>
      </c>
      <c r="G40" s="4">
        <v>0</v>
      </c>
      <c r="H40" s="35"/>
    </row>
    <row r="41" spans="1:8" ht="14.1" customHeight="1" x14ac:dyDescent="0.2">
      <c r="A41" s="1"/>
      <c r="B41" s="1"/>
      <c r="C41" s="5"/>
      <c r="D41" s="1"/>
      <c r="E41" s="1"/>
      <c r="F41" s="6"/>
      <c r="G41" s="6"/>
      <c r="H41" s="35"/>
    </row>
    <row r="42" spans="1:8" ht="14.1" customHeight="1" x14ac:dyDescent="0.2">
      <c r="A42" s="1"/>
      <c r="B42" s="1"/>
      <c r="C42" s="2" t="s">
        <v>62</v>
      </c>
      <c r="D42" s="1"/>
      <c r="E42" s="1"/>
      <c r="F42" s="1"/>
      <c r="G42" s="1"/>
      <c r="H42" s="35"/>
    </row>
    <row r="43" spans="1:8" ht="14.1" customHeight="1" x14ac:dyDescent="0.2">
      <c r="A43" s="1"/>
      <c r="B43" s="1"/>
      <c r="C43" s="2" t="s">
        <v>11</v>
      </c>
      <c r="D43" s="1"/>
      <c r="E43" s="1" t="s">
        <v>12</v>
      </c>
      <c r="F43" s="3" t="s">
        <v>13</v>
      </c>
      <c r="G43" s="4">
        <v>0</v>
      </c>
      <c r="H43" s="35"/>
    </row>
    <row r="44" spans="1:8" ht="14.1" customHeight="1" x14ac:dyDescent="0.2">
      <c r="A44" s="1"/>
      <c r="B44" s="1"/>
      <c r="C44" s="5"/>
      <c r="D44" s="1"/>
      <c r="E44" s="1"/>
      <c r="F44" s="6"/>
      <c r="G44" s="6"/>
      <c r="H44" s="35"/>
    </row>
    <row r="45" spans="1:8" ht="14.1" customHeight="1" x14ac:dyDescent="0.2">
      <c r="A45" s="1"/>
      <c r="B45" s="1"/>
      <c r="C45" s="2" t="s">
        <v>70</v>
      </c>
      <c r="D45" s="1"/>
      <c r="E45" s="1"/>
      <c r="F45" s="6"/>
      <c r="G45" s="6"/>
      <c r="H45" s="35"/>
    </row>
    <row r="46" spans="1:8" ht="14.1" customHeight="1" x14ac:dyDescent="0.2">
      <c r="A46" s="1"/>
      <c r="B46" s="1"/>
      <c r="C46" s="2" t="s">
        <v>11</v>
      </c>
      <c r="D46" s="1"/>
      <c r="E46" s="1" t="s">
        <v>12</v>
      </c>
      <c r="F46" s="3" t="s">
        <v>13</v>
      </c>
      <c r="G46" s="4">
        <v>0</v>
      </c>
      <c r="H46" s="35"/>
    </row>
    <row r="47" spans="1:8" ht="14.1" customHeight="1" x14ac:dyDescent="0.2">
      <c r="A47" s="1"/>
      <c r="B47" s="1"/>
      <c r="C47" s="5"/>
      <c r="D47" s="1"/>
      <c r="E47" s="1"/>
      <c r="F47" s="6"/>
      <c r="G47" s="6"/>
      <c r="H47" s="35"/>
    </row>
    <row r="48" spans="1:8" ht="14.1" customHeight="1" x14ac:dyDescent="0.2">
      <c r="A48" s="1"/>
      <c r="B48" s="1"/>
      <c r="C48" s="2" t="s">
        <v>71</v>
      </c>
      <c r="D48" s="1"/>
      <c r="E48" s="1"/>
      <c r="F48" s="7">
        <v>20921.824000000001</v>
      </c>
      <c r="G48" s="4">
        <v>9.1663179999999997E-2</v>
      </c>
      <c r="H48" s="35"/>
    </row>
    <row r="49" spans="1:8" ht="14.1" customHeight="1" x14ac:dyDescent="0.2">
      <c r="A49" s="1"/>
      <c r="B49" s="1"/>
      <c r="C49" s="5"/>
      <c r="D49" s="1"/>
      <c r="E49" s="1"/>
      <c r="F49" s="6"/>
      <c r="G49" s="6"/>
      <c r="H49" s="35"/>
    </row>
    <row r="50" spans="1:8" ht="14.1" customHeight="1" x14ac:dyDescent="0.2">
      <c r="A50" s="1"/>
      <c r="B50" s="1"/>
      <c r="C50" s="2" t="s">
        <v>72</v>
      </c>
      <c r="D50" s="1"/>
      <c r="E50" s="1"/>
      <c r="F50" s="6"/>
      <c r="G50" s="6"/>
      <c r="H50" s="35"/>
    </row>
    <row r="51" spans="1:8" ht="14.1" customHeight="1" x14ac:dyDescent="0.2">
      <c r="A51" s="1"/>
      <c r="B51" s="1"/>
      <c r="C51" s="2" t="s">
        <v>73</v>
      </c>
      <c r="D51" s="1"/>
      <c r="E51" s="1"/>
      <c r="F51" s="6"/>
      <c r="G51" s="6"/>
      <c r="H51" s="35"/>
    </row>
    <row r="52" spans="1:8" ht="17.100000000000001" customHeight="1" x14ac:dyDescent="0.2">
      <c r="A52" s="8">
        <v>1</v>
      </c>
      <c r="B52" s="9" t="s">
        <v>140</v>
      </c>
      <c r="C52" s="9" t="s">
        <v>141</v>
      </c>
      <c r="D52" s="9" t="s">
        <v>128</v>
      </c>
      <c r="E52" s="10">
        <v>1300</v>
      </c>
      <c r="F52" s="11">
        <v>6140.4070000000002</v>
      </c>
      <c r="G52" s="12">
        <v>2.6902490000000001E-2</v>
      </c>
      <c r="H52" s="35">
        <v>7.5</v>
      </c>
    </row>
    <row r="53" spans="1:8" ht="17.100000000000001" customHeight="1" x14ac:dyDescent="0.2">
      <c r="A53" s="8">
        <v>2</v>
      </c>
      <c r="B53" s="9" t="s">
        <v>368</v>
      </c>
      <c r="C53" s="9" t="s">
        <v>369</v>
      </c>
      <c r="D53" s="9" t="s">
        <v>128</v>
      </c>
      <c r="E53" s="10">
        <v>1000</v>
      </c>
      <c r="F53" s="11">
        <v>4995.1400000000003</v>
      </c>
      <c r="G53" s="12">
        <v>2.1884819999999999E-2</v>
      </c>
      <c r="H53" s="35">
        <v>7.1013999999999999</v>
      </c>
    </row>
    <row r="54" spans="1:8" ht="17.100000000000001" customHeight="1" x14ac:dyDescent="0.2">
      <c r="A54" s="8">
        <v>3</v>
      </c>
      <c r="B54" s="9" t="s">
        <v>370</v>
      </c>
      <c r="C54" s="9" t="s">
        <v>530</v>
      </c>
      <c r="D54" s="9" t="s">
        <v>150</v>
      </c>
      <c r="E54" s="10">
        <v>1000</v>
      </c>
      <c r="F54" s="11">
        <v>4994.1949999999997</v>
      </c>
      <c r="G54" s="12">
        <v>2.188068E-2</v>
      </c>
      <c r="H54" s="35">
        <v>7.0697000000000001</v>
      </c>
    </row>
    <row r="55" spans="1:8" ht="17.100000000000001" customHeight="1" x14ac:dyDescent="0.2">
      <c r="A55" s="8">
        <v>4</v>
      </c>
      <c r="B55" s="9" t="s">
        <v>237</v>
      </c>
      <c r="C55" s="9" t="s">
        <v>238</v>
      </c>
      <c r="D55" s="9" t="s">
        <v>128</v>
      </c>
      <c r="E55" s="10">
        <v>1000</v>
      </c>
      <c r="F55" s="11">
        <v>4973.6949999999997</v>
      </c>
      <c r="G55" s="12">
        <v>2.1790859999999999E-2</v>
      </c>
      <c r="H55" s="35">
        <v>7.1498999999999997</v>
      </c>
    </row>
    <row r="56" spans="1:8" ht="17.100000000000001" customHeight="1" x14ac:dyDescent="0.2">
      <c r="A56" s="8">
        <v>5</v>
      </c>
      <c r="B56" s="9" t="s">
        <v>371</v>
      </c>
      <c r="C56" s="9" t="s">
        <v>372</v>
      </c>
      <c r="D56" s="9" t="s">
        <v>128</v>
      </c>
      <c r="E56" s="10">
        <v>1000</v>
      </c>
      <c r="F56" s="11">
        <v>4959.2</v>
      </c>
      <c r="G56" s="12">
        <v>2.1727360000000001E-2</v>
      </c>
      <c r="H56" s="35">
        <v>7.1501000000000001</v>
      </c>
    </row>
    <row r="57" spans="1:8" ht="17.100000000000001" customHeight="1" x14ac:dyDescent="0.2">
      <c r="A57" s="8">
        <v>6</v>
      </c>
      <c r="B57" s="9" t="s">
        <v>241</v>
      </c>
      <c r="C57" s="9" t="s">
        <v>242</v>
      </c>
      <c r="D57" s="9" t="s">
        <v>128</v>
      </c>
      <c r="E57" s="10">
        <v>1000</v>
      </c>
      <c r="F57" s="11">
        <v>4916.42</v>
      </c>
      <c r="G57" s="12">
        <v>2.1539929999999999E-2</v>
      </c>
      <c r="H57" s="35">
        <v>7.3000999999999996</v>
      </c>
    </row>
    <row r="58" spans="1:8" ht="17.100000000000001" customHeight="1" x14ac:dyDescent="0.2">
      <c r="A58" s="8">
        <v>7</v>
      </c>
      <c r="B58" s="9" t="s">
        <v>373</v>
      </c>
      <c r="C58" s="9" t="s">
        <v>374</v>
      </c>
      <c r="D58" s="9" t="s">
        <v>128</v>
      </c>
      <c r="E58" s="10">
        <v>1000</v>
      </c>
      <c r="F58" s="11">
        <v>4881.2449999999999</v>
      </c>
      <c r="G58" s="12">
        <v>2.138582E-2</v>
      </c>
      <c r="H58" s="35">
        <v>7.4</v>
      </c>
    </row>
    <row r="59" spans="1:8" ht="17.100000000000001" customHeight="1" x14ac:dyDescent="0.2">
      <c r="A59" s="8">
        <v>8</v>
      </c>
      <c r="B59" s="9" t="s">
        <v>375</v>
      </c>
      <c r="C59" s="9" t="s">
        <v>376</v>
      </c>
      <c r="D59" s="9" t="s">
        <v>150</v>
      </c>
      <c r="E59" s="10">
        <v>1000</v>
      </c>
      <c r="F59" s="11">
        <v>4800.6499999999996</v>
      </c>
      <c r="G59" s="12">
        <v>2.103271E-2</v>
      </c>
      <c r="H59" s="35">
        <v>7.43</v>
      </c>
    </row>
    <row r="60" spans="1:8" ht="17.100000000000001" customHeight="1" x14ac:dyDescent="0.2">
      <c r="A60" s="8">
        <v>9</v>
      </c>
      <c r="B60" s="9" t="s">
        <v>377</v>
      </c>
      <c r="C60" s="9" t="s">
        <v>378</v>
      </c>
      <c r="D60" s="9" t="s">
        <v>128</v>
      </c>
      <c r="E60" s="10">
        <v>1000</v>
      </c>
      <c r="F60" s="11">
        <v>4746.4250000000002</v>
      </c>
      <c r="G60" s="12">
        <v>2.079514E-2</v>
      </c>
      <c r="H60" s="35">
        <v>7.5</v>
      </c>
    </row>
    <row r="61" spans="1:8" ht="29.1" customHeight="1" x14ac:dyDescent="0.2">
      <c r="A61" s="8">
        <v>10</v>
      </c>
      <c r="B61" s="9" t="s">
        <v>205</v>
      </c>
      <c r="C61" s="9" t="s">
        <v>206</v>
      </c>
      <c r="D61" s="9" t="s">
        <v>128</v>
      </c>
      <c r="E61" s="10">
        <v>800</v>
      </c>
      <c r="F61" s="11">
        <v>3980.5639999999999</v>
      </c>
      <c r="G61" s="12">
        <v>1.7439739999999999E-2</v>
      </c>
      <c r="H61" s="35">
        <v>7.1300999999999997</v>
      </c>
    </row>
    <row r="62" spans="1:8" ht="29.1" customHeight="1" x14ac:dyDescent="0.2">
      <c r="A62" s="8">
        <v>11</v>
      </c>
      <c r="B62" s="9" t="s">
        <v>207</v>
      </c>
      <c r="C62" s="9" t="s">
        <v>208</v>
      </c>
      <c r="D62" s="9" t="s">
        <v>128</v>
      </c>
      <c r="E62" s="10">
        <v>800</v>
      </c>
      <c r="F62" s="11">
        <v>3790.9119999999998</v>
      </c>
      <c r="G62" s="12">
        <v>1.6608830000000002E-2</v>
      </c>
      <c r="H62" s="35">
        <v>7.54</v>
      </c>
    </row>
    <row r="63" spans="1:8" ht="17.100000000000001" customHeight="1" x14ac:dyDescent="0.2">
      <c r="A63" s="8">
        <v>12</v>
      </c>
      <c r="B63" s="9" t="s">
        <v>153</v>
      </c>
      <c r="C63" s="9" t="s">
        <v>528</v>
      </c>
      <c r="D63" s="9" t="s">
        <v>150</v>
      </c>
      <c r="E63" s="10">
        <v>800</v>
      </c>
      <c r="F63" s="11">
        <v>3776.16</v>
      </c>
      <c r="G63" s="12">
        <v>1.6544199999999998E-2</v>
      </c>
      <c r="H63" s="35">
        <v>7.5388000000000002</v>
      </c>
    </row>
    <row r="64" spans="1:8" ht="17.100000000000001" customHeight="1" x14ac:dyDescent="0.2">
      <c r="A64" s="8">
        <v>13</v>
      </c>
      <c r="B64" s="9" t="s">
        <v>196</v>
      </c>
      <c r="C64" s="9" t="s">
        <v>197</v>
      </c>
      <c r="D64" s="9" t="s">
        <v>198</v>
      </c>
      <c r="E64" s="10">
        <v>700</v>
      </c>
      <c r="F64" s="11">
        <v>3499.3245000000002</v>
      </c>
      <c r="G64" s="12">
        <v>1.5331320000000001E-2</v>
      </c>
      <c r="H64" s="35">
        <v>7.0472000000000001</v>
      </c>
    </row>
    <row r="65" spans="1:8" ht="17.100000000000001" customHeight="1" x14ac:dyDescent="0.2">
      <c r="A65" s="8">
        <v>14</v>
      </c>
      <c r="B65" s="9" t="s">
        <v>199</v>
      </c>
      <c r="C65" s="9" t="s">
        <v>200</v>
      </c>
      <c r="D65" s="9" t="s">
        <v>150</v>
      </c>
      <c r="E65" s="10">
        <v>700</v>
      </c>
      <c r="F65" s="11">
        <v>3407.9780000000001</v>
      </c>
      <c r="G65" s="12">
        <v>1.4931109999999999E-2</v>
      </c>
      <c r="H65" s="35">
        <v>7.3551000000000002</v>
      </c>
    </row>
    <row r="66" spans="1:8" ht="29.1" customHeight="1" x14ac:dyDescent="0.2">
      <c r="A66" s="8">
        <v>15</v>
      </c>
      <c r="B66" s="9" t="s">
        <v>201</v>
      </c>
      <c r="C66" s="9" t="s">
        <v>202</v>
      </c>
      <c r="D66" s="9" t="s">
        <v>128</v>
      </c>
      <c r="E66" s="10">
        <v>700</v>
      </c>
      <c r="F66" s="11">
        <v>3355.6985</v>
      </c>
      <c r="G66" s="12">
        <v>1.4702059999999999E-2</v>
      </c>
      <c r="H66" s="35">
        <v>7.5101000000000004</v>
      </c>
    </row>
    <row r="67" spans="1:8" ht="17.100000000000001" customHeight="1" x14ac:dyDescent="0.2">
      <c r="A67" s="8">
        <v>16</v>
      </c>
      <c r="B67" s="9" t="s">
        <v>203</v>
      </c>
      <c r="C67" s="9" t="s">
        <v>204</v>
      </c>
      <c r="D67" s="9" t="s">
        <v>128</v>
      </c>
      <c r="E67" s="10">
        <v>700</v>
      </c>
      <c r="F67" s="11">
        <v>3335.5385000000001</v>
      </c>
      <c r="G67" s="12">
        <v>1.461374E-2</v>
      </c>
      <c r="H67" s="35">
        <v>7.53</v>
      </c>
    </row>
    <row r="68" spans="1:8" ht="17.100000000000001" customHeight="1" x14ac:dyDescent="0.2">
      <c r="A68" s="8">
        <v>17</v>
      </c>
      <c r="B68" s="9" t="s">
        <v>151</v>
      </c>
      <c r="C68" s="9" t="s">
        <v>152</v>
      </c>
      <c r="D68" s="9" t="s">
        <v>128</v>
      </c>
      <c r="E68" s="10">
        <v>700</v>
      </c>
      <c r="F68" s="11">
        <v>3317.4014999999999</v>
      </c>
      <c r="G68" s="12">
        <v>1.453427E-2</v>
      </c>
      <c r="H68" s="35">
        <v>7.61</v>
      </c>
    </row>
    <row r="69" spans="1:8" ht="17.100000000000001" customHeight="1" x14ac:dyDescent="0.2">
      <c r="A69" s="8">
        <v>18</v>
      </c>
      <c r="B69" s="9" t="s">
        <v>144</v>
      </c>
      <c r="C69" s="9" t="s">
        <v>145</v>
      </c>
      <c r="D69" s="9" t="s">
        <v>128</v>
      </c>
      <c r="E69" s="10">
        <v>660</v>
      </c>
      <c r="F69" s="11">
        <v>3117.0248999999999</v>
      </c>
      <c r="G69" s="12">
        <v>1.3656379999999999E-2</v>
      </c>
      <c r="H69" s="35">
        <v>7.625</v>
      </c>
    </row>
    <row r="70" spans="1:8" ht="17.100000000000001" customHeight="1" x14ac:dyDescent="0.2">
      <c r="A70" s="8">
        <v>19</v>
      </c>
      <c r="B70" s="9" t="s">
        <v>146</v>
      </c>
      <c r="C70" s="9" t="s">
        <v>147</v>
      </c>
      <c r="D70" s="9" t="s">
        <v>128</v>
      </c>
      <c r="E70" s="10">
        <v>660</v>
      </c>
      <c r="F70" s="11">
        <v>3114.7215000000001</v>
      </c>
      <c r="G70" s="12">
        <v>1.364629E-2</v>
      </c>
      <c r="H70" s="35">
        <v>7.6449999999999996</v>
      </c>
    </row>
    <row r="71" spans="1:8" ht="17.100000000000001" customHeight="1" x14ac:dyDescent="0.2">
      <c r="A71" s="8">
        <v>20</v>
      </c>
      <c r="B71" s="9" t="s">
        <v>148</v>
      </c>
      <c r="C71" s="9" t="s">
        <v>149</v>
      </c>
      <c r="D71" s="9" t="s">
        <v>150</v>
      </c>
      <c r="E71" s="10">
        <v>600</v>
      </c>
      <c r="F71" s="11">
        <v>2848.8180000000002</v>
      </c>
      <c r="G71" s="12">
        <v>1.2481300000000001E-2</v>
      </c>
      <c r="H71" s="35">
        <v>7.45</v>
      </c>
    </row>
    <row r="72" spans="1:8" ht="17.100000000000001" customHeight="1" x14ac:dyDescent="0.2">
      <c r="A72" s="8">
        <v>21</v>
      </c>
      <c r="B72" s="9" t="s">
        <v>138</v>
      </c>
      <c r="C72" s="9" t="s">
        <v>139</v>
      </c>
      <c r="D72" s="9" t="s">
        <v>128</v>
      </c>
      <c r="E72" s="10">
        <v>600</v>
      </c>
      <c r="F72" s="11">
        <v>2835.9659999999999</v>
      </c>
      <c r="G72" s="12">
        <v>1.2425E-2</v>
      </c>
      <c r="H72" s="35">
        <v>7.54</v>
      </c>
    </row>
    <row r="73" spans="1:8" ht="17.100000000000001" customHeight="1" x14ac:dyDescent="0.2">
      <c r="A73" s="8">
        <v>22</v>
      </c>
      <c r="B73" s="9" t="s">
        <v>379</v>
      </c>
      <c r="C73" s="9" t="s">
        <v>380</v>
      </c>
      <c r="D73" s="9" t="s">
        <v>150</v>
      </c>
      <c r="E73" s="10">
        <v>500</v>
      </c>
      <c r="F73" s="11">
        <v>2486.9375</v>
      </c>
      <c r="G73" s="12">
        <v>1.089583E-2</v>
      </c>
      <c r="H73" s="35">
        <v>7.0998999999999999</v>
      </c>
    </row>
    <row r="74" spans="1:8" ht="17.100000000000001" customHeight="1" x14ac:dyDescent="0.2">
      <c r="A74" s="8">
        <v>23</v>
      </c>
      <c r="B74" s="9" t="s">
        <v>381</v>
      </c>
      <c r="C74" s="9" t="s">
        <v>382</v>
      </c>
      <c r="D74" s="9" t="s">
        <v>128</v>
      </c>
      <c r="E74" s="10">
        <v>500</v>
      </c>
      <c r="F74" s="11">
        <v>2485.86</v>
      </c>
      <c r="G74" s="12">
        <v>1.0891110000000001E-2</v>
      </c>
      <c r="H74" s="35">
        <v>7.16</v>
      </c>
    </row>
    <row r="75" spans="1:8" ht="17.100000000000001" customHeight="1" x14ac:dyDescent="0.2">
      <c r="A75" s="8">
        <v>24</v>
      </c>
      <c r="B75" s="9" t="s">
        <v>245</v>
      </c>
      <c r="C75" s="9" t="s">
        <v>246</v>
      </c>
      <c r="D75" s="9" t="s">
        <v>128</v>
      </c>
      <c r="E75" s="10">
        <v>500</v>
      </c>
      <c r="F75" s="11">
        <v>2483.4375</v>
      </c>
      <c r="G75" s="12">
        <v>1.088049E-2</v>
      </c>
      <c r="H75" s="35">
        <v>7.1600999999999999</v>
      </c>
    </row>
    <row r="76" spans="1:8" ht="17.100000000000001" customHeight="1" x14ac:dyDescent="0.2">
      <c r="A76" s="8">
        <v>25</v>
      </c>
      <c r="B76" s="9" t="s">
        <v>383</v>
      </c>
      <c r="C76" s="9" t="s">
        <v>384</v>
      </c>
      <c r="D76" s="9" t="s">
        <v>128</v>
      </c>
      <c r="E76" s="10">
        <v>500</v>
      </c>
      <c r="F76" s="11">
        <v>2482.81</v>
      </c>
      <c r="G76" s="12">
        <v>1.087774E-2</v>
      </c>
      <c r="H76" s="35">
        <v>7.2202999999999999</v>
      </c>
    </row>
    <row r="77" spans="1:8" ht="29.1" customHeight="1" x14ac:dyDescent="0.2">
      <c r="A77" s="8">
        <v>26</v>
      </c>
      <c r="B77" s="9" t="s">
        <v>385</v>
      </c>
      <c r="C77" s="9" t="s">
        <v>386</v>
      </c>
      <c r="D77" s="9" t="s">
        <v>128</v>
      </c>
      <c r="E77" s="10">
        <v>500</v>
      </c>
      <c r="F77" s="11">
        <v>2482.4324999999999</v>
      </c>
      <c r="G77" s="12">
        <v>1.087609E-2</v>
      </c>
      <c r="H77" s="35">
        <v>7.1749999999999998</v>
      </c>
    </row>
    <row r="78" spans="1:8" ht="17.100000000000001" customHeight="1" x14ac:dyDescent="0.2">
      <c r="A78" s="8">
        <v>27</v>
      </c>
      <c r="B78" s="9" t="s">
        <v>387</v>
      </c>
      <c r="C78" s="9" t="s">
        <v>388</v>
      </c>
      <c r="D78" s="9" t="s">
        <v>128</v>
      </c>
      <c r="E78" s="10">
        <v>500</v>
      </c>
      <c r="F78" s="11">
        <v>2482.395</v>
      </c>
      <c r="G78" s="12">
        <v>1.0875920000000001E-2</v>
      </c>
      <c r="H78" s="35">
        <v>7.1901000000000002</v>
      </c>
    </row>
    <row r="79" spans="1:8" ht="17.100000000000001" customHeight="1" x14ac:dyDescent="0.2">
      <c r="A79" s="8">
        <v>28</v>
      </c>
      <c r="B79" s="9" t="s">
        <v>232</v>
      </c>
      <c r="C79" s="9" t="s">
        <v>233</v>
      </c>
      <c r="D79" s="9" t="s">
        <v>128</v>
      </c>
      <c r="E79" s="10">
        <v>500</v>
      </c>
      <c r="F79" s="11">
        <v>2482.3850000000002</v>
      </c>
      <c r="G79" s="12">
        <v>1.0875879999999999E-2</v>
      </c>
      <c r="H79" s="35">
        <v>7.1950000000000003</v>
      </c>
    </row>
    <row r="80" spans="1:8" ht="17.100000000000001" customHeight="1" x14ac:dyDescent="0.2">
      <c r="A80" s="8">
        <v>29</v>
      </c>
      <c r="B80" s="9" t="s">
        <v>389</v>
      </c>
      <c r="C80" s="9" t="s">
        <v>390</v>
      </c>
      <c r="D80" s="9" t="s">
        <v>128</v>
      </c>
      <c r="E80" s="10">
        <v>500</v>
      </c>
      <c r="F80" s="11">
        <v>2401.8049999999998</v>
      </c>
      <c r="G80" s="12">
        <v>1.052284E-2</v>
      </c>
      <c r="H80" s="35">
        <v>7.5750000000000002</v>
      </c>
    </row>
    <row r="81" spans="1:8" ht="17.100000000000001" customHeight="1" x14ac:dyDescent="0.2">
      <c r="A81" s="8">
        <v>30</v>
      </c>
      <c r="B81" s="9" t="s">
        <v>391</v>
      </c>
      <c r="C81" s="9" t="s">
        <v>392</v>
      </c>
      <c r="D81" s="9" t="s">
        <v>128</v>
      </c>
      <c r="E81" s="10">
        <v>500</v>
      </c>
      <c r="F81" s="11">
        <v>2399.2925</v>
      </c>
      <c r="G81" s="12">
        <v>1.051183E-2</v>
      </c>
      <c r="H81" s="35">
        <v>7.5101000000000004</v>
      </c>
    </row>
    <row r="82" spans="1:8" ht="29.1" customHeight="1" x14ac:dyDescent="0.2">
      <c r="A82" s="8">
        <v>31</v>
      </c>
      <c r="B82" s="9" t="s">
        <v>393</v>
      </c>
      <c r="C82" s="9" t="s">
        <v>394</v>
      </c>
      <c r="D82" s="9" t="s">
        <v>128</v>
      </c>
      <c r="E82" s="10">
        <v>500</v>
      </c>
      <c r="F82" s="11">
        <v>2393.62</v>
      </c>
      <c r="G82" s="12">
        <v>1.048698E-2</v>
      </c>
      <c r="H82" s="35">
        <v>7.5101000000000004</v>
      </c>
    </row>
    <row r="83" spans="1:8" ht="29.1" customHeight="1" x14ac:dyDescent="0.2">
      <c r="A83" s="8">
        <v>32</v>
      </c>
      <c r="B83" s="9" t="s">
        <v>395</v>
      </c>
      <c r="C83" s="9" t="s">
        <v>396</v>
      </c>
      <c r="D83" s="9" t="s">
        <v>128</v>
      </c>
      <c r="E83" s="10">
        <v>500</v>
      </c>
      <c r="F83" s="11">
        <v>2376.2975000000001</v>
      </c>
      <c r="G83" s="12">
        <v>1.041109E-2</v>
      </c>
      <c r="H83" s="35">
        <v>7.54</v>
      </c>
    </row>
    <row r="84" spans="1:8" ht="17.100000000000001" customHeight="1" x14ac:dyDescent="0.2">
      <c r="A84" s="8">
        <v>33</v>
      </c>
      <c r="B84" s="9" t="s">
        <v>397</v>
      </c>
      <c r="C84" s="9" t="s">
        <v>398</v>
      </c>
      <c r="D84" s="9" t="s">
        <v>128</v>
      </c>
      <c r="E84" s="10">
        <v>500</v>
      </c>
      <c r="F84" s="11">
        <v>2371.2249999999999</v>
      </c>
      <c r="G84" s="12">
        <v>1.038886E-2</v>
      </c>
      <c r="H84" s="35">
        <v>7.48</v>
      </c>
    </row>
    <row r="85" spans="1:8" ht="17.100000000000001" customHeight="1" x14ac:dyDescent="0.2">
      <c r="A85" s="8">
        <v>34</v>
      </c>
      <c r="B85" s="9" t="s">
        <v>399</v>
      </c>
      <c r="C85" s="9" t="s">
        <v>400</v>
      </c>
      <c r="D85" s="9" t="s">
        <v>128</v>
      </c>
      <c r="E85" s="10">
        <v>500</v>
      </c>
      <c r="F85" s="11">
        <v>2369.9749999999999</v>
      </c>
      <c r="G85" s="12">
        <v>1.0383389999999999E-2</v>
      </c>
      <c r="H85" s="35">
        <v>7.5000999999999998</v>
      </c>
    </row>
    <row r="86" spans="1:8" ht="29.1" customHeight="1" x14ac:dyDescent="0.2">
      <c r="A86" s="8">
        <v>35</v>
      </c>
      <c r="B86" s="9" t="s">
        <v>401</v>
      </c>
      <c r="C86" s="9" t="s">
        <v>402</v>
      </c>
      <c r="D86" s="9" t="s">
        <v>128</v>
      </c>
      <c r="E86" s="10">
        <v>500</v>
      </c>
      <c r="F86" s="11">
        <v>2369.1550000000002</v>
      </c>
      <c r="G86" s="12">
        <v>1.037979E-2</v>
      </c>
      <c r="H86" s="35">
        <v>7.55</v>
      </c>
    </row>
    <row r="87" spans="1:8" ht="29.1" customHeight="1" x14ac:dyDescent="0.2">
      <c r="A87" s="8">
        <v>36</v>
      </c>
      <c r="B87" s="9" t="s">
        <v>136</v>
      </c>
      <c r="C87" s="9" t="s">
        <v>137</v>
      </c>
      <c r="D87" s="9" t="s">
        <v>128</v>
      </c>
      <c r="E87" s="10">
        <v>300</v>
      </c>
      <c r="F87" s="11">
        <v>1420.2014999999999</v>
      </c>
      <c r="G87" s="12">
        <v>6.2222199999999997E-3</v>
      </c>
      <c r="H87" s="35">
        <v>7.54</v>
      </c>
    </row>
    <row r="88" spans="1:8" ht="29.1" customHeight="1" x14ac:dyDescent="0.2">
      <c r="A88" s="8">
        <v>37</v>
      </c>
      <c r="B88" s="9" t="s">
        <v>209</v>
      </c>
      <c r="C88" s="9" t="s">
        <v>210</v>
      </c>
      <c r="D88" s="9" t="s">
        <v>128</v>
      </c>
      <c r="E88" s="10">
        <v>300</v>
      </c>
      <c r="F88" s="11">
        <v>1416.3225</v>
      </c>
      <c r="G88" s="12">
        <v>6.20522E-3</v>
      </c>
      <c r="H88" s="35">
        <v>7.54</v>
      </c>
    </row>
    <row r="89" spans="1:8" ht="17.100000000000001" customHeight="1" x14ac:dyDescent="0.2">
      <c r="A89" s="8">
        <v>38</v>
      </c>
      <c r="B89" s="9" t="s">
        <v>142</v>
      </c>
      <c r="C89" s="9" t="s">
        <v>143</v>
      </c>
      <c r="D89" s="9" t="s">
        <v>128</v>
      </c>
      <c r="E89" s="10">
        <v>300</v>
      </c>
      <c r="F89" s="11">
        <v>1413.1949999999999</v>
      </c>
      <c r="G89" s="12">
        <v>6.1915199999999998E-3</v>
      </c>
      <c r="H89" s="35">
        <v>7.6</v>
      </c>
    </row>
    <row r="90" spans="1:8" ht="14.1" customHeight="1" x14ac:dyDescent="0.2">
      <c r="A90" s="1"/>
      <c r="B90" s="1"/>
      <c r="C90" s="2" t="s">
        <v>11</v>
      </c>
      <c r="D90" s="1"/>
      <c r="E90" s="1" t="s">
        <v>12</v>
      </c>
      <c r="F90" s="7">
        <v>124104.8309</v>
      </c>
      <c r="G90" s="4">
        <v>0.54373084999999999</v>
      </c>
      <c r="H90" s="35"/>
    </row>
    <row r="91" spans="1:8" ht="14.1" customHeight="1" x14ac:dyDescent="0.2">
      <c r="A91" s="1"/>
      <c r="B91" s="1"/>
      <c r="C91" s="5"/>
      <c r="D91" s="1"/>
      <c r="E91" s="1"/>
      <c r="F91" s="6"/>
      <c r="G91" s="6"/>
      <c r="H91" s="35"/>
    </row>
    <row r="92" spans="1:8" ht="14.1" customHeight="1" x14ac:dyDescent="0.2">
      <c r="A92" s="1"/>
      <c r="B92" s="1"/>
      <c r="C92" s="2" t="s">
        <v>74</v>
      </c>
      <c r="D92" s="1"/>
      <c r="E92" s="1"/>
      <c r="F92" s="6"/>
      <c r="G92" s="6"/>
      <c r="H92" s="35"/>
    </row>
    <row r="93" spans="1:8" ht="17.100000000000001" customHeight="1" x14ac:dyDescent="0.2">
      <c r="A93" s="8">
        <v>1</v>
      </c>
      <c r="B93" s="9" t="s">
        <v>403</v>
      </c>
      <c r="C93" s="9" t="s">
        <v>404</v>
      </c>
      <c r="D93" s="9" t="s">
        <v>128</v>
      </c>
      <c r="E93" s="10">
        <v>1000</v>
      </c>
      <c r="F93" s="11">
        <v>4897.4350000000004</v>
      </c>
      <c r="G93" s="12">
        <v>2.145675E-2</v>
      </c>
      <c r="H93" s="35">
        <v>7.35</v>
      </c>
    </row>
    <row r="94" spans="1:8" ht="17.100000000000001" customHeight="1" x14ac:dyDescent="0.2">
      <c r="A94" s="8">
        <v>2</v>
      </c>
      <c r="B94" s="9" t="s">
        <v>263</v>
      </c>
      <c r="C94" s="9" t="s">
        <v>264</v>
      </c>
      <c r="D94" s="9" t="s">
        <v>128</v>
      </c>
      <c r="E94" s="10">
        <v>500</v>
      </c>
      <c r="F94" s="11">
        <v>2494.0725000000002</v>
      </c>
      <c r="G94" s="12">
        <v>1.092709E-2</v>
      </c>
      <c r="H94" s="35">
        <v>7.23</v>
      </c>
    </row>
    <row r="95" spans="1:8" ht="17.100000000000001" customHeight="1" x14ac:dyDescent="0.2">
      <c r="A95" s="8">
        <v>3</v>
      </c>
      <c r="B95" s="9" t="s">
        <v>287</v>
      </c>
      <c r="C95" s="9" t="s">
        <v>288</v>
      </c>
      <c r="D95" s="9" t="s">
        <v>128</v>
      </c>
      <c r="E95" s="10">
        <v>500</v>
      </c>
      <c r="F95" s="11">
        <v>2489.13</v>
      </c>
      <c r="G95" s="12">
        <v>1.0905430000000001E-2</v>
      </c>
      <c r="H95" s="35">
        <v>8.3899000000000008</v>
      </c>
    </row>
    <row r="96" spans="1:8" ht="29.1" customHeight="1" x14ac:dyDescent="0.2">
      <c r="A96" s="8">
        <v>4</v>
      </c>
      <c r="B96" s="9" t="s">
        <v>308</v>
      </c>
      <c r="C96" s="9" t="s">
        <v>309</v>
      </c>
      <c r="D96" s="9" t="s">
        <v>128</v>
      </c>
      <c r="E96" s="10">
        <v>500</v>
      </c>
      <c r="F96" s="11">
        <v>2486.2725</v>
      </c>
      <c r="G96" s="12">
        <v>1.089291E-2</v>
      </c>
      <c r="H96" s="35">
        <v>7.1977000000000002</v>
      </c>
    </row>
    <row r="97" spans="1:8" ht="29.1" customHeight="1" x14ac:dyDescent="0.2">
      <c r="A97" s="8">
        <v>5</v>
      </c>
      <c r="B97" s="9" t="s">
        <v>405</v>
      </c>
      <c r="C97" s="9" t="s">
        <v>406</v>
      </c>
      <c r="D97" s="9" t="s">
        <v>128</v>
      </c>
      <c r="E97" s="10">
        <v>500</v>
      </c>
      <c r="F97" s="11">
        <v>2486.165</v>
      </c>
      <c r="G97" s="12">
        <v>1.089244E-2</v>
      </c>
      <c r="H97" s="35">
        <v>8.125</v>
      </c>
    </row>
    <row r="98" spans="1:8" ht="29.1" customHeight="1" x14ac:dyDescent="0.2">
      <c r="A98" s="8">
        <v>6</v>
      </c>
      <c r="B98" s="9" t="s">
        <v>407</v>
      </c>
      <c r="C98" s="9" t="s">
        <v>408</v>
      </c>
      <c r="D98" s="9" t="s">
        <v>128</v>
      </c>
      <c r="E98" s="10">
        <v>500</v>
      </c>
      <c r="F98" s="11">
        <v>2484.1550000000002</v>
      </c>
      <c r="G98" s="12">
        <v>1.088364E-2</v>
      </c>
      <c r="H98" s="35">
        <v>8.0288000000000004</v>
      </c>
    </row>
    <row r="99" spans="1:8" ht="29.1" customHeight="1" x14ac:dyDescent="0.2">
      <c r="A99" s="8">
        <v>7</v>
      </c>
      <c r="B99" s="9" t="s">
        <v>316</v>
      </c>
      <c r="C99" s="9" t="s">
        <v>317</v>
      </c>
      <c r="D99" s="9" t="s">
        <v>128</v>
      </c>
      <c r="E99" s="10">
        <v>500</v>
      </c>
      <c r="F99" s="11">
        <v>2475.0700000000002</v>
      </c>
      <c r="G99" s="12">
        <v>1.084383E-2</v>
      </c>
      <c r="H99" s="35">
        <v>8.5500000000000007</v>
      </c>
    </row>
    <row r="100" spans="1:8" ht="29.1" customHeight="1" x14ac:dyDescent="0.2">
      <c r="A100" s="8">
        <v>8</v>
      </c>
      <c r="B100" s="9" t="s">
        <v>328</v>
      </c>
      <c r="C100" s="9" t="s">
        <v>329</v>
      </c>
      <c r="D100" s="9" t="s">
        <v>128</v>
      </c>
      <c r="E100" s="10">
        <v>500</v>
      </c>
      <c r="F100" s="11">
        <v>2452.96</v>
      </c>
      <c r="G100" s="12">
        <v>1.074696E-2</v>
      </c>
      <c r="H100" s="35">
        <v>8.2349999999999994</v>
      </c>
    </row>
    <row r="101" spans="1:8" ht="17.100000000000001" customHeight="1" x14ac:dyDescent="0.2">
      <c r="A101" s="8">
        <v>9</v>
      </c>
      <c r="B101" s="9" t="s">
        <v>409</v>
      </c>
      <c r="C101" s="9" t="s">
        <v>410</v>
      </c>
      <c r="D101" s="9" t="s">
        <v>128</v>
      </c>
      <c r="E101" s="10">
        <v>500</v>
      </c>
      <c r="F101" s="11">
        <v>2356.7125000000001</v>
      </c>
      <c r="G101" s="12">
        <v>1.0325279999999999E-2</v>
      </c>
      <c r="H101" s="35">
        <v>7.6</v>
      </c>
    </row>
    <row r="102" spans="1:8" ht="29.1" customHeight="1" x14ac:dyDescent="0.2">
      <c r="A102" s="8">
        <v>10</v>
      </c>
      <c r="B102" s="9" t="s">
        <v>411</v>
      </c>
      <c r="C102" s="9" t="s">
        <v>412</v>
      </c>
      <c r="D102" s="9" t="s">
        <v>128</v>
      </c>
      <c r="E102" s="10">
        <v>500</v>
      </c>
      <c r="F102" s="11">
        <v>2334.4825000000001</v>
      </c>
      <c r="G102" s="12">
        <v>1.022789E-2</v>
      </c>
      <c r="H102" s="35">
        <v>8.375</v>
      </c>
    </row>
    <row r="103" spans="1:8" ht="29.1" customHeight="1" x14ac:dyDescent="0.2">
      <c r="A103" s="8">
        <v>11</v>
      </c>
      <c r="B103" s="9" t="s">
        <v>219</v>
      </c>
      <c r="C103" s="9" t="s">
        <v>220</v>
      </c>
      <c r="D103" s="9" t="s">
        <v>128</v>
      </c>
      <c r="E103" s="10">
        <v>400</v>
      </c>
      <c r="F103" s="11">
        <v>1948.25</v>
      </c>
      <c r="G103" s="12">
        <v>8.5357200000000001E-3</v>
      </c>
      <c r="H103" s="35">
        <v>8.2163000000000004</v>
      </c>
    </row>
    <row r="104" spans="1:8" ht="17.100000000000001" customHeight="1" x14ac:dyDescent="0.2">
      <c r="A104" s="8">
        <v>12</v>
      </c>
      <c r="B104" s="9" t="s">
        <v>211</v>
      </c>
      <c r="C104" s="9" t="s">
        <v>212</v>
      </c>
      <c r="D104" s="9" t="s">
        <v>128</v>
      </c>
      <c r="E104" s="10">
        <v>300</v>
      </c>
      <c r="F104" s="11">
        <v>1493.847</v>
      </c>
      <c r="G104" s="12">
        <v>6.5448800000000003E-3</v>
      </c>
      <c r="H104" s="35">
        <v>7.9124999999999996</v>
      </c>
    </row>
    <row r="105" spans="1:8" ht="17.100000000000001" customHeight="1" x14ac:dyDescent="0.2">
      <c r="A105" s="8">
        <v>13</v>
      </c>
      <c r="B105" s="9" t="s">
        <v>156</v>
      </c>
      <c r="C105" s="9" t="s">
        <v>157</v>
      </c>
      <c r="D105" s="9" t="s">
        <v>128</v>
      </c>
      <c r="E105" s="10">
        <v>300</v>
      </c>
      <c r="F105" s="11">
        <v>1411.6334999999999</v>
      </c>
      <c r="G105" s="12">
        <v>6.1846799999999997E-3</v>
      </c>
      <c r="H105" s="35">
        <v>8.1312999999999995</v>
      </c>
    </row>
    <row r="106" spans="1:8" ht="29.1" customHeight="1" x14ac:dyDescent="0.2">
      <c r="A106" s="8">
        <v>14</v>
      </c>
      <c r="B106" s="9" t="s">
        <v>215</v>
      </c>
      <c r="C106" s="9" t="s">
        <v>216</v>
      </c>
      <c r="D106" s="9" t="s">
        <v>128</v>
      </c>
      <c r="E106" s="10">
        <v>300</v>
      </c>
      <c r="F106" s="11">
        <v>1410.828</v>
      </c>
      <c r="G106" s="12">
        <v>6.1811499999999998E-3</v>
      </c>
      <c r="H106" s="35">
        <v>8.2100000000000009</v>
      </c>
    </row>
    <row r="107" spans="1:8" ht="14.1" customHeight="1" x14ac:dyDescent="0.2">
      <c r="A107" s="1"/>
      <c r="B107" s="1"/>
      <c r="C107" s="2" t="s">
        <v>11</v>
      </c>
      <c r="D107" s="1"/>
      <c r="E107" s="1" t="s">
        <v>12</v>
      </c>
      <c r="F107" s="7">
        <v>33221.013500000001</v>
      </c>
      <c r="G107" s="4">
        <v>0.14554865</v>
      </c>
      <c r="H107" s="35"/>
    </row>
    <row r="108" spans="1:8" ht="14.1" customHeight="1" x14ac:dyDescent="0.2">
      <c r="A108" s="1"/>
      <c r="B108" s="1"/>
      <c r="C108" s="5"/>
      <c r="D108" s="1"/>
      <c r="E108" s="1"/>
      <c r="F108" s="6"/>
      <c r="G108" s="6"/>
      <c r="H108" s="35"/>
    </row>
    <row r="109" spans="1:8" ht="14.1" customHeight="1" x14ac:dyDescent="0.2">
      <c r="A109" s="1"/>
      <c r="B109" s="1"/>
      <c r="C109" s="2" t="s">
        <v>75</v>
      </c>
      <c r="D109" s="1"/>
      <c r="E109" s="1"/>
      <c r="F109" s="6"/>
      <c r="G109" s="6"/>
      <c r="H109" s="35"/>
    </row>
    <row r="110" spans="1:8" ht="17.100000000000001" customHeight="1" x14ac:dyDescent="0.2">
      <c r="A110" s="8">
        <v>1</v>
      </c>
      <c r="B110" s="9" t="s">
        <v>225</v>
      </c>
      <c r="C110" s="9" t="s">
        <v>226</v>
      </c>
      <c r="D110" s="9" t="s">
        <v>65</v>
      </c>
      <c r="E110" s="10">
        <v>10000000</v>
      </c>
      <c r="F110" s="11">
        <v>9802.36</v>
      </c>
      <c r="G110" s="12">
        <v>4.2946320000000003E-2</v>
      </c>
      <c r="H110" s="35">
        <v>7.0090000000000003</v>
      </c>
    </row>
    <row r="111" spans="1:8" ht="17.100000000000001" customHeight="1" x14ac:dyDescent="0.2">
      <c r="A111" s="8">
        <v>2</v>
      </c>
      <c r="B111" s="9" t="s">
        <v>221</v>
      </c>
      <c r="C111" s="9" t="s">
        <v>222</v>
      </c>
      <c r="D111" s="9" t="s">
        <v>65</v>
      </c>
      <c r="E111" s="10">
        <v>10000000</v>
      </c>
      <c r="F111" s="11">
        <v>9659.4699999999993</v>
      </c>
      <c r="G111" s="12">
        <v>4.2320280000000002E-2</v>
      </c>
      <c r="H111" s="35">
        <v>7.07</v>
      </c>
    </row>
    <row r="112" spans="1:8" ht="17.100000000000001" customHeight="1" x14ac:dyDescent="0.2">
      <c r="A112" s="8">
        <v>3</v>
      </c>
      <c r="B112" s="9" t="s">
        <v>336</v>
      </c>
      <c r="C112" s="9" t="s">
        <v>337</v>
      </c>
      <c r="D112" s="9" t="s">
        <v>65</v>
      </c>
      <c r="E112" s="10">
        <v>5000000</v>
      </c>
      <c r="F112" s="11">
        <v>4927.43</v>
      </c>
      <c r="G112" s="12">
        <v>2.158817E-2</v>
      </c>
      <c r="H112" s="35">
        <v>6.9817999999999998</v>
      </c>
    </row>
    <row r="113" spans="1:8" ht="17.100000000000001" customHeight="1" x14ac:dyDescent="0.2">
      <c r="A113" s="8">
        <v>4</v>
      </c>
      <c r="B113" s="9" t="s">
        <v>342</v>
      </c>
      <c r="C113" s="9" t="s">
        <v>343</v>
      </c>
      <c r="D113" s="9" t="s">
        <v>65</v>
      </c>
      <c r="E113" s="10">
        <v>5000000</v>
      </c>
      <c r="F113" s="11">
        <v>4926.5150000000003</v>
      </c>
      <c r="G113" s="12">
        <v>2.1584160000000002E-2</v>
      </c>
      <c r="H113" s="35">
        <v>6.98</v>
      </c>
    </row>
    <row r="114" spans="1:8" ht="17.100000000000001" customHeight="1" x14ac:dyDescent="0.2">
      <c r="A114" s="8">
        <v>5</v>
      </c>
      <c r="B114" s="9" t="s">
        <v>413</v>
      </c>
      <c r="C114" s="9" t="s">
        <v>414</v>
      </c>
      <c r="D114" s="9" t="s">
        <v>65</v>
      </c>
      <c r="E114" s="10">
        <v>5000000</v>
      </c>
      <c r="F114" s="11">
        <v>4920.95</v>
      </c>
      <c r="G114" s="12">
        <v>2.1559780000000001E-2</v>
      </c>
      <c r="H114" s="35">
        <v>6.98</v>
      </c>
    </row>
    <row r="115" spans="1:8" ht="17.100000000000001" customHeight="1" x14ac:dyDescent="0.2">
      <c r="A115" s="8">
        <v>6</v>
      </c>
      <c r="B115" s="9" t="s">
        <v>334</v>
      </c>
      <c r="C115" s="9" t="s">
        <v>335</v>
      </c>
      <c r="D115" s="9" t="s">
        <v>65</v>
      </c>
      <c r="E115" s="10">
        <v>5000000</v>
      </c>
      <c r="F115" s="11">
        <v>4914.72</v>
      </c>
      <c r="G115" s="12">
        <v>2.153248E-2</v>
      </c>
      <c r="H115" s="35">
        <v>6.96</v>
      </c>
    </row>
    <row r="116" spans="1:8" ht="17.100000000000001" customHeight="1" x14ac:dyDescent="0.2">
      <c r="A116" s="8">
        <v>7</v>
      </c>
      <c r="B116" s="9" t="s">
        <v>415</v>
      </c>
      <c r="C116" s="9" t="s">
        <v>416</v>
      </c>
      <c r="D116" s="9" t="s">
        <v>65</v>
      </c>
      <c r="E116" s="10">
        <v>500000</v>
      </c>
      <c r="F116" s="11">
        <v>486.90949999999998</v>
      </c>
      <c r="G116" s="12">
        <v>2.1332600000000001E-3</v>
      </c>
      <c r="H116" s="35">
        <v>7.0092999999999996</v>
      </c>
    </row>
    <row r="117" spans="1:8" ht="14.1" customHeight="1" x14ac:dyDescent="0.2">
      <c r="A117" s="1"/>
      <c r="B117" s="1"/>
      <c r="C117" s="2" t="s">
        <v>11</v>
      </c>
      <c r="D117" s="1"/>
      <c r="E117" s="1" t="s">
        <v>12</v>
      </c>
      <c r="F117" s="7">
        <v>39638.354500000001</v>
      </c>
      <c r="G117" s="4">
        <v>0.17366445</v>
      </c>
      <c r="H117" s="35"/>
    </row>
    <row r="118" spans="1:8" ht="14.1" customHeight="1" x14ac:dyDescent="0.2">
      <c r="A118" s="1"/>
      <c r="B118" s="1"/>
      <c r="C118" s="5"/>
      <c r="D118" s="1"/>
      <c r="E118" s="1"/>
      <c r="F118" s="6"/>
      <c r="G118" s="6"/>
      <c r="H118" s="35"/>
    </row>
    <row r="119" spans="1:8" ht="14.1" customHeight="1" x14ac:dyDescent="0.2">
      <c r="A119" s="1"/>
      <c r="B119" s="1"/>
      <c r="C119" s="2" t="s">
        <v>76</v>
      </c>
      <c r="D119" s="1"/>
      <c r="E119" s="1"/>
      <c r="F119" s="6"/>
      <c r="G119" s="6"/>
      <c r="H119" s="35"/>
    </row>
    <row r="120" spans="1:8" ht="17.100000000000001" customHeight="1" x14ac:dyDescent="0.2">
      <c r="A120" s="8">
        <v>1</v>
      </c>
      <c r="B120" s="9"/>
      <c r="C120" s="9" t="s">
        <v>77</v>
      </c>
      <c r="D120" s="9"/>
      <c r="E120" s="13"/>
      <c r="F120" s="11">
        <v>24193.301330966999</v>
      </c>
      <c r="G120" s="12">
        <v>0.10599623</v>
      </c>
      <c r="H120" s="63" t="s">
        <v>482</v>
      </c>
    </row>
    <row r="121" spans="1:8" ht="14.1" customHeight="1" x14ac:dyDescent="0.2">
      <c r="A121" s="1"/>
      <c r="B121" s="1"/>
      <c r="C121" s="2" t="s">
        <v>11</v>
      </c>
      <c r="D121" s="1"/>
      <c r="E121" s="1" t="s">
        <v>12</v>
      </c>
      <c r="F121" s="7">
        <v>24193.301330966999</v>
      </c>
      <c r="G121" s="4">
        <v>0.10599623</v>
      </c>
      <c r="H121" s="35"/>
    </row>
    <row r="122" spans="1:8" ht="14.1" customHeight="1" x14ac:dyDescent="0.2">
      <c r="A122" s="1"/>
      <c r="B122" s="1"/>
      <c r="C122" s="5"/>
      <c r="D122" s="1"/>
      <c r="E122" s="1"/>
      <c r="F122" s="6"/>
      <c r="G122" s="6"/>
      <c r="H122" s="35"/>
    </row>
    <row r="123" spans="1:8" ht="14.1" customHeight="1" x14ac:dyDescent="0.2">
      <c r="A123" s="1"/>
      <c r="B123" s="1"/>
      <c r="C123" s="2" t="s">
        <v>78</v>
      </c>
      <c r="D123" s="1"/>
      <c r="E123" s="1"/>
      <c r="F123" s="7">
        <v>221157.50023096701</v>
      </c>
      <c r="G123" s="4">
        <v>0.96894018000000004</v>
      </c>
      <c r="H123" s="35"/>
    </row>
    <row r="124" spans="1:8" ht="14.1" customHeight="1" x14ac:dyDescent="0.2">
      <c r="A124" s="1"/>
      <c r="B124" s="1"/>
      <c r="C124" s="6"/>
      <c r="D124" s="1"/>
      <c r="E124" s="1"/>
      <c r="F124" s="1"/>
      <c r="G124" s="1"/>
      <c r="H124" s="35"/>
    </row>
    <row r="125" spans="1:8" ht="14.1" customHeight="1" x14ac:dyDescent="0.2">
      <c r="A125" s="1"/>
      <c r="B125" s="1"/>
      <c r="C125" s="2" t="s">
        <v>79</v>
      </c>
      <c r="D125" s="1"/>
      <c r="E125" s="1"/>
      <c r="F125" s="1"/>
      <c r="G125" s="1"/>
      <c r="H125" s="35"/>
    </row>
    <row r="126" spans="1:8" ht="14.1" customHeight="1" x14ac:dyDescent="0.2">
      <c r="A126" s="1"/>
      <c r="B126" s="1"/>
      <c r="C126" s="2" t="s">
        <v>80</v>
      </c>
      <c r="D126" s="1"/>
      <c r="E126" s="1"/>
      <c r="F126" s="1"/>
      <c r="G126" s="1"/>
      <c r="H126" s="35"/>
    </row>
    <row r="127" spans="1:8" ht="14.1" customHeight="1" x14ac:dyDescent="0.2">
      <c r="A127" s="1"/>
      <c r="B127" s="1"/>
      <c r="C127" s="2" t="s">
        <v>11</v>
      </c>
      <c r="D127" s="1"/>
      <c r="E127" s="1" t="s">
        <v>12</v>
      </c>
      <c r="F127" s="3" t="s">
        <v>13</v>
      </c>
      <c r="G127" s="4">
        <v>0</v>
      </c>
      <c r="H127" s="35"/>
    </row>
    <row r="128" spans="1:8" ht="14.1" customHeight="1" x14ac:dyDescent="0.2">
      <c r="A128" s="1"/>
      <c r="B128" s="1"/>
      <c r="C128" s="5"/>
      <c r="D128" s="1"/>
      <c r="E128" s="1"/>
      <c r="F128" s="6"/>
      <c r="G128" s="6"/>
      <c r="H128" s="35"/>
    </row>
    <row r="129" spans="1:18" ht="14.1" customHeight="1" x14ac:dyDescent="0.2">
      <c r="A129" s="1"/>
      <c r="B129" s="1"/>
      <c r="C129" s="2" t="s">
        <v>83</v>
      </c>
      <c r="D129" s="1"/>
      <c r="E129" s="1"/>
      <c r="F129" s="1"/>
      <c r="G129" s="1"/>
      <c r="H129" s="35"/>
    </row>
    <row r="130" spans="1:18" ht="14.1" customHeight="1" x14ac:dyDescent="0.2">
      <c r="A130" s="1"/>
      <c r="B130" s="1"/>
      <c r="C130" s="2" t="s">
        <v>84</v>
      </c>
      <c r="D130" s="1"/>
      <c r="E130" s="1"/>
      <c r="F130" s="1"/>
      <c r="G130" s="1"/>
      <c r="H130" s="35"/>
    </row>
    <row r="131" spans="1:18" ht="14.1" customHeight="1" x14ac:dyDescent="0.2">
      <c r="A131" s="1"/>
      <c r="B131" s="1"/>
      <c r="C131" s="2" t="s">
        <v>11</v>
      </c>
      <c r="D131" s="1"/>
      <c r="E131" s="1" t="s">
        <v>12</v>
      </c>
      <c r="F131" s="3" t="s">
        <v>13</v>
      </c>
      <c r="G131" s="4">
        <v>0</v>
      </c>
      <c r="H131" s="35"/>
    </row>
    <row r="132" spans="1:18" ht="14.1" customHeight="1" x14ac:dyDescent="0.2">
      <c r="A132" s="1"/>
      <c r="B132" s="1"/>
      <c r="C132" s="5"/>
      <c r="D132" s="1"/>
      <c r="E132" s="1"/>
      <c r="F132" s="6"/>
      <c r="G132" s="6"/>
      <c r="H132" s="35"/>
    </row>
    <row r="133" spans="1:18" ht="24" customHeight="1" x14ac:dyDescent="0.2">
      <c r="A133" s="1"/>
      <c r="B133" s="1"/>
      <c r="C133" s="2" t="s">
        <v>85</v>
      </c>
      <c r="D133" s="1"/>
      <c r="E133" s="1"/>
      <c r="F133" s="6"/>
      <c r="G133" s="6"/>
      <c r="H133" s="35"/>
    </row>
    <row r="134" spans="1:18" ht="14.1" customHeight="1" x14ac:dyDescent="0.2">
      <c r="A134" s="1"/>
      <c r="B134" s="1"/>
      <c r="C134" s="2" t="s">
        <v>11</v>
      </c>
      <c r="D134" s="1"/>
      <c r="E134" s="1" t="s">
        <v>12</v>
      </c>
      <c r="F134" s="3" t="s">
        <v>13</v>
      </c>
      <c r="G134" s="4">
        <v>0</v>
      </c>
      <c r="H134" s="35"/>
    </row>
    <row r="135" spans="1:18" ht="14.1" customHeight="1" x14ac:dyDescent="0.2">
      <c r="A135" s="1"/>
      <c r="B135" s="1"/>
      <c r="C135" s="2"/>
      <c r="D135" s="1"/>
      <c r="E135" s="1"/>
      <c r="F135" s="3"/>
      <c r="G135" s="4"/>
      <c r="H135" s="35"/>
    </row>
    <row r="136" spans="1:18" x14ac:dyDescent="0.2">
      <c r="A136" s="50"/>
      <c r="B136" s="50"/>
      <c r="C136" s="51" t="s">
        <v>481</v>
      </c>
      <c r="D136" s="50"/>
      <c r="E136" s="50"/>
      <c r="F136" s="52"/>
      <c r="G136" s="52"/>
      <c r="H136" s="53"/>
      <c r="K136" s="47"/>
      <c r="L136" s="47"/>
      <c r="M136" s="47"/>
      <c r="N136" s="47"/>
      <c r="O136" s="47"/>
      <c r="P136" s="54"/>
      <c r="Q136" s="54"/>
      <c r="R136" s="54"/>
    </row>
    <row r="137" spans="1:18" ht="29.1" customHeight="1" x14ac:dyDescent="0.2">
      <c r="A137" s="8">
        <v>1</v>
      </c>
      <c r="B137" s="9" t="s">
        <v>81</v>
      </c>
      <c r="C137" s="9" t="s">
        <v>82</v>
      </c>
      <c r="D137" s="9"/>
      <c r="E137" s="14">
        <v>4528.5039999999999</v>
      </c>
      <c r="F137" s="11">
        <v>463.371255975</v>
      </c>
      <c r="G137" s="12">
        <v>2.0301300000000002E-3</v>
      </c>
      <c r="H137" s="35"/>
    </row>
    <row r="138" spans="1:18" x14ac:dyDescent="0.2">
      <c r="A138" s="58"/>
      <c r="B138" s="58"/>
      <c r="C138" s="59" t="s">
        <v>11</v>
      </c>
      <c r="D138" s="58"/>
      <c r="E138" s="58" t="s">
        <v>12</v>
      </c>
      <c r="F138" s="60">
        <f>SUM(F137)</f>
        <v>463.371255975</v>
      </c>
      <c r="G138" s="61">
        <f>SUM(G137)</f>
        <v>2.0301300000000002E-3</v>
      </c>
      <c r="H138" s="53"/>
      <c r="K138" s="47"/>
      <c r="L138" s="47"/>
      <c r="M138" s="47"/>
      <c r="N138" s="47"/>
      <c r="O138" s="47"/>
      <c r="P138" s="54"/>
      <c r="Q138" s="54"/>
      <c r="R138" s="54"/>
    </row>
    <row r="139" spans="1:18" ht="14.1" customHeight="1" x14ac:dyDescent="0.2">
      <c r="A139" s="1"/>
      <c r="B139" s="9"/>
      <c r="C139" s="9"/>
      <c r="D139" s="2"/>
      <c r="E139" s="1"/>
      <c r="F139" s="9"/>
      <c r="G139" s="13"/>
      <c r="H139" s="35"/>
    </row>
    <row r="140" spans="1:18" ht="18" customHeight="1" x14ac:dyDescent="0.2">
      <c r="A140" s="13"/>
      <c r="B140" s="9"/>
      <c r="C140" s="9" t="s">
        <v>86</v>
      </c>
      <c r="D140" s="9"/>
      <c r="E140" s="13"/>
      <c r="F140" s="11">
        <v>-14295.8741078</v>
      </c>
      <c r="G140" s="12">
        <v>-6.2633400000000006E-2</v>
      </c>
      <c r="H140" s="35"/>
    </row>
    <row r="141" spans="1:18" ht="14.1" customHeight="1" x14ac:dyDescent="0.2">
      <c r="A141" s="5"/>
      <c r="B141" s="5"/>
      <c r="C141" s="2" t="s">
        <v>87</v>
      </c>
      <c r="D141" s="6"/>
      <c r="E141" s="6"/>
      <c r="F141" s="7">
        <v>228246.821379142</v>
      </c>
      <c r="G141" s="15">
        <v>1.0000000899999999</v>
      </c>
      <c r="H141" s="37"/>
    </row>
    <row r="142" spans="1:18" ht="14.1" customHeight="1" x14ac:dyDescent="0.2">
      <c r="A142" s="16"/>
      <c r="B142" s="16"/>
      <c r="C142" s="16"/>
      <c r="D142" s="17"/>
      <c r="E142" s="17"/>
      <c r="F142" s="17"/>
      <c r="G142" s="17"/>
      <c r="H142" s="38"/>
    </row>
    <row r="143" spans="1:18" ht="12.75" customHeight="1" x14ac:dyDescent="0.2">
      <c r="A143" s="44"/>
      <c r="B143" s="131" t="s">
        <v>477</v>
      </c>
      <c r="C143" s="131"/>
      <c r="D143" s="131"/>
      <c r="E143" s="131"/>
      <c r="F143" s="131"/>
      <c r="G143" s="131"/>
      <c r="H143" s="131"/>
    </row>
    <row r="144" spans="1:18" ht="12.75" customHeight="1" x14ac:dyDescent="0.2">
      <c r="A144" s="44"/>
      <c r="B144" s="131" t="s">
        <v>478</v>
      </c>
      <c r="C144" s="131"/>
      <c r="D144" s="131"/>
      <c r="E144" s="131"/>
      <c r="F144" s="131"/>
      <c r="G144" s="131"/>
      <c r="H144" s="131"/>
    </row>
    <row r="145" spans="1:8" ht="12.75" customHeight="1" x14ac:dyDescent="0.2">
      <c r="A145" s="44"/>
      <c r="B145" s="131" t="s">
        <v>479</v>
      </c>
      <c r="C145" s="131"/>
      <c r="D145" s="131"/>
      <c r="E145" s="131"/>
      <c r="F145" s="131"/>
      <c r="G145" s="131"/>
      <c r="H145" s="131"/>
    </row>
    <row r="146" spans="1:8" ht="14.1" customHeight="1" x14ac:dyDescent="0.2">
      <c r="A146" s="18"/>
      <c r="B146" s="18"/>
      <c r="C146" s="18"/>
      <c r="D146" s="20"/>
      <c r="E146" s="20"/>
      <c r="F146" s="20"/>
      <c r="G146" s="20"/>
      <c r="H146" s="39"/>
    </row>
    <row r="147" spans="1:8" ht="14.1" customHeight="1" x14ac:dyDescent="0.2">
      <c r="A147" s="18"/>
      <c r="B147" s="126" t="s">
        <v>88</v>
      </c>
      <c r="C147" s="127"/>
      <c r="D147" s="128"/>
      <c r="E147" s="21"/>
      <c r="F147" s="20"/>
      <c r="G147" s="20"/>
      <c r="H147" s="39"/>
    </row>
    <row r="148" spans="1:8" ht="29.1" customHeight="1" x14ac:dyDescent="0.2">
      <c r="A148" s="18"/>
      <c r="B148" s="129" t="s">
        <v>89</v>
      </c>
      <c r="C148" s="130"/>
      <c r="D148" s="124" t="s">
        <v>588</v>
      </c>
      <c r="E148" s="21"/>
      <c r="F148" s="20"/>
      <c r="G148" s="20"/>
      <c r="H148" s="39"/>
    </row>
    <row r="149" spans="1:8" ht="17.100000000000001" customHeight="1" x14ac:dyDescent="0.2">
      <c r="A149" s="18"/>
      <c r="B149" s="129" t="s">
        <v>91</v>
      </c>
      <c r="C149" s="130"/>
      <c r="D149" s="2" t="s">
        <v>90</v>
      </c>
      <c r="E149" s="21"/>
      <c r="F149" s="20"/>
      <c r="G149" s="20"/>
      <c r="H149" s="39"/>
    </row>
    <row r="150" spans="1:8" ht="17.100000000000001" customHeight="1" x14ac:dyDescent="0.2">
      <c r="A150" s="18"/>
      <c r="B150" s="129" t="s">
        <v>92</v>
      </c>
      <c r="C150" s="130"/>
      <c r="D150" s="6" t="s">
        <v>12</v>
      </c>
      <c r="E150" s="21"/>
      <c r="F150" s="20"/>
      <c r="G150" s="20"/>
      <c r="H150" s="39"/>
    </row>
    <row r="151" spans="1:8" x14ac:dyDescent="0.2">
      <c r="A151" s="22"/>
      <c r="B151" s="23" t="s">
        <v>12</v>
      </c>
      <c r="C151" s="23" t="s">
        <v>527</v>
      </c>
      <c r="D151" s="23" t="s">
        <v>93</v>
      </c>
      <c r="E151" s="22"/>
      <c r="F151" s="22"/>
      <c r="G151" s="22"/>
      <c r="H151" s="40"/>
    </row>
    <row r="152" spans="1:8" ht="18" customHeight="1" x14ac:dyDescent="0.2">
      <c r="A152" s="22"/>
      <c r="B152" s="24" t="s">
        <v>94</v>
      </c>
      <c r="C152" s="23" t="s">
        <v>95</v>
      </c>
      <c r="D152" s="23" t="s">
        <v>96</v>
      </c>
      <c r="E152" s="22"/>
      <c r="F152" s="22"/>
      <c r="G152" s="22"/>
      <c r="H152" s="40"/>
    </row>
    <row r="153" spans="1:8" ht="17.100000000000001" customHeight="1" x14ac:dyDescent="0.2">
      <c r="A153" s="22"/>
      <c r="B153" s="9" t="s">
        <v>97</v>
      </c>
      <c r="C153" s="25">
        <v>2682.9425999999999</v>
      </c>
      <c r="D153" s="25">
        <v>2690.7935000000002</v>
      </c>
      <c r="E153" s="22"/>
      <c r="F153" s="19"/>
      <c r="G153" s="26"/>
      <c r="H153" s="41"/>
    </row>
    <row r="154" spans="1:8" ht="29.1" customHeight="1" x14ac:dyDescent="0.2">
      <c r="A154" s="22"/>
      <c r="B154" s="9" t="s">
        <v>540</v>
      </c>
      <c r="C154" s="25">
        <v>1006.1763</v>
      </c>
      <c r="D154" s="25">
        <v>1006.1763</v>
      </c>
      <c r="E154" s="22"/>
      <c r="F154" s="19"/>
      <c r="G154" s="26"/>
      <c r="H154" s="41"/>
    </row>
    <row r="155" spans="1:8" ht="29.1" customHeight="1" x14ac:dyDescent="0.2">
      <c r="A155" s="22"/>
      <c r="B155" s="9" t="s">
        <v>546</v>
      </c>
      <c r="C155" s="25">
        <v>1062.0418999999999</v>
      </c>
      <c r="D155" s="25">
        <v>1062.1283000000001</v>
      </c>
      <c r="E155" s="22"/>
      <c r="F155" s="19"/>
      <c r="G155" s="26"/>
      <c r="H155" s="41"/>
    </row>
    <row r="156" spans="1:8" ht="29.1" customHeight="1" x14ac:dyDescent="0.2">
      <c r="A156" s="22"/>
      <c r="B156" s="9" t="s">
        <v>532</v>
      </c>
      <c r="C156" s="25">
        <v>1062.7791999999999</v>
      </c>
      <c r="D156" s="25">
        <v>1065.8888999999999</v>
      </c>
      <c r="E156" s="22"/>
      <c r="F156" s="19"/>
      <c r="G156" s="26"/>
      <c r="H156" s="41"/>
    </row>
    <row r="157" spans="1:8" ht="29.1" customHeight="1" x14ac:dyDescent="0.2">
      <c r="A157" s="22"/>
      <c r="B157" s="9" t="s">
        <v>533</v>
      </c>
      <c r="C157" s="25">
        <v>1152.7869000000001</v>
      </c>
      <c r="D157" s="25">
        <v>1156.1611</v>
      </c>
      <c r="E157" s="22"/>
      <c r="F157" s="19"/>
      <c r="G157" s="26"/>
      <c r="H157" s="41"/>
    </row>
    <row r="158" spans="1:8" ht="17.100000000000001" customHeight="1" x14ac:dyDescent="0.2">
      <c r="A158" s="22"/>
      <c r="B158" s="9" t="s">
        <v>98</v>
      </c>
      <c r="C158" s="25">
        <v>2495.7863000000002</v>
      </c>
      <c r="D158" s="25">
        <v>2501.8348999999998</v>
      </c>
      <c r="E158" s="22"/>
      <c r="F158" s="19"/>
      <c r="G158" s="26"/>
      <c r="H158" s="41"/>
    </row>
    <row r="159" spans="1:8" ht="29.1" customHeight="1" x14ac:dyDescent="0.2">
      <c r="A159" s="22"/>
      <c r="B159" s="9" t="s">
        <v>543</v>
      </c>
      <c r="C159" s="25">
        <v>1005.43</v>
      </c>
      <c r="D159" s="25">
        <v>1005.43</v>
      </c>
      <c r="E159" s="22"/>
      <c r="F159" s="19"/>
      <c r="G159" s="26"/>
      <c r="H159" s="41"/>
    </row>
    <row r="160" spans="1:8" ht="29.1" customHeight="1" x14ac:dyDescent="0.2">
      <c r="A160" s="22"/>
      <c r="B160" s="9" t="s">
        <v>544</v>
      </c>
      <c r="C160" s="25">
        <v>1019.7014</v>
      </c>
      <c r="D160" s="25">
        <v>1020.0727000000001</v>
      </c>
      <c r="E160" s="22"/>
      <c r="F160" s="19"/>
      <c r="G160" s="26"/>
      <c r="H160" s="41"/>
    </row>
    <row r="161" spans="1:15" ht="29.1" customHeight="1" x14ac:dyDescent="0.2">
      <c r="A161" s="22"/>
      <c r="B161" s="9" t="s">
        <v>545</v>
      </c>
      <c r="C161" s="25">
        <v>1060.5376000000001</v>
      </c>
      <c r="D161" s="25">
        <v>1060.9238</v>
      </c>
      <c r="E161" s="22"/>
      <c r="F161" s="19"/>
      <c r="G161" s="26"/>
      <c r="H161" s="41"/>
    </row>
    <row r="162" spans="1:15" ht="29.1" customHeight="1" x14ac:dyDescent="0.2">
      <c r="A162" s="22"/>
      <c r="B162" s="9" t="s">
        <v>536</v>
      </c>
      <c r="C162" s="25">
        <v>1061.8713</v>
      </c>
      <c r="D162" s="25">
        <v>1064.4447</v>
      </c>
      <c r="E162" s="22"/>
      <c r="F162" s="19"/>
      <c r="G162" s="26"/>
      <c r="H162" s="41"/>
    </row>
    <row r="163" spans="1:15" ht="29.1" customHeight="1" x14ac:dyDescent="0.2">
      <c r="A163" s="22"/>
      <c r="B163" s="9" t="s">
        <v>531</v>
      </c>
      <c r="C163" s="25">
        <v>1119.0924</v>
      </c>
      <c r="D163" s="25">
        <v>1121.8037999999999</v>
      </c>
      <c r="E163" s="22"/>
      <c r="F163" s="19"/>
      <c r="G163" s="26"/>
      <c r="H163" s="41"/>
    </row>
    <row r="164" spans="1:15" ht="14.1" customHeight="1" x14ac:dyDescent="0.2">
      <c r="A164" s="22"/>
      <c r="B164" s="22"/>
      <c r="C164" s="22"/>
      <c r="D164" s="22"/>
      <c r="E164" s="22"/>
      <c r="F164" s="22"/>
      <c r="G164" s="22"/>
      <c r="H164" s="40"/>
    </row>
    <row r="165" spans="1:15" ht="17.100000000000001" customHeight="1" x14ac:dyDescent="0.2">
      <c r="A165" s="22"/>
      <c r="B165" s="129" t="s">
        <v>539</v>
      </c>
      <c r="C165" s="130"/>
      <c r="D165" s="2" t="s">
        <v>12</v>
      </c>
      <c r="E165" s="22"/>
      <c r="F165" s="22"/>
      <c r="G165" s="22"/>
      <c r="H165" s="40"/>
    </row>
    <row r="166" spans="1:15" ht="18" customHeight="1" x14ac:dyDescent="0.2">
      <c r="A166" s="22"/>
      <c r="B166" s="28" t="s">
        <v>94</v>
      </c>
      <c r="C166" s="29" t="s">
        <v>132</v>
      </c>
      <c r="D166" s="29" t="s">
        <v>133</v>
      </c>
      <c r="E166" s="22"/>
      <c r="F166" s="22"/>
      <c r="G166" s="22"/>
      <c r="H166" s="40"/>
    </row>
    <row r="167" spans="1:15" ht="29.1" customHeight="1" x14ac:dyDescent="0.2">
      <c r="A167" s="22"/>
      <c r="B167" s="9" t="s">
        <v>540</v>
      </c>
      <c r="C167" s="30">
        <v>2.9276789999999999</v>
      </c>
      <c r="D167" s="13" t="s">
        <v>134</v>
      </c>
      <c r="E167" s="22"/>
      <c r="F167" s="19"/>
      <c r="G167" s="26"/>
      <c r="H167" s="41"/>
    </row>
    <row r="168" spans="1:15" ht="29.1" customHeight="1" x14ac:dyDescent="0.2">
      <c r="A168" s="22"/>
      <c r="B168" s="9" t="s">
        <v>546</v>
      </c>
      <c r="C168" s="30">
        <v>3</v>
      </c>
      <c r="D168" s="13" t="s">
        <v>134</v>
      </c>
      <c r="E168" s="22"/>
      <c r="F168" s="19"/>
      <c r="G168" s="26"/>
      <c r="H168" s="41"/>
    </row>
    <row r="169" spans="1:15" ht="29.1" customHeight="1" x14ac:dyDescent="0.2">
      <c r="A169" s="22"/>
      <c r="B169" s="9" t="s">
        <v>543</v>
      </c>
      <c r="C169" s="30">
        <v>2.435209</v>
      </c>
      <c r="D169" s="13" t="s">
        <v>134</v>
      </c>
      <c r="E169" s="22"/>
      <c r="F169" s="19"/>
      <c r="G169" s="26"/>
      <c r="H169" s="41"/>
    </row>
    <row r="170" spans="1:15" ht="29.1" customHeight="1" x14ac:dyDescent="0.2">
      <c r="A170" s="22"/>
      <c r="B170" s="9" t="s">
        <v>544</v>
      </c>
      <c r="C170" s="30">
        <v>2.0973999999999999</v>
      </c>
      <c r="D170" s="30">
        <v>2.0973999999999999</v>
      </c>
      <c r="E170" s="22"/>
      <c r="F170" s="19"/>
      <c r="G170" s="26"/>
      <c r="H170" s="41"/>
    </row>
    <row r="171" spans="1:15" ht="29.1" customHeight="1" x14ac:dyDescent="0.2">
      <c r="A171" s="22"/>
      <c r="B171" s="9" t="s">
        <v>545</v>
      </c>
      <c r="C171" s="30">
        <v>2.1825999999999999</v>
      </c>
      <c r="D171" s="13" t="s">
        <v>134</v>
      </c>
      <c r="E171" s="22"/>
      <c r="F171" s="19"/>
      <c r="G171" s="26"/>
      <c r="H171" s="41"/>
    </row>
    <row r="172" spans="1:15" ht="14.1" customHeight="1" x14ac:dyDescent="0.2">
      <c r="A172" s="22"/>
      <c r="B172" s="31"/>
      <c r="C172" s="31"/>
      <c r="D172" s="32"/>
      <c r="E172" s="22"/>
      <c r="F172" s="19"/>
      <c r="G172" s="26"/>
      <c r="H172" s="41"/>
    </row>
    <row r="173" spans="1:15" s="71" customFormat="1" ht="29.1" customHeight="1" x14ac:dyDescent="0.2">
      <c r="A173" s="69"/>
      <c r="B173" s="132" t="s">
        <v>99</v>
      </c>
      <c r="C173" s="133"/>
      <c r="D173" s="51" t="s">
        <v>90</v>
      </c>
      <c r="E173" s="70"/>
      <c r="F173" s="69"/>
      <c r="G173" s="69"/>
      <c r="I173"/>
      <c r="J173" s="46"/>
      <c r="K173" s="47"/>
      <c r="L173" s="47"/>
      <c r="M173" s="47"/>
      <c r="N173" s="47"/>
      <c r="O173"/>
    </row>
    <row r="174" spans="1:15" s="71" customFormat="1" ht="29.1" customHeight="1" x14ac:dyDescent="0.2">
      <c r="A174" s="69"/>
      <c r="B174" s="132" t="s">
        <v>100</v>
      </c>
      <c r="C174" s="133"/>
      <c r="D174" s="51" t="s">
        <v>90</v>
      </c>
      <c r="E174" s="70"/>
      <c r="F174" s="69"/>
      <c r="G174" s="69"/>
      <c r="I174"/>
      <c r="J174" s="46"/>
      <c r="K174" s="47"/>
      <c r="L174" s="47"/>
      <c r="M174" s="47"/>
      <c r="N174" s="47"/>
      <c r="O174" s="79"/>
    </row>
    <row r="175" spans="1:15" s="71" customFormat="1" ht="17.100000000000001" customHeight="1" x14ac:dyDescent="0.2">
      <c r="A175" s="69"/>
      <c r="B175" s="132" t="s">
        <v>487</v>
      </c>
      <c r="C175" s="133"/>
      <c r="D175" s="51" t="s">
        <v>90</v>
      </c>
      <c r="E175" s="70"/>
      <c r="F175" s="69"/>
      <c r="G175" s="69"/>
      <c r="I175"/>
      <c r="J175" s="46"/>
      <c r="K175" s="47"/>
      <c r="L175" s="47"/>
      <c r="M175" s="47"/>
      <c r="N175" s="47"/>
      <c r="O175" s="79"/>
    </row>
    <row r="176" spans="1:15" s="71" customFormat="1" x14ac:dyDescent="0.2">
      <c r="I176"/>
      <c r="J176" s="46"/>
      <c r="K176" s="47"/>
      <c r="L176" s="47"/>
      <c r="M176" s="47"/>
      <c r="N176" s="47"/>
      <c r="O176" s="79"/>
    </row>
    <row r="177" spans="2:17" s="71" customFormat="1" x14ac:dyDescent="0.2">
      <c r="B177" s="82" t="s">
        <v>525</v>
      </c>
      <c r="C177" s="82"/>
      <c r="D177" s="82"/>
      <c r="E177" s="82"/>
      <c r="F177" s="82"/>
      <c r="G177" s="82"/>
      <c r="I177"/>
      <c r="J177" s="46"/>
      <c r="K177" s="47"/>
      <c r="L177" s="47"/>
      <c r="M177" s="47"/>
      <c r="N177" s="47"/>
      <c r="O177" s="79"/>
    </row>
    <row r="178" spans="2:17" s="71" customFormat="1" ht="7.5" customHeight="1" x14ac:dyDescent="0.2">
      <c r="B178" s="83"/>
      <c r="C178" s="83"/>
      <c r="D178" s="83"/>
      <c r="E178" s="83"/>
      <c r="F178" s="83"/>
      <c r="G178" s="83"/>
      <c r="I178"/>
      <c r="J178" s="46"/>
      <c r="K178" s="47"/>
      <c r="L178" s="47"/>
      <c r="M178" s="47"/>
      <c r="N178" s="47"/>
      <c r="O178" s="79"/>
    </row>
    <row r="179" spans="2:17" s="71" customFormat="1" ht="63.75" x14ac:dyDescent="0.2">
      <c r="B179" s="94" t="s">
        <v>500</v>
      </c>
      <c r="C179" s="94" t="s">
        <v>501</v>
      </c>
      <c r="D179" s="94" t="s">
        <v>502</v>
      </c>
      <c r="E179" s="94" t="s">
        <v>503</v>
      </c>
      <c r="F179" s="94" t="s">
        <v>504</v>
      </c>
      <c r="G179" s="83"/>
      <c r="I179"/>
      <c r="J179" s="46"/>
      <c r="K179" s="47"/>
      <c r="L179" s="47"/>
      <c r="M179" s="47"/>
      <c r="N179" s="47"/>
      <c r="O179" s="79"/>
    </row>
    <row r="180" spans="2:17" s="71" customFormat="1" x14ac:dyDescent="0.2">
      <c r="B180" s="87" t="s">
        <v>505</v>
      </c>
      <c r="C180" s="87" t="s">
        <v>506</v>
      </c>
      <c r="D180" s="88">
        <v>0</v>
      </c>
      <c r="E180" s="89">
        <v>0</v>
      </c>
      <c r="F180" s="90">
        <v>500</v>
      </c>
      <c r="G180" s="83"/>
      <c r="I180"/>
      <c r="J180" s="46"/>
      <c r="K180" s="47"/>
      <c r="L180" s="47"/>
      <c r="M180" s="47"/>
      <c r="N180" s="47"/>
      <c r="O180" s="79"/>
    </row>
    <row r="181" spans="2:17" s="71" customFormat="1" x14ac:dyDescent="0.2">
      <c r="I181"/>
      <c r="J181" s="46"/>
      <c r="K181" s="47"/>
      <c r="L181" s="47"/>
      <c r="M181" s="47"/>
      <c r="N181" s="47"/>
      <c r="O181" s="79"/>
    </row>
    <row r="182" spans="2:17" s="71" customFormat="1" x14ac:dyDescent="0.2">
      <c r="B182" s="135" t="s">
        <v>488</v>
      </c>
      <c r="C182" s="136"/>
      <c r="D182" s="137"/>
      <c r="I182"/>
      <c r="J182" s="46"/>
      <c r="K182" s="47"/>
      <c r="L182" s="47"/>
      <c r="M182" s="47"/>
      <c r="N182" s="47"/>
      <c r="O182" s="79"/>
    </row>
    <row r="183" spans="2:17" s="71" customFormat="1" ht="25.5" x14ac:dyDescent="0.2">
      <c r="B183" s="134" t="s">
        <v>489</v>
      </c>
      <c r="C183" s="134"/>
      <c r="D183" s="72" t="s">
        <v>360</v>
      </c>
      <c r="I183"/>
      <c r="J183" s="46"/>
      <c r="K183" s="47"/>
      <c r="L183" s="47"/>
      <c r="M183" s="47"/>
      <c r="N183" s="47"/>
      <c r="O183" s="79"/>
    </row>
    <row r="184" spans="2:17" s="71" customFormat="1" x14ac:dyDescent="0.2">
      <c r="B184" s="138" t="s">
        <v>490</v>
      </c>
      <c r="C184" s="138"/>
      <c r="D184" s="73"/>
      <c r="I184"/>
      <c r="J184" s="46"/>
      <c r="K184" s="47"/>
      <c r="L184" s="47"/>
      <c r="M184" s="47"/>
      <c r="N184" s="47"/>
      <c r="O184" s="79"/>
    </row>
    <row r="185" spans="2:17" s="71" customFormat="1" x14ac:dyDescent="0.2">
      <c r="B185" s="138"/>
      <c r="C185" s="138"/>
      <c r="D185" s="74"/>
      <c r="I185"/>
      <c r="J185" s="46"/>
      <c r="K185" s="47"/>
      <c r="L185" s="47"/>
      <c r="M185" s="47"/>
      <c r="N185" s="47"/>
      <c r="O185" s="79"/>
    </row>
    <row r="186" spans="2:17" s="71" customFormat="1" x14ac:dyDescent="0.2">
      <c r="B186" s="138" t="s">
        <v>491</v>
      </c>
      <c r="C186" s="138"/>
      <c r="D186" s="75">
        <v>7.3753654325802849</v>
      </c>
      <c r="I186"/>
      <c r="J186" s="46"/>
      <c r="K186" s="47"/>
      <c r="L186" s="47"/>
      <c r="M186" s="47"/>
      <c r="N186" s="47"/>
      <c r="O186" s="79"/>
    </row>
    <row r="187" spans="2:17" s="71" customFormat="1" x14ac:dyDescent="0.2">
      <c r="B187" s="138"/>
      <c r="C187" s="138"/>
      <c r="D187" s="74"/>
      <c r="I187"/>
      <c r="J187" s="46"/>
      <c r="K187" s="47"/>
      <c r="L187" s="47"/>
      <c r="M187" s="47"/>
      <c r="N187" s="47"/>
      <c r="O187" s="79"/>
    </row>
    <row r="188" spans="2:17" s="71" customFormat="1" x14ac:dyDescent="0.2">
      <c r="B188" s="138" t="s">
        <v>492</v>
      </c>
      <c r="C188" s="138"/>
      <c r="D188" s="75">
        <v>0.39791859009506503</v>
      </c>
      <c r="I188"/>
      <c r="J188" s="46"/>
      <c r="K188" s="47"/>
      <c r="L188" s="47"/>
      <c r="M188" s="47"/>
      <c r="N188" s="47"/>
      <c r="O188" s="79"/>
    </row>
    <row r="189" spans="2:17" s="71" customFormat="1" x14ac:dyDescent="0.2">
      <c r="B189" s="138" t="s">
        <v>493</v>
      </c>
      <c r="C189" s="138"/>
      <c r="D189" s="75">
        <v>0.40209261219297077</v>
      </c>
      <c r="I189"/>
      <c r="J189" s="46"/>
      <c r="K189" s="47"/>
      <c r="L189" s="47"/>
      <c r="M189" s="47"/>
      <c r="N189" s="47"/>
      <c r="O189" s="79"/>
    </row>
    <row r="190" spans="2:17" s="71" customFormat="1" x14ac:dyDescent="0.2">
      <c r="B190" s="138"/>
      <c r="C190" s="138"/>
      <c r="D190" s="74"/>
      <c r="I190"/>
      <c r="J190" s="46"/>
      <c r="K190" s="47"/>
      <c r="L190" s="47"/>
      <c r="M190" s="47"/>
      <c r="N190" s="47"/>
      <c r="O190" s="79"/>
    </row>
    <row r="191" spans="2:17" s="71" customFormat="1" x14ac:dyDescent="0.2">
      <c r="B191" s="138" t="s">
        <v>494</v>
      </c>
      <c r="C191" s="138"/>
      <c r="D191" s="76" t="s">
        <v>523</v>
      </c>
      <c r="I191"/>
      <c r="J191" s="46"/>
      <c r="K191" s="47"/>
      <c r="L191" s="47"/>
      <c r="M191" s="47"/>
      <c r="N191" s="47"/>
      <c r="O191" s="79"/>
    </row>
    <row r="192" spans="2:17" s="71" customFormat="1" x14ac:dyDescent="0.2">
      <c r="B192" s="139" t="s">
        <v>495</v>
      </c>
      <c r="C192" s="141"/>
      <c r="D192" s="140"/>
      <c r="I192"/>
      <c r="J192" s="46"/>
      <c r="K192" s="47"/>
      <c r="L192" s="47"/>
      <c r="M192" s="47"/>
      <c r="N192" s="47"/>
      <c r="O192" s="79"/>
      <c r="P192"/>
      <c r="Q192"/>
    </row>
    <row r="193" spans="8:15" x14ac:dyDescent="0.2">
      <c r="H193"/>
      <c r="K193" s="47"/>
      <c r="L193" s="47"/>
      <c r="M193" s="47"/>
      <c r="N193" s="47"/>
      <c r="O193" s="79"/>
    </row>
  </sheetData>
  <mergeCells count="25">
    <mergeCell ref="B192:D192"/>
    <mergeCell ref="B187:C187"/>
    <mergeCell ref="B188:C188"/>
    <mergeCell ref="B189:C189"/>
    <mergeCell ref="B190:C190"/>
    <mergeCell ref="B191:C191"/>
    <mergeCell ref="B182:D182"/>
    <mergeCell ref="B183:C183"/>
    <mergeCell ref="B184:C184"/>
    <mergeCell ref="B185:C185"/>
    <mergeCell ref="B186:C186"/>
    <mergeCell ref="B175:C175"/>
    <mergeCell ref="B150:C150"/>
    <mergeCell ref="B165:C165"/>
    <mergeCell ref="B174:C174"/>
    <mergeCell ref="B173:C173"/>
    <mergeCell ref="A1:H1"/>
    <mergeCell ref="A2:H2"/>
    <mergeCell ref="B147:D147"/>
    <mergeCell ref="B148:C148"/>
    <mergeCell ref="B149:C149"/>
    <mergeCell ref="B143:H143"/>
    <mergeCell ref="B144:H144"/>
    <mergeCell ref="B145:H145"/>
    <mergeCell ref="A3:H3"/>
  </mergeCells>
  <hyperlinks>
    <hyperlink ref="I1" location="Index!B8" display="Index" xr:uid="{C917F3AE-79E7-4707-8FD6-D5D03277E9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27"/>
  <sheetViews>
    <sheetView showGridLines="0" workbookViewId="0">
      <selection activeCell="G118" sqref="G118"/>
    </sheetView>
  </sheetViews>
  <sheetFormatPr defaultRowHeight="12.75" x14ac:dyDescent="0.2"/>
  <cols>
    <col min="1" max="1" width="5.85546875" bestFit="1" customWidth="1"/>
    <col min="2" max="2" width="19.7109375" bestFit="1" customWidth="1"/>
    <col min="3" max="3" width="39.140625" bestFit="1" customWidth="1"/>
    <col min="4" max="4" width="16.7109375" customWidth="1"/>
    <col min="5" max="5" width="8.7109375" bestFit="1" customWidth="1"/>
    <col min="6" max="6" width="10.140625" bestFit="1" customWidth="1"/>
    <col min="7" max="7" width="14" bestFit="1" customWidth="1"/>
    <col min="8" max="8" width="16.42578125" bestFit="1" customWidth="1"/>
    <col min="9" max="9" width="6" bestFit="1" customWidth="1"/>
    <col min="10" max="10" width="50.7109375" style="46" customWidth="1"/>
  </cols>
  <sheetData>
    <row r="1" spans="1:10" ht="15" x14ac:dyDescent="0.2">
      <c r="A1" s="125" t="s">
        <v>0</v>
      </c>
      <c r="B1" s="125"/>
      <c r="C1" s="125"/>
      <c r="D1" s="125"/>
      <c r="E1" s="125"/>
      <c r="F1" s="125"/>
      <c r="G1" s="125"/>
      <c r="H1" s="125"/>
      <c r="I1" s="116" t="s">
        <v>563</v>
      </c>
    </row>
    <row r="2" spans="1:10" ht="15" x14ac:dyDescent="0.2">
      <c r="A2" s="125" t="s">
        <v>417</v>
      </c>
      <c r="B2" s="125"/>
      <c r="C2" s="125"/>
      <c r="D2" s="125"/>
      <c r="E2" s="125"/>
      <c r="F2" s="125"/>
      <c r="G2" s="125"/>
      <c r="H2" s="125"/>
      <c r="J2" s="117" t="s">
        <v>564</v>
      </c>
    </row>
    <row r="3" spans="1:10" ht="15"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3" t="s">
        <v>475</v>
      </c>
      <c r="I4"/>
      <c r="J4" s="46"/>
    </row>
    <row r="5" spans="1:10" x14ac:dyDescent="0.2">
      <c r="A5" s="1"/>
      <c r="B5" s="1"/>
      <c r="C5" s="2" t="s">
        <v>9</v>
      </c>
      <c r="D5" s="1"/>
      <c r="E5" s="1"/>
      <c r="F5" s="1"/>
      <c r="G5" s="1"/>
      <c r="H5" s="1"/>
    </row>
    <row r="6" spans="1:10" x14ac:dyDescent="0.2">
      <c r="A6" s="1"/>
      <c r="B6" s="1"/>
      <c r="C6" s="2" t="s">
        <v>10</v>
      </c>
      <c r="D6" s="1"/>
      <c r="E6" s="1"/>
      <c r="F6" s="1"/>
      <c r="G6" s="1"/>
      <c r="H6" s="35"/>
    </row>
    <row r="7" spans="1:10" x14ac:dyDescent="0.2">
      <c r="A7" s="1"/>
      <c r="B7" s="1"/>
      <c r="C7" s="2" t="s">
        <v>11</v>
      </c>
      <c r="D7" s="1"/>
      <c r="E7" s="1" t="s">
        <v>12</v>
      </c>
      <c r="F7" s="3" t="s">
        <v>13</v>
      </c>
      <c r="G7" s="4">
        <v>0</v>
      </c>
      <c r="H7" s="35"/>
    </row>
    <row r="8" spans="1:10" x14ac:dyDescent="0.2">
      <c r="A8" s="1"/>
      <c r="B8" s="1"/>
      <c r="C8" s="5"/>
      <c r="D8" s="1"/>
      <c r="E8" s="1"/>
      <c r="F8" s="6"/>
      <c r="G8" s="6"/>
      <c r="H8" s="35"/>
    </row>
    <row r="9" spans="1:10" x14ac:dyDescent="0.2">
      <c r="A9" s="1"/>
      <c r="B9" s="1"/>
      <c r="C9" s="2" t="s">
        <v>14</v>
      </c>
      <c r="D9" s="1"/>
      <c r="E9" s="1"/>
      <c r="F9" s="1"/>
      <c r="G9" s="1"/>
      <c r="H9" s="35"/>
    </row>
    <row r="10" spans="1:10" x14ac:dyDescent="0.2">
      <c r="A10" s="1"/>
      <c r="B10" s="1"/>
      <c r="C10" s="2" t="s">
        <v>11</v>
      </c>
      <c r="D10" s="1"/>
      <c r="E10" s="1" t="s">
        <v>12</v>
      </c>
      <c r="F10" s="3" t="s">
        <v>13</v>
      </c>
      <c r="G10" s="4">
        <v>0</v>
      </c>
      <c r="H10" s="35"/>
    </row>
    <row r="11" spans="1:10" x14ac:dyDescent="0.2">
      <c r="A11" s="1"/>
      <c r="B11" s="1"/>
      <c r="C11" s="5"/>
      <c r="D11" s="1"/>
      <c r="E11" s="1"/>
      <c r="F11" s="6"/>
      <c r="G11" s="6"/>
      <c r="H11" s="35"/>
    </row>
    <row r="12" spans="1:10" ht="15" x14ac:dyDescent="0.2">
      <c r="A12" s="1"/>
      <c r="B12" s="1"/>
      <c r="C12" s="2" t="s">
        <v>15</v>
      </c>
      <c r="D12" s="1"/>
      <c r="E12" s="1"/>
      <c r="F12" s="1"/>
      <c r="G12" s="1"/>
      <c r="H12" s="35"/>
      <c r="J12" s="119"/>
    </row>
    <row r="13" spans="1:10" x14ac:dyDescent="0.2">
      <c r="A13" s="1"/>
      <c r="B13" s="1"/>
      <c r="C13" s="2" t="s">
        <v>11</v>
      </c>
      <c r="D13" s="1"/>
      <c r="E13" s="1" t="s">
        <v>12</v>
      </c>
      <c r="F13" s="3" t="s">
        <v>13</v>
      </c>
      <c r="G13" s="4">
        <v>0</v>
      </c>
      <c r="H13" s="35"/>
      <c r="J13" s="120"/>
    </row>
    <row r="14" spans="1:10" ht="25.5" x14ac:dyDescent="0.2">
      <c r="A14" s="1"/>
      <c r="B14" s="1"/>
      <c r="C14" s="5"/>
      <c r="D14" s="1"/>
      <c r="E14" s="1"/>
      <c r="F14" s="6"/>
      <c r="G14" s="6"/>
      <c r="H14" s="35"/>
      <c r="J14" s="120" t="s">
        <v>579</v>
      </c>
    </row>
    <row r="15" spans="1:10" x14ac:dyDescent="0.2">
      <c r="A15" s="1"/>
      <c r="B15" s="1"/>
      <c r="C15" s="2" t="s">
        <v>16</v>
      </c>
      <c r="D15" s="1"/>
      <c r="E15" s="1"/>
      <c r="F15" s="1"/>
      <c r="G15" s="1"/>
      <c r="H15" s="35"/>
      <c r="J15" s="120"/>
    </row>
    <row r="16" spans="1:10" x14ac:dyDescent="0.2">
      <c r="A16" s="1"/>
      <c r="B16" s="1"/>
      <c r="C16" s="2" t="s">
        <v>11</v>
      </c>
      <c r="D16" s="1"/>
      <c r="E16" s="1" t="s">
        <v>12</v>
      </c>
      <c r="F16" s="3" t="s">
        <v>13</v>
      </c>
      <c r="G16" s="4">
        <v>0</v>
      </c>
      <c r="H16" s="35"/>
    </row>
    <row r="17" spans="1:10" x14ac:dyDescent="0.2">
      <c r="A17" s="1"/>
      <c r="B17" s="1"/>
      <c r="C17" s="5"/>
      <c r="D17" s="1"/>
      <c r="E17" s="1"/>
      <c r="F17" s="6"/>
      <c r="G17" s="6"/>
      <c r="H17" s="35"/>
    </row>
    <row r="18" spans="1:10" x14ac:dyDescent="0.2">
      <c r="A18" s="1"/>
      <c r="B18" s="1"/>
      <c r="C18" s="2" t="s">
        <v>17</v>
      </c>
      <c r="D18" s="1"/>
      <c r="E18" s="1"/>
      <c r="F18" s="6"/>
      <c r="G18" s="6"/>
      <c r="H18" s="35"/>
    </row>
    <row r="19" spans="1:10" x14ac:dyDescent="0.2">
      <c r="A19" s="1"/>
      <c r="B19" s="1"/>
      <c r="C19" s="2" t="s">
        <v>11</v>
      </c>
      <c r="D19" s="1"/>
      <c r="E19" s="1" t="s">
        <v>12</v>
      </c>
      <c r="F19" s="3" t="s">
        <v>13</v>
      </c>
      <c r="G19" s="4">
        <v>0</v>
      </c>
      <c r="H19" s="35"/>
    </row>
    <row r="20" spans="1:10" x14ac:dyDescent="0.2">
      <c r="A20" s="1"/>
      <c r="B20" s="1"/>
      <c r="C20" s="5"/>
      <c r="D20" s="1"/>
      <c r="E20" s="1"/>
      <c r="F20" s="6"/>
      <c r="G20" s="6"/>
      <c r="H20" s="35"/>
    </row>
    <row r="21" spans="1:10" x14ac:dyDescent="0.2">
      <c r="A21" s="1"/>
      <c r="B21" s="1"/>
      <c r="C21" s="2" t="s">
        <v>18</v>
      </c>
      <c r="D21" s="1"/>
      <c r="E21" s="1"/>
      <c r="F21" s="6"/>
      <c r="G21" s="6"/>
      <c r="H21" s="35"/>
    </row>
    <row r="22" spans="1:10" ht="15" x14ac:dyDescent="0.2">
      <c r="A22" s="1"/>
      <c r="B22" s="1"/>
      <c r="C22" s="2" t="s">
        <v>11</v>
      </c>
      <c r="D22" s="1"/>
      <c r="E22" s="1" t="s">
        <v>12</v>
      </c>
      <c r="F22" s="3" t="s">
        <v>13</v>
      </c>
      <c r="G22" s="4">
        <v>0</v>
      </c>
      <c r="H22" s="35"/>
      <c r="J22" s="119"/>
    </row>
    <row r="23" spans="1:10" x14ac:dyDescent="0.2">
      <c r="A23" s="1"/>
      <c r="B23" s="1"/>
      <c r="C23" s="5"/>
      <c r="D23" s="1"/>
      <c r="E23" s="1"/>
      <c r="F23" s="6"/>
      <c r="G23" s="6"/>
      <c r="H23" s="35"/>
      <c r="J23" s="120"/>
    </row>
    <row r="24" spans="1:10" x14ac:dyDescent="0.2">
      <c r="A24" s="1"/>
      <c r="B24" s="1"/>
      <c r="C24" s="2" t="s">
        <v>19</v>
      </c>
      <c r="D24" s="1"/>
      <c r="E24" s="1"/>
      <c r="F24" s="7">
        <v>0</v>
      </c>
      <c r="G24" s="4">
        <v>0</v>
      </c>
      <c r="H24" s="35"/>
    </row>
    <row r="25" spans="1:10" x14ac:dyDescent="0.2">
      <c r="A25" s="1"/>
      <c r="B25" s="1"/>
      <c r="C25" s="5"/>
      <c r="D25" s="1"/>
      <c r="E25" s="1"/>
      <c r="F25" s="6"/>
      <c r="G25" s="6"/>
      <c r="H25" s="35"/>
    </row>
    <row r="26" spans="1:10" x14ac:dyDescent="0.2">
      <c r="A26" s="1"/>
      <c r="B26" s="1"/>
      <c r="C26" s="2" t="s">
        <v>20</v>
      </c>
      <c r="D26" s="1"/>
      <c r="E26" s="1"/>
      <c r="F26" s="6"/>
      <c r="G26" s="6"/>
      <c r="H26" s="35"/>
    </row>
    <row r="27" spans="1:10" ht="25.5" x14ac:dyDescent="0.2">
      <c r="A27" s="1"/>
      <c r="B27" s="1"/>
      <c r="C27" s="2" t="s">
        <v>10</v>
      </c>
      <c r="D27" s="1"/>
      <c r="E27" s="1"/>
      <c r="F27" s="6"/>
      <c r="G27" s="6"/>
      <c r="H27" s="35"/>
      <c r="J27" s="120" t="s">
        <v>580</v>
      </c>
    </row>
    <row r="28" spans="1:10" x14ac:dyDescent="0.2">
      <c r="A28" s="8">
        <v>1</v>
      </c>
      <c r="B28" s="9" t="s">
        <v>168</v>
      </c>
      <c r="C28" s="9" t="s">
        <v>169</v>
      </c>
      <c r="D28" s="9" t="s">
        <v>170</v>
      </c>
      <c r="E28" s="10">
        <v>100</v>
      </c>
      <c r="F28" s="11">
        <v>100.096</v>
      </c>
      <c r="G28" s="12">
        <v>2.2908439999999999E-2</v>
      </c>
      <c r="H28" s="35">
        <v>8.7650000000000006</v>
      </c>
    </row>
    <row r="29" spans="1:10" x14ac:dyDescent="0.2">
      <c r="A29" s="8">
        <v>2</v>
      </c>
      <c r="B29" s="9" t="s">
        <v>182</v>
      </c>
      <c r="C29" s="9" t="s">
        <v>183</v>
      </c>
      <c r="D29" s="9" t="s">
        <v>181</v>
      </c>
      <c r="E29" s="10">
        <v>100</v>
      </c>
      <c r="F29" s="11">
        <v>99.991100000000003</v>
      </c>
      <c r="G29" s="12">
        <v>2.2884430000000001E-2</v>
      </c>
      <c r="H29" s="35">
        <v>8.375</v>
      </c>
    </row>
    <row r="30" spans="1:10" x14ac:dyDescent="0.2">
      <c r="A30" s="1"/>
      <c r="B30" s="1"/>
      <c r="C30" s="2" t="s">
        <v>11</v>
      </c>
      <c r="D30" s="1"/>
      <c r="E30" s="1" t="s">
        <v>12</v>
      </c>
      <c r="F30" s="7">
        <v>200.08709999999999</v>
      </c>
      <c r="G30" s="4">
        <v>4.5792869999999999E-2</v>
      </c>
      <c r="H30" s="35"/>
    </row>
    <row r="31" spans="1:10" x14ac:dyDescent="0.2">
      <c r="A31" s="1"/>
      <c r="B31" s="1"/>
      <c r="C31" s="5"/>
      <c r="D31" s="1"/>
      <c r="E31" s="1"/>
      <c r="F31" s="6"/>
      <c r="G31" s="6"/>
      <c r="H31" s="35"/>
    </row>
    <row r="32" spans="1:10" x14ac:dyDescent="0.2">
      <c r="A32" s="1"/>
      <c r="B32" s="1"/>
      <c r="C32" s="2" t="s">
        <v>61</v>
      </c>
      <c r="D32" s="1"/>
      <c r="E32" s="1"/>
      <c r="F32" s="1"/>
      <c r="G32" s="1"/>
      <c r="H32" s="35"/>
    </row>
    <row r="33" spans="1:8" x14ac:dyDescent="0.2">
      <c r="A33" s="1"/>
      <c r="B33" s="1"/>
      <c r="C33" s="2" t="s">
        <v>11</v>
      </c>
      <c r="D33" s="1"/>
      <c r="E33" s="1" t="s">
        <v>12</v>
      </c>
      <c r="F33" s="3" t="s">
        <v>13</v>
      </c>
      <c r="G33" s="4">
        <v>0</v>
      </c>
      <c r="H33" s="35"/>
    </row>
    <row r="34" spans="1:8" x14ac:dyDescent="0.2">
      <c r="A34" s="1"/>
      <c r="B34" s="1"/>
      <c r="C34" s="5"/>
      <c r="D34" s="1"/>
      <c r="E34" s="1"/>
      <c r="F34" s="6"/>
      <c r="G34" s="6"/>
      <c r="H34" s="35"/>
    </row>
    <row r="35" spans="1:8" x14ac:dyDescent="0.2">
      <c r="A35" s="1"/>
      <c r="B35" s="1"/>
      <c r="C35" s="2" t="s">
        <v>62</v>
      </c>
      <c r="D35" s="1"/>
      <c r="E35" s="1"/>
      <c r="F35" s="1"/>
      <c r="G35" s="1"/>
      <c r="H35" s="35"/>
    </row>
    <row r="36" spans="1:8" x14ac:dyDescent="0.2">
      <c r="A36" s="8">
        <v>1</v>
      </c>
      <c r="B36" s="9" t="s">
        <v>63</v>
      </c>
      <c r="C36" s="9" t="s">
        <v>64</v>
      </c>
      <c r="D36" s="9" t="s">
        <v>65</v>
      </c>
      <c r="E36" s="10">
        <v>1500000</v>
      </c>
      <c r="F36" s="11">
        <v>1509.2505000000001</v>
      </c>
      <c r="G36" s="12">
        <v>0.34541414999999998</v>
      </c>
      <c r="H36" s="35">
        <v>7.2111000000000001</v>
      </c>
    </row>
    <row r="37" spans="1:8" ht="25.5" x14ac:dyDescent="0.2">
      <c r="A37" s="8">
        <v>2</v>
      </c>
      <c r="B37" s="9" t="s">
        <v>418</v>
      </c>
      <c r="C37" s="9" t="s">
        <v>419</v>
      </c>
      <c r="D37" s="9" t="s">
        <v>65</v>
      </c>
      <c r="E37" s="10">
        <v>1500000</v>
      </c>
      <c r="F37" s="11">
        <v>1455.3</v>
      </c>
      <c r="G37" s="12">
        <v>0.33306679</v>
      </c>
      <c r="H37" s="35">
        <v>7.1871</v>
      </c>
    </row>
    <row r="38" spans="1:8" ht="25.5" x14ac:dyDescent="0.2">
      <c r="A38" s="8">
        <v>3</v>
      </c>
      <c r="B38" s="9" t="s">
        <v>420</v>
      </c>
      <c r="C38" s="9" t="s">
        <v>421</v>
      </c>
      <c r="D38" s="9" t="s">
        <v>65</v>
      </c>
      <c r="E38" s="10">
        <v>500000</v>
      </c>
      <c r="F38" s="11">
        <v>486.75</v>
      </c>
      <c r="G38" s="12">
        <v>0.11139989</v>
      </c>
      <c r="H38" s="35">
        <v>7.1901000000000002</v>
      </c>
    </row>
    <row r="39" spans="1:8" ht="25.5" x14ac:dyDescent="0.2">
      <c r="A39" s="8">
        <v>4</v>
      </c>
      <c r="B39" s="9" t="s">
        <v>355</v>
      </c>
      <c r="C39" s="9" t="s">
        <v>356</v>
      </c>
      <c r="D39" s="9" t="s">
        <v>65</v>
      </c>
      <c r="E39" s="10">
        <v>230000</v>
      </c>
      <c r="F39" s="11">
        <v>230.00161</v>
      </c>
      <c r="G39" s="12">
        <v>5.2639249999999999E-2</v>
      </c>
      <c r="H39" s="35">
        <v>7.5761000000000003</v>
      </c>
    </row>
    <row r="40" spans="1:8" x14ac:dyDescent="0.2">
      <c r="A40" s="1"/>
      <c r="B40" s="1"/>
      <c r="C40" s="2" t="s">
        <v>11</v>
      </c>
      <c r="D40" s="1"/>
      <c r="E40" s="1" t="s">
        <v>12</v>
      </c>
      <c r="F40" s="7">
        <v>3681.3021100000001</v>
      </c>
      <c r="G40" s="4">
        <v>0.84252008</v>
      </c>
      <c r="H40" s="35"/>
    </row>
    <row r="41" spans="1:8" x14ac:dyDescent="0.2">
      <c r="A41" s="1"/>
      <c r="B41" s="1"/>
      <c r="C41" s="5"/>
      <c r="D41" s="1"/>
      <c r="E41" s="1"/>
      <c r="F41" s="6"/>
      <c r="G41" s="6"/>
      <c r="H41" s="35"/>
    </row>
    <row r="42" spans="1:8" x14ac:dyDescent="0.2">
      <c r="A42" s="1"/>
      <c r="B42" s="1"/>
      <c r="C42" s="2" t="s">
        <v>70</v>
      </c>
      <c r="D42" s="1"/>
      <c r="E42" s="1"/>
      <c r="F42" s="6"/>
      <c r="G42" s="6"/>
      <c r="H42" s="35"/>
    </row>
    <row r="43" spans="1:8" x14ac:dyDescent="0.2">
      <c r="A43" s="1"/>
      <c r="B43" s="1"/>
      <c r="C43" s="2" t="s">
        <v>11</v>
      </c>
      <c r="D43" s="1"/>
      <c r="E43" s="1" t="s">
        <v>12</v>
      </c>
      <c r="F43" s="3" t="s">
        <v>13</v>
      </c>
      <c r="G43" s="4">
        <v>0</v>
      </c>
      <c r="H43" s="35"/>
    </row>
    <row r="44" spans="1:8" x14ac:dyDescent="0.2">
      <c r="A44" s="1"/>
      <c r="B44" s="1"/>
      <c r="C44" s="5"/>
      <c r="D44" s="1"/>
      <c r="E44" s="1"/>
      <c r="F44" s="6"/>
      <c r="G44" s="6"/>
      <c r="H44" s="35"/>
    </row>
    <row r="45" spans="1:8" x14ac:dyDescent="0.2">
      <c r="A45" s="1"/>
      <c r="B45" s="1"/>
      <c r="C45" s="2" t="s">
        <v>71</v>
      </c>
      <c r="D45" s="1"/>
      <c r="E45" s="1"/>
      <c r="F45" s="7">
        <v>3881.3892099999998</v>
      </c>
      <c r="G45" s="4">
        <v>0.88831294999999999</v>
      </c>
      <c r="H45" s="35"/>
    </row>
    <row r="46" spans="1:8" x14ac:dyDescent="0.2">
      <c r="A46" s="1"/>
      <c r="B46" s="1"/>
      <c r="C46" s="5"/>
      <c r="D46" s="1"/>
      <c r="E46" s="1"/>
      <c r="F46" s="6"/>
      <c r="G46" s="6"/>
      <c r="H46" s="35"/>
    </row>
    <row r="47" spans="1:8" x14ac:dyDescent="0.2">
      <c r="A47" s="1"/>
      <c r="B47" s="1"/>
      <c r="C47" s="2" t="s">
        <v>72</v>
      </c>
      <c r="D47" s="1"/>
      <c r="E47" s="1"/>
      <c r="F47" s="6"/>
      <c r="G47" s="6"/>
      <c r="H47" s="35"/>
    </row>
    <row r="48" spans="1:8" x14ac:dyDescent="0.2">
      <c r="A48" s="1"/>
      <c r="B48" s="1"/>
      <c r="C48" s="2" t="s">
        <v>73</v>
      </c>
      <c r="D48" s="1"/>
      <c r="E48" s="1"/>
      <c r="F48" s="6"/>
      <c r="G48" s="6"/>
      <c r="H48" s="35"/>
    </row>
    <row r="49" spans="1:8" x14ac:dyDescent="0.2">
      <c r="A49" s="1"/>
      <c r="B49" s="1"/>
      <c r="C49" s="2" t="s">
        <v>11</v>
      </c>
      <c r="D49" s="1"/>
      <c r="E49" s="1" t="s">
        <v>12</v>
      </c>
      <c r="F49" s="3" t="s">
        <v>13</v>
      </c>
      <c r="G49" s="4">
        <v>0</v>
      </c>
      <c r="H49" s="35"/>
    </row>
    <row r="50" spans="1:8" x14ac:dyDescent="0.2">
      <c r="A50" s="1"/>
      <c r="B50" s="1"/>
      <c r="C50" s="5"/>
      <c r="D50" s="1"/>
      <c r="E50" s="1"/>
      <c r="F50" s="6"/>
      <c r="G50" s="6"/>
      <c r="H50" s="35"/>
    </row>
    <row r="51" spans="1:8" x14ac:dyDescent="0.2">
      <c r="A51" s="1"/>
      <c r="B51" s="1"/>
      <c r="C51" s="2" t="s">
        <v>74</v>
      </c>
      <c r="D51" s="1"/>
      <c r="E51" s="1"/>
      <c r="F51" s="6"/>
      <c r="G51" s="6"/>
      <c r="H51" s="35"/>
    </row>
    <row r="52" spans="1:8" x14ac:dyDescent="0.2">
      <c r="A52" s="1"/>
      <c r="B52" s="1"/>
      <c r="C52" s="2" t="s">
        <v>11</v>
      </c>
      <c r="D52" s="1"/>
      <c r="E52" s="1" t="s">
        <v>12</v>
      </c>
      <c r="F52" s="3" t="s">
        <v>13</v>
      </c>
      <c r="G52" s="4">
        <v>0</v>
      </c>
      <c r="H52" s="35"/>
    </row>
    <row r="53" spans="1:8" x14ac:dyDescent="0.2">
      <c r="A53" s="1"/>
      <c r="B53" s="1"/>
      <c r="C53" s="5"/>
      <c r="D53" s="1"/>
      <c r="E53" s="1"/>
      <c r="F53" s="6"/>
      <c r="G53" s="6"/>
      <c r="H53" s="35"/>
    </row>
    <row r="54" spans="1:8" x14ac:dyDescent="0.2">
      <c r="A54" s="1"/>
      <c r="B54" s="1"/>
      <c r="C54" s="2" t="s">
        <v>75</v>
      </c>
      <c r="D54" s="1"/>
      <c r="E54" s="1"/>
      <c r="F54" s="6"/>
      <c r="G54" s="6"/>
      <c r="H54" s="35"/>
    </row>
    <row r="55" spans="1:8" x14ac:dyDescent="0.2">
      <c r="A55" s="1"/>
      <c r="B55" s="1"/>
      <c r="C55" s="2" t="s">
        <v>11</v>
      </c>
      <c r="D55" s="1"/>
      <c r="E55" s="1" t="s">
        <v>12</v>
      </c>
      <c r="F55" s="3" t="s">
        <v>13</v>
      </c>
      <c r="G55" s="4">
        <v>0</v>
      </c>
      <c r="H55" s="35"/>
    </row>
    <row r="56" spans="1:8" x14ac:dyDescent="0.2">
      <c r="A56" s="1"/>
      <c r="B56" s="1"/>
      <c r="C56" s="5"/>
      <c r="D56" s="1"/>
      <c r="E56" s="1"/>
      <c r="F56" s="6"/>
      <c r="G56" s="6"/>
      <c r="H56" s="35"/>
    </row>
    <row r="57" spans="1:8" x14ac:dyDescent="0.2">
      <c r="A57" s="1"/>
      <c r="B57" s="1"/>
      <c r="C57" s="2" t="s">
        <v>76</v>
      </c>
      <c r="D57" s="1"/>
      <c r="E57" s="1"/>
      <c r="F57" s="6"/>
      <c r="G57" s="6"/>
      <c r="H57" s="35"/>
    </row>
    <row r="58" spans="1:8" x14ac:dyDescent="0.2">
      <c r="A58" s="8">
        <v>1</v>
      </c>
      <c r="B58" s="9"/>
      <c r="C58" s="9" t="s">
        <v>77</v>
      </c>
      <c r="D58" s="9"/>
      <c r="E58" s="13"/>
      <c r="F58" s="11">
        <v>437.32421799999997</v>
      </c>
      <c r="G58" s="12">
        <v>0.10008807</v>
      </c>
      <c r="H58" s="63" t="s">
        <v>482</v>
      </c>
    </row>
    <row r="59" spans="1:8" x14ac:dyDescent="0.2">
      <c r="A59" s="1"/>
      <c r="B59" s="1"/>
      <c r="C59" s="2" t="s">
        <v>11</v>
      </c>
      <c r="D59" s="1"/>
      <c r="E59" s="1" t="s">
        <v>12</v>
      </c>
      <c r="F59" s="7">
        <v>437.32421799999997</v>
      </c>
      <c r="G59" s="4">
        <v>0.10008807</v>
      </c>
      <c r="H59" s="35"/>
    </row>
    <row r="60" spans="1:8" x14ac:dyDescent="0.2">
      <c r="A60" s="1"/>
      <c r="B60" s="1"/>
      <c r="C60" s="5"/>
      <c r="D60" s="1"/>
      <c r="E60" s="1"/>
      <c r="F60" s="6"/>
      <c r="G60" s="6"/>
      <c r="H60" s="35"/>
    </row>
    <row r="61" spans="1:8" x14ac:dyDescent="0.2">
      <c r="A61" s="1"/>
      <c r="B61" s="1"/>
      <c r="C61" s="2" t="s">
        <v>78</v>
      </c>
      <c r="D61" s="1"/>
      <c r="E61" s="1"/>
      <c r="F61" s="7">
        <v>437.32421799999997</v>
      </c>
      <c r="G61" s="4">
        <v>0.10008807</v>
      </c>
      <c r="H61" s="35"/>
    </row>
    <row r="62" spans="1:8" x14ac:dyDescent="0.2">
      <c r="A62" s="1"/>
      <c r="B62" s="1"/>
      <c r="C62" s="6"/>
      <c r="D62" s="1"/>
      <c r="E62" s="1"/>
      <c r="F62" s="1"/>
      <c r="G62" s="1"/>
      <c r="H62" s="35"/>
    </row>
    <row r="63" spans="1:8" x14ac:dyDescent="0.2">
      <c r="A63" s="1"/>
      <c r="B63" s="1"/>
      <c r="C63" s="2" t="s">
        <v>79</v>
      </c>
      <c r="D63" s="1"/>
      <c r="E63" s="1"/>
      <c r="F63" s="1"/>
      <c r="G63" s="1"/>
      <c r="H63" s="35"/>
    </row>
    <row r="64" spans="1:8" x14ac:dyDescent="0.2">
      <c r="A64" s="1"/>
      <c r="B64" s="1"/>
      <c r="C64" s="2" t="s">
        <v>80</v>
      </c>
      <c r="D64" s="1"/>
      <c r="E64" s="1"/>
      <c r="F64" s="1"/>
      <c r="G64" s="1"/>
      <c r="H64" s="35"/>
    </row>
    <row r="65" spans="1:18" x14ac:dyDescent="0.2">
      <c r="A65" s="1"/>
      <c r="B65" s="1"/>
      <c r="C65" s="2" t="s">
        <v>11</v>
      </c>
      <c r="D65" s="1"/>
      <c r="E65" s="1" t="s">
        <v>12</v>
      </c>
      <c r="F65" s="3" t="s">
        <v>13</v>
      </c>
      <c r="G65" s="4">
        <v>0</v>
      </c>
      <c r="H65" s="35"/>
    </row>
    <row r="66" spans="1:18" x14ac:dyDescent="0.2">
      <c r="A66" s="1"/>
      <c r="B66" s="1"/>
      <c r="C66" s="5"/>
      <c r="D66" s="1"/>
      <c r="E66" s="1"/>
      <c r="F66" s="6"/>
      <c r="G66" s="6"/>
      <c r="H66" s="35"/>
    </row>
    <row r="67" spans="1:18" x14ac:dyDescent="0.2">
      <c r="A67" s="1"/>
      <c r="B67" s="1"/>
      <c r="C67" s="2" t="s">
        <v>83</v>
      </c>
      <c r="D67" s="1"/>
      <c r="E67" s="1"/>
      <c r="F67" s="1"/>
      <c r="G67" s="1"/>
      <c r="H67" s="35"/>
    </row>
    <row r="68" spans="1:18" x14ac:dyDescent="0.2">
      <c r="A68" s="1"/>
      <c r="B68" s="1"/>
      <c r="C68" s="2" t="s">
        <v>84</v>
      </c>
      <c r="D68" s="1"/>
      <c r="E68" s="1"/>
      <c r="F68" s="1"/>
      <c r="G68" s="1"/>
      <c r="H68" s="35"/>
    </row>
    <row r="69" spans="1:18" x14ac:dyDescent="0.2">
      <c r="A69" s="1"/>
      <c r="B69" s="1"/>
      <c r="C69" s="2" t="s">
        <v>11</v>
      </c>
      <c r="D69" s="1"/>
      <c r="E69" s="1" t="s">
        <v>12</v>
      </c>
      <c r="F69" s="3" t="s">
        <v>13</v>
      </c>
      <c r="G69" s="4">
        <v>0</v>
      </c>
      <c r="H69" s="35"/>
    </row>
    <row r="70" spans="1:18" x14ac:dyDescent="0.2">
      <c r="A70" s="1"/>
      <c r="B70" s="1"/>
      <c r="C70" s="5"/>
      <c r="D70" s="1"/>
      <c r="E70" s="1"/>
      <c r="F70" s="6"/>
      <c r="G70" s="6"/>
      <c r="H70" s="35"/>
    </row>
    <row r="71" spans="1:18" x14ac:dyDescent="0.2">
      <c r="A71" s="1"/>
      <c r="B71" s="1"/>
      <c r="C71" s="2" t="s">
        <v>85</v>
      </c>
      <c r="D71" s="1"/>
      <c r="E71" s="1"/>
      <c r="F71" s="6"/>
      <c r="G71" s="6"/>
      <c r="H71" s="35"/>
    </row>
    <row r="72" spans="1:18" x14ac:dyDescent="0.2">
      <c r="A72" s="1"/>
      <c r="B72" s="1"/>
      <c r="C72" s="2" t="s">
        <v>11</v>
      </c>
      <c r="D72" s="1"/>
      <c r="E72" s="1" t="s">
        <v>12</v>
      </c>
      <c r="F72" s="3" t="s">
        <v>13</v>
      </c>
      <c r="G72" s="4">
        <v>0</v>
      </c>
      <c r="H72" s="35"/>
    </row>
    <row r="73" spans="1:18" ht="14.1" customHeight="1" x14ac:dyDescent="0.2">
      <c r="A73" s="1"/>
      <c r="B73" s="1"/>
      <c r="C73" s="2"/>
      <c r="D73" s="1"/>
      <c r="E73" s="1"/>
      <c r="F73" s="3"/>
      <c r="G73" s="4"/>
      <c r="H73" s="35"/>
    </row>
    <row r="74" spans="1:18" x14ac:dyDescent="0.2">
      <c r="A74" s="50"/>
      <c r="B74" s="50"/>
      <c r="C74" s="51" t="s">
        <v>481</v>
      </c>
      <c r="D74" s="50"/>
      <c r="E74" s="50"/>
      <c r="F74" s="52"/>
      <c r="G74" s="52"/>
      <c r="H74" s="53"/>
      <c r="K74" s="47"/>
      <c r="L74" s="47"/>
      <c r="M74" s="47"/>
      <c r="N74" s="47"/>
      <c r="O74" s="47"/>
      <c r="P74" s="54"/>
      <c r="Q74" s="54"/>
      <c r="R74" s="54"/>
    </row>
    <row r="75" spans="1:18" ht="25.5" x14ac:dyDescent="0.2">
      <c r="A75" s="8">
        <v>1</v>
      </c>
      <c r="B75" s="9" t="s">
        <v>81</v>
      </c>
      <c r="C75" s="9" t="s">
        <v>82</v>
      </c>
      <c r="D75" s="9"/>
      <c r="E75" s="14">
        <v>112.994</v>
      </c>
      <c r="F75" s="11">
        <v>11.561913536</v>
      </c>
      <c r="G75" s="12">
        <v>2.6461100000000001E-3</v>
      </c>
      <c r="H75" s="35"/>
    </row>
    <row r="76" spans="1:18" x14ac:dyDescent="0.2">
      <c r="A76" s="58"/>
      <c r="B76" s="58"/>
      <c r="C76" s="59" t="s">
        <v>11</v>
      </c>
      <c r="D76" s="58"/>
      <c r="E76" s="58" t="s">
        <v>12</v>
      </c>
      <c r="F76" s="60">
        <f>SUM(F75)</f>
        <v>11.561913536</v>
      </c>
      <c r="G76" s="61">
        <f>SUM(G75)</f>
        <v>2.6461100000000001E-3</v>
      </c>
      <c r="H76" s="53"/>
      <c r="K76" s="47"/>
      <c r="L76" s="47"/>
      <c r="M76" s="47"/>
      <c r="N76" s="47"/>
      <c r="O76" s="47"/>
      <c r="P76" s="54"/>
      <c r="Q76" s="54"/>
      <c r="R76" s="54"/>
    </row>
    <row r="77" spans="1:18" x14ac:dyDescent="0.2">
      <c r="A77" s="1"/>
      <c r="B77" s="9"/>
      <c r="C77" s="9"/>
      <c r="D77" s="2"/>
      <c r="E77" s="1"/>
      <c r="F77" s="9"/>
      <c r="G77" s="13"/>
      <c r="H77" s="35"/>
    </row>
    <row r="78" spans="1:18" x14ac:dyDescent="0.2">
      <c r="A78" s="13"/>
      <c r="B78" s="9"/>
      <c r="C78" s="9" t="s">
        <v>86</v>
      </c>
      <c r="D78" s="9"/>
      <c r="E78" s="13"/>
      <c r="F78" s="11">
        <v>39.119599524000854</v>
      </c>
      <c r="G78" s="12">
        <v>8.9528699999999999E-3</v>
      </c>
      <c r="H78" s="35"/>
    </row>
    <row r="79" spans="1:18" x14ac:dyDescent="0.2">
      <c r="A79" s="5"/>
      <c r="B79" s="5"/>
      <c r="C79" s="2" t="s">
        <v>87</v>
      </c>
      <c r="D79" s="6"/>
      <c r="E79" s="6"/>
      <c r="F79" s="7">
        <v>4369.3949410600007</v>
      </c>
      <c r="G79" s="15">
        <v>1</v>
      </c>
      <c r="H79" s="15"/>
    </row>
    <row r="80" spans="1:18" x14ac:dyDescent="0.2">
      <c r="A80" s="16"/>
      <c r="B80" s="16"/>
      <c r="C80" s="16"/>
      <c r="D80" s="17"/>
      <c r="E80" s="17"/>
      <c r="F80" s="17"/>
      <c r="G80" s="17"/>
      <c r="H80" s="17"/>
    </row>
    <row r="81" spans="1:8" ht="12.75" customHeight="1" x14ac:dyDescent="0.2">
      <c r="A81" s="44"/>
      <c r="B81" s="131" t="s">
        <v>477</v>
      </c>
      <c r="C81" s="131"/>
      <c r="D81" s="131"/>
      <c r="E81" s="131"/>
      <c r="F81" s="131"/>
      <c r="G81" s="131"/>
      <c r="H81" s="131"/>
    </row>
    <row r="82" spans="1:8" ht="12.75" customHeight="1" x14ac:dyDescent="0.2">
      <c r="A82" s="44"/>
      <c r="B82" s="131" t="s">
        <v>478</v>
      </c>
      <c r="C82" s="131"/>
      <c r="D82" s="131"/>
      <c r="E82" s="131"/>
      <c r="F82" s="131"/>
      <c r="G82" s="131"/>
      <c r="H82" s="131"/>
    </row>
    <row r="83" spans="1:8" ht="12.75" customHeight="1" x14ac:dyDescent="0.2">
      <c r="A83" s="44"/>
      <c r="B83" s="131" t="s">
        <v>479</v>
      </c>
      <c r="C83" s="131"/>
      <c r="D83" s="131"/>
      <c r="E83" s="131"/>
      <c r="F83" s="131"/>
      <c r="G83" s="131"/>
      <c r="H83" s="131"/>
    </row>
    <row r="84" spans="1:8" x14ac:dyDescent="0.2">
      <c r="A84" s="18"/>
      <c r="B84" s="18"/>
      <c r="C84" s="18"/>
      <c r="D84" s="20"/>
      <c r="E84" s="20"/>
      <c r="F84" s="20"/>
      <c r="G84" s="20"/>
      <c r="H84" s="20"/>
    </row>
    <row r="85" spans="1:8" x14ac:dyDescent="0.2">
      <c r="A85" s="18"/>
      <c r="B85" s="126" t="s">
        <v>88</v>
      </c>
      <c r="C85" s="127"/>
      <c r="D85" s="128"/>
      <c r="E85" s="21"/>
      <c r="F85" s="20"/>
      <c r="G85" s="20"/>
      <c r="H85" s="20"/>
    </row>
    <row r="86" spans="1:8" x14ac:dyDescent="0.2">
      <c r="A86" s="18"/>
      <c r="B86" s="129" t="s">
        <v>89</v>
      </c>
      <c r="C86" s="130"/>
      <c r="D86" s="124" t="s">
        <v>587</v>
      </c>
      <c r="E86" s="21"/>
      <c r="F86" s="20"/>
      <c r="G86" s="20"/>
      <c r="H86" s="20"/>
    </row>
    <row r="87" spans="1:8" x14ac:dyDescent="0.2">
      <c r="A87" s="18"/>
      <c r="B87" s="129" t="s">
        <v>91</v>
      </c>
      <c r="C87" s="130"/>
      <c r="D87" s="2" t="s">
        <v>90</v>
      </c>
      <c r="E87" s="21"/>
      <c r="F87" s="20"/>
      <c r="G87" s="20"/>
      <c r="H87" s="20"/>
    </row>
    <row r="88" spans="1:8" x14ac:dyDescent="0.2">
      <c r="A88" s="18"/>
      <c r="B88" s="129" t="s">
        <v>92</v>
      </c>
      <c r="C88" s="130"/>
      <c r="D88" s="6" t="s">
        <v>12</v>
      </c>
      <c r="E88" s="21"/>
      <c r="F88" s="20"/>
      <c r="G88" s="20"/>
      <c r="H88" s="20"/>
    </row>
    <row r="89" spans="1:8" x14ac:dyDescent="0.2">
      <c r="A89" s="22"/>
      <c r="B89" s="23" t="s">
        <v>12</v>
      </c>
      <c r="C89" s="23" t="s">
        <v>527</v>
      </c>
      <c r="D89" s="23" t="s">
        <v>93</v>
      </c>
      <c r="E89" s="22"/>
      <c r="F89" s="22"/>
      <c r="G89" s="22"/>
      <c r="H89" s="40"/>
    </row>
    <row r="90" spans="1:8" x14ac:dyDescent="0.2">
      <c r="A90" s="22"/>
      <c r="B90" s="24" t="s">
        <v>94</v>
      </c>
      <c r="C90" s="23" t="s">
        <v>95</v>
      </c>
      <c r="D90" s="23" t="s">
        <v>96</v>
      </c>
      <c r="E90" s="22"/>
      <c r="F90" s="22"/>
      <c r="G90" s="22"/>
      <c r="H90" s="22"/>
    </row>
    <row r="91" spans="1:8" x14ac:dyDescent="0.2">
      <c r="A91" s="22"/>
      <c r="B91" s="9" t="s">
        <v>97</v>
      </c>
      <c r="C91" s="25">
        <v>70.241699999999994</v>
      </c>
      <c r="D91" s="25">
        <v>70.642899999999997</v>
      </c>
      <c r="E91" s="22"/>
      <c r="F91" s="19"/>
      <c r="G91" s="26"/>
      <c r="H91" s="26"/>
    </row>
    <row r="92" spans="1:8" ht="25.5" x14ac:dyDescent="0.2">
      <c r="A92" s="22"/>
      <c r="B92" s="9" t="s">
        <v>533</v>
      </c>
      <c r="C92" s="25">
        <v>25.360700000000001</v>
      </c>
      <c r="D92" s="25">
        <v>25.505500000000001</v>
      </c>
      <c r="E92" s="22"/>
      <c r="F92" s="19"/>
      <c r="G92" s="26"/>
      <c r="H92" s="26"/>
    </row>
    <row r="93" spans="1:8" ht="25.5" x14ac:dyDescent="0.2">
      <c r="A93" s="22"/>
      <c r="B93" s="9" t="s">
        <v>535</v>
      </c>
      <c r="C93" s="25">
        <v>14.480700000000001</v>
      </c>
      <c r="D93" s="25">
        <v>14.5634</v>
      </c>
      <c r="E93" s="22"/>
      <c r="F93" s="19"/>
      <c r="G93" s="26"/>
      <c r="H93" s="26"/>
    </row>
    <row r="94" spans="1:8" ht="25.5" x14ac:dyDescent="0.2">
      <c r="A94" s="22"/>
      <c r="B94" s="9" t="s">
        <v>422</v>
      </c>
      <c r="C94" s="25">
        <v>71.812299999999993</v>
      </c>
      <c r="D94" s="25">
        <v>72.195400000000006</v>
      </c>
      <c r="E94" s="22"/>
      <c r="F94" s="19"/>
      <c r="G94" s="26"/>
      <c r="H94" s="26"/>
    </row>
    <row r="95" spans="1:8" x14ac:dyDescent="0.2">
      <c r="A95" s="22"/>
      <c r="B95" s="9" t="s">
        <v>98</v>
      </c>
      <c r="C95" s="25">
        <v>63.549700000000001</v>
      </c>
      <c r="D95" s="25">
        <v>63.888800000000003</v>
      </c>
      <c r="E95" s="22"/>
      <c r="F95" s="19"/>
      <c r="G95" s="26"/>
      <c r="H95" s="26"/>
    </row>
    <row r="96" spans="1:8" x14ac:dyDescent="0.2">
      <c r="A96" s="22"/>
      <c r="B96" s="9" t="s">
        <v>131</v>
      </c>
      <c r="C96" s="25">
        <v>21.7057</v>
      </c>
      <c r="D96" s="25">
        <v>21.8215</v>
      </c>
      <c r="E96" s="22"/>
      <c r="F96" s="19"/>
      <c r="G96" s="26"/>
      <c r="H96" s="26"/>
    </row>
    <row r="97" spans="1:15" ht="25.5" x14ac:dyDescent="0.2">
      <c r="A97" s="22"/>
      <c r="B97" s="9" t="s">
        <v>531</v>
      </c>
      <c r="C97" s="25">
        <v>12.741899999999999</v>
      </c>
      <c r="D97" s="25">
        <v>12.809900000000001</v>
      </c>
      <c r="E97" s="22"/>
      <c r="F97" s="19"/>
      <c r="G97" s="26"/>
      <c r="H97" s="26"/>
    </row>
    <row r="98" spans="1:15" ht="25.5" x14ac:dyDescent="0.2">
      <c r="A98" s="22"/>
      <c r="B98" s="9" t="s">
        <v>537</v>
      </c>
      <c r="C98" s="25">
        <v>13.0175</v>
      </c>
      <c r="D98" s="25">
        <v>13.0869</v>
      </c>
      <c r="E98" s="22"/>
      <c r="F98" s="19"/>
      <c r="G98" s="26"/>
      <c r="H98" s="26"/>
    </row>
    <row r="99" spans="1:15" ht="25.5" x14ac:dyDescent="0.2">
      <c r="A99" s="22"/>
      <c r="B99" s="9" t="s">
        <v>538</v>
      </c>
      <c r="C99" s="25">
        <v>12.9161</v>
      </c>
      <c r="D99" s="25">
        <v>12.984999999999999</v>
      </c>
      <c r="E99" s="22"/>
      <c r="F99" s="19"/>
      <c r="G99" s="26"/>
      <c r="H99" s="26"/>
    </row>
    <row r="100" spans="1:15" x14ac:dyDescent="0.2">
      <c r="A100" s="22"/>
      <c r="B100" s="22"/>
      <c r="C100" s="22"/>
      <c r="D100" s="22"/>
      <c r="E100" s="22"/>
      <c r="F100" s="22"/>
      <c r="G100" s="22"/>
      <c r="H100" s="22"/>
    </row>
    <row r="101" spans="1:15" x14ac:dyDescent="0.2">
      <c r="A101" s="22"/>
      <c r="B101" s="129" t="s">
        <v>539</v>
      </c>
      <c r="C101" s="130"/>
      <c r="D101" s="2" t="s">
        <v>90</v>
      </c>
      <c r="E101" s="22"/>
      <c r="F101" s="22"/>
      <c r="G101" s="22"/>
      <c r="H101" s="22"/>
    </row>
    <row r="102" spans="1:15" x14ac:dyDescent="0.2">
      <c r="A102" s="22"/>
      <c r="B102" s="19"/>
      <c r="C102" s="19"/>
      <c r="D102" s="22"/>
      <c r="E102" s="22"/>
      <c r="F102" s="22"/>
      <c r="G102" s="22"/>
      <c r="H102" s="22"/>
    </row>
    <row r="103" spans="1:15" s="71" customFormat="1" ht="17.100000000000001" customHeight="1" x14ac:dyDescent="0.2">
      <c r="A103" s="69"/>
      <c r="B103" s="132" t="s">
        <v>496</v>
      </c>
      <c r="C103" s="133"/>
      <c r="D103" s="51" t="s">
        <v>90</v>
      </c>
      <c r="E103" s="69"/>
      <c r="F103" s="95"/>
      <c r="G103" s="69"/>
      <c r="I103"/>
      <c r="J103" s="46"/>
      <c r="K103"/>
      <c r="L103"/>
      <c r="M103"/>
      <c r="N103"/>
      <c r="O103"/>
    </row>
    <row r="104" spans="1:15" s="71" customFormat="1" ht="29.1" customHeight="1" x14ac:dyDescent="0.2">
      <c r="A104" s="69"/>
      <c r="B104" s="132" t="s">
        <v>497</v>
      </c>
      <c r="C104" s="133"/>
      <c r="D104" s="51" t="s">
        <v>90</v>
      </c>
      <c r="E104" s="70"/>
      <c r="F104" s="69"/>
      <c r="G104" s="69"/>
      <c r="I104"/>
      <c r="J104" s="46"/>
      <c r="K104"/>
      <c r="L104"/>
      <c r="M104"/>
      <c r="N104"/>
      <c r="O104"/>
    </row>
    <row r="105" spans="1:15" s="71" customFormat="1" ht="29.1" customHeight="1" x14ac:dyDescent="0.2">
      <c r="A105" s="69"/>
      <c r="B105" s="132" t="s">
        <v>498</v>
      </c>
      <c r="C105" s="133"/>
      <c r="D105" s="51" t="s">
        <v>90</v>
      </c>
      <c r="E105" s="70"/>
      <c r="F105" s="69"/>
      <c r="G105" s="69"/>
      <c r="I105"/>
      <c r="J105" s="46"/>
      <c r="K105"/>
      <c r="L105"/>
      <c r="M105"/>
      <c r="N105"/>
      <c r="O105"/>
    </row>
    <row r="106" spans="1:15" s="71" customFormat="1" ht="17.100000000000001" customHeight="1" x14ac:dyDescent="0.2">
      <c r="A106" s="69"/>
      <c r="B106" s="132" t="s">
        <v>499</v>
      </c>
      <c r="C106" s="133"/>
      <c r="D106" s="51" t="s">
        <v>90</v>
      </c>
      <c r="E106" s="70"/>
      <c r="F106" s="69"/>
      <c r="G106" s="69"/>
      <c r="I106"/>
      <c r="J106" s="46"/>
      <c r="K106"/>
      <c r="L106"/>
      <c r="M106"/>
      <c r="N106"/>
      <c r="O106"/>
    </row>
    <row r="107" spans="1:15" s="71" customFormat="1" ht="15" x14ac:dyDescent="0.25">
      <c r="I107" s="96"/>
      <c r="J107" s="46"/>
      <c r="K107" s="96"/>
      <c r="L107" s="96"/>
      <c r="M107" s="96"/>
      <c r="N107" s="96"/>
      <c r="O107"/>
    </row>
    <row r="108" spans="1:15" s="71" customFormat="1" ht="15" x14ac:dyDescent="0.25">
      <c r="B108" s="155" t="s">
        <v>524</v>
      </c>
      <c r="C108" s="156"/>
      <c r="D108" s="156"/>
      <c r="E108" s="156"/>
      <c r="F108" s="156"/>
      <c r="G108" s="157"/>
      <c r="I108" s="96"/>
      <c r="J108" s="46"/>
      <c r="K108" s="96"/>
      <c r="L108" s="96"/>
      <c r="M108" s="96"/>
      <c r="N108" s="96"/>
      <c r="O108"/>
    </row>
    <row r="109" spans="1:15" s="71" customFormat="1" ht="40.5" customHeight="1" x14ac:dyDescent="0.25">
      <c r="B109" s="97" t="s">
        <v>509</v>
      </c>
      <c r="C109" s="97" t="s">
        <v>510</v>
      </c>
      <c r="D109" s="158" t="s">
        <v>502</v>
      </c>
      <c r="E109" s="159"/>
      <c r="F109" s="154" t="s">
        <v>503</v>
      </c>
      <c r="G109" s="154"/>
      <c r="H109" s="98"/>
      <c r="I109" s="96"/>
      <c r="J109" s="46"/>
      <c r="K109" s="96"/>
      <c r="L109" s="96"/>
      <c r="M109" s="96"/>
      <c r="N109" s="96"/>
      <c r="O109"/>
    </row>
    <row r="110" spans="1:15" s="71" customFormat="1" ht="25.5" x14ac:dyDescent="0.25">
      <c r="B110" s="99" t="s">
        <v>511</v>
      </c>
      <c r="C110" s="100" t="s">
        <v>512</v>
      </c>
      <c r="D110" s="160">
        <v>0</v>
      </c>
      <c r="E110" s="161"/>
      <c r="F110" s="160">
        <v>0</v>
      </c>
      <c r="G110" s="161"/>
      <c r="H110" s="101"/>
      <c r="I110" s="96"/>
      <c r="J110" s="46"/>
      <c r="K110" s="96"/>
      <c r="L110" s="96"/>
      <c r="M110" s="96"/>
      <c r="N110" s="96"/>
      <c r="O110"/>
    </row>
    <row r="111" spans="1:15" s="71" customFormat="1" ht="15" x14ac:dyDescent="0.25">
      <c r="B111" s="151" t="s">
        <v>513</v>
      </c>
      <c r="C111" s="152"/>
      <c r="D111" s="152"/>
      <c r="E111" s="152"/>
      <c r="F111" s="152"/>
      <c r="G111" s="153"/>
      <c r="H111" s="101"/>
      <c r="I111" s="102"/>
      <c r="J111" s="46"/>
      <c r="K111" s="103"/>
      <c r="L111" s="103"/>
      <c r="M111" s="103"/>
      <c r="N111" s="96"/>
      <c r="O111"/>
    </row>
    <row r="112" spans="1:15" s="71" customFormat="1" ht="15" x14ac:dyDescent="0.25">
      <c r="B112" s="154" t="s">
        <v>509</v>
      </c>
      <c r="C112" s="154" t="s">
        <v>510</v>
      </c>
      <c r="D112" s="151" t="s">
        <v>514</v>
      </c>
      <c r="E112" s="152"/>
      <c r="F112" s="153"/>
      <c r="G112" s="99"/>
      <c r="H112" s="101"/>
      <c r="I112" s="104"/>
      <c r="J112" s="46"/>
      <c r="K112" s="103"/>
      <c r="L112" s="103"/>
      <c r="M112" s="103"/>
      <c r="N112" s="96"/>
      <c r="O112"/>
    </row>
    <row r="113" spans="2:17" s="71" customFormat="1" ht="76.5" x14ac:dyDescent="0.25">
      <c r="B113" s="154"/>
      <c r="C113" s="154"/>
      <c r="D113" s="105" t="s">
        <v>515</v>
      </c>
      <c r="E113" s="105" t="s">
        <v>516</v>
      </c>
      <c r="F113" s="105" t="s">
        <v>517</v>
      </c>
      <c r="G113" s="105" t="s">
        <v>526</v>
      </c>
      <c r="H113" s="106"/>
      <c r="I113" s="103"/>
      <c r="J113" s="46"/>
      <c r="K113" s="103"/>
      <c r="L113" s="103"/>
      <c r="M113" s="103"/>
      <c r="N113" s="96"/>
      <c r="O113"/>
    </row>
    <row r="114" spans="2:17" s="71" customFormat="1" ht="25.5" x14ac:dyDescent="0.2">
      <c r="B114" s="107" t="s">
        <v>511</v>
      </c>
      <c r="C114" s="100" t="s">
        <v>512</v>
      </c>
      <c r="D114" s="108">
        <v>200</v>
      </c>
      <c r="E114" s="108">
        <v>6.8852450999999997</v>
      </c>
      <c r="F114" s="108">
        <v>206.88524509999999</v>
      </c>
      <c r="G114" s="109">
        <v>4.7300000000000002E-2</v>
      </c>
      <c r="H114" s="121"/>
      <c r="I114"/>
      <c r="J114" s="46"/>
      <c r="K114"/>
      <c r="L114"/>
      <c r="M114"/>
      <c r="N114"/>
      <c r="O114"/>
    </row>
    <row r="115" spans="2:17" s="71" customFormat="1" ht="27.75" customHeight="1" x14ac:dyDescent="0.2">
      <c r="B115" s="162" t="s">
        <v>518</v>
      </c>
      <c r="C115" s="163"/>
      <c r="D115" s="163"/>
      <c r="E115" s="163"/>
      <c r="F115" s="163"/>
      <c r="G115" s="164"/>
      <c r="H115" s="122"/>
      <c r="I115"/>
      <c r="J115" s="46"/>
      <c r="K115"/>
      <c r="L115"/>
      <c r="M115"/>
      <c r="N115"/>
      <c r="O115"/>
    </row>
    <row r="116" spans="2:17" s="71" customFormat="1" x14ac:dyDescent="0.2">
      <c r="H116" s="122"/>
      <c r="I116"/>
      <c r="J116" s="46"/>
      <c r="K116"/>
      <c r="L116"/>
      <c r="M116"/>
      <c r="N116"/>
      <c r="O116"/>
    </row>
    <row r="117" spans="2:17" s="71" customFormat="1" x14ac:dyDescent="0.2">
      <c r="B117" s="135" t="s">
        <v>488</v>
      </c>
      <c r="C117" s="136"/>
      <c r="D117" s="137"/>
      <c r="I117"/>
      <c r="J117" s="46"/>
      <c r="K117"/>
      <c r="L117"/>
      <c r="M117"/>
      <c r="N117"/>
      <c r="O117"/>
    </row>
    <row r="118" spans="2:17" s="71" customFormat="1" ht="25.5" x14ac:dyDescent="0.2">
      <c r="B118" s="134" t="s">
        <v>489</v>
      </c>
      <c r="C118" s="134"/>
      <c r="D118" s="72" t="s">
        <v>417</v>
      </c>
      <c r="I118"/>
      <c r="J118" s="46"/>
      <c r="K118"/>
      <c r="L118"/>
      <c r="M118"/>
      <c r="N118"/>
      <c r="O118"/>
    </row>
    <row r="119" spans="2:17" s="71" customFormat="1" x14ac:dyDescent="0.2">
      <c r="B119" s="138" t="s">
        <v>490</v>
      </c>
      <c r="C119" s="138"/>
      <c r="D119" s="73"/>
      <c r="I119"/>
      <c r="J119" s="46"/>
      <c r="K119"/>
      <c r="L119"/>
      <c r="M119"/>
      <c r="N119"/>
      <c r="O119"/>
    </row>
    <row r="120" spans="2:17" s="71" customFormat="1" x14ac:dyDescent="0.2">
      <c r="B120" s="138"/>
      <c r="C120" s="138"/>
      <c r="D120" s="74"/>
      <c r="I120"/>
      <c r="J120" s="46"/>
      <c r="K120"/>
      <c r="L120"/>
      <c r="M120"/>
      <c r="N120"/>
      <c r="O120"/>
    </row>
    <row r="121" spans="2:17" s="71" customFormat="1" x14ac:dyDescent="0.2">
      <c r="B121" s="138" t="s">
        <v>491</v>
      </c>
      <c r="C121" s="138"/>
      <c r="D121" s="75">
        <v>7.1945042518357187</v>
      </c>
      <c r="I121"/>
      <c r="J121" s="46"/>
      <c r="K121"/>
      <c r="L121"/>
      <c r="M121"/>
      <c r="N121"/>
      <c r="O121"/>
    </row>
    <row r="122" spans="2:17" s="71" customFormat="1" x14ac:dyDescent="0.2">
      <c r="B122" s="138"/>
      <c r="C122" s="138"/>
      <c r="D122" s="74"/>
      <c r="I122"/>
      <c r="J122" s="46"/>
      <c r="K122"/>
      <c r="L122"/>
      <c r="M122"/>
      <c r="N122"/>
      <c r="O122"/>
    </row>
    <row r="123" spans="2:17" s="71" customFormat="1" x14ac:dyDescent="0.2">
      <c r="B123" s="138" t="s">
        <v>492</v>
      </c>
      <c r="C123" s="138"/>
      <c r="D123" s="75">
        <v>3.809291180007949</v>
      </c>
      <c r="I123"/>
      <c r="J123" s="46"/>
      <c r="K123"/>
      <c r="L123"/>
      <c r="M123"/>
      <c r="N123"/>
      <c r="O123"/>
    </row>
    <row r="124" spans="2:17" s="71" customFormat="1" x14ac:dyDescent="0.2">
      <c r="B124" s="138" t="s">
        <v>493</v>
      </c>
      <c r="C124" s="138"/>
      <c r="D124" s="75">
        <v>4.8802096536513728</v>
      </c>
      <c r="I124"/>
      <c r="J124" s="46"/>
      <c r="K124"/>
      <c r="L124"/>
      <c r="M124"/>
      <c r="N124"/>
      <c r="O124"/>
    </row>
    <row r="125" spans="2:17" s="71" customFormat="1" x14ac:dyDescent="0.2">
      <c r="B125" s="138"/>
      <c r="C125" s="138"/>
      <c r="D125" s="74"/>
      <c r="I125"/>
      <c r="J125" s="46"/>
      <c r="K125"/>
      <c r="L125"/>
      <c r="M125"/>
      <c r="N125"/>
      <c r="O125"/>
    </row>
    <row r="126" spans="2:17" s="71" customFormat="1" x14ac:dyDescent="0.2">
      <c r="B126" s="138" t="s">
        <v>494</v>
      </c>
      <c r="C126" s="138"/>
      <c r="D126" s="76" t="s">
        <v>523</v>
      </c>
      <c r="I126"/>
      <c r="J126" s="46"/>
      <c r="K126"/>
      <c r="L126"/>
      <c r="M126"/>
      <c r="N126"/>
      <c r="O126"/>
    </row>
    <row r="127" spans="2:17" s="71" customFormat="1" x14ac:dyDescent="0.2">
      <c r="B127" s="139" t="s">
        <v>495</v>
      </c>
      <c r="C127" s="141"/>
      <c r="D127" s="140"/>
      <c r="I127"/>
      <c r="J127" s="46"/>
      <c r="K127"/>
      <c r="L127"/>
      <c r="M127"/>
      <c r="N127"/>
      <c r="O127"/>
      <c r="P127"/>
      <c r="Q127"/>
    </row>
  </sheetData>
  <mergeCells count="36">
    <mergeCell ref="B121:C121"/>
    <mergeCell ref="B127:D127"/>
    <mergeCell ref="B122:C122"/>
    <mergeCell ref="B123:C123"/>
    <mergeCell ref="B124:C124"/>
    <mergeCell ref="B125:C125"/>
    <mergeCell ref="B126:C126"/>
    <mergeCell ref="B115:G115"/>
    <mergeCell ref="B117:D117"/>
    <mergeCell ref="B118:C118"/>
    <mergeCell ref="B119:C119"/>
    <mergeCell ref="B120:C120"/>
    <mergeCell ref="B106:C106"/>
    <mergeCell ref="B111:G111"/>
    <mergeCell ref="B112:B113"/>
    <mergeCell ref="C112:C113"/>
    <mergeCell ref="D112:F112"/>
    <mergeCell ref="B108:G108"/>
    <mergeCell ref="D109:E109"/>
    <mergeCell ref="F109:G109"/>
    <mergeCell ref="D110:E110"/>
    <mergeCell ref="F110:G110"/>
    <mergeCell ref="B88:C88"/>
    <mergeCell ref="B101:C101"/>
    <mergeCell ref="B103:C103"/>
    <mergeCell ref="B104:C104"/>
    <mergeCell ref="B105:C105"/>
    <mergeCell ref="A1:H1"/>
    <mergeCell ref="A2:H2"/>
    <mergeCell ref="B85:D85"/>
    <mergeCell ref="B86:C86"/>
    <mergeCell ref="B87:C87"/>
    <mergeCell ref="B81:H81"/>
    <mergeCell ref="B82:H82"/>
    <mergeCell ref="B83:H83"/>
    <mergeCell ref="A3:H3"/>
  </mergeCells>
  <hyperlinks>
    <hyperlink ref="I1" location="Index!B9" display="Index" xr:uid="{B7D0F3F5-7357-4D76-912C-1372238475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R129"/>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9.42578125"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423</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3" t="s">
        <v>475</v>
      </c>
      <c r="I4" s="118"/>
      <c r="J4" s="46"/>
    </row>
    <row r="5" spans="1:10" ht="14.1" customHeight="1" x14ac:dyDescent="0.2">
      <c r="A5" s="1"/>
      <c r="B5" s="1"/>
      <c r="C5" s="2" t="s">
        <v>9</v>
      </c>
      <c r="D5" s="1"/>
      <c r="E5" s="1"/>
      <c r="F5" s="1"/>
      <c r="G5" s="1"/>
      <c r="H5" s="1"/>
    </row>
    <row r="6" spans="1:10" x14ac:dyDescent="0.2">
      <c r="A6" s="1"/>
      <c r="B6" s="1"/>
      <c r="C6" s="2" t="s">
        <v>10</v>
      </c>
      <c r="D6" s="1"/>
      <c r="E6" s="1"/>
      <c r="F6" s="1"/>
      <c r="G6" s="1"/>
      <c r="H6" s="35"/>
    </row>
    <row r="7" spans="1:10" ht="17.100000000000001" customHeight="1" x14ac:dyDescent="0.2">
      <c r="A7" s="8">
        <v>1</v>
      </c>
      <c r="B7" s="9" t="s">
        <v>424</v>
      </c>
      <c r="C7" s="9" t="s">
        <v>425</v>
      </c>
      <c r="D7" s="9" t="s">
        <v>426</v>
      </c>
      <c r="E7" s="10">
        <v>10000</v>
      </c>
      <c r="F7" s="11">
        <v>112.435</v>
      </c>
      <c r="G7" s="12">
        <v>3.730932E-2</v>
      </c>
      <c r="H7" s="35"/>
    </row>
    <row r="8" spans="1:10" ht="17.100000000000001" customHeight="1" x14ac:dyDescent="0.2">
      <c r="A8" s="8">
        <v>2</v>
      </c>
      <c r="B8" s="9" t="s">
        <v>427</v>
      </c>
      <c r="C8" s="9" t="s">
        <v>428</v>
      </c>
      <c r="D8" s="9" t="s">
        <v>429</v>
      </c>
      <c r="E8" s="10">
        <v>2400</v>
      </c>
      <c r="F8" s="11">
        <v>67.981200000000001</v>
      </c>
      <c r="G8" s="12">
        <v>2.2558209999999999E-2</v>
      </c>
      <c r="H8" s="35"/>
    </row>
    <row r="9" spans="1:10" ht="17.100000000000001" customHeight="1" x14ac:dyDescent="0.2">
      <c r="A9" s="8">
        <v>3</v>
      </c>
      <c r="B9" s="9" t="s">
        <v>430</v>
      </c>
      <c r="C9" s="9" t="s">
        <v>431</v>
      </c>
      <c r="D9" s="9" t="s">
        <v>426</v>
      </c>
      <c r="E9" s="10">
        <v>4400</v>
      </c>
      <c r="F9" s="11">
        <v>63.293999999999997</v>
      </c>
      <c r="G9" s="12">
        <v>2.1002860000000002E-2</v>
      </c>
      <c r="H9" s="35"/>
    </row>
    <row r="10" spans="1:10" ht="17.100000000000001" customHeight="1" x14ac:dyDescent="0.2">
      <c r="A10" s="8">
        <v>4</v>
      </c>
      <c r="B10" s="9" t="s">
        <v>432</v>
      </c>
      <c r="C10" s="9" t="s">
        <v>433</v>
      </c>
      <c r="D10" s="9" t="s">
        <v>434</v>
      </c>
      <c r="E10" s="10">
        <v>1750</v>
      </c>
      <c r="F10" s="11">
        <v>59.697749999999999</v>
      </c>
      <c r="G10" s="12">
        <v>1.9809509999999999E-2</v>
      </c>
      <c r="H10" s="35"/>
    </row>
    <row r="11" spans="1:10" ht="17.100000000000001" customHeight="1" x14ac:dyDescent="0.2">
      <c r="A11" s="8">
        <v>5</v>
      </c>
      <c r="B11" s="9" t="s">
        <v>435</v>
      </c>
      <c r="C11" s="9" t="s">
        <v>436</v>
      </c>
      <c r="D11" s="9" t="s">
        <v>426</v>
      </c>
      <c r="E11" s="10">
        <v>4750</v>
      </c>
      <c r="F11" s="11">
        <v>53.582374999999999</v>
      </c>
      <c r="G11" s="12">
        <v>1.7780250000000001E-2</v>
      </c>
      <c r="H11" s="35"/>
    </row>
    <row r="12" spans="1:10" ht="29.1" customHeight="1" x14ac:dyDescent="0.2">
      <c r="A12" s="8">
        <v>6</v>
      </c>
      <c r="B12" s="9" t="s">
        <v>437</v>
      </c>
      <c r="C12" s="9" t="s">
        <v>438</v>
      </c>
      <c r="D12" s="9" t="s">
        <v>439</v>
      </c>
      <c r="E12" s="10">
        <v>3116</v>
      </c>
      <c r="F12" s="11">
        <v>47.593783999999999</v>
      </c>
      <c r="G12" s="12">
        <v>1.5793049999999999E-2</v>
      </c>
      <c r="H12" s="35"/>
      <c r="J12" s="119"/>
    </row>
    <row r="13" spans="1:10" ht="17.100000000000001" customHeight="1" x14ac:dyDescent="0.2">
      <c r="A13" s="8">
        <v>7</v>
      </c>
      <c r="B13" s="9" t="s">
        <v>440</v>
      </c>
      <c r="C13" s="9" t="s">
        <v>441</v>
      </c>
      <c r="D13" s="9" t="s">
        <v>442</v>
      </c>
      <c r="E13" s="10">
        <v>3000</v>
      </c>
      <c r="F13" s="11">
        <v>44.981999999999999</v>
      </c>
      <c r="G13" s="12">
        <v>1.492638E-2</v>
      </c>
      <c r="H13" s="35"/>
      <c r="J13" s="120" t="s">
        <v>581</v>
      </c>
    </row>
    <row r="14" spans="1:10" ht="17.100000000000001" customHeight="1" x14ac:dyDescent="0.2">
      <c r="A14" s="8">
        <v>8</v>
      </c>
      <c r="B14" s="9" t="s">
        <v>443</v>
      </c>
      <c r="C14" s="9" t="s">
        <v>444</v>
      </c>
      <c r="D14" s="9" t="s">
        <v>445</v>
      </c>
      <c r="E14" s="10">
        <v>3000</v>
      </c>
      <c r="F14" s="11">
        <v>39.296999999999997</v>
      </c>
      <c r="G14" s="12">
        <v>1.303993E-2</v>
      </c>
      <c r="H14" s="35"/>
      <c r="J14" s="120"/>
    </row>
    <row r="15" spans="1:10" s="66" customFormat="1" ht="25.5" x14ac:dyDescent="0.2">
      <c r="A15" s="55">
        <v>9</v>
      </c>
      <c r="B15" s="56" t="s">
        <v>484</v>
      </c>
      <c r="C15" s="56" t="s">
        <v>485</v>
      </c>
      <c r="D15" s="56" t="s">
        <v>486</v>
      </c>
      <c r="E15" s="65">
        <v>30000</v>
      </c>
      <c r="F15" s="53">
        <v>29.390999999999998</v>
      </c>
      <c r="G15" s="57">
        <v>9.7775599999999994E-3</v>
      </c>
      <c r="H15" s="53"/>
      <c r="I15"/>
      <c r="J15" s="120"/>
    </row>
    <row r="16" spans="1:10" ht="17.100000000000001" customHeight="1" x14ac:dyDescent="0.2">
      <c r="A16" s="8">
        <v>10</v>
      </c>
      <c r="B16" s="9" t="s">
        <v>446</v>
      </c>
      <c r="C16" s="9" t="s">
        <v>447</v>
      </c>
      <c r="D16" s="9" t="s">
        <v>448</v>
      </c>
      <c r="E16" s="10">
        <v>1750</v>
      </c>
      <c r="F16" s="11">
        <v>24.849125000000001</v>
      </c>
      <c r="G16" s="12">
        <v>8.24569E-3</v>
      </c>
      <c r="H16" s="35"/>
    </row>
    <row r="17" spans="1:10" ht="17.100000000000001" customHeight="1" x14ac:dyDescent="0.2">
      <c r="A17" s="8">
        <v>11</v>
      </c>
      <c r="B17" s="9" t="s">
        <v>449</v>
      </c>
      <c r="C17" s="9" t="s">
        <v>450</v>
      </c>
      <c r="D17" s="9" t="s">
        <v>448</v>
      </c>
      <c r="E17" s="10">
        <v>1848</v>
      </c>
      <c r="F17" s="11">
        <v>24.631992</v>
      </c>
      <c r="G17" s="12">
        <v>8.1736399999999994E-3</v>
      </c>
      <c r="H17" s="35"/>
    </row>
    <row r="18" spans="1:10" ht="17.100000000000001" customHeight="1" x14ac:dyDescent="0.2">
      <c r="A18" s="8">
        <v>12</v>
      </c>
      <c r="B18" s="9" t="s">
        <v>451</v>
      </c>
      <c r="C18" s="9" t="s">
        <v>452</v>
      </c>
      <c r="D18" s="9" t="s">
        <v>426</v>
      </c>
      <c r="E18" s="10">
        <v>3000</v>
      </c>
      <c r="F18" s="11">
        <v>24.609000000000002</v>
      </c>
      <c r="G18" s="12">
        <v>8.1660099999999996E-3</v>
      </c>
      <c r="H18" s="35"/>
    </row>
    <row r="19" spans="1:10" ht="29.1" customHeight="1" x14ac:dyDescent="0.2">
      <c r="A19" s="8">
        <v>13</v>
      </c>
      <c r="B19" s="9" t="s">
        <v>453</v>
      </c>
      <c r="C19" s="9" t="s">
        <v>454</v>
      </c>
      <c r="D19" s="9" t="s">
        <v>439</v>
      </c>
      <c r="E19" s="10">
        <v>1000</v>
      </c>
      <c r="F19" s="11">
        <v>14.067</v>
      </c>
      <c r="G19" s="12">
        <v>4.6678500000000003E-3</v>
      </c>
      <c r="H19" s="35"/>
    </row>
    <row r="20" spans="1:10" ht="29.1" customHeight="1" x14ac:dyDescent="0.2">
      <c r="A20" s="8">
        <v>14</v>
      </c>
      <c r="B20" s="9" t="s">
        <v>455</v>
      </c>
      <c r="C20" s="9" t="s">
        <v>456</v>
      </c>
      <c r="D20" s="9" t="s">
        <v>457</v>
      </c>
      <c r="E20" s="10">
        <v>125</v>
      </c>
      <c r="F20" s="11">
        <v>12.017625000000001</v>
      </c>
      <c r="G20" s="12">
        <v>3.9878099999999996E-3</v>
      </c>
      <c r="H20" s="35"/>
    </row>
    <row r="21" spans="1:10" ht="29.1" customHeight="1" x14ac:dyDescent="0.2">
      <c r="A21" s="8">
        <v>15</v>
      </c>
      <c r="B21" s="9" t="s">
        <v>458</v>
      </c>
      <c r="C21" s="9" t="s">
        <v>459</v>
      </c>
      <c r="D21" s="9" t="s">
        <v>457</v>
      </c>
      <c r="E21" s="10">
        <v>450</v>
      </c>
      <c r="F21" s="11">
        <v>10.663650000000001</v>
      </c>
      <c r="G21" s="12">
        <v>3.5385199999999999E-3</v>
      </c>
      <c r="H21" s="35"/>
    </row>
    <row r="22" spans="1:10" ht="17.100000000000001" customHeight="1" x14ac:dyDescent="0.2">
      <c r="A22" s="55">
        <v>17</v>
      </c>
      <c r="B22" s="9" t="s">
        <v>460</v>
      </c>
      <c r="C22" s="9" t="s">
        <v>461</v>
      </c>
      <c r="D22" s="9" t="s">
        <v>442</v>
      </c>
      <c r="E22" s="10">
        <v>900</v>
      </c>
      <c r="F22" s="11">
        <v>10.568250000000001</v>
      </c>
      <c r="G22" s="12">
        <v>3.5068600000000001E-3</v>
      </c>
      <c r="H22" s="35"/>
      <c r="J22" s="119"/>
    </row>
    <row r="23" spans="1:10" ht="17.100000000000001" customHeight="1" x14ac:dyDescent="0.2">
      <c r="A23" s="55">
        <v>18</v>
      </c>
      <c r="B23" s="56" t="s">
        <v>462</v>
      </c>
      <c r="C23" s="56" t="s">
        <v>483</v>
      </c>
      <c r="D23" s="56" t="s">
        <v>445</v>
      </c>
      <c r="E23" s="65">
        <v>218</v>
      </c>
      <c r="F23" s="53">
        <v>2.0491999999999999</v>
      </c>
      <c r="G23" s="57">
        <v>6.8362239874527112E-4</v>
      </c>
      <c r="H23" s="57"/>
      <c r="J23" s="120"/>
    </row>
    <row r="24" spans="1:10" ht="14.1" customHeight="1" x14ac:dyDescent="0.2">
      <c r="A24" s="1"/>
      <c r="B24" s="1"/>
      <c r="C24" s="2" t="s">
        <v>11</v>
      </c>
      <c r="D24" s="1"/>
      <c r="E24" s="1" t="s">
        <v>12</v>
      </c>
      <c r="F24" s="7">
        <v>641.70995099999993</v>
      </c>
      <c r="G24" s="4">
        <v>0.21296707239874527</v>
      </c>
      <c r="H24" s="35"/>
    </row>
    <row r="25" spans="1:10" ht="14.1" customHeight="1" x14ac:dyDescent="0.2">
      <c r="A25" s="1"/>
      <c r="B25" s="1"/>
      <c r="C25" s="5"/>
      <c r="D25" s="1"/>
      <c r="E25" s="1"/>
      <c r="F25" s="6"/>
      <c r="G25" s="6"/>
      <c r="H25" s="35"/>
    </row>
    <row r="26" spans="1:10" ht="14.1" customHeight="1" x14ac:dyDescent="0.2">
      <c r="A26" s="1"/>
      <c r="B26" s="1"/>
      <c r="C26" s="2" t="s">
        <v>14</v>
      </c>
      <c r="D26" s="1"/>
      <c r="E26" s="1"/>
      <c r="F26" s="1"/>
      <c r="G26" s="1"/>
      <c r="H26" s="35"/>
    </row>
    <row r="27" spans="1:10" ht="14.1" customHeight="1" x14ac:dyDescent="0.2">
      <c r="A27" s="1"/>
      <c r="B27" s="1"/>
      <c r="C27" s="2" t="s">
        <v>11</v>
      </c>
      <c r="D27" s="1"/>
      <c r="E27" s="1" t="s">
        <v>12</v>
      </c>
      <c r="F27" s="3" t="s">
        <v>13</v>
      </c>
      <c r="G27" s="4">
        <v>0</v>
      </c>
      <c r="H27" s="35"/>
      <c r="J27" s="120"/>
    </row>
    <row r="28" spans="1:10" ht="14.1" customHeight="1" x14ac:dyDescent="0.2">
      <c r="A28" s="1"/>
      <c r="B28" s="1"/>
      <c r="C28" s="5"/>
      <c r="D28" s="1"/>
      <c r="E28" s="1"/>
      <c r="F28" s="6"/>
      <c r="G28" s="6"/>
      <c r="H28" s="35"/>
    </row>
    <row r="29" spans="1:10" ht="14.1" customHeight="1" x14ac:dyDescent="0.2">
      <c r="A29" s="1"/>
      <c r="B29" s="1"/>
      <c r="C29" s="2" t="s">
        <v>15</v>
      </c>
      <c r="D29" s="1"/>
      <c r="E29" s="1"/>
      <c r="F29" s="1"/>
      <c r="G29" s="1"/>
      <c r="H29" s="35"/>
    </row>
    <row r="30" spans="1:10" ht="14.1" customHeight="1" x14ac:dyDescent="0.2">
      <c r="A30" s="1"/>
      <c r="B30" s="1"/>
      <c r="C30" s="2" t="s">
        <v>11</v>
      </c>
      <c r="D30" s="1"/>
      <c r="E30" s="1" t="s">
        <v>12</v>
      </c>
      <c r="F30" s="3" t="s">
        <v>13</v>
      </c>
      <c r="G30" s="4">
        <v>0</v>
      </c>
      <c r="H30" s="35"/>
    </row>
    <row r="31" spans="1:10" ht="14.1" customHeight="1" x14ac:dyDescent="0.2">
      <c r="A31" s="1"/>
      <c r="B31" s="1"/>
      <c r="C31" s="5"/>
      <c r="D31" s="1"/>
      <c r="E31" s="1"/>
      <c r="F31" s="6"/>
      <c r="G31" s="6"/>
      <c r="H31" s="35"/>
    </row>
    <row r="32" spans="1:10" ht="14.1" customHeight="1" x14ac:dyDescent="0.2">
      <c r="A32" s="1"/>
      <c r="B32" s="1"/>
      <c r="C32" s="2" t="s">
        <v>16</v>
      </c>
      <c r="D32" s="1"/>
      <c r="E32" s="1"/>
      <c r="F32" s="1"/>
      <c r="G32" s="1"/>
      <c r="H32" s="35"/>
    </row>
    <row r="33" spans="1:8" ht="14.1" customHeight="1" x14ac:dyDescent="0.2">
      <c r="A33" s="1"/>
      <c r="B33" s="1"/>
      <c r="C33" s="2" t="s">
        <v>11</v>
      </c>
      <c r="D33" s="1"/>
      <c r="E33" s="1" t="s">
        <v>12</v>
      </c>
      <c r="F33" s="3" t="s">
        <v>13</v>
      </c>
      <c r="G33" s="4">
        <v>0</v>
      </c>
      <c r="H33" s="35"/>
    </row>
    <row r="34" spans="1:8" ht="14.1" customHeight="1" x14ac:dyDescent="0.2">
      <c r="A34" s="1"/>
      <c r="B34" s="1"/>
      <c r="C34" s="5"/>
      <c r="D34" s="1"/>
      <c r="E34" s="1"/>
      <c r="F34" s="6"/>
      <c r="G34" s="6"/>
      <c r="H34" s="35"/>
    </row>
    <row r="35" spans="1:8" ht="14.1" customHeight="1" x14ac:dyDescent="0.2">
      <c r="A35" s="1"/>
      <c r="B35" s="1"/>
      <c r="C35" s="2" t="s">
        <v>17</v>
      </c>
      <c r="D35" s="1"/>
      <c r="E35" s="1"/>
      <c r="F35" s="6"/>
      <c r="G35" s="6"/>
      <c r="H35" s="35"/>
    </row>
    <row r="36" spans="1:8" ht="14.1" customHeight="1" x14ac:dyDescent="0.2">
      <c r="A36" s="1"/>
      <c r="B36" s="1"/>
      <c r="C36" s="2" t="s">
        <v>11</v>
      </c>
      <c r="D36" s="1"/>
      <c r="E36" s="1" t="s">
        <v>12</v>
      </c>
      <c r="F36" s="3" t="s">
        <v>13</v>
      </c>
      <c r="G36" s="4">
        <v>0</v>
      </c>
      <c r="H36" s="35"/>
    </row>
    <row r="37" spans="1:8" ht="14.1" customHeight="1" x14ac:dyDescent="0.2">
      <c r="A37" s="1"/>
      <c r="B37" s="1"/>
      <c r="C37" s="5"/>
      <c r="D37" s="1"/>
      <c r="E37" s="1"/>
      <c r="F37" s="6"/>
      <c r="G37" s="6"/>
      <c r="H37" s="35"/>
    </row>
    <row r="38" spans="1:8" ht="14.1" customHeight="1" x14ac:dyDescent="0.2">
      <c r="A38" s="1"/>
      <c r="B38" s="1"/>
      <c r="C38" s="2" t="s">
        <v>18</v>
      </c>
      <c r="D38" s="1"/>
      <c r="E38" s="1"/>
      <c r="F38" s="6"/>
      <c r="G38" s="6"/>
      <c r="H38" s="35"/>
    </row>
    <row r="39" spans="1:8" ht="14.1" customHeight="1" x14ac:dyDescent="0.2">
      <c r="A39" s="1"/>
      <c r="B39" s="1"/>
      <c r="C39" s="2" t="s">
        <v>11</v>
      </c>
      <c r="D39" s="1"/>
      <c r="E39" s="1" t="s">
        <v>12</v>
      </c>
      <c r="F39" s="3" t="s">
        <v>13</v>
      </c>
      <c r="G39" s="4">
        <v>0</v>
      </c>
      <c r="H39" s="35"/>
    </row>
    <row r="40" spans="1:8" ht="14.1" customHeight="1" x14ac:dyDescent="0.2">
      <c r="A40" s="1"/>
      <c r="B40" s="1"/>
      <c r="C40" s="5"/>
      <c r="D40" s="1"/>
      <c r="E40" s="1"/>
      <c r="F40" s="6"/>
      <c r="G40" s="6"/>
      <c r="H40" s="35"/>
    </row>
    <row r="41" spans="1:8" ht="18" customHeight="1" x14ac:dyDescent="0.2">
      <c r="A41" s="1"/>
      <c r="B41" s="1"/>
      <c r="C41" s="2" t="s">
        <v>19</v>
      </c>
      <c r="D41" s="1"/>
      <c r="E41" s="1"/>
      <c r="F41" s="7">
        <v>641.70995099999993</v>
      </c>
      <c r="G41" s="4">
        <v>0.20318588000000001</v>
      </c>
      <c r="H41" s="35"/>
    </row>
    <row r="42" spans="1:8" ht="14.1" customHeight="1" x14ac:dyDescent="0.2">
      <c r="A42" s="1"/>
      <c r="B42" s="1"/>
      <c r="C42" s="5"/>
      <c r="D42" s="1"/>
      <c r="E42" s="1"/>
      <c r="F42" s="6"/>
      <c r="G42" s="6"/>
      <c r="H42" s="35"/>
    </row>
    <row r="43" spans="1:8" ht="14.1" customHeight="1" x14ac:dyDescent="0.2">
      <c r="A43" s="1"/>
      <c r="B43" s="1"/>
      <c r="C43" s="2" t="s">
        <v>20</v>
      </c>
      <c r="D43" s="1"/>
      <c r="E43" s="1"/>
      <c r="F43" s="6"/>
      <c r="G43" s="6"/>
      <c r="H43" s="35"/>
    </row>
    <row r="44" spans="1:8" ht="24" customHeight="1" x14ac:dyDescent="0.2">
      <c r="A44" s="1"/>
      <c r="B44" s="1"/>
      <c r="C44" s="2" t="s">
        <v>10</v>
      </c>
      <c r="D44" s="1"/>
      <c r="E44" s="1"/>
      <c r="F44" s="6"/>
      <c r="G44" s="6"/>
      <c r="H44" s="35"/>
    </row>
    <row r="45" spans="1:8" ht="14.1" customHeight="1" x14ac:dyDescent="0.2">
      <c r="A45" s="1"/>
      <c r="B45" s="1"/>
      <c r="C45" s="2" t="s">
        <v>11</v>
      </c>
      <c r="D45" s="1"/>
      <c r="E45" s="1" t="s">
        <v>12</v>
      </c>
      <c r="F45" s="3" t="s">
        <v>13</v>
      </c>
      <c r="G45" s="4">
        <v>0</v>
      </c>
      <c r="H45" s="35"/>
    </row>
    <row r="46" spans="1:8" ht="14.1" customHeight="1" x14ac:dyDescent="0.2">
      <c r="A46" s="1"/>
      <c r="B46" s="1"/>
      <c r="C46" s="5"/>
      <c r="D46" s="1"/>
      <c r="E46" s="1"/>
      <c r="F46" s="6"/>
      <c r="G46" s="6"/>
      <c r="H46" s="35"/>
    </row>
    <row r="47" spans="1:8" ht="14.1" customHeight="1" x14ac:dyDescent="0.2">
      <c r="A47" s="1"/>
      <c r="B47" s="1"/>
      <c r="C47" s="2" t="s">
        <v>61</v>
      </c>
      <c r="D47" s="1"/>
      <c r="E47" s="1"/>
      <c r="F47" s="1"/>
      <c r="G47" s="1"/>
      <c r="H47" s="35"/>
    </row>
    <row r="48" spans="1:8" ht="14.1" customHeight="1" x14ac:dyDescent="0.2">
      <c r="A48" s="1"/>
      <c r="B48" s="1"/>
      <c r="C48" s="2" t="s">
        <v>11</v>
      </c>
      <c r="D48" s="1"/>
      <c r="E48" s="1" t="s">
        <v>12</v>
      </c>
      <c r="F48" s="3" t="s">
        <v>13</v>
      </c>
      <c r="G48" s="4">
        <v>0</v>
      </c>
      <c r="H48" s="35"/>
    </row>
    <row r="49" spans="1:8" ht="14.1" customHeight="1" x14ac:dyDescent="0.2">
      <c r="A49" s="1"/>
      <c r="B49" s="1"/>
      <c r="C49" s="5"/>
      <c r="D49" s="1"/>
      <c r="E49" s="1"/>
      <c r="F49" s="6"/>
      <c r="G49" s="6"/>
      <c r="H49" s="35"/>
    </row>
    <row r="50" spans="1:8" ht="14.1" customHeight="1" x14ac:dyDescent="0.2">
      <c r="A50" s="1"/>
      <c r="B50" s="1"/>
      <c r="C50" s="2" t="s">
        <v>62</v>
      </c>
      <c r="D50" s="1"/>
      <c r="E50" s="1"/>
      <c r="F50" s="1"/>
      <c r="G50" s="1"/>
      <c r="H50" s="35"/>
    </row>
    <row r="51" spans="1:8" x14ac:dyDescent="0.2">
      <c r="A51" s="8">
        <v>1</v>
      </c>
      <c r="B51" s="9" t="s">
        <v>63</v>
      </c>
      <c r="C51" s="9" t="s">
        <v>64</v>
      </c>
      <c r="D51" s="9" t="s">
        <v>65</v>
      </c>
      <c r="E51" s="10">
        <v>1100000</v>
      </c>
      <c r="F51" s="11">
        <v>1106.7837</v>
      </c>
      <c r="G51" s="12">
        <v>0.36726417</v>
      </c>
      <c r="H51" s="35">
        <v>7.2111000000000001</v>
      </c>
    </row>
    <row r="52" spans="1:8" x14ac:dyDescent="0.2">
      <c r="A52" s="8">
        <v>2</v>
      </c>
      <c r="B52" s="9" t="s">
        <v>463</v>
      </c>
      <c r="C52" s="9" t="s">
        <v>464</v>
      </c>
      <c r="D52" s="9" t="s">
        <v>65</v>
      </c>
      <c r="E52" s="10">
        <v>500000</v>
      </c>
      <c r="F52" s="11">
        <v>508.02199999999999</v>
      </c>
      <c r="G52" s="12">
        <v>0.168577</v>
      </c>
      <c r="H52" s="35">
        <v>7.2956000000000003</v>
      </c>
    </row>
    <row r="53" spans="1:8" ht="14.1" customHeight="1" x14ac:dyDescent="0.2">
      <c r="A53" s="1"/>
      <c r="B53" s="1"/>
      <c r="C53" s="2" t="s">
        <v>11</v>
      </c>
      <c r="D53" s="1"/>
      <c r="E53" s="1" t="s">
        <v>12</v>
      </c>
      <c r="F53" s="7">
        <v>1614.8056999999999</v>
      </c>
      <c r="G53" s="4">
        <v>0.53584116999999998</v>
      </c>
      <c r="H53" s="35"/>
    </row>
    <row r="54" spans="1:8" ht="14.1" customHeight="1" x14ac:dyDescent="0.2">
      <c r="A54" s="1"/>
      <c r="B54" s="1"/>
      <c r="C54" s="5"/>
      <c r="D54" s="1"/>
      <c r="E54" s="1"/>
      <c r="F54" s="6"/>
      <c r="G54" s="6"/>
      <c r="H54" s="35"/>
    </row>
    <row r="55" spans="1:8" ht="14.1" customHeight="1" x14ac:dyDescent="0.2">
      <c r="A55" s="1"/>
      <c r="B55" s="1"/>
      <c r="C55" s="2" t="s">
        <v>70</v>
      </c>
      <c r="D55" s="1"/>
      <c r="E55" s="1"/>
      <c r="F55" s="6"/>
      <c r="G55" s="6"/>
      <c r="H55" s="35"/>
    </row>
    <row r="56" spans="1:8" ht="14.1" customHeight="1" x14ac:dyDescent="0.2">
      <c r="A56" s="1"/>
      <c r="B56" s="1"/>
      <c r="C56" s="2" t="s">
        <v>11</v>
      </c>
      <c r="D56" s="1"/>
      <c r="E56" s="1" t="s">
        <v>12</v>
      </c>
      <c r="F56" s="3" t="s">
        <v>13</v>
      </c>
      <c r="G56" s="4">
        <v>0</v>
      </c>
      <c r="H56" s="35"/>
    </row>
    <row r="57" spans="1:8" ht="14.1" customHeight="1" x14ac:dyDescent="0.2">
      <c r="A57" s="1"/>
      <c r="B57" s="1"/>
      <c r="C57" s="5"/>
      <c r="D57" s="1"/>
      <c r="E57" s="1"/>
      <c r="F57" s="6"/>
      <c r="G57" s="6"/>
      <c r="H57" s="35"/>
    </row>
    <row r="58" spans="1:8" ht="14.1" customHeight="1" x14ac:dyDescent="0.2">
      <c r="A58" s="1"/>
      <c r="B58" s="1"/>
      <c r="C58" s="2" t="s">
        <v>71</v>
      </c>
      <c r="D58" s="1"/>
      <c r="E58" s="1"/>
      <c r="F58" s="7">
        <v>1614.8056999999999</v>
      </c>
      <c r="G58" s="4">
        <v>0.53584116999999998</v>
      </c>
      <c r="H58" s="35"/>
    </row>
    <row r="59" spans="1:8" ht="14.1" customHeight="1" x14ac:dyDescent="0.2">
      <c r="A59" s="1"/>
      <c r="B59" s="1"/>
      <c r="C59" s="5"/>
      <c r="D59" s="1"/>
      <c r="E59" s="1"/>
      <c r="F59" s="6"/>
      <c r="G59" s="6"/>
      <c r="H59" s="35"/>
    </row>
    <row r="60" spans="1:8" ht="14.1" customHeight="1" x14ac:dyDescent="0.2">
      <c r="A60" s="1"/>
      <c r="B60" s="1"/>
      <c r="C60" s="2" t="s">
        <v>72</v>
      </c>
      <c r="D60" s="1"/>
      <c r="E60" s="1"/>
      <c r="F60" s="6"/>
      <c r="G60" s="6"/>
      <c r="H60" s="35"/>
    </row>
    <row r="61" spans="1:8" ht="14.1" customHeight="1" x14ac:dyDescent="0.2">
      <c r="A61" s="1"/>
      <c r="B61" s="1"/>
      <c r="C61" s="2" t="s">
        <v>73</v>
      </c>
      <c r="D61" s="1"/>
      <c r="E61" s="1"/>
      <c r="F61" s="6"/>
      <c r="G61" s="6"/>
      <c r="H61" s="35"/>
    </row>
    <row r="62" spans="1:8" ht="14.1" customHeight="1" x14ac:dyDescent="0.2">
      <c r="A62" s="1"/>
      <c r="B62" s="1"/>
      <c r="C62" s="2" t="s">
        <v>11</v>
      </c>
      <c r="D62" s="1"/>
      <c r="E62" s="1" t="s">
        <v>12</v>
      </c>
      <c r="F62" s="3" t="s">
        <v>13</v>
      </c>
      <c r="G62" s="4">
        <v>0</v>
      </c>
      <c r="H62" s="35"/>
    </row>
    <row r="63" spans="1:8" ht="14.1" customHeight="1" x14ac:dyDescent="0.2">
      <c r="A63" s="1"/>
      <c r="B63" s="1"/>
      <c r="C63" s="5"/>
      <c r="D63" s="1"/>
      <c r="E63" s="1"/>
      <c r="F63" s="6"/>
      <c r="G63" s="6"/>
      <c r="H63" s="35"/>
    </row>
    <row r="64" spans="1:8" ht="14.1" customHeight="1" x14ac:dyDescent="0.2">
      <c r="A64" s="1"/>
      <c r="B64" s="1"/>
      <c r="C64" s="2" t="s">
        <v>74</v>
      </c>
      <c r="D64" s="1"/>
      <c r="E64" s="1"/>
      <c r="F64" s="6"/>
      <c r="G64" s="6"/>
      <c r="H64" s="35"/>
    </row>
    <row r="65" spans="1:8" ht="14.1" customHeight="1" x14ac:dyDescent="0.2">
      <c r="A65" s="1"/>
      <c r="B65" s="1"/>
      <c r="C65" s="2" t="s">
        <v>11</v>
      </c>
      <c r="D65" s="1"/>
      <c r="E65" s="1" t="s">
        <v>12</v>
      </c>
      <c r="F65" s="3" t="s">
        <v>13</v>
      </c>
      <c r="G65" s="4">
        <v>0</v>
      </c>
      <c r="H65" s="35"/>
    </row>
    <row r="66" spans="1:8" ht="14.1" customHeight="1" x14ac:dyDescent="0.2">
      <c r="A66" s="1"/>
      <c r="B66" s="1"/>
      <c r="C66" s="5"/>
      <c r="D66" s="1"/>
      <c r="E66" s="1"/>
      <c r="F66" s="6"/>
      <c r="G66" s="6"/>
      <c r="H66" s="35"/>
    </row>
    <row r="67" spans="1:8" ht="14.1" customHeight="1" x14ac:dyDescent="0.2">
      <c r="A67" s="1"/>
      <c r="B67" s="1"/>
      <c r="C67" s="2" t="s">
        <v>75</v>
      </c>
      <c r="D67" s="1"/>
      <c r="E67" s="1"/>
      <c r="F67" s="6"/>
      <c r="G67" s="6"/>
      <c r="H67" s="35"/>
    </row>
    <row r="68" spans="1:8" ht="14.1" customHeight="1" x14ac:dyDescent="0.2">
      <c r="A68" s="1"/>
      <c r="B68" s="1"/>
      <c r="C68" s="2" t="s">
        <v>11</v>
      </c>
      <c r="D68" s="1"/>
      <c r="E68" s="1" t="s">
        <v>12</v>
      </c>
      <c r="F68" s="3" t="s">
        <v>13</v>
      </c>
      <c r="G68" s="4">
        <v>0</v>
      </c>
      <c r="H68" s="35"/>
    </row>
    <row r="69" spans="1:8" ht="14.1" customHeight="1" x14ac:dyDescent="0.2">
      <c r="A69" s="1"/>
      <c r="B69" s="1"/>
      <c r="C69" s="5"/>
      <c r="D69" s="1"/>
      <c r="E69" s="1"/>
      <c r="F69" s="6"/>
      <c r="G69" s="6"/>
      <c r="H69" s="35"/>
    </row>
    <row r="70" spans="1:8" ht="14.1" customHeight="1" x14ac:dyDescent="0.2">
      <c r="A70" s="1"/>
      <c r="B70" s="1"/>
      <c r="C70" s="2" t="s">
        <v>76</v>
      </c>
      <c r="D70" s="1"/>
      <c r="E70" s="1"/>
      <c r="F70" s="6"/>
      <c r="G70" s="6"/>
      <c r="H70" s="35"/>
    </row>
    <row r="71" spans="1:8" ht="17.100000000000001" customHeight="1" x14ac:dyDescent="0.2">
      <c r="A71" s="8">
        <v>1</v>
      </c>
      <c r="B71" s="9"/>
      <c r="C71" s="9" t="s">
        <v>77</v>
      </c>
      <c r="D71" s="9"/>
      <c r="E71" s="13"/>
      <c r="F71" s="11">
        <v>698.61832199900005</v>
      </c>
      <c r="G71" s="12">
        <v>0.23182259999999999</v>
      </c>
      <c r="H71" s="63" t="s">
        <v>482</v>
      </c>
    </row>
    <row r="72" spans="1:8" ht="14.1" customHeight="1" x14ac:dyDescent="0.2">
      <c r="A72" s="1"/>
      <c r="B72" s="1"/>
      <c r="C72" s="2" t="s">
        <v>11</v>
      </c>
      <c r="D72" s="1"/>
      <c r="E72" s="1" t="s">
        <v>12</v>
      </c>
      <c r="F72" s="7">
        <v>698.61832199900005</v>
      </c>
      <c r="G72" s="4">
        <v>0.23182259999999999</v>
      </c>
      <c r="H72" s="35"/>
    </row>
    <row r="73" spans="1:8" ht="14.1" customHeight="1" x14ac:dyDescent="0.2">
      <c r="A73" s="1"/>
      <c r="B73" s="1"/>
      <c r="C73" s="5"/>
      <c r="D73" s="1"/>
      <c r="E73" s="1"/>
      <c r="F73" s="6"/>
      <c r="G73" s="6"/>
      <c r="H73" s="35"/>
    </row>
    <row r="74" spans="1:8" ht="14.1" customHeight="1" x14ac:dyDescent="0.2">
      <c r="A74" s="1"/>
      <c r="B74" s="1"/>
      <c r="C74" s="2" t="s">
        <v>78</v>
      </c>
      <c r="D74" s="1"/>
      <c r="E74" s="1"/>
      <c r="F74" s="7">
        <v>698.61832199900005</v>
      </c>
      <c r="G74" s="4">
        <v>0.23182259999999999</v>
      </c>
      <c r="H74" s="35"/>
    </row>
    <row r="75" spans="1:8" ht="14.1" customHeight="1" x14ac:dyDescent="0.2">
      <c r="A75" s="1"/>
      <c r="B75" s="1"/>
      <c r="C75" s="6"/>
      <c r="D75" s="1"/>
      <c r="E75" s="1"/>
      <c r="F75" s="1"/>
      <c r="G75" s="1"/>
      <c r="H75" s="35"/>
    </row>
    <row r="76" spans="1:8" ht="14.1" customHeight="1" x14ac:dyDescent="0.2">
      <c r="A76" s="1"/>
      <c r="B76" s="1"/>
      <c r="C76" s="2" t="s">
        <v>79</v>
      </c>
      <c r="D76" s="1"/>
      <c r="E76" s="1"/>
      <c r="F76" s="1"/>
      <c r="G76" s="1"/>
      <c r="H76" s="35"/>
    </row>
    <row r="77" spans="1:8" ht="14.1" customHeight="1" x14ac:dyDescent="0.2">
      <c r="A77" s="1"/>
      <c r="B77" s="1"/>
      <c r="C77" s="2" t="s">
        <v>80</v>
      </c>
      <c r="D77" s="1"/>
      <c r="E77" s="1"/>
      <c r="F77" s="1"/>
      <c r="G77" s="1"/>
      <c r="H77" s="35"/>
    </row>
    <row r="78" spans="1:8" ht="14.1" customHeight="1" x14ac:dyDescent="0.2">
      <c r="A78" s="1"/>
      <c r="B78" s="1"/>
      <c r="C78" s="2" t="s">
        <v>11</v>
      </c>
      <c r="D78" s="1"/>
      <c r="E78" s="1" t="s">
        <v>12</v>
      </c>
      <c r="F78" s="3" t="s">
        <v>13</v>
      </c>
      <c r="G78" s="4">
        <v>0</v>
      </c>
      <c r="H78" s="35"/>
    </row>
    <row r="79" spans="1:8" ht="14.1" customHeight="1" x14ac:dyDescent="0.2">
      <c r="A79" s="1"/>
      <c r="B79" s="1"/>
      <c r="C79" s="5"/>
      <c r="D79" s="1"/>
      <c r="E79" s="1"/>
      <c r="F79" s="6"/>
      <c r="G79" s="6"/>
      <c r="H79" s="35"/>
    </row>
    <row r="80" spans="1:8" ht="14.1" customHeight="1" x14ac:dyDescent="0.2">
      <c r="A80" s="1"/>
      <c r="B80" s="1"/>
      <c r="C80" s="2" t="s">
        <v>83</v>
      </c>
      <c r="D80" s="1"/>
      <c r="E80" s="1"/>
      <c r="F80" s="1"/>
      <c r="G80" s="1"/>
      <c r="H80" s="35"/>
    </row>
    <row r="81" spans="1:8" ht="14.1" customHeight="1" x14ac:dyDescent="0.2">
      <c r="A81" s="1"/>
      <c r="B81" s="1"/>
      <c r="C81" s="2" t="s">
        <v>84</v>
      </c>
      <c r="D81" s="1"/>
      <c r="E81" s="1"/>
      <c r="F81" s="1"/>
      <c r="G81" s="1"/>
      <c r="H81" s="35"/>
    </row>
    <row r="82" spans="1:8" ht="14.1" customHeight="1" x14ac:dyDescent="0.2">
      <c r="A82" s="1"/>
      <c r="B82" s="1"/>
      <c r="C82" s="2" t="s">
        <v>11</v>
      </c>
      <c r="D82" s="1"/>
      <c r="E82" s="1" t="s">
        <v>12</v>
      </c>
      <c r="F82" s="3" t="s">
        <v>13</v>
      </c>
      <c r="G82" s="4">
        <v>0</v>
      </c>
      <c r="H82" s="35"/>
    </row>
    <row r="83" spans="1:8" ht="14.1" customHeight="1" x14ac:dyDescent="0.2">
      <c r="A83" s="1"/>
      <c r="B83" s="1"/>
      <c r="C83" s="5"/>
      <c r="D83" s="1"/>
      <c r="E83" s="1"/>
      <c r="F83" s="6"/>
      <c r="G83" s="6"/>
      <c r="H83" s="35"/>
    </row>
    <row r="84" spans="1:8" ht="24" customHeight="1" x14ac:dyDescent="0.2">
      <c r="A84" s="1"/>
      <c r="B84" s="1"/>
      <c r="C84" s="2" t="s">
        <v>85</v>
      </c>
      <c r="D84" s="1"/>
      <c r="E84" s="1"/>
      <c r="F84" s="6"/>
      <c r="G84" s="6"/>
      <c r="H84" s="35"/>
    </row>
    <row r="85" spans="1:8" ht="14.1" customHeight="1" x14ac:dyDescent="0.2">
      <c r="A85" s="1"/>
      <c r="B85" s="1"/>
      <c r="C85" s="2" t="s">
        <v>11</v>
      </c>
      <c r="D85" s="1"/>
      <c r="E85" s="1" t="s">
        <v>12</v>
      </c>
      <c r="F85" s="3" t="s">
        <v>13</v>
      </c>
      <c r="G85" s="4">
        <v>0</v>
      </c>
      <c r="H85" s="35"/>
    </row>
    <row r="86" spans="1:8" ht="14.1" customHeight="1" x14ac:dyDescent="0.2">
      <c r="A86" s="1"/>
      <c r="B86" s="1"/>
      <c r="C86" s="2"/>
      <c r="D86" s="1"/>
      <c r="E86" s="1"/>
      <c r="F86" s="3"/>
      <c r="G86" s="4"/>
      <c r="H86" s="35"/>
    </row>
    <row r="87" spans="1:8" x14ac:dyDescent="0.2">
      <c r="A87" s="50"/>
      <c r="B87" s="50"/>
      <c r="C87" s="51" t="s">
        <v>481</v>
      </c>
      <c r="D87" s="50"/>
      <c r="E87" s="50"/>
      <c r="F87" s="52"/>
      <c r="G87" s="52"/>
      <c r="H87" s="53"/>
    </row>
    <row r="88" spans="1:8" ht="29.1" customHeight="1" x14ac:dyDescent="0.2">
      <c r="A88" s="8">
        <v>1</v>
      </c>
      <c r="B88" s="9" t="s">
        <v>81</v>
      </c>
      <c r="C88" s="9" t="s">
        <v>82</v>
      </c>
      <c r="D88" s="9"/>
      <c r="E88" s="14">
        <v>76.796000000000006</v>
      </c>
      <c r="F88" s="11">
        <v>7.8580164610000001</v>
      </c>
      <c r="G88" s="12">
        <v>2.6075299999999998E-3</v>
      </c>
      <c r="H88" s="35"/>
    </row>
    <row r="89" spans="1:8" x14ac:dyDescent="0.2">
      <c r="A89" s="58"/>
      <c r="B89" s="58"/>
      <c r="C89" s="59" t="s">
        <v>11</v>
      </c>
      <c r="D89" s="58"/>
      <c r="E89" s="58" t="s">
        <v>12</v>
      </c>
      <c r="F89" s="60">
        <f>SUM(F88)</f>
        <v>7.8580164610000001</v>
      </c>
      <c r="G89" s="61">
        <f>SUM(G88)</f>
        <v>2.6075299999999998E-3</v>
      </c>
      <c r="H89" s="53"/>
    </row>
    <row r="90" spans="1:8" ht="14.1" customHeight="1" x14ac:dyDescent="0.2">
      <c r="A90" s="1"/>
      <c r="B90" s="9"/>
      <c r="C90" s="9"/>
      <c r="D90" s="2"/>
      <c r="E90" s="1"/>
      <c r="F90" s="9"/>
      <c r="G90" s="13"/>
      <c r="H90" s="35"/>
    </row>
    <row r="91" spans="1:8" ht="18" customHeight="1" x14ac:dyDescent="0.2">
      <c r="A91" s="13"/>
      <c r="B91" s="9"/>
      <c r="C91" s="9" t="s">
        <v>86</v>
      </c>
      <c r="D91" s="9"/>
      <c r="E91" s="13"/>
      <c r="F91" s="11">
        <f>50.59820483</f>
        <v>50.59820483</v>
      </c>
      <c r="G91" s="12">
        <v>1.6790010000000001E-2</v>
      </c>
      <c r="H91" s="35"/>
    </row>
    <row r="92" spans="1:8" ht="14.1" customHeight="1" x14ac:dyDescent="0.2">
      <c r="A92" s="5"/>
      <c r="B92" s="5"/>
      <c r="C92" s="2" t="s">
        <v>87</v>
      </c>
      <c r="D92" s="6"/>
      <c r="E92" s="6"/>
      <c r="F92" s="7">
        <v>3013.59019429</v>
      </c>
      <c r="G92" s="15">
        <f>99.024719%+0.977756%</f>
        <v>1.0000247500000001</v>
      </c>
      <c r="H92" s="15"/>
    </row>
    <row r="93" spans="1:8" ht="14.1" customHeight="1" x14ac:dyDescent="0.2">
      <c r="A93" s="16"/>
      <c r="B93" s="16"/>
      <c r="C93" s="16"/>
      <c r="D93" s="17"/>
      <c r="E93" s="17"/>
      <c r="F93" s="17"/>
      <c r="G93" s="17"/>
      <c r="H93" s="17"/>
    </row>
    <row r="94" spans="1:8" ht="12.75" customHeight="1" x14ac:dyDescent="0.2">
      <c r="A94" s="44"/>
      <c r="B94" s="131" t="s">
        <v>477</v>
      </c>
      <c r="C94" s="131"/>
      <c r="D94" s="131"/>
      <c r="E94" s="131"/>
      <c r="F94" s="131"/>
      <c r="G94" s="131"/>
      <c r="H94" s="131"/>
    </row>
    <row r="95" spans="1:8" ht="12.75" customHeight="1" x14ac:dyDescent="0.2">
      <c r="A95" s="44"/>
      <c r="B95" s="131" t="s">
        <v>478</v>
      </c>
      <c r="C95" s="131"/>
      <c r="D95" s="131"/>
      <c r="E95" s="131"/>
      <c r="F95" s="131"/>
      <c r="G95" s="131"/>
      <c r="H95" s="131"/>
    </row>
    <row r="96" spans="1:8" ht="12.75" customHeight="1" x14ac:dyDescent="0.2">
      <c r="A96" s="44"/>
      <c r="B96" s="131" t="s">
        <v>479</v>
      </c>
      <c r="C96" s="131"/>
      <c r="D96" s="131"/>
      <c r="E96" s="131"/>
      <c r="F96" s="131"/>
      <c r="G96" s="131"/>
      <c r="H96" s="131"/>
    </row>
    <row r="97" spans="1:8" ht="14.1" customHeight="1" x14ac:dyDescent="0.2">
      <c r="A97" s="18"/>
      <c r="B97" s="18"/>
      <c r="C97" s="18"/>
      <c r="D97" s="20"/>
      <c r="E97" s="20"/>
      <c r="F97" s="20"/>
      <c r="G97" s="20"/>
      <c r="H97" s="20"/>
    </row>
    <row r="98" spans="1:8" ht="14.1" customHeight="1" x14ac:dyDescent="0.2">
      <c r="A98" s="18"/>
      <c r="B98" s="126" t="s">
        <v>88</v>
      </c>
      <c r="C98" s="127"/>
      <c r="D98" s="128"/>
      <c r="E98" s="21"/>
      <c r="F98" s="20"/>
      <c r="G98" s="20"/>
      <c r="H98" s="20"/>
    </row>
    <row r="99" spans="1:8" ht="29.1" customHeight="1" x14ac:dyDescent="0.2">
      <c r="A99" s="18"/>
      <c r="B99" s="129" t="s">
        <v>89</v>
      </c>
      <c r="C99" s="130"/>
      <c r="D99" s="2" t="s">
        <v>90</v>
      </c>
      <c r="E99" s="21"/>
      <c r="F99" s="20"/>
      <c r="G99" s="20"/>
      <c r="H99" s="20"/>
    </row>
    <row r="100" spans="1:8" ht="17.100000000000001" customHeight="1" x14ac:dyDescent="0.2">
      <c r="A100" s="18"/>
      <c r="B100" s="129" t="s">
        <v>91</v>
      </c>
      <c r="C100" s="130"/>
      <c r="D100" s="2" t="s">
        <v>90</v>
      </c>
      <c r="E100" s="21"/>
      <c r="F100" s="20"/>
      <c r="G100" s="20"/>
      <c r="H100" s="20"/>
    </row>
    <row r="101" spans="1:8" ht="17.100000000000001" customHeight="1" x14ac:dyDescent="0.2">
      <c r="A101" s="18"/>
      <c r="B101" s="129" t="s">
        <v>92</v>
      </c>
      <c r="C101" s="130"/>
      <c r="D101" s="6" t="s">
        <v>12</v>
      </c>
      <c r="E101" s="21"/>
      <c r="F101" s="20"/>
      <c r="G101" s="20"/>
      <c r="H101" s="20"/>
    </row>
    <row r="102" spans="1:8" x14ac:dyDescent="0.2">
      <c r="A102" s="22"/>
      <c r="B102" s="23" t="s">
        <v>12</v>
      </c>
      <c r="C102" s="23" t="s">
        <v>527</v>
      </c>
      <c r="D102" s="23" t="s">
        <v>93</v>
      </c>
      <c r="E102" s="22"/>
      <c r="F102" s="22"/>
      <c r="G102" s="22"/>
      <c r="H102" s="40"/>
    </row>
    <row r="103" spans="1:8" ht="18" customHeight="1" x14ac:dyDescent="0.2">
      <c r="A103" s="22"/>
      <c r="B103" s="24" t="s">
        <v>94</v>
      </c>
      <c r="C103" s="23" t="s">
        <v>95</v>
      </c>
      <c r="D103" s="23" t="s">
        <v>96</v>
      </c>
      <c r="E103" s="22"/>
      <c r="F103" s="22"/>
      <c r="G103" s="22"/>
      <c r="H103" s="22"/>
    </row>
    <row r="104" spans="1:8" ht="17.100000000000001" customHeight="1" x14ac:dyDescent="0.2">
      <c r="A104" s="22"/>
      <c r="B104" s="9" t="s">
        <v>97</v>
      </c>
      <c r="C104" s="25">
        <v>29.665299999999998</v>
      </c>
      <c r="D104" s="25">
        <v>29.748000000000001</v>
      </c>
      <c r="E104" s="22"/>
      <c r="F104" s="19"/>
      <c r="G104" s="26"/>
      <c r="H104" s="26"/>
    </row>
    <row r="105" spans="1:8" ht="29.1" customHeight="1" x14ac:dyDescent="0.2">
      <c r="A105" s="22"/>
      <c r="B105" s="9" t="s">
        <v>532</v>
      </c>
      <c r="C105" s="25">
        <v>13.5709</v>
      </c>
      <c r="D105" s="25">
        <v>13.6088</v>
      </c>
      <c r="E105" s="22"/>
      <c r="F105" s="19"/>
      <c r="G105" s="26"/>
      <c r="H105" s="26"/>
    </row>
    <row r="106" spans="1:8" ht="29.1" customHeight="1" x14ac:dyDescent="0.2">
      <c r="A106" s="22"/>
      <c r="B106" s="9" t="s">
        <v>533</v>
      </c>
      <c r="C106" s="25">
        <v>19.672899999999998</v>
      </c>
      <c r="D106" s="25">
        <v>19.727799999999998</v>
      </c>
      <c r="E106" s="22"/>
      <c r="F106" s="19"/>
      <c r="G106" s="26"/>
      <c r="H106" s="26"/>
    </row>
    <row r="107" spans="1:8" ht="29.1" customHeight="1" x14ac:dyDescent="0.2">
      <c r="A107" s="22"/>
      <c r="B107" s="9" t="s">
        <v>534</v>
      </c>
      <c r="C107" s="25">
        <v>19.5807</v>
      </c>
      <c r="D107" s="25">
        <v>19.635300000000001</v>
      </c>
      <c r="E107" s="22"/>
      <c r="F107" s="19"/>
      <c r="G107" s="26"/>
      <c r="H107" s="26"/>
    </row>
    <row r="108" spans="1:8" ht="17.100000000000001" customHeight="1" x14ac:dyDescent="0.2">
      <c r="A108" s="22"/>
      <c r="B108" s="9" t="s">
        <v>98</v>
      </c>
      <c r="C108" s="25">
        <v>27.2179</v>
      </c>
      <c r="D108" s="25">
        <v>27.2822</v>
      </c>
      <c r="E108" s="22"/>
      <c r="F108" s="19"/>
      <c r="G108" s="26"/>
      <c r="H108" s="26"/>
    </row>
    <row r="109" spans="1:8" ht="29.1" customHeight="1" x14ac:dyDescent="0.2">
      <c r="A109" s="22"/>
      <c r="B109" s="9" t="s">
        <v>536</v>
      </c>
      <c r="C109" s="25">
        <v>13.451000000000001</v>
      </c>
      <c r="D109" s="25">
        <v>13.482699999999999</v>
      </c>
      <c r="E109" s="22"/>
      <c r="F109" s="19"/>
      <c r="G109" s="26"/>
      <c r="H109" s="26"/>
    </row>
    <row r="110" spans="1:8" ht="29.1" customHeight="1" x14ac:dyDescent="0.2">
      <c r="A110" s="22"/>
      <c r="B110" s="9" t="s">
        <v>531</v>
      </c>
      <c r="C110" s="25">
        <v>17.9574</v>
      </c>
      <c r="D110" s="25">
        <v>17.9998</v>
      </c>
      <c r="E110" s="22"/>
      <c r="F110" s="19"/>
      <c r="G110" s="26"/>
      <c r="H110" s="26"/>
    </row>
    <row r="111" spans="1:8" ht="29.1" customHeight="1" x14ac:dyDescent="0.2">
      <c r="A111" s="22"/>
      <c r="B111" s="9" t="s">
        <v>537</v>
      </c>
      <c r="C111" s="25">
        <v>17.797899999999998</v>
      </c>
      <c r="D111" s="25">
        <v>17.8399</v>
      </c>
      <c r="E111" s="22"/>
      <c r="F111" s="19"/>
      <c r="G111" s="26"/>
      <c r="H111" s="26"/>
    </row>
    <row r="112" spans="1:8" ht="14.1" customHeight="1" x14ac:dyDescent="0.2">
      <c r="A112" s="22"/>
      <c r="B112" s="22"/>
      <c r="C112" s="22"/>
      <c r="D112" s="22"/>
      <c r="E112" s="22"/>
      <c r="F112" s="22"/>
      <c r="G112" s="22"/>
      <c r="H112" s="22"/>
    </row>
    <row r="113" spans="1:18" ht="17.100000000000001" customHeight="1" x14ac:dyDescent="0.2">
      <c r="A113" s="22"/>
      <c r="B113" s="129" t="s">
        <v>539</v>
      </c>
      <c r="C113" s="130"/>
      <c r="D113" s="2" t="s">
        <v>90</v>
      </c>
      <c r="E113" s="22"/>
      <c r="F113" s="22"/>
      <c r="G113" s="22"/>
      <c r="H113" s="22"/>
    </row>
    <row r="114" spans="1:18" ht="14.1" customHeight="1" x14ac:dyDescent="0.2">
      <c r="A114" s="22"/>
      <c r="B114" s="19"/>
      <c r="C114" s="19"/>
      <c r="D114" s="22"/>
      <c r="E114" s="22"/>
      <c r="F114" s="22"/>
      <c r="G114" s="22"/>
      <c r="H114" s="22"/>
    </row>
    <row r="115" spans="1:18" s="71" customFormat="1" ht="29.1" customHeight="1" x14ac:dyDescent="0.2">
      <c r="A115" s="69"/>
      <c r="B115" s="132" t="s">
        <v>99</v>
      </c>
      <c r="C115" s="133"/>
      <c r="D115" s="51" t="s">
        <v>90</v>
      </c>
      <c r="E115" s="70"/>
      <c r="F115" s="69"/>
      <c r="G115" s="69"/>
      <c r="I115"/>
      <c r="J115" s="46"/>
      <c r="K115" s="47"/>
      <c r="L115" s="47"/>
      <c r="M115" s="47"/>
      <c r="N115" s="47"/>
      <c r="O115"/>
      <c r="P115"/>
      <c r="Q115"/>
      <c r="R115"/>
    </row>
    <row r="116" spans="1:18" s="71" customFormat="1" ht="29.1" customHeight="1" x14ac:dyDescent="0.2">
      <c r="A116" s="69"/>
      <c r="B116" s="132" t="s">
        <v>100</v>
      </c>
      <c r="C116" s="133"/>
      <c r="D116" s="51" t="s">
        <v>90</v>
      </c>
      <c r="E116" s="70"/>
      <c r="F116" s="69"/>
      <c r="G116" s="69"/>
      <c r="I116"/>
      <c r="J116" s="46"/>
      <c r="K116" s="47"/>
      <c r="L116" s="47"/>
      <c r="M116" s="47"/>
      <c r="N116" s="47"/>
      <c r="O116"/>
      <c r="P116"/>
      <c r="Q116"/>
      <c r="R116"/>
    </row>
    <row r="117" spans="1:18" s="71" customFormat="1" ht="17.100000000000001" customHeight="1" x14ac:dyDescent="0.2">
      <c r="A117" s="69"/>
      <c r="B117" s="132" t="s">
        <v>487</v>
      </c>
      <c r="C117" s="133"/>
      <c r="D117" s="51" t="s">
        <v>90</v>
      </c>
      <c r="E117" s="70"/>
      <c r="F117" s="69"/>
      <c r="G117" s="69"/>
      <c r="I117"/>
      <c r="J117" s="46"/>
      <c r="K117" s="47"/>
      <c r="L117" s="47"/>
      <c r="M117" s="47"/>
      <c r="N117" s="47"/>
      <c r="O117"/>
      <c r="P117"/>
      <c r="Q117"/>
      <c r="R117"/>
    </row>
    <row r="118" spans="1:18" s="71" customFormat="1" x14ac:dyDescent="0.2">
      <c r="I118"/>
      <c r="J118" s="46"/>
      <c r="K118" s="47"/>
      <c r="L118" s="47"/>
      <c r="M118" s="47"/>
      <c r="N118" s="47"/>
      <c r="O118"/>
      <c r="R118"/>
    </row>
    <row r="119" spans="1:18" s="71" customFormat="1" x14ac:dyDescent="0.2">
      <c r="B119" s="135" t="s">
        <v>488</v>
      </c>
      <c r="C119" s="136"/>
      <c r="D119" s="137"/>
      <c r="I119"/>
      <c r="J119" s="46"/>
      <c r="K119" s="47"/>
      <c r="L119" s="47"/>
      <c r="M119" s="47"/>
      <c r="N119" s="47"/>
      <c r="O119"/>
      <c r="R119"/>
    </row>
    <row r="120" spans="1:18" s="71" customFormat="1" ht="38.25" x14ac:dyDescent="0.2">
      <c r="B120" s="134" t="s">
        <v>489</v>
      </c>
      <c r="C120" s="134"/>
      <c r="D120" s="72" t="s">
        <v>423</v>
      </c>
      <c r="I120"/>
      <c r="J120" s="46"/>
      <c r="K120" s="47"/>
      <c r="L120" s="47"/>
      <c r="M120" s="47"/>
      <c r="N120" s="47"/>
      <c r="O120"/>
      <c r="R120"/>
    </row>
    <row r="121" spans="1:18" s="71" customFormat="1" x14ac:dyDescent="0.2">
      <c r="B121" s="138" t="s">
        <v>490</v>
      </c>
      <c r="C121" s="138"/>
      <c r="D121" s="73"/>
      <c r="I121"/>
      <c r="J121" s="46"/>
      <c r="K121" s="47"/>
      <c r="L121" s="47"/>
      <c r="M121" s="47"/>
      <c r="N121" s="47"/>
      <c r="O121"/>
      <c r="R121"/>
    </row>
    <row r="122" spans="1:18" s="71" customFormat="1" x14ac:dyDescent="0.2">
      <c r="B122" s="138"/>
      <c r="C122" s="138"/>
      <c r="D122" s="74"/>
      <c r="I122"/>
      <c r="J122" s="46"/>
      <c r="K122" s="47"/>
      <c r="L122" s="47"/>
      <c r="M122" s="47"/>
      <c r="N122" s="47"/>
      <c r="O122"/>
    </row>
    <row r="123" spans="1:18" s="71" customFormat="1" x14ac:dyDescent="0.2">
      <c r="B123" s="138" t="s">
        <v>491</v>
      </c>
      <c r="C123" s="138"/>
      <c r="D123" s="75">
        <v>6.9606470904755708</v>
      </c>
      <c r="I123"/>
      <c r="J123" s="46"/>
      <c r="K123" s="47"/>
      <c r="L123" s="47"/>
      <c r="M123" s="47"/>
      <c r="N123" s="47"/>
      <c r="O123"/>
    </row>
    <row r="124" spans="1:18" s="71" customFormat="1" x14ac:dyDescent="0.2">
      <c r="B124" s="138"/>
      <c r="C124" s="138"/>
      <c r="D124" s="74"/>
      <c r="I124"/>
      <c r="J124" s="46"/>
      <c r="K124" s="47"/>
      <c r="L124" s="47"/>
      <c r="M124" s="47"/>
      <c r="N124" s="47"/>
      <c r="O124"/>
    </row>
    <row r="125" spans="1:18" s="71" customFormat="1" x14ac:dyDescent="0.2">
      <c r="B125" s="138" t="s">
        <v>519</v>
      </c>
      <c r="C125" s="138"/>
      <c r="D125" s="75">
        <v>5.9387497821764148</v>
      </c>
      <c r="I125"/>
      <c r="J125" s="46"/>
      <c r="K125" s="47"/>
      <c r="L125" s="47"/>
      <c r="M125" s="47"/>
      <c r="N125" s="47"/>
      <c r="O125"/>
    </row>
    <row r="126" spans="1:18" s="71" customFormat="1" x14ac:dyDescent="0.2">
      <c r="B126" s="138" t="s">
        <v>520</v>
      </c>
      <c r="C126" s="138"/>
      <c r="D126" s="75">
        <v>10.851022825905185</v>
      </c>
      <c r="I126"/>
      <c r="J126" s="46"/>
      <c r="K126" s="47"/>
      <c r="L126" s="47"/>
      <c r="M126" s="47"/>
      <c r="N126" s="47"/>
      <c r="O126"/>
    </row>
    <row r="127" spans="1:18" s="71" customFormat="1" x14ac:dyDescent="0.2">
      <c r="B127" s="138"/>
      <c r="C127" s="138"/>
      <c r="D127" s="74"/>
      <c r="I127"/>
      <c r="J127" s="46"/>
      <c r="K127" s="47"/>
      <c r="L127" s="47"/>
      <c r="M127" s="47"/>
      <c r="N127" s="47"/>
      <c r="O127"/>
    </row>
    <row r="128" spans="1:18" s="71" customFormat="1" x14ac:dyDescent="0.2">
      <c r="B128" s="138" t="s">
        <v>494</v>
      </c>
      <c r="C128" s="138"/>
      <c r="D128" s="76" t="s">
        <v>523</v>
      </c>
      <c r="I128"/>
      <c r="J128" s="46"/>
      <c r="K128" s="47"/>
      <c r="L128" s="47"/>
      <c r="M128" s="47"/>
      <c r="N128" s="47"/>
      <c r="O128"/>
    </row>
    <row r="129" spans="2:15" s="71" customFormat="1" x14ac:dyDescent="0.2">
      <c r="B129" s="139" t="s">
        <v>495</v>
      </c>
      <c r="C129" s="141"/>
      <c r="D129" s="140"/>
      <c r="I129"/>
      <c r="J129" s="46"/>
      <c r="K129" s="47"/>
      <c r="L129" s="47"/>
      <c r="M129" s="47"/>
      <c r="N129" s="47"/>
      <c r="O129"/>
    </row>
  </sheetData>
  <mergeCells count="25">
    <mergeCell ref="B125:C125"/>
    <mergeCell ref="B126:C126"/>
    <mergeCell ref="B127:C127"/>
    <mergeCell ref="B128:C128"/>
    <mergeCell ref="B129:D129"/>
    <mergeCell ref="B120:C120"/>
    <mergeCell ref="B121:C121"/>
    <mergeCell ref="B122:C122"/>
    <mergeCell ref="B123:C123"/>
    <mergeCell ref="B124:C124"/>
    <mergeCell ref="B119:D119"/>
    <mergeCell ref="A1:H1"/>
    <mergeCell ref="A2:H2"/>
    <mergeCell ref="B98:D98"/>
    <mergeCell ref="B99:C99"/>
    <mergeCell ref="B100:C100"/>
    <mergeCell ref="B94:H94"/>
    <mergeCell ref="B95:H95"/>
    <mergeCell ref="B96:H96"/>
    <mergeCell ref="A3:H3"/>
    <mergeCell ref="B116:C116"/>
    <mergeCell ref="B117:C117"/>
    <mergeCell ref="B101:C101"/>
    <mergeCell ref="B113:C113"/>
    <mergeCell ref="B115:C115"/>
  </mergeCells>
  <hyperlinks>
    <hyperlink ref="I1" location="Index!B10" display="Index" xr:uid="{D788A631-B2BC-440E-96B0-F0DB11869C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V124"/>
  <sheetViews>
    <sheetView showGridLines="0" workbookViewId="0">
      <selection activeCell="M8" sqref="M8"/>
    </sheetView>
  </sheetViews>
  <sheetFormatPr defaultRowHeight="12.75" x14ac:dyDescent="0.2"/>
  <cols>
    <col min="1" max="1" width="5.85546875" bestFit="1" customWidth="1"/>
    <col min="2" max="2" width="20.42578125" bestFit="1" customWidth="1"/>
    <col min="3" max="3" width="39.140625" bestFit="1" customWidth="1"/>
    <col min="4" max="4" width="12.28515625" customWidth="1"/>
    <col min="5" max="5" width="8.7109375" bestFit="1" customWidth="1"/>
    <col min="6" max="6" width="10.140625" bestFit="1" customWidth="1"/>
    <col min="7" max="7" width="14" bestFit="1" customWidth="1"/>
    <col min="8" max="8" width="8.42578125" style="43" bestFit="1" customWidth="1"/>
    <col min="9" max="9" width="6" bestFit="1" customWidth="1"/>
    <col min="10" max="10" width="50.7109375" style="46" customWidth="1"/>
  </cols>
  <sheetData>
    <row r="1" spans="1:10" ht="18" customHeight="1" x14ac:dyDescent="0.2">
      <c r="A1" s="125" t="s">
        <v>0</v>
      </c>
      <c r="B1" s="125"/>
      <c r="C1" s="125"/>
      <c r="D1" s="125"/>
      <c r="E1" s="125"/>
      <c r="F1" s="125"/>
      <c r="G1" s="125"/>
      <c r="H1" s="125"/>
      <c r="I1" s="116" t="s">
        <v>563</v>
      </c>
    </row>
    <row r="2" spans="1:10" ht="17.100000000000001" customHeight="1" x14ac:dyDescent="0.2">
      <c r="A2" s="125" t="s">
        <v>465</v>
      </c>
      <c r="B2" s="125"/>
      <c r="C2" s="125"/>
      <c r="D2" s="125"/>
      <c r="E2" s="125"/>
      <c r="F2" s="125"/>
      <c r="G2" s="125"/>
      <c r="H2" s="125"/>
      <c r="J2" s="117" t="s">
        <v>564</v>
      </c>
    </row>
    <row r="3" spans="1:10" ht="21" customHeight="1" x14ac:dyDescent="0.2">
      <c r="A3" s="125" t="s">
        <v>584</v>
      </c>
      <c r="B3" s="125"/>
      <c r="C3" s="125"/>
      <c r="D3" s="125"/>
      <c r="E3" s="125"/>
      <c r="F3" s="125"/>
      <c r="G3" s="125"/>
      <c r="H3" s="125"/>
    </row>
    <row r="4" spans="1:10" s="34" customFormat="1" ht="30" x14ac:dyDescent="0.2">
      <c r="A4" s="33" t="s">
        <v>2</v>
      </c>
      <c r="B4" s="33" t="s">
        <v>3</v>
      </c>
      <c r="C4" s="33" t="s">
        <v>4</v>
      </c>
      <c r="D4" s="33" t="s">
        <v>5</v>
      </c>
      <c r="E4" s="33" t="s">
        <v>6</v>
      </c>
      <c r="F4" s="33" t="s">
        <v>7</v>
      </c>
      <c r="G4" s="33" t="s">
        <v>8</v>
      </c>
      <c r="H4" s="36" t="s">
        <v>476</v>
      </c>
      <c r="I4" s="118"/>
      <c r="J4" s="46"/>
    </row>
    <row r="5" spans="1:10" ht="14.1" customHeight="1" x14ac:dyDescent="0.2">
      <c r="A5" s="1"/>
      <c r="B5" s="1"/>
      <c r="C5" s="2" t="s">
        <v>9</v>
      </c>
      <c r="D5" s="1"/>
      <c r="E5" s="1"/>
      <c r="F5" s="1"/>
      <c r="G5" s="1"/>
      <c r="H5" s="35"/>
    </row>
    <row r="6" spans="1:10" x14ac:dyDescent="0.2">
      <c r="A6" s="1"/>
      <c r="B6" s="1"/>
      <c r="C6" s="2" t="s">
        <v>10</v>
      </c>
      <c r="D6" s="1"/>
      <c r="E6" s="1"/>
      <c r="F6" s="1"/>
      <c r="G6" s="1"/>
      <c r="H6" s="35"/>
    </row>
    <row r="7" spans="1:10" ht="14.1" customHeight="1" x14ac:dyDescent="0.2">
      <c r="A7" s="1"/>
      <c r="B7" s="1"/>
      <c r="C7" s="2" t="s">
        <v>11</v>
      </c>
      <c r="D7" s="1"/>
      <c r="E7" s="1" t="s">
        <v>12</v>
      </c>
      <c r="F7" s="3" t="s">
        <v>13</v>
      </c>
      <c r="G7" s="4">
        <v>0</v>
      </c>
      <c r="H7" s="35"/>
    </row>
    <row r="8" spans="1:10" ht="14.1" customHeight="1" x14ac:dyDescent="0.2">
      <c r="A8" s="1"/>
      <c r="B8" s="1"/>
      <c r="C8" s="5"/>
      <c r="D8" s="1"/>
      <c r="E8" s="1"/>
      <c r="F8" s="6"/>
      <c r="G8" s="6"/>
      <c r="H8" s="35"/>
    </row>
    <row r="9" spans="1:10" ht="14.1" customHeight="1" x14ac:dyDescent="0.2">
      <c r="A9" s="1"/>
      <c r="B9" s="1"/>
      <c r="C9" s="2" t="s">
        <v>14</v>
      </c>
      <c r="D9" s="1"/>
      <c r="E9" s="1"/>
      <c r="F9" s="1"/>
      <c r="G9" s="1"/>
      <c r="H9" s="35"/>
    </row>
    <row r="10" spans="1:10" ht="14.1" customHeight="1" x14ac:dyDescent="0.2">
      <c r="A10" s="1"/>
      <c r="B10" s="1"/>
      <c r="C10" s="2" t="s">
        <v>11</v>
      </c>
      <c r="D10" s="1"/>
      <c r="E10" s="1" t="s">
        <v>12</v>
      </c>
      <c r="F10" s="3" t="s">
        <v>13</v>
      </c>
      <c r="G10" s="4">
        <v>0</v>
      </c>
      <c r="H10" s="35"/>
    </row>
    <row r="11" spans="1:10" ht="14.1" customHeight="1" x14ac:dyDescent="0.2">
      <c r="A11" s="1"/>
      <c r="B11" s="1"/>
      <c r="C11" s="5"/>
      <c r="D11" s="1"/>
      <c r="E11" s="1"/>
      <c r="F11" s="6"/>
      <c r="G11" s="6"/>
      <c r="H11" s="35"/>
    </row>
    <row r="12" spans="1:10" ht="14.1" customHeight="1" x14ac:dyDescent="0.2">
      <c r="A12" s="1"/>
      <c r="B12" s="1"/>
      <c r="C12" s="2" t="s">
        <v>15</v>
      </c>
      <c r="D12" s="1"/>
      <c r="E12" s="1"/>
      <c r="F12" s="1"/>
      <c r="G12" s="1"/>
      <c r="H12" s="35"/>
      <c r="J12" s="119"/>
    </row>
    <row r="13" spans="1:10" ht="14.1" customHeight="1" x14ac:dyDescent="0.2">
      <c r="A13" s="1"/>
      <c r="B13" s="1"/>
      <c r="C13" s="2" t="s">
        <v>11</v>
      </c>
      <c r="D13" s="1"/>
      <c r="E13" s="1" t="s">
        <v>12</v>
      </c>
      <c r="F13" s="3" t="s">
        <v>13</v>
      </c>
      <c r="G13" s="4">
        <v>0</v>
      </c>
      <c r="H13" s="35"/>
      <c r="J13" s="120"/>
    </row>
    <row r="14" spans="1:10" ht="14.1" customHeight="1" x14ac:dyDescent="0.2">
      <c r="A14" s="1"/>
      <c r="B14" s="1"/>
      <c r="C14" s="5"/>
      <c r="D14" s="1"/>
      <c r="E14" s="1"/>
      <c r="F14" s="6"/>
      <c r="G14" s="6"/>
      <c r="H14" s="35"/>
      <c r="J14" s="120" t="s">
        <v>582</v>
      </c>
    </row>
    <row r="15" spans="1:10" ht="14.1" customHeight="1" x14ac:dyDescent="0.2">
      <c r="A15" s="1"/>
      <c r="B15" s="1"/>
      <c r="C15" s="2" t="s">
        <v>16</v>
      </c>
      <c r="D15" s="1"/>
      <c r="E15" s="1"/>
      <c r="F15" s="1"/>
      <c r="G15" s="1"/>
      <c r="H15" s="35"/>
    </row>
    <row r="16" spans="1:10" ht="14.1" customHeight="1" x14ac:dyDescent="0.2">
      <c r="A16" s="1"/>
      <c r="B16" s="1"/>
      <c r="C16" s="2" t="s">
        <v>11</v>
      </c>
      <c r="D16" s="1"/>
      <c r="E16" s="1" t="s">
        <v>12</v>
      </c>
      <c r="F16" s="3" t="s">
        <v>13</v>
      </c>
      <c r="G16" s="4">
        <v>0</v>
      </c>
      <c r="H16" s="35"/>
    </row>
    <row r="17" spans="1:10" ht="14.1" customHeight="1" x14ac:dyDescent="0.2">
      <c r="A17" s="1"/>
      <c r="B17" s="1"/>
      <c r="C17" s="5"/>
      <c r="D17" s="1"/>
      <c r="E17" s="1"/>
      <c r="F17" s="6"/>
      <c r="G17" s="6"/>
      <c r="H17" s="35"/>
    </row>
    <row r="18" spans="1:10" ht="14.1" customHeight="1" x14ac:dyDescent="0.2">
      <c r="A18" s="1"/>
      <c r="B18" s="1"/>
      <c r="C18" s="2" t="s">
        <v>17</v>
      </c>
      <c r="D18" s="1"/>
      <c r="E18" s="1"/>
      <c r="F18" s="6"/>
      <c r="G18" s="6"/>
      <c r="H18" s="35"/>
    </row>
    <row r="19" spans="1:10" ht="14.1" customHeight="1" x14ac:dyDescent="0.2">
      <c r="A19" s="1"/>
      <c r="B19" s="1"/>
      <c r="C19" s="2" t="s">
        <v>11</v>
      </c>
      <c r="D19" s="1"/>
      <c r="E19" s="1" t="s">
        <v>12</v>
      </c>
      <c r="F19" s="3" t="s">
        <v>13</v>
      </c>
      <c r="G19" s="4">
        <v>0</v>
      </c>
      <c r="H19" s="35"/>
    </row>
    <row r="20" spans="1:10" ht="14.1" customHeight="1" x14ac:dyDescent="0.2">
      <c r="A20" s="1"/>
      <c r="B20" s="1"/>
      <c r="C20" s="5"/>
      <c r="D20" s="1"/>
      <c r="E20" s="1"/>
      <c r="F20" s="6"/>
      <c r="G20" s="6"/>
      <c r="H20" s="35"/>
    </row>
    <row r="21" spans="1:10" ht="14.1" customHeight="1" x14ac:dyDescent="0.2">
      <c r="A21" s="1"/>
      <c r="B21" s="1"/>
      <c r="C21" s="2" t="s">
        <v>18</v>
      </c>
      <c r="D21" s="1"/>
      <c r="E21" s="1"/>
      <c r="F21" s="6"/>
      <c r="G21" s="6"/>
      <c r="H21" s="35"/>
    </row>
    <row r="22" spans="1:10" ht="14.1" customHeight="1" x14ac:dyDescent="0.2">
      <c r="A22" s="1"/>
      <c r="B22" s="1"/>
      <c r="C22" s="2" t="s">
        <v>11</v>
      </c>
      <c r="D22" s="1"/>
      <c r="E22" s="1" t="s">
        <v>12</v>
      </c>
      <c r="F22" s="3" t="s">
        <v>13</v>
      </c>
      <c r="G22" s="4">
        <v>0</v>
      </c>
      <c r="H22" s="35"/>
      <c r="J22" s="119"/>
    </row>
    <row r="23" spans="1:10" ht="14.1" customHeight="1" x14ac:dyDescent="0.2">
      <c r="A23" s="1"/>
      <c r="B23" s="1"/>
      <c r="C23" s="5"/>
      <c r="D23" s="1"/>
      <c r="E23" s="1"/>
      <c r="F23" s="6"/>
      <c r="G23" s="6"/>
      <c r="H23" s="35"/>
      <c r="J23" s="120"/>
    </row>
    <row r="24" spans="1:10" ht="18" customHeight="1" x14ac:dyDescent="0.2">
      <c r="A24" s="1"/>
      <c r="B24" s="1"/>
      <c r="C24" s="2" t="s">
        <v>19</v>
      </c>
      <c r="D24" s="1"/>
      <c r="E24" s="1"/>
      <c r="F24" s="7">
        <v>0</v>
      </c>
      <c r="G24" s="4">
        <v>0</v>
      </c>
      <c r="H24" s="35"/>
    </row>
    <row r="25" spans="1:10" ht="14.1" customHeight="1" x14ac:dyDescent="0.2">
      <c r="A25" s="1"/>
      <c r="B25" s="1"/>
      <c r="C25" s="5"/>
      <c r="D25" s="1"/>
      <c r="E25" s="1"/>
      <c r="F25" s="6"/>
      <c r="G25" s="6"/>
      <c r="H25" s="35"/>
    </row>
    <row r="26" spans="1:10" ht="14.1" customHeight="1" x14ac:dyDescent="0.2">
      <c r="A26" s="1"/>
      <c r="B26" s="1"/>
      <c r="C26" s="2" t="s">
        <v>20</v>
      </c>
      <c r="D26" s="1"/>
      <c r="E26" s="1"/>
      <c r="F26" s="6"/>
      <c r="G26" s="6"/>
      <c r="H26" s="35"/>
    </row>
    <row r="27" spans="1:10" ht="24" customHeight="1" x14ac:dyDescent="0.2">
      <c r="A27" s="1"/>
      <c r="B27" s="1"/>
      <c r="C27" s="2" t="s">
        <v>10</v>
      </c>
      <c r="D27" s="1"/>
      <c r="E27" s="1"/>
      <c r="F27" s="6"/>
      <c r="G27" s="6"/>
      <c r="H27" s="35"/>
      <c r="J27" s="120" t="s">
        <v>583</v>
      </c>
    </row>
    <row r="28" spans="1:10" ht="14.1" customHeight="1" x14ac:dyDescent="0.2">
      <c r="A28" s="1"/>
      <c r="B28" s="1"/>
      <c r="C28" s="2" t="s">
        <v>11</v>
      </c>
      <c r="D28" s="1"/>
      <c r="E28" s="1" t="s">
        <v>12</v>
      </c>
      <c r="F28" s="3" t="s">
        <v>13</v>
      </c>
      <c r="G28" s="4">
        <v>0</v>
      </c>
      <c r="H28" s="35"/>
    </row>
    <row r="29" spans="1:10" ht="14.1" customHeight="1" x14ac:dyDescent="0.2">
      <c r="A29" s="1"/>
      <c r="B29" s="1"/>
      <c r="C29" s="5"/>
      <c r="D29" s="1"/>
      <c r="E29" s="1"/>
      <c r="F29" s="6"/>
      <c r="G29" s="6"/>
      <c r="H29" s="35"/>
    </row>
    <row r="30" spans="1:10" ht="14.1" customHeight="1" x14ac:dyDescent="0.2">
      <c r="A30" s="1"/>
      <c r="B30" s="1"/>
      <c r="C30" s="2" t="s">
        <v>61</v>
      </c>
      <c r="D30" s="1"/>
      <c r="E30" s="1"/>
      <c r="F30" s="1"/>
      <c r="G30" s="1"/>
      <c r="H30" s="35"/>
    </row>
    <row r="31" spans="1:10" ht="14.1" customHeight="1" x14ac:dyDescent="0.2">
      <c r="A31" s="1"/>
      <c r="B31" s="1"/>
      <c r="C31" s="2" t="s">
        <v>11</v>
      </c>
      <c r="D31" s="1"/>
      <c r="E31" s="1" t="s">
        <v>12</v>
      </c>
      <c r="F31" s="3" t="s">
        <v>13</v>
      </c>
      <c r="G31" s="4">
        <v>0</v>
      </c>
      <c r="H31" s="35"/>
    </row>
    <row r="32" spans="1:10" ht="14.1" customHeight="1" x14ac:dyDescent="0.2">
      <c r="A32" s="1"/>
      <c r="B32" s="1"/>
      <c r="C32" s="5"/>
      <c r="D32" s="1"/>
      <c r="E32" s="1"/>
      <c r="F32" s="6"/>
      <c r="G32" s="6"/>
      <c r="H32" s="35"/>
    </row>
    <row r="33" spans="1:8" ht="14.1" customHeight="1" x14ac:dyDescent="0.2">
      <c r="A33" s="1"/>
      <c r="B33" s="1"/>
      <c r="C33" s="2" t="s">
        <v>62</v>
      </c>
      <c r="D33" s="1"/>
      <c r="E33" s="1"/>
      <c r="F33" s="1"/>
      <c r="G33" s="1"/>
      <c r="H33" s="35"/>
    </row>
    <row r="34" spans="1:8" ht="14.1" customHeight="1" x14ac:dyDescent="0.2">
      <c r="A34" s="1"/>
      <c r="B34" s="1"/>
      <c r="C34" s="2" t="s">
        <v>11</v>
      </c>
      <c r="D34" s="1"/>
      <c r="E34" s="1" t="s">
        <v>12</v>
      </c>
      <c r="F34" s="3" t="s">
        <v>13</v>
      </c>
      <c r="G34" s="4">
        <v>0</v>
      </c>
      <c r="H34" s="35"/>
    </row>
    <row r="35" spans="1:8" ht="14.1" customHeight="1" x14ac:dyDescent="0.2">
      <c r="A35" s="1"/>
      <c r="B35" s="1"/>
      <c r="C35" s="5"/>
      <c r="D35" s="1"/>
      <c r="E35" s="1"/>
      <c r="F35" s="6"/>
      <c r="G35" s="6"/>
      <c r="H35" s="35"/>
    </row>
    <row r="36" spans="1:8" ht="14.1" customHeight="1" x14ac:dyDescent="0.2">
      <c r="A36" s="1"/>
      <c r="B36" s="1"/>
      <c r="C36" s="2" t="s">
        <v>70</v>
      </c>
      <c r="D36" s="1"/>
      <c r="E36" s="1"/>
      <c r="F36" s="6"/>
      <c r="G36" s="6"/>
      <c r="H36" s="35"/>
    </row>
    <row r="37" spans="1:8" ht="14.1" customHeight="1" x14ac:dyDescent="0.2">
      <c r="A37" s="1"/>
      <c r="B37" s="1"/>
      <c r="C37" s="2" t="s">
        <v>11</v>
      </c>
      <c r="D37" s="1"/>
      <c r="E37" s="1" t="s">
        <v>12</v>
      </c>
      <c r="F37" s="3" t="s">
        <v>13</v>
      </c>
      <c r="G37" s="4">
        <v>0</v>
      </c>
      <c r="H37" s="35"/>
    </row>
    <row r="38" spans="1:8" ht="14.1" customHeight="1" x14ac:dyDescent="0.2">
      <c r="A38" s="1"/>
      <c r="B38" s="1"/>
      <c r="C38" s="5"/>
      <c r="D38" s="1"/>
      <c r="E38" s="1"/>
      <c r="F38" s="6"/>
      <c r="G38" s="6"/>
      <c r="H38" s="35"/>
    </row>
    <row r="39" spans="1:8" ht="14.1" customHeight="1" x14ac:dyDescent="0.2">
      <c r="A39" s="1"/>
      <c r="B39" s="1"/>
      <c r="C39" s="2" t="s">
        <v>71</v>
      </c>
      <c r="D39" s="1"/>
      <c r="E39" s="1"/>
      <c r="F39" s="7">
        <v>0</v>
      </c>
      <c r="G39" s="4">
        <v>0</v>
      </c>
      <c r="H39" s="35"/>
    </row>
    <row r="40" spans="1:8" ht="14.1" customHeight="1" x14ac:dyDescent="0.2">
      <c r="A40" s="1"/>
      <c r="B40" s="1"/>
      <c r="C40" s="5"/>
      <c r="D40" s="1"/>
      <c r="E40" s="1"/>
      <c r="F40" s="6"/>
      <c r="G40" s="6"/>
      <c r="H40" s="35"/>
    </row>
    <row r="41" spans="1:8" ht="14.1" customHeight="1" x14ac:dyDescent="0.2">
      <c r="A41" s="1"/>
      <c r="B41" s="1"/>
      <c r="C41" s="2" t="s">
        <v>72</v>
      </c>
      <c r="D41" s="1"/>
      <c r="E41" s="1"/>
      <c r="F41" s="6"/>
      <c r="G41" s="6"/>
      <c r="H41" s="35"/>
    </row>
    <row r="42" spans="1:8" ht="14.1" customHeight="1" x14ac:dyDescent="0.2">
      <c r="A42" s="1"/>
      <c r="B42" s="1"/>
      <c r="C42" s="2" t="s">
        <v>73</v>
      </c>
      <c r="D42" s="1"/>
      <c r="E42" s="1"/>
      <c r="F42" s="6"/>
      <c r="G42" s="6"/>
      <c r="H42" s="35"/>
    </row>
    <row r="43" spans="1:8" ht="14.1" customHeight="1" x14ac:dyDescent="0.2">
      <c r="A43" s="1"/>
      <c r="B43" s="1"/>
      <c r="C43" s="2" t="s">
        <v>11</v>
      </c>
      <c r="D43" s="1"/>
      <c r="E43" s="1" t="s">
        <v>12</v>
      </c>
      <c r="F43" s="3" t="s">
        <v>13</v>
      </c>
      <c r="G43" s="4">
        <v>0</v>
      </c>
      <c r="H43" s="35"/>
    </row>
    <row r="44" spans="1:8" ht="14.1" customHeight="1" x14ac:dyDescent="0.2">
      <c r="A44" s="1"/>
      <c r="B44" s="1"/>
      <c r="C44" s="5"/>
      <c r="D44" s="1"/>
      <c r="E44" s="1"/>
      <c r="F44" s="6"/>
      <c r="G44" s="6"/>
      <c r="H44" s="35"/>
    </row>
    <row r="45" spans="1:8" ht="14.1" customHeight="1" x14ac:dyDescent="0.2">
      <c r="A45" s="1"/>
      <c r="B45" s="1"/>
      <c r="C45" s="2" t="s">
        <v>74</v>
      </c>
      <c r="D45" s="1"/>
      <c r="E45" s="1"/>
      <c r="F45" s="6"/>
      <c r="G45" s="6"/>
      <c r="H45" s="35"/>
    </row>
    <row r="46" spans="1:8" ht="14.1" customHeight="1" x14ac:dyDescent="0.2">
      <c r="A46" s="1"/>
      <c r="B46" s="1"/>
      <c r="C46" s="2" t="s">
        <v>11</v>
      </c>
      <c r="D46" s="1"/>
      <c r="E46" s="1" t="s">
        <v>12</v>
      </c>
      <c r="F46" s="3" t="s">
        <v>13</v>
      </c>
      <c r="G46" s="4">
        <v>0</v>
      </c>
      <c r="H46" s="35"/>
    </row>
    <row r="47" spans="1:8" ht="14.1" customHeight="1" x14ac:dyDescent="0.2">
      <c r="A47" s="1"/>
      <c r="B47" s="1"/>
      <c r="C47" s="5"/>
      <c r="D47" s="1"/>
      <c r="E47" s="1"/>
      <c r="F47" s="6"/>
      <c r="G47" s="6"/>
      <c r="H47" s="35"/>
    </row>
    <row r="48" spans="1:8" ht="14.1" customHeight="1" x14ac:dyDescent="0.2">
      <c r="A48" s="1"/>
      <c r="B48" s="1"/>
      <c r="C48" s="2" t="s">
        <v>75</v>
      </c>
      <c r="D48" s="1"/>
      <c r="E48" s="1"/>
      <c r="F48" s="6"/>
      <c r="G48" s="6"/>
      <c r="H48" s="35"/>
    </row>
    <row r="49" spans="1:8" ht="17.100000000000001" customHeight="1" x14ac:dyDescent="0.2">
      <c r="A49" s="8">
        <v>1</v>
      </c>
      <c r="B49" s="9" t="s">
        <v>466</v>
      </c>
      <c r="C49" s="9" t="s">
        <v>467</v>
      </c>
      <c r="D49" s="9" t="s">
        <v>65</v>
      </c>
      <c r="E49" s="10">
        <v>2000000</v>
      </c>
      <c r="F49" s="11">
        <v>1992.172</v>
      </c>
      <c r="G49" s="12">
        <v>2.345185E-2</v>
      </c>
      <c r="H49" s="35">
        <v>6.83</v>
      </c>
    </row>
    <row r="50" spans="1:8" ht="17.100000000000001" customHeight="1" x14ac:dyDescent="0.2">
      <c r="A50" s="8">
        <v>2</v>
      </c>
      <c r="B50" s="9" t="s">
        <v>332</v>
      </c>
      <c r="C50" s="9" t="s">
        <v>333</v>
      </c>
      <c r="D50" s="9" t="s">
        <v>65</v>
      </c>
      <c r="E50" s="10">
        <v>1000000</v>
      </c>
      <c r="F50" s="11">
        <v>998.76199999999994</v>
      </c>
      <c r="G50" s="12">
        <v>1.1757429999999999E-2</v>
      </c>
      <c r="H50" s="35">
        <v>6.4649999999999999</v>
      </c>
    </row>
    <row r="51" spans="1:8" ht="17.100000000000001" customHeight="1" x14ac:dyDescent="0.2">
      <c r="A51" s="8">
        <v>3</v>
      </c>
      <c r="B51" s="9" t="s">
        <v>468</v>
      </c>
      <c r="C51" s="9" t="s">
        <v>469</v>
      </c>
      <c r="D51" s="9" t="s">
        <v>65</v>
      </c>
      <c r="E51" s="10">
        <v>500000</v>
      </c>
      <c r="F51" s="11">
        <v>500</v>
      </c>
      <c r="G51" s="12">
        <v>5.8859999999999997E-3</v>
      </c>
      <c r="H51" s="35">
        <v>6.7607999999999997</v>
      </c>
    </row>
    <row r="52" spans="1:8" ht="17.100000000000001" customHeight="1" x14ac:dyDescent="0.2">
      <c r="A52" s="8">
        <v>4</v>
      </c>
      <c r="B52" s="9" t="s">
        <v>470</v>
      </c>
      <c r="C52" s="9" t="s">
        <v>471</v>
      </c>
      <c r="D52" s="9" t="s">
        <v>65</v>
      </c>
      <c r="E52" s="10">
        <v>500000</v>
      </c>
      <c r="F52" s="11">
        <v>498.69749999999999</v>
      </c>
      <c r="G52" s="12">
        <v>5.8706699999999997E-3</v>
      </c>
      <c r="H52" s="35">
        <v>6.81</v>
      </c>
    </row>
    <row r="53" spans="1:8" ht="14.1" customHeight="1" x14ac:dyDescent="0.2">
      <c r="A53" s="1"/>
      <c r="B53" s="1"/>
      <c r="C53" s="2" t="s">
        <v>11</v>
      </c>
      <c r="D53" s="1"/>
      <c r="E53" s="1" t="s">
        <v>12</v>
      </c>
      <c r="F53" s="7">
        <v>3989.6315</v>
      </c>
      <c r="G53" s="4">
        <v>4.6965949999999999E-2</v>
      </c>
      <c r="H53" s="35"/>
    </row>
    <row r="54" spans="1:8" ht="14.1" customHeight="1" x14ac:dyDescent="0.2">
      <c r="A54" s="1"/>
      <c r="B54" s="1"/>
      <c r="C54" s="5"/>
      <c r="D54" s="1"/>
      <c r="E54" s="1"/>
      <c r="F54" s="6"/>
      <c r="G54" s="6"/>
      <c r="H54" s="35"/>
    </row>
    <row r="55" spans="1:8" ht="14.1" customHeight="1" x14ac:dyDescent="0.2">
      <c r="A55" s="1"/>
      <c r="B55" s="1"/>
      <c r="C55" s="2" t="s">
        <v>76</v>
      </c>
      <c r="D55" s="1"/>
      <c r="E55" s="1"/>
      <c r="F55" s="6"/>
      <c r="G55" s="6"/>
      <c r="H55" s="35"/>
    </row>
    <row r="56" spans="1:8" ht="17.100000000000001" customHeight="1" x14ac:dyDescent="0.2">
      <c r="A56" s="8">
        <v>1</v>
      </c>
      <c r="B56" s="9"/>
      <c r="C56" s="9" t="s">
        <v>472</v>
      </c>
      <c r="D56" s="9"/>
      <c r="E56" s="13"/>
      <c r="F56" s="11">
        <v>50962.361111099999</v>
      </c>
      <c r="G56" s="12">
        <v>0.59992893999999997</v>
      </c>
      <c r="H56" s="35">
        <v>6.41</v>
      </c>
    </row>
    <row r="57" spans="1:8" ht="17.100000000000001" customHeight="1" x14ac:dyDescent="0.2">
      <c r="A57" s="8">
        <v>2</v>
      </c>
      <c r="B57" s="9"/>
      <c r="C57" s="9" t="s">
        <v>77</v>
      </c>
      <c r="D57" s="9"/>
      <c r="E57" s="13"/>
      <c r="F57" s="11">
        <v>29408.796015880998</v>
      </c>
      <c r="G57" s="12">
        <v>0.34620035999999998</v>
      </c>
      <c r="H57" s="63" t="s">
        <v>482</v>
      </c>
    </row>
    <row r="58" spans="1:8" ht="14.1" customHeight="1" x14ac:dyDescent="0.2">
      <c r="A58" s="1"/>
      <c r="B58" s="1"/>
      <c r="C58" s="2" t="s">
        <v>11</v>
      </c>
      <c r="D58" s="1"/>
      <c r="E58" s="1" t="s">
        <v>12</v>
      </c>
      <c r="F58" s="7">
        <v>80371.157126980994</v>
      </c>
      <c r="G58" s="4">
        <v>0.94612929999999995</v>
      </c>
      <c r="H58" s="35"/>
    </row>
    <row r="59" spans="1:8" ht="14.1" customHeight="1" x14ac:dyDescent="0.2">
      <c r="A59" s="1"/>
      <c r="B59" s="1"/>
      <c r="C59" s="5"/>
      <c r="D59" s="1"/>
      <c r="E59" s="1"/>
      <c r="F59" s="6"/>
      <c r="G59" s="6"/>
      <c r="H59" s="35"/>
    </row>
    <row r="60" spans="1:8" ht="14.1" customHeight="1" x14ac:dyDescent="0.2">
      <c r="A60" s="1"/>
      <c r="B60" s="1"/>
      <c r="C60" s="2" t="s">
        <v>78</v>
      </c>
      <c r="D60" s="1"/>
      <c r="E60" s="1"/>
      <c r="F60" s="7">
        <v>84360.788626980997</v>
      </c>
      <c r="G60" s="4">
        <v>0.99309524999999998</v>
      </c>
      <c r="H60" s="35"/>
    </row>
    <row r="61" spans="1:8" ht="14.1" customHeight="1" x14ac:dyDescent="0.2">
      <c r="A61" s="1"/>
      <c r="B61" s="1"/>
      <c r="C61" s="6"/>
      <c r="D61" s="1"/>
      <c r="E61" s="1"/>
      <c r="F61" s="1"/>
      <c r="G61" s="1"/>
      <c r="H61" s="35"/>
    </row>
    <row r="62" spans="1:8" ht="14.1" customHeight="1" x14ac:dyDescent="0.2">
      <c r="A62" s="1"/>
      <c r="B62" s="1"/>
      <c r="C62" s="2" t="s">
        <v>79</v>
      </c>
      <c r="D62" s="1"/>
      <c r="E62" s="1"/>
      <c r="F62" s="1"/>
      <c r="G62" s="1"/>
      <c r="H62" s="35"/>
    </row>
    <row r="63" spans="1:8" ht="14.1" customHeight="1" x14ac:dyDescent="0.2">
      <c r="A63" s="1"/>
      <c r="B63" s="1"/>
      <c r="C63" s="2" t="s">
        <v>80</v>
      </c>
      <c r="D63" s="1"/>
      <c r="E63" s="1"/>
      <c r="F63" s="1"/>
      <c r="G63" s="1"/>
      <c r="H63" s="35"/>
    </row>
    <row r="64" spans="1:8" ht="14.1" customHeight="1" x14ac:dyDescent="0.2">
      <c r="A64" s="1"/>
      <c r="B64" s="1"/>
      <c r="C64" s="2" t="s">
        <v>11</v>
      </c>
      <c r="D64" s="1"/>
      <c r="E64" s="1" t="s">
        <v>12</v>
      </c>
      <c r="F64" s="3" t="s">
        <v>13</v>
      </c>
      <c r="G64" s="4">
        <v>0</v>
      </c>
      <c r="H64" s="35"/>
    </row>
    <row r="65" spans="1:8" ht="14.1" customHeight="1" x14ac:dyDescent="0.2">
      <c r="A65" s="1"/>
      <c r="B65" s="1"/>
      <c r="C65" s="5"/>
      <c r="D65" s="1"/>
      <c r="E65" s="1"/>
      <c r="F65" s="6"/>
      <c r="G65" s="6"/>
      <c r="H65" s="35"/>
    </row>
    <row r="66" spans="1:8" ht="14.1" customHeight="1" x14ac:dyDescent="0.2">
      <c r="A66" s="1"/>
      <c r="B66" s="1"/>
      <c r="C66" s="2" t="s">
        <v>83</v>
      </c>
      <c r="D66" s="1"/>
      <c r="E66" s="1"/>
      <c r="F66" s="1"/>
      <c r="G66" s="1"/>
      <c r="H66" s="35"/>
    </row>
    <row r="67" spans="1:8" ht="14.1" customHeight="1" x14ac:dyDescent="0.2">
      <c r="A67" s="1"/>
      <c r="B67" s="1"/>
      <c r="C67" s="2" t="s">
        <v>84</v>
      </c>
      <c r="D67" s="1"/>
      <c r="E67" s="1"/>
      <c r="F67" s="1"/>
      <c r="G67" s="1"/>
      <c r="H67" s="35"/>
    </row>
    <row r="68" spans="1:8" ht="14.1" customHeight="1" x14ac:dyDescent="0.2">
      <c r="A68" s="1"/>
      <c r="B68" s="1"/>
      <c r="C68" s="2" t="s">
        <v>11</v>
      </c>
      <c r="D68" s="1"/>
      <c r="E68" s="1" t="s">
        <v>12</v>
      </c>
      <c r="F68" s="3" t="s">
        <v>13</v>
      </c>
      <c r="G68" s="4">
        <v>0</v>
      </c>
      <c r="H68" s="35"/>
    </row>
    <row r="69" spans="1:8" ht="14.1" customHeight="1" x14ac:dyDescent="0.2">
      <c r="A69" s="1"/>
      <c r="B69" s="1"/>
      <c r="C69" s="5"/>
      <c r="D69" s="1"/>
      <c r="E69" s="1"/>
      <c r="F69" s="6"/>
      <c r="G69" s="6"/>
      <c r="H69" s="35"/>
    </row>
    <row r="70" spans="1:8" ht="24" customHeight="1" x14ac:dyDescent="0.2">
      <c r="A70" s="1"/>
      <c r="B70" s="1"/>
      <c r="C70" s="2" t="s">
        <v>85</v>
      </c>
      <c r="D70" s="1"/>
      <c r="E70" s="1"/>
      <c r="F70" s="6"/>
      <c r="G70" s="6"/>
      <c r="H70" s="35"/>
    </row>
    <row r="71" spans="1:8" ht="14.1" customHeight="1" x14ac:dyDescent="0.2">
      <c r="A71" s="1"/>
      <c r="B71" s="1"/>
      <c r="C71" s="2" t="s">
        <v>11</v>
      </c>
      <c r="D71" s="1"/>
      <c r="E71" s="1" t="s">
        <v>12</v>
      </c>
      <c r="F71" s="3" t="s">
        <v>13</v>
      </c>
      <c r="G71" s="4">
        <v>0</v>
      </c>
      <c r="H71" s="35"/>
    </row>
    <row r="72" spans="1:8" ht="14.1" customHeight="1" x14ac:dyDescent="0.2">
      <c r="A72" s="1"/>
      <c r="B72" s="9"/>
      <c r="C72" s="9"/>
      <c r="D72" s="2"/>
      <c r="E72" s="1"/>
      <c r="F72" s="9"/>
      <c r="G72" s="13"/>
      <c r="H72" s="35"/>
    </row>
    <row r="73" spans="1:8" ht="18" customHeight="1" x14ac:dyDescent="0.2">
      <c r="A73" s="13"/>
      <c r="B73" s="9"/>
      <c r="C73" s="9" t="s">
        <v>86</v>
      </c>
      <c r="D73" s="9"/>
      <c r="E73" s="13"/>
      <c r="F73" s="11">
        <v>586.54005676999998</v>
      </c>
      <c r="G73" s="12">
        <v>6.9047500000000003E-3</v>
      </c>
      <c r="H73" s="35"/>
    </row>
    <row r="74" spans="1:8" ht="14.1" customHeight="1" x14ac:dyDescent="0.2">
      <c r="A74" s="5"/>
      <c r="B74" s="5"/>
      <c r="C74" s="2" t="s">
        <v>87</v>
      </c>
      <c r="D74" s="6"/>
      <c r="E74" s="6"/>
      <c r="F74" s="7">
        <v>84947.328683750995</v>
      </c>
      <c r="G74" s="15">
        <v>1</v>
      </c>
      <c r="H74" s="37"/>
    </row>
    <row r="75" spans="1:8" ht="14.1" customHeight="1" x14ac:dyDescent="0.2">
      <c r="A75" s="16"/>
      <c r="B75" s="16"/>
      <c r="C75" s="16"/>
      <c r="D75" s="17"/>
      <c r="E75" s="17"/>
      <c r="F75" s="17"/>
      <c r="G75" s="17"/>
      <c r="H75" s="38"/>
    </row>
    <row r="76" spans="1:8" ht="12.75" customHeight="1" x14ac:dyDescent="0.2">
      <c r="A76" s="44"/>
      <c r="B76" s="131" t="s">
        <v>477</v>
      </c>
      <c r="C76" s="131"/>
      <c r="D76" s="131"/>
      <c r="E76" s="131"/>
      <c r="F76" s="131"/>
      <c r="G76" s="131"/>
      <c r="H76" s="131"/>
    </row>
    <row r="77" spans="1:8" ht="12.75" customHeight="1" x14ac:dyDescent="0.2">
      <c r="A77" s="44"/>
      <c r="B77" s="131" t="s">
        <v>478</v>
      </c>
      <c r="C77" s="131"/>
      <c r="D77" s="131"/>
      <c r="E77" s="131"/>
      <c r="F77" s="131"/>
      <c r="G77" s="131"/>
      <c r="H77" s="131"/>
    </row>
    <row r="78" spans="1:8" ht="12.75" customHeight="1" x14ac:dyDescent="0.2">
      <c r="A78" s="44"/>
      <c r="B78" s="131" t="s">
        <v>479</v>
      </c>
      <c r="C78" s="131"/>
      <c r="D78" s="131"/>
      <c r="E78" s="131"/>
      <c r="F78" s="131"/>
      <c r="G78" s="131"/>
      <c r="H78" s="131"/>
    </row>
    <row r="79" spans="1:8" ht="14.1" customHeight="1" x14ac:dyDescent="0.2">
      <c r="A79" s="18"/>
      <c r="B79" s="18"/>
      <c r="C79" s="18"/>
      <c r="D79" s="20"/>
      <c r="E79" s="20"/>
      <c r="F79" s="20"/>
      <c r="G79" s="20"/>
      <c r="H79" s="39"/>
    </row>
    <row r="80" spans="1:8" ht="14.1" customHeight="1" x14ac:dyDescent="0.2">
      <c r="A80" s="18"/>
      <c r="B80" s="126" t="s">
        <v>88</v>
      </c>
      <c r="C80" s="127"/>
      <c r="D80" s="128"/>
      <c r="E80" s="21"/>
      <c r="F80" s="20"/>
      <c r="G80" s="20"/>
      <c r="H80" s="39"/>
    </row>
    <row r="81" spans="1:8" ht="29.1" customHeight="1" x14ac:dyDescent="0.2">
      <c r="A81" s="18"/>
      <c r="B81" s="129" t="s">
        <v>89</v>
      </c>
      <c r="C81" s="130"/>
      <c r="D81" s="2" t="s">
        <v>90</v>
      </c>
      <c r="E81" s="21"/>
      <c r="F81" s="20"/>
      <c r="G81" s="20"/>
      <c r="H81" s="39"/>
    </row>
    <row r="82" spans="1:8" ht="17.100000000000001" customHeight="1" x14ac:dyDescent="0.2">
      <c r="A82" s="18"/>
      <c r="B82" s="129" t="s">
        <v>91</v>
      </c>
      <c r="C82" s="130"/>
      <c r="D82" s="2" t="s">
        <v>90</v>
      </c>
      <c r="E82" s="21"/>
      <c r="F82" s="20"/>
      <c r="G82" s="20"/>
      <c r="H82" s="39"/>
    </row>
    <row r="83" spans="1:8" ht="17.100000000000001" customHeight="1" x14ac:dyDescent="0.2">
      <c r="A83" s="18"/>
      <c r="B83" s="129" t="s">
        <v>92</v>
      </c>
      <c r="C83" s="130"/>
      <c r="D83" s="6" t="s">
        <v>12</v>
      </c>
      <c r="E83" s="21"/>
      <c r="F83" s="20"/>
      <c r="G83" s="20"/>
      <c r="H83" s="39"/>
    </row>
    <row r="84" spans="1:8" x14ac:dyDescent="0.2">
      <c r="A84" s="22"/>
      <c r="B84" s="23" t="s">
        <v>12</v>
      </c>
      <c r="C84" s="23" t="s">
        <v>527</v>
      </c>
      <c r="D84" s="23" t="s">
        <v>93</v>
      </c>
      <c r="E84" s="22"/>
      <c r="F84" s="22"/>
      <c r="G84" s="22"/>
      <c r="H84" s="40"/>
    </row>
    <row r="85" spans="1:8" ht="18" customHeight="1" x14ac:dyDescent="0.2">
      <c r="A85" s="22"/>
      <c r="B85" s="24" t="s">
        <v>94</v>
      </c>
      <c r="C85" s="23" t="s">
        <v>95</v>
      </c>
      <c r="D85" s="23" t="s">
        <v>96</v>
      </c>
      <c r="E85" s="22"/>
      <c r="F85" s="22"/>
      <c r="G85" s="22"/>
      <c r="H85" s="40"/>
    </row>
    <row r="86" spans="1:8" ht="17.100000000000001" customHeight="1" x14ac:dyDescent="0.2">
      <c r="A86" s="22"/>
      <c r="B86" s="9" t="s">
        <v>97</v>
      </c>
      <c r="C86" s="25">
        <v>1279.0635</v>
      </c>
      <c r="D86" s="25">
        <v>1282.4763</v>
      </c>
      <c r="E86" s="22"/>
      <c r="F86" s="19"/>
      <c r="G86" s="26"/>
      <c r="H86" s="41"/>
    </row>
    <row r="87" spans="1:8" ht="29.1" customHeight="1" x14ac:dyDescent="0.2">
      <c r="A87" s="22"/>
      <c r="B87" s="9" t="s">
        <v>540</v>
      </c>
      <c r="C87" s="25">
        <v>1000.03</v>
      </c>
      <c r="D87" s="25">
        <v>1000.03</v>
      </c>
      <c r="E87" s="22"/>
      <c r="F87" s="19"/>
      <c r="G87" s="26"/>
      <c r="H87" s="41"/>
    </row>
    <row r="88" spans="1:8" ht="29.1" customHeight="1" x14ac:dyDescent="0.2">
      <c r="A88" s="22"/>
      <c r="B88" s="9" t="s">
        <v>541</v>
      </c>
      <c r="C88" s="25">
        <v>1049.0592999999999</v>
      </c>
      <c r="D88" s="25">
        <v>1049.251</v>
      </c>
      <c r="E88" s="22"/>
      <c r="F88" s="19"/>
      <c r="G88" s="26"/>
      <c r="H88" s="41"/>
    </row>
    <row r="89" spans="1:8" ht="29.1" customHeight="1" x14ac:dyDescent="0.2">
      <c r="A89" s="22"/>
      <c r="B89" s="9" t="s">
        <v>546</v>
      </c>
      <c r="C89" s="25">
        <v>1064.3212000000001</v>
      </c>
      <c r="D89" s="25">
        <v>1064.54</v>
      </c>
      <c r="E89" s="22"/>
      <c r="F89" s="19"/>
      <c r="G89" s="26"/>
      <c r="H89" s="41"/>
    </row>
    <row r="90" spans="1:8" ht="29.1" customHeight="1" x14ac:dyDescent="0.2">
      <c r="A90" s="22"/>
      <c r="B90" s="9" t="s">
        <v>532</v>
      </c>
      <c r="C90" s="25">
        <v>1044.9223</v>
      </c>
      <c r="D90" s="25">
        <v>1047.7106000000001</v>
      </c>
      <c r="E90" s="22"/>
      <c r="F90" s="19"/>
      <c r="G90" s="26"/>
      <c r="H90" s="41"/>
    </row>
    <row r="91" spans="1:8" ht="17.100000000000001" customHeight="1" x14ac:dyDescent="0.2">
      <c r="A91" s="22"/>
      <c r="B91" s="9" t="s">
        <v>98</v>
      </c>
      <c r="C91" s="25">
        <v>1272.6174000000001</v>
      </c>
      <c r="D91" s="25">
        <v>1275.9554000000001</v>
      </c>
      <c r="E91" s="22"/>
      <c r="F91" s="19"/>
      <c r="G91" s="26"/>
      <c r="H91" s="41"/>
    </row>
    <row r="92" spans="1:8" ht="29.1" customHeight="1" x14ac:dyDescent="0.2">
      <c r="A92" s="22"/>
      <c r="B92" s="9" t="s">
        <v>543</v>
      </c>
      <c r="C92" s="25">
        <v>1000.03</v>
      </c>
      <c r="D92" s="25">
        <v>1000.03</v>
      </c>
      <c r="E92" s="22"/>
      <c r="F92" s="19"/>
      <c r="G92" s="26"/>
      <c r="H92" s="41"/>
    </row>
    <row r="93" spans="1:8" ht="29.1" customHeight="1" x14ac:dyDescent="0.2">
      <c r="A93" s="22"/>
      <c r="B93" s="9" t="s">
        <v>544</v>
      </c>
      <c r="C93" s="25">
        <v>1047.9091000000001</v>
      </c>
      <c r="D93" s="25">
        <v>1048.0908999999999</v>
      </c>
      <c r="E93" s="22"/>
      <c r="F93" s="19"/>
      <c r="G93" s="26"/>
      <c r="H93" s="41"/>
    </row>
    <row r="94" spans="1:8" ht="29.1" customHeight="1" x14ac:dyDescent="0.2">
      <c r="A94" s="22"/>
      <c r="B94" s="9" t="s">
        <v>545</v>
      </c>
      <c r="C94" s="25">
        <v>1065.7624000000001</v>
      </c>
      <c r="D94" s="25">
        <v>1065.9456</v>
      </c>
      <c r="E94" s="22"/>
      <c r="F94" s="19"/>
      <c r="G94" s="26"/>
      <c r="H94" s="41"/>
    </row>
    <row r="95" spans="1:8" ht="29.1" customHeight="1" x14ac:dyDescent="0.2">
      <c r="A95" s="22"/>
      <c r="B95" s="9" t="s">
        <v>536</v>
      </c>
      <c r="C95" s="25">
        <v>1040.7583</v>
      </c>
      <c r="D95" s="25">
        <v>1043.4906000000001</v>
      </c>
      <c r="E95" s="22"/>
      <c r="F95" s="19"/>
      <c r="G95" s="26"/>
      <c r="H95" s="41"/>
    </row>
    <row r="96" spans="1:8" ht="41.1" customHeight="1" x14ac:dyDescent="0.2">
      <c r="A96" s="22"/>
      <c r="B96" s="9" t="s">
        <v>547</v>
      </c>
      <c r="C96" s="25">
        <v>1000</v>
      </c>
      <c r="D96" s="25">
        <v>1000</v>
      </c>
      <c r="E96" s="22"/>
      <c r="F96" s="19"/>
      <c r="G96" s="26"/>
      <c r="H96" s="41"/>
    </row>
    <row r="97" spans="1:22" ht="41.1" customHeight="1" x14ac:dyDescent="0.2">
      <c r="A97" s="22"/>
      <c r="B97" s="9" t="s">
        <v>548</v>
      </c>
      <c r="C97" s="25">
        <v>1139.2652</v>
      </c>
      <c r="D97" s="25">
        <v>1142.3050000000001</v>
      </c>
      <c r="E97" s="22"/>
      <c r="F97" s="19"/>
      <c r="G97" s="26"/>
      <c r="H97" s="41"/>
    </row>
    <row r="98" spans="1:22" ht="41.1" customHeight="1" x14ac:dyDescent="0.2">
      <c r="A98" s="22"/>
      <c r="B98" s="9" t="s">
        <v>473</v>
      </c>
      <c r="C98" s="25">
        <v>1139.2514000000001</v>
      </c>
      <c r="D98" s="25">
        <v>1142.2910999999999</v>
      </c>
      <c r="E98" s="22"/>
      <c r="F98" s="19"/>
      <c r="G98" s="26"/>
      <c r="H98" s="41"/>
    </row>
    <row r="99" spans="1:22" ht="41.1" customHeight="1" x14ac:dyDescent="0.2">
      <c r="A99" s="22"/>
      <c r="B99" s="9" t="s">
        <v>474</v>
      </c>
      <c r="C99" s="25">
        <v>1000</v>
      </c>
      <c r="D99" s="25">
        <v>1000</v>
      </c>
      <c r="E99" s="22"/>
      <c r="F99" s="19"/>
      <c r="G99" s="26"/>
      <c r="H99" s="41"/>
    </row>
    <row r="100" spans="1:22" ht="14.1" customHeight="1" x14ac:dyDescent="0.2">
      <c r="A100" s="22"/>
      <c r="B100" s="22"/>
      <c r="C100" s="22"/>
      <c r="D100" s="22"/>
      <c r="E100" s="22"/>
      <c r="F100" s="22"/>
      <c r="G100" s="22"/>
      <c r="H100" s="40"/>
    </row>
    <row r="101" spans="1:22" ht="17.100000000000001" customHeight="1" x14ac:dyDescent="0.2">
      <c r="A101" s="22"/>
      <c r="B101" s="129" t="s">
        <v>539</v>
      </c>
      <c r="C101" s="130"/>
      <c r="D101" s="2" t="s">
        <v>12</v>
      </c>
      <c r="E101" s="22"/>
      <c r="F101" s="22"/>
      <c r="G101" s="22"/>
      <c r="H101" s="40"/>
    </row>
    <row r="102" spans="1:22" ht="18" customHeight="1" x14ac:dyDescent="0.2">
      <c r="A102" s="22"/>
      <c r="B102" s="28" t="s">
        <v>94</v>
      </c>
      <c r="C102" s="29" t="s">
        <v>132</v>
      </c>
      <c r="D102" s="29" t="s">
        <v>133</v>
      </c>
      <c r="E102" s="22"/>
      <c r="F102" s="22"/>
      <c r="G102" s="22"/>
      <c r="H102" s="40"/>
    </row>
    <row r="103" spans="1:22" ht="29.1" customHeight="1" x14ac:dyDescent="0.2">
      <c r="A103" s="22"/>
      <c r="B103" s="9" t="s">
        <v>540</v>
      </c>
      <c r="C103" s="30">
        <v>2.664183</v>
      </c>
      <c r="D103" s="13" t="s">
        <v>134</v>
      </c>
      <c r="E103" s="22"/>
      <c r="F103" s="19"/>
      <c r="G103" s="26"/>
      <c r="H103" s="41"/>
    </row>
    <row r="104" spans="1:22" ht="29.1" customHeight="1" x14ac:dyDescent="0.2">
      <c r="A104" s="22"/>
      <c r="B104" s="9" t="s">
        <v>541</v>
      </c>
      <c r="C104" s="30">
        <v>2.6000999999999999</v>
      </c>
      <c r="D104" s="13" t="s">
        <v>134</v>
      </c>
      <c r="E104" s="22"/>
      <c r="F104" s="19"/>
      <c r="G104" s="26"/>
      <c r="H104" s="41"/>
    </row>
    <row r="105" spans="1:22" ht="29.1" customHeight="1" x14ac:dyDescent="0.2">
      <c r="A105" s="22"/>
      <c r="B105" s="9" t="s">
        <v>546</v>
      </c>
      <c r="C105" s="30">
        <v>2.6505999999999998</v>
      </c>
      <c r="D105" s="13" t="s">
        <v>134</v>
      </c>
      <c r="E105" s="22"/>
      <c r="F105" s="19"/>
      <c r="G105" s="26"/>
      <c r="H105" s="41"/>
    </row>
    <row r="106" spans="1:22" ht="29.1" customHeight="1" x14ac:dyDescent="0.2">
      <c r="A106" s="22"/>
      <c r="B106" s="9" t="s">
        <v>543</v>
      </c>
      <c r="C106" s="30">
        <v>2.619745</v>
      </c>
      <c r="D106" s="13" t="s">
        <v>134</v>
      </c>
      <c r="E106" s="22"/>
      <c r="F106" s="19"/>
      <c r="G106" s="26"/>
      <c r="H106" s="41"/>
    </row>
    <row r="107" spans="1:22" ht="29.1" customHeight="1" x14ac:dyDescent="0.2">
      <c r="A107" s="22"/>
      <c r="B107" s="9" t="s">
        <v>544</v>
      </c>
      <c r="C107" s="30">
        <v>2.3574000000000002</v>
      </c>
      <c r="D107" s="13" t="s">
        <v>134</v>
      </c>
      <c r="E107" s="22"/>
      <c r="F107" s="19"/>
      <c r="G107" s="26"/>
      <c r="H107" s="41"/>
    </row>
    <row r="108" spans="1:22" ht="29.1" customHeight="1" x14ac:dyDescent="0.2">
      <c r="A108" s="22"/>
      <c r="B108" s="9" t="s">
        <v>545</v>
      </c>
      <c r="C108" s="30">
        <v>2.6093000000000002</v>
      </c>
      <c r="D108" s="13" t="s">
        <v>134</v>
      </c>
      <c r="E108" s="22"/>
      <c r="F108" s="19"/>
      <c r="G108" s="26"/>
      <c r="H108" s="41"/>
    </row>
    <row r="109" spans="1:22" ht="14.1" customHeight="1" x14ac:dyDescent="0.2">
      <c r="A109" s="22"/>
      <c r="B109" s="31"/>
      <c r="C109" s="31"/>
      <c r="D109" s="32"/>
      <c r="E109" s="22"/>
      <c r="F109" s="19"/>
      <c r="G109" s="26"/>
      <c r="H109" s="41"/>
    </row>
    <row r="110" spans="1:22" s="71" customFormat="1" ht="29.1" customHeight="1" x14ac:dyDescent="0.2">
      <c r="A110" s="69"/>
      <c r="B110" s="132" t="s">
        <v>99</v>
      </c>
      <c r="C110" s="133"/>
      <c r="D110" s="51" t="s">
        <v>90</v>
      </c>
      <c r="E110" s="69"/>
      <c r="F110" s="69"/>
      <c r="G110" s="69"/>
      <c r="H110" s="69"/>
      <c r="I110" s="47"/>
      <c r="J110" s="46"/>
      <c r="K110" s="47"/>
      <c r="L110" s="47"/>
      <c r="M110" s="47"/>
      <c r="N110" s="47"/>
      <c r="O110" s="79"/>
      <c r="P110"/>
      <c r="Q110"/>
      <c r="R110"/>
      <c r="S110"/>
      <c r="T110"/>
      <c r="U110"/>
      <c r="V110"/>
    </row>
    <row r="111" spans="1:22" s="71" customFormat="1" ht="29.1" customHeight="1" x14ac:dyDescent="0.2">
      <c r="A111" s="69"/>
      <c r="B111" s="132" t="s">
        <v>100</v>
      </c>
      <c r="C111" s="133"/>
      <c r="D111" s="51" t="s">
        <v>90</v>
      </c>
      <c r="E111" s="70"/>
      <c r="F111" s="69"/>
      <c r="G111" s="69"/>
      <c r="H111" s="69"/>
      <c r="I111" s="47"/>
      <c r="J111" s="46"/>
      <c r="K111" s="47"/>
      <c r="L111" s="47"/>
      <c r="M111" s="47"/>
      <c r="N111" s="47"/>
      <c r="O111" s="79"/>
      <c r="R111"/>
      <c r="S111"/>
      <c r="T111"/>
      <c r="U111"/>
      <c r="V111"/>
    </row>
    <row r="112" spans="1:22" s="71" customFormat="1" ht="17.100000000000001" customHeight="1" x14ac:dyDescent="0.2">
      <c r="A112" s="69"/>
      <c r="B112" s="132" t="s">
        <v>487</v>
      </c>
      <c r="C112" s="133"/>
      <c r="D112" s="51" t="s">
        <v>90</v>
      </c>
      <c r="E112" s="70"/>
      <c r="F112" s="69"/>
      <c r="G112" s="69"/>
      <c r="H112" s="69"/>
      <c r="I112" s="47"/>
      <c r="J112" s="46"/>
      <c r="K112" s="47"/>
      <c r="L112" s="47"/>
      <c r="M112" s="47"/>
      <c r="N112" s="47"/>
      <c r="O112" s="79"/>
      <c r="R112"/>
      <c r="S112"/>
      <c r="T112"/>
      <c r="U112"/>
      <c r="V112"/>
    </row>
    <row r="113" spans="2:22" s="71" customFormat="1" x14ac:dyDescent="0.2">
      <c r="G113" s="69"/>
      <c r="H113" s="69"/>
      <c r="I113" s="47"/>
      <c r="J113" s="46"/>
      <c r="K113" s="47"/>
      <c r="L113" s="47"/>
      <c r="M113" s="47"/>
      <c r="N113" s="47"/>
      <c r="O113" s="79"/>
      <c r="R113"/>
      <c r="S113"/>
      <c r="T113"/>
      <c r="U113"/>
      <c r="V113"/>
    </row>
    <row r="114" spans="2:22" s="71" customFormat="1" x14ac:dyDescent="0.2">
      <c r="B114" s="135" t="s">
        <v>488</v>
      </c>
      <c r="C114" s="136"/>
      <c r="D114" s="137"/>
      <c r="I114" s="47"/>
      <c r="J114" s="46"/>
      <c r="K114" s="47"/>
      <c r="L114" s="47"/>
      <c r="M114" s="47"/>
      <c r="N114" s="47"/>
      <c r="O114" s="79"/>
      <c r="R114"/>
      <c r="S114"/>
      <c r="T114"/>
      <c r="U114"/>
      <c r="V114"/>
    </row>
    <row r="115" spans="2:22" s="71" customFormat="1" ht="38.25" x14ac:dyDescent="0.2">
      <c r="B115" s="134" t="s">
        <v>489</v>
      </c>
      <c r="C115" s="134"/>
      <c r="D115" s="72" t="s">
        <v>465</v>
      </c>
      <c r="I115" s="47"/>
      <c r="J115" s="46"/>
      <c r="K115" s="47"/>
      <c r="L115" s="47"/>
      <c r="M115" s="47"/>
      <c r="N115" s="47"/>
      <c r="O115" s="79"/>
      <c r="R115"/>
      <c r="S115"/>
      <c r="T115"/>
      <c r="U115"/>
      <c r="V115"/>
    </row>
    <row r="116" spans="2:22" s="71" customFormat="1" x14ac:dyDescent="0.2">
      <c r="B116" s="138" t="s">
        <v>490</v>
      </c>
      <c r="C116" s="138"/>
      <c r="D116" s="73"/>
      <c r="I116" s="47"/>
      <c r="J116" s="46"/>
      <c r="K116" s="47"/>
      <c r="L116" s="47"/>
      <c r="M116" s="47"/>
      <c r="N116" s="47"/>
      <c r="O116" s="79"/>
    </row>
    <row r="117" spans="2:22" s="71" customFormat="1" x14ac:dyDescent="0.2">
      <c r="B117" s="138"/>
      <c r="C117" s="138"/>
      <c r="D117" s="74"/>
      <c r="I117"/>
      <c r="J117" s="46"/>
      <c r="K117" s="47"/>
      <c r="L117" s="47"/>
      <c r="M117" s="47"/>
      <c r="N117" s="47"/>
      <c r="O117" s="79"/>
    </row>
    <row r="118" spans="2:22" s="71" customFormat="1" x14ac:dyDescent="0.2">
      <c r="B118" s="138" t="s">
        <v>491</v>
      </c>
      <c r="C118" s="138"/>
      <c r="D118" s="75">
        <v>6.3391376233977805</v>
      </c>
      <c r="I118"/>
      <c r="J118" s="46"/>
      <c r="K118" s="47"/>
      <c r="L118" s="47"/>
      <c r="M118" s="47"/>
      <c r="N118" s="47"/>
      <c r="O118" s="79"/>
    </row>
    <row r="119" spans="2:22" s="71" customFormat="1" x14ac:dyDescent="0.2">
      <c r="B119" s="138"/>
      <c r="C119" s="138"/>
      <c r="D119" s="74"/>
      <c r="I119"/>
      <c r="J119" s="46"/>
      <c r="K119" s="47"/>
      <c r="L119" s="47"/>
      <c r="M119" s="47"/>
      <c r="N119" s="47"/>
      <c r="O119" s="79"/>
    </row>
    <row r="120" spans="2:22" s="71" customFormat="1" x14ac:dyDescent="0.2">
      <c r="B120" s="138" t="s">
        <v>521</v>
      </c>
      <c r="C120" s="138"/>
      <c r="D120" s="75">
        <v>1</v>
      </c>
      <c r="I120"/>
      <c r="J120" s="46"/>
      <c r="K120" s="47"/>
      <c r="L120" s="47"/>
      <c r="M120" s="47"/>
      <c r="N120" s="47"/>
      <c r="O120" s="79"/>
    </row>
    <row r="121" spans="2:22" s="71" customFormat="1" x14ac:dyDescent="0.2">
      <c r="B121" s="138" t="s">
        <v>522</v>
      </c>
      <c r="C121" s="138"/>
      <c r="D121" s="75">
        <v>1</v>
      </c>
      <c r="I121"/>
      <c r="J121" s="46"/>
      <c r="K121" s="47"/>
      <c r="L121" s="47"/>
      <c r="M121" s="47"/>
      <c r="N121" s="47"/>
      <c r="O121" s="79"/>
    </row>
    <row r="122" spans="2:22" s="71" customFormat="1" x14ac:dyDescent="0.2">
      <c r="B122" s="138"/>
      <c r="C122" s="138"/>
      <c r="D122" s="74"/>
      <c r="I122"/>
      <c r="J122" s="46"/>
      <c r="K122" s="47"/>
      <c r="L122" s="47"/>
      <c r="M122" s="47"/>
      <c r="N122" s="47"/>
      <c r="O122" s="79"/>
    </row>
    <row r="123" spans="2:22" s="71" customFormat="1" x14ac:dyDescent="0.2">
      <c r="B123" s="138" t="s">
        <v>494</v>
      </c>
      <c r="C123" s="138"/>
      <c r="D123" s="76" t="s">
        <v>523</v>
      </c>
      <c r="I123"/>
      <c r="J123" s="46"/>
      <c r="K123" s="47"/>
      <c r="L123" s="47"/>
      <c r="M123" s="47"/>
      <c r="N123" s="47"/>
      <c r="O123" s="79"/>
    </row>
    <row r="124" spans="2:22" s="71" customFormat="1" x14ac:dyDescent="0.2">
      <c r="B124" s="139" t="s">
        <v>495</v>
      </c>
      <c r="C124" s="141"/>
      <c r="D124" s="140"/>
      <c r="I124"/>
      <c r="J124" s="46"/>
      <c r="K124" s="47"/>
      <c r="L124" s="47"/>
      <c r="M124" s="47"/>
      <c r="N124" s="47"/>
      <c r="O124" s="79"/>
    </row>
  </sheetData>
  <mergeCells count="25">
    <mergeCell ref="B121:C121"/>
    <mergeCell ref="B122:C122"/>
    <mergeCell ref="B123:C123"/>
    <mergeCell ref="B124:D124"/>
    <mergeCell ref="B116:C116"/>
    <mergeCell ref="B117:C117"/>
    <mergeCell ref="B118:C118"/>
    <mergeCell ref="B119:C119"/>
    <mergeCell ref="B120:C120"/>
    <mergeCell ref="B112:C112"/>
    <mergeCell ref="B115:C115"/>
    <mergeCell ref="B83:C83"/>
    <mergeCell ref="B101:C101"/>
    <mergeCell ref="B111:C111"/>
    <mergeCell ref="B110:C110"/>
    <mergeCell ref="B114:D114"/>
    <mergeCell ref="A1:H1"/>
    <mergeCell ref="A2:H2"/>
    <mergeCell ref="B80:D80"/>
    <mergeCell ref="B81:C81"/>
    <mergeCell ref="B82:C82"/>
    <mergeCell ref="B76:H76"/>
    <mergeCell ref="B77:H77"/>
    <mergeCell ref="B78:H78"/>
    <mergeCell ref="A3:H3"/>
  </mergeCells>
  <hyperlinks>
    <hyperlink ref="I1" location="Index!B11" display="Index" xr:uid="{63417E1D-EED8-4205-ACAF-6EB4923B1643}"/>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2024-05-16T08:10:37Z</dcterms:created>
  <dcterms:modified xsi:type="dcterms:W3CDTF">2024-05-17T13:31:17Z</dcterms:modified>
</cp:coreProperties>
</file>